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República Mexicana\Finales_RM\"/>
    </mc:Choice>
  </mc:AlternateContent>
  <xr:revisionPtr revIDLastSave="0" documentId="13_ncr:1_{B99A7C47-C9E6-4156-A671-8B62B9CCDEAB}" xr6:coauthVersionLast="47" xr6:coauthVersionMax="47" xr10:uidLastSave="{00000000-0000-0000-0000-000000000000}"/>
  <bookViews>
    <workbookView xWindow="-110" yWindow="-110" windowWidth="19420" windowHeight="10420" tabRatio="815" firstSheet="1" activeTab="3" xr2:uid="{00000000-000D-0000-FFFF-FFFF00000000}"/>
  </bookViews>
  <sheets>
    <sheet name="Índice" sheetId="1" r:id="rId1"/>
    <sheet name="Yucatán_EdoUSA" sheetId="2" r:id="rId2"/>
    <sheet name="Yucatán_Cons" sheetId="3" r:id="rId3"/>
    <sheet name="YucatánXCons" sheetId="4" r:id="rId4"/>
    <sheet name="Yucatán_EdoMun" sheetId="5" r:id="rId5"/>
    <sheet name="Yucatán_USAMuni" sheetId="6" r:id="rId6"/>
    <sheet name="Yucatán_MUNICIPIO" sheetId="7" r:id="rId7"/>
    <sheet name="Yucatán_educ_gral" sheetId="8" r:id="rId8"/>
    <sheet name="Yucatán_NivelE_Cons" sheetId="9" r:id="rId9"/>
    <sheet name="Yucatán_EducCons" sheetId="10" r:id="rId10"/>
    <sheet name="Yucatán_GenGral" sheetId="11" r:id="rId11"/>
    <sheet name="Yucatán_GENERO" sheetId="12" r:id="rId12"/>
    <sheet name="Yucatán_GENERO_EUA" sheetId="15" r:id="rId13"/>
    <sheet name="Yucatán_Gen_Edad" sheetId="13" r:id="rId14"/>
    <sheet name="Yucatán_ocup_gral" sheetId="14" r:id="rId15"/>
  </sheets>
  <definedNames>
    <definedName name="_xlnm.Print_Area" localSheetId="2">Yucatán_Cons!$A$1:$E$62</definedName>
    <definedName name="_xlnm.Print_Area" localSheetId="8">Yucatán_NivelE_Cons!$A$1:$F$274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17" i="4"/>
  <c r="C22" i="4" l="1"/>
  <c r="D13" i="4" l="1"/>
  <c r="D22" i="4"/>
  <c r="D21" i="4"/>
  <c r="D20" i="4"/>
  <c r="D19" i="4"/>
  <c r="D18" i="4"/>
  <c r="D16" i="4"/>
  <c r="D15" i="4"/>
  <c r="D14" i="4"/>
</calcChain>
</file>

<file path=xl/sharedStrings.xml><?xml version="1.0" encoding="utf-8"?>
<sst xmlns="http://schemas.openxmlformats.org/spreadsheetml/2006/main" count="2366" uniqueCount="283">
  <si>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</si>
  <si>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</si>
  <si>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</si>
  <si>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</si>
  <si>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</si>
  <si>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</si>
  <si>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</si>
  <si>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</si>
  <si>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</si>
  <si>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</si>
  <si>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</si>
  <si>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</si>
  <si>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</si>
  <si>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</si>
  <si>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</si>
  <si>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</si>
  <si>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Da clic al texto para ir a la información, selecciona                     para regresar. </t>
  </si>
  <si>
    <t>MATRÍCULAS CONSULARES DE ALTA SEGURIDAD EXPEDIDAS A ORIGINARIOS DE YUCATÁN POR ESTADO DE LA UNIÓN AMERICANA</t>
  </si>
  <si>
    <t xml:space="preserve">Estado </t>
  </si>
  <si>
    <t>Número de Matrículas</t>
  </si>
  <si>
    <t>Porcentaje de Matrículas</t>
  </si>
  <si>
    <t>Fuente: Expedición de Matrículas Consulares de Alta Seguridad en los Consulados de México en E.E.U.U.</t>
  </si>
  <si>
    <t xml:space="preserve">Secretaría de Relaciones Exteriores </t>
  </si>
  <si>
    <t>Consulado</t>
  </si>
  <si>
    <t xml:space="preserve">LOS 10 CONSULADOS DE MÉXICO EN EE.UU. CON MAYOR NÚMERO DE EXPEDICIÓN DE MATRÍCULAS CONSULARES </t>
  </si>
  <si>
    <t>TOTAL</t>
  </si>
  <si>
    <t>Municipio de origen</t>
  </si>
  <si>
    <t>Estado</t>
  </si>
  <si>
    <t>Municipio de Origen</t>
  </si>
  <si>
    <t>MATRÍCULAS CONSULARES EXPEDIDAS EN EE.UU. A ORIGINARIOS DE YUCATÁN POR NIVEL DE EDUCACIÓN.</t>
  </si>
  <si>
    <t>Nivel de Estudios</t>
  </si>
  <si>
    <t>Número de matrículas</t>
  </si>
  <si>
    <t>Nivel</t>
  </si>
  <si>
    <t>MATRÍCULAS CONSULARES EXPEDIDAS A ORIGINARIOS DE YUCATÁN POR GÉNERO EN EE.UU.</t>
  </si>
  <si>
    <t>Género</t>
  </si>
  <si>
    <t>MATRÍCULAS CONSULARES EXPEDIDAS A ORIGINARIOS DE YUCATÁN POR GÉNERO Y CONSULADO DE MÉXICO</t>
  </si>
  <si>
    <t>Edad Cumplida</t>
  </si>
  <si>
    <t>Porcentaje con respecto al Género</t>
  </si>
  <si>
    <t>Porcentaje con respecto al total de Matrículas</t>
  </si>
  <si>
    <t>Ocupación</t>
  </si>
  <si>
    <t>MATRÍCULAS CONSULARES DE ALTA SEGURIDAD EXPEDIDAS A ORIGINARIOS DE YUCATÁN EN LOS CONSULADOS DE MÉXICO EN EE.UU.</t>
  </si>
  <si>
    <t>TOTAL TOP 10</t>
  </si>
  <si>
    <t>TOTAL GENERAL</t>
  </si>
  <si>
    <t xml:space="preserve">  Matrículas consulares expedidas a originarios de Yucatán en el 2023.</t>
  </si>
  <si>
    <t>SAN FRANCISCO</t>
  </si>
  <si>
    <t>LOS ANGELES</t>
  </si>
  <si>
    <t>DALLAS</t>
  </si>
  <si>
    <t>SAN JOSE</t>
  </si>
  <si>
    <t>PORTLAND</t>
  </si>
  <si>
    <t>DENVER</t>
  </si>
  <si>
    <t>OXNARD</t>
  </si>
  <si>
    <t>SANTA ANA</t>
  </si>
  <si>
    <t>LAS VEGAS</t>
  </si>
  <si>
    <t>SACRAMENTO</t>
  </si>
  <si>
    <t>SAN BERNARDINO</t>
  </si>
  <si>
    <t>HOUSTON</t>
  </si>
  <si>
    <t>LITTLE ROCK</t>
  </si>
  <si>
    <t>CHICAGO</t>
  </si>
  <si>
    <t>KANSAS CITY</t>
  </si>
  <si>
    <t>RALEIGH</t>
  </si>
  <si>
    <t>MIAMI</t>
  </si>
  <si>
    <t>SEATTLE</t>
  </si>
  <si>
    <t>ATLANTA</t>
  </si>
  <si>
    <t>SALT LAKE CITY</t>
  </si>
  <si>
    <t>MCALLEN</t>
  </si>
  <si>
    <t>FRESNO</t>
  </si>
  <si>
    <t>NUEVA ORLEANS</t>
  </si>
  <si>
    <t>ORLANDO</t>
  </si>
  <si>
    <t>AUSTIN</t>
  </si>
  <si>
    <t>OKLAHOMA CITY</t>
  </si>
  <si>
    <t>BOISE</t>
  </si>
  <si>
    <t>NUEVA YORK</t>
  </si>
  <si>
    <t>PHOENIX</t>
  </si>
  <si>
    <t>SAINT PAUL</t>
  </si>
  <si>
    <t>SAN DIEGO</t>
  </si>
  <si>
    <t>DETROIT</t>
  </si>
  <si>
    <t>MILWAUKEE</t>
  </si>
  <si>
    <t>ALBUQUERQUE</t>
  </si>
  <si>
    <t>FILADELFIA</t>
  </si>
  <si>
    <t>SAN ANTONIO</t>
  </si>
  <si>
    <t>INDIANAPOLIS</t>
  </si>
  <si>
    <t>BOSTON</t>
  </si>
  <si>
    <t>OMAHA</t>
  </si>
  <si>
    <t>WASHINGTON</t>
  </si>
  <si>
    <t>BROWNSVILLE</t>
  </si>
  <si>
    <t>LAREDO</t>
  </si>
  <si>
    <t>NEW BRUNSWICK</t>
  </si>
  <si>
    <t>PRESIDIO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</si>
  <si>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</si>
  <si>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</si>
  <si>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</si>
  <si>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</si>
  <si>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</si>
  <si>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</si>
  <si>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</si>
  <si>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</si>
  <si>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</si>
  <si>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</si>
  <si>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</si>
  <si>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</si>
  <si>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</si>
  <si>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</si>
  <si>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</si>
  <si>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</si>
  <si>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</si>
  <si>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</si>
  <si>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</si>
  <si>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</si>
  <si>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</si>
  <si>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</si>
  <si>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</si>
  <si>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</si>
  <si>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</si>
  <si>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</si>
  <si>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</si>
  <si>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</si>
  <si>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</si>
  <si>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</si>
  <si>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</si>
  <si>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</si>
  <si>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SOUTH CAROLINA</t>
  </si>
  <si>
    <t>TENNESSEE</t>
  </si>
  <si>
    <t>TEXAS</t>
  </si>
  <si>
    <t>UTAH</t>
  </si>
  <si>
    <t>VIRGINIA</t>
  </si>
  <si>
    <t>WISCONSIN</t>
  </si>
  <si>
    <t>WYOMING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</si>
  <si>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</si>
  <si>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</si>
  <si>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</si>
  <si>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</si>
  <si>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</si>
  <si>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CALOTMUL</t>
  </si>
  <si>
    <t>MOTUL</t>
  </si>
  <si>
    <t>MÉRIDA</t>
  </si>
  <si>
    <t>SINANCHÉ</t>
  </si>
  <si>
    <t>TEKAX</t>
  </si>
  <si>
    <t>TICUL</t>
  </si>
  <si>
    <t>DZIDZANTÚN</t>
  </si>
  <si>
    <t>PETO</t>
  </si>
  <si>
    <t>ACANCEH</t>
  </si>
  <si>
    <t>OXKUTZCAB</t>
  </si>
  <si>
    <t>TZUCACAB</t>
  </si>
  <si>
    <t>UMÁN</t>
  </si>
  <si>
    <t>ABALÁ</t>
  </si>
  <si>
    <t>AKIL</t>
  </si>
  <si>
    <t>BACA</t>
  </si>
  <si>
    <t>BOKOBÁ</t>
  </si>
  <si>
    <t>BUCTZOTZ</t>
  </si>
  <si>
    <t>CACALCHÉN</t>
  </si>
  <si>
    <t>CANSAHCAB</t>
  </si>
  <si>
    <t>CANTAMAYEC</t>
  </si>
  <si>
    <t>CENOTILLO</t>
  </si>
  <si>
    <t>CHACSINKÍN</t>
  </si>
  <si>
    <t>CHAPAB</t>
  </si>
  <si>
    <t>CHEMAX</t>
  </si>
  <si>
    <t>CHICXULUB PUEBLO</t>
  </si>
  <si>
    <t>CHOCHOLÁ</t>
  </si>
  <si>
    <t>CHUMAYEL</t>
  </si>
  <si>
    <t>CONKAL</t>
  </si>
  <si>
    <t>DZEMUL</t>
  </si>
  <si>
    <t>DZILAM DE BRAVO</t>
  </si>
  <si>
    <t>DZITÁS</t>
  </si>
  <si>
    <t>DZONCAUICH</t>
  </si>
  <si>
    <t>DZÁN</t>
  </si>
  <si>
    <t>ESPITA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</si>
  <si>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</si>
  <si>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</si>
  <si>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</si>
  <si>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</si>
  <si>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</si>
  <si>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</si>
  <si>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</si>
  <si>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</si>
  <si>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</si>
  <si>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KINCHIL</t>
  </si>
  <si>
    <t>MAMA</t>
  </si>
  <si>
    <t>MANÍ</t>
  </si>
  <si>
    <t>MUNA</t>
  </si>
  <si>
    <t>MUXUPIP</t>
  </si>
  <si>
    <t>NO SE REGISTRÓ EL MUNICIPIO/CONDADO/ALCALDÍA DE NACIMIENTO</t>
  </si>
  <si>
    <t>PANABÁ</t>
  </si>
  <si>
    <t>PROGRESO</t>
  </si>
  <si>
    <t>QUINTANA ROO</t>
  </si>
  <si>
    <t>SACALUM</t>
  </si>
  <si>
    <t>SANTA ELENA</t>
  </si>
  <si>
    <t>SEYÉ</t>
  </si>
  <si>
    <t>SOTUTA</t>
  </si>
  <si>
    <t>SUDZAL</t>
  </si>
  <si>
    <t>SUMA</t>
  </si>
  <si>
    <t>TAHDZIÚ</t>
  </si>
  <si>
    <t>TAHMEK</t>
  </si>
  <si>
    <t>TEABO</t>
  </si>
  <si>
    <t>TECOH</t>
  </si>
  <si>
    <t>TEKANTÓ</t>
  </si>
  <si>
    <t>TEKIT</t>
  </si>
  <si>
    <t>TELCHAC PUEBLO</t>
  </si>
  <si>
    <t>TEMAX</t>
  </si>
  <si>
    <t>TEMOZÓN</t>
  </si>
  <si>
    <t>TETIZ</t>
  </si>
  <si>
    <t>TEYA</t>
  </si>
  <si>
    <t>TIMUCUY</t>
  </si>
  <si>
    <t>TIXKOKOB</t>
  </si>
  <si>
    <t>TIXMEHUAC</t>
  </si>
  <si>
    <t>TIZIMÍN</t>
  </si>
  <si>
    <t>TUNKÁS</t>
  </si>
  <si>
    <t>UCÚ</t>
  </si>
  <si>
    <t>VALLADOLID</t>
  </si>
  <si>
    <t>YAXCABÁ</t>
  </si>
  <si>
    <t>KAUA</t>
  </si>
  <si>
    <t>HALACHÓ</t>
  </si>
  <si>
    <t>MOCOCHÁ</t>
  </si>
  <si>
    <t>MAXCANÚ</t>
  </si>
  <si>
    <t>XOCCHEL</t>
  </si>
  <si>
    <t>TIXPÉHUAL</t>
  </si>
  <si>
    <t>TINUM</t>
  </si>
  <si>
    <t>UAYMA</t>
  </si>
  <si>
    <t>YAXKUKUL</t>
  </si>
  <si>
    <t>YOBAÍN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</si>
  <si>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</si>
  <si>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</si>
  <si>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</si>
  <si>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</si>
  <si>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</si>
  <si>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</si>
  <si>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</si>
  <si>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</si>
  <si>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</si>
  <si>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</si>
  <si>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</si>
  <si>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</si>
  <si>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</si>
  <si>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</si>
  <si>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</si>
  <si>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</si>
  <si>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</si>
  <si>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</si>
  <si>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</si>
  <si>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</si>
  <si>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</si>
  <si>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</si>
  <si>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POSGRADO [DOCTORADO]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</si>
  <si>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</si>
  <si>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</si>
  <si>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</si>
  <si>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</si>
  <si>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</si>
  <si>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</si>
  <si>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EMPLEADO(A)</t>
  </si>
  <si>
    <t>HOGAR</t>
  </si>
  <si>
    <t>ALIMENTOS Y BEBIDAS, ESP. EN PREPARACIÓN DE</t>
  </si>
  <si>
    <t>CONSTRUCCIÓN, TRAB. DE LA IND. DE LA</t>
  </si>
  <si>
    <t>ESTUDIANTE</t>
  </si>
  <si>
    <t>OBRERO(A)</t>
  </si>
  <si>
    <t>MESERO(A)</t>
  </si>
  <si>
    <t>AGROPECUARIA, TRAB. DE LA INDUSTRIA</t>
  </si>
  <si>
    <t>LIMPIEZA, EMPLEADO DE</t>
  </si>
  <si>
    <t>JARDINERO(A)</t>
  </si>
  <si>
    <t>JUBILADO(A)/PENSIONADO(A)</t>
  </si>
  <si>
    <t>PINTOR(A)</t>
  </si>
  <si>
    <t>DESEMPLEADO</t>
  </si>
  <si>
    <t>PROFESIONISTA</t>
  </si>
  <si>
    <t>CAJERO(A)/COBRADOR(A)</t>
  </si>
  <si>
    <t>CARPINTERO/TAPICERO</t>
  </si>
  <si>
    <t>EMPRESARIO(A)</t>
  </si>
  <si>
    <t>SIN ESPECIFICAR</t>
  </si>
  <si>
    <t>MECÁNICO(A)</t>
  </si>
  <si>
    <t>OPERARIO(A)</t>
  </si>
  <si>
    <t>VENDEDOR(A)</t>
  </si>
  <si>
    <t>CHOFER</t>
  </si>
  <si>
    <t>AUXILIARES ADMINISTRATIVOS Y DE OFICINA</t>
  </si>
  <si>
    <t>CARNICERO(A)</t>
  </si>
  <si>
    <t>CONSULTOR</t>
  </si>
  <si>
    <t>INGENIERO(A)</t>
  </si>
  <si>
    <t>INVESTIGADOR(A)</t>
  </si>
  <si>
    <t>MODISTA/SASTRE</t>
  </si>
  <si>
    <t>SUPERVISOR(A)</t>
  </si>
  <si>
    <t>TRABAJADOR(A) SOCIAL</t>
  </si>
  <si>
    <t>TÉCNICO(A) EN MANTENIMIENTO</t>
  </si>
  <si>
    <t>MATRÍCULAS CONSULARES EXPEDIDAS A ORIGINARIOS DE YUCATÁN POR GÉNERO Y POR ESTADO DE LA UNIÓN AMERICANA</t>
  </si>
  <si>
    <t>MATRÍCULAS CONSULARES DE ALTA SEGURIDAD EXPEDIDAS POR MUNICIPIO  ORIGINARIOS DEL ESTADO DE YUCATÁN EN LOS CONSULADOS DE MÉXICO EN EE.UU.</t>
  </si>
  <si>
    <t>MATRÍCULAS CONSULARES EXPEDIDAS A ORIGINARIOS DE YUCATÁN POR GÉNERO
 Y EDAD EN EE.UU.</t>
  </si>
  <si>
    <t>MATRÍCULAS CONSULARES EXPEDIDAS EN EE.UU. ORIGINARIOS DE YUCATÁN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</si>
</sst>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%"/>
    <numFmt numFmtId="165" formatCode="#,###"/>
  </numFmts>
  <fonts count="16" x14ac:knownFonts="1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color theme="1"/>
      <name val="Montserrat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7"/>
      <color indexed="8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sz val="10"/>
      <name val="Arial"/>
      <family val="2"/>
    </font>
    <font>
      <u/>
      <sz val="11"/>
      <color theme="0"/>
      <name val="Calibri"/>
      <family val="2"/>
      <scheme val="minor"/>
    </font>
    <font>
      <b/>
      <sz val="9"/>
      <color rgb="FFFFFFFF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0808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1" fillId="0" borderId="0"/>
    <xf numFmtId="0" fontId="13" fillId="0" borderId="0"/>
  </cellStyleXfs>
  <cellXfs count="81">
    <xf numFmtId="0" fontId="0" fillId="0" borderId="0" xfId="0"/>
    <xf numFmtId="0" fontId="7" fillId="2" borderId="9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right" vertical="center" wrapText="1"/>
    </xf>
    <xf numFmtId="49" fontId="7" fillId="4" borderId="11" xfId="0" applyNumberFormat="1" applyFont="1" applyFill="1" applyBorder="1" applyAlignment="1">
      <alignment vertical="center" wrapText="1"/>
    </xf>
    <xf numFmtId="3" fontId="7" fillId="4" borderId="11" xfId="0" applyNumberFormat="1" applyFont="1" applyFill="1" applyBorder="1" applyAlignment="1">
      <alignment horizontal="right" vertical="center" wrapText="1"/>
    </xf>
    <xf numFmtId="164" fontId="7" fillId="4" borderId="11" xfId="0" applyNumberFormat="1" applyFont="1" applyFill="1" applyBorder="1" applyAlignment="1">
      <alignment horizontal="right" vertical="center" wrapText="1"/>
    </xf>
    <xf numFmtId="0" fontId="0" fillId="3" borderId="0" xfId="0" applyFill="1"/>
    <xf numFmtId="0" fontId="10" fillId="3" borderId="0" xfId="0" applyFont="1" applyFill="1"/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vertical="top"/>
    </xf>
    <xf numFmtId="0" fontId="12" fillId="2" borderId="10" xfId="2" applyFont="1" applyFill="1" applyBorder="1" applyAlignment="1">
      <alignment horizontal="center" vertical="center" wrapText="1"/>
    </xf>
    <xf numFmtId="0" fontId="7" fillId="2" borderId="10" xfId="2" applyFont="1" applyFill="1" applyBorder="1" applyAlignment="1">
      <alignment horizontal="center" vertical="center" wrapText="1"/>
    </xf>
    <xf numFmtId="1" fontId="12" fillId="2" borderId="10" xfId="2" applyNumberFormat="1" applyFont="1" applyFill="1" applyBorder="1" applyAlignment="1">
      <alignment horizontal="center" vertical="center" wrapText="1"/>
    </xf>
    <xf numFmtId="49" fontId="7" fillId="5" borderId="11" xfId="3" applyNumberFormat="1" applyFont="1" applyFill="1" applyBorder="1" applyAlignment="1">
      <alignment vertical="top" wrapText="1"/>
    </xf>
    <xf numFmtId="165" fontId="7" fillId="5" borderId="11" xfId="3" applyNumberFormat="1" applyFont="1" applyFill="1" applyBorder="1" applyAlignment="1">
      <alignment horizontal="right" vertical="top" wrapText="1"/>
    </xf>
    <xf numFmtId="164" fontId="7" fillId="5" borderId="11" xfId="3" applyNumberFormat="1" applyFont="1" applyFill="1" applyBorder="1" applyAlignment="1">
      <alignment horizontal="right" vertical="top" wrapText="1"/>
    </xf>
    <xf numFmtId="0" fontId="12" fillId="2" borderId="11" xfId="2" applyFont="1" applyFill="1" applyBorder="1" applyAlignment="1">
      <alignment horizontal="center" vertical="center" wrapText="1"/>
    </xf>
    <xf numFmtId="0" fontId="14" fillId="3" borderId="0" xfId="1" applyFont="1" applyFill="1"/>
    <xf numFmtId="3" fontId="7" fillId="6" borderId="11" xfId="0" applyNumberFormat="1" applyFont="1" applyFill="1" applyBorder="1" applyAlignment="1">
      <alignment horizontal="right" wrapText="1"/>
    </xf>
    <xf numFmtId="164" fontId="7" fillId="6" borderId="11" xfId="0" applyNumberFormat="1" applyFont="1" applyFill="1" applyBorder="1" applyAlignment="1">
      <alignment horizontal="right" wrapText="1"/>
    </xf>
    <xf numFmtId="3" fontId="7" fillId="6" borderId="11" xfId="0" applyNumberFormat="1" applyFont="1" applyFill="1" applyBorder="1" applyAlignment="1">
      <alignment horizontal="right" vertical="center" wrapText="1"/>
    </xf>
    <xf numFmtId="164" fontId="7" fillId="6" borderId="11" xfId="0" applyNumberFormat="1" applyFont="1" applyFill="1" applyBorder="1" applyAlignment="1">
      <alignment horizontal="right" vertical="center" wrapText="1"/>
    </xf>
    <xf numFmtId="9" fontId="7" fillId="6" borderId="11" xfId="0" applyNumberFormat="1" applyFont="1" applyFill="1" applyBorder="1" applyAlignment="1">
      <alignment horizontal="right" vertical="center" wrapText="1"/>
    </xf>
    <xf numFmtId="3" fontId="7" fillId="7" borderId="11" xfId="0" applyNumberFormat="1" applyFont="1" applyFill="1" applyBorder="1" applyAlignment="1">
      <alignment horizontal="right" vertical="center" wrapText="1"/>
    </xf>
    <xf numFmtId="164" fontId="7" fillId="7" borderId="11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3" fillId="3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49" fontId="8" fillId="0" borderId="11" xfId="0" applyNumberFormat="1" applyFont="1" applyBorder="1" applyAlignment="1">
      <alignment horizontal="left" vertical="top" wrapText="1"/>
    </xf>
    <xf numFmtId="165" fontId="9" fillId="0" borderId="11" xfId="0" applyNumberFormat="1" applyFont="1" applyBorder="1" applyAlignment="1">
      <alignment horizontal="right" vertical="top" wrapText="1"/>
    </xf>
    <xf numFmtId="164" fontId="9" fillId="0" borderId="11" xfId="0" applyNumberFormat="1" applyFont="1" applyBorder="1" applyAlignment="1">
      <alignment horizontal="right" vertical="top" wrapText="1"/>
    </xf>
    <xf numFmtId="49" fontId="9" fillId="0" borderId="11" xfId="0" applyNumberFormat="1" applyFont="1" applyBorder="1" applyAlignment="1">
      <alignment horizontal="left" vertical="top" wrapText="1"/>
    </xf>
    <xf numFmtId="165" fontId="9" fillId="0" borderId="15" xfId="0" applyNumberFormat="1" applyFont="1" applyBorder="1" applyAlignment="1">
      <alignment horizontal="right" vertical="top" wrapText="1"/>
    </xf>
    <xf numFmtId="49" fontId="9" fillId="0" borderId="13" xfId="0" applyNumberFormat="1" applyFont="1" applyBorder="1" applyAlignment="1">
      <alignment horizontal="left" vertical="top" wrapText="1"/>
    </xf>
    <xf numFmtId="165" fontId="9" fillId="0" borderId="16" xfId="0" applyNumberFormat="1" applyFont="1" applyBorder="1" applyAlignment="1">
      <alignment horizontal="right" vertical="top" wrapText="1"/>
    </xf>
    <xf numFmtId="3" fontId="15" fillId="8" borderId="16" xfId="0" applyNumberFormat="1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center"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49" fontId="15" fillId="8" borderId="11" xfId="0" applyNumberFormat="1" applyFont="1" applyFill="1" applyBorder="1" applyAlignment="1">
      <alignment vertical="center" wrapText="1"/>
    </xf>
    <xf numFmtId="3" fontId="15" fillId="8" borderId="11" xfId="0" applyNumberFormat="1" applyFont="1" applyFill="1" applyBorder="1" applyAlignment="1">
      <alignment horizontal="right" vertical="center" wrapText="1"/>
    </xf>
    <xf numFmtId="164" fontId="15" fillId="8" borderId="11" xfId="0" applyNumberFormat="1" applyFont="1" applyFill="1" applyBorder="1" applyAlignment="1">
      <alignment horizontal="righ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164" fontId="9" fillId="0" borderId="11" xfId="0" applyNumberFormat="1" applyFont="1" applyBorder="1" applyAlignment="1">
      <alignment horizontal="right" vertical="center" wrapText="1"/>
    </xf>
    <xf numFmtId="49" fontId="7" fillId="5" borderId="11" xfId="3" applyNumberFormat="1" applyFont="1" applyFill="1" applyBorder="1" applyAlignment="1">
      <alignment vertical="center" wrapText="1"/>
    </xf>
    <xf numFmtId="165" fontId="7" fillId="5" borderId="11" xfId="3" applyNumberFormat="1" applyFont="1" applyFill="1" applyBorder="1" applyAlignment="1">
      <alignment horizontal="right" vertical="center" wrapText="1"/>
    </xf>
    <xf numFmtId="164" fontId="7" fillId="5" borderId="11" xfId="3" applyNumberFormat="1" applyFont="1" applyFill="1" applyBorder="1" applyAlignment="1">
      <alignment horizontal="right" vertical="center" wrapText="1"/>
    </xf>
    <xf numFmtId="0" fontId="7" fillId="2" borderId="11" xfId="2" applyFont="1" applyFill="1" applyBorder="1" applyAlignment="1">
      <alignment horizontal="center" vertical="center" wrapText="1"/>
    </xf>
    <xf numFmtId="1" fontId="12" fillId="2" borderId="11" xfId="2" applyNumberFormat="1" applyFont="1" applyFill="1" applyBorder="1" applyAlignment="1">
      <alignment horizontal="center" vertical="center" wrapText="1"/>
    </xf>
    <xf numFmtId="0" fontId="8" fillId="0" borderId="0" xfId="0" applyFont="1"/>
    <xf numFmtId="0" fontId="5" fillId="3" borderId="4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5" fillId="3" borderId="5" xfId="1" applyFont="1" applyFill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7" fillId="6" borderId="14" xfId="0" applyNumberFormat="1" applyFont="1" applyFill="1" applyBorder="1" applyAlignment="1">
      <alignment horizontal="center" vertical="center" wrapText="1"/>
    </xf>
    <xf numFmtId="49" fontId="7" fillId="6" borderId="15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7" borderId="11" xfId="0" applyNumberFormat="1" applyFont="1" applyFill="1" applyBorder="1" applyAlignment="1">
      <alignment vertical="center" wrapText="1"/>
    </xf>
  </cellXfs>
  <cellStyles count="4">
    <cellStyle name="Hipervínculo" xfId="1" builtinId="8"/>
    <cellStyle name="Normal" xfId="0" builtinId="0"/>
    <cellStyle name="Normal 2" xfId="3" xr:uid="{00000000-0005-0000-0000-000002000000}"/>
    <cellStyle name="Normal_Hoja1" xfId="2" xr:uid="{00000000-0005-0000-0000-000003000000}"/>
  </cellStyles>
  <dxfs count="0"/>
  <tableStyles count="0" defaultTableStyle="TableStyleMedium2" defaultPivotStyle="PivotStyleLight16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#&#205;ndice!A1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#&#205;ndice!A1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#&#205;ndice!A1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375366</xdr:colOff>
      <xdr:row>1</xdr:row>
      <xdr:rowOff>69850</xdr:rowOff>
    </xdr:from>
    <xdr:to>
      <xdr:col>3</xdr:col>
      <xdr:colOff>887463</xdr:colOff>
      <xdr:row>2</xdr:row>
      <xdr:rowOff>37792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925016" y="609600"/>
          <a:ext cx="512097" cy="22194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</xdr:row>
      <xdr:rowOff>12700</xdr:rowOff>
    </xdr:from>
    <xdr:to>
      <xdr:col>4</xdr:col>
      <xdr:colOff>673100</xdr:colOff>
      <xdr:row>5</xdr:row>
      <xdr:rowOff>95250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6BA0A98C-1B7A-4A81-A3A4-399E44983F2E}"/>
            </a:ext>
          </a:extLst>
        </xdr:cNvPr>
        <xdr:cNvSpPr txBox="1"/>
      </xdr:nvSpPr>
      <xdr:spPr>
        <a:xfrm>
          <a:off x="196850" y="196850"/>
          <a:ext cx="5016500" cy="101600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863600</xdr:colOff>
      <xdr:row>1</xdr:row>
      <xdr:rowOff>133350</xdr:rowOff>
    </xdr:from>
    <xdr:ext cx="935795" cy="357126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4650" y="3175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12700</xdr:colOff>
      <xdr:row>6</xdr:row>
      <xdr:rowOff>158750</xdr:rowOff>
    </xdr:from>
    <xdr:to>
      <xdr:col>4</xdr:col>
      <xdr:colOff>537001</xdr:colOff>
      <xdr:row>8</xdr:row>
      <xdr:rowOff>15768</xdr:rowOff>
    </xdr:to>
    <xdr:pic>
      <xdr:nvPicPr>
        <xdr:cNvPr id="10" name="Imagen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5950" y="1504950"/>
          <a:ext cx="524301" cy="225318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</xdr:row>
      <xdr:rowOff>69850</xdr:rowOff>
    </xdr:from>
    <xdr:to>
      <xdr:col>1</xdr:col>
      <xdr:colOff>506540</xdr:colOff>
      <xdr:row>4</xdr:row>
      <xdr:rowOff>35358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5ED9FD1-22EE-4505-801D-4410DE89D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540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25400</xdr:rowOff>
    </xdr:from>
    <xdr:to>
      <xdr:col>4</xdr:col>
      <xdr:colOff>622300</xdr:colOff>
      <xdr:row>5</xdr:row>
      <xdr:rowOff>107950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9F0DCF9F-0AED-455F-BDE4-7212690538E5}"/>
            </a:ext>
          </a:extLst>
        </xdr:cNvPr>
        <xdr:cNvSpPr txBox="1"/>
      </xdr:nvSpPr>
      <xdr:spPr>
        <a:xfrm>
          <a:off x="190500" y="209550"/>
          <a:ext cx="5016500" cy="81915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638175</xdr:colOff>
      <xdr:row>1</xdr:row>
      <xdr:rowOff>161925</xdr:rowOff>
    </xdr:from>
    <xdr:ext cx="935795" cy="357126"/>
    <xdr:pic>
      <xdr:nvPicPr>
        <xdr:cNvPr id="5" name="Imagen 4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352425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0</xdr:colOff>
      <xdr:row>7</xdr:row>
      <xdr:rowOff>0</xdr:rowOff>
    </xdr:from>
    <xdr:to>
      <xdr:col>4</xdr:col>
      <xdr:colOff>524301</xdr:colOff>
      <xdr:row>8</xdr:row>
      <xdr:rowOff>41168</xdr:rowOff>
    </xdr:to>
    <xdr:pic>
      <xdr:nvPicPr>
        <xdr:cNvPr id="10" name="Imagen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0075" y="1333500"/>
          <a:ext cx="524301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1</xdr:row>
      <xdr:rowOff>95250</xdr:rowOff>
    </xdr:from>
    <xdr:to>
      <xdr:col>1</xdr:col>
      <xdr:colOff>423990</xdr:colOff>
      <xdr:row>4</xdr:row>
      <xdr:rowOff>60758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334F4F-ED8A-4434-B208-D035971FF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9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302137</xdr:colOff>
      <xdr:row>1</xdr:row>
      <xdr:rowOff>12700</xdr:rowOff>
    </xdr:from>
    <xdr:to>
      <xdr:col>4</xdr:col>
      <xdr:colOff>571500</xdr:colOff>
      <xdr:row>5</xdr:row>
      <xdr:rowOff>88900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FB399390-F8F0-4305-9A63-AAA2CB40E6E4}"/>
            </a:ext>
          </a:extLst>
        </xdr:cNvPr>
        <xdr:cNvSpPr txBox="1"/>
      </xdr:nvSpPr>
      <xdr:spPr>
        <a:xfrm>
          <a:off x="302137" y="197055"/>
          <a:ext cx="4939686" cy="101845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742950</xdr:colOff>
      <xdr:row>1</xdr:row>
      <xdr:rowOff>165100</xdr:rowOff>
    </xdr:from>
    <xdr:ext cx="935795" cy="357126"/>
    <xdr:pic>
      <xdr:nvPicPr>
        <xdr:cNvPr id="5" name="Imagen 4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400" y="34925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82550</xdr:colOff>
      <xdr:row>7</xdr:row>
      <xdr:rowOff>88900</xdr:rowOff>
    </xdr:from>
    <xdr:to>
      <xdr:col>4</xdr:col>
      <xdr:colOff>606851</xdr:colOff>
      <xdr:row>8</xdr:row>
      <xdr:rowOff>130068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6150" y="1581150"/>
          <a:ext cx="524301" cy="225318"/>
        </a:xfrm>
        <a:prstGeom prst="rect">
          <a:avLst/>
        </a:prstGeom>
      </xdr:spPr>
    </xdr:pic>
    <xdr:clientData/>
  </xdr:twoCellAnchor>
  <xdr:twoCellAnchor editAs="oneCell">
    <xdr:from>
      <xdr:col>0</xdr:col>
      <xdr:colOff>290256</xdr:colOff>
      <xdr:row>1</xdr:row>
      <xdr:rowOff>57150</xdr:rowOff>
    </xdr:from>
    <xdr:to>
      <xdr:col>1</xdr:col>
      <xdr:colOff>453896</xdr:colOff>
      <xdr:row>4</xdr:row>
      <xdr:rowOff>16308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1170B-17D8-4C9C-BF36-CA312FEE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56" y="241505"/>
          <a:ext cx="926664" cy="7170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524301</xdr:colOff>
      <xdr:row>9</xdr:row>
      <xdr:rowOff>41168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5850" y="1628775"/>
          <a:ext cx="524301" cy="231668"/>
        </a:xfrm>
        <a:prstGeom prst="rect">
          <a:avLst/>
        </a:prstGeom>
      </xdr:spPr>
    </xdr:pic>
    <xdr:clientData/>
  </xdr:twoCellAnchor>
  <xdr:twoCellAnchor>
    <xdr:from>
      <xdr:col>0</xdr:col>
      <xdr:colOff>352973</xdr:colOff>
      <xdr:row>1</xdr:row>
      <xdr:rowOff>8101</xdr:rowOff>
    </xdr:from>
    <xdr:to>
      <xdr:col>4</xdr:col>
      <xdr:colOff>479973</xdr:colOff>
      <xdr:row>4</xdr:row>
      <xdr:rowOff>269108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C11D68CB-867F-4A76-90CE-21C9F4329650}"/>
            </a:ext>
          </a:extLst>
        </xdr:cNvPr>
        <xdr:cNvSpPr txBox="1"/>
      </xdr:nvSpPr>
      <xdr:spPr>
        <a:xfrm>
          <a:off x="352973" y="194222"/>
          <a:ext cx="5223422" cy="1021912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368300</xdr:colOff>
      <xdr:row>1</xdr:row>
      <xdr:rowOff>82550</xdr:rowOff>
    </xdr:from>
    <xdr:to>
      <xdr:col>1</xdr:col>
      <xdr:colOff>531940</xdr:colOff>
      <xdr:row>4</xdr:row>
      <xdr:rowOff>41708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F1E43B-E03C-4B19-BC3E-71F4C2B9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266700"/>
          <a:ext cx="925640" cy="714808"/>
        </a:xfrm>
        <a:prstGeom prst="rect">
          <a:avLst/>
        </a:prstGeom>
      </xdr:spPr>
    </xdr:pic>
    <xdr:clientData/>
  </xdr:twoCellAnchor>
  <xdr:oneCellAnchor>
    <xdr:from>
      <xdr:col>3</xdr:col>
      <xdr:colOff>850900</xdr:colOff>
      <xdr:row>1</xdr:row>
      <xdr:rowOff>92075</xdr:rowOff>
    </xdr:from>
    <xdr:ext cx="935795" cy="357126"/>
    <xdr:pic>
      <xdr:nvPicPr>
        <xdr:cNvPr id="6" name="Imagen 5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276225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381991</xdr:colOff>
      <xdr:row>1</xdr:row>
      <xdr:rowOff>19050</xdr:rowOff>
    </xdr:from>
    <xdr:to>
      <xdr:col>4</xdr:col>
      <xdr:colOff>1106290</xdr:colOff>
      <xdr:row>4</xdr:row>
      <xdr:rowOff>190500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7B4C8AD9-5512-4510-BD38-CE4C05EE19C6}"/>
            </a:ext>
          </a:extLst>
        </xdr:cNvPr>
        <xdr:cNvSpPr txBox="1"/>
      </xdr:nvSpPr>
      <xdr:spPr>
        <a:xfrm>
          <a:off x="381991" y="202605"/>
          <a:ext cx="5213947" cy="1014809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730250</xdr:colOff>
      <xdr:row>4</xdr:row>
      <xdr:rowOff>311150</xdr:rowOff>
    </xdr:from>
    <xdr:to>
      <xdr:col>5</xdr:col>
      <xdr:colOff>34925</xdr:colOff>
      <xdr:row>8</xdr:row>
      <xdr:rowOff>3175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30250" y="1339850"/>
          <a:ext cx="5622925" cy="625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YUCATÁN POR ESTADO EN EE.UU.</a:t>
          </a:r>
        </a:p>
        <a:p>
          <a:endParaRPr lang="es-MX" sz="1100"/>
        </a:p>
      </xdr:txBody>
    </xdr:sp>
    <xdr:clientData/>
  </xdr:twoCellAnchor>
  <xdr:oneCellAnchor>
    <xdr:from>
      <xdr:col>3</xdr:col>
      <xdr:colOff>1162844</xdr:colOff>
      <xdr:row>1</xdr:row>
      <xdr:rowOff>173302</xdr:rowOff>
    </xdr:from>
    <xdr:ext cx="935795" cy="357126"/>
    <xdr:pic>
      <xdr:nvPicPr>
        <xdr:cNvPr id="6" name="Imagen 5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4" y="35851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474596</xdr:colOff>
      <xdr:row>7</xdr:row>
      <xdr:rowOff>31419</xdr:rowOff>
    </xdr:from>
    <xdr:to>
      <xdr:col>4</xdr:col>
      <xdr:colOff>998897</xdr:colOff>
      <xdr:row>7</xdr:row>
      <xdr:rowOff>256142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4244" y="1807435"/>
          <a:ext cx="524301" cy="22472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</xdr:row>
      <xdr:rowOff>95250</xdr:rowOff>
    </xdr:from>
    <xdr:to>
      <xdr:col>1</xdr:col>
      <xdr:colOff>928021</xdr:colOff>
      <xdr:row>3</xdr:row>
      <xdr:rowOff>441758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B9C0D91-C6A1-46BE-A3A3-73B83AC3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794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</xdr:row>
      <xdr:rowOff>25400</xdr:rowOff>
    </xdr:from>
    <xdr:to>
      <xdr:col>5</xdr:col>
      <xdr:colOff>742950</xdr:colOff>
      <xdr:row>5</xdr:row>
      <xdr:rowOff>107950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0CCC36DD-D430-494D-A541-4E207533754E}"/>
            </a:ext>
          </a:extLst>
        </xdr:cNvPr>
        <xdr:cNvSpPr txBox="1"/>
      </xdr:nvSpPr>
      <xdr:spPr>
        <a:xfrm>
          <a:off x="349250" y="209550"/>
          <a:ext cx="5962650" cy="101600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1235</xdr:colOff>
      <xdr:row>6</xdr:row>
      <xdr:rowOff>15875</xdr:rowOff>
    </xdr:from>
    <xdr:to>
      <xdr:col>5</xdr:col>
      <xdr:colOff>44450</xdr:colOff>
      <xdr:row>8</xdr:row>
      <xdr:rowOff>268993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52450" y="1409347"/>
          <a:ext cx="4938007" cy="936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YUCATÁN EN LOS CONSULADOS DE MÉXICO EN EE.UU. </a:t>
          </a:r>
        </a:p>
      </xdr:txBody>
    </xdr:sp>
    <xdr:clientData/>
  </xdr:twoCellAnchor>
  <xdr:oneCellAnchor>
    <xdr:from>
      <xdr:col>4</xdr:col>
      <xdr:colOff>267758</xdr:colOff>
      <xdr:row>2</xdr:row>
      <xdr:rowOff>26811</xdr:rowOff>
    </xdr:from>
    <xdr:ext cx="935795" cy="357126"/>
    <xdr:pic>
      <xdr:nvPicPr>
        <xdr:cNvPr id="6" name="Imagen 5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8279" y="397228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87841</xdr:colOff>
      <xdr:row>6</xdr:row>
      <xdr:rowOff>134232</xdr:rowOff>
    </xdr:from>
    <xdr:to>
      <xdr:col>6</xdr:col>
      <xdr:colOff>47698</xdr:colOff>
      <xdr:row>7</xdr:row>
      <xdr:rowOff>80149</xdr:rowOff>
    </xdr:to>
    <xdr:pic>
      <xdr:nvPicPr>
        <xdr:cNvPr id="8" name="Imagen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1244" y="1474788"/>
          <a:ext cx="524301" cy="223730"/>
        </a:xfrm>
        <a:prstGeom prst="rect">
          <a:avLst/>
        </a:prstGeom>
      </xdr:spPr>
    </xdr:pic>
    <xdr:clientData/>
  </xdr:twoCellAnchor>
  <xdr:twoCellAnchor editAs="oneCell">
    <xdr:from>
      <xdr:col>0</xdr:col>
      <xdr:colOff>425450</xdr:colOff>
      <xdr:row>1</xdr:row>
      <xdr:rowOff>114300</xdr:rowOff>
    </xdr:from>
    <xdr:to>
      <xdr:col>1</xdr:col>
      <xdr:colOff>800757</xdr:colOff>
      <xdr:row>4</xdr:row>
      <xdr:rowOff>79808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BCA998-B97E-40E8-A0DF-64F8E977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" y="2984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524301</xdr:colOff>
      <xdr:row>8</xdr:row>
      <xdr:rowOff>41168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5" y="1333500"/>
          <a:ext cx="524301" cy="231668"/>
        </a:xfrm>
        <a:prstGeom prst="rect">
          <a:avLst/>
        </a:prstGeom>
      </xdr:spPr>
    </xdr:pic>
    <xdr:clientData/>
  </xdr:twoCellAnchor>
  <xdr:twoCellAnchor>
    <xdr:from>
      <xdr:col>0</xdr:col>
      <xdr:colOff>398713</xdr:colOff>
      <xdr:row>0</xdr:row>
      <xdr:rowOff>159754</xdr:rowOff>
    </xdr:from>
    <xdr:to>
      <xdr:col>4</xdr:col>
      <xdr:colOff>534737</xdr:colOff>
      <xdr:row>4</xdr:row>
      <xdr:rowOff>185153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E1D41059-726E-4FA1-AF44-9CE3898B4A63}"/>
            </a:ext>
          </a:extLst>
        </xdr:cNvPr>
        <xdr:cNvSpPr txBox="1"/>
      </xdr:nvSpPr>
      <xdr:spPr>
        <a:xfrm>
          <a:off x="398713" y="159754"/>
          <a:ext cx="4988761" cy="102803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463550</xdr:colOff>
      <xdr:row>1</xdr:row>
      <xdr:rowOff>95250</xdr:rowOff>
    </xdr:from>
    <xdr:to>
      <xdr:col>1</xdr:col>
      <xdr:colOff>740822</xdr:colOff>
      <xdr:row>4</xdr:row>
      <xdr:rowOff>3608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D5202F-1F07-4580-8990-39D70074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" y="279400"/>
          <a:ext cx="925640" cy="714808"/>
        </a:xfrm>
        <a:prstGeom prst="rect">
          <a:avLst/>
        </a:prstGeom>
      </xdr:spPr>
    </xdr:pic>
    <xdr:clientData/>
  </xdr:twoCellAnchor>
  <xdr:oneCellAnchor>
    <xdr:from>
      <xdr:col>3</xdr:col>
      <xdr:colOff>778692</xdr:colOff>
      <xdr:row>1</xdr:row>
      <xdr:rowOff>139032</xdr:rowOff>
    </xdr:from>
    <xdr:ext cx="935795" cy="357126"/>
    <xdr:pic>
      <xdr:nvPicPr>
        <xdr:cNvPr id="5" name="Imagen 4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520" y="325153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12700</xdr:rowOff>
    </xdr:from>
    <xdr:to>
      <xdr:col>4</xdr:col>
      <xdr:colOff>1017365</xdr:colOff>
      <xdr:row>5</xdr:row>
      <xdr:rowOff>88900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DE164F22-E6D4-412E-824F-6FCF3CC7487E}"/>
            </a:ext>
          </a:extLst>
        </xdr:cNvPr>
        <xdr:cNvSpPr txBox="1"/>
      </xdr:nvSpPr>
      <xdr:spPr>
        <a:xfrm>
          <a:off x="533400" y="197055"/>
          <a:ext cx="5468374" cy="101845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47625</xdr:colOff>
      <xdr:row>6</xdr:row>
      <xdr:rowOff>60325</xdr:rowOff>
    </xdr:from>
    <xdr:to>
      <xdr:col>5</xdr:col>
      <xdr:colOff>0</xdr:colOff>
      <xdr:row>7</xdr:row>
      <xdr:rowOff>365125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09625" y="1323975"/>
          <a:ext cx="595947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YUCATÁN POR NIVEL DE EDUCACIÓN Y ESTADO EN EE.UU</a:t>
          </a:r>
          <a:r>
            <a:rPr lang="es-MX" sz="1100"/>
            <a:t>.</a:t>
          </a:r>
        </a:p>
      </xdr:txBody>
    </xdr:sp>
    <xdr:clientData/>
  </xdr:twoCellAnchor>
  <xdr:oneCellAnchor>
    <xdr:from>
      <xdr:col>4</xdr:col>
      <xdr:colOff>46805</xdr:colOff>
      <xdr:row>2</xdr:row>
      <xdr:rowOff>0</xdr:rowOff>
    </xdr:from>
    <xdr:ext cx="935795" cy="357126"/>
    <xdr:pic>
      <xdr:nvPicPr>
        <xdr:cNvPr id="5" name="Imagen 4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214" y="36871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491101</xdr:colOff>
      <xdr:row>7</xdr:row>
      <xdr:rowOff>197191</xdr:rowOff>
    </xdr:from>
    <xdr:to>
      <xdr:col>4</xdr:col>
      <xdr:colOff>1013286</xdr:colOff>
      <xdr:row>7</xdr:row>
      <xdr:rowOff>428859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5510" y="1986116"/>
          <a:ext cx="522185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1</xdr:row>
      <xdr:rowOff>76200</xdr:rowOff>
    </xdr:from>
    <xdr:to>
      <xdr:col>1</xdr:col>
      <xdr:colOff>926254</xdr:colOff>
      <xdr:row>4</xdr:row>
      <xdr:rowOff>35358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4951F85-56F3-4923-9EA1-1CB1FD801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260350"/>
          <a:ext cx="925640" cy="7148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263525</xdr:colOff>
      <xdr:row>5</xdr:row>
      <xdr:rowOff>209550</xdr:rowOff>
    </xdr:from>
    <xdr:to>
      <xdr:col>4</xdr:col>
      <xdr:colOff>806450</xdr:colOff>
      <xdr:row>7</xdr:row>
      <xdr:rowOff>342900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025525" y="1409700"/>
          <a:ext cx="5788025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YUCATÁN POR CONSULADO Y NIVEL DE EDUCACIÓN EN EE.UU. </a:t>
          </a:r>
        </a:p>
      </xdr:txBody>
    </xdr:sp>
    <xdr:clientData/>
  </xdr:twoCellAnchor>
  <xdr:twoCellAnchor editAs="oneCell">
    <xdr:from>
      <xdr:col>4</xdr:col>
      <xdr:colOff>458787</xdr:colOff>
      <xdr:row>7</xdr:row>
      <xdr:rowOff>122237</xdr:rowOff>
    </xdr:from>
    <xdr:to>
      <xdr:col>4</xdr:col>
      <xdr:colOff>982558</xdr:colOff>
      <xdr:row>7</xdr:row>
      <xdr:rowOff>350466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5558" y="1908175"/>
          <a:ext cx="523771" cy="228229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5027</xdr:rowOff>
    </xdr:from>
    <xdr:to>
      <xdr:col>4</xdr:col>
      <xdr:colOff>1071562</xdr:colOff>
      <xdr:row>5</xdr:row>
      <xdr:rowOff>5027</xdr:rowOff>
    </xdr:to>
    <xdr:sp macro="" textlink="">
      <xdr:nvSpPr>
        <xdr:cNvPr id="6" name="Encabezado">
          <a:extLst>
            <a:ext uri="{FF2B5EF4-FFF2-40B4-BE49-F238E27FC236}">
              <a16:creationId xmlns:a16="http://schemas.microsoft.com/office/drawing/2014/main" id="{68DE77D2-6810-4E99-A093-33DFCE73E1D3}"/>
            </a:ext>
          </a:extLst>
        </xdr:cNvPr>
        <xdr:cNvSpPr txBox="1"/>
      </xdr:nvSpPr>
      <xdr:spPr>
        <a:xfrm>
          <a:off x="284428" y="190235"/>
          <a:ext cx="5853905" cy="1018646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692150</xdr:colOff>
      <xdr:row>1</xdr:row>
      <xdr:rowOff>139700</xdr:rowOff>
    </xdr:from>
    <xdr:to>
      <xdr:col>1</xdr:col>
      <xdr:colOff>926963</xdr:colOff>
      <xdr:row>4</xdr:row>
      <xdr:rowOff>22658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4EF78D-D09A-4FC6-A1F0-6430B5A89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323850"/>
          <a:ext cx="925640" cy="714808"/>
        </a:xfrm>
        <a:prstGeom prst="rect">
          <a:avLst/>
        </a:prstGeom>
      </xdr:spPr>
    </xdr:pic>
    <xdr:clientData/>
  </xdr:twoCellAnchor>
  <xdr:oneCellAnchor>
    <xdr:from>
      <xdr:col>4</xdr:col>
      <xdr:colOff>68000</xdr:colOff>
      <xdr:row>1</xdr:row>
      <xdr:rowOff>141024</xdr:rowOff>
    </xdr:from>
    <xdr:ext cx="935795" cy="357126"/>
    <xdr:pic>
      <xdr:nvPicPr>
        <xdr:cNvPr id="5" name="Imagen 4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4771" y="326232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0</xdr:row>
      <xdr:rowOff>177800</xdr:rowOff>
    </xdr:from>
    <xdr:to>
      <xdr:col>4</xdr:col>
      <xdr:colOff>419100</xdr:colOff>
      <xdr:row>6</xdr:row>
      <xdr:rowOff>88900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E2C0DF66-2A8D-4E7B-9B81-20B2A00AF94B}"/>
            </a:ext>
          </a:extLst>
        </xdr:cNvPr>
        <xdr:cNvSpPr txBox="1"/>
      </xdr:nvSpPr>
      <xdr:spPr>
        <a:xfrm>
          <a:off x="444500" y="177800"/>
          <a:ext cx="4699000" cy="101600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473075</xdr:colOff>
      <xdr:row>1</xdr:row>
      <xdr:rowOff>177800</xdr:rowOff>
    </xdr:from>
    <xdr:ext cx="935795" cy="357126"/>
    <xdr:pic>
      <xdr:nvPicPr>
        <xdr:cNvPr id="6" name="Imagen 5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6195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3</xdr:col>
      <xdr:colOff>874366</xdr:colOff>
      <xdr:row>8</xdr:row>
      <xdr:rowOff>109227</xdr:rowOff>
    </xdr:from>
    <xdr:to>
      <xdr:col>4</xdr:col>
      <xdr:colOff>267345</xdr:colOff>
      <xdr:row>8</xdr:row>
      <xdr:rowOff>340895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9423" y="1634687"/>
          <a:ext cx="524301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1</xdr:row>
      <xdr:rowOff>76200</xdr:rowOff>
    </xdr:from>
    <xdr:to>
      <xdr:col>1</xdr:col>
      <xdr:colOff>728717</xdr:colOff>
      <xdr:row>5</xdr:row>
      <xdr:rowOff>54408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CA0DF-20F3-448B-A4A5-E4FDC570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60350"/>
          <a:ext cx="925640" cy="7148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</xdr:row>
      <xdr:rowOff>38100</xdr:rowOff>
    </xdr:from>
    <xdr:to>
      <xdr:col>5</xdr:col>
      <xdr:colOff>494568</xdr:colOff>
      <xdr:row>5</xdr:row>
      <xdr:rowOff>101600</xdr:rowOff>
    </xdr:to>
    <xdr:sp macro="" textlink="">
      <xdr:nvSpPr>
        <xdr:cNvPr id="4" name="Encabezado">
          <a:extLst>
            <a:ext uri="{FF2B5EF4-FFF2-40B4-BE49-F238E27FC236}">
              <a16:creationId xmlns:a16="http://schemas.microsoft.com/office/drawing/2014/main" id="{C74AA3BA-977E-4E32-BDAB-234DC8E9F6BF}"/>
            </a:ext>
          </a:extLst>
        </xdr:cNvPr>
        <xdr:cNvSpPr txBox="1"/>
      </xdr:nvSpPr>
      <xdr:spPr>
        <a:xfrm>
          <a:off x="336550" y="221273"/>
          <a:ext cx="5122008" cy="101600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250336</xdr:colOff>
      <xdr:row>2</xdr:row>
      <xdr:rowOff>31750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105" y="398096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845039</xdr:colOff>
      <xdr:row>8</xdr:row>
      <xdr:rowOff>165833</xdr:rowOff>
    </xdr:from>
    <xdr:to>
      <xdr:col>5</xdr:col>
      <xdr:colOff>459580</xdr:colOff>
      <xdr:row>10</xdr:row>
      <xdr:rowOff>23828</xdr:rowOff>
    </xdr:to>
    <xdr:pic>
      <xdr:nvPicPr>
        <xdr:cNvPr id="6" name="Imagen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5808" y="1692275"/>
          <a:ext cx="524301" cy="224341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1</xdr:row>
      <xdr:rowOff>114300</xdr:rowOff>
    </xdr:from>
    <xdr:to>
      <xdr:col>1</xdr:col>
      <xdr:colOff>793999</xdr:colOff>
      <xdr:row>4</xdr:row>
      <xdr:rowOff>60758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AE144E-9EEC-410F-8B32-671D1FA1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298450"/>
          <a:ext cx="925640" cy="7148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0</xdr:row>
      <xdr:rowOff>177800</xdr:rowOff>
    </xdr:from>
    <xdr:to>
      <xdr:col>5</xdr:col>
      <xdr:colOff>628316</xdr:colOff>
      <xdr:row>6</xdr:row>
      <xdr:rowOff>88900</xdr:rowOff>
    </xdr:to>
    <xdr:sp macro="" textlink="">
      <xdr:nvSpPr>
        <xdr:cNvPr id="6" name="Encabezado">
          <a:extLst>
            <a:ext uri="{FF2B5EF4-FFF2-40B4-BE49-F238E27FC236}">
              <a16:creationId xmlns:a16="http://schemas.microsoft.com/office/drawing/2014/main" id="{0D63ED5F-7B6D-4F4A-BA77-7B8367985075}"/>
            </a:ext>
          </a:extLst>
        </xdr:cNvPr>
        <xdr:cNvSpPr txBox="1"/>
      </xdr:nvSpPr>
      <xdr:spPr>
        <a:xfrm>
          <a:off x="406400" y="177800"/>
          <a:ext cx="5422232" cy="103404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292100</xdr:colOff>
      <xdr:row>1</xdr:row>
      <xdr:rowOff>131323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3859BD25-FE54-4B6D-B2F5-FB954FFFC6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4121" y="313717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419100</xdr:colOff>
      <xdr:row>1</xdr:row>
      <xdr:rowOff>63500</xdr:rowOff>
    </xdr:from>
    <xdr:to>
      <xdr:col>1</xdr:col>
      <xdr:colOff>528580</xdr:colOff>
      <xdr:row>5</xdr:row>
      <xdr:rowOff>41708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EC669C-B05B-46E3-8768-83D1E1E1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7650"/>
          <a:ext cx="925640" cy="714808"/>
        </a:xfrm>
        <a:prstGeom prst="rect">
          <a:avLst/>
        </a:prstGeom>
      </xdr:spPr>
    </xdr:pic>
    <xdr:clientData/>
  </xdr:twoCellAnchor>
  <xdr:twoCellAnchor editAs="oneCell">
    <xdr:from>
      <xdr:col>5</xdr:col>
      <xdr:colOff>102770</xdr:colOff>
      <xdr:row>8</xdr:row>
      <xdr:rowOff>124828</xdr:rowOff>
    </xdr:from>
    <xdr:to>
      <xdr:col>5</xdr:col>
      <xdr:colOff>627071</xdr:colOff>
      <xdr:row>9</xdr:row>
      <xdr:rowOff>165996</xdr:rowOff>
    </xdr:to>
    <xdr:pic>
      <xdr:nvPicPr>
        <xdr:cNvPr id="4" name="Imagen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ED4255-AFCD-4EFD-8AB2-AFDE173B5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3086" y="1622091"/>
          <a:ext cx="524301" cy="2283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706</xdr:colOff>
      <xdr:row>1</xdr:row>
      <xdr:rowOff>50800</xdr:rowOff>
    </xdr:from>
    <xdr:to>
      <xdr:col>5</xdr:col>
      <xdr:colOff>1016000</xdr:colOff>
      <xdr:row>5</xdr:row>
      <xdr:rowOff>31750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D96AD782-DCC4-4159-A489-8B86B85AAC04}"/>
            </a:ext>
          </a:extLst>
        </xdr:cNvPr>
        <xdr:cNvSpPr txBox="1"/>
      </xdr:nvSpPr>
      <xdr:spPr>
        <a:xfrm>
          <a:off x="184150" y="234244"/>
          <a:ext cx="5918906" cy="1011062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1053747</xdr:colOff>
      <xdr:row>2</xdr:row>
      <xdr:rowOff>1058</xdr:rowOff>
    </xdr:from>
    <xdr:ext cx="935795" cy="357126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303" y="367947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407105</xdr:colOff>
      <xdr:row>9</xdr:row>
      <xdr:rowOff>90311</xdr:rowOff>
    </xdr:from>
    <xdr:to>
      <xdr:col>5</xdr:col>
      <xdr:colOff>931406</xdr:colOff>
      <xdr:row>10</xdr:row>
      <xdr:rowOff>131479</xdr:rowOff>
    </xdr:to>
    <xdr:pic>
      <xdr:nvPicPr>
        <xdr:cNvPr id="5" name="Ima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161" y="1960033"/>
          <a:ext cx="524301" cy="22461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</xdr:row>
      <xdr:rowOff>139700</xdr:rowOff>
    </xdr:from>
    <xdr:to>
      <xdr:col>1</xdr:col>
      <xdr:colOff>982790</xdr:colOff>
      <xdr:row>4</xdr:row>
      <xdr:rowOff>3608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E504C4A-A2B8-4AA3-A3FD-50ADAEFCD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323850"/>
          <a:ext cx="925640" cy="7148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406401</xdr:colOff>
      <xdr:row>1</xdr:row>
      <xdr:rowOff>25400</xdr:rowOff>
    </xdr:from>
    <xdr:to>
      <xdr:col>3</xdr:col>
      <xdr:colOff>1127305</xdr:colOff>
      <xdr:row>5</xdr:row>
      <xdr:rowOff>82550</xdr:rowOff>
    </xdr:to>
    <xdr:sp macro="" textlink="">
      <xdr:nvSpPr>
        <xdr:cNvPr id="5" name="Encabezado">
          <a:extLst>
            <a:ext uri="{FF2B5EF4-FFF2-40B4-BE49-F238E27FC236}">
              <a16:creationId xmlns:a16="http://schemas.microsoft.com/office/drawing/2014/main" id="{C15835B1-2FD8-4A18-953F-0E85D4662F72}"/>
            </a:ext>
          </a:extLst>
        </xdr:cNvPr>
        <xdr:cNvSpPr txBox="1"/>
      </xdr:nvSpPr>
      <xdr:spPr>
        <a:xfrm>
          <a:off x="406401" y="210906"/>
          <a:ext cx="5444162" cy="1020352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</a:t>
          </a:r>
          <a:r>
            <a:rPr lang="es-MX" sz="2000" b="1" cap="none" spc="0">
              <a:ln/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2023</a:t>
          </a:r>
          <a:endParaRPr lang="es-MX" sz="1100" b="1" cap="none" spc="0">
            <a:ln/>
            <a:solidFill>
              <a:schemeClr val="tx1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106201</xdr:colOff>
      <xdr:row>1</xdr:row>
      <xdr:rowOff>134171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459" y="319677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3</xdr:col>
      <xdr:colOff>575640</xdr:colOff>
      <xdr:row>8</xdr:row>
      <xdr:rowOff>166777</xdr:rowOff>
    </xdr:from>
    <xdr:to>
      <xdr:col>3</xdr:col>
      <xdr:colOff>1099941</xdr:colOff>
      <xdr:row>9</xdr:row>
      <xdr:rowOff>19764</xdr:rowOff>
    </xdr:to>
    <xdr:pic>
      <xdr:nvPicPr>
        <xdr:cNvPr id="6" name="Imagen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8898" y="1793519"/>
          <a:ext cx="524301" cy="231133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1</xdr:row>
      <xdr:rowOff>76200</xdr:rowOff>
    </xdr:from>
    <xdr:to>
      <xdr:col>1</xdr:col>
      <xdr:colOff>849939</xdr:colOff>
      <xdr:row>4</xdr:row>
      <xdr:rowOff>16308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33E80CA-5FEC-48BC-B4B4-E6B5080E3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" y="2603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view="pageBreakPreview" zoomScaleNormal="70" zoomScaleSheetLayoutView="100" workbookViewId="0">
      <selection activeCell="F7" sqref="F7"/>
    </sheetView>
  </sheetViews>
  <sheetFormatPr baseColWidth="10" defaultRowHeight="14.5" x14ac:dyDescent="0.35"/>
  <cols>
    <col min="2" max="2" width="19.453125" customWidth="1"/>
    <col min="3" max="3" width="20.453125" customWidth="1"/>
    <col min="4" max="4" width="21.453125" customWidth="1"/>
  </cols>
  <sheetData>
    <row r="1" spans="1:4" ht="42.75" customHeight="1" thickBot="1" x14ac:dyDescent="0.55000000000000004">
      <c r="A1" s="61" t="s">
        <v>43</v>
      </c>
      <c r="B1" s="62"/>
      <c r="C1" s="62"/>
      <c r="D1" s="63"/>
    </row>
    <row r="2" spans="1:4" ht="20.25" customHeight="1" x14ac:dyDescent="0.35">
      <c r="A2" s="64" t="s">
        <v>16</v>
      </c>
      <c r="B2" s="65"/>
      <c r="C2" s="65"/>
      <c r="D2" s="66"/>
    </row>
    <row r="3" spans="1:4" ht="22.5" customHeight="1" x14ac:dyDescent="0.35">
      <c r="A3" s="64"/>
      <c r="B3" s="65"/>
      <c r="C3" s="65"/>
      <c r="D3" s="66"/>
    </row>
    <row r="4" spans="1:4" ht="16.5" x14ac:dyDescent="0.45">
      <c r="A4" s="27"/>
      <c r="B4" s="28"/>
      <c r="C4" s="28"/>
      <c r="D4" s="29"/>
    </row>
    <row r="5" spans="1:4" ht="18.5" x14ac:dyDescent="0.5">
      <c r="A5" s="59" t="s">
        <v>0</v>
      </c>
      <c r="B5" s="60"/>
      <c r="C5" s="60"/>
      <c r="D5" s="67"/>
    </row>
    <row r="6" spans="1:4" ht="16.5" x14ac:dyDescent="0.45">
      <c r="A6" s="30"/>
      <c r="B6" s="31"/>
      <c r="C6" s="31"/>
      <c r="D6" s="32"/>
    </row>
    <row r="7" spans="1:4" ht="18.5" x14ac:dyDescent="0.5">
      <c r="A7" s="59" t="s">
        <v>1</v>
      </c>
      <c r="B7" s="60"/>
      <c r="C7" s="60"/>
      <c r="D7" s="67"/>
    </row>
    <row r="8" spans="1:4" ht="18.5" x14ac:dyDescent="0.5">
      <c r="A8" s="30"/>
      <c r="B8" s="59" t="s">
        <v>2</v>
      </c>
      <c r="C8" s="60"/>
      <c r="D8" s="60"/>
    </row>
    <row r="9" spans="1:4" ht="16.5" x14ac:dyDescent="0.45">
      <c r="A9" s="30"/>
      <c r="B9" s="31"/>
      <c r="C9" s="31"/>
      <c r="D9" s="32"/>
    </row>
    <row r="10" spans="1:4" ht="18.5" x14ac:dyDescent="0.5">
      <c r="A10" s="33" t="s">
        <v>3</v>
      </c>
      <c r="B10" s="31"/>
      <c r="C10" s="31"/>
      <c r="D10" s="32"/>
    </row>
    <row r="11" spans="1:4" ht="18.5" x14ac:dyDescent="0.5">
      <c r="A11" s="30"/>
      <c r="B11" s="59" t="s">
        <v>4</v>
      </c>
      <c r="C11" s="60"/>
      <c r="D11" s="60"/>
    </row>
    <row r="12" spans="1:4" ht="18.5" x14ac:dyDescent="0.5">
      <c r="A12" s="30"/>
      <c r="B12" s="59" t="s">
        <v>5</v>
      </c>
      <c r="C12" s="60"/>
      <c r="D12" s="60"/>
    </row>
    <row r="13" spans="1:4" ht="18.5" x14ac:dyDescent="0.5">
      <c r="A13" s="30"/>
      <c r="B13" s="59" t="s">
        <v>6</v>
      </c>
      <c r="C13" s="60"/>
      <c r="D13" s="60"/>
    </row>
    <row r="14" spans="1:4" ht="16.5" x14ac:dyDescent="0.45">
      <c r="A14" s="30"/>
      <c r="B14" s="31"/>
      <c r="C14" s="31"/>
      <c r="D14" s="32"/>
    </row>
    <row r="15" spans="1:4" ht="18.5" x14ac:dyDescent="0.5">
      <c r="A15" s="33" t="s">
        <v>7</v>
      </c>
      <c r="B15" s="31"/>
      <c r="C15" s="31"/>
      <c r="D15" s="32"/>
    </row>
    <row r="16" spans="1:4" ht="18.5" x14ac:dyDescent="0.5">
      <c r="A16" s="30"/>
      <c r="B16" s="59" t="s">
        <v>8</v>
      </c>
      <c r="C16" s="60"/>
      <c r="D16" s="60"/>
    </row>
    <row r="17" spans="1:4" ht="18.5" x14ac:dyDescent="0.5">
      <c r="A17" s="30"/>
      <c r="B17" s="59" t="s">
        <v>9</v>
      </c>
      <c r="C17" s="60"/>
      <c r="D17" s="60"/>
    </row>
    <row r="18" spans="1:4" ht="18.5" x14ac:dyDescent="0.5">
      <c r="A18" s="30"/>
      <c r="B18" s="59" t="s">
        <v>10</v>
      </c>
      <c r="C18" s="60"/>
      <c r="D18" s="60"/>
    </row>
    <row r="19" spans="1:4" ht="16.5" x14ac:dyDescent="0.45">
      <c r="A19" s="30"/>
      <c r="B19" s="31"/>
      <c r="C19" s="31"/>
      <c r="D19" s="32"/>
    </row>
    <row r="20" spans="1:4" ht="18.5" x14ac:dyDescent="0.5">
      <c r="A20" s="33" t="s">
        <v>11</v>
      </c>
      <c r="B20" s="31"/>
      <c r="C20" s="31"/>
      <c r="D20" s="32"/>
    </row>
    <row r="21" spans="1:4" ht="18.5" x14ac:dyDescent="0.5">
      <c r="A21" s="30"/>
      <c r="B21" s="59" t="s">
        <v>12</v>
      </c>
      <c r="C21" s="60"/>
      <c r="D21" s="60"/>
    </row>
    <row r="22" spans="1:4" ht="18.5" x14ac:dyDescent="0.5">
      <c r="A22" s="30"/>
      <c r="B22" s="59" t="s">
        <v>13</v>
      </c>
      <c r="C22" s="60"/>
      <c r="D22" s="60"/>
    </row>
    <row r="23" spans="1:4" ht="16.5" x14ac:dyDescent="0.45">
      <c r="A23" s="30"/>
      <c r="B23" s="31"/>
      <c r="C23" s="31"/>
      <c r="D23" s="32"/>
    </row>
    <row r="24" spans="1:4" ht="18.5" x14ac:dyDescent="0.5">
      <c r="A24" s="59" t="s">
        <v>14</v>
      </c>
      <c r="B24" s="60"/>
      <c r="C24" s="60"/>
      <c r="D24" s="67"/>
    </row>
    <row r="25" spans="1:4" ht="16.5" x14ac:dyDescent="0.45">
      <c r="A25" s="30"/>
      <c r="B25" s="31"/>
      <c r="C25" s="31"/>
      <c r="D25" s="32"/>
    </row>
    <row r="26" spans="1:4" ht="18.5" x14ac:dyDescent="0.5">
      <c r="A26" s="59" t="s">
        <v>15</v>
      </c>
      <c r="B26" s="60"/>
      <c r="C26" s="60"/>
      <c r="D26" s="67"/>
    </row>
    <row r="27" spans="1:4" ht="17" thickBot="1" x14ac:dyDescent="0.5">
      <c r="A27" s="34"/>
      <c r="B27" s="35"/>
      <c r="C27" s="35"/>
      <c r="D27" s="36"/>
    </row>
  </sheetData>
  <mergeCells count="15">
    <mergeCell ref="B22:D22"/>
    <mergeCell ref="A24:D24"/>
    <mergeCell ref="A26:D26"/>
    <mergeCell ref="B12:D12"/>
    <mergeCell ref="B13:D13"/>
    <mergeCell ref="B16:D16"/>
    <mergeCell ref="B17:D17"/>
    <mergeCell ref="B18:D18"/>
    <mergeCell ref="B21:D21"/>
    <mergeCell ref="B11:D11"/>
    <mergeCell ref="A1:D1"/>
    <mergeCell ref="A2:D3"/>
    <mergeCell ref="A5:D5"/>
    <mergeCell ref="A7:D7"/>
    <mergeCell ref="B8:D8"/>
  </mergeCells>
  <hyperlinks>
    <hyperlink ref="A5" location="Aguascalientes_EdoUsa!A1" display="1. Por Estados de USA" xr:uid="{00000000-0004-0000-0000-000000000000}"/>
    <hyperlink ref="A7" location="Aguascalientes_Cons_2018!A1" display="2. Por Circunscripción Consular" xr:uid="{00000000-0004-0000-0000-000001000000}"/>
    <hyperlink ref="B8" location="AguascalientesXCons2018!A1" display="2.1 Top ten por circunscripción consular" xr:uid="{00000000-0004-0000-0000-000002000000}"/>
    <hyperlink ref="B11" location="Aguascalientes_EdoMun!A1" display="3.1 Municipio general" xr:uid="{00000000-0004-0000-0000-000003000000}"/>
    <hyperlink ref="B12" location="Aguascalientes_USAMuni2016!A1" display="3.2 Por Estado de USA" xr:uid="{00000000-0004-0000-0000-000004000000}"/>
    <hyperlink ref="B13" location="Aguascalientes_MUNICIPIO!A1" display="3.3 Por Circunscripción Consular" xr:uid="{00000000-0004-0000-0000-000005000000}"/>
    <hyperlink ref="B16" location="Aguascalientes_educ_gral!A1" display="4.1 Educación general" xr:uid="{00000000-0004-0000-0000-000006000000}"/>
    <hyperlink ref="B17" location="Aguascalientes_NivelE_Cons!A1" display="4.2 Por Estado de USA" xr:uid="{00000000-0004-0000-0000-000007000000}"/>
    <hyperlink ref="B18" location="Aguascalientes_EducCons!A1" display="4.3 Por Circunscripción Consular" xr:uid="{00000000-0004-0000-0000-000008000000}"/>
    <hyperlink ref="B21" location="Aguascalientes_GenGral!A1" display="5.1 Género General" xr:uid="{00000000-0004-0000-0000-000009000000}"/>
    <hyperlink ref="B22" location="Aguascalientes_GENERO!A1" display="5.3 Por Circunscripción Consular" xr:uid="{00000000-0004-0000-0000-00000A000000}"/>
    <hyperlink ref="A24" location="Aguascalientes_Gen_Edad!A1" display="6. Por estructura de Edad" xr:uid="{00000000-0004-0000-0000-00000B000000}"/>
    <hyperlink ref="A26" location="Aguascalientes_ocup_gral!A1" display="7. Por Ocupación" xr:uid="{00000000-0004-0000-0000-00000C000000}"/>
    <hyperlink ref="B12:D12" location="Yucatán_USAMuni!A1" display="3.2 Por Estado de USA" xr:uid="{00000000-0004-0000-0000-00000D000000}"/>
    <hyperlink ref="A7:D7" location="Yucatán_Cons!A1" display="2. Por Circunscripción Consular" xr:uid="{00000000-0004-0000-0000-00000E000000}"/>
    <hyperlink ref="B8:D8" location="YucatánXCons!A1" display="2.1 Top ten por circunscripción consular" xr:uid="{00000000-0004-0000-0000-00000F000000}"/>
    <hyperlink ref="A5:D5" location="Yucatán_EdoUsa!A1" display="1. Por Estados de USA" xr:uid="{00000000-0004-0000-0000-000010000000}"/>
    <hyperlink ref="B11:D11" location="Yucatán_EdoMun!A1" display="3.1 Municipio general" xr:uid="{00000000-0004-0000-0000-000011000000}"/>
    <hyperlink ref="B13:D13" location="Yucatán_MUNICIPIO!A1" display="3.3 Por Circunscripción Consular" xr:uid="{00000000-0004-0000-0000-000012000000}"/>
    <hyperlink ref="B16:D16" location="Yucatán_educ_gral!A1" display="4.1 Educación general" xr:uid="{00000000-0004-0000-0000-000013000000}"/>
    <hyperlink ref="B17:D17" location="Yucatán_NivelE_Cons!A1" display="4.2 Por Estado de USA" xr:uid="{00000000-0004-0000-0000-000014000000}"/>
    <hyperlink ref="B18:D18" location="Yucatán_EducCons!A1" display="4.3 Por Circunscripción Consular" xr:uid="{00000000-0004-0000-0000-000015000000}"/>
    <hyperlink ref="B21:D21" location="Yucatán_GenGral!A1" display="5.1 Género General" xr:uid="{00000000-0004-0000-0000-000016000000}"/>
    <hyperlink ref="B22:D22" location="Yucatán_GENERO!A1" display="5.2 Por Circunscripción Consular" xr:uid="{00000000-0004-0000-0000-000017000000}"/>
    <hyperlink ref="A24:D24" location="Yucatán_Gen_Edad!A1" display="6. Por estructura de Edad" xr:uid="{00000000-0004-0000-0000-000018000000}"/>
    <hyperlink ref="A26:D26" location="Yucatán_ocup_gral!A1" display="7. Por Ocupación" xr:uid="{00000000-0004-0000-0000-000019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4:F58"/>
  <sheetViews>
    <sheetView showGridLines="0" view="pageBreakPreview" topLeftCell="A41" zoomScaleNormal="100" zoomScaleSheetLayoutView="100" workbookViewId="0">
      <selection activeCell="B11" sqref="B11:D52"/>
    </sheetView>
  </sheetViews>
  <sheetFormatPr baseColWidth="10" defaultRowHeight="14.5" x14ac:dyDescent="0.35"/>
  <cols>
    <col min="1" max="1" width="9.08984375" customWidth="1"/>
    <col min="2" max="2" width="18.81640625" customWidth="1"/>
    <col min="3" max="3" width="17.81640625" customWidth="1"/>
    <col min="4" max="4" width="17.453125" customWidth="1"/>
    <col min="5" max="5" width="10.6328125" customWidth="1"/>
    <col min="6" max="6" width="10.54296875" hidden="1" customWidth="1"/>
  </cols>
  <sheetData>
    <row r="4" spans="2:6" ht="30" customHeight="1" x14ac:dyDescent="0.35"/>
    <row r="6" spans="2:6" ht="18" customHeight="1" x14ac:dyDescent="0.35"/>
    <row r="7" spans="2:6" x14ac:dyDescent="0.35">
      <c r="B7" s="68" t="s">
        <v>17</v>
      </c>
      <c r="C7" s="68"/>
      <c r="D7" s="68"/>
    </row>
    <row r="8" spans="2:6" x14ac:dyDescent="0.35">
      <c r="B8" s="68"/>
      <c r="C8" s="68"/>
      <c r="D8" s="68"/>
      <c r="F8" s="19"/>
    </row>
    <row r="9" spans="2:6" x14ac:dyDescent="0.35">
      <c r="B9" s="68"/>
      <c r="C9" s="68"/>
      <c r="D9" s="68"/>
    </row>
    <row r="11" spans="2:6" ht="28" x14ac:dyDescent="0.35">
      <c r="B11" s="45" t="s">
        <v>18</v>
      </c>
      <c r="C11" s="46" t="s">
        <v>19</v>
      </c>
      <c r="D11" s="45" t="s">
        <v>20</v>
      </c>
    </row>
    <row r="12" spans="2:6" ht="14.5" customHeight="1" x14ac:dyDescent="0.35">
      <c r="B12" s="40" t="s">
        <v>88</v>
      </c>
      <c r="C12" s="38">
        <v>8</v>
      </c>
      <c r="D12" s="39">
        <v>4.0000000000000001E-3</v>
      </c>
    </row>
    <row r="13" spans="2:6" ht="14.5" customHeight="1" x14ac:dyDescent="0.35">
      <c r="B13" s="40" t="s">
        <v>89</v>
      </c>
      <c r="C13" s="38">
        <v>8</v>
      </c>
      <c r="D13" s="39">
        <v>4.0000000000000001E-3</v>
      </c>
    </row>
    <row r="14" spans="2:6" ht="14.5" customHeight="1" x14ac:dyDescent="0.35">
      <c r="B14" s="40" t="s">
        <v>90</v>
      </c>
      <c r="C14" s="38">
        <v>33</v>
      </c>
      <c r="D14" s="39">
        <v>1.4999999999999999E-2</v>
      </c>
    </row>
    <row r="15" spans="2:6" ht="14.5" customHeight="1" x14ac:dyDescent="0.35">
      <c r="B15" s="40" t="s">
        <v>91</v>
      </c>
      <c r="C15" s="38">
        <v>1428</v>
      </c>
      <c r="D15" s="39">
        <v>0.66500000000000004</v>
      </c>
    </row>
    <row r="16" spans="2:6" ht="14.5" customHeight="1" x14ac:dyDescent="0.35">
      <c r="B16" s="40" t="s">
        <v>92</v>
      </c>
      <c r="C16" s="38">
        <v>83</v>
      </c>
      <c r="D16" s="39">
        <v>3.9E-2</v>
      </c>
    </row>
    <row r="17" spans="2:4" ht="14.5" customHeight="1" x14ac:dyDescent="0.35">
      <c r="B17" s="40" t="s">
        <v>93</v>
      </c>
      <c r="C17" s="38">
        <v>1</v>
      </c>
      <c r="D17" s="39">
        <v>0</v>
      </c>
    </row>
    <row r="18" spans="2:4" ht="14.5" customHeight="1" x14ac:dyDescent="0.35">
      <c r="B18" s="40" t="s">
        <v>94</v>
      </c>
      <c r="C18" s="38">
        <v>1</v>
      </c>
      <c r="D18" s="39">
        <v>0</v>
      </c>
    </row>
    <row r="19" spans="2:4" ht="14.5" customHeight="1" x14ac:dyDescent="0.35">
      <c r="B19" s="40" t="s">
        <v>95</v>
      </c>
      <c r="C19" s="38">
        <v>32</v>
      </c>
      <c r="D19" s="39">
        <v>1.4999999999999999E-2</v>
      </c>
    </row>
    <row r="20" spans="2:4" ht="14.5" customHeight="1" x14ac:dyDescent="0.35">
      <c r="B20" s="40" t="s">
        <v>96</v>
      </c>
      <c r="C20" s="38">
        <v>8</v>
      </c>
      <c r="D20" s="39">
        <v>4.0000000000000001E-3</v>
      </c>
    </row>
    <row r="21" spans="2:4" ht="14.5" customHeight="1" x14ac:dyDescent="0.35">
      <c r="B21" s="40" t="s">
        <v>97</v>
      </c>
      <c r="C21" s="38">
        <v>6</v>
      </c>
      <c r="D21" s="39">
        <v>3.0000000000000001E-3</v>
      </c>
    </row>
    <row r="22" spans="2:4" ht="14.5" customHeight="1" x14ac:dyDescent="0.35">
      <c r="B22" s="40" t="s">
        <v>98</v>
      </c>
      <c r="C22" s="38">
        <v>24</v>
      </c>
      <c r="D22" s="39">
        <v>1.0999999999999999E-2</v>
      </c>
    </row>
    <row r="23" spans="2:4" ht="14.5" customHeight="1" x14ac:dyDescent="0.35">
      <c r="B23" s="40" t="s">
        <v>99</v>
      </c>
      <c r="C23" s="38">
        <v>6</v>
      </c>
      <c r="D23" s="39">
        <v>3.0000000000000001E-3</v>
      </c>
    </row>
    <row r="24" spans="2:4" ht="14.5" customHeight="1" x14ac:dyDescent="0.35">
      <c r="B24" s="40" t="s">
        <v>100</v>
      </c>
      <c r="C24" s="38">
        <v>1</v>
      </c>
      <c r="D24" s="39">
        <v>0</v>
      </c>
    </row>
    <row r="25" spans="2:4" ht="14.5" customHeight="1" x14ac:dyDescent="0.35">
      <c r="B25" s="40" t="s">
        <v>101</v>
      </c>
      <c r="C25" s="38">
        <v>11</v>
      </c>
      <c r="D25" s="39">
        <v>5.0000000000000001E-3</v>
      </c>
    </row>
    <row r="26" spans="2:4" ht="14.5" customHeight="1" x14ac:dyDescent="0.35">
      <c r="B26" s="40" t="s">
        <v>102</v>
      </c>
      <c r="C26" s="38">
        <v>4</v>
      </c>
      <c r="D26" s="39">
        <v>2E-3</v>
      </c>
    </row>
    <row r="27" spans="2:4" ht="14.5" customHeight="1" x14ac:dyDescent="0.35">
      <c r="B27" s="40" t="s">
        <v>103</v>
      </c>
      <c r="C27" s="38">
        <v>5</v>
      </c>
      <c r="D27" s="39">
        <v>2E-3</v>
      </c>
    </row>
    <row r="28" spans="2:4" ht="14.5" customHeight="1" x14ac:dyDescent="0.35">
      <c r="B28" s="40" t="s">
        <v>104</v>
      </c>
      <c r="C28" s="38">
        <v>2</v>
      </c>
      <c r="D28" s="39">
        <v>1E-3</v>
      </c>
    </row>
    <row r="29" spans="2:4" ht="14.5" customHeight="1" x14ac:dyDescent="0.35">
      <c r="B29" s="40" t="s">
        <v>105</v>
      </c>
      <c r="C29" s="38">
        <v>4</v>
      </c>
      <c r="D29" s="39">
        <v>2E-3</v>
      </c>
    </row>
    <row r="30" spans="2:4" ht="14.5" customHeight="1" x14ac:dyDescent="0.35">
      <c r="B30" s="40" t="s">
        <v>106</v>
      </c>
      <c r="C30" s="38">
        <v>5</v>
      </c>
      <c r="D30" s="39">
        <v>2E-3</v>
      </c>
    </row>
    <row r="31" spans="2:4" ht="14.5" customHeight="1" x14ac:dyDescent="0.35">
      <c r="B31" s="40" t="s">
        <v>107</v>
      </c>
      <c r="C31" s="38">
        <v>8</v>
      </c>
      <c r="D31" s="39">
        <v>4.0000000000000001E-3</v>
      </c>
    </row>
    <row r="32" spans="2:4" ht="14.5" customHeight="1" x14ac:dyDescent="0.35">
      <c r="B32" s="40" t="s">
        <v>108</v>
      </c>
      <c r="C32" s="38">
        <v>5</v>
      </c>
      <c r="D32" s="39">
        <v>2E-3</v>
      </c>
    </row>
    <row r="33" spans="2:4" ht="14.5" customHeight="1" x14ac:dyDescent="0.35">
      <c r="B33" s="40" t="s">
        <v>109</v>
      </c>
      <c r="C33" s="38">
        <v>13</v>
      </c>
      <c r="D33" s="39">
        <v>6.0000000000000001E-3</v>
      </c>
    </row>
    <row r="34" spans="2:4" ht="14.5" customHeight="1" x14ac:dyDescent="0.35">
      <c r="B34" s="40" t="s">
        <v>110</v>
      </c>
      <c r="C34" s="38">
        <v>2</v>
      </c>
      <c r="D34" s="39">
        <v>1E-3</v>
      </c>
    </row>
    <row r="35" spans="2:4" ht="14.5" customHeight="1" x14ac:dyDescent="0.35">
      <c r="B35" s="40" t="s">
        <v>111</v>
      </c>
      <c r="C35" s="38">
        <v>52</v>
      </c>
      <c r="D35" s="39">
        <v>2.4E-2</v>
      </c>
    </row>
    <row r="36" spans="2:4" ht="14.5" customHeight="1" x14ac:dyDescent="0.35">
      <c r="B36" s="40" t="s">
        <v>112</v>
      </c>
      <c r="C36" s="38">
        <v>6</v>
      </c>
      <c r="D36" s="39">
        <v>3.0000000000000001E-3</v>
      </c>
    </row>
    <row r="37" spans="2:4" ht="14.5" customHeight="1" x14ac:dyDescent="0.35">
      <c r="B37" s="40" t="s">
        <v>113</v>
      </c>
      <c r="C37" s="38">
        <v>3</v>
      </c>
      <c r="D37" s="39">
        <v>1E-3</v>
      </c>
    </row>
    <row r="38" spans="2:4" ht="14.5" customHeight="1" x14ac:dyDescent="0.35">
      <c r="B38" s="40" t="s">
        <v>114</v>
      </c>
      <c r="C38" s="38">
        <v>5</v>
      </c>
      <c r="D38" s="39">
        <v>2E-3</v>
      </c>
    </row>
    <row r="39" spans="2:4" ht="14.5" customHeight="1" x14ac:dyDescent="0.35">
      <c r="B39" s="40" t="s">
        <v>115</v>
      </c>
      <c r="C39" s="38">
        <v>17</v>
      </c>
      <c r="D39" s="39">
        <v>8.0000000000000002E-3</v>
      </c>
    </row>
    <row r="40" spans="2:4" ht="14.5" customHeight="1" x14ac:dyDescent="0.35">
      <c r="B40" s="40" t="s">
        <v>116</v>
      </c>
      <c r="C40" s="38">
        <v>4</v>
      </c>
      <c r="D40" s="39">
        <v>2E-3</v>
      </c>
    </row>
    <row r="41" spans="2:4" ht="14.5" customHeight="1" x14ac:dyDescent="0.35">
      <c r="B41" s="40" t="s">
        <v>117</v>
      </c>
      <c r="C41" s="38">
        <v>13</v>
      </c>
      <c r="D41" s="39">
        <v>6.0000000000000001E-3</v>
      </c>
    </row>
    <row r="42" spans="2:4" ht="14.5" customHeight="1" x14ac:dyDescent="0.35">
      <c r="B42" s="40" t="s">
        <v>118</v>
      </c>
      <c r="C42" s="38">
        <v>81</v>
      </c>
      <c r="D42" s="39">
        <v>3.7999999999999999E-2</v>
      </c>
    </row>
    <row r="43" spans="2:4" ht="14.5" customHeight="1" x14ac:dyDescent="0.35">
      <c r="B43" s="40" t="s">
        <v>119</v>
      </c>
      <c r="C43" s="38">
        <v>4</v>
      </c>
      <c r="D43" s="39">
        <v>2E-3</v>
      </c>
    </row>
    <row r="44" spans="2:4" ht="14.5" customHeight="1" x14ac:dyDescent="0.35">
      <c r="B44" s="40" t="s">
        <v>120</v>
      </c>
      <c r="C44" s="38">
        <v>5</v>
      </c>
      <c r="D44" s="39">
        <v>2E-3</v>
      </c>
    </row>
    <row r="45" spans="2:4" ht="14.5" customHeight="1" x14ac:dyDescent="0.35">
      <c r="B45" s="40" t="s">
        <v>121</v>
      </c>
      <c r="C45" s="38">
        <v>4</v>
      </c>
      <c r="D45" s="39">
        <v>2E-3</v>
      </c>
    </row>
    <row r="46" spans="2:4" ht="14.5" customHeight="1" x14ac:dyDescent="0.35">
      <c r="B46" s="40" t="s">
        <v>122</v>
      </c>
      <c r="C46" s="38">
        <v>196</v>
      </c>
      <c r="D46" s="39">
        <v>9.0999999999999998E-2</v>
      </c>
    </row>
    <row r="47" spans="2:4" ht="14.5" customHeight="1" x14ac:dyDescent="0.35">
      <c r="B47" s="40" t="s">
        <v>123</v>
      </c>
      <c r="C47" s="38">
        <v>16</v>
      </c>
      <c r="D47" s="39">
        <v>7.0000000000000001E-3</v>
      </c>
    </row>
    <row r="48" spans="2:4" ht="14.5" customHeight="1" x14ac:dyDescent="0.35">
      <c r="B48" s="40" t="s">
        <v>124</v>
      </c>
      <c r="C48" s="38">
        <v>1</v>
      </c>
      <c r="D48" s="39">
        <v>0</v>
      </c>
    </row>
    <row r="49" spans="2:4" ht="14.5" customHeight="1" x14ac:dyDescent="0.35">
      <c r="B49" s="40" t="s">
        <v>83</v>
      </c>
      <c r="C49" s="38">
        <v>31</v>
      </c>
      <c r="D49" s="39">
        <v>1.4E-2</v>
      </c>
    </row>
    <row r="50" spans="2:4" ht="14.5" customHeight="1" x14ac:dyDescent="0.35">
      <c r="B50" s="40" t="s">
        <v>125</v>
      </c>
      <c r="C50" s="38">
        <v>7</v>
      </c>
      <c r="D50" s="39">
        <v>3.0000000000000001E-3</v>
      </c>
    </row>
    <row r="51" spans="2:4" ht="14.5" customHeight="1" x14ac:dyDescent="0.35">
      <c r="B51" s="40" t="s">
        <v>126</v>
      </c>
      <c r="C51" s="38">
        <v>3</v>
      </c>
      <c r="D51" s="39">
        <v>1E-3</v>
      </c>
    </row>
    <row r="52" spans="2:4" ht="14.5" customHeight="1" x14ac:dyDescent="0.35">
      <c r="B52" s="47" t="s">
        <v>25</v>
      </c>
      <c r="C52" s="48">
        <v>2146</v>
      </c>
      <c r="D52" s="49">
        <v>1</v>
      </c>
    </row>
    <row r="53" spans="2:4" ht="14.5" customHeight="1" x14ac:dyDescent="0.35">
      <c r="B53" s="11"/>
    </row>
    <row r="54" spans="2:4" ht="14.5" customHeight="1" x14ac:dyDescent="0.35">
      <c r="B54" s="9" t="s">
        <v>127</v>
      </c>
    </row>
    <row r="55" spans="2:4" ht="14.5" customHeight="1" x14ac:dyDescent="0.35">
      <c r="B55" s="10" t="s">
        <v>21</v>
      </c>
    </row>
    <row r="56" spans="2:4" ht="14.5" customHeight="1" x14ac:dyDescent="0.35">
      <c r="B56" s="11" t="s">
        <v>128</v>
      </c>
    </row>
    <row r="57" spans="2:4" ht="14.5" customHeight="1" x14ac:dyDescent="0.35">
      <c r="B57" s="9" t="s">
        <v>22</v>
      </c>
    </row>
    <row r="58" spans="2:4" ht="14.5" customHeight="1" x14ac:dyDescent="0.35">
      <c r="B58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62"/>
  <sheetViews>
    <sheetView showGridLines="0" view="pageBreakPreview" topLeftCell="A48" zoomScale="132" zoomScaleNormal="100" zoomScaleSheetLayoutView="132" workbookViewId="0">
      <selection activeCell="D56" sqref="B11:D56"/>
    </sheetView>
  </sheetViews>
  <sheetFormatPr baseColWidth="10" defaultRowHeight="14.5" x14ac:dyDescent="0.35"/>
  <cols>
    <col min="2" max="2" width="19.7265625" customWidth="1"/>
    <col min="3" max="3" width="18.81640625" customWidth="1"/>
    <col min="4" max="4" width="16.90625" customWidth="1"/>
  </cols>
  <sheetData>
    <row r="1" spans="1:24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30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2.5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35">
      <c r="A7" s="8"/>
      <c r="B7" s="69" t="s">
        <v>40</v>
      </c>
      <c r="C7" s="69"/>
      <c r="D7" s="6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35">
      <c r="A8" s="8"/>
      <c r="B8" s="69"/>
      <c r="C8" s="69"/>
      <c r="D8" s="6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35">
      <c r="A9" s="8"/>
      <c r="B9" s="69"/>
      <c r="C9" s="69"/>
      <c r="D9" s="6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" customHeight="1" x14ac:dyDescent="0.35">
      <c r="A10" s="8"/>
      <c r="B10" s="8"/>
      <c r="C10" s="8"/>
      <c r="D10" s="8"/>
      <c r="E10" s="70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28" x14ac:dyDescent="0.35">
      <c r="A11" s="8"/>
      <c r="B11" s="45" t="s">
        <v>23</v>
      </c>
      <c r="C11" s="46" t="s">
        <v>19</v>
      </c>
      <c r="D11" s="45" t="s">
        <v>20</v>
      </c>
      <c r="E11" s="70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4.5" customHeight="1" x14ac:dyDescent="0.35">
      <c r="A12" s="8"/>
      <c r="B12" s="40" t="s">
        <v>44</v>
      </c>
      <c r="C12" s="38">
        <v>703</v>
      </c>
      <c r="D12" s="39">
        <v>0.32800000000000001</v>
      </c>
      <c r="E12" s="70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4.5" customHeight="1" x14ac:dyDescent="0.35">
      <c r="A13" s="8"/>
      <c r="B13" s="40" t="s">
        <v>45</v>
      </c>
      <c r="C13" s="38">
        <v>384</v>
      </c>
      <c r="D13" s="39">
        <v>0.17899999999999999</v>
      </c>
      <c r="E13" s="70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4.5" customHeight="1" x14ac:dyDescent="0.35">
      <c r="A14" s="8"/>
      <c r="B14" s="40" t="s">
        <v>46</v>
      </c>
      <c r="C14" s="38">
        <v>115</v>
      </c>
      <c r="D14" s="39">
        <v>5.3999999999999999E-2</v>
      </c>
      <c r="E14" s="70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4" ht="14.5" customHeight="1" x14ac:dyDescent="0.35">
      <c r="A15" s="8"/>
      <c r="B15" s="40" t="s">
        <v>47</v>
      </c>
      <c r="C15" s="38">
        <v>100</v>
      </c>
      <c r="D15" s="39">
        <v>4.7E-2</v>
      </c>
      <c r="E15" s="7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4" ht="14.5" customHeight="1" x14ac:dyDescent="0.35">
      <c r="A16" s="8"/>
      <c r="B16" s="40" t="s">
        <v>48</v>
      </c>
      <c r="C16" s="38">
        <v>91</v>
      </c>
      <c r="D16" s="39">
        <v>4.2000000000000003E-2</v>
      </c>
      <c r="E16" s="70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4.5" customHeight="1" x14ac:dyDescent="0.35">
      <c r="A17" s="8"/>
      <c r="B17" s="40" t="s">
        <v>49</v>
      </c>
      <c r="C17" s="38">
        <v>84</v>
      </c>
      <c r="D17" s="39">
        <v>3.9E-2</v>
      </c>
      <c r="E17" s="70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4.5" customHeight="1" x14ac:dyDescent="0.35">
      <c r="A18" s="8"/>
      <c r="B18" s="40" t="s">
        <v>50</v>
      </c>
      <c r="C18" s="38">
        <v>69</v>
      </c>
      <c r="D18" s="39">
        <v>3.2000000000000001E-2</v>
      </c>
      <c r="E18" s="70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4.5" customHeight="1" x14ac:dyDescent="0.35">
      <c r="A19" s="8"/>
      <c r="B19" s="40" t="s">
        <v>51</v>
      </c>
      <c r="C19" s="38">
        <v>53</v>
      </c>
      <c r="D19" s="39">
        <v>2.5000000000000001E-2</v>
      </c>
      <c r="E19" s="70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4.5" customHeight="1" x14ac:dyDescent="0.35">
      <c r="A20" s="8"/>
      <c r="B20" s="40" t="s">
        <v>52</v>
      </c>
      <c r="C20" s="38">
        <v>52</v>
      </c>
      <c r="D20" s="39">
        <v>2.4E-2</v>
      </c>
      <c r="E20" s="70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4.5" customHeight="1" x14ac:dyDescent="0.35">
      <c r="A21" s="8"/>
      <c r="B21" s="40" t="s">
        <v>53</v>
      </c>
      <c r="C21" s="38">
        <v>51</v>
      </c>
      <c r="D21" s="39">
        <v>2.4E-2</v>
      </c>
      <c r="E21" s="70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4.5" customHeight="1" x14ac:dyDescent="0.35">
      <c r="A22" s="8"/>
      <c r="B22" s="40" t="s">
        <v>54</v>
      </c>
      <c r="C22" s="38">
        <v>50</v>
      </c>
      <c r="D22" s="39">
        <v>2.3E-2</v>
      </c>
      <c r="E22" s="70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4.5" customHeight="1" x14ac:dyDescent="0.35">
      <c r="A23" s="8"/>
      <c r="B23" s="40" t="s">
        <v>55</v>
      </c>
      <c r="C23" s="38">
        <v>45</v>
      </c>
      <c r="D23" s="39">
        <v>2.1000000000000001E-2</v>
      </c>
      <c r="E23" s="7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4.5" customHeight="1" x14ac:dyDescent="0.35">
      <c r="A24" s="8"/>
      <c r="B24" s="40" t="s">
        <v>56</v>
      </c>
      <c r="C24" s="38">
        <v>38</v>
      </c>
      <c r="D24" s="39">
        <v>1.7999999999999999E-2</v>
      </c>
      <c r="E24" s="70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4.5" customHeight="1" x14ac:dyDescent="0.35">
      <c r="A25" s="8"/>
      <c r="B25" s="40" t="s">
        <v>57</v>
      </c>
      <c r="C25" s="38">
        <v>31</v>
      </c>
      <c r="D25" s="39">
        <v>1.4E-2</v>
      </c>
      <c r="E25" s="70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4.5" customHeight="1" x14ac:dyDescent="0.35">
      <c r="A26" s="8"/>
      <c r="B26" s="40" t="s">
        <v>58</v>
      </c>
      <c r="C26" s="38">
        <v>24</v>
      </c>
      <c r="D26" s="39">
        <v>1.0999999999999999E-2</v>
      </c>
      <c r="E26" s="70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4.5" customHeight="1" x14ac:dyDescent="0.35">
      <c r="A27" s="8"/>
      <c r="B27" s="40" t="s">
        <v>59</v>
      </c>
      <c r="C27" s="38">
        <v>23</v>
      </c>
      <c r="D27" s="39">
        <v>1.0999999999999999E-2</v>
      </c>
      <c r="E27" s="70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4.5" customHeight="1" x14ac:dyDescent="0.35">
      <c r="A28" s="8"/>
      <c r="B28" s="40" t="s">
        <v>60</v>
      </c>
      <c r="C28" s="38">
        <v>21</v>
      </c>
      <c r="D28" s="39">
        <v>0.01</v>
      </c>
      <c r="E28" s="7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4.5" customHeight="1" x14ac:dyDescent="0.35">
      <c r="A29" s="70"/>
      <c r="B29" s="40" t="s">
        <v>61</v>
      </c>
      <c r="C29" s="38">
        <v>18</v>
      </c>
      <c r="D29" s="39">
        <v>8.0000000000000002E-3</v>
      </c>
      <c r="E29" s="70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4.5" customHeight="1" x14ac:dyDescent="0.35">
      <c r="A30" s="70"/>
      <c r="B30" s="40" t="s">
        <v>62</v>
      </c>
      <c r="C30" s="38">
        <v>16</v>
      </c>
      <c r="D30" s="39">
        <v>7.0000000000000001E-3</v>
      </c>
      <c r="E30" s="7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4.5" customHeight="1" x14ac:dyDescent="0.35">
      <c r="A31" s="70"/>
      <c r="B31" s="40" t="s">
        <v>63</v>
      </c>
      <c r="C31" s="38">
        <v>15</v>
      </c>
      <c r="D31" s="39">
        <v>7.0000000000000001E-3</v>
      </c>
      <c r="E31" s="70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4.5" customHeight="1" x14ac:dyDescent="0.35">
      <c r="A32" s="70"/>
      <c r="B32" s="40" t="s">
        <v>64</v>
      </c>
      <c r="C32" s="38">
        <v>13</v>
      </c>
      <c r="D32" s="39">
        <v>6.0000000000000001E-3</v>
      </c>
      <c r="E32" s="70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4.5" customHeight="1" x14ac:dyDescent="0.35">
      <c r="A33" s="70"/>
      <c r="B33" s="40" t="s">
        <v>65</v>
      </c>
      <c r="C33" s="38">
        <v>12</v>
      </c>
      <c r="D33" s="39">
        <v>6.0000000000000001E-3</v>
      </c>
      <c r="E33" s="7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4.5" customHeight="1" x14ac:dyDescent="0.35">
      <c r="A34" s="70"/>
      <c r="B34" s="40" t="s">
        <v>66</v>
      </c>
      <c r="C34" s="38">
        <v>11</v>
      </c>
      <c r="D34" s="39">
        <v>5.0000000000000001E-3</v>
      </c>
      <c r="E34" s="70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4.5" customHeight="1" x14ac:dyDescent="0.35">
      <c r="A35" s="70"/>
      <c r="B35" s="40" t="s">
        <v>67</v>
      </c>
      <c r="C35" s="38">
        <v>11</v>
      </c>
      <c r="D35" s="39">
        <v>5.0000000000000001E-3</v>
      </c>
      <c r="E35" s="70"/>
    </row>
    <row r="36" spans="1:22" ht="14.5" customHeight="1" x14ac:dyDescent="0.35">
      <c r="A36" s="70"/>
      <c r="B36" s="40" t="s">
        <v>68</v>
      </c>
      <c r="C36" s="38">
        <v>10</v>
      </c>
      <c r="D36" s="39">
        <v>5.0000000000000001E-3</v>
      </c>
      <c r="E36" s="70"/>
    </row>
    <row r="37" spans="1:22" ht="14.5" customHeight="1" x14ac:dyDescent="0.35">
      <c r="A37" s="70"/>
      <c r="B37" s="40" t="s">
        <v>69</v>
      </c>
      <c r="C37" s="38">
        <v>10</v>
      </c>
      <c r="D37" s="39">
        <v>5.0000000000000001E-3</v>
      </c>
      <c r="E37" s="70"/>
    </row>
    <row r="38" spans="1:22" ht="14.5" customHeight="1" x14ac:dyDescent="0.35">
      <c r="A38" s="70"/>
      <c r="B38" s="40" t="s">
        <v>70</v>
      </c>
      <c r="C38" s="38">
        <v>9</v>
      </c>
      <c r="D38" s="39">
        <v>4.0000000000000001E-3</v>
      </c>
      <c r="E38" s="70"/>
    </row>
    <row r="39" spans="1:22" ht="14.5" customHeight="1" x14ac:dyDescent="0.35">
      <c r="A39" s="70"/>
      <c r="B39" s="40" t="s">
        <v>71</v>
      </c>
      <c r="C39" s="38">
        <v>8</v>
      </c>
      <c r="D39" s="39">
        <v>4.0000000000000001E-3</v>
      </c>
      <c r="E39" s="70"/>
    </row>
    <row r="40" spans="1:22" ht="14.5" customHeight="1" x14ac:dyDescent="0.35">
      <c r="A40" s="70"/>
      <c r="B40" s="40" t="s">
        <v>72</v>
      </c>
      <c r="C40" s="38">
        <v>8</v>
      </c>
      <c r="D40" s="39">
        <v>4.0000000000000001E-3</v>
      </c>
      <c r="E40" s="70"/>
    </row>
    <row r="41" spans="1:22" ht="14.5" customHeight="1" x14ac:dyDescent="0.35">
      <c r="A41" s="70"/>
      <c r="B41" s="40" t="s">
        <v>73</v>
      </c>
      <c r="C41" s="38">
        <v>8</v>
      </c>
      <c r="D41" s="39">
        <v>4.0000000000000001E-3</v>
      </c>
      <c r="E41" s="70"/>
    </row>
    <row r="42" spans="1:22" ht="14.5" customHeight="1" x14ac:dyDescent="0.35">
      <c r="A42" s="70"/>
      <c r="B42" s="40" t="s">
        <v>74</v>
      </c>
      <c r="C42" s="38">
        <v>8</v>
      </c>
      <c r="D42" s="39">
        <v>4.0000000000000001E-3</v>
      </c>
      <c r="E42" s="70"/>
    </row>
    <row r="43" spans="1:22" ht="14.5" customHeight="1" x14ac:dyDescent="0.35">
      <c r="A43" s="70"/>
      <c r="B43" s="40" t="s">
        <v>75</v>
      </c>
      <c r="C43" s="38">
        <v>7</v>
      </c>
      <c r="D43" s="39">
        <v>3.0000000000000001E-3</v>
      </c>
      <c r="E43" s="70"/>
    </row>
    <row r="44" spans="1:22" ht="14.5" customHeight="1" x14ac:dyDescent="0.35">
      <c r="A44" s="70"/>
      <c r="B44" s="40" t="s">
        <v>76</v>
      </c>
      <c r="C44" s="38">
        <v>7</v>
      </c>
      <c r="D44" s="39">
        <v>3.0000000000000001E-3</v>
      </c>
      <c r="E44" s="70"/>
    </row>
    <row r="45" spans="1:22" ht="14.5" customHeight="1" x14ac:dyDescent="0.35">
      <c r="A45" s="70"/>
      <c r="B45" s="40" t="s">
        <v>77</v>
      </c>
      <c r="C45" s="38">
        <v>6</v>
      </c>
      <c r="D45" s="39">
        <v>3.0000000000000001E-3</v>
      </c>
      <c r="E45" s="70"/>
    </row>
    <row r="46" spans="1:22" ht="14.5" customHeight="1" x14ac:dyDescent="0.35">
      <c r="A46" s="70"/>
      <c r="B46" s="40" t="s">
        <v>78</v>
      </c>
      <c r="C46" s="38">
        <v>6</v>
      </c>
      <c r="D46" s="39">
        <v>3.0000000000000001E-3</v>
      </c>
      <c r="E46" s="70"/>
    </row>
    <row r="47" spans="1:22" ht="14.5" customHeight="1" x14ac:dyDescent="0.35">
      <c r="A47" s="70"/>
      <c r="B47" s="40" t="s">
        <v>79</v>
      </c>
      <c r="C47" s="38">
        <v>6</v>
      </c>
      <c r="D47" s="39">
        <v>3.0000000000000001E-3</v>
      </c>
      <c r="E47" s="70"/>
    </row>
    <row r="48" spans="1:22" ht="14.5" customHeight="1" x14ac:dyDescent="0.35">
      <c r="A48" s="70"/>
      <c r="B48" s="40" t="s">
        <v>80</v>
      </c>
      <c r="C48" s="38">
        <v>5</v>
      </c>
      <c r="D48" s="39">
        <v>2E-3</v>
      </c>
      <c r="E48" s="70"/>
    </row>
    <row r="49" spans="1:5" ht="14.5" customHeight="1" x14ac:dyDescent="0.35">
      <c r="A49" s="70"/>
      <c r="B49" s="40" t="s">
        <v>81</v>
      </c>
      <c r="C49" s="38">
        <v>4</v>
      </c>
      <c r="D49" s="39">
        <v>2E-3</v>
      </c>
      <c r="E49" s="70"/>
    </row>
    <row r="50" spans="1:5" ht="14.5" customHeight="1" x14ac:dyDescent="0.35">
      <c r="A50" s="70"/>
      <c r="B50" s="40" t="s">
        <v>82</v>
      </c>
      <c r="C50" s="38">
        <v>3</v>
      </c>
      <c r="D50" s="39">
        <v>1E-3</v>
      </c>
      <c r="E50" s="70"/>
    </row>
    <row r="51" spans="1:5" ht="14.5" customHeight="1" x14ac:dyDescent="0.35">
      <c r="A51" s="70"/>
      <c r="B51" s="40" t="s">
        <v>83</v>
      </c>
      <c r="C51" s="38">
        <v>3</v>
      </c>
      <c r="D51" s="39">
        <v>1E-3</v>
      </c>
      <c r="E51" s="70"/>
    </row>
    <row r="52" spans="1:5" ht="14.5" customHeight="1" x14ac:dyDescent="0.35">
      <c r="A52" s="70"/>
      <c r="B52" s="40" t="s">
        <v>84</v>
      </c>
      <c r="C52" s="38">
        <v>2</v>
      </c>
      <c r="D52" s="39">
        <v>1E-3</v>
      </c>
      <c r="E52" s="70"/>
    </row>
    <row r="53" spans="1:5" ht="14.5" customHeight="1" x14ac:dyDescent="0.35">
      <c r="A53" s="70"/>
      <c r="B53" s="40" t="s">
        <v>85</v>
      </c>
      <c r="C53" s="38">
        <v>2</v>
      </c>
      <c r="D53" s="39">
        <v>1E-3</v>
      </c>
      <c r="E53" s="70"/>
    </row>
    <row r="54" spans="1:5" ht="14.5" customHeight="1" x14ac:dyDescent="0.35">
      <c r="A54" s="70"/>
      <c r="B54" s="40" t="s">
        <v>86</v>
      </c>
      <c r="C54" s="38">
        <v>2</v>
      </c>
      <c r="D54" s="39">
        <v>1E-3</v>
      </c>
      <c r="E54" s="70"/>
    </row>
    <row r="55" spans="1:5" ht="14.5" customHeight="1" x14ac:dyDescent="0.35">
      <c r="A55" s="70"/>
      <c r="B55" s="40" t="s">
        <v>87</v>
      </c>
      <c r="C55" s="38">
        <v>2</v>
      </c>
      <c r="D55" s="39">
        <v>1E-3</v>
      </c>
      <c r="E55" s="70"/>
    </row>
    <row r="56" spans="1:5" ht="14.5" customHeight="1" x14ac:dyDescent="0.35">
      <c r="A56" s="70"/>
      <c r="B56" s="47" t="s">
        <v>25</v>
      </c>
      <c r="C56" s="48">
        <v>2146</v>
      </c>
      <c r="D56" s="49">
        <v>1</v>
      </c>
      <c r="E56" s="70"/>
    </row>
    <row r="57" spans="1:5" x14ac:dyDescent="0.35">
      <c r="A57" s="70"/>
      <c r="B57" s="11"/>
      <c r="D57" s="71"/>
      <c r="E57" s="70"/>
    </row>
    <row r="58" spans="1:5" x14ac:dyDescent="0.35">
      <c r="A58" s="70"/>
      <c r="B58" s="9" t="s">
        <v>127</v>
      </c>
      <c r="D58" s="72"/>
      <c r="E58" s="70"/>
    </row>
    <row r="59" spans="1:5" x14ac:dyDescent="0.35">
      <c r="A59" s="70"/>
      <c r="B59" s="10" t="s">
        <v>21</v>
      </c>
    </row>
    <row r="60" spans="1:5" x14ac:dyDescent="0.35">
      <c r="A60" s="70"/>
      <c r="B60" s="11" t="s">
        <v>128</v>
      </c>
    </row>
    <row r="61" spans="1:5" x14ac:dyDescent="0.35">
      <c r="A61" s="70"/>
      <c r="B61" s="9" t="s">
        <v>22</v>
      </c>
    </row>
    <row r="62" spans="1:5" x14ac:dyDescent="0.35">
      <c r="A62" s="70"/>
      <c r="B62" s="9" t="s">
        <v>129</v>
      </c>
    </row>
  </sheetData>
  <mergeCells count="4">
    <mergeCell ref="B7:D9"/>
    <mergeCell ref="A29:A62"/>
    <mergeCell ref="E10:E58"/>
    <mergeCell ref="D57:D5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4:D29"/>
  <sheetViews>
    <sheetView showGridLines="0" tabSelected="1" view="pageBreakPreview" topLeftCell="A8" zoomScale="124" zoomScaleNormal="100" zoomScaleSheetLayoutView="124" workbookViewId="0">
      <selection activeCell="D12" sqref="D12:D21"/>
    </sheetView>
  </sheetViews>
  <sheetFormatPr baseColWidth="10" defaultRowHeight="14.5" x14ac:dyDescent="0.35"/>
  <cols>
    <col min="2" max="2" width="19.81640625" customWidth="1"/>
    <col min="3" max="3" width="19" customWidth="1"/>
    <col min="4" max="4" width="17.1796875" customWidth="1"/>
  </cols>
  <sheetData>
    <row r="4" spans="2:4" ht="30.5" customHeight="1" x14ac:dyDescent="0.35"/>
    <row r="7" spans="2:4" x14ac:dyDescent="0.35">
      <c r="B7" s="68" t="s">
        <v>24</v>
      </c>
      <c r="C7" s="68"/>
      <c r="D7" s="68"/>
    </row>
    <row r="8" spans="2:4" x14ac:dyDescent="0.35">
      <c r="B8" s="68"/>
      <c r="C8" s="68"/>
      <c r="D8" s="68"/>
    </row>
    <row r="9" spans="2:4" x14ac:dyDescent="0.35">
      <c r="B9" s="68"/>
      <c r="C9" s="68"/>
      <c r="D9" s="68"/>
    </row>
    <row r="11" spans="2:4" ht="28" x14ac:dyDescent="0.35">
      <c r="B11" s="1" t="s">
        <v>23</v>
      </c>
      <c r="C11" s="2" t="s">
        <v>19</v>
      </c>
      <c r="D11" s="3" t="s">
        <v>20</v>
      </c>
    </row>
    <row r="12" spans="2:4" ht="14.5" customHeight="1" x14ac:dyDescent="0.35">
      <c r="B12" s="40" t="s">
        <v>44</v>
      </c>
      <c r="C12" s="41">
        <v>703</v>
      </c>
      <c r="D12" s="4">
        <f>C12/$C$22</f>
        <v>0.41304347826086957</v>
      </c>
    </row>
    <row r="13" spans="2:4" ht="14.5" customHeight="1" x14ac:dyDescent="0.35">
      <c r="B13" s="42" t="s">
        <v>45</v>
      </c>
      <c r="C13" s="43">
        <v>384</v>
      </c>
      <c r="D13" s="4">
        <f>C13/$C$22</f>
        <v>0.22561692126909519</v>
      </c>
    </row>
    <row r="14" spans="2:4" ht="14.5" customHeight="1" x14ac:dyDescent="0.35">
      <c r="B14" s="42" t="s">
        <v>46</v>
      </c>
      <c r="C14" s="43">
        <v>115</v>
      </c>
      <c r="D14" s="4">
        <f t="shared" ref="D14:D21" si="0">C14/$C$22</f>
        <v>6.7567567567567571E-2</v>
      </c>
    </row>
    <row r="15" spans="2:4" ht="14.5" customHeight="1" x14ac:dyDescent="0.35">
      <c r="B15" s="42" t="s">
        <v>47</v>
      </c>
      <c r="C15" s="43">
        <v>100</v>
      </c>
      <c r="D15" s="4">
        <f t="shared" si="0"/>
        <v>5.8754406580493537E-2</v>
      </c>
    </row>
    <row r="16" spans="2:4" ht="14.5" customHeight="1" x14ac:dyDescent="0.35">
      <c r="B16" s="42" t="s">
        <v>48</v>
      </c>
      <c r="C16" s="43">
        <v>91</v>
      </c>
      <c r="D16" s="4">
        <f t="shared" si="0"/>
        <v>5.3466509988249117E-2</v>
      </c>
    </row>
    <row r="17" spans="2:4" ht="14.5" customHeight="1" x14ac:dyDescent="0.35">
      <c r="B17" s="42" t="s">
        <v>49</v>
      </c>
      <c r="C17" s="43">
        <v>84</v>
      </c>
      <c r="D17" s="4">
        <f>C17/$C$22</f>
        <v>4.935370152761457E-2</v>
      </c>
    </row>
    <row r="18" spans="2:4" ht="14.5" customHeight="1" x14ac:dyDescent="0.35">
      <c r="B18" s="42" t="s">
        <v>50</v>
      </c>
      <c r="C18" s="43">
        <v>69</v>
      </c>
      <c r="D18" s="4">
        <f t="shared" si="0"/>
        <v>4.0540540540540543E-2</v>
      </c>
    </row>
    <row r="19" spans="2:4" ht="14.5" customHeight="1" x14ac:dyDescent="0.35">
      <c r="B19" s="42" t="s">
        <v>51</v>
      </c>
      <c r="C19" s="43">
        <v>53</v>
      </c>
      <c r="D19" s="4">
        <f t="shared" si="0"/>
        <v>3.1139835487661575E-2</v>
      </c>
    </row>
    <row r="20" spans="2:4" ht="14.5" customHeight="1" x14ac:dyDescent="0.35">
      <c r="B20" s="42" t="s">
        <v>52</v>
      </c>
      <c r="C20" s="43">
        <v>52</v>
      </c>
      <c r="D20" s="4">
        <f t="shared" si="0"/>
        <v>3.0552291421856639E-2</v>
      </c>
    </row>
    <row r="21" spans="2:4" ht="14.5" customHeight="1" x14ac:dyDescent="0.35">
      <c r="B21" s="42" t="s">
        <v>53</v>
      </c>
      <c r="C21" s="43">
        <v>51</v>
      </c>
      <c r="D21" s="4">
        <f t="shared" si="0"/>
        <v>2.9964747356051705E-2</v>
      </c>
    </row>
    <row r="22" spans="2:4" ht="14.5" customHeight="1" x14ac:dyDescent="0.35">
      <c r="B22" s="5" t="s">
        <v>41</v>
      </c>
      <c r="C22" s="6">
        <f>SUM(C12:C21)</f>
        <v>1702</v>
      </c>
      <c r="D22" s="7">
        <f t="shared" ref="D22" si="1">C22/$C$22</f>
        <v>1</v>
      </c>
    </row>
    <row r="23" spans="2:4" ht="14.5" customHeight="1" x14ac:dyDescent="0.45">
      <c r="B23" s="5" t="s">
        <v>42</v>
      </c>
      <c r="C23" s="44">
        <v>2146</v>
      </c>
      <c r="D23" s="31"/>
    </row>
    <row r="24" spans="2:4" ht="14.5" customHeight="1" x14ac:dyDescent="0.35">
      <c r="B24" s="11"/>
    </row>
    <row r="25" spans="2:4" ht="14.5" customHeight="1" x14ac:dyDescent="0.35">
      <c r="B25" s="9" t="s">
        <v>127</v>
      </c>
    </row>
    <row r="26" spans="2:4" ht="14.5" customHeight="1" x14ac:dyDescent="0.35">
      <c r="B26" s="10" t="s">
        <v>21</v>
      </c>
    </row>
    <row r="27" spans="2:4" ht="14.5" customHeight="1" x14ac:dyDescent="0.35">
      <c r="B27" s="11" t="s">
        <v>128</v>
      </c>
    </row>
    <row r="28" spans="2:4" ht="14.5" customHeight="1" x14ac:dyDescent="0.35">
      <c r="B28" s="9" t="s">
        <v>22</v>
      </c>
    </row>
    <row r="29" spans="2:4" ht="14.5" customHeight="1" x14ac:dyDescent="0.35">
      <c r="B29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4:D105"/>
  <sheetViews>
    <sheetView showGridLines="0" view="pageBreakPreview" topLeftCell="A89" zoomScale="116" zoomScaleNormal="100" zoomScaleSheetLayoutView="116" workbookViewId="0">
      <selection activeCell="C105" sqref="C105"/>
    </sheetView>
  </sheetViews>
  <sheetFormatPr baseColWidth="10" defaultRowHeight="14.5" x14ac:dyDescent="0.35"/>
  <cols>
    <col min="2" max="2" width="22.54296875" customWidth="1"/>
    <col min="3" max="3" width="19.1796875" customWidth="1"/>
    <col min="4" max="4" width="20.26953125" customWidth="1"/>
    <col min="5" max="5" width="9.6328125" customWidth="1"/>
  </cols>
  <sheetData>
    <row r="4" spans="2:4" ht="30.5" customHeight="1" x14ac:dyDescent="0.35"/>
    <row r="5" spans="2:4" ht="21.75" customHeight="1" x14ac:dyDescent="0.35"/>
    <row r="6" spans="2:4" ht="16.5" customHeight="1" x14ac:dyDescent="0.35"/>
    <row r="7" spans="2:4" x14ac:dyDescent="0.35">
      <c r="B7" s="68" t="s">
        <v>280</v>
      </c>
      <c r="C7" s="68"/>
      <c r="D7" s="68"/>
    </row>
    <row r="8" spans="2:4" x14ac:dyDescent="0.35">
      <c r="B8" s="68"/>
      <c r="C8" s="68"/>
      <c r="D8" s="68"/>
    </row>
    <row r="9" spans="2:4" x14ac:dyDescent="0.35">
      <c r="B9" s="68"/>
      <c r="C9" s="68"/>
      <c r="D9" s="68"/>
    </row>
    <row r="11" spans="2:4" ht="28" x14ac:dyDescent="0.35">
      <c r="B11" s="45" t="s">
        <v>26</v>
      </c>
      <c r="C11" s="46" t="s">
        <v>19</v>
      </c>
      <c r="D11" s="45" t="s">
        <v>20</v>
      </c>
    </row>
    <row r="12" spans="2:4" x14ac:dyDescent="0.35">
      <c r="B12" s="37" t="s">
        <v>134</v>
      </c>
      <c r="C12" s="38">
        <v>445</v>
      </c>
      <c r="D12" s="39">
        <v>0.20736253494874199</v>
      </c>
    </row>
    <row r="13" spans="2:4" x14ac:dyDescent="0.35">
      <c r="B13" s="37" t="s">
        <v>141</v>
      </c>
      <c r="C13" s="38">
        <v>439</v>
      </c>
      <c r="D13" s="39">
        <v>0.20456663560111801</v>
      </c>
    </row>
    <row r="14" spans="2:4" x14ac:dyDescent="0.35">
      <c r="B14" s="37" t="s">
        <v>136</v>
      </c>
      <c r="C14" s="38">
        <v>131</v>
      </c>
      <c r="D14" s="39">
        <v>6.1043802423112997E-2</v>
      </c>
    </row>
    <row r="15" spans="2:4" x14ac:dyDescent="0.35">
      <c r="B15" s="37" t="s">
        <v>139</v>
      </c>
      <c r="C15" s="38">
        <v>117</v>
      </c>
      <c r="D15" s="39">
        <v>5.4520037278658E-2</v>
      </c>
    </row>
    <row r="16" spans="2:4" x14ac:dyDescent="0.35">
      <c r="B16" s="37" t="s">
        <v>178</v>
      </c>
      <c r="C16" s="38">
        <v>100</v>
      </c>
      <c r="D16" s="39">
        <v>4.6598322460391001E-2</v>
      </c>
    </row>
    <row r="17" spans="2:4" x14ac:dyDescent="0.35">
      <c r="B17" s="37" t="s">
        <v>133</v>
      </c>
      <c r="C17" s="38">
        <v>86</v>
      </c>
      <c r="D17" s="39">
        <v>4.0074557315937002E-2</v>
      </c>
    </row>
    <row r="18" spans="2:4" x14ac:dyDescent="0.35">
      <c r="B18" s="37" t="s">
        <v>145</v>
      </c>
      <c r="C18" s="38">
        <v>52</v>
      </c>
      <c r="D18" s="39">
        <v>2.4231127679404E-2</v>
      </c>
    </row>
    <row r="19" spans="2:4" x14ac:dyDescent="0.35">
      <c r="B19" s="37" t="s">
        <v>152</v>
      </c>
      <c r="C19" s="38">
        <v>52</v>
      </c>
      <c r="D19" s="39">
        <v>2.4231127679404E-2</v>
      </c>
    </row>
    <row r="20" spans="2:4" x14ac:dyDescent="0.35">
      <c r="B20" s="37" t="s">
        <v>137</v>
      </c>
      <c r="C20" s="38">
        <v>49</v>
      </c>
      <c r="D20" s="39">
        <v>2.2833178005592002E-2</v>
      </c>
    </row>
    <row r="21" spans="2:4" x14ac:dyDescent="0.35">
      <c r="B21" s="37" t="s">
        <v>167</v>
      </c>
      <c r="C21" s="38">
        <v>46</v>
      </c>
      <c r="D21" s="39">
        <v>2.143522833178E-2</v>
      </c>
    </row>
    <row r="22" spans="2:4" x14ac:dyDescent="0.35">
      <c r="B22" s="37" t="s">
        <v>148</v>
      </c>
      <c r="C22" s="38">
        <v>38</v>
      </c>
      <c r="D22" s="39">
        <v>1.7707362534948999E-2</v>
      </c>
    </row>
    <row r="23" spans="2:4" x14ac:dyDescent="0.35">
      <c r="B23" s="37" t="s">
        <v>205</v>
      </c>
      <c r="C23" s="38">
        <v>34</v>
      </c>
      <c r="D23" s="39">
        <v>1.5843429636532999E-2</v>
      </c>
    </row>
    <row r="24" spans="2:4" x14ac:dyDescent="0.35">
      <c r="B24" s="37" t="s">
        <v>204</v>
      </c>
      <c r="C24" s="38">
        <v>33</v>
      </c>
      <c r="D24" s="39">
        <v>1.5377446411929001E-2</v>
      </c>
    </row>
    <row r="25" spans="2:4" x14ac:dyDescent="0.35">
      <c r="B25" s="37" t="s">
        <v>185</v>
      </c>
      <c r="C25" s="38">
        <v>29</v>
      </c>
      <c r="D25" s="39">
        <v>1.3513513513514E-2</v>
      </c>
    </row>
    <row r="26" spans="2:4" x14ac:dyDescent="0.35">
      <c r="B26" s="37" t="s">
        <v>176</v>
      </c>
      <c r="C26" s="38">
        <v>28</v>
      </c>
      <c r="D26" s="39">
        <v>1.304753028891E-2</v>
      </c>
    </row>
    <row r="27" spans="2:4" x14ac:dyDescent="0.35">
      <c r="B27" s="37" t="s">
        <v>172</v>
      </c>
      <c r="C27" s="38">
        <v>26</v>
      </c>
      <c r="D27" s="39">
        <v>1.2115563839702E-2</v>
      </c>
    </row>
    <row r="28" spans="2:4" x14ac:dyDescent="0.35">
      <c r="B28" s="37" t="s">
        <v>195</v>
      </c>
      <c r="C28" s="38">
        <v>26</v>
      </c>
      <c r="D28" s="39">
        <v>1.2115563839702E-2</v>
      </c>
    </row>
    <row r="29" spans="2:4" x14ac:dyDescent="0.35">
      <c r="B29" s="37" t="s">
        <v>150</v>
      </c>
      <c r="C29" s="38">
        <v>20</v>
      </c>
      <c r="D29" s="39">
        <v>9.3196644920779999E-3</v>
      </c>
    </row>
    <row r="30" spans="2:4" x14ac:dyDescent="0.35">
      <c r="B30" s="37" t="s">
        <v>207</v>
      </c>
      <c r="C30" s="38">
        <v>18</v>
      </c>
      <c r="D30" s="39">
        <v>8.3876980428699999E-3</v>
      </c>
    </row>
    <row r="31" spans="2:4" x14ac:dyDescent="0.35">
      <c r="B31" s="37" t="s">
        <v>158</v>
      </c>
      <c r="C31" s="38">
        <v>17</v>
      </c>
      <c r="D31" s="39">
        <v>7.9217148182669991E-3</v>
      </c>
    </row>
    <row r="32" spans="2:4" x14ac:dyDescent="0.35">
      <c r="B32" s="37" t="s">
        <v>177</v>
      </c>
      <c r="C32" s="38">
        <v>17</v>
      </c>
      <c r="D32" s="39">
        <v>7.9217148182669991E-3</v>
      </c>
    </row>
    <row r="33" spans="2:4" x14ac:dyDescent="0.35">
      <c r="B33" s="37" t="s">
        <v>169</v>
      </c>
      <c r="C33" s="38">
        <v>16</v>
      </c>
      <c r="D33" s="39">
        <v>7.455731593663E-3</v>
      </c>
    </row>
    <row r="34" spans="2:4" x14ac:dyDescent="0.35">
      <c r="B34" s="37" t="s">
        <v>140</v>
      </c>
      <c r="C34" s="38">
        <v>15</v>
      </c>
      <c r="D34" s="39">
        <v>6.989748369059E-3</v>
      </c>
    </row>
    <row r="35" spans="2:4" x14ac:dyDescent="0.35">
      <c r="B35" s="37" t="s">
        <v>192</v>
      </c>
      <c r="C35" s="38">
        <v>15</v>
      </c>
      <c r="D35" s="39">
        <v>6.989748369059E-3</v>
      </c>
    </row>
    <row r="36" spans="2:4" x14ac:dyDescent="0.35">
      <c r="B36" s="37" t="s">
        <v>187</v>
      </c>
      <c r="C36" s="38">
        <v>14</v>
      </c>
      <c r="D36" s="39">
        <v>6.523765144455E-3</v>
      </c>
    </row>
    <row r="37" spans="2:4" x14ac:dyDescent="0.35">
      <c r="B37" s="37" t="s">
        <v>143</v>
      </c>
      <c r="C37" s="38">
        <v>14</v>
      </c>
      <c r="D37" s="39">
        <v>6.523765144455E-3</v>
      </c>
    </row>
    <row r="38" spans="2:4" x14ac:dyDescent="0.35">
      <c r="B38" s="37" t="s">
        <v>199</v>
      </c>
      <c r="C38" s="38">
        <v>13</v>
      </c>
      <c r="D38" s="39">
        <v>6.057781919851E-3</v>
      </c>
    </row>
    <row r="39" spans="2:4" x14ac:dyDescent="0.35">
      <c r="B39" s="37" t="s">
        <v>142</v>
      </c>
      <c r="C39" s="38">
        <v>13</v>
      </c>
      <c r="D39" s="39">
        <v>6.057781919851E-3</v>
      </c>
    </row>
    <row r="40" spans="2:4" x14ac:dyDescent="0.35">
      <c r="B40" s="37" t="s">
        <v>164</v>
      </c>
      <c r="C40" s="38">
        <v>12</v>
      </c>
      <c r="D40" s="39">
        <v>5.591798695247E-3</v>
      </c>
    </row>
    <row r="41" spans="2:4" x14ac:dyDescent="0.35">
      <c r="B41" s="37" t="s">
        <v>182</v>
      </c>
      <c r="C41" s="38">
        <v>12</v>
      </c>
      <c r="D41" s="39">
        <v>5.591798695247E-3</v>
      </c>
    </row>
    <row r="42" spans="2:4" x14ac:dyDescent="0.35">
      <c r="B42" s="37" t="s">
        <v>174</v>
      </c>
      <c r="C42" s="38">
        <v>11</v>
      </c>
      <c r="D42" s="39">
        <v>5.125815470643E-3</v>
      </c>
    </row>
    <row r="43" spans="2:4" x14ac:dyDescent="0.35">
      <c r="B43" s="37" t="s">
        <v>203</v>
      </c>
      <c r="C43" s="38">
        <v>10</v>
      </c>
      <c r="D43" s="39">
        <v>4.659832246039E-3</v>
      </c>
    </row>
    <row r="44" spans="2:4" x14ac:dyDescent="0.35">
      <c r="B44" s="37" t="s">
        <v>170</v>
      </c>
      <c r="C44" s="38">
        <v>9</v>
      </c>
      <c r="D44" s="39">
        <v>4.193849021435E-3</v>
      </c>
    </row>
    <row r="45" spans="2:4" x14ac:dyDescent="0.35">
      <c r="B45" s="37" t="s">
        <v>193</v>
      </c>
      <c r="C45" s="38">
        <v>9</v>
      </c>
      <c r="D45" s="39">
        <v>4.193849021435E-3</v>
      </c>
    </row>
    <row r="46" spans="2:4" x14ac:dyDescent="0.35">
      <c r="B46" s="37" t="s">
        <v>196</v>
      </c>
      <c r="C46" s="38">
        <v>9</v>
      </c>
      <c r="D46" s="39">
        <v>4.193849021435E-3</v>
      </c>
    </row>
    <row r="47" spans="2:4" x14ac:dyDescent="0.35">
      <c r="B47" s="37" t="s">
        <v>153</v>
      </c>
      <c r="C47" s="38">
        <v>8</v>
      </c>
      <c r="D47" s="39">
        <v>3.727865796831E-3</v>
      </c>
    </row>
    <row r="48" spans="2:4" x14ac:dyDescent="0.35">
      <c r="B48" s="37" t="s">
        <v>168</v>
      </c>
      <c r="C48" s="38">
        <v>8</v>
      </c>
      <c r="D48" s="39">
        <v>3.727865796831E-3</v>
      </c>
    </row>
    <row r="49" spans="2:4" x14ac:dyDescent="0.35">
      <c r="B49" s="37" t="s">
        <v>179</v>
      </c>
      <c r="C49" s="38">
        <v>8</v>
      </c>
      <c r="D49" s="39">
        <v>3.727865796831E-3</v>
      </c>
    </row>
    <row r="50" spans="2:4" x14ac:dyDescent="0.35">
      <c r="B50" s="37" t="s">
        <v>149</v>
      </c>
      <c r="C50" s="38">
        <v>7</v>
      </c>
      <c r="D50" s="39">
        <v>3.261882572227E-3</v>
      </c>
    </row>
    <row r="51" spans="2:4" x14ac:dyDescent="0.35">
      <c r="B51" s="37" t="s">
        <v>154</v>
      </c>
      <c r="C51" s="38">
        <v>7</v>
      </c>
      <c r="D51" s="39">
        <v>3.261882572227E-3</v>
      </c>
    </row>
    <row r="52" spans="2:4" x14ac:dyDescent="0.35">
      <c r="B52" s="37" t="s">
        <v>197</v>
      </c>
      <c r="C52" s="38">
        <v>7</v>
      </c>
      <c r="D52" s="39">
        <v>3.261882572227E-3</v>
      </c>
    </row>
    <row r="53" spans="2:4" x14ac:dyDescent="0.35">
      <c r="B53" s="37" t="s">
        <v>202</v>
      </c>
      <c r="C53" s="38">
        <v>7</v>
      </c>
      <c r="D53" s="39">
        <v>3.261882572227E-3</v>
      </c>
    </row>
    <row r="54" spans="2:4" x14ac:dyDescent="0.35">
      <c r="B54" s="37" t="s">
        <v>213</v>
      </c>
      <c r="C54" s="38">
        <v>7</v>
      </c>
      <c r="D54" s="39">
        <v>3.261882572227E-3</v>
      </c>
    </row>
    <row r="55" spans="2:4" x14ac:dyDescent="0.35">
      <c r="B55" s="37" t="s">
        <v>190</v>
      </c>
      <c r="C55" s="38">
        <v>6</v>
      </c>
      <c r="D55" s="39">
        <v>2.795899347623E-3</v>
      </c>
    </row>
    <row r="56" spans="2:4" x14ac:dyDescent="0.35">
      <c r="B56" s="37" t="s">
        <v>194</v>
      </c>
      <c r="C56" s="38">
        <v>6</v>
      </c>
      <c r="D56" s="39">
        <v>2.795899347623E-3</v>
      </c>
    </row>
    <row r="57" spans="2:4" x14ac:dyDescent="0.35">
      <c r="B57" s="37" t="s">
        <v>138</v>
      </c>
      <c r="C57" s="38">
        <v>5</v>
      </c>
      <c r="D57" s="39">
        <v>2.32991612302E-3</v>
      </c>
    </row>
    <row r="58" spans="2:4" x14ac:dyDescent="0.35">
      <c r="B58" s="37" t="s">
        <v>184</v>
      </c>
      <c r="C58" s="38">
        <v>5</v>
      </c>
      <c r="D58" s="39">
        <v>2.32991612302E-3</v>
      </c>
    </row>
    <row r="59" spans="2:4" x14ac:dyDescent="0.35">
      <c r="B59" s="37" t="s">
        <v>191</v>
      </c>
      <c r="C59" s="38">
        <v>5</v>
      </c>
      <c r="D59" s="39">
        <v>2.32991612302E-3</v>
      </c>
    </row>
    <row r="60" spans="2:4" x14ac:dyDescent="0.35">
      <c r="B60" s="37" t="s">
        <v>144</v>
      </c>
      <c r="C60" s="38">
        <v>4</v>
      </c>
      <c r="D60" s="39">
        <v>1.863932898416E-3</v>
      </c>
    </row>
    <row r="61" spans="2:4" x14ac:dyDescent="0.35">
      <c r="B61" s="37" t="s">
        <v>146</v>
      </c>
      <c r="C61" s="38">
        <v>4</v>
      </c>
      <c r="D61" s="39">
        <v>1.863932898416E-3</v>
      </c>
    </row>
    <row r="62" spans="2:4" x14ac:dyDescent="0.35">
      <c r="B62" s="37" t="s">
        <v>155</v>
      </c>
      <c r="C62" s="38">
        <v>4</v>
      </c>
      <c r="D62" s="39">
        <v>1.863932898416E-3</v>
      </c>
    </row>
    <row r="63" spans="2:4" x14ac:dyDescent="0.35">
      <c r="B63" s="37" t="s">
        <v>163</v>
      </c>
      <c r="C63" s="38">
        <v>4</v>
      </c>
      <c r="D63" s="39">
        <v>1.863932898416E-3</v>
      </c>
    </row>
    <row r="64" spans="2:4" x14ac:dyDescent="0.35">
      <c r="B64" s="37" t="s">
        <v>173</v>
      </c>
      <c r="C64" s="38">
        <v>4</v>
      </c>
      <c r="D64" s="39">
        <v>1.863932898416E-3</v>
      </c>
    </row>
    <row r="65" spans="2:4" x14ac:dyDescent="0.35">
      <c r="B65" s="37" t="s">
        <v>181</v>
      </c>
      <c r="C65" s="38">
        <v>4</v>
      </c>
      <c r="D65" s="39">
        <v>1.863932898416E-3</v>
      </c>
    </row>
    <row r="66" spans="2:4" x14ac:dyDescent="0.35">
      <c r="B66" s="37" t="s">
        <v>186</v>
      </c>
      <c r="C66" s="38">
        <v>4</v>
      </c>
      <c r="D66" s="39">
        <v>1.863932898416E-3</v>
      </c>
    </row>
    <row r="67" spans="2:4" x14ac:dyDescent="0.35">
      <c r="B67" s="37" t="s">
        <v>208</v>
      </c>
      <c r="C67" s="38">
        <v>4</v>
      </c>
      <c r="D67" s="39">
        <v>1.863932898416E-3</v>
      </c>
    </row>
    <row r="68" spans="2:4" x14ac:dyDescent="0.35">
      <c r="B68" s="37" t="s">
        <v>132</v>
      </c>
      <c r="C68" s="38">
        <v>3</v>
      </c>
      <c r="D68" s="39">
        <v>1.397949673812E-3</v>
      </c>
    </row>
    <row r="69" spans="2:4" x14ac:dyDescent="0.35">
      <c r="B69" s="37" t="s">
        <v>156</v>
      </c>
      <c r="C69" s="38">
        <v>3</v>
      </c>
      <c r="D69" s="39">
        <v>1.397949673812E-3</v>
      </c>
    </row>
    <row r="70" spans="2:4" x14ac:dyDescent="0.35">
      <c r="B70" s="37" t="s">
        <v>166</v>
      </c>
      <c r="C70" s="38">
        <v>3</v>
      </c>
      <c r="D70" s="39">
        <v>1.397949673812E-3</v>
      </c>
    </row>
    <row r="71" spans="2:4" x14ac:dyDescent="0.35">
      <c r="B71" s="37" t="s">
        <v>175</v>
      </c>
      <c r="C71" s="38">
        <v>3</v>
      </c>
      <c r="D71" s="39">
        <v>1.397949673812E-3</v>
      </c>
    </row>
    <row r="72" spans="2:4" x14ac:dyDescent="0.35">
      <c r="B72" s="37" t="s">
        <v>211</v>
      </c>
      <c r="C72" s="38">
        <v>3</v>
      </c>
      <c r="D72" s="39">
        <v>1.397949673812E-3</v>
      </c>
    </row>
    <row r="73" spans="2:4" x14ac:dyDescent="0.35">
      <c r="B73" s="37" t="s">
        <v>183</v>
      </c>
      <c r="C73" s="38">
        <v>3</v>
      </c>
      <c r="D73" s="39">
        <v>1.397949673812E-3</v>
      </c>
    </row>
    <row r="74" spans="2:4" x14ac:dyDescent="0.35">
      <c r="B74" s="37" t="s">
        <v>188</v>
      </c>
      <c r="C74" s="38">
        <v>3</v>
      </c>
      <c r="D74" s="39">
        <v>1.397949673812E-3</v>
      </c>
    </row>
    <row r="75" spans="2:4" x14ac:dyDescent="0.35">
      <c r="B75" s="37" t="s">
        <v>151</v>
      </c>
      <c r="C75" s="38">
        <v>2</v>
      </c>
      <c r="D75" s="39">
        <v>9.3196644920800001E-4</v>
      </c>
    </row>
    <row r="76" spans="2:4" x14ac:dyDescent="0.35">
      <c r="B76" s="37" t="s">
        <v>157</v>
      </c>
      <c r="C76" s="38">
        <v>2</v>
      </c>
      <c r="D76" s="39">
        <v>9.3196644920800001E-4</v>
      </c>
    </row>
    <row r="77" spans="2:4" x14ac:dyDescent="0.35">
      <c r="B77" s="37" t="s">
        <v>159</v>
      </c>
      <c r="C77" s="38">
        <v>2</v>
      </c>
      <c r="D77" s="39">
        <v>9.3196644920800001E-4</v>
      </c>
    </row>
    <row r="78" spans="2:4" x14ac:dyDescent="0.35">
      <c r="B78" s="37" t="s">
        <v>161</v>
      </c>
      <c r="C78" s="38">
        <v>2</v>
      </c>
      <c r="D78" s="39">
        <v>9.3196644920800001E-4</v>
      </c>
    </row>
    <row r="79" spans="2:4" x14ac:dyDescent="0.35">
      <c r="B79" s="37" t="s">
        <v>162</v>
      </c>
      <c r="C79" s="38">
        <v>2</v>
      </c>
      <c r="D79" s="39">
        <v>9.3196644920800001E-4</v>
      </c>
    </row>
    <row r="80" spans="2:4" x14ac:dyDescent="0.35">
      <c r="B80" s="37" t="s">
        <v>210</v>
      </c>
      <c r="C80" s="38">
        <v>2</v>
      </c>
      <c r="D80" s="39">
        <v>9.3196644920800001E-4</v>
      </c>
    </row>
    <row r="81" spans="2:4" x14ac:dyDescent="0.35">
      <c r="B81" s="37" t="s">
        <v>135</v>
      </c>
      <c r="C81" s="38">
        <v>2</v>
      </c>
      <c r="D81" s="39">
        <v>9.3196644920800001E-4</v>
      </c>
    </row>
    <row r="82" spans="2:4" x14ac:dyDescent="0.35">
      <c r="B82" s="37" t="s">
        <v>200</v>
      </c>
      <c r="C82" s="38">
        <v>2</v>
      </c>
      <c r="D82" s="39">
        <v>9.3196644920800001E-4</v>
      </c>
    </row>
    <row r="83" spans="2:4" x14ac:dyDescent="0.35">
      <c r="B83" s="37" t="s">
        <v>147</v>
      </c>
      <c r="C83" s="38">
        <v>1</v>
      </c>
      <c r="D83" s="39">
        <v>4.65983224604E-4</v>
      </c>
    </row>
    <row r="84" spans="2:4" x14ac:dyDescent="0.35">
      <c r="B84" s="37" t="s">
        <v>160</v>
      </c>
      <c r="C84" s="38">
        <v>1</v>
      </c>
      <c r="D84" s="39">
        <v>4.65983224604E-4</v>
      </c>
    </row>
    <row r="85" spans="2:4" x14ac:dyDescent="0.35">
      <c r="B85" s="37" t="s">
        <v>165</v>
      </c>
      <c r="C85" s="38">
        <v>1</v>
      </c>
      <c r="D85" s="39">
        <v>4.65983224604E-4</v>
      </c>
    </row>
    <row r="86" spans="2:4" x14ac:dyDescent="0.35">
      <c r="B86" s="37" t="s">
        <v>171</v>
      </c>
      <c r="C86" s="38">
        <v>1</v>
      </c>
      <c r="D86" s="39">
        <v>4.65983224604E-4</v>
      </c>
    </row>
    <row r="87" spans="2:4" x14ac:dyDescent="0.35">
      <c r="B87" s="37" t="s">
        <v>209</v>
      </c>
      <c r="C87" s="38">
        <v>1</v>
      </c>
      <c r="D87" s="39">
        <v>4.65983224604E-4</v>
      </c>
    </row>
    <row r="88" spans="2:4" x14ac:dyDescent="0.35">
      <c r="B88" s="37" t="s">
        <v>212</v>
      </c>
      <c r="C88" s="38">
        <v>1</v>
      </c>
      <c r="D88" s="39">
        <v>4.65983224604E-4</v>
      </c>
    </row>
    <row r="89" spans="2:4" ht="41.15" customHeight="1" x14ac:dyDescent="0.35">
      <c r="B89" s="37" t="s">
        <v>180</v>
      </c>
      <c r="C89" s="38">
        <v>1</v>
      </c>
      <c r="D89" s="39">
        <v>4.65983224604E-4</v>
      </c>
    </row>
    <row r="90" spans="2:4" x14ac:dyDescent="0.35">
      <c r="B90" s="37" t="s">
        <v>189</v>
      </c>
      <c r="C90" s="38">
        <v>1</v>
      </c>
      <c r="D90" s="39">
        <v>4.65983224604E-4</v>
      </c>
    </row>
    <row r="91" spans="2:4" x14ac:dyDescent="0.35">
      <c r="B91" s="37" t="s">
        <v>198</v>
      </c>
      <c r="C91" s="38">
        <v>1</v>
      </c>
      <c r="D91" s="39">
        <v>4.65983224604E-4</v>
      </c>
    </row>
    <row r="92" spans="2:4" x14ac:dyDescent="0.35">
      <c r="B92" s="37" t="s">
        <v>201</v>
      </c>
      <c r="C92" s="38">
        <v>1</v>
      </c>
      <c r="D92" s="39">
        <v>4.65983224604E-4</v>
      </c>
    </row>
    <row r="93" spans="2:4" x14ac:dyDescent="0.35">
      <c r="B93" s="37" t="s">
        <v>215</v>
      </c>
      <c r="C93" s="38">
        <v>1</v>
      </c>
      <c r="D93" s="39">
        <v>4.65983224604E-4</v>
      </c>
    </row>
    <row r="94" spans="2:4" x14ac:dyDescent="0.35">
      <c r="B94" s="37" t="s">
        <v>214</v>
      </c>
      <c r="C94" s="38">
        <v>1</v>
      </c>
      <c r="D94" s="39">
        <v>4.65983224604E-4</v>
      </c>
    </row>
    <row r="95" spans="2:4" x14ac:dyDescent="0.35">
      <c r="B95" s="37" t="s">
        <v>216</v>
      </c>
      <c r="C95" s="38">
        <v>1</v>
      </c>
      <c r="D95" s="39">
        <v>4.65983224604E-4</v>
      </c>
    </row>
    <row r="96" spans="2:4" x14ac:dyDescent="0.35">
      <c r="B96" s="37" t="s">
        <v>206</v>
      </c>
      <c r="C96" s="38">
        <v>1</v>
      </c>
      <c r="D96" s="39">
        <v>4.65983224604E-4</v>
      </c>
    </row>
    <row r="97" spans="2:4" x14ac:dyDescent="0.35">
      <c r="B97" s="37" t="s">
        <v>217</v>
      </c>
      <c r="C97" s="38">
        <v>1</v>
      </c>
      <c r="D97" s="39">
        <v>4.65983224604E-4</v>
      </c>
    </row>
    <row r="98" spans="2:4" x14ac:dyDescent="0.35">
      <c r="B98" s="37" t="s">
        <v>218</v>
      </c>
      <c r="C98" s="38">
        <v>1</v>
      </c>
      <c r="D98" s="39">
        <v>4.65983224604E-4</v>
      </c>
    </row>
    <row r="99" spans="2:4" x14ac:dyDescent="0.35">
      <c r="B99" s="5" t="s">
        <v>25</v>
      </c>
      <c r="C99" s="6">
        <v>2146</v>
      </c>
      <c r="D99" s="7">
        <v>1</v>
      </c>
    </row>
    <row r="100" spans="2:4" x14ac:dyDescent="0.35">
      <c r="B100" s="11"/>
    </row>
    <row r="101" spans="2:4" x14ac:dyDescent="0.35">
      <c r="B101" s="9" t="s">
        <v>127</v>
      </c>
    </row>
    <row r="102" spans="2:4" x14ac:dyDescent="0.35">
      <c r="B102" s="10" t="s">
        <v>21</v>
      </c>
    </row>
    <row r="103" spans="2:4" x14ac:dyDescent="0.35">
      <c r="B103" s="11" t="s">
        <v>128</v>
      </c>
    </row>
    <row r="104" spans="2:4" x14ac:dyDescent="0.35">
      <c r="B104" s="9" t="s">
        <v>22</v>
      </c>
    </row>
    <row r="105" spans="2:4" x14ac:dyDescent="0.35">
      <c r="B105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4:G373"/>
  <sheetViews>
    <sheetView showGridLines="0" view="pageBreakPreview" topLeftCell="A5" zoomScale="128" zoomScaleNormal="100" zoomScaleSheetLayoutView="128" workbookViewId="0">
      <selection activeCell="E9" sqref="E9"/>
    </sheetView>
  </sheetViews>
  <sheetFormatPr baseColWidth="10" defaultRowHeight="14.5" x14ac:dyDescent="0.35"/>
  <cols>
    <col min="1" max="1" width="5.54296875" customWidth="1"/>
    <col min="2" max="2" width="17.36328125" customWidth="1"/>
    <col min="3" max="3" width="23" customWidth="1"/>
    <col min="4" max="4" width="18.36328125" customWidth="1"/>
    <col min="5" max="5" width="15.90625" customWidth="1"/>
    <col min="6" max="6" width="10.90625" hidden="1" customWidth="1"/>
    <col min="7" max="7" width="0.1796875" hidden="1" customWidth="1"/>
    <col min="8" max="8" width="0.26953125" customWidth="1"/>
  </cols>
  <sheetData>
    <row r="4" spans="2:5" ht="37.5" customHeight="1" x14ac:dyDescent="0.35"/>
    <row r="5" spans="2:5" ht="30" customHeight="1" x14ac:dyDescent="0.35"/>
    <row r="8" spans="2:5" ht="27" customHeight="1" x14ac:dyDescent="0.35"/>
    <row r="9" spans="2:5" ht="28" x14ac:dyDescent="0.35">
      <c r="B9" s="12" t="s">
        <v>27</v>
      </c>
      <c r="C9" s="13" t="s">
        <v>28</v>
      </c>
      <c r="D9" s="14" t="s">
        <v>19</v>
      </c>
      <c r="E9" s="12" t="s">
        <v>20</v>
      </c>
    </row>
    <row r="10" spans="2:5" x14ac:dyDescent="0.35">
      <c r="B10" s="73" t="s">
        <v>88</v>
      </c>
      <c r="C10" s="50" t="s">
        <v>132</v>
      </c>
      <c r="D10" s="51">
        <v>1</v>
      </c>
      <c r="E10" s="52">
        <v>4.65983224604E-4</v>
      </c>
    </row>
    <row r="11" spans="2:5" x14ac:dyDescent="0.35">
      <c r="B11" s="75"/>
      <c r="C11" s="50" t="s">
        <v>133</v>
      </c>
      <c r="D11" s="51">
        <v>1</v>
      </c>
      <c r="E11" s="52">
        <v>4.65983224604E-4</v>
      </c>
    </row>
    <row r="12" spans="2:5" x14ac:dyDescent="0.35">
      <c r="B12" s="75"/>
      <c r="C12" s="50" t="s">
        <v>134</v>
      </c>
      <c r="D12" s="51">
        <v>2</v>
      </c>
      <c r="E12" s="52">
        <v>9.3196644920800001E-4</v>
      </c>
    </row>
    <row r="13" spans="2:5" x14ac:dyDescent="0.35">
      <c r="B13" s="75"/>
      <c r="C13" s="50" t="s">
        <v>135</v>
      </c>
      <c r="D13" s="51">
        <v>1</v>
      </c>
      <c r="E13" s="52">
        <v>4.65983224604E-4</v>
      </c>
    </row>
    <row r="14" spans="2:5" x14ac:dyDescent="0.35">
      <c r="B14" s="75"/>
      <c r="C14" s="50" t="s">
        <v>136</v>
      </c>
      <c r="D14" s="51">
        <v>2</v>
      </c>
      <c r="E14" s="52">
        <v>9.3196644920800001E-4</v>
      </c>
    </row>
    <row r="15" spans="2:5" x14ac:dyDescent="0.35">
      <c r="B15" s="75"/>
      <c r="C15" s="50" t="s">
        <v>137</v>
      </c>
      <c r="D15" s="51">
        <v>1</v>
      </c>
      <c r="E15" s="52">
        <v>4.65983224604E-4</v>
      </c>
    </row>
    <row r="16" spans="2:5" x14ac:dyDescent="0.35">
      <c r="B16" s="74"/>
      <c r="C16" s="53" t="s">
        <v>25</v>
      </c>
      <c r="D16" s="54">
        <v>8</v>
      </c>
      <c r="E16" s="55">
        <v>3.727865796831E-3</v>
      </c>
    </row>
    <row r="17" spans="2:5" x14ac:dyDescent="0.35">
      <c r="B17" s="73" t="s">
        <v>89</v>
      </c>
      <c r="C17" s="50" t="s">
        <v>138</v>
      </c>
      <c r="D17" s="51">
        <v>1</v>
      </c>
      <c r="E17" s="52">
        <v>4.65983224604E-4</v>
      </c>
    </row>
    <row r="18" spans="2:5" x14ac:dyDescent="0.35">
      <c r="B18" s="75"/>
      <c r="C18" s="50" t="s">
        <v>134</v>
      </c>
      <c r="D18" s="51">
        <v>6</v>
      </c>
      <c r="E18" s="52">
        <v>2.795899347623E-3</v>
      </c>
    </row>
    <row r="19" spans="2:5" x14ac:dyDescent="0.35">
      <c r="B19" s="75"/>
      <c r="C19" s="50" t="s">
        <v>139</v>
      </c>
      <c r="D19" s="51">
        <v>1</v>
      </c>
      <c r="E19" s="52">
        <v>4.65983224604E-4</v>
      </c>
    </row>
    <row r="20" spans="2:5" x14ac:dyDescent="0.35">
      <c r="B20" s="74"/>
      <c r="C20" s="53" t="s">
        <v>25</v>
      </c>
      <c r="D20" s="54">
        <v>8</v>
      </c>
      <c r="E20" s="55">
        <v>3.727865796831E-3</v>
      </c>
    </row>
    <row r="21" spans="2:5" x14ac:dyDescent="0.35">
      <c r="B21" s="73" t="s">
        <v>90</v>
      </c>
      <c r="C21" s="50" t="s">
        <v>140</v>
      </c>
      <c r="D21" s="51">
        <v>3</v>
      </c>
      <c r="E21" s="52">
        <v>1.397949673812E-3</v>
      </c>
    </row>
    <row r="22" spans="2:5" x14ac:dyDescent="0.35">
      <c r="B22" s="75"/>
      <c r="C22" s="50" t="s">
        <v>134</v>
      </c>
      <c r="D22" s="51">
        <v>3</v>
      </c>
      <c r="E22" s="52">
        <v>1.397949673812E-3</v>
      </c>
    </row>
    <row r="23" spans="2:5" x14ac:dyDescent="0.35">
      <c r="B23" s="75"/>
      <c r="C23" s="50" t="s">
        <v>141</v>
      </c>
      <c r="D23" s="51">
        <v>1</v>
      </c>
      <c r="E23" s="52">
        <v>4.65983224604E-4</v>
      </c>
    </row>
    <row r="24" spans="2:5" x14ac:dyDescent="0.35">
      <c r="B24" s="75"/>
      <c r="C24" s="50" t="s">
        <v>139</v>
      </c>
      <c r="D24" s="51">
        <v>1</v>
      </c>
      <c r="E24" s="52">
        <v>4.65983224604E-4</v>
      </c>
    </row>
    <row r="25" spans="2:5" x14ac:dyDescent="0.35">
      <c r="B25" s="75"/>
      <c r="C25" s="50" t="s">
        <v>136</v>
      </c>
      <c r="D25" s="51">
        <v>22</v>
      </c>
      <c r="E25" s="52">
        <v>1.0251630941286E-2</v>
      </c>
    </row>
    <row r="26" spans="2:5" x14ac:dyDescent="0.35">
      <c r="B26" s="75"/>
      <c r="C26" s="50" t="s">
        <v>142</v>
      </c>
      <c r="D26" s="51">
        <v>1</v>
      </c>
      <c r="E26" s="52">
        <v>4.65983224604E-4</v>
      </c>
    </row>
    <row r="27" spans="2:5" x14ac:dyDescent="0.35">
      <c r="B27" s="75"/>
      <c r="C27" s="50" t="s">
        <v>143</v>
      </c>
      <c r="D27" s="51">
        <v>2</v>
      </c>
      <c r="E27" s="52">
        <v>9.3196644920800001E-4</v>
      </c>
    </row>
    <row r="28" spans="2:5" x14ac:dyDescent="0.35">
      <c r="B28" s="74"/>
      <c r="C28" s="53" t="s">
        <v>25</v>
      </c>
      <c r="D28" s="54">
        <v>33</v>
      </c>
      <c r="E28" s="55">
        <v>1.5377446411929001E-2</v>
      </c>
    </row>
    <row r="29" spans="2:5" x14ac:dyDescent="0.35">
      <c r="B29" s="73" t="s">
        <v>91</v>
      </c>
      <c r="C29" s="50" t="s">
        <v>144</v>
      </c>
      <c r="D29" s="51">
        <v>3</v>
      </c>
      <c r="E29" s="52">
        <v>1.397949673812E-3</v>
      </c>
    </row>
    <row r="30" spans="2:5" x14ac:dyDescent="0.35">
      <c r="B30" s="75"/>
      <c r="C30" s="50" t="s">
        <v>140</v>
      </c>
      <c r="D30" s="51">
        <v>12</v>
      </c>
      <c r="E30" s="52">
        <v>5.591798695247E-3</v>
      </c>
    </row>
    <row r="31" spans="2:5" x14ac:dyDescent="0.35">
      <c r="B31" s="75"/>
      <c r="C31" s="50" t="s">
        <v>145</v>
      </c>
      <c r="D31" s="51">
        <v>49</v>
      </c>
      <c r="E31" s="52">
        <v>2.2833178005592002E-2</v>
      </c>
    </row>
    <row r="32" spans="2:5" x14ac:dyDescent="0.35">
      <c r="B32" s="75"/>
      <c r="C32" s="50" t="s">
        <v>146</v>
      </c>
      <c r="D32" s="51">
        <v>3</v>
      </c>
      <c r="E32" s="52">
        <v>1.397949673812E-3</v>
      </c>
    </row>
    <row r="33" spans="2:5" x14ac:dyDescent="0.35">
      <c r="B33" s="75"/>
      <c r="C33" s="50" t="s">
        <v>147</v>
      </c>
      <c r="D33" s="51">
        <v>1</v>
      </c>
      <c r="E33" s="52">
        <v>4.65983224604E-4</v>
      </c>
    </row>
    <row r="34" spans="2:5" x14ac:dyDescent="0.35">
      <c r="B34" s="75"/>
      <c r="C34" s="50" t="s">
        <v>148</v>
      </c>
      <c r="D34" s="51">
        <v>8</v>
      </c>
      <c r="E34" s="52">
        <v>3.727865796831E-3</v>
      </c>
    </row>
    <row r="35" spans="2:5" x14ac:dyDescent="0.35">
      <c r="B35" s="75"/>
      <c r="C35" s="50" t="s">
        <v>149</v>
      </c>
      <c r="D35" s="51">
        <v>4</v>
      </c>
      <c r="E35" s="52">
        <v>1.863932898416E-3</v>
      </c>
    </row>
    <row r="36" spans="2:5" x14ac:dyDescent="0.35">
      <c r="B36" s="75"/>
      <c r="C36" s="50" t="s">
        <v>150</v>
      </c>
      <c r="D36" s="51">
        <v>8</v>
      </c>
      <c r="E36" s="52">
        <v>3.727865796831E-3</v>
      </c>
    </row>
    <row r="37" spans="2:5" x14ac:dyDescent="0.35">
      <c r="B37" s="75"/>
      <c r="C37" s="50" t="s">
        <v>151</v>
      </c>
      <c r="D37" s="51">
        <v>1</v>
      </c>
      <c r="E37" s="52">
        <v>4.65983224604E-4</v>
      </c>
    </row>
    <row r="38" spans="2:5" x14ac:dyDescent="0.35">
      <c r="B38" s="75"/>
      <c r="C38" s="50" t="s">
        <v>152</v>
      </c>
      <c r="D38" s="51">
        <v>19</v>
      </c>
      <c r="E38" s="52">
        <v>8.8536812674739999E-3</v>
      </c>
    </row>
    <row r="39" spans="2:5" x14ac:dyDescent="0.35">
      <c r="B39" s="75"/>
      <c r="C39" s="50" t="s">
        <v>153</v>
      </c>
      <c r="D39" s="51">
        <v>2</v>
      </c>
      <c r="E39" s="52">
        <v>9.3196644920800001E-4</v>
      </c>
    </row>
    <row r="40" spans="2:5" x14ac:dyDescent="0.35">
      <c r="B40" s="75"/>
      <c r="C40" s="50" t="s">
        <v>154</v>
      </c>
      <c r="D40" s="51">
        <v>3</v>
      </c>
      <c r="E40" s="52">
        <v>1.397949673812E-3</v>
      </c>
    </row>
    <row r="41" spans="2:5" x14ac:dyDescent="0.35">
      <c r="B41" s="75"/>
      <c r="C41" s="50" t="s">
        <v>155</v>
      </c>
      <c r="D41" s="51">
        <v>1</v>
      </c>
      <c r="E41" s="52">
        <v>4.65983224604E-4</v>
      </c>
    </row>
    <row r="42" spans="2:5" x14ac:dyDescent="0.35">
      <c r="B42" s="75"/>
      <c r="C42" s="50" t="s">
        <v>156</v>
      </c>
      <c r="D42" s="51">
        <v>1</v>
      </c>
      <c r="E42" s="52">
        <v>4.65983224604E-4</v>
      </c>
    </row>
    <row r="43" spans="2:5" x14ac:dyDescent="0.35">
      <c r="B43" s="75"/>
      <c r="C43" s="50" t="s">
        <v>157</v>
      </c>
      <c r="D43" s="51">
        <v>1</v>
      </c>
      <c r="E43" s="52">
        <v>4.65983224604E-4</v>
      </c>
    </row>
    <row r="44" spans="2:5" x14ac:dyDescent="0.35">
      <c r="B44" s="75"/>
      <c r="C44" s="50" t="s">
        <v>158</v>
      </c>
      <c r="D44" s="51">
        <v>11</v>
      </c>
      <c r="E44" s="52">
        <v>5.125815470643E-3</v>
      </c>
    </row>
    <row r="45" spans="2:5" x14ac:dyDescent="0.35">
      <c r="B45" s="75"/>
      <c r="C45" s="50" t="s">
        <v>159</v>
      </c>
      <c r="D45" s="51">
        <v>1</v>
      </c>
      <c r="E45" s="52">
        <v>4.65983224604E-4</v>
      </c>
    </row>
    <row r="46" spans="2:5" x14ac:dyDescent="0.35">
      <c r="B46" s="75"/>
      <c r="C46" s="50" t="s">
        <v>160</v>
      </c>
      <c r="D46" s="51">
        <v>1</v>
      </c>
      <c r="E46" s="52">
        <v>4.65983224604E-4</v>
      </c>
    </row>
    <row r="47" spans="2:5" x14ac:dyDescent="0.35">
      <c r="B47" s="75"/>
      <c r="C47" s="50" t="s">
        <v>138</v>
      </c>
      <c r="D47" s="51">
        <v>2</v>
      </c>
      <c r="E47" s="52">
        <v>9.3196644920800001E-4</v>
      </c>
    </row>
    <row r="48" spans="2:5" x14ac:dyDescent="0.35">
      <c r="B48" s="75"/>
      <c r="C48" s="50" t="s">
        <v>161</v>
      </c>
      <c r="D48" s="51">
        <v>1</v>
      </c>
      <c r="E48" s="52">
        <v>4.65983224604E-4</v>
      </c>
    </row>
    <row r="49" spans="2:5" x14ac:dyDescent="0.35">
      <c r="B49" s="75"/>
      <c r="C49" s="50" t="s">
        <v>162</v>
      </c>
      <c r="D49" s="51">
        <v>2</v>
      </c>
      <c r="E49" s="52">
        <v>9.3196644920800001E-4</v>
      </c>
    </row>
    <row r="50" spans="2:5" x14ac:dyDescent="0.35">
      <c r="B50" s="75"/>
      <c r="C50" s="50" t="s">
        <v>163</v>
      </c>
      <c r="D50" s="51">
        <v>4</v>
      </c>
      <c r="E50" s="52">
        <v>1.863932898416E-3</v>
      </c>
    </row>
    <row r="51" spans="2:5" x14ac:dyDescent="0.35">
      <c r="B51" s="75"/>
      <c r="C51" s="50" t="s">
        <v>164</v>
      </c>
      <c r="D51" s="51">
        <v>5</v>
      </c>
      <c r="E51" s="52">
        <v>2.32991612302E-3</v>
      </c>
    </row>
    <row r="52" spans="2:5" x14ac:dyDescent="0.35">
      <c r="B52" s="75"/>
      <c r="C52" s="50" t="s">
        <v>165</v>
      </c>
      <c r="D52" s="51">
        <v>1</v>
      </c>
      <c r="E52" s="52">
        <v>4.65983224604E-4</v>
      </c>
    </row>
    <row r="53" spans="2:5" x14ac:dyDescent="0.35">
      <c r="B53" s="75"/>
      <c r="C53" s="50" t="s">
        <v>166</v>
      </c>
      <c r="D53" s="51">
        <v>1</v>
      </c>
      <c r="E53" s="52">
        <v>4.65983224604E-4</v>
      </c>
    </row>
    <row r="54" spans="2:5" x14ac:dyDescent="0.35">
      <c r="B54" s="75"/>
      <c r="C54" s="50" t="s">
        <v>167</v>
      </c>
      <c r="D54" s="51">
        <v>6</v>
      </c>
      <c r="E54" s="52">
        <v>2.795899347623E-3</v>
      </c>
    </row>
    <row r="55" spans="2:5" x14ac:dyDescent="0.35">
      <c r="B55" s="75"/>
      <c r="C55" s="50" t="s">
        <v>168</v>
      </c>
      <c r="D55" s="51">
        <v>5</v>
      </c>
      <c r="E55" s="52">
        <v>2.32991612302E-3</v>
      </c>
    </row>
    <row r="56" spans="2:5" x14ac:dyDescent="0.35">
      <c r="B56" s="75"/>
      <c r="C56" s="50" t="s">
        <v>169</v>
      </c>
      <c r="D56" s="51">
        <v>12</v>
      </c>
      <c r="E56" s="52">
        <v>5.591798695247E-3</v>
      </c>
    </row>
    <row r="57" spans="2:5" x14ac:dyDescent="0.35">
      <c r="B57" s="75"/>
      <c r="C57" s="50" t="s">
        <v>170</v>
      </c>
      <c r="D57" s="51">
        <v>3</v>
      </c>
      <c r="E57" s="52">
        <v>1.397949673812E-3</v>
      </c>
    </row>
    <row r="58" spans="2:5" x14ac:dyDescent="0.35">
      <c r="B58" s="75"/>
      <c r="C58" s="50" t="s">
        <v>171</v>
      </c>
      <c r="D58" s="51">
        <v>1</v>
      </c>
      <c r="E58" s="52">
        <v>4.65983224604E-4</v>
      </c>
    </row>
    <row r="59" spans="2:5" x14ac:dyDescent="0.35">
      <c r="B59" s="75"/>
      <c r="C59" s="50" t="s">
        <v>172</v>
      </c>
      <c r="D59" s="51">
        <v>18</v>
      </c>
      <c r="E59" s="52">
        <v>8.3876980428699999E-3</v>
      </c>
    </row>
    <row r="60" spans="2:5" x14ac:dyDescent="0.35">
      <c r="B60" s="75"/>
      <c r="C60" s="50" t="s">
        <v>173</v>
      </c>
      <c r="D60" s="51">
        <v>3</v>
      </c>
      <c r="E60" s="52">
        <v>1.397949673812E-3</v>
      </c>
    </row>
    <row r="61" spans="2:5" x14ac:dyDescent="0.35">
      <c r="B61" s="75"/>
      <c r="C61" s="50" t="s">
        <v>174</v>
      </c>
      <c r="D61" s="51">
        <v>9</v>
      </c>
      <c r="E61" s="52">
        <v>4.193849021435E-3</v>
      </c>
    </row>
    <row r="62" spans="2:5" x14ac:dyDescent="0.35">
      <c r="B62" s="75"/>
      <c r="C62" s="50" t="s">
        <v>175</v>
      </c>
      <c r="D62" s="51">
        <v>2</v>
      </c>
      <c r="E62" s="52">
        <v>9.3196644920800001E-4</v>
      </c>
    </row>
    <row r="63" spans="2:5" x14ac:dyDescent="0.35">
      <c r="B63" s="75"/>
      <c r="C63" s="50" t="s">
        <v>176</v>
      </c>
      <c r="D63" s="51">
        <v>24</v>
      </c>
      <c r="E63" s="52">
        <v>1.1183597390494E-2</v>
      </c>
    </row>
    <row r="64" spans="2:5" x14ac:dyDescent="0.35">
      <c r="B64" s="75"/>
      <c r="C64" s="50" t="s">
        <v>177</v>
      </c>
      <c r="D64" s="51">
        <v>6</v>
      </c>
      <c r="E64" s="52">
        <v>2.795899347623E-3</v>
      </c>
    </row>
    <row r="65" spans="2:5" x14ac:dyDescent="0.35">
      <c r="B65" s="75"/>
      <c r="C65" s="50" t="s">
        <v>133</v>
      </c>
      <c r="D65" s="51">
        <v>77</v>
      </c>
      <c r="E65" s="52">
        <v>3.5880708294500997E-2</v>
      </c>
    </row>
    <row r="66" spans="2:5" x14ac:dyDescent="0.35">
      <c r="B66" s="75"/>
      <c r="C66" s="50" t="s">
        <v>178</v>
      </c>
      <c r="D66" s="51">
        <v>77</v>
      </c>
      <c r="E66" s="52">
        <v>3.5880708294500997E-2</v>
      </c>
    </row>
    <row r="67" spans="2:5" x14ac:dyDescent="0.35">
      <c r="B67" s="75"/>
      <c r="C67" s="50" t="s">
        <v>179</v>
      </c>
      <c r="D67" s="51">
        <v>8</v>
      </c>
      <c r="E67" s="52">
        <v>3.727865796831E-3</v>
      </c>
    </row>
    <row r="68" spans="2:5" x14ac:dyDescent="0.35">
      <c r="B68" s="75"/>
      <c r="C68" s="50" t="s">
        <v>134</v>
      </c>
      <c r="D68" s="51">
        <v>224</v>
      </c>
      <c r="E68" s="52">
        <v>0.104380242311277</v>
      </c>
    </row>
    <row r="69" spans="2:5" ht="42" x14ac:dyDescent="0.35">
      <c r="B69" s="75"/>
      <c r="C69" s="50" t="s">
        <v>180</v>
      </c>
      <c r="D69" s="51">
        <v>1</v>
      </c>
      <c r="E69" s="52">
        <v>4.65983224604E-4</v>
      </c>
    </row>
    <row r="70" spans="2:5" x14ac:dyDescent="0.35">
      <c r="B70" s="75"/>
      <c r="C70" s="50" t="s">
        <v>141</v>
      </c>
      <c r="D70" s="51">
        <v>380</v>
      </c>
      <c r="E70" s="52">
        <v>0.17707362534948701</v>
      </c>
    </row>
    <row r="71" spans="2:5" x14ac:dyDescent="0.35">
      <c r="B71" s="75"/>
      <c r="C71" s="50" t="s">
        <v>181</v>
      </c>
      <c r="D71" s="51">
        <v>2</v>
      </c>
      <c r="E71" s="52">
        <v>9.3196644920800001E-4</v>
      </c>
    </row>
    <row r="72" spans="2:5" x14ac:dyDescent="0.35">
      <c r="B72" s="75"/>
      <c r="C72" s="50" t="s">
        <v>139</v>
      </c>
      <c r="D72" s="51">
        <v>104</v>
      </c>
      <c r="E72" s="52">
        <v>4.8462255358807001E-2</v>
      </c>
    </row>
    <row r="73" spans="2:5" x14ac:dyDescent="0.35">
      <c r="B73" s="75"/>
      <c r="C73" s="50" t="s">
        <v>182</v>
      </c>
      <c r="D73" s="51">
        <v>6</v>
      </c>
      <c r="E73" s="52">
        <v>2.795899347623E-3</v>
      </c>
    </row>
    <row r="74" spans="2:5" x14ac:dyDescent="0.35">
      <c r="B74" s="75"/>
      <c r="C74" s="50" t="s">
        <v>183</v>
      </c>
      <c r="D74" s="51">
        <v>1</v>
      </c>
      <c r="E74" s="52">
        <v>4.65983224604E-4</v>
      </c>
    </row>
    <row r="75" spans="2:5" x14ac:dyDescent="0.35">
      <c r="B75" s="75"/>
      <c r="C75" s="50" t="s">
        <v>184</v>
      </c>
      <c r="D75" s="51">
        <v>4</v>
      </c>
      <c r="E75" s="52">
        <v>1.863932898416E-3</v>
      </c>
    </row>
    <row r="76" spans="2:5" x14ac:dyDescent="0.35">
      <c r="B76" s="75"/>
      <c r="C76" s="50" t="s">
        <v>185</v>
      </c>
      <c r="D76" s="51">
        <v>28</v>
      </c>
      <c r="E76" s="52">
        <v>1.304753028891E-2</v>
      </c>
    </row>
    <row r="77" spans="2:5" x14ac:dyDescent="0.35">
      <c r="B77" s="75"/>
      <c r="C77" s="50" t="s">
        <v>186</v>
      </c>
      <c r="D77" s="51">
        <v>1</v>
      </c>
      <c r="E77" s="52">
        <v>4.65983224604E-4</v>
      </c>
    </row>
    <row r="78" spans="2:5" x14ac:dyDescent="0.35">
      <c r="B78" s="75"/>
      <c r="C78" s="50" t="s">
        <v>187</v>
      </c>
      <c r="D78" s="51">
        <v>6</v>
      </c>
      <c r="E78" s="52">
        <v>2.795899347623E-3</v>
      </c>
    </row>
    <row r="79" spans="2:5" x14ac:dyDescent="0.35">
      <c r="B79" s="75"/>
      <c r="C79" s="50" t="s">
        <v>188</v>
      </c>
      <c r="D79" s="51">
        <v>2</v>
      </c>
      <c r="E79" s="52">
        <v>9.3196644920800001E-4</v>
      </c>
    </row>
    <row r="80" spans="2:5" x14ac:dyDescent="0.35">
      <c r="B80" s="75"/>
      <c r="C80" s="50" t="s">
        <v>189</v>
      </c>
      <c r="D80" s="51">
        <v>1</v>
      </c>
      <c r="E80" s="52">
        <v>4.65983224604E-4</v>
      </c>
    </row>
    <row r="81" spans="2:5" x14ac:dyDescent="0.35">
      <c r="B81" s="75"/>
      <c r="C81" s="50" t="s">
        <v>190</v>
      </c>
      <c r="D81" s="51">
        <v>6</v>
      </c>
      <c r="E81" s="52">
        <v>2.795899347623E-3</v>
      </c>
    </row>
    <row r="82" spans="2:5" x14ac:dyDescent="0.35">
      <c r="B82" s="75"/>
      <c r="C82" s="50" t="s">
        <v>191</v>
      </c>
      <c r="D82" s="51">
        <v>1</v>
      </c>
      <c r="E82" s="52">
        <v>4.65983224604E-4</v>
      </c>
    </row>
    <row r="83" spans="2:5" x14ac:dyDescent="0.35">
      <c r="B83" s="75"/>
      <c r="C83" s="50" t="s">
        <v>192</v>
      </c>
      <c r="D83" s="51">
        <v>10</v>
      </c>
      <c r="E83" s="52">
        <v>4.659832246039E-3</v>
      </c>
    </row>
    <row r="84" spans="2:5" x14ac:dyDescent="0.35">
      <c r="B84" s="75"/>
      <c r="C84" s="50" t="s">
        <v>193</v>
      </c>
      <c r="D84" s="51">
        <v>2</v>
      </c>
      <c r="E84" s="52">
        <v>9.3196644920800001E-4</v>
      </c>
    </row>
    <row r="85" spans="2:5" x14ac:dyDescent="0.35">
      <c r="B85" s="75"/>
      <c r="C85" s="50" t="s">
        <v>194</v>
      </c>
      <c r="D85" s="51">
        <v>4</v>
      </c>
      <c r="E85" s="52">
        <v>1.863932898416E-3</v>
      </c>
    </row>
    <row r="86" spans="2:5" x14ac:dyDescent="0.35">
      <c r="B86" s="75"/>
      <c r="C86" s="50" t="s">
        <v>136</v>
      </c>
      <c r="D86" s="51">
        <v>73</v>
      </c>
      <c r="E86" s="52">
        <v>3.4016775396086003E-2</v>
      </c>
    </row>
    <row r="87" spans="2:5" x14ac:dyDescent="0.35">
      <c r="B87" s="75"/>
      <c r="C87" s="50" t="s">
        <v>195</v>
      </c>
      <c r="D87" s="51">
        <v>24</v>
      </c>
      <c r="E87" s="52">
        <v>1.1183597390494E-2</v>
      </c>
    </row>
    <row r="88" spans="2:5" x14ac:dyDescent="0.35">
      <c r="B88" s="75"/>
      <c r="C88" s="50" t="s">
        <v>196</v>
      </c>
      <c r="D88" s="51">
        <v>7</v>
      </c>
      <c r="E88" s="52">
        <v>3.261882572227E-3</v>
      </c>
    </row>
    <row r="89" spans="2:5" x14ac:dyDescent="0.35">
      <c r="B89" s="75"/>
      <c r="C89" s="50" t="s">
        <v>197</v>
      </c>
      <c r="D89" s="51">
        <v>6</v>
      </c>
      <c r="E89" s="52">
        <v>2.795899347623E-3</v>
      </c>
    </row>
    <row r="90" spans="2:5" x14ac:dyDescent="0.35">
      <c r="B90" s="75"/>
      <c r="C90" s="50" t="s">
        <v>198</v>
      </c>
      <c r="D90" s="51">
        <v>1</v>
      </c>
      <c r="E90" s="52">
        <v>4.65983224604E-4</v>
      </c>
    </row>
    <row r="91" spans="2:5" x14ac:dyDescent="0.35">
      <c r="B91" s="75"/>
      <c r="C91" s="50" t="s">
        <v>199</v>
      </c>
      <c r="D91" s="51">
        <v>9</v>
      </c>
      <c r="E91" s="52">
        <v>4.193849021435E-3</v>
      </c>
    </row>
    <row r="92" spans="2:5" x14ac:dyDescent="0.35">
      <c r="B92" s="75"/>
      <c r="C92" s="50" t="s">
        <v>200</v>
      </c>
      <c r="D92" s="51">
        <v>2</v>
      </c>
      <c r="E92" s="52">
        <v>9.3196644920800001E-4</v>
      </c>
    </row>
    <row r="93" spans="2:5" x14ac:dyDescent="0.35">
      <c r="B93" s="75"/>
      <c r="C93" s="50" t="s">
        <v>137</v>
      </c>
      <c r="D93" s="51">
        <v>43</v>
      </c>
      <c r="E93" s="52">
        <v>2.0037278657968002E-2</v>
      </c>
    </row>
    <row r="94" spans="2:5" x14ac:dyDescent="0.35">
      <c r="B94" s="75"/>
      <c r="C94" s="50" t="s">
        <v>201</v>
      </c>
      <c r="D94" s="51">
        <v>1</v>
      </c>
      <c r="E94" s="52">
        <v>4.65983224604E-4</v>
      </c>
    </row>
    <row r="95" spans="2:5" x14ac:dyDescent="0.35">
      <c r="B95" s="75"/>
      <c r="C95" s="50" t="s">
        <v>202</v>
      </c>
      <c r="D95" s="51">
        <v>4</v>
      </c>
      <c r="E95" s="52">
        <v>1.863932898416E-3</v>
      </c>
    </row>
    <row r="96" spans="2:5" x14ac:dyDescent="0.35">
      <c r="B96" s="75"/>
      <c r="C96" s="50" t="s">
        <v>203</v>
      </c>
      <c r="D96" s="51">
        <v>7</v>
      </c>
      <c r="E96" s="52">
        <v>3.261882572227E-3</v>
      </c>
    </row>
    <row r="97" spans="2:5" x14ac:dyDescent="0.35">
      <c r="B97" s="75"/>
      <c r="C97" s="50" t="s">
        <v>204</v>
      </c>
      <c r="D97" s="51">
        <v>18</v>
      </c>
      <c r="E97" s="52">
        <v>8.3876980428699999E-3</v>
      </c>
    </row>
    <row r="98" spans="2:5" x14ac:dyDescent="0.35">
      <c r="B98" s="75"/>
      <c r="C98" s="50" t="s">
        <v>205</v>
      </c>
      <c r="D98" s="51">
        <v>33</v>
      </c>
      <c r="E98" s="52">
        <v>1.5377446411929001E-2</v>
      </c>
    </row>
    <row r="99" spans="2:5" x14ac:dyDescent="0.35">
      <c r="B99" s="75"/>
      <c r="C99" s="50" t="s">
        <v>142</v>
      </c>
      <c r="D99" s="51">
        <v>9</v>
      </c>
      <c r="E99" s="52">
        <v>4.193849021435E-3</v>
      </c>
    </row>
    <row r="100" spans="2:5" x14ac:dyDescent="0.35">
      <c r="B100" s="75"/>
      <c r="C100" s="50" t="s">
        <v>206</v>
      </c>
      <c r="D100" s="51">
        <v>1</v>
      </c>
      <c r="E100" s="52">
        <v>4.65983224604E-4</v>
      </c>
    </row>
    <row r="101" spans="2:5" x14ac:dyDescent="0.35">
      <c r="B101" s="75"/>
      <c r="C101" s="50" t="s">
        <v>143</v>
      </c>
      <c r="D101" s="51">
        <v>7</v>
      </c>
      <c r="E101" s="52">
        <v>3.261882572227E-3</v>
      </c>
    </row>
    <row r="102" spans="2:5" x14ac:dyDescent="0.35">
      <c r="B102" s="75"/>
      <c r="C102" s="50" t="s">
        <v>207</v>
      </c>
      <c r="D102" s="51">
        <v>3</v>
      </c>
      <c r="E102" s="52">
        <v>1.397949673812E-3</v>
      </c>
    </row>
    <row r="103" spans="2:5" x14ac:dyDescent="0.35">
      <c r="B103" s="75"/>
      <c r="C103" s="50" t="s">
        <v>208</v>
      </c>
      <c r="D103" s="51">
        <v>1</v>
      </c>
      <c r="E103" s="52">
        <v>4.65983224604E-4</v>
      </c>
    </row>
    <row r="104" spans="2:5" x14ac:dyDescent="0.35">
      <c r="B104" s="74"/>
      <c r="C104" s="53" t="s">
        <v>25</v>
      </c>
      <c r="D104" s="54">
        <v>1428</v>
      </c>
      <c r="E104" s="55">
        <v>0.66542404473438999</v>
      </c>
    </row>
    <row r="105" spans="2:5" x14ac:dyDescent="0.35">
      <c r="B105" s="73" t="s">
        <v>92</v>
      </c>
      <c r="C105" s="50" t="s">
        <v>148</v>
      </c>
      <c r="D105" s="51">
        <v>2</v>
      </c>
      <c r="E105" s="52">
        <v>9.3196644920800001E-4</v>
      </c>
    </row>
    <row r="106" spans="2:5" x14ac:dyDescent="0.35">
      <c r="B106" s="75"/>
      <c r="C106" s="50" t="s">
        <v>152</v>
      </c>
      <c r="D106" s="51">
        <v>29</v>
      </c>
      <c r="E106" s="52">
        <v>1.3513513513514E-2</v>
      </c>
    </row>
    <row r="107" spans="2:5" x14ac:dyDescent="0.35">
      <c r="B107" s="75"/>
      <c r="C107" s="50" t="s">
        <v>161</v>
      </c>
      <c r="D107" s="51">
        <v>1</v>
      </c>
      <c r="E107" s="52">
        <v>4.65983224604E-4</v>
      </c>
    </row>
    <row r="108" spans="2:5" x14ac:dyDescent="0.35">
      <c r="B108" s="75"/>
      <c r="C108" s="50" t="s">
        <v>168</v>
      </c>
      <c r="D108" s="51">
        <v>1</v>
      </c>
      <c r="E108" s="52">
        <v>4.65983224604E-4</v>
      </c>
    </row>
    <row r="109" spans="2:5" x14ac:dyDescent="0.35">
      <c r="B109" s="75"/>
      <c r="C109" s="50" t="s">
        <v>170</v>
      </c>
      <c r="D109" s="51">
        <v>3</v>
      </c>
      <c r="E109" s="52">
        <v>1.397949673812E-3</v>
      </c>
    </row>
    <row r="110" spans="2:5" x14ac:dyDescent="0.35">
      <c r="B110" s="75"/>
      <c r="C110" s="50" t="s">
        <v>172</v>
      </c>
      <c r="D110" s="51">
        <v>2</v>
      </c>
      <c r="E110" s="52">
        <v>9.3196644920800001E-4</v>
      </c>
    </row>
    <row r="111" spans="2:5" x14ac:dyDescent="0.35">
      <c r="B111" s="75"/>
      <c r="C111" s="50" t="s">
        <v>209</v>
      </c>
      <c r="D111" s="51">
        <v>1</v>
      </c>
      <c r="E111" s="52">
        <v>4.65983224604E-4</v>
      </c>
    </row>
    <row r="112" spans="2:5" x14ac:dyDescent="0.35">
      <c r="B112" s="75"/>
      <c r="C112" s="50" t="s">
        <v>175</v>
      </c>
      <c r="D112" s="51">
        <v>1</v>
      </c>
      <c r="E112" s="52">
        <v>4.65983224604E-4</v>
      </c>
    </row>
    <row r="113" spans="2:5" x14ac:dyDescent="0.35">
      <c r="B113" s="75"/>
      <c r="C113" s="50" t="s">
        <v>134</v>
      </c>
      <c r="D113" s="51">
        <v>7</v>
      </c>
      <c r="E113" s="52">
        <v>3.261882572227E-3</v>
      </c>
    </row>
    <row r="114" spans="2:5" x14ac:dyDescent="0.35">
      <c r="B114" s="75"/>
      <c r="C114" s="50" t="s">
        <v>141</v>
      </c>
      <c r="D114" s="51">
        <v>6</v>
      </c>
      <c r="E114" s="52">
        <v>2.795899347623E-3</v>
      </c>
    </row>
    <row r="115" spans="2:5" x14ac:dyDescent="0.35">
      <c r="B115" s="75"/>
      <c r="C115" s="50" t="s">
        <v>139</v>
      </c>
      <c r="D115" s="51">
        <v>1</v>
      </c>
      <c r="E115" s="52">
        <v>4.65983224604E-4</v>
      </c>
    </row>
    <row r="116" spans="2:5" x14ac:dyDescent="0.35">
      <c r="B116" s="75"/>
      <c r="C116" s="50" t="s">
        <v>186</v>
      </c>
      <c r="D116" s="51">
        <v>1</v>
      </c>
      <c r="E116" s="52">
        <v>4.65983224604E-4</v>
      </c>
    </row>
    <row r="117" spans="2:5" x14ac:dyDescent="0.35">
      <c r="B117" s="75"/>
      <c r="C117" s="50" t="s">
        <v>194</v>
      </c>
      <c r="D117" s="51">
        <v>1</v>
      </c>
      <c r="E117" s="52">
        <v>4.65983224604E-4</v>
      </c>
    </row>
    <row r="118" spans="2:5" x14ac:dyDescent="0.35">
      <c r="B118" s="75"/>
      <c r="C118" s="50" t="s">
        <v>136</v>
      </c>
      <c r="D118" s="51">
        <v>20</v>
      </c>
      <c r="E118" s="52">
        <v>9.3196644920779999E-3</v>
      </c>
    </row>
    <row r="119" spans="2:5" x14ac:dyDescent="0.35">
      <c r="B119" s="75"/>
      <c r="C119" s="50" t="s">
        <v>196</v>
      </c>
      <c r="D119" s="51">
        <v>2</v>
      </c>
      <c r="E119" s="52">
        <v>9.3196644920800001E-4</v>
      </c>
    </row>
    <row r="120" spans="2:5" x14ac:dyDescent="0.35">
      <c r="B120" s="75"/>
      <c r="C120" s="50" t="s">
        <v>204</v>
      </c>
      <c r="D120" s="51">
        <v>4</v>
      </c>
      <c r="E120" s="52">
        <v>1.863932898416E-3</v>
      </c>
    </row>
    <row r="121" spans="2:5" x14ac:dyDescent="0.35">
      <c r="B121" s="75"/>
      <c r="C121" s="50" t="s">
        <v>207</v>
      </c>
      <c r="D121" s="51">
        <v>1</v>
      </c>
      <c r="E121" s="52">
        <v>4.65983224604E-4</v>
      </c>
    </row>
    <row r="122" spans="2:5" x14ac:dyDescent="0.35">
      <c r="B122" s="74"/>
      <c r="C122" s="53" t="s">
        <v>25</v>
      </c>
      <c r="D122" s="54">
        <v>83</v>
      </c>
      <c r="E122" s="55">
        <v>3.8676607642125001E-2</v>
      </c>
    </row>
    <row r="123" spans="2:5" x14ac:dyDescent="0.35">
      <c r="B123" s="73" t="s">
        <v>93</v>
      </c>
      <c r="C123" s="50" t="s">
        <v>172</v>
      </c>
      <c r="D123" s="51">
        <v>1</v>
      </c>
      <c r="E123" s="52">
        <v>4.65983224604E-4</v>
      </c>
    </row>
    <row r="124" spans="2:5" x14ac:dyDescent="0.35">
      <c r="B124" s="74"/>
      <c r="C124" s="53" t="s">
        <v>25</v>
      </c>
      <c r="D124" s="54">
        <v>1</v>
      </c>
      <c r="E124" s="55">
        <v>4.65983224604E-4</v>
      </c>
    </row>
    <row r="125" spans="2:5" x14ac:dyDescent="0.35">
      <c r="B125" s="73" t="s">
        <v>94</v>
      </c>
      <c r="C125" s="50" t="s">
        <v>134</v>
      </c>
      <c r="D125" s="51">
        <v>1</v>
      </c>
      <c r="E125" s="52">
        <v>4.65983224604E-4</v>
      </c>
    </row>
    <row r="126" spans="2:5" x14ac:dyDescent="0.35">
      <c r="B126" s="74"/>
      <c r="C126" s="53" t="s">
        <v>25</v>
      </c>
      <c r="D126" s="54">
        <v>1</v>
      </c>
      <c r="E126" s="55">
        <v>4.65983224604E-4</v>
      </c>
    </row>
    <row r="127" spans="2:5" x14ac:dyDescent="0.35">
      <c r="B127" s="73" t="s">
        <v>95</v>
      </c>
      <c r="C127" s="50" t="s">
        <v>132</v>
      </c>
      <c r="D127" s="51">
        <v>1</v>
      </c>
      <c r="E127" s="52">
        <v>4.65983224604E-4</v>
      </c>
    </row>
    <row r="128" spans="2:5" x14ac:dyDescent="0.35">
      <c r="B128" s="75"/>
      <c r="C128" s="50" t="s">
        <v>153</v>
      </c>
      <c r="D128" s="51">
        <v>1</v>
      </c>
      <c r="E128" s="52">
        <v>4.65983224604E-4</v>
      </c>
    </row>
    <row r="129" spans="2:5" x14ac:dyDescent="0.35">
      <c r="B129" s="75"/>
      <c r="C129" s="50" t="s">
        <v>210</v>
      </c>
      <c r="D129" s="51">
        <v>1</v>
      </c>
      <c r="E129" s="52">
        <v>4.65983224604E-4</v>
      </c>
    </row>
    <row r="130" spans="2:5" x14ac:dyDescent="0.35">
      <c r="B130" s="75"/>
      <c r="C130" s="50" t="s">
        <v>172</v>
      </c>
      <c r="D130" s="51">
        <v>1</v>
      </c>
      <c r="E130" s="52">
        <v>4.65983224604E-4</v>
      </c>
    </row>
    <row r="131" spans="2:5" x14ac:dyDescent="0.35">
      <c r="B131" s="75"/>
      <c r="C131" s="50" t="s">
        <v>211</v>
      </c>
      <c r="D131" s="51">
        <v>1</v>
      </c>
      <c r="E131" s="52">
        <v>4.65983224604E-4</v>
      </c>
    </row>
    <row r="132" spans="2:5" x14ac:dyDescent="0.35">
      <c r="B132" s="75"/>
      <c r="C132" s="50" t="s">
        <v>134</v>
      </c>
      <c r="D132" s="51">
        <v>17</v>
      </c>
      <c r="E132" s="52">
        <v>7.9217148182669991E-3</v>
      </c>
    </row>
    <row r="133" spans="2:5" x14ac:dyDescent="0.35">
      <c r="B133" s="75"/>
      <c r="C133" s="50" t="s">
        <v>182</v>
      </c>
      <c r="D133" s="51">
        <v>3</v>
      </c>
      <c r="E133" s="52">
        <v>1.397949673812E-3</v>
      </c>
    </row>
    <row r="134" spans="2:5" x14ac:dyDescent="0.35">
      <c r="B134" s="75"/>
      <c r="C134" s="50" t="s">
        <v>185</v>
      </c>
      <c r="D134" s="51">
        <v>1</v>
      </c>
      <c r="E134" s="52">
        <v>4.65983224604E-4</v>
      </c>
    </row>
    <row r="135" spans="2:5" x14ac:dyDescent="0.35">
      <c r="B135" s="75"/>
      <c r="C135" s="50" t="s">
        <v>187</v>
      </c>
      <c r="D135" s="51">
        <v>1</v>
      </c>
      <c r="E135" s="52">
        <v>4.65983224604E-4</v>
      </c>
    </row>
    <row r="136" spans="2:5" x14ac:dyDescent="0.35">
      <c r="B136" s="75"/>
      <c r="C136" s="50" t="s">
        <v>136</v>
      </c>
      <c r="D136" s="51">
        <v>1</v>
      </c>
      <c r="E136" s="52">
        <v>4.65983224604E-4</v>
      </c>
    </row>
    <row r="137" spans="2:5" x14ac:dyDescent="0.35">
      <c r="B137" s="75"/>
      <c r="C137" s="50" t="s">
        <v>204</v>
      </c>
      <c r="D137" s="51">
        <v>1</v>
      </c>
      <c r="E137" s="52">
        <v>4.65983224604E-4</v>
      </c>
    </row>
    <row r="138" spans="2:5" x14ac:dyDescent="0.35">
      <c r="B138" s="75"/>
      <c r="C138" s="50" t="s">
        <v>143</v>
      </c>
      <c r="D138" s="51">
        <v>1</v>
      </c>
      <c r="E138" s="52">
        <v>4.65983224604E-4</v>
      </c>
    </row>
    <row r="139" spans="2:5" x14ac:dyDescent="0.35">
      <c r="B139" s="75"/>
      <c r="C139" s="50" t="s">
        <v>207</v>
      </c>
      <c r="D139" s="51">
        <v>1</v>
      </c>
      <c r="E139" s="52">
        <v>4.65983224604E-4</v>
      </c>
    </row>
    <row r="140" spans="2:5" x14ac:dyDescent="0.35">
      <c r="B140" s="75"/>
      <c r="C140" s="50" t="s">
        <v>208</v>
      </c>
      <c r="D140" s="51">
        <v>1</v>
      </c>
      <c r="E140" s="52">
        <v>4.65983224604E-4</v>
      </c>
    </row>
    <row r="141" spans="2:5" x14ac:dyDescent="0.35">
      <c r="B141" s="74"/>
      <c r="C141" s="53" t="s">
        <v>25</v>
      </c>
      <c r="D141" s="54">
        <v>32</v>
      </c>
      <c r="E141" s="55">
        <v>1.4911463187325001E-2</v>
      </c>
    </row>
    <row r="142" spans="2:5" x14ac:dyDescent="0.35">
      <c r="B142" s="73" t="s">
        <v>96</v>
      </c>
      <c r="C142" s="50" t="s">
        <v>153</v>
      </c>
      <c r="D142" s="51">
        <v>1</v>
      </c>
      <c r="E142" s="52">
        <v>4.65983224604E-4</v>
      </c>
    </row>
    <row r="143" spans="2:5" x14ac:dyDescent="0.35">
      <c r="B143" s="75"/>
      <c r="C143" s="50" t="s">
        <v>134</v>
      </c>
      <c r="D143" s="51">
        <v>7</v>
      </c>
      <c r="E143" s="52">
        <v>3.261882572227E-3</v>
      </c>
    </row>
    <row r="144" spans="2:5" x14ac:dyDescent="0.35">
      <c r="B144" s="74"/>
      <c r="C144" s="53" t="s">
        <v>25</v>
      </c>
      <c r="D144" s="54">
        <v>8</v>
      </c>
      <c r="E144" s="55">
        <v>3.727865796831E-3</v>
      </c>
    </row>
    <row r="145" spans="2:5" x14ac:dyDescent="0.35">
      <c r="B145" s="73" t="s">
        <v>97</v>
      </c>
      <c r="C145" s="50" t="s">
        <v>176</v>
      </c>
      <c r="D145" s="51">
        <v>1</v>
      </c>
      <c r="E145" s="52">
        <v>4.65983224604E-4</v>
      </c>
    </row>
    <row r="146" spans="2:5" x14ac:dyDescent="0.35">
      <c r="B146" s="75"/>
      <c r="C146" s="50" t="s">
        <v>212</v>
      </c>
      <c r="D146" s="51">
        <v>1</v>
      </c>
      <c r="E146" s="52">
        <v>4.65983224604E-4</v>
      </c>
    </row>
    <row r="147" spans="2:5" x14ac:dyDescent="0.35">
      <c r="B147" s="75"/>
      <c r="C147" s="50" t="s">
        <v>134</v>
      </c>
      <c r="D147" s="51">
        <v>4</v>
      </c>
      <c r="E147" s="52">
        <v>1.863932898416E-3</v>
      </c>
    </row>
    <row r="148" spans="2:5" x14ac:dyDescent="0.35">
      <c r="B148" s="74"/>
      <c r="C148" s="53" t="s">
        <v>25</v>
      </c>
      <c r="D148" s="54">
        <v>6</v>
      </c>
      <c r="E148" s="55">
        <v>2.795899347623E-3</v>
      </c>
    </row>
    <row r="149" spans="2:5" x14ac:dyDescent="0.35">
      <c r="B149" s="73" t="s">
        <v>98</v>
      </c>
      <c r="C149" s="50" t="s">
        <v>156</v>
      </c>
      <c r="D149" s="51">
        <v>1</v>
      </c>
      <c r="E149" s="52">
        <v>4.65983224604E-4</v>
      </c>
    </row>
    <row r="150" spans="2:5" x14ac:dyDescent="0.35">
      <c r="B150" s="75"/>
      <c r="C150" s="50" t="s">
        <v>138</v>
      </c>
      <c r="D150" s="51">
        <v>1</v>
      </c>
      <c r="E150" s="52">
        <v>4.65983224604E-4</v>
      </c>
    </row>
    <row r="151" spans="2:5" x14ac:dyDescent="0.35">
      <c r="B151" s="75"/>
      <c r="C151" s="50" t="s">
        <v>164</v>
      </c>
      <c r="D151" s="51">
        <v>1</v>
      </c>
      <c r="E151" s="52">
        <v>4.65983224604E-4</v>
      </c>
    </row>
    <row r="152" spans="2:5" x14ac:dyDescent="0.35">
      <c r="B152" s="75"/>
      <c r="C152" s="50" t="s">
        <v>210</v>
      </c>
      <c r="D152" s="51">
        <v>1</v>
      </c>
      <c r="E152" s="52">
        <v>4.65983224604E-4</v>
      </c>
    </row>
    <row r="153" spans="2:5" x14ac:dyDescent="0.35">
      <c r="B153" s="75"/>
      <c r="C153" s="50" t="s">
        <v>169</v>
      </c>
      <c r="D153" s="51">
        <v>2</v>
      </c>
      <c r="E153" s="52">
        <v>9.3196644920800001E-4</v>
      </c>
    </row>
    <row r="154" spans="2:5" x14ac:dyDescent="0.35">
      <c r="B154" s="75"/>
      <c r="C154" s="50" t="s">
        <v>172</v>
      </c>
      <c r="D154" s="51">
        <v>1</v>
      </c>
      <c r="E154" s="52">
        <v>4.65983224604E-4</v>
      </c>
    </row>
    <row r="155" spans="2:5" x14ac:dyDescent="0.35">
      <c r="B155" s="75"/>
      <c r="C155" s="50" t="s">
        <v>134</v>
      </c>
      <c r="D155" s="51">
        <v>8</v>
      </c>
      <c r="E155" s="52">
        <v>3.727865796831E-3</v>
      </c>
    </row>
    <row r="156" spans="2:5" x14ac:dyDescent="0.35">
      <c r="B156" s="75"/>
      <c r="C156" s="50" t="s">
        <v>139</v>
      </c>
      <c r="D156" s="51">
        <v>1</v>
      </c>
      <c r="E156" s="52">
        <v>4.65983224604E-4</v>
      </c>
    </row>
    <row r="157" spans="2:5" x14ac:dyDescent="0.35">
      <c r="B157" s="75"/>
      <c r="C157" s="50" t="s">
        <v>183</v>
      </c>
      <c r="D157" s="51">
        <v>1</v>
      </c>
      <c r="E157" s="52">
        <v>4.65983224604E-4</v>
      </c>
    </row>
    <row r="158" spans="2:5" x14ac:dyDescent="0.35">
      <c r="B158" s="75"/>
      <c r="C158" s="50" t="s">
        <v>184</v>
      </c>
      <c r="D158" s="51">
        <v>1</v>
      </c>
      <c r="E158" s="52">
        <v>4.65983224604E-4</v>
      </c>
    </row>
    <row r="159" spans="2:5" x14ac:dyDescent="0.35">
      <c r="B159" s="75"/>
      <c r="C159" s="50" t="s">
        <v>187</v>
      </c>
      <c r="D159" s="51">
        <v>1</v>
      </c>
      <c r="E159" s="52">
        <v>4.65983224604E-4</v>
      </c>
    </row>
    <row r="160" spans="2:5" x14ac:dyDescent="0.35">
      <c r="B160" s="75"/>
      <c r="C160" s="50" t="s">
        <v>192</v>
      </c>
      <c r="D160" s="51">
        <v>1</v>
      </c>
      <c r="E160" s="52">
        <v>4.65983224604E-4</v>
      </c>
    </row>
    <row r="161" spans="2:5" x14ac:dyDescent="0.35">
      <c r="B161" s="75"/>
      <c r="C161" s="50" t="s">
        <v>136</v>
      </c>
      <c r="D161" s="51">
        <v>1</v>
      </c>
      <c r="E161" s="52">
        <v>4.65983224604E-4</v>
      </c>
    </row>
    <row r="162" spans="2:5" x14ac:dyDescent="0.35">
      <c r="B162" s="75"/>
      <c r="C162" s="50" t="s">
        <v>207</v>
      </c>
      <c r="D162" s="51">
        <v>2</v>
      </c>
      <c r="E162" s="52">
        <v>9.3196644920800001E-4</v>
      </c>
    </row>
    <row r="163" spans="2:5" x14ac:dyDescent="0.35">
      <c r="B163" s="75"/>
      <c r="C163" s="50" t="s">
        <v>213</v>
      </c>
      <c r="D163" s="51">
        <v>1</v>
      </c>
      <c r="E163" s="52">
        <v>4.65983224604E-4</v>
      </c>
    </row>
    <row r="164" spans="2:5" x14ac:dyDescent="0.35">
      <c r="B164" s="74"/>
      <c r="C164" s="53" t="s">
        <v>25</v>
      </c>
      <c r="D164" s="54">
        <v>24</v>
      </c>
      <c r="E164" s="55">
        <v>1.1183597390494E-2</v>
      </c>
    </row>
    <row r="165" spans="2:5" x14ac:dyDescent="0.35">
      <c r="B165" s="73" t="s">
        <v>99</v>
      </c>
      <c r="C165" s="50" t="s">
        <v>134</v>
      </c>
      <c r="D165" s="51">
        <v>2</v>
      </c>
      <c r="E165" s="52">
        <v>9.3196644920800001E-4</v>
      </c>
    </row>
    <row r="166" spans="2:5" x14ac:dyDescent="0.35">
      <c r="B166" s="75"/>
      <c r="C166" s="50" t="s">
        <v>188</v>
      </c>
      <c r="D166" s="51">
        <v>1</v>
      </c>
      <c r="E166" s="52">
        <v>4.65983224604E-4</v>
      </c>
    </row>
    <row r="167" spans="2:5" x14ac:dyDescent="0.35">
      <c r="B167" s="75"/>
      <c r="C167" s="50" t="s">
        <v>204</v>
      </c>
      <c r="D167" s="51">
        <v>2</v>
      </c>
      <c r="E167" s="52">
        <v>9.3196644920800001E-4</v>
      </c>
    </row>
    <row r="168" spans="2:5" x14ac:dyDescent="0.35">
      <c r="B168" s="75"/>
      <c r="C168" s="50" t="s">
        <v>207</v>
      </c>
      <c r="D168" s="51">
        <v>1</v>
      </c>
      <c r="E168" s="52">
        <v>4.65983224604E-4</v>
      </c>
    </row>
    <row r="169" spans="2:5" x14ac:dyDescent="0.35">
      <c r="B169" s="74"/>
      <c r="C169" s="53" t="s">
        <v>25</v>
      </c>
      <c r="D169" s="54">
        <v>6</v>
      </c>
      <c r="E169" s="55">
        <v>2.795899347623E-3</v>
      </c>
    </row>
    <row r="170" spans="2:5" x14ac:dyDescent="0.35">
      <c r="B170" s="73" t="s">
        <v>100</v>
      </c>
      <c r="C170" s="50" t="s">
        <v>148</v>
      </c>
      <c r="D170" s="51">
        <v>1</v>
      </c>
      <c r="E170" s="52">
        <v>4.65983224604E-4</v>
      </c>
    </row>
    <row r="171" spans="2:5" x14ac:dyDescent="0.35">
      <c r="B171" s="74"/>
      <c r="C171" s="53" t="s">
        <v>25</v>
      </c>
      <c r="D171" s="54">
        <v>1</v>
      </c>
      <c r="E171" s="55">
        <v>4.65983224604E-4</v>
      </c>
    </row>
    <row r="172" spans="2:5" x14ac:dyDescent="0.35">
      <c r="B172" s="73" t="s">
        <v>101</v>
      </c>
      <c r="C172" s="50" t="s">
        <v>145</v>
      </c>
      <c r="D172" s="51">
        <v>2</v>
      </c>
      <c r="E172" s="52">
        <v>9.3196644920800001E-4</v>
      </c>
    </row>
    <row r="173" spans="2:5" x14ac:dyDescent="0.35">
      <c r="B173" s="75"/>
      <c r="C173" s="50" t="s">
        <v>155</v>
      </c>
      <c r="D173" s="51">
        <v>2</v>
      </c>
      <c r="E173" s="52">
        <v>9.3196644920800001E-4</v>
      </c>
    </row>
    <row r="174" spans="2:5" x14ac:dyDescent="0.35">
      <c r="B174" s="75"/>
      <c r="C174" s="50" t="s">
        <v>133</v>
      </c>
      <c r="D174" s="51">
        <v>1</v>
      </c>
      <c r="E174" s="52">
        <v>4.65983224604E-4</v>
      </c>
    </row>
    <row r="175" spans="2:5" x14ac:dyDescent="0.35">
      <c r="B175" s="75"/>
      <c r="C175" s="50" t="s">
        <v>178</v>
      </c>
      <c r="D175" s="51">
        <v>1</v>
      </c>
      <c r="E175" s="52">
        <v>4.65983224604E-4</v>
      </c>
    </row>
    <row r="176" spans="2:5" x14ac:dyDescent="0.35">
      <c r="B176" s="75"/>
      <c r="C176" s="50" t="s">
        <v>134</v>
      </c>
      <c r="D176" s="51">
        <v>3</v>
      </c>
      <c r="E176" s="52">
        <v>1.397949673812E-3</v>
      </c>
    </row>
    <row r="177" spans="2:5" x14ac:dyDescent="0.35">
      <c r="B177" s="75"/>
      <c r="C177" s="50" t="s">
        <v>141</v>
      </c>
      <c r="D177" s="51">
        <v>1</v>
      </c>
      <c r="E177" s="52">
        <v>4.65983224604E-4</v>
      </c>
    </row>
    <row r="178" spans="2:5" x14ac:dyDescent="0.35">
      <c r="B178" s="75"/>
      <c r="C178" s="50" t="s">
        <v>202</v>
      </c>
      <c r="D178" s="51">
        <v>1</v>
      </c>
      <c r="E178" s="52">
        <v>4.65983224604E-4</v>
      </c>
    </row>
    <row r="179" spans="2:5" x14ac:dyDescent="0.35">
      <c r="B179" s="74"/>
      <c r="C179" s="53" t="s">
        <v>25</v>
      </c>
      <c r="D179" s="54">
        <v>11</v>
      </c>
      <c r="E179" s="55">
        <v>5.125815470643E-3</v>
      </c>
    </row>
    <row r="180" spans="2:5" x14ac:dyDescent="0.35">
      <c r="B180" s="73" t="s">
        <v>102</v>
      </c>
      <c r="C180" s="50" t="s">
        <v>134</v>
      </c>
      <c r="D180" s="51">
        <v>2</v>
      </c>
      <c r="E180" s="52">
        <v>9.3196644920800001E-4</v>
      </c>
    </row>
    <row r="181" spans="2:5" x14ac:dyDescent="0.35">
      <c r="B181" s="75"/>
      <c r="C181" s="50" t="s">
        <v>141</v>
      </c>
      <c r="D181" s="51">
        <v>1</v>
      </c>
      <c r="E181" s="52">
        <v>4.65983224604E-4</v>
      </c>
    </row>
    <row r="182" spans="2:5" x14ac:dyDescent="0.35">
      <c r="B182" s="75"/>
      <c r="C182" s="50" t="s">
        <v>194</v>
      </c>
      <c r="D182" s="51">
        <v>1</v>
      </c>
      <c r="E182" s="52">
        <v>4.65983224604E-4</v>
      </c>
    </row>
    <row r="183" spans="2:5" x14ac:dyDescent="0.35">
      <c r="B183" s="74"/>
      <c r="C183" s="53" t="s">
        <v>25</v>
      </c>
      <c r="D183" s="54">
        <v>4</v>
      </c>
      <c r="E183" s="55">
        <v>1.863932898416E-3</v>
      </c>
    </row>
    <row r="184" spans="2:5" x14ac:dyDescent="0.35">
      <c r="B184" s="73" t="s">
        <v>103</v>
      </c>
      <c r="C184" s="50" t="s">
        <v>134</v>
      </c>
      <c r="D184" s="51">
        <v>3</v>
      </c>
      <c r="E184" s="52">
        <v>1.397949673812E-3</v>
      </c>
    </row>
    <row r="185" spans="2:5" x14ac:dyDescent="0.35">
      <c r="B185" s="75"/>
      <c r="C185" s="50" t="s">
        <v>137</v>
      </c>
      <c r="D185" s="51">
        <v>1</v>
      </c>
      <c r="E185" s="52">
        <v>4.65983224604E-4</v>
      </c>
    </row>
    <row r="186" spans="2:5" x14ac:dyDescent="0.35">
      <c r="B186" s="75"/>
      <c r="C186" s="50" t="s">
        <v>214</v>
      </c>
      <c r="D186" s="51">
        <v>1</v>
      </c>
      <c r="E186" s="52">
        <v>4.65983224604E-4</v>
      </c>
    </row>
    <row r="187" spans="2:5" x14ac:dyDescent="0.35">
      <c r="B187" s="74"/>
      <c r="C187" s="53" t="s">
        <v>25</v>
      </c>
      <c r="D187" s="54">
        <v>5</v>
      </c>
      <c r="E187" s="55">
        <v>2.32991612302E-3</v>
      </c>
    </row>
    <row r="188" spans="2:5" x14ac:dyDescent="0.35">
      <c r="B188" s="73" t="s">
        <v>104</v>
      </c>
      <c r="C188" s="50" t="s">
        <v>172</v>
      </c>
      <c r="D188" s="51">
        <v>1</v>
      </c>
      <c r="E188" s="52">
        <v>4.65983224604E-4</v>
      </c>
    </row>
    <row r="189" spans="2:5" x14ac:dyDescent="0.35">
      <c r="B189" s="75"/>
      <c r="C189" s="50" t="s">
        <v>134</v>
      </c>
      <c r="D189" s="51">
        <v>1</v>
      </c>
      <c r="E189" s="52">
        <v>4.65983224604E-4</v>
      </c>
    </row>
    <row r="190" spans="2:5" x14ac:dyDescent="0.35">
      <c r="B190" s="74"/>
      <c r="C190" s="53" t="s">
        <v>25</v>
      </c>
      <c r="D190" s="54">
        <v>2</v>
      </c>
      <c r="E190" s="55">
        <v>9.3196644920800001E-4</v>
      </c>
    </row>
    <row r="191" spans="2:5" x14ac:dyDescent="0.35">
      <c r="B191" s="73" t="s">
        <v>105</v>
      </c>
      <c r="C191" s="50" t="s">
        <v>133</v>
      </c>
      <c r="D191" s="51">
        <v>2</v>
      </c>
      <c r="E191" s="52">
        <v>9.3196644920800001E-4</v>
      </c>
    </row>
    <row r="192" spans="2:5" x14ac:dyDescent="0.35">
      <c r="B192" s="75"/>
      <c r="C192" s="50" t="s">
        <v>134</v>
      </c>
      <c r="D192" s="51">
        <v>2</v>
      </c>
      <c r="E192" s="52">
        <v>9.3196644920800001E-4</v>
      </c>
    </row>
    <row r="193" spans="2:5" x14ac:dyDescent="0.35">
      <c r="B193" s="74"/>
      <c r="C193" s="53" t="s">
        <v>25</v>
      </c>
      <c r="D193" s="54">
        <v>4</v>
      </c>
      <c r="E193" s="55">
        <v>1.863932898416E-3</v>
      </c>
    </row>
    <row r="194" spans="2:5" x14ac:dyDescent="0.35">
      <c r="B194" s="73" t="s">
        <v>106</v>
      </c>
      <c r="C194" s="50" t="s">
        <v>134</v>
      </c>
      <c r="D194" s="51">
        <v>3</v>
      </c>
      <c r="E194" s="52">
        <v>1.397949673812E-3</v>
      </c>
    </row>
    <row r="195" spans="2:5" x14ac:dyDescent="0.35">
      <c r="B195" s="75"/>
      <c r="C195" s="50" t="s">
        <v>187</v>
      </c>
      <c r="D195" s="51">
        <v>2</v>
      </c>
      <c r="E195" s="52">
        <v>9.3196644920800001E-4</v>
      </c>
    </row>
    <row r="196" spans="2:5" x14ac:dyDescent="0.35">
      <c r="B196" s="74"/>
      <c r="C196" s="53" t="s">
        <v>25</v>
      </c>
      <c r="D196" s="54">
        <v>5</v>
      </c>
      <c r="E196" s="55">
        <v>2.32991612302E-3</v>
      </c>
    </row>
    <row r="197" spans="2:5" x14ac:dyDescent="0.35">
      <c r="B197" s="73" t="s">
        <v>107</v>
      </c>
      <c r="C197" s="50" t="s">
        <v>152</v>
      </c>
      <c r="D197" s="51">
        <v>2</v>
      </c>
      <c r="E197" s="52">
        <v>9.3196644920800001E-4</v>
      </c>
    </row>
    <row r="198" spans="2:5" x14ac:dyDescent="0.35">
      <c r="B198" s="75"/>
      <c r="C198" s="50" t="s">
        <v>134</v>
      </c>
      <c r="D198" s="51">
        <v>2</v>
      </c>
      <c r="E198" s="52">
        <v>9.3196644920800001E-4</v>
      </c>
    </row>
    <row r="199" spans="2:5" x14ac:dyDescent="0.35">
      <c r="B199" s="75"/>
      <c r="C199" s="50" t="s">
        <v>141</v>
      </c>
      <c r="D199" s="51">
        <v>1</v>
      </c>
      <c r="E199" s="52">
        <v>4.65983224604E-4</v>
      </c>
    </row>
    <row r="200" spans="2:5" x14ac:dyDescent="0.35">
      <c r="B200" s="75"/>
      <c r="C200" s="50" t="s">
        <v>139</v>
      </c>
      <c r="D200" s="51">
        <v>2</v>
      </c>
      <c r="E200" s="52">
        <v>9.3196644920800001E-4</v>
      </c>
    </row>
    <row r="201" spans="2:5" x14ac:dyDescent="0.35">
      <c r="B201" s="75"/>
      <c r="C201" s="50" t="s">
        <v>204</v>
      </c>
      <c r="D201" s="51">
        <v>1</v>
      </c>
      <c r="E201" s="52">
        <v>4.65983224604E-4</v>
      </c>
    </row>
    <row r="202" spans="2:5" x14ac:dyDescent="0.35">
      <c r="B202" s="74"/>
      <c r="C202" s="53" t="s">
        <v>25</v>
      </c>
      <c r="D202" s="54">
        <v>8</v>
      </c>
      <c r="E202" s="55">
        <v>3.727865796831E-3</v>
      </c>
    </row>
    <row r="203" spans="2:5" x14ac:dyDescent="0.35">
      <c r="B203" s="73" t="s">
        <v>108</v>
      </c>
      <c r="C203" s="50" t="s">
        <v>134</v>
      </c>
      <c r="D203" s="51">
        <v>5</v>
      </c>
      <c r="E203" s="52">
        <v>2.32991612302E-3</v>
      </c>
    </row>
    <row r="204" spans="2:5" x14ac:dyDescent="0.35">
      <c r="B204" s="74"/>
      <c r="C204" s="53" t="s">
        <v>25</v>
      </c>
      <c r="D204" s="54">
        <v>5</v>
      </c>
      <c r="E204" s="55">
        <v>2.32991612302E-3</v>
      </c>
    </row>
    <row r="205" spans="2:5" x14ac:dyDescent="0.35">
      <c r="B205" s="73" t="s">
        <v>109</v>
      </c>
      <c r="C205" s="50" t="s">
        <v>145</v>
      </c>
      <c r="D205" s="51">
        <v>1</v>
      </c>
      <c r="E205" s="52">
        <v>4.65983224604E-4</v>
      </c>
    </row>
    <row r="206" spans="2:5" x14ac:dyDescent="0.35">
      <c r="B206" s="75"/>
      <c r="C206" s="50" t="s">
        <v>148</v>
      </c>
      <c r="D206" s="51">
        <v>6</v>
      </c>
      <c r="E206" s="52">
        <v>2.795899347623E-3</v>
      </c>
    </row>
    <row r="207" spans="2:5" x14ac:dyDescent="0.35">
      <c r="B207" s="75"/>
      <c r="C207" s="50" t="s">
        <v>149</v>
      </c>
      <c r="D207" s="51">
        <v>1</v>
      </c>
      <c r="E207" s="52">
        <v>4.65983224604E-4</v>
      </c>
    </row>
    <row r="208" spans="2:5" x14ac:dyDescent="0.35">
      <c r="B208" s="75"/>
      <c r="C208" s="50" t="s">
        <v>178</v>
      </c>
      <c r="D208" s="51">
        <v>1</v>
      </c>
      <c r="E208" s="52">
        <v>4.65983224604E-4</v>
      </c>
    </row>
    <row r="209" spans="2:5" x14ac:dyDescent="0.35">
      <c r="B209" s="75"/>
      <c r="C209" s="50" t="s">
        <v>134</v>
      </c>
      <c r="D209" s="51">
        <v>2</v>
      </c>
      <c r="E209" s="52">
        <v>9.3196644920800001E-4</v>
      </c>
    </row>
    <row r="210" spans="2:5" x14ac:dyDescent="0.35">
      <c r="B210" s="75"/>
      <c r="C210" s="50" t="s">
        <v>182</v>
      </c>
      <c r="D210" s="51">
        <v>1</v>
      </c>
      <c r="E210" s="52">
        <v>4.65983224604E-4</v>
      </c>
    </row>
    <row r="211" spans="2:5" x14ac:dyDescent="0.35">
      <c r="B211" s="75"/>
      <c r="C211" s="50" t="s">
        <v>197</v>
      </c>
      <c r="D211" s="51">
        <v>1</v>
      </c>
      <c r="E211" s="52">
        <v>4.65983224604E-4</v>
      </c>
    </row>
    <row r="212" spans="2:5" x14ac:dyDescent="0.35">
      <c r="B212" s="74"/>
      <c r="C212" s="53" t="s">
        <v>25</v>
      </c>
      <c r="D212" s="54">
        <v>13</v>
      </c>
      <c r="E212" s="55">
        <v>6.057781919851E-3</v>
      </c>
    </row>
    <row r="213" spans="2:5" x14ac:dyDescent="0.35">
      <c r="B213" s="73" t="s">
        <v>110</v>
      </c>
      <c r="C213" s="50" t="s">
        <v>134</v>
      </c>
      <c r="D213" s="51">
        <v>1</v>
      </c>
      <c r="E213" s="52">
        <v>4.65983224604E-4</v>
      </c>
    </row>
    <row r="214" spans="2:5" x14ac:dyDescent="0.35">
      <c r="B214" s="75"/>
      <c r="C214" s="50" t="s">
        <v>139</v>
      </c>
      <c r="D214" s="51">
        <v>1</v>
      </c>
      <c r="E214" s="52">
        <v>4.65983224604E-4</v>
      </c>
    </row>
    <row r="215" spans="2:5" x14ac:dyDescent="0.35">
      <c r="B215" s="74"/>
      <c r="C215" s="53" t="s">
        <v>25</v>
      </c>
      <c r="D215" s="54">
        <v>2</v>
      </c>
      <c r="E215" s="55">
        <v>9.3196644920800001E-4</v>
      </c>
    </row>
    <row r="216" spans="2:5" x14ac:dyDescent="0.35">
      <c r="B216" s="73" t="s">
        <v>111</v>
      </c>
      <c r="C216" s="50" t="s">
        <v>148</v>
      </c>
      <c r="D216" s="51">
        <v>6</v>
      </c>
      <c r="E216" s="52">
        <v>2.795899347623E-3</v>
      </c>
    </row>
    <row r="217" spans="2:5" x14ac:dyDescent="0.35">
      <c r="B217" s="75"/>
      <c r="C217" s="50" t="s">
        <v>158</v>
      </c>
      <c r="D217" s="51">
        <v>2</v>
      </c>
      <c r="E217" s="52">
        <v>9.3196644920800001E-4</v>
      </c>
    </row>
    <row r="218" spans="2:5" x14ac:dyDescent="0.35">
      <c r="B218" s="75"/>
      <c r="C218" s="50" t="s">
        <v>177</v>
      </c>
      <c r="D218" s="51">
        <v>3</v>
      </c>
      <c r="E218" s="52">
        <v>1.397949673812E-3</v>
      </c>
    </row>
    <row r="219" spans="2:5" x14ac:dyDescent="0.35">
      <c r="B219" s="75"/>
      <c r="C219" s="50" t="s">
        <v>133</v>
      </c>
      <c r="D219" s="51">
        <v>2</v>
      </c>
      <c r="E219" s="52">
        <v>9.3196644920800001E-4</v>
      </c>
    </row>
    <row r="220" spans="2:5" x14ac:dyDescent="0.35">
      <c r="B220" s="75"/>
      <c r="C220" s="50" t="s">
        <v>178</v>
      </c>
      <c r="D220" s="51">
        <v>18</v>
      </c>
      <c r="E220" s="52">
        <v>8.3876980428699999E-3</v>
      </c>
    </row>
    <row r="221" spans="2:5" x14ac:dyDescent="0.35">
      <c r="B221" s="75"/>
      <c r="C221" s="50" t="s">
        <v>134</v>
      </c>
      <c r="D221" s="51">
        <v>12</v>
      </c>
      <c r="E221" s="52">
        <v>5.591798695247E-3</v>
      </c>
    </row>
    <row r="222" spans="2:5" x14ac:dyDescent="0.35">
      <c r="B222" s="75"/>
      <c r="C222" s="50" t="s">
        <v>141</v>
      </c>
      <c r="D222" s="51">
        <v>3</v>
      </c>
      <c r="E222" s="52">
        <v>1.397949673812E-3</v>
      </c>
    </row>
    <row r="223" spans="2:5" x14ac:dyDescent="0.35">
      <c r="B223" s="75"/>
      <c r="C223" s="50" t="s">
        <v>186</v>
      </c>
      <c r="D223" s="51">
        <v>1</v>
      </c>
      <c r="E223" s="52">
        <v>4.65983224604E-4</v>
      </c>
    </row>
    <row r="224" spans="2:5" x14ac:dyDescent="0.35">
      <c r="B224" s="75"/>
      <c r="C224" s="50" t="s">
        <v>192</v>
      </c>
      <c r="D224" s="51">
        <v>1</v>
      </c>
      <c r="E224" s="52">
        <v>4.65983224604E-4</v>
      </c>
    </row>
    <row r="225" spans="2:5" x14ac:dyDescent="0.35">
      <c r="B225" s="75"/>
      <c r="C225" s="50" t="s">
        <v>136</v>
      </c>
      <c r="D225" s="51">
        <v>1</v>
      </c>
      <c r="E225" s="52">
        <v>4.65983224604E-4</v>
      </c>
    </row>
    <row r="226" spans="2:5" x14ac:dyDescent="0.35">
      <c r="B226" s="75"/>
      <c r="C226" s="50" t="s">
        <v>137</v>
      </c>
      <c r="D226" s="51">
        <v>1</v>
      </c>
      <c r="E226" s="52">
        <v>4.65983224604E-4</v>
      </c>
    </row>
    <row r="227" spans="2:5" x14ac:dyDescent="0.35">
      <c r="B227" s="75"/>
      <c r="C227" s="50" t="s">
        <v>207</v>
      </c>
      <c r="D227" s="51">
        <v>2</v>
      </c>
      <c r="E227" s="52">
        <v>9.3196644920800001E-4</v>
      </c>
    </row>
    <row r="228" spans="2:5" x14ac:dyDescent="0.35">
      <c r="B228" s="74"/>
      <c r="C228" s="53" t="s">
        <v>25</v>
      </c>
      <c r="D228" s="54">
        <v>52</v>
      </c>
      <c r="E228" s="55">
        <v>2.4231127679404E-2</v>
      </c>
    </row>
    <row r="229" spans="2:5" x14ac:dyDescent="0.35">
      <c r="B229" s="73" t="s">
        <v>112</v>
      </c>
      <c r="C229" s="50" t="s">
        <v>134</v>
      </c>
      <c r="D229" s="51">
        <v>3</v>
      </c>
      <c r="E229" s="52">
        <v>1.397949673812E-3</v>
      </c>
    </row>
    <row r="230" spans="2:5" x14ac:dyDescent="0.35">
      <c r="B230" s="75"/>
      <c r="C230" s="50" t="s">
        <v>187</v>
      </c>
      <c r="D230" s="51">
        <v>2</v>
      </c>
      <c r="E230" s="52">
        <v>9.3196644920800001E-4</v>
      </c>
    </row>
    <row r="231" spans="2:5" x14ac:dyDescent="0.35">
      <c r="B231" s="75"/>
      <c r="C231" s="50" t="s">
        <v>193</v>
      </c>
      <c r="D231" s="51">
        <v>1</v>
      </c>
      <c r="E231" s="52">
        <v>4.65983224604E-4</v>
      </c>
    </row>
    <row r="232" spans="2:5" x14ac:dyDescent="0.35">
      <c r="B232" s="74"/>
      <c r="C232" s="53" t="s">
        <v>25</v>
      </c>
      <c r="D232" s="54">
        <v>6</v>
      </c>
      <c r="E232" s="55">
        <v>2.795899347623E-3</v>
      </c>
    </row>
    <row r="233" spans="2:5" x14ac:dyDescent="0.35">
      <c r="B233" s="73" t="s">
        <v>113</v>
      </c>
      <c r="C233" s="50" t="s">
        <v>134</v>
      </c>
      <c r="D233" s="51">
        <v>2</v>
      </c>
      <c r="E233" s="52">
        <v>9.3196644920800001E-4</v>
      </c>
    </row>
    <row r="234" spans="2:5" x14ac:dyDescent="0.35">
      <c r="B234" s="75"/>
      <c r="C234" s="50" t="s">
        <v>139</v>
      </c>
      <c r="D234" s="51">
        <v>1</v>
      </c>
      <c r="E234" s="52">
        <v>4.65983224604E-4</v>
      </c>
    </row>
    <row r="235" spans="2:5" x14ac:dyDescent="0.35">
      <c r="B235" s="74"/>
      <c r="C235" s="53" t="s">
        <v>25</v>
      </c>
      <c r="D235" s="54">
        <v>3</v>
      </c>
      <c r="E235" s="55">
        <v>1.397949673812E-3</v>
      </c>
    </row>
    <row r="236" spans="2:5" x14ac:dyDescent="0.35">
      <c r="B236" s="73" t="s">
        <v>114</v>
      </c>
      <c r="C236" s="50" t="s">
        <v>134</v>
      </c>
      <c r="D236" s="51">
        <v>1</v>
      </c>
      <c r="E236" s="52">
        <v>4.65983224604E-4</v>
      </c>
    </row>
    <row r="237" spans="2:5" x14ac:dyDescent="0.35">
      <c r="B237" s="75"/>
      <c r="C237" s="50" t="s">
        <v>181</v>
      </c>
      <c r="D237" s="51">
        <v>1</v>
      </c>
      <c r="E237" s="52">
        <v>4.65983224604E-4</v>
      </c>
    </row>
    <row r="238" spans="2:5" x14ac:dyDescent="0.35">
      <c r="B238" s="75"/>
      <c r="C238" s="50" t="s">
        <v>139</v>
      </c>
      <c r="D238" s="51">
        <v>1</v>
      </c>
      <c r="E238" s="52">
        <v>4.65983224604E-4</v>
      </c>
    </row>
    <row r="239" spans="2:5" x14ac:dyDescent="0.35">
      <c r="B239" s="75"/>
      <c r="C239" s="50" t="s">
        <v>142</v>
      </c>
      <c r="D239" s="51">
        <v>1</v>
      </c>
      <c r="E239" s="52">
        <v>4.65983224604E-4</v>
      </c>
    </row>
    <row r="240" spans="2:5" x14ac:dyDescent="0.35">
      <c r="B240" s="75"/>
      <c r="C240" s="50" t="s">
        <v>208</v>
      </c>
      <c r="D240" s="51">
        <v>1</v>
      </c>
      <c r="E240" s="52">
        <v>4.65983224604E-4</v>
      </c>
    </row>
    <row r="241" spans="2:5" x14ac:dyDescent="0.35">
      <c r="B241" s="74"/>
      <c r="C241" s="53" t="s">
        <v>25</v>
      </c>
      <c r="D241" s="54">
        <v>5</v>
      </c>
      <c r="E241" s="55">
        <v>2.32991612302E-3</v>
      </c>
    </row>
    <row r="242" spans="2:5" x14ac:dyDescent="0.35">
      <c r="B242" s="73" t="s">
        <v>115</v>
      </c>
      <c r="C242" s="50" t="s">
        <v>148</v>
      </c>
      <c r="D242" s="51">
        <v>1</v>
      </c>
      <c r="E242" s="52">
        <v>4.65983224604E-4</v>
      </c>
    </row>
    <row r="243" spans="2:5" x14ac:dyDescent="0.35">
      <c r="B243" s="75"/>
      <c r="C243" s="50" t="s">
        <v>132</v>
      </c>
      <c r="D243" s="51">
        <v>1</v>
      </c>
      <c r="E243" s="52">
        <v>4.65983224604E-4</v>
      </c>
    </row>
    <row r="244" spans="2:5" x14ac:dyDescent="0.35">
      <c r="B244" s="75"/>
      <c r="C244" s="50" t="s">
        <v>155</v>
      </c>
      <c r="D244" s="51">
        <v>1</v>
      </c>
      <c r="E244" s="52">
        <v>4.65983224604E-4</v>
      </c>
    </row>
    <row r="245" spans="2:5" x14ac:dyDescent="0.35">
      <c r="B245" s="75"/>
      <c r="C245" s="50" t="s">
        <v>173</v>
      </c>
      <c r="D245" s="51">
        <v>1</v>
      </c>
      <c r="E245" s="52">
        <v>4.65983224604E-4</v>
      </c>
    </row>
    <row r="246" spans="2:5" x14ac:dyDescent="0.35">
      <c r="B246" s="75"/>
      <c r="C246" s="50" t="s">
        <v>174</v>
      </c>
      <c r="D246" s="51">
        <v>1</v>
      </c>
      <c r="E246" s="52">
        <v>4.65983224604E-4</v>
      </c>
    </row>
    <row r="247" spans="2:5" x14ac:dyDescent="0.35">
      <c r="B247" s="75"/>
      <c r="C247" s="50" t="s">
        <v>177</v>
      </c>
      <c r="D247" s="51">
        <v>1</v>
      </c>
      <c r="E247" s="52">
        <v>4.65983224604E-4</v>
      </c>
    </row>
    <row r="248" spans="2:5" x14ac:dyDescent="0.35">
      <c r="B248" s="75"/>
      <c r="C248" s="50" t="s">
        <v>211</v>
      </c>
      <c r="D248" s="51">
        <v>1</v>
      </c>
      <c r="E248" s="52">
        <v>4.65983224604E-4</v>
      </c>
    </row>
    <row r="249" spans="2:5" x14ac:dyDescent="0.35">
      <c r="B249" s="75"/>
      <c r="C249" s="50" t="s">
        <v>134</v>
      </c>
      <c r="D249" s="51">
        <v>5</v>
      </c>
      <c r="E249" s="52">
        <v>2.32991612302E-3</v>
      </c>
    </row>
    <row r="250" spans="2:5" x14ac:dyDescent="0.35">
      <c r="B250" s="75"/>
      <c r="C250" s="50" t="s">
        <v>139</v>
      </c>
      <c r="D250" s="51">
        <v>1</v>
      </c>
      <c r="E250" s="52">
        <v>4.65983224604E-4</v>
      </c>
    </row>
    <row r="251" spans="2:5" x14ac:dyDescent="0.35">
      <c r="B251" s="75"/>
      <c r="C251" s="50" t="s">
        <v>203</v>
      </c>
      <c r="D251" s="51">
        <v>1</v>
      </c>
      <c r="E251" s="52">
        <v>4.65983224604E-4</v>
      </c>
    </row>
    <row r="252" spans="2:5" x14ac:dyDescent="0.35">
      <c r="B252" s="75"/>
      <c r="C252" s="50" t="s">
        <v>204</v>
      </c>
      <c r="D252" s="51">
        <v>1</v>
      </c>
      <c r="E252" s="52">
        <v>4.65983224604E-4</v>
      </c>
    </row>
    <row r="253" spans="2:5" x14ac:dyDescent="0.35">
      <c r="B253" s="75"/>
      <c r="C253" s="50" t="s">
        <v>205</v>
      </c>
      <c r="D253" s="51">
        <v>1</v>
      </c>
      <c r="E253" s="52">
        <v>4.65983224604E-4</v>
      </c>
    </row>
    <row r="254" spans="2:5" x14ac:dyDescent="0.35">
      <c r="B254" s="75"/>
      <c r="C254" s="50" t="s">
        <v>207</v>
      </c>
      <c r="D254" s="51">
        <v>1</v>
      </c>
      <c r="E254" s="52">
        <v>4.65983224604E-4</v>
      </c>
    </row>
    <row r="255" spans="2:5" x14ac:dyDescent="0.35">
      <c r="B255" s="74"/>
      <c r="C255" s="53" t="s">
        <v>25</v>
      </c>
      <c r="D255" s="54">
        <v>17</v>
      </c>
      <c r="E255" s="55">
        <v>7.9217148182669991E-3</v>
      </c>
    </row>
    <row r="256" spans="2:5" x14ac:dyDescent="0.35">
      <c r="B256" s="73" t="s">
        <v>116</v>
      </c>
      <c r="C256" s="50" t="s">
        <v>134</v>
      </c>
      <c r="D256" s="51">
        <v>3</v>
      </c>
      <c r="E256" s="52">
        <v>1.397949673812E-3</v>
      </c>
    </row>
    <row r="257" spans="2:5" x14ac:dyDescent="0.35">
      <c r="B257" s="75"/>
      <c r="C257" s="50" t="s">
        <v>208</v>
      </c>
      <c r="D257" s="51">
        <v>1</v>
      </c>
      <c r="E257" s="52">
        <v>4.65983224604E-4</v>
      </c>
    </row>
    <row r="258" spans="2:5" x14ac:dyDescent="0.35">
      <c r="B258" s="74"/>
      <c r="C258" s="53" t="s">
        <v>25</v>
      </c>
      <c r="D258" s="54">
        <v>4</v>
      </c>
      <c r="E258" s="55">
        <v>1.863932898416E-3</v>
      </c>
    </row>
    <row r="259" spans="2:5" x14ac:dyDescent="0.35">
      <c r="B259" s="73" t="s">
        <v>117</v>
      </c>
      <c r="C259" s="50" t="s">
        <v>148</v>
      </c>
      <c r="D259" s="51">
        <v>6</v>
      </c>
      <c r="E259" s="52">
        <v>2.795899347623E-3</v>
      </c>
    </row>
    <row r="260" spans="2:5" x14ac:dyDescent="0.35">
      <c r="B260" s="75"/>
      <c r="C260" s="50" t="s">
        <v>178</v>
      </c>
      <c r="D260" s="51">
        <v>1</v>
      </c>
      <c r="E260" s="52">
        <v>4.65983224604E-4</v>
      </c>
    </row>
    <row r="261" spans="2:5" x14ac:dyDescent="0.35">
      <c r="B261" s="75"/>
      <c r="C261" s="50" t="s">
        <v>134</v>
      </c>
      <c r="D261" s="51">
        <v>2</v>
      </c>
      <c r="E261" s="52">
        <v>9.3196644920800001E-4</v>
      </c>
    </row>
    <row r="262" spans="2:5" x14ac:dyDescent="0.35">
      <c r="B262" s="75"/>
      <c r="C262" s="50" t="s">
        <v>135</v>
      </c>
      <c r="D262" s="51">
        <v>1</v>
      </c>
      <c r="E262" s="52">
        <v>4.65983224604E-4</v>
      </c>
    </row>
    <row r="263" spans="2:5" x14ac:dyDescent="0.35">
      <c r="B263" s="75"/>
      <c r="C263" s="50" t="s">
        <v>187</v>
      </c>
      <c r="D263" s="51">
        <v>1</v>
      </c>
      <c r="E263" s="52">
        <v>4.65983224604E-4</v>
      </c>
    </row>
    <row r="264" spans="2:5" x14ac:dyDescent="0.35">
      <c r="B264" s="75"/>
      <c r="C264" s="50" t="s">
        <v>136</v>
      </c>
      <c r="D264" s="51">
        <v>1</v>
      </c>
      <c r="E264" s="52">
        <v>4.65983224604E-4</v>
      </c>
    </row>
    <row r="265" spans="2:5" x14ac:dyDescent="0.35">
      <c r="B265" s="75"/>
      <c r="C265" s="50" t="s">
        <v>203</v>
      </c>
      <c r="D265" s="51">
        <v>1</v>
      </c>
      <c r="E265" s="52">
        <v>4.65983224604E-4</v>
      </c>
    </row>
    <row r="266" spans="2:5" x14ac:dyDescent="0.35">
      <c r="B266" s="74"/>
      <c r="C266" s="53" t="s">
        <v>25</v>
      </c>
      <c r="D266" s="54">
        <v>13</v>
      </c>
      <c r="E266" s="55">
        <v>6.057781919851E-3</v>
      </c>
    </row>
    <row r="267" spans="2:5" x14ac:dyDescent="0.35">
      <c r="B267" s="73" t="s">
        <v>118</v>
      </c>
      <c r="C267" s="50" t="s">
        <v>151</v>
      </c>
      <c r="D267" s="51">
        <v>1</v>
      </c>
      <c r="E267" s="52">
        <v>4.65983224604E-4</v>
      </c>
    </row>
    <row r="268" spans="2:5" x14ac:dyDescent="0.35">
      <c r="B268" s="75"/>
      <c r="C268" s="50" t="s">
        <v>153</v>
      </c>
      <c r="D268" s="51">
        <v>4</v>
      </c>
      <c r="E268" s="52">
        <v>1.863932898416E-3</v>
      </c>
    </row>
    <row r="269" spans="2:5" x14ac:dyDescent="0.35">
      <c r="B269" s="75"/>
      <c r="C269" s="50" t="s">
        <v>154</v>
      </c>
      <c r="D269" s="51">
        <v>4</v>
      </c>
      <c r="E269" s="52">
        <v>1.863932898416E-3</v>
      </c>
    </row>
    <row r="270" spans="2:5" x14ac:dyDescent="0.35">
      <c r="B270" s="75"/>
      <c r="C270" s="50" t="s">
        <v>158</v>
      </c>
      <c r="D270" s="51">
        <v>2</v>
      </c>
      <c r="E270" s="52">
        <v>9.3196644920800001E-4</v>
      </c>
    </row>
    <row r="271" spans="2:5" x14ac:dyDescent="0.35">
      <c r="B271" s="75"/>
      <c r="C271" s="50" t="s">
        <v>164</v>
      </c>
      <c r="D271" s="51">
        <v>6</v>
      </c>
      <c r="E271" s="52">
        <v>2.795899347623E-3</v>
      </c>
    </row>
    <row r="272" spans="2:5" x14ac:dyDescent="0.35">
      <c r="B272" s="75"/>
      <c r="C272" s="50" t="s">
        <v>168</v>
      </c>
      <c r="D272" s="51">
        <v>1</v>
      </c>
      <c r="E272" s="52">
        <v>4.65983224604E-4</v>
      </c>
    </row>
    <row r="273" spans="2:5" x14ac:dyDescent="0.35">
      <c r="B273" s="75"/>
      <c r="C273" s="50" t="s">
        <v>174</v>
      </c>
      <c r="D273" s="51">
        <v>1</v>
      </c>
      <c r="E273" s="52">
        <v>4.65983224604E-4</v>
      </c>
    </row>
    <row r="274" spans="2:5" x14ac:dyDescent="0.35">
      <c r="B274" s="75"/>
      <c r="C274" s="50" t="s">
        <v>176</v>
      </c>
      <c r="D274" s="51">
        <v>2</v>
      </c>
      <c r="E274" s="52">
        <v>9.3196644920800001E-4</v>
      </c>
    </row>
    <row r="275" spans="2:5" x14ac:dyDescent="0.35">
      <c r="B275" s="75"/>
      <c r="C275" s="50" t="s">
        <v>177</v>
      </c>
      <c r="D275" s="51">
        <v>5</v>
      </c>
      <c r="E275" s="52">
        <v>2.32991612302E-3</v>
      </c>
    </row>
    <row r="276" spans="2:5" x14ac:dyDescent="0.35">
      <c r="B276" s="75"/>
      <c r="C276" s="50" t="s">
        <v>134</v>
      </c>
      <c r="D276" s="51">
        <v>7</v>
      </c>
      <c r="E276" s="52">
        <v>3.261882572227E-3</v>
      </c>
    </row>
    <row r="277" spans="2:5" x14ac:dyDescent="0.35">
      <c r="B277" s="75"/>
      <c r="C277" s="50" t="s">
        <v>141</v>
      </c>
      <c r="D277" s="51">
        <v>36</v>
      </c>
      <c r="E277" s="52">
        <v>1.6775396085740999E-2</v>
      </c>
    </row>
    <row r="278" spans="2:5" x14ac:dyDescent="0.35">
      <c r="B278" s="75"/>
      <c r="C278" s="50" t="s">
        <v>192</v>
      </c>
      <c r="D278" s="51">
        <v>3</v>
      </c>
      <c r="E278" s="52">
        <v>1.397949673812E-3</v>
      </c>
    </row>
    <row r="279" spans="2:5" x14ac:dyDescent="0.35">
      <c r="B279" s="75"/>
      <c r="C279" s="50" t="s">
        <v>193</v>
      </c>
      <c r="D279" s="51">
        <v>1</v>
      </c>
      <c r="E279" s="52">
        <v>4.65983224604E-4</v>
      </c>
    </row>
    <row r="280" spans="2:5" x14ac:dyDescent="0.35">
      <c r="B280" s="75"/>
      <c r="C280" s="50" t="s">
        <v>136</v>
      </c>
      <c r="D280" s="51">
        <v>4</v>
      </c>
      <c r="E280" s="52">
        <v>1.863932898416E-3</v>
      </c>
    </row>
    <row r="281" spans="2:5" x14ac:dyDescent="0.35">
      <c r="B281" s="75"/>
      <c r="C281" s="50" t="s">
        <v>195</v>
      </c>
      <c r="D281" s="51">
        <v>1</v>
      </c>
      <c r="E281" s="52">
        <v>4.65983224604E-4</v>
      </c>
    </row>
    <row r="282" spans="2:5" x14ac:dyDescent="0.35">
      <c r="B282" s="75"/>
      <c r="C282" s="50" t="s">
        <v>137</v>
      </c>
      <c r="D282" s="51">
        <v>1</v>
      </c>
      <c r="E282" s="52">
        <v>4.65983224604E-4</v>
      </c>
    </row>
    <row r="283" spans="2:5" x14ac:dyDescent="0.35">
      <c r="B283" s="75"/>
      <c r="C283" s="50" t="s">
        <v>203</v>
      </c>
      <c r="D283" s="51">
        <v>1</v>
      </c>
      <c r="E283" s="52">
        <v>4.65983224604E-4</v>
      </c>
    </row>
    <row r="284" spans="2:5" x14ac:dyDescent="0.35">
      <c r="B284" s="75"/>
      <c r="C284" s="50" t="s">
        <v>143</v>
      </c>
      <c r="D284" s="51">
        <v>1</v>
      </c>
      <c r="E284" s="52">
        <v>4.65983224604E-4</v>
      </c>
    </row>
    <row r="285" spans="2:5" x14ac:dyDescent="0.35">
      <c r="B285" s="74"/>
      <c r="C285" s="53" t="s">
        <v>25</v>
      </c>
      <c r="D285" s="54">
        <v>81</v>
      </c>
      <c r="E285" s="55">
        <v>3.7744641192916997E-2</v>
      </c>
    </row>
    <row r="286" spans="2:5" x14ac:dyDescent="0.35">
      <c r="B286" s="73" t="s">
        <v>119</v>
      </c>
      <c r="C286" s="50" t="s">
        <v>166</v>
      </c>
      <c r="D286" s="51">
        <v>1</v>
      </c>
      <c r="E286" s="52">
        <v>4.65983224604E-4</v>
      </c>
    </row>
    <row r="287" spans="2:5" x14ac:dyDescent="0.35">
      <c r="B287" s="75"/>
      <c r="C287" s="50" t="s">
        <v>178</v>
      </c>
      <c r="D287" s="51">
        <v>1</v>
      </c>
      <c r="E287" s="52">
        <v>4.65983224604E-4</v>
      </c>
    </row>
    <row r="288" spans="2:5" x14ac:dyDescent="0.35">
      <c r="B288" s="75"/>
      <c r="C288" s="50" t="s">
        <v>182</v>
      </c>
      <c r="D288" s="51">
        <v>1</v>
      </c>
      <c r="E288" s="52">
        <v>4.65983224604E-4</v>
      </c>
    </row>
    <row r="289" spans="2:5" x14ac:dyDescent="0.35">
      <c r="B289" s="75"/>
      <c r="C289" s="50" t="s">
        <v>191</v>
      </c>
      <c r="D289" s="51">
        <v>1</v>
      </c>
      <c r="E289" s="52">
        <v>4.65983224604E-4</v>
      </c>
    </row>
    <row r="290" spans="2:5" x14ac:dyDescent="0.35">
      <c r="B290" s="74"/>
      <c r="C290" s="53" t="s">
        <v>25</v>
      </c>
      <c r="D290" s="54">
        <v>4</v>
      </c>
      <c r="E290" s="55">
        <v>1.863932898416E-3</v>
      </c>
    </row>
    <row r="291" spans="2:5" x14ac:dyDescent="0.35">
      <c r="B291" s="73" t="s">
        <v>120</v>
      </c>
      <c r="C291" s="50" t="s">
        <v>144</v>
      </c>
      <c r="D291" s="51">
        <v>1</v>
      </c>
      <c r="E291" s="52">
        <v>4.65983224604E-4</v>
      </c>
    </row>
    <row r="292" spans="2:5" x14ac:dyDescent="0.35">
      <c r="B292" s="75"/>
      <c r="C292" s="50" t="s">
        <v>168</v>
      </c>
      <c r="D292" s="51">
        <v>1</v>
      </c>
      <c r="E292" s="52">
        <v>4.65983224604E-4</v>
      </c>
    </row>
    <row r="293" spans="2:5" x14ac:dyDescent="0.35">
      <c r="B293" s="75"/>
      <c r="C293" s="50" t="s">
        <v>134</v>
      </c>
      <c r="D293" s="51">
        <v>2</v>
      </c>
      <c r="E293" s="52">
        <v>9.3196644920800001E-4</v>
      </c>
    </row>
    <row r="294" spans="2:5" x14ac:dyDescent="0.35">
      <c r="B294" s="75"/>
      <c r="C294" s="50" t="s">
        <v>186</v>
      </c>
      <c r="D294" s="51">
        <v>1</v>
      </c>
      <c r="E294" s="52">
        <v>4.65983224604E-4</v>
      </c>
    </row>
    <row r="295" spans="2:5" x14ac:dyDescent="0.35">
      <c r="B295" s="74"/>
      <c r="C295" s="53" t="s">
        <v>25</v>
      </c>
      <c r="D295" s="54">
        <v>5</v>
      </c>
      <c r="E295" s="55">
        <v>2.32991612302E-3</v>
      </c>
    </row>
    <row r="296" spans="2:5" x14ac:dyDescent="0.35">
      <c r="B296" s="73" t="s">
        <v>121</v>
      </c>
      <c r="C296" s="50" t="s">
        <v>148</v>
      </c>
      <c r="D296" s="51">
        <v>2</v>
      </c>
      <c r="E296" s="52">
        <v>9.3196644920800001E-4</v>
      </c>
    </row>
    <row r="297" spans="2:5" x14ac:dyDescent="0.35">
      <c r="B297" s="75"/>
      <c r="C297" s="50" t="s">
        <v>134</v>
      </c>
      <c r="D297" s="51">
        <v>1</v>
      </c>
      <c r="E297" s="52">
        <v>4.65983224604E-4</v>
      </c>
    </row>
    <row r="298" spans="2:5" x14ac:dyDescent="0.35">
      <c r="B298" s="75"/>
      <c r="C298" s="50" t="s">
        <v>215</v>
      </c>
      <c r="D298" s="51">
        <v>1</v>
      </c>
      <c r="E298" s="52">
        <v>4.65983224604E-4</v>
      </c>
    </row>
    <row r="299" spans="2:5" x14ac:dyDescent="0.35">
      <c r="B299" s="74"/>
      <c r="C299" s="53" t="s">
        <v>25</v>
      </c>
      <c r="D299" s="54">
        <v>4</v>
      </c>
      <c r="E299" s="55">
        <v>1.863932898416E-3</v>
      </c>
    </row>
    <row r="300" spans="2:5" x14ac:dyDescent="0.35">
      <c r="B300" s="73" t="s">
        <v>122</v>
      </c>
      <c r="C300" s="50" t="s">
        <v>146</v>
      </c>
      <c r="D300" s="51">
        <v>1</v>
      </c>
      <c r="E300" s="52">
        <v>4.65983224604E-4</v>
      </c>
    </row>
    <row r="301" spans="2:5" x14ac:dyDescent="0.35">
      <c r="B301" s="75"/>
      <c r="C301" s="50" t="s">
        <v>149</v>
      </c>
      <c r="D301" s="51">
        <v>1</v>
      </c>
      <c r="E301" s="52">
        <v>4.65983224604E-4</v>
      </c>
    </row>
    <row r="302" spans="2:5" x14ac:dyDescent="0.35">
      <c r="B302" s="75"/>
      <c r="C302" s="50" t="s">
        <v>150</v>
      </c>
      <c r="D302" s="51">
        <v>12</v>
      </c>
      <c r="E302" s="52">
        <v>5.591798695247E-3</v>
      </c>
    </row>
    <row r="303" spans="2:5" x14ac:dyDescent="0.35">
      <c r="B303" s="75"/>
      <c r="C303" s="50" t="s">
        <v>156</v>
      </c>
      <c r="D303" s="51">
        <v>1</v>
      </c>
      <c r="E303" s="52">
        <v>4.65983224604E-4</v>
      </c>
    </row>
    <row r="304" spans="2:5" x14ac:dyDescent="0.35">
      <c r="B304" s="75"/>
      <c r="C304" s="50" t="s">
        <v>157</v>
      </c>
      <c r="D304" s="51">
        <v>1</v>
      </c>
      <c r="E304" s="52">
        <v>4.65983224604E-4</v>
      </c>
    </row>
    <row r="305" spans="2:5" x14ac:dyDescent="0.35">
      <c r="B305" s="75"/>
      <c r="C305" s="50" t="s">
        <v>159</v>
      </c>
      <c r="D305" s="51">
        <v>1</v>
      </c>
      <c r="E305" s="52">
        <v>4.65983224604E-4</v>
      </c>
    </row>
    <row r="306" spans="2:5" x14ac:dyDescent="0.35">
      <c r="B306" s="75"/>
      <c r="C306" s="50" t="s">
        <v>167</v>
      </c>
      <c r="D306" s="51">
        <v>40</v>
      </c>
      <c r="E306" s="52">
        <v>1.8639328984156999E-2</v>
      </c>
    </row>
    <row r="307" spans="2:5" x14ac:dyDescent="0.35">
      <c r="B307" s="75"/>
      <c r="C307" s="50" t="s">
        <v>169</v>
      </c>
      <c r="D307" s="51">
        <v>2</v>
      </c>
      <c r="E307" s="52">
        <v>9.3196644920800001E-4</v>
      </c>
    </row>
    <row r="308" spans="2:5" x14ac:dyDescent="0.35">
      <c r="B308" s="75"/>
      <c r="C308" s="50" t="s">
        <v>170</v>
      </c>
      <c r="D308" s="51">
        <v>1</v>
      </c>
      <c r="E308" s="52">
        <v>4.65983224604E-4</v>
      </c>
    </row>
    <row r="309" spans="2:5" x14ac:dyDescent="0.35">
      <c r="B309" s="75"/>
      <c r="C309" s="50" t="s">
        <v>172</v>
      </c>
      <c r="D309" s="51">
        <v>2</v>
      </c>
      <c r="E309" s="52">
        <v>9.3196644920800001E-4</v>
      </c>
    </row>
    <row r="310" spans="2:5" x14ac:dyDescent="0.35">
      <c r="B310" s="75"/>
      <c r="C310" s="50" t="s">
        <v>211</v>
      </c>
      <c r="D310" s="51">
        <v>1</v>
      </c>
      <c r="E310" s="52">
        <v>4.65983224604E-4</v>
      </c>
    </row>
    <row r="311" spans="2:5" x14ac:dyDescent="0.35">
      <c r="B311" s="75"/>
      <c r="C311" s="50" t="s">
        <v>133</v>
      </c>
      <c r="D311" s="51">
        <v>3</v>
      </c>
      <c r="E311" s="52">
        <v>1.397949673812E-3</v>
      </c>
    </row>
    <row r="312" spans="2:5" x14ac:dyDescent="0.35">
      <c r="B312" s="75"/>
      <c r="C312" s="50" t="s">
        <v>178</v>
      </c>
      <c r="D312" s="51">
        <v>1</v>
      </c>
      <c r="E312" s="52">
        <v>4.65983224604E-4</v>
      </c>
    </row>
    <row r="313" spans="2:5" x14ac:dyDescent="0.35">
      <c r="B313" s="75"/>
      <c r="C313" s="50" t="s">
        <v>134</v>
      </c>
      <c r="D313" s="51">
        <v>84</v>
      </c>
      <c r="E313" s="52">
        <v>3.9142590866728999E-2</v>
      </c>
    </row>
    <row r="314" spans="2:5" x14ac:dyDescent="0.35">
      <c r="B314" s="75"/>
      <c r="C314" s="50" t="s">
        <v>141</v>
      </c>
      <c r="D314" s="51">
        <v>3</v>
      </c>
      <c r="E314" s="52">
        <v>1.397949673812E-3</v>
      </c>
    </row>
    <row r="315" spans="2:5" x14ac:dyDescent="0.35">
      <c r="B315" s="75"/>
      <c r="C315" s="50" t="s">
        <v>139</v>
      </c>
      <c r="D315" s="51">
        <v>2</v>
      </c>
      <c r="E315" s="52">
        <v>9.3196644920800001E-4</v>
      </c>
    </row>
    <row r="316" spans="2:5" x14ac:dyDescent="0.35">
      <c r="B316" s="75"/>
      <c r="C316" s="50" t="s">
        <v>187</v>
      </c>
      <c r="D316" s="51">
        <v>1</v>
      </c>
      <c r="E316" s="52">
        <v>4.65983224604E-4</v>
      </c>
    </row>
    <row r="317" spans="2:5" x14ac:dyDescent="0.35">
      <c r="B317" s="75"/>
      <c r="C317" s="50" t="s">
        <v>191</v>
      </c>
      <c r="D317" s="51">
        <v>3</v>
      </c>
      <c r="E317" s="52">
        <v>1.397949673812E-3</v>
      </c>
    </row>
    <row r="318" spans="2:5" x14ac:dyDescent="0.35">
      <c r="B318" s="75"/>
      <c r="C318" s="50" t="s">
        <v>193</v>
      </c>
      <c r="D318" s="51">
        <v>5</v>
      </c>
      <c r="E318" s="52">
        <v>2.32991612302E-3</v>
      </c>
    </row>
    <row r="319" spans="2:5" x14ac:dyDescent="0.35">
      <c r="B319" s="75"/>
      <c r="C319" s="50" t="s">
        <v>136</v>
      </c>
      <c r="D319" s="51">
        <v>3</v>
      </c>
      <c r="E319" s="52">
        <v>1.397949673812E-3</v>
      </c>
    </row>
    <row r="320" spans="2:5" x14ac:dyDescent="0.35">
      <c r="B320" s="75"/>
      <c r="C320" s="50" t="s">
        <v>195</v>
      </c>
      <c r="D320" s="51">
        <v>1</v>
      </c>
      <c r="E320" s="52">
        <v>4.65983224604E-4</v>
      </c>
    </row>
    <row r="321" spans="2:5" x14ac:dyDescent="0.35">
      <c r="B321" s="75"/>
      <c r="C321" s="50" t="s">
        <v>137</v>
      </c>
      <c r="D321" s="51">
        <v>1</v>
      </c>
      <c r="E321" s="52">
        <v>4.65983224604E-4</v>
      </c>
    </row>
    <row r="322" spans="2:5" x14ac:dyDescent="0.35">
      <c r="B322" s="75"/>
      <c r="C322" s="50" t="s">
        <v>202</v>
      </c>
      <c r="D322" s="51">
        <v>2</v>
      </c>
      <c r="E322" s="52">
        <v>9.3196644920800001E-4</v>
      </c>
    </row>
    <row r="323" spans="2:5" x14ac:dyDescent="0.35">
      <c r="B323" s="75"/>
      <c r="C323" s="50" t="s">
        <v>204</v>
      </c>
      <c r="D323" s="51">
        <v>6</v>
      </c>
      <c r="E323" s="52">
        <v>2.795899347623E-3</v>
      </c>
    </row>
    <row r="324" spans="2:5" x14ac:dyDescent="0.35">
      <c r="B324" s="75"/>
      <c r="C324" s="50" t="s">
        <v>142</v>
      </c>
      <c r="D324" s="51">
        <v>1</v>
      </c>
      <c r="E324" s="52">
        <v>4.65983224604E-4</v>
      </c>
    </row>
    <row r="325" spans="2:5" x14ac:dyDescent="0.35">
      <c r="B325" s="75"/>
      <c r="C325" s="50" t="s">
        <v>216</v>
      </c>
      <c r="D325" s="51">
        <v>1</v>
      </c>
      <c r="E325" s="52">
        <v>4.65983224604E-4</v>
      </c>
    </row>
    <row r="326" spans="2:5" x14ac:dyDescent="0.35">
      <c r="B326" s="75"/>
      <c r="C326" s="50" t="s">
        <v>143</v>
      </c>
      <c r="D326" s="51">
        <v>2</v>
      </c>
      <c r="E326" s="52">
        <v>9.3196644920800001E-4</v>
      </c>
    </row>
    <row r="327" spans="2:5" x14ac:dyDescent="0.35">
      <c r="B327" s="75"/>
      <c r="C327" s="50" t="s">
        <v>207</v>
      </c>
      <c r="D327" s="51">
        <v>6</v>
      </c>
      <c r="E327" s="52">
        <v>2.795899347623E-3</v>
      </c>
    </row>
    <row r="328" spans="2:5" x14ac:dyDescent="0.35">
      <c r="B328" s="75"/>
      <c r="C328" s="50" t="s">
        <v>213</v>
      </c>
      <c r="D328" s="51">
        <v>6</v>
      </c>
      <c r="E328" s="52">
        <v>2.795899347623E-3</v>
      </c>
    </row>
    <row r="329" spans="2:5" x14ac:dyDescent="0.35">
      <c r="B329" s="75"/>
      <c r="C329" s="50" t="s">
        <v>217</v>
      </c>
      <c r="D329" s="51">
        <v>1</v>
      </c>
      <c r="E329" s="52">
        <v>4.65983224604E-4</v>
      </c>
    </row>
    <row r="330" spans="2:5" x14ac:dyDescent="0.35">
      <c r="B330" s="75"/>
      <c r="C330" s="50" t="s">
        <v>218</v>
      </c>
      <c r="D330" s="51">
        <v>1</v>
      </c>
      <c r="E330" s="52">
        <v>4.65983224604E-4</v>
      </c>
    </row>
    <row r="331" spans="2:5" x14ac:dyDescent="0.35">
      <c r="B331" s="74"/>
      <c r="C331" s="53" t="s">
        <v>25</v>
      </c>
      <c r="D331" s="54">
        <v>196</v>
      </c>
      <c r="E331" s="55">
        <v>9.1332712022366994E-2</v>
      </c>
    </row>
    <row r="332" spans="2:5" x14ac:dyDescent="0.35">
      <c r="B332" s="73" t="s">
        <v>123</v>
      </c>
      <c r="C332" s="50" t="s">
        <v>148</v>
      </c>
      <c r="D332" s="51">
        <v>2</v>
      </c>
      <c r="E332" s="52">
        <v>9.3196644920800001E-4</v>
      </c>
    </row>
    <row r="333" spans="2:5" x14ac:dyDescent="0.35">
      <c r="B333" s="75"/>
      <c r="C333" s="50" t="s">
        <v>152</v>
      </c>
      <c r="D333" s="51">
        <v>2</v>
      </c>
      <c r="E333" s="52">
        <v>9.3196644920800001E-4</v>
      </c>
    </row>
    <row r="334" spans="2:5" x14ac:dyDescent="0.35">
      <c r="B334" s="75"/>
      <c r="C334" s="50" t="s">
        <v>134</v>
      </c>
      <c r="D334" s="51">
        <v>6</v>
      </c>
      <c r="E334" s="52">
        <v>2.795899347623E-3</v>
      </c>
    </row>
    <row r="335" spans="2:5" x14ac:dyDescent="0.35">
      <c r="B335" s="75"/>
      <c r="C335" s="50" t="s">
        <v>141</v>
      </c>
      <c r="D335" s="51">
        <v>1</v>
      </c>
      <c r="E335" s="52">
        <v>4.65983224604E-4</v>
      </c>
    </row>
    <row r="336" spans="2:5" x14ac:dyDescent="0.35">
      <c r="B336" s="75"/>
      <c r="C336" s="50" t="s">
        <v>136</v>
      </c>
      <c r="D336" s="51">
        <v>1</v>
      </c>
      <c r="E336" s="52">
        <v>4.65983224604E-4</v>
      </c>
    </row>
    <row r="337" spans="2:5" x14ac:dyDescent="0.35">
      <c r="B337" s="75"/>
      <c r="C337" s="50" t="s">
        <v>137</v>
      </c>
      <c r="D337" s="51">
        <v>1</v>
      </c>
      <c r="E337" s="52">
        <v>4.65983224604E-4</v>
      </c>
    </row>
    <row r="338" spans="2:5" x14ac:dyDescent="0.35">
      <c r="B338" s="75"/>
      <c r="C338" s="50" t="s">
        <v>142</v>
      </c>
      <c r="D338" s="51">
        <v>1</v>
      </c>
      <c r="E338" s="52">
        <v>4.65983224604E-4</v>
      </c>
    </row>
    <row r="339" spans="2:5" x14ac:dyDescent="0.35">
      <c r="B339" s="75"/>
      <c r="C339" s="50" t="s">
        <v>143</v>
      </c>
      <c r="D339" s="51">
        <v>1</v>
      </c>
      <c r="E339" s="52">
        <v>4.65983224604E-4</v>
      </c>
    </row>
    <row r="340" spans="2:5" x14ac:dyDescent="0.35">
      <c r="B340" s="75"/>
      <c r="C340" s="50" t="s">
        <v>207</v>
      </c>
      <c r="D340" s="51">
        <v>1</v>
      </c>
      <c r="E340" s="52">
        <v>4.65983224604E-4</v>
      </c>
    </row>
    <row r="341" spans="2:5" x14ac:dyDescent="0.35">
      <c r="B341" s="74"/>
      <c r="C341" s="53" t="s">
        <v>25</v>
      </c>
      <c r="D341" s="54">
        <v>16</v>
      </c>
      <c r="E341" s="55">
        <v>7.455731593663E-3</v>
      </c>
    </row>
    <row r="342" spans="2:5" x14ac:dyDescent="0.35">
      <c r="B342" s="73" t="s">
        <v>124</v>
      </c>
      <c r="C342" s="50" t="s">
        <v>134</v>
      </c>
      <c r="D342" s="51">
        <v>1</v>
      </c>
      <c r="E342" s="52">
        <v>4.65983224604E-4</v>
      </c>
    </row>
    <row r="343" spans="2:5" x14ac:dyDescent="0.35">
      <c r="B343" s="74"/>
      <c r="C343" s="53" t="s">
        <v>25</v>
      </c>
      <c r="D343" s="54">
        <v>1</v>
      </c>
      <c r="E343" s="55">
        <v>4.65983224604E-4</v>
      </c>
    </row>
    <row r="344" spans="2:5" x14ac:dyDescent="0.35">
      <c r="B344" s="73" t="s">
        <v>83</v>
      </c>
      <c r="C344" s="50" t="s">
        <v>148</v>
      </c>
      <c r="D344" s="51">
        <v>3</v>
      </c>
      <c r="E344" s="52">
        <v>1.397949673812E-3</v>
      </c>
    </row>
    <row r="345" spans="2:5" x14ac:dyDescent="0.35">
      <c r="B345" s="75"/>
      <c r="C345" s="50" t="s">
        <v>158</v>
      </c>
      <c r="D345" s="51">
        <v>2</v>
      </c>
      <c r="E345" s="52">
        <v>9.3196644920800001E-4</v>
      </c>
    </row>
    <row r="346" spans="2:5" x14ac:dyDescent="0.35">
      <c r="B346" s="75"/>
      <c r="C346" s="50" t="s">
        <v>138</v>
      </c>
      <c r="D346" s="51">
        <v>1</v>
      </c>
      <c r="E346" s="52">
        <v>4.65983224604E-4</v>
      </c>
    </row>
    <row r="347" spans="2:5" x14ac:dyDescent="0.35">
      <c r="B347" s="75"/>
      <c r="C347" s="50" t="s">
        <v>170</v>
      </c>
      <c r="D347" s="51">
        <v>2</v>
      </c>
      <c r="E347" s="52">
        <v>9.3196644920800001E-4</v>
      </c>
    </row>
    <row r="348" spans="2:5" x14ac:dyDescent="0.35">
      <c r="B348" s="75"/>
      <c r="C348" s="50" t="s">
        <v>176</v>
      </c>
      <c r="D348" s="51">
        <v>1</v>
      </c>
      <c r="E348" s="52">
        <v>4.65983224604E-4</v>
      </c>
    </row>
    <row r="349" spans="2:5" x14ac:dyDescent="0.35">
      <c r="B349" s="75"/>
      <c r="C349" s="50" t="s">
        <v>177</v>
      </c>
      <c r="D349" s="51">
        <v>2</v>
      </c>
      <c r="E349" s="52">
        <v>9.3196644920800001E-4</v>
      </c>
    </row>
    <row r="350" spans="2:5" x14ac:dyDescent="0.35">
      <c r="B350" s="75"/>
      <c r="C350" s="50" t="s">
        <v>134</v>
      </c>
      <c r="D350" s="51">
        <v>7</v>
      </c>
      <c r="E350" s="52">
        <v>3.261882572227E-3</v>
      </c>
    </row>
    <row r="351" spans="2:5" x14ac:dyDescent="0.35">
      <c r="B351" s="75"/>
      <c r="C351" s="50" t="s">
        <v>141</v>
      </c>
      <c r="D351" s="51">
        <v>6</v>
      </c>
      <c r="E351" s="52">
        <v>2.795899347623E-3</v>
      </c>
    </row>
    <row r="352" spans="2:5" x14ac:dyDescent="0.35">
      <c r="B352" s="75"/>
      <c r="C352" s="50" t="s">
        <v>181</v>
      </c>
      <c r="D352" s="51">
        <v>1</v>
      </c>
      <c r="E352" s="52">
        <v>4.65983224604E-4</v>
      </c>
    </row>
    <row r="353" spans="2:5" x14ac:dyDescent="0.35">
      <c r="B353" s="75"/>
      <c r="C353" s="50" t="s">
        <v>139</v>
      </c>
      <c r="D353" s="51">
        <v>1</v>
      </c>
      <c r="E353" s="52">
        <v>4.65983224604E-4</v>
      </c>
    </row>
    <row r="354" spans="2:5" x14ac:dyDescent="0.35">
      <c r="B354" s="75"/>
      <c r="C354" s="50" t="s">
        <v>136</v>
      </c>
      <c r="D354" s="51">
        <v>1</v>
      </c>
      <c r="E354" s="52">
        <v>4.65983224604E-4</v>
      </c>
    </row>
    <row r="355" spans="2:5" x14ac:dyDescent="0.35">
      <c r="B355" s="75"/>
      <c r="C355" s="50" t="s">
        <v>199</v>
      </c>
      <c r="D355" s="51">
        <v>4</v>
      </c>
      <c r="E355" s="52">
        <v>1.863932898416E-3</v>
      </c>
    </row>
    <row r="356" spans="2:5" x14ac:dyDescent="0.35">
      <c r="B356" s="74"/>
      <c r="C356" s="53" t="s">
        <v>25</v>
      </c>
      <c r="D356" s="54">
        <v>31</v>
      </c>
      <c r="E356" s="55">
        <v>1.4445479962721001E-2</v>
      </c>
    </row>
    <row r="357" spans="2:5" x14ac:dyDescent="0.35">
      <c r="B357" s="73" t="s">
        <v>125</v>
      </c>
      <c r="C357" s="50" t="s">
        <v>149</v>
      </c>
      <c r="D357" s="51">
        <v>1</v>
      </c>
      <c r="E357" s="52">
        <v>4.65983224604E-4</v>
      </c>
    </row>
    <row r="358" spans="2:5" x14ac:dyDescent="0.35">
      <c r="B358" s="75"/>
      <c r="C358" s="50" t="s">
        <v>166</v>
      </c>
      <c r="D358" s="51">
        <v>1</v>
      </c>
      <c r="E358" s="52">
        <v>4.65983224604E-4</v>
      </c>
    </row>
    <row r="359" spans="2:5" x14ac:dyDescent="0.35">
      <c r="B359" s="75"/>
      <c r="C359" s="50" t="s">
        <v>134</v>
      </c>
      <c r="D359" s="51">
        <v>2</v>
      </c>
      <c r="E359" s="52">
        <v>9.3196644920800001E-4</v>
      </c>
    </row>
    <row r="360" spans="2:5" x14ac:dyDescent="0.35">
      <c r="B360" s="75"/>
      <c r="C360" s="50" t="s">
        <v>182</v>
      </c>
      <c r="D360" s="51">
        <v>1</v>
      </c>
      <c r="E360" s="52">
        <v>4.65983224604E-4</v>
      </c>
    </row>
    <row r="361" spans="2:5" x14ac:dyDescent="0.35">
      <c r="B361" s="75"/>
      <c r="C361" s="50" t="s">
        <v>183</v>
      </c>
      <c r="D361" s="51">
        <v>1</v>
      </c>
      <c r="E361" s="52">
        <v>4.65983224604E-4</v>
      </c>
    </row>
    <row r="362" spans="2:5" x14ac:dyDescent="0.35">
      <c r="B362" s="75"/>
      <c r="C362" s="50" t="s">
        <v>136</v>
      </c>
      <c r="D362" s="51">
        <v>1</v>
      </c>
      <c r="E362" s="52">
        <v>4.65983224604E-4</v>
      </c>
    </row>
    <row r="363" spans="2:5" x14ac:dyDescent="0.35">
      <c r="B363" s="74"/>
      <c r="C363" s="53" t="s">
        <v>25</v>
      </c>
      <c r="D363" s="54">
        <v>7</v>
      </c>
      <c r="E363" s="55">
        <v>3.261882572227E-3</v>
      </c>
    </row>
    <row r="364" spans="2:5" x14ac:dyDescent="0.35">
      <c r="B364" s="73" t="s">
        <v>126</v>
      </c>
      <c r="C364" s="50" t="s">
        <v>148</v>
      </c>
      <c r="D364" s="51">
        <v>1</v>
      </c>
      <c r="E364" s="52">
        <v>4.65983224604E-4</v>
      </c>
    </row>
    <row r="365" spans="2:5" x14ac:dyDescent="0.35">
      <c r="B365" s="75"/>
      <c r="C365" s="50" t="s">
        <v>134</v>
      </c>
      <c r="D365" s="51">
        <v>2</v>
      </c>
      <c r="E365" s="52">
        <v>9.3196644920800001E-4</v>
      </c>
    </row>
    <row r="366" spans="2:5" x14ac:dyDescent="0.35">
      <c r="B366" s="74"/>
      <c r="C366" s="53" t="s">
        <v>25</v>
      </c>
      <c r="D366" s="54">
        <v>3</v>
      </c>
      <c r="E366" s="55">
        <v>1.397949673812E-3</v>
      </c>
    </row>
    <row r="367" spans="2:5" x14ac:dyDescent="0.35">
      <c r="B367" s="76" t="s">
        <v>25</v>
      </c>
      <c r="C367" s="77"/>
      <c r="D367" s="22">
        <v>2146</v>
      </c>
      <c r="E367" s="23">
        <v>1</v>
      </c>
    </row>
    <row r="368" spans="2:5" x14ac:dyDescent="0.35">
      <c r="B368" s="11"/>
    </row>
    <row r="369" spans="2:2" x14ac:dyDescent="0.35">
      <c r="B369" s="9" t="s">
        <v>127</v>
      </c>
    </row>
    <row r="370" spans="2:2" x14ac:dyDescent="0.35">
      <c r="B370" s="10" t="s">
        <v>21</v>
      </c>
    </row>
    <row r="371" spans="2:2" x14ac:dyDescent="0.35">
      <c r="B371" s="11" t="s">
        <v>128</v>
      </c>
    </row>
    <row r="372" spans="2:2" x14ac:dyDescent="0.35">
      <c r="B372" s="9" t="s">
        <v>22</v>
      </c>
    </row>
    <row r="373" spans="2:2" x14ac:dyDescent="0.35">
      <c r="B373" s="9" t="s">
        <v>129</v>
      </c>
    </row>
  </sheetData>
  <mergeCells count="41">
    <mergeCell ref="B342:B343"/>
    <mergeCell ref="B344:B356"/>
    <mergeCell ref="B357:B363"/>
    <mergeCell ref="B364:B366"/>
    <mergeCell ref="B367:C367"/>
    <mergeCell ref="B213:B215"/>
    <mergeCell ref="B216:B228"/>
    <mergeCell ref="B229:B232"/>
    <mergeCell ref="B233:B235"/>
    <mergeCell ref="B236:B241"/>
    <mergeCell ref="B291:B295"/>
    <mergeCell ref="B296:B299"/>
    <mergeCell ref="B300:B331"/>
    <mergeCell ref="B332:B341"/>
    <mergeCell ref="B242:B255"/>
    <mergeCell ref="B256:B258"/>
    <mergeCell ref="B259:B266"/>
    <mergeCell ref="B267:B285"/>
    <mergeCell ref="B286:B290"/>
    <mergeCell ref="B10:B16"/>
    <mergeCell ref="B17:B20"/>
    <mergeCell ref="B21:B28"/>
    <mergeCell ref="B29:B104"/>
    <mergeCell ref="B180:B183"/>
    <mergeCell ref="B105:B122"/>
    <mergeCell ref="B123:B124"/>
    <mergeCell ref="B125:B126"/>
    <mergeCell ref="B127:B141"/>
    <mergeCell ref="B142:B144"/>
    <mergeCell ref="B145:B148"/>
    <mergeCell ref="B149:B164"/>
    <mergeCell ref="B165:B169"/>
    <mergeCell ref="B170:B171"/>
    <mergeCell ref="B172:B179"/>
    <mergeCell ref="B203:B204"/>
    <mergeCell ref="B205:B212"/>
    <mergeCell ref="B184:B187"/>
    <mergeCell ref="B188:B190"/>
    <mergeCell ref="B191:B193"/>
    <mergeCell ref="B194:B196"/>
    <mergeCell ref="B197:B20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4:E490"/>
  <sheetViews>
    <sheetView showGridLines="0" view="pageBreakPreview" topLeftCell="A7" zoomScale="144" zoomScaleNormal="100" zoomScaleSheetLayoutView="144" workbookViewId="0">
      <selection activeCell="F8" sqref="F8"/>
    </sheetView>
  </sheetViews>
  <sheetFormatPr baseColWidth="10" defaultRowHeight="14.5" x14ac:dyDescent="0.35"/>
  <cols>
    <col min="1" max="1" width="7.90625" customWidth="1"/>
    <col min="2" max="2" width="18.453125" customWidth="1"/>
    <col min="3" max="3" width="24.26953125" customWidth="1"/>
    <col min="4" max="4" width="15.1796875" customWidth="1"/>
    <col min="5" max="5" width="12.26953125" customWidth="1"/>
    <col min="6" max="6" width="8.08984375" customWidth="1"/>
    <col min="7" max="7" width="2.7265625" customWidth="1"/>
  </cols>
  <sheetData>
    <row r="4" spans="2:5" ht="30" customHeight="1" x14ac:dyDescent="0.35"/>
    <row r="6" spans="2:5" ht="21.5" customHeight="1" x14ac:dyDescent="0.35"/>
    <row r="7" spans="2:5" ht="22" customHeight="1" x14ac:dyDescent="0.35"/>
    <row r="8" spans="2:5" ht="32.25" customHeight="1" x14ac:dyDescent="0.35"/>
    <row r="9" spans="2:5" ht="28" x14ac:dyDescent="0.35">
      <c r="B9" s="18" t="s">
        <v>23</v>
      </c>
      <c r="C9" s="56" t="s">
        <v>28</v>
      </c>
      <c r="D9" s="57" t="s">
        <v>19</v>
      </c>
      <c r="E9" s="18" t="s">
        <v>20</v>
      </c>
    </row>
    <row r="10" spans="2:5" x14ac:dyDescent="0.35">
      <c r="B10" s="78" t="s">
        <v>77</v>
      </c>
      <c r="C10" s="37" t="s">
        <v>134</v>
      </c>
      <c r="D10" s="38">
        <v>3</v>
      </c>
      <c r="E10" s="39">
        <v>1.397949673812E-3</v>
      </c>
    </row>
    <row r="11" spans="2:5" x14ac:dyDescent="0.35">
      <c r="B11" s="78"/>
      <c r="C11" s="37" t="s">
        <v>139</v>
      </c>
      <c r="D11" s="38">
        <v>1</v>
      </c>
      <c r="E11" s="39">
        <v>4.65983224604E-4</v>
      </c>
    </row>
    <row r="12" spans="2:5" x14ac:dyDescent="0.35">
      <c r="B12" s="78"/>
      <c r="C12" s="37" t="s">
        <v>196</v>
      </c>
      <c r="D12" s="38">
        <v>2</v>
      </c>
      <c r="E12" s="39">
        <v>9.3196644920800001E-4</v>
      </c>
    </row>
    <row r="13" spans="2:5" x14ac:dyDescent="0.35">
      <c r="B13" s="78"/>
      <c r="C13" s="15" t="s">
        <v>25</v>
      </c>
      <c r="D13" s="16">
        <v>6</v>
      </c>
      <c r="E13" s="17">
        <v>2.795899347623E-3</v>
      </c>
    </row>
    <row r="14" spans="2:5" x14ac:dyDescent="0.35">
      <c r="B14" s="78" t="s">
        <v>62</v>
      </c>
      <c r="C14" s="37" t="s">
        <v>148</v>
      </c>
      <c r="D14" s="38">
        <v>2</v>
      </c>
      <c r="E14" s="39">
        <v>9.3196644920800001E-4</v>
      </c>
    </row>
    <row r="15" spans="2:5" x14ac:dyDescent="0.35">
      <c r="B15" s="78"/>
      <c r="C15" s="37" t="s">
        <v>132</v>
      </c>
      <c r="D15" s="38">
        <v>1</v>
      </c>
      <c r="E15" s="39">
        <v>4.65983224604E-4</v>
      </c>
    </row>
    <row r="16" spans="2:5" x14ac:dyDescent="0.35">
      <c r="B16" s="78"/>
      <c r="C16" s="37" t="s">
        <v>153</v>
      </c>
      <c r="D16" s="38">
        <v>1</v>
      </c>
      <c r="E16" s="39">
        <v>4.65983224604E-4</v>
      </c>
    </row>
    <row r="17" spans="2:5" x14ac:dyDescent="0.35">
      <c r="B17" s="78"/>
      <c r="C17" s="37" t="s">
        <v>133</v>
      </c>
      <c r="D17" s="38">
        <v>1</v>
      </c>
      <c r="E17" s="39">
        <v>4.65983224604E-4</v>
      </c>
    </row>
    <row r="18" spans="2:5" x14ac:dyDescent="0.35">
      <c r="B18" s="78"/>
      <c r="C18" s="37" t="s">
        <v>134</v>
      </c>
      <c r="D18" s="38">
        <v>8</v>
      </c>
      <c r="E18" s="39">
        <v>3.727865796831E-3</v>
      </c>
    </row>
    <row r="19" spans="2:5" x14ac:dyDescent="0.35">
      <c r="B19" s="78"/>
      <c r="C19" s="37" t="s">
        <v>135</v>
      </c>
      <c r="D19" s="38">
        <v>1</v>
      </c>
      <c r="E19" s="39">
        <v>4.65983224604E-4</v>
      </c>
    </row>
    <row r="20" spans="2:5" x14ac:dyDescent="0.35">
      <c r="B20" s="78"/>
      <c r="C20" s="37" t="s">
        <v>136</v>
      </c>
      <c r="D20" s="38">
        <v>2</v>
      </c>
      <c r="E20" s="39">
        <v>9.3196644920800001E-4</v>
      </c>
    </row>
    <row r="21" spans="2:5" x14ac:dyDescent="0.35">
      <c r="B21" s="78"/>
      <c r="C21" s="15" t="s">
        <v>25</v>
      </c>
      <c r="D21" s="16">
        <v>16</v>
      </c>
      <c r="E21" s="17">
        <v>7.455731593663E-3</v>
      </c>
    </row>
    <row r="22" spans="2:5" x14ac:dyDescent="0.35">
      <c r="B22" s="78" t="s">
        <v>68</v>
      </c>
      <c r="C22" s="37" t="s">
        <v>146</v>
      </c>
      <c r="D22" s="38">
        <v>1</v>
      </c>
      <c r="E22" s="39">
        <v>4.65983224604E-4</v>
      </c>
    </row>
    <row r="23" spans="2:5" x14ac:dyDescent="0.35">
      <c r="B23" s="78"/>
      <c r="C23" s="37" t="s">
        <v>134</v>
      </c>
      <c r="D23" s="38">
        <v>5</v>
      </c>
      <c r="E23" s="39">
        <v>2.32991612302E-3</v>
      </c>
    </row>
    <row r="24" spans="2:5" x14ac:dyDescent="0.35">
      <c r="B24" s="78"/>
      <c r="C24" s="37" t="s">
        <v>204</v>
      </c>
      <c r="D24" s="38">
        <v>4</v>
      </c>
      <c r="E24" s="39">
        <v>1.863932898416E-3</v>
      </c>
    </row>
    <row r="25" spans="2:5" x14ac:dyDescent="0.35">
      <c r="B25" s="78"/>
      <c r="C25" s="15" t="s">
        <v>25</v>
      </c>
      <c r="D25" s="16">
        <v>10</v>
      </c>
      <c r="E25" s="17">
        <v>4.659832246039E-3</v>
      </c>
    </row>
    <row r="26" spans="2:5" x14ac:dyDescent="0.35">
      <c r="B26" s="78" t="s">
        <v>70</v>
      </c>
      <c r="C26" s="37" t="s">
        <v>176</v>
      </c>
      <c r="D26" s="38">
        <v>1</v>
      </c>
      <c r="E26" s="39">
        <v>4.65983224604E-4</v>
      </c>
    </row>
    <row r="27" spans="2:5" x14ac:dyDescent="0.35">
      <c r="B27" s="78"/>
      <c r="C27" s="37" t="s">
        <v>212</v>
      </c>
      <c r="D27" s="38">
        <v>1</v>
      </c>
      <c r="E27" s="39">
        <v>4.65983224604E-4</v>
      </c>
    </row>
    <row r="28" spans="2:5" x14ac:dyDescent="0.35">
      <c r="B28" s="78"/>
      <c r="C28" s="37" t="s">
        <v>134</v>
      </c>
      <c r="D28" s="38">
        <v>6</v>
      </c>
      <c r="E28" s="39">
        <v>2.795899347623E-3</v>
      </c>
    </row>
    <row r="29" spans="2:5" x14ac:dyDescent="0.35">
      <c r="B29" s="78"/>
      <c r="C29" s="37" t="s">
        <v>141</v>
      </c>
      <c r="D29" s="38">
        <v>1</v>
      </c>
      <c r="E29" s="39">
        <v>4.65983224604E-4</v>
      </c>
    </row>
    <row r="30" spans="2:5" x14ac:dyDescent="0.35">
      <c r="B30" s="78"/>
      <c r="C30" s="15" t="s">
        <v>25</v>
      </c>
      <c r="D30" s="16">
        <v>9</v>
      </c>
      <c r="E30" s="17">
        <v>4.193849021435E-3</v>
      </c>
    </row>
    <row r="31" spans="2:5" x14ac:dyDescent="0.35">
      <c r="B31" s="78" t="s">
        <v>81</v>
      </c>
      <c r="C31" s="37" t="s">
        <v>133</v>
      </c>
      <c r="D31" s="38">
        <v>2</v>
      </c>
      <c r="E31" s="39">
        <v>9.3196644920800001E-4</v>
      </c>
    </row>
    <row r="32" spans="2:5" x14ac:dyDescent="0.35">
      <c r="B32" s="78"/>
      <c r="C32" s="37" t="s">
        <v>134</v>
      </c>
      <c r="D32" s="38">
        <v>2</v>
      </c>
      <c r="E32" s="39">
        <v>9.3196644920800001E-4</v>
      </c>
    </row>
    <row r="33" spans="2:5" x14ac:dyDescent="0.35">
      <c r="B33" s="78"/>
      <c r="C33" s="15" t="s">
        <v>25</v>
      </c>
      <c r="D33" s="16">
        <v>4</v>
      </c>
      <c r="E33" s="17">
        <v>1.863932898416E-3</v>
      </c>
    </row>
    <row r="34" spans="2:5" x14ac:dyDescent="0.35">
      <c r="B34" s="78" t="s">
        <v>84</v>
      </c>
      <c r="C34" s="37" t="s">
        <v>134</v>
      </c>
      <c r="D34" s="38">
        <v>1</v>
      </c>
      <c r="E34" s="39">
        <v>4.65983224604E-4</v>
      </c>
    </row>
    <row r="35" spans="2:5" x14ac:dyDescent="0.35">
      <c r="B35" s="78"/>
      <c r="C35" s="37" t="s">
        <v>216</v>
      </c>
      <c r="D35" s="38">
        <v>1</v>
      </c>
      <c r="E35" s="39">
        <v>4.65983224604E-4</v>
      </c>
    </row>
    <row r="36" spans="2:5" x14ac:dyDescent="0.35">
      <c r="B36" s="78"/>
      <c r="C36" s="15" t="s">
        <v>25</v>
      </c>
      <c r="D36" s="16">
        <v>2</v>
      </c>
      <c r="E36" s="17">
        <v>9.3196644920800001E-4</v>
      </c>
    </row>
    <row r="37" spans="2:5" x14ac:dyDescent="0.35">
      <c r="B37" s="78" t="s">
        <v>57</v>
      </c>
      <c r="C37" s="37" t="s">
        <v>156</v>
      </c>
      <c r="D37" s="38">
        <v>1</v>
      </c>
      <c r="E37" s="39">
        <v>4.65983224604E-4</v>
      </c>
    </row>
    <row r="38" spans="2:5" x14ac:dyDescent="0.35">
      <c r="B38" s="78"/>
      <c r="C38" s="37" t="s">
        <v>138</v>
      </c>
      <c r="D38" s="38">
        <v>1</v>
      </c>
      <c r="E38" s="39">
        <v>4.65983224604E-4</v>
      </c>
    </row>
    <row r="39" spans="2:5" x14ac:dyDescent="0.35">
      <c r="B39" s="78"/>
      <c r="C39" s="37" t="s">
        <v>164</v>
      </c>
      <c r="D39" s="38">
        <v>1</v>
      </c>
      <c r="E39" s="39">
        <v>4.65983224604E-4</v>
      </c>
    </row>
    <row r="40" spans="2:5" x14ac:dyDescent="0.35">
      <c r="B40" s="78"/>
      <c r="C40" s="37" t="s">
        <v>210</v>
      </c>
      <c r="D40" s="38">
        <v>1</v>
      </c>
      <c r="E40" s="39">
        <v>4.65983224604E-4</v>
      </c>
    </row>
    <row r="41" spans="2:5" x14ac:dyDescent="0.35">
      <c r="B41" s="78"/>
      <c r="C41" s="37" t="s">
        <v>169</v>
      </c>
      <c r="D41" s="38">
        <v>2</v>
      </c>
      <c r="E41" s="39">
        <v>9.3196644920800001E-4</v>
      </c>
    </row>
    <row r="42" spans="2:5" x14ac:dyDescent="0.35">
      <c r="B42" s="78"/>
      <c r="C42" s="37" t="s">
        <v>172</v>
      </c>
      <c r="D42" s="38">
        <v>1</v>
      </c>
      <c r="E42" s="39">
        <v>4.65983224604E-4</v>
      </c>
    </row>
    <row r="43" spans="2:5" x14ac:dyDescent="0.35">
      <c r="B43" s="78"/>
      <c r="C43" s="37" t="s">
        <v>134</v>
      </c>
      <c r="D43" s="38">
        <v>11</v>
      </c>
      <c r="E43" s="39">
        <v>5.125815470643E-3</v>
      </c>
    </row>
    <row r="44" spans="2:5" x14ac:dyDescent="0.35">
      <c r="B44" s="78"/>
      <c r="C44" s="37" t="s">
        <v>141</v>
      </c>
      <c r="D44" s="38">
        <v>1</v>
      </c>
      <c r="E44" s="39">
        <v>4.65983224604E-4</v>
      </c>
    </row>
    <row r="45" spans="2:5" x14ac:dyDescent="0.35">
      <c r="B45" s="78"/>
      <c r="C45" s="37" t="s">
        <v>139</v>
      </c>
      <c r="D45" s="38">
        <v>1</v>
      </c>
      <c r="E45" s="39">
        <v>4.65983224604E-4</v>
      </c>
    </row>
    <row r="46" spans="2:5" x14ac:dyDescent="0.35">
      <c r="B46" s="78"/>
      <c r="C46" s="37" t="s">
        <v>183</v>
      </c>
      <c r="D46" s="38">
        <v>1</v>
      </c>
      <c r="E46" s="39">
        <v>4.65983224604E-4</v>
      </c>
    </row>
    <row r="47" spans="2:5" x14ac:dyDescent="0.35">
      <c r="B47" s="78"/>
      <c r="C47" s="37" t="s">
        <v>184</v>
      </c>
      <c r="D47" s="38">
        <v>1</v>
      </c>
      <c r="E47" s="39">
        <v>4.65983224604E-4</v>
      </c>
    </row>
    <row r="48" spans="2:5" x14ac:dyDescent="0.35">
      <c r="B48" s="78"/>
      <c r="C48" s="37" t="s">
        <v>187</v>
      </c>
      <c r="D48" s="38">
        <v>1</v>
      </c>
      <c r="E48" s="39">
        <v>4.65983224604E-4</v>
      </c>
    </row>
    <row r="49" spans="2:5" x14ac:dyDescent="0.35">
      <c r="B49" s="78"/>
      <c r="C49" s="37" t="s">
        <v>188</v>
      </c>
      <c r="D49" s="38">
        <v>1</v>
      </c>
      <c r="E49" s="39">
        <v>4.65983224604E-4</v>
      </c>
    </row>
    <row r="50" spans="2:5" x14ac:dyDescent="0.35">
      <c r="B50" s="78"/>
      <c r="C50" s="37" t="s">
        <v>192</v>
      </c>
      <c r="D50" s="38">
        <v>1</v>
      </c>
      <c r="E50" s="39">
        <v>4.65983224604E-4</v>
      </c>
    </row>
    <row r="51" spans="2:5" x14ac:dyDescent="0.35">
      <c r="B51" s="78"/>
      <c r="C51" s="37" t="s">
        <v>194</v>
      </c>
      <c r="D51" s="38">
        <v>1</v>
      </c>
      <c r="E51" s="39">
        <v>4.65983224604E-4</v>
      </c>
    </row>
    <row r="52" spans="2:5" x14ac:dyDescent="0.35">
      <c r="B52" s="78"/>
      <c r="C52" s="37" t="s">
        <v>136</v>
      </c>
      <c r="D52" s="38">
        <v>1</v>
      </c>
      <c r="E52" s="39">
        <v>4.65983224604E-4</v>
      </c>
    </row>
    <row r="53" spans="2:5" x14ac:dyDescent="0.35">
      <c r="B53" s="78"/>
      <c r="C53" s="37" t="s">
        <v>207</v>
      </c>
      <c r="D53" s="38">
        <v>3</v>
      </c>
      <c r="E53" s="39">
        <v>1.397949673812E-3</v>
      </c>
    </row>
    <row r="54" spans="2:5" x14ac:dyDescent="0.35">
      <c r="B54" s="78"/>
      <c r="C54" s="37" t="s">
        <v>213</v>
      </c>
      <c r="D54" s="38">
        <v>1</v>
      </c>
      <c r="E54" s="39">
        <v>4.65983224604E-4</v>
      </c>
    </row>
    <row r="55" spans="2:5" x14ac:dyDescent="0.35">
      <c r="B55" s="78"/>
      <c r="C55" s="15" t="s">
        <v>25</v>
      </c>
      <c r="D55" s="16">
        <v>31</v>
      </c>
      <c r="E55" s="17">
        <v>1.4445479962721001E-2</v>
      </c>
    </row>
    <row r="56" spans="2:5" x14ac:dyDescent="0.35">
      <c r="B56" s="78" t="s">
        <v>46</v>
      </c>
      <c r="C56" s="37" t="s">
        <v>150</v>
      </c>
      <c r="D56" s="38">
        <v>12</v>
      </c>
      <c r="E56" s="39">
        <v>5.591798695247E-3</v>
      </c>
    </row>
    <row r="57" spans="2:5" x14ac:dyDescent="0.35">
      <c r="B57" s="78"/>
      <c r="C57" s="37" t="s">
        <v>167</v>
      </c>
      <c r="D57" s="38">
        <v>40</v>
      </c>
      <c r="E57" s="39">
        <v>1.8639328984156999E-2</v>
      </c>
    </row>
    <row r="58" spans="2:5" x14ac:dyDescent="0.35">
      <c r="B58" s="78"/>
      <c r="C58" s="37" t="s">
        <v>169</v>
      </c>
      <c r="D58" s="38">
        <v>2</v>
      </c>
      <c r="E58" s="39">
        <v>9.3196644920800001E-4</v>
      </c>
    </row>
    <row r="59" spans="2:5" x14ac:dyDescent="0.35">
      <c r="B59" s="78"/>
      <c r="C59" s="37" t="s">
        <v>170</v>
      </c>
      <c r="D59" s="38">
        <v>1</v>
      </c>
      <c r="E59" s="39">
        <v>4.65983224604E-4</v>
      </c>
    </row>
    <row r="60" spans="2:5" x14ac:dyDescent="0.35">
      <c r="B60" s="78"/>
      <c r="C60" s="37" t="s">
        <v>172</v>
      </c>
      <c r="D60" s="38">
        <v>2</v>
      </c>
      <c r="E60" s="39">
        <v>9.3196644920800001E-4</v>
      </c>
    </row>
    <row r="61" spans="2:5" x14ac:dyDescent="0.35">
      <c r="B61" s="78"/>
      <c r="C61" s="37" t="s">
        <v>211</v>
      </c>
      <c r="D61" s="38">
        <v>1</v>
      </c>
      <c r="E61" s="39">
        <v>4.65983224604E-4</v>
      </c>
    </row>
    <row r="62" spans="2:5" x14ac:dyDescent="0.35">
      <c r="B62" s="78"/>
      <c r="C62" s="37" t="s">
        <v>133</v>
      </c>
      <c r="D62" s="38">
        <v>1</v>
      </c>
      <c r="E62" s="39">
        <v>4.65983224604E-4</v>
      </c>
    </row>
    <row r="63" spans="2:5" x14ac:dyDescent="0.35">
      <c r="B63" s="78"/>
      <c r="C63" s="37" t="s">
        <v>134</v>
      </c>
      <c r="D63" s="38">
        <v>37</v>
      </c>
      <c r="E63" s="39">
        <v>1.7241379310345001E-2</v>
      </c>
    </row>
    <row r="64" spans="2:5" x14ac:dyDescent="0.35">
      <c r="B64" s="78"/>
      <c r="C64" s="37" t="s">
        <v>139</v>
      </c>
      <c r="D64" s="38">
        <v>1</v>
      </c>
      <c r="E64" s="39">
        <v>4.65983224604E-4</v>
      </c>
    </row>
    <row r="65" spans="2:5" x14ac:dyDescent="0.35">
      <c r="B65" s="78"/>
      <c r="C65" s="37" t="s">
        <v>191</v>
      </c>
      <c r="D65" s="38">
        <v>3</v>
      </c>
      <c r="E65" s="39">
        <v>1.397949673812E-3</v>
      </c>
    </row>
    <row r="66" spans="2:5" x14ac:dyDescent="0.35">
      <c r="B66" s="78"/>
      <c r="C66" s="37" t="s">
        <v>193</v>
      </c>
      <c r="D66" s="38">
        <v>1</v>
      </c>
      <c r="E66" s="39">
        <v>4.65983224604E-4</v>
      </c>
    </row>
    <row r="67" spans="2:5" x14ac:dyDescent="0.35">
      <c r="B67" s="78"/>
      <c r="C67" s="37" t="s">
        <v>195</v>
      </c>
      <c r="D67" s="38">
        <v>1</v>
      </c>
      <c r="E67" s="39">
        <v>4.65983224604E-4</v>
      </c>
    </row>
    <row r="68" spans="2:5" x14ac:dyDescent="0.35">
      <c r="B68" s="78"/>
      <c r="C68" s="37" t="s">
        <v>204</v>
      </c>
      <c r="D68" s="38">
        <v>1</v>
      </c>
      <c r="E68" s="39">
        <v>4.65983224604E-4</v>
      </c>
    </row>
    <row r="69" spans="2:5" x14ac:dyDescent="0.35">
      <c r="B69" s="78"/>
      <c r="C69" s="37" t="s">
        <v>143</v>
      </c>
      <c r="D69" s="38">
        <v>1</v>
      </c>
      <c r="E69" s="39">
        <v>4.65983224604E-4</v>
      </c>
    </row>
    <row r="70" spans="2:5" x14ac:dyDescent="0.35">
      <c r="B70" s="78"/>
      <c r="C70" s="37" t="s">
        <v>207</v>
      </c>
      <c r="D70" s="38">
        <v>3</v>
      </c>
      <c r="E70" s="39">
        <v>1.397949673812E-3</v>
      </c>
    </row>
    <row r="71" spans="2:5" x14ac:dyDescent="0.35">
      <c r="B71" s="78"/>
      <c r="C71" s="37" t="s">
        <v>213</v>
      </c>
      <c r="D71" s="38">
        <v>6</v>
      </c>
      <c r="E71" s="39">
        <v>2.795899347623E-3</v>
      </c>
    </row>
    <row r="72" spans="2:5" x14ac:dyDescent="0.35">
      <c r="B72" s="78"/>
      <c r="C72" s="37" t="s">
        <v>217</v>
      </c>
      <c r="D72" s="38">
        <v>1</v>
      </c>
      <c r="E72" s="39">
        <v>4.65983224604E-4</v>
      </c>
    </row>
    <row r="73" spans="2:5" x14ac:dyDescent="0.35">
      <c r="B73" s="78"/>
      <c r="C73" s="37" t="s">
        <v>218</v>
      </c>
      <c r="D73" s="38">
        <v>1</v>
      </c>
      <c r="E73" s="39">
        <v>4.65983224604E-4</v>
      </c>
    </row>
    <row r="74" spans="2:5" x14ac:dyDescent="0.35">
      <c r="B74" s="78"/>
      <c r="C74" s="15" t="s">
        <v>25</v>
      </c>
      <c r="D74" s="16">
        <v>115</v>
      </c>
      <c r="E74" s="17">
        <v>5.3588070829450003E-2</v>
      </c>
    </row>
    <row r="75" spans="2:5" x14ac:dyDescent="0.35">
      <c r="B75" s="78" t="s">
        <v>49</v>
      </c>
      <c r="C75" s="37" t="s">
        <v>148</v>
      </c>
      <c r="D75" s="38">
        <v>3</v>
      </c>
      <c r="E75" s="39">
        <v>1.397949673812E-3</v>
      </c>
    </row>
    <row r="76" spans="2:5" x14ac:dyDescent="0.35">
      <c r="B76" s="78"/>
      <c r="C76" s="37" t="s">
        <v>152</v>
      </c>
      <c r="D76" s="38">
        <v>29</v>
      </c>
      <c r="E76" s="39">
        <v>1.3513513513514E-2</v>
      </c>
    </row>
    <row r="77" spans="2:5" x14ac:dyDescent="0.35">
      <c r="B77" s="78"/>
      <c r="C77" s="37" t="s">
        <v>161</v>
      </c>
      <c r="D77" s="38">
        <v>1</v>
      </c>
      <c r="E77" s="39">
        <v>4.65983224604E-4</v>
      </c>
    </row>
    <row r="78" spans="2:5" x14ac:dyDescent="0.35">
      <c r="B78" s="78"/>
      <c r="C78" s="37" t="s">
        <v>168</v>
      </c>
      <c r="D78" s="38">
        <v>1</v>
      </c>
      <c r="E78" s="39">
        <v>4.65983224604E-4</v>
      </c>
    </row>
    <row r="79" spans="2:5" x14ac:dyDescent="0.35">
      <c r="B79" s="78"/>
      <c r="C79" s="37" t="s">
        <v>170</v>
      </c>
      <c r="D79" s="38">
        <v>3</v>
      </c>
      <c r="E79" s="39">
        <v>1.397949673812E-3</v>
      </c>
    </row>
    <row r="80" spans="2:5" x14ac:dyDescent="0.35">
      <c r="B80" s="78"/>
      <c r="C80" s="37" t="s">
        <v>172</v>
      </c>
      <c r="D80" s="38">
        <v>2</v>
      </c>
      <c r="E80" s="39">
        <v>9.3196644920800001E-4</v>
      </c>
    </row>
    <row r="81" spans="2:5" x14ac:dyDescent="0.35">
      <c r="B81" s="78"/>
      <c r="C81" s="37" t="s">
        <v>209</v>
      </c>
      <c r="D81" s="38">
        <v>1</v>
      </c>
      <c r="E81" s="39">
        <v>4.65983224604E-4</v>
      </c>
    </row>
    <row r="82" spans="2:5" x14ac:dyDescent="0.35">
      <c r="B82" s="78"/>
      <c r="C82" s="37" t="s">
        <v>175</v>
      </c>
      <c r="D82" s="38">
        <v>1</v>
      </c>
      <c r="E82" s="39">
        <v>4.65983224604E-4</v>
      </c>
    </row>
    <row r="83" spans="2:5" x14ac:dyDescent="0.35">
      <c r="B83" s="78"/>
      <c r="C83" s="37" t="s">
        <v>134</v>
      </c>
      <c r="D83" s="38">
        <v>9</v>
      </c>
      <c r="E83" s="39">
        <v>4.193849021435E-3</v>
      </c>
    </row>
    <row r="84" spans="2:5" x14ac:dyDescent="0.35">
      <c r="B84" s="78"/>
      <c r="C84" s="37" t="s">
        <v>141</v>
      </c>
      <c r="D84" s="38">
        <v>6</v>
      </c>
      <c r="E84" s="39">
        <v>2.795899347623E-3</v>
      </c>
    </row>
    <row r="85" spans="2:5" x14ac:dyDescent="0.35">
      <c r="B85" s="78"/>
      <c r="C85" s="37" t="s">
        <v>139</v>
      </c>
      <c r="D85" s="38">
        <v>1</v>
      </c>
      <c r="E85" s="39">
        <v>4.65983224604E-4</v>
      </c>
    </row>
    <row r="86" spans="2:5" x14ac:dyDescent="0.35">
      <c r="B86" s="78"/>
      <c r="C86" s="37" t="s">
        <v>186</v>
      </c>
      <c r="D86" s="38">
        <v>1</v>
      </c>
      <c r="E86" s="39">
        <v>4.65983224604E-4</v>
      </c>
    </row>
    <row r="87" spans="2:5" x14ac:dyDescent="0.35">
      <c r="B87" s="78"/>
      <c r="C87" s="37" t="s">
        <v>194</v>
      </c>
      <c r="D87" s="38">
        <v>1</v>
      </c>
      <c r="E87" s="39">
        <v>4.65983224604E-4</v>
      </c>
    </row>
    <row r="88" spans="2:5" x14ac:dyDescent="0.35">
      <c r="B88" s="78"/>
      <c r="C88" s="37" t="s">
        <v>136</v>
      </c>
      <c r="D88" s="38">
        <v>20</v>
      </c>
      <c r="E88" s="39">
        <v>9.3196644920779999E-3</v>
      </c>
    </row>
    <row r="89" spans="2:5" x14ac:dyDescent="0.35">
      <c r="B89" s="78"/>
      <c r="C89" s="37" t="s">
        <v>204</v>
      </c>
      <c r="D89" s="38">
        <v>4</v>
      </c>
      <c r="E89" s="39">
        <v>1.863932898416E-3</v>
      </c>
    </row>
    <row r="90" spans="2:5" x14ac:dyDescent="0.35">
      <c r="B90" s="78"/>
      <c r="C90" s="37" t="s">
        <v>207</v>
      </c>
      <c r="D90" s="38">
        <v>1</v>
      </c>
      <c r="E90" s="39">
        <v>4.65983224604E-4</v>
      </c>
    </row>
    <row r="91" spans="2:5" x14ac:dyDescent="0.35">
      <c r="B91" s="78"/>
      <c r="C91" s="15" t="s">
        <v>25</v>
      </c>
      <c r="D91" s="16">
        <v>84</v>
      </c>
      <c r="E91" s="17">
        <v>3.9142590866728999E-2</v>
      </c>
    </row>
    <row r="92" spans="2:5" x14ac:dyDescent="0.35">
      <c r="B92" s="78" t="s">
        <v>75</v>
      </c>
      <c r="C92" s="37" t="s">
        <v>134</v>
      </c>
      <c r="D92" s="38">
        <v>4</v>
      </c>
      <c r="E92" s="39">
        <v>1.863932898416E-3</v>
      </c>
    </row>
    <row r="93" spans="2:5" x14ac:dyDescent="0.35">
      <c r="B93" s="78"/>
      <c r="C93" s="37" t="s">
        <v>187</v>
      </c>
      <c r="D93" s="38">
        <v>2</v>
      </c>
      <c r="E93" s="39">
        <v>9.3196644920800001E-4</v>
      </c>
    </row>
    <row r="94" spans="2:5" x14ac:dyDescent="0.35">
      <c r="B94" s="78"/>
      <c r="C94" s="37" t="s">
        <v>208</v>
      </c>
      <c r="D94" s="38">
        <v>1</v>
      </c>
      <c r="E94" s="39">
        <v>4.65983224604E-4</v>
      </c>
    </row>
    <row r="95" spans="2:5" x14ac:dyDescent="0.35">
      <c r="B95" s="78"/>
      <c r="C95" s="15" t="s">
        <v>25</v>
      </c>
      <c r="D95" s="16">
        <v>7</v>
      </c>
      <c r="E95" s="17">
        <v>3.261882572227E-3</v>
      </c>
    </row>
    <row r="96" spans="2:5" x14ac:dyDescent="0.35">
      <c r="B96" s="78" t="s">
        <v>78</v>
      </c>
      <c r="C96" s="37" t="s">
        <v>178</v>
      </c>
      <c r="D96" s="38">
        <v>1</v>
      </c>
      <c r="E96" s="39">
        <v>4.65983224604E-4</v>
      </c>
    </row>
    <row r="97" spans="2:5" x14ac:dyDescent="0.35">
      <c r="B97" s="78"/>
      <c r="C97" s="37" t="s">
        <v>134</v>
      </c>
      <c r="D97" s="38">
        <v>1</v>
      </c>
      <c r="E97" s="39">
        <v>4.65983224604E-4</v>
      </c>
    </row>
    <row r="98" spans="2:5" x14ac:dyDescent="0.35">
      <c r="B98" s="78"/>
      <c r="C98" s="37" t="s">
        <v>182</v>
      </c>
      <c r="D98" s="38">
        <v>1</v>
      </c>
      <c r="E98" s="39">
        <v>4.65983224604E-4</v>
      </c>
    </row>
    <row r="99" spans="2:5" x14ac:dyDescent="0.35">
      <c r="B99" s="78"/>
      <c r="C99" s="37" t="s">
        <v>187</v>
      </c>
      <c r="D99" s="38">
        <v>2</v>
      </c>
      <c r="E99" s="39">
        <v>9.3196644920800001E-4</v>
      </c>
    </row>
    <row r="100" spans="2:5" x14ac:dyDescent="0.35">
      <c r="B100" s="78"/>
      <c r="C100" s="37" t="s">
        <v>191</v>
      </c>
      <c r="D100" s="38">
        <v>1</v>
      </c>
      <c r="E100" s="39">
        <v>4.65983224604E-4</v>
      </c>
    </row>
    <row r="101" spans="2:5" x14ac:dyDescent="0.35">
      <c r="B101" s="78"/>
      <c r="C101" s="15" t="s">
        <v>25</v>
      </c>
      <c r="D101" s="16">
        <v>6</v>
      </c>
      <c r="E101" s="17">
        <v>2.795899347623E-3</v>
      </c>
    </row>
    <row r="102" spans="2:5" x14ac:dyDescent="0.35">
      <c r="B102" s="78" t="s">
        <v>65</v>
      </c>
      <c r="C102" s="37" t="s">
        <v>169</v>
      </c>
      <c r="D102" s="38">
        <v>2</v>
      </c>
      <c r="E102" s="39">
        <v>9.3196644920800001E-4</v>
      </c>
    </row>
    <row r="103" spans="2:5" x14ac:dyDescent="0.35">
      <c r="B103" s="78"/>
      <c r="C103" s="37" t="s">
        <v>172</v>
      </c>
      <c r="D103" s="38">
        <v>1</v>
      </c>
      <c r="E103" s="39">
        <v>4.65983224604E-4</v>
      </c>
    </row>
    <row r="104" spans="2:5" x14ac:dyDescent="0.35">
      <c r="B104" s="78"/>
      <c r="C104" s="37" t="s">
        <v>133</v>
      </c>
      <c r="D104" s="38">
        <v>1</v>
      </c>
      <c r="E104" s="39">
        <v>4.65983224604E-4</v>
      </c>
    </row>
    <row r="105" spans="2:5" x14ac:dyDescent="0.35">
      <c r="B105" s="78"/>
      <c r="C105" s="37" t="s">
        <v>178</v>
      </c>
      <c r="D105" s="38">
        <v>1</v>
      </c>
      <c r="E105" s="39">
        <v>4.65983224604E-4</v>
      </c>
    </row>
    <row r="106" spans="2:5" x14ac:dyDescent="0.35">
      <c r="B106" s="78"/>
      <c r="C106" s="37" t="s">
        <v>134</v>
      </c>
      <c r="D106" s="38">
        <v>2</v>
      </c>
      <c r="E106" s="39">
        <v>9.3196644920800001E-4</v>
      </c>
    </row>
    <row r="107" spans="2:5" x14ac:dyDescent="0.35">
      <c r="B107" s="78"/>
      <c r="C107" s="37" t="s">
        <v>141</v>
      </c>
      <c r="D107" s="38">
        <v>2</v>
      </c>
      <c r="E107" s="39">
        <v>9.3196644920800001E-4</v>
      </c>
    </row>
    <row r="108" spans="2:5" x14ac:dyDescent="0.35">
      <c r="B108" s="78"/>
      <c r="C108" s="37" t="s">
        <v>139</v>
      </c>
      <c r="D108" s="38">
        <v>1</v>
      </c>
      <c r="E108" s="39">
        <v>4.65983224604E-4</v>
      </c>
    </row>
    <row r="109" spans="2:5" x14ac:dyDescent="0.35">
      <c r="B109" s="78"/>
      <c r="C109" s="37" t="s">
        <v>137</v>
      </c>
      <c r="D109" s="38">
        <v>1</v>
      </c>
      <c r="E109" s="39">
        <v>4.65983224604E-4</v>
      </c>
    </row>
    <row r="110" spans="2:5" x14ac:dyDescent="0.35">
      <c r="B110" s="78"/>
      <c r="C110" s="37" t="s">
        <v>204</v>
      </c>
      <c r="D110" s="38">
        <v>1</v>
      </c>
      <c r="E110" s="39">
        <v>4.65983224604E-4</v>
      </c>
    </row>
    <row r="111" spans="2:5" x14ac:dyDescent="0.35">
      <c r="B111" s="78"/>
      <c r="C111" s="15" t="s">
        <v>25</v>
      </c>
      <c r="D111" s="16">
        <v>12</v>
      </c>
      <c r="E111" s="17">
        <v>5.591798695247E-3</v>
      </c>
    </row>
    <row r="112" spans="2:5" x14ac:dyDescent="0.35">
      <c r="B112" s="78" t="s">
        <v>55</v>
      </c>
      <c r="C112" s="37" t="s">
        <v>149</v>
      </c>
      <c r="D112" s="38">
        <v>1</v>
      </c>
      <c r="E112" s="39">
        <v>4.65983224604E-4</v>
      </c>
    </row>
    <row r="113" spans="2:5" x14ac:dyDescent="0.35">
      <c r="B113" s="78"/>
      <c r="C113" s="37" t="s">
        <v>157</v>
      </c>
      <c r="D113" s="38">
        <v>1</v>
      </c>
      <c r="E113" s="39">
        <v>4.65983224604E-4</v>
      </c>
    </row>
    <row r="114" spans="2:5" x14ac:dyDescent="0.35">
      <c r="B114" s="78"/>
      <c r="C114" s="37" t="s">
        <v>159</v>
      </c>
      <c r="D114" s="38">
        <v>1</v>
      </c>
      <c r="E114" s="39">
        <v>4.65983224604E-4</v>
      </c>
    </row>
    <row r="115" spans="2:5" x14ac:dyDescent="0.35">
      <c r="B115" s="78"/>
      <c r="C115" s="37" t="s">
        <v>133</v>
      </c>
      <c r="D115" s="38">
        <v>1</v>
      </c>
      <c r="E115" s="39">
        <v>4.65983224604E-4</v>
      </c>
    </row>
    <row r="116" spans="2:5" x14ac:dyDescent="0.35">
      <c r="B116" s="78"/>
      <c r="C116" s="37" t="s">
        <v>178</v>
      </c>
      <c r="D116" s="38">
        <v>1</v>
      </c>
      <c r="E116" s="39">
        <v>4.65983224604E-4</v>
      </c>
    </row>
    <row r="117" spans="2:5" x14ac:dyDescent="0.35">
      <c r="B117" s="78"/>
      <c r="C117" s="37" t="s">
        <v>134</v>
      </c>
      <c r="D117" s="38">
        <v>27</v>
      </c>
      <c r="E117" s="39">
        <v>1.2581547064306E-2</v>
      </c>
    </row>
    <row r="118" spans="2:5" x14ac:dyDescent="0.35">
      <c r="B118" s="78"/>
      <c r="C118" s="37" t="s">
        <v>141</v>
      </c>
      <c r="D118" s="38">
        <v>1</v>
      </c>
      <c r="E118" s="39">
        <v>4.65983224604E-4</v>
      </c>
    </row>
    <row r="119" spans="2:5" x14ac:dyDescent="0.35">
      <c r="B119" s="78"/>
      <c r="C119" s="37" t="s">
        <v>139</v>
      </c>
      <c r="D119" s="38">
        <v>1</v>
      </c>
      <c r="E119" s="39">
        <v>4.65983224604E-4</v>
      </c>
    </row>
    <row r="120" spans="2:5" x14ac:dyDescent="0.35">
      <c r="B120" s="78"/>
      <c r="C120" s="37" t="s">
        <v>193</v>
      </c>
      <c r="D120" s="38">
        <v>3</v>
      </c>
      <c r="E120" s="39">
        <v>1.397949673812E-3</v>
      </c>
    </row>
    <row r="121" spans="2:5" x14ac:dyDescent="0.35">
      <c r="B121" s="78"/>
      <c r="C121" s="37" t="s">
        <v>136</v>
      </c>
      <c r="D121" s="38">
        <v>1</v>
      </c>
      <c r="E121" s="39">
        <v>4.65983224604E-4</v>
      </c>
    </row>
    <row r="122" spans="2:5" x14ac:dyDescent="0.35">
      <c r="B122" s="78"/>
      <c r="C122" s="37" t="s">
        <v>202</v>
      </c>
      <c r="D122" s="38">
        <v>2</v>
      </c>
      <c r="E122" s="39">
        <v>9.3196644920800001E-4</v>
      </c>
    </row>
    <row r="123" spans="2:5" x14ac:dyDescent="0.35">
      <c r="B123" s="78"/>
      <c r="C123" s="37" t="s">
        <v>204</v>
      </c>
      <c r="D123" s="38">
        <v>1</v>
      </c>
      <c r="E123" s="39">
        <v>4.65983224604E-4</v>
      </c>
    </row>
    <row r="124" spans="2:5" x14ac:dyDescent="0.35">
      <c r="B124" s="78"/>
      <c r="C124" s="37" t="s">
        <v>142</v>
      </c>
      <c r="D124" s="38">
        <v>1</v>
      </c>
      <c r="E124" s="39">
        <v>4.65983224604E-4</v>
      </c>
    </row>
    <row r="125" spans="2:5" x14ac:dyDescent="0.35">
      <c r="B125" s="78"/>
      <c r="C125" s="37" t="s">
        <v>207</v>
      </c>
      <c r="D125" s="38">
        <v>3</v>
      </c>
      <c r="E125" s="39">
        <v>1.397949673812E-3</v>
      </c>
    </row>
    <row r="126" spans="2:5" x14ac:dyDescent="0.35">
      <c r="B126" s="78"/>
      <c r="C126" s="15" t="s">
        <v>25</v>
      </c>
      <c r="D126" s="16">
        <v>45</v>
      </c>
      <c r="E126" s="17">
        <v>2.0969245107176002E-2</v>
      </c>
    </row>
    <row r="127" spans="2:5" x14ac:dyDescent="0.35">
      <c r="B127" s="78" t="s">
        <v>80</v>
      </c>
      <c r="C127" s="37" t="s">
        <v>134</v>
      </c>
      <c r="D127" s="38">
        <v>3</v>
      </c>
      <c r="E127" s="39">
        <v>1.397949673812E-3</v>
      </c>
    </row>
    <row r="128" spans="2:5" x14ac:dyDescent="0.35">
      <c r="B128" s="78"/>
      <c r="C128" s="37" t="s">
        <v>204</v>
      </c>
      <c r="D128" s="38">
        <v>2</v>
      </c>
      <c r="E128" s="39">
        <v>9.3196644920800001E-4</v>
      </c>
    </row>
    <row r="129" spans="2:5" x14ac:dyDescent="0.35">
      <c r="B129" s="78"/>
      <c r="C129" s="15" t="s">
        <v>25</v>
      </c>
      <c r="D129" s="16">
        <v>5</v>
      </c>
      <c r="E129" s="17">
        <v>2.32991612302E-3</v>
      </c>
    </row>
    <row r="130" spans="2:5" x14ac:dyDescent="0.35">
      <c r="B130" s="78" t="s">
        <v>58</v>
      </c>
      <c r="C130" s="37" t="s">
        <v>145</v>
      </c>
      <c r="D130" s="38">
        <v>3</v>
      </c>
      <c r="E130" s="39">
        <v>1.397949673812E-3</v>
      </c>
    </row>
    <row r="131" spans="2:5" x14ac:dyDescent="0.35">
      <c r="B131" s="78"/>
      <c r="C131" s="37" t="s">
        <v>148</v>
      </c>
      <c r="D131" s="38">
        <v>6</v>
      </c>
      <c r="E131" s="39">
        <v>2.795899347623E-3</v>
      </c>
    </row>
    <row r="132" spans="2:5" x14ac:dyDescent="0.35">
      <c r="B132" s="78"/>
      <c r="C132" s="37" t="s">
        <v>149</v>
      </c>
      <c r="D132" s="38">
        <v>1</v>
      </c>
      <c r="E132" s="39">
        <v>4.65983224604E-4</v>
      </c>
    </row>
    <row r="133" spans="2:5" x14ac:dyDescent="0.35">
      <c r="B133" s="78"/>
      <c r="C133" s="37" t="s">
        <v>155</v>
      </c>
      <c r="D133" s="38">
        <v>2</v>
      </c>
      <c r="E133" s="39">
        <v>9.3196644920800001E-4</v>
      </c>
    </row>
    <row r="134" spans="2:5" x14ac:dyDescent="0.35">
      <c r="B134" s="78"/>
      <c r="C134" s="37" t="s">
        <v>133</v>
      </c>
      <c r="D134" s="38">
        <v>1</v>
      </c>
      <c r="E134" s="39">
        <v>4.65983224604E-4</v>
      </c>
    </row>
    <row r="135" spans="2:5" x14ac:dyDescent="0.35">
      <c r="B135" s="78"/>
      <c r="C135" s="37" t="s">
        <v>178</v>
      </c>
      <c r="D135" s="38">
        <v>2</v>
      </c>
      <c r="E135" s="39">
        <v>9.3196644920800001E-4</v>
      </c>
    </row>
    <row r="136" spans="2:5" x14ac:dyDescent="0.35">
      <c r="B136" s="78"/>
      <c r="C136" s="37" t="s">
        <v>134</v>
      </c>
      <c r="D136" s="38">
        <v>5</v>
      </c>
      <c r="E136" s="39">
        <v>2.32991612302E-3</v>
      </c>
    </row>
    <row r="137" spans="2:5" x14ac:dyDescent="0.35">
      <c r="B137" s="78"/>
      <c r="C137" s="37" t="s">
        <v>141</v>
      </c>
      <c r="D137" s="38">
        <v>1</v>
      </c>
      <c r="E137" s="39">
        <v>4.65983224604E-4</v>
      </c>
    </row>
    <row r="138" spans="2:5" x14ac:dyDescent="0.35">
      <c r="B138" s="78"/>
      <c r="C138" s="37" t="s">
        <v>182</v>
      </c>
      <c r="D138" s="38">
        <v>1</v>
      </c>
      <c r="E138" s="39">
        <v>4.65983224604E-4</v>
      </c>
    </row>
    <row r="139" spans="2:5" x14ac:dyDescent="0.35">
      <c r="B139" s="78"/>
      <c r="C139" s="37" t="s">
        <v>197</v>
      </c>
      <c r="D139" s="38">
        <v>1</v>
      </c>
      <c r="E139" s="39">
        <v>4.65983224604E-4</v>
      </c>
    </row>
    <row r="140" spans="2:5" x14ac:dyDescent="0.35">
      <c r="B140" s="78"/>
      <c r="C140" s="37" t="s">
        <v>202</v>
      </c>
      <c r="D140" s="38">
        <v>1</v>
      </c>
      <c r="E140" s="39">
        <v>4.65983224604E-4</v>
      </c>
    </row>
    <row r="141" spans="2:5" x14ac:dyDescent="0.35">
      <c r="B141" s="78"/>
      <c r="C141" s="15" t="s">
        <v>25</v>
      </c>
      <c r="D141" s="16">
        <v>24</v>
      </c>
      <c r="E141" s="17">
        <v>1.1183597390494E-2</v>
      </c>
    </row>
    <row r="142" spans="2:5" x14ac:dyDescent="0.35">
      <c r="B142" s="78" t="s">
        <v>85</v>
      </c>
      <c r="C142" s="37" t="s">
        <v>134</v>
      </c>
      <c r="D142" s="38">
        <v>1</v>
      </c>
      <c r="E142" s="39">
        <v>4.65983224604E-4</v>
      </c>
    </row>
    <row r="143" spans="2:5" x14ac:dyDescent="0.35">
      <c r="B143" s="78"/>
      <c r="C143" s="37" t="s">
        <v>141</v>
      </c>
      <c r="D143" s="38">
        <v>1</v>
      </c>
      <c r="E143" s="39">
        <v>4.65983224604E-4</v>
      </c>
    </row>
    <row r="144" spans="2:5" x14ac:dyDescent="0.35">
      <c r="B144" s="78"/>
      <c r="C144" s="15" t="s">
        <v>25</v>
      </c>
      <c r="D144" s="16">
        <v>2</v>
      </c>
      <c r="E144" s="17">
        <v>9.3196644920800001E-4</v>
      </c>
    </row>
    <row r="145" spans="2:5" x14ac:dyDescent="0.35">
      <c r="B145" s="78" t="s">
        <v>52</v>
      </c>
      <c r="C145" s="37" t="s">
        <v>148</v>
      </c>
      <c r="D145" s="38">
        <v>6</v>
      </c>
      <c r="E145" s="39">
        <v>2.795899347623E-3</v>
      </c>
    </row>
    <row r="146" spans="2:5" x14ac:dyDescent="0.35">
      <c r="B146" s="78"/>
      <c r="C146" s="37" t="s">
        <v>158</v>
      </c>
      <c r="D146" s="38">
        <v>2</v>
      </c>
      <c r="E146" s="39">
        <v>9.3196644920800001E-4</v>
      </c>
    </row>
    <row r="147" spans="2:5" x14ac:dyDescent="0.35">
      <c r="B147" s="78"/>
      <c r="C147" s="37" t="s">
        <v>177</v>
      </c>
      <c r="D147" s="38">
        <v>3</v>
      </c>
      <c r="E147" s="39">
        <v>1.397949673812E-3</v>
      </c>
    </row>
    <row r="148" spans="2:5" x14ac:dyDescent="0.35">
      <c r="B148" s="78"/>
      <c r="C148" s="37" t="s">
        <v>133</v>
      </c>
      <c r="D148" s="38">
        <v>2</v>
      </c>
      <c r="E148" s="39">
        <v>9.3196644920800001E-4</v>
      </c>
    </row>
    <row r="149" spans="2:5" x14ac:dyDescent="0.35">
      <c r="B149" s="78"/>
      <c r="C149" s="37" t="s">
        <v>178</v>
      </c>
      <c r="D149" s="38">
        <v>18</v>
      </c>
      <c r="E149" s="39">
        <v>8.3876980428699999E-3</v>
      </c>
    </row>
    <row r="150" spans="2:5" x14ac:dyDescent="0.35">
      <c r="B150" s="78"/>
      <c r="C150" s="37" t="s">
        <v>134</v>
      </c>
      <c r="D150" s="38">
        <v>12</v>
      </c>
      <c r="E150" s="39">
        <v>5.591798695247E-3</v>
      </c>
    </row>
    <row r="151" spans="2:5" x14ac:dyDescent="0.35">
      <c r="B151" s="78"/>
      <c r="C151" s="37" t="s">
        <v>141</v>
      </c>
      <c r="D151" s="38">
        <v>3</v>
      </c>
      <c r="E151" s="39">
        <v>1.397949673812E-3</v>
      </c>
    </row>
    <row r="152" spans="2:5" x14ac:dyDescent="0.35">
      <c r="B152" s="78"/>
      <c r="C152" s="37" t="s">
        <v>186</v>
      </c>
      <c r="D152" s="38">
        <v>1</v>
      </c>
      <c r="E152" s="39">
        <v>4.65983224604E-4</v>
      </c>
    </row>
    <row r="153" spans="2:5" x14ac:dyDescent="0.35">
      <c r="B153" s="78"/>
      <c r="C153" s="37" t="s">
        <v>192</v>
      </c>
      <c r="D153" s="38">
        <v>1</v>
      </c>
      <c r="E153" s="39">
        <v>4.65983224604E-4</v>
      </c>
    </row>
    <row r="154" spans="2:5" x14ac:dyDescent="0.35">
      <c r="B154" s="78"/>
      <c r="C154" s="37" t="s">
        <v>136</v>
      </c>
      <c r="D154" s="38">
        <v>1</v>
      </c>
      <c r="E154" s="39">
        <v>4.65983224604E-4</v>
      </c>
    </row>
    <row r="155" spans="2:5" x14ac:dyDescent="0.35">
      <c r="B155" s="78"/>
      <c r="C155" s="37" t="s">
        <v>137</v>
      </c>
      <c r="D155" s="38">
        <v>1</v>
      </c>
      <c r="E155" s="39">
        <v>4.65983224604E-4</v>
      </c>
    </row>
    <row r="156" spans="2:5" x14ac:dyDescent="0.35">
      <c r="B156" s="78"/>
      <c r="C156" s="37" t="s">
        <v>207</v>
      </c>
      <c r="D156" s="38">
        <v>2</v>
      </c>
      <c r="E156" s="39">
        <v>9.3196644920800001E-4</v>
      </c>
    </row>
    <row r="157" spans="2:5" x14ac:dyDescent="0.35">
      <c r="B157" s="78"/>
      <c r="C157" s="15" t="s">
        <v>25</v>
      </c>
      <c r="D157" s="16">
        <v>52</v>
      </c>
      <c r="E157" s="17">
        <v>2.4231127679404E-2</v>
      </c>
    </row>
    <row r="158" spans="2:5" x14ac:dyDescent="0.35">
      <c r="B158" s="78" t="s">
        <v>56</v>
      </c>
      <c r="C158" s="37" t="s">
        <v>140</v>
      </c>
      <c r="D158" s="38">
        <v>3</v>
      </c>
      <c r="E158" s="39">
        <v>1.397949673812E-3</v>
      </c>
    </row>
    <row r="159" spans="2:5" x14ac:dyDescent="0.35">
      <c r="B159" s="78"/>
      <c r="C159" s="37" t="s">
        <v>134</v>
      </c>
      <c r="D159" s="38">
        <v>6</v>
      </c>
      <c r="E159" s="39">
        <v>2.795899347623E-3</v>
      </c>
    </row>
    <row r="160" spans="2:5" x14ac:dyDescent="0.35">
      <c r="B160" s="78"/>
      <c r="C160" s="37" t="s">
        <v>141</v>
      </c>
      <c r="D160" s="38">
        <v>1</v>
      </c>
      <c r="E160" s="39">
        <v>4.65983224604E-4</v>
      </c>
    </row>
    <row r="161" spans="2:5" x14ac:dyDescent="0.35">
      <c r="B161" s="78"/>
      <c r="C161" s="37" t="s">
        <v>139</v>
      </c>
      <c r="D161" s="38">
        <v>1</v>
      </c>
      <c r="E161" s="39">
        <v>4.65983224604E-4</v>
      </c>
    </row>
    <row r="162" spans="2:5" x14ac:dyDescent="0.35">
      <c r="B162" s="78"/>
      <c r="C162" s="37" t="s">
        <v>136</v>
      </c>
      <c r="D162" s="38">
        <v>22</v>
      </c>
      <c r="E162" s="39">
        <v>1.0251630941286E-2</v>
      </c>
    </row>
    <row r="163" spans="2:5" x14ac:dyDescent="0.35">
      <c r="B163" s="78"/>
      <c r="C163" s="37" t="s">
        <v>215</v>
      </c>
      <c r="D163" s="38">
        <v>1</v>
      </c>
      <c r="E163" s="39">
        <v>4.65983224604E-4</v>
      </c>
    </row>
    <row r="164" spans="2:5" x14ac:dyDescent="0.35">
      <c r="B164" s="78"/>
      <c r="C164" s="37" t="s">
        <v>203</v>
      </c>
      <c r="D164" s="38">
        <v>1</v>
      </c>
      <c r="E164" s="39">
        <v>4.65983224604E-4</v>
      </c>
    </row>
    <row r="165" spans="2:5" x14ac:dyDescent="0.35">
      <c r="B165" s="78"/>
      <c r="C165" s="37" t="s">
        <v>142</v>
      </c>
      <c r="D165" s="38">
        <v>1</v>
      </c>
      <c r="E165" s="39">
        <v>4.65983224604E-4</v>
      </c>
    </row>
    <row r="166" spans="2:5" x14ac:dyDescent="0.35">
      <c r="B166" s="78"/>
      <c r="C166" s="37" t="s">
        <v>143</v>
      </c>
      <c r="D166" s="38">
        <v>2</v>
      </c>
      <c r="E166" s="39">
        <v>9.3196644920800001E-4</v>
      </c>
    </row>
    <row r="167" spans="2:5" x14ac:dyDescent="0.35">
      <c r="B167" s="78"/>
      <c r="C167" s="15" t="s">
        <v>25</v>
      </c>
      <c r="D167" s="16">
        <v>38</v>
      </c>
      <c r="E167" s="17">
        <v>1.7707362534948999E-2</v>
      </c>
    </row>
    <row r="168" spans="2:5" x14ac:dyDescent="0.35">
      <c r="B168" s="78" t="s">
        <v>45</v>
      </c>
      <c r="C168" s="37" t="s">
        <v>144</v>
      </c>
      <c r="D168" s="38">
        <v>1</v>
      </c>
      <c r="E168" s="39">
        <v>4.65983224604E-4</v>
      </c>
    </row>
    <row r="169" spans="2:5" x14ac:dyDescent="0.35">
      <c r="B169" s="78"/>
      <c r="C169" s="37" t="s">
        <v>140</v>
      </c>
      <c r="D169" s="38">
        <v>2</v>
      </c>
      <c r="E169" s="39">
        <v>9.3196644920800001E-4</v>
      </c>
    </row>
    <row r="170" spans="2:5" x14ac:dyDescent="0.35">
      <c r="B170" s="78"/>
      <c r="C170" s="37" t="s">
        <v>146</v>
      </c>
      <c r="D170" s="38">
        <v>3</v>
      </c>
      <c r="E170" s="39">
        <v>1.397949673812E-3</v>
      </c>
    </row>
    <row r="171" spans="2:5" x14ac:dyDescent="0.35">
      <c r="B171" s="78"/>
      <c r="C171" s="37" t="s">
        <v>148</v>
      </c>
      <c r="D171" s="38">
        <v>5</v>
      </c>
      <c r="E171" s="39">
        <v>2.32991612302E-3</v>
      </c>
    </row>
    <row r="172" spans="2:5" x14ac:dyDescent="0.35">
      <c r="B172" s="78"/>
      <c r="C172" s="37" t="s">
        <v>149</v>
      </c>
      <c r="D172" s="38">
        <v>2</v>
      </c>
      <c r="E172" s="39">
        <v>9.3196644920800001E-4</v>
      </c>
    </row>
    <row r="173" spans="2:5" x14ac:dyDescent="0.35">
      <c r="B173" s="78"/>
      <c r="C173" s="37" t="s">
        <v>150</v>
      </c>
      <c r="D173" s="38">
        <v>8</v>
      </c>
      <c r="E173" s="39">
        <v>3.727865796831E-3</v>
      </c>
    </row>
    <row r="174" spans="2:5" x14ac:dyDescent="0.35">
      <c r="B174" s="78"/>
      <c r="C174" s="37" t="s">
        <v>152</v>
      </c>
      <c r="D174" s="38">
        <v>8</v>
      </c>
      <c r="E174" s="39">
        <v>3.727865796831E-3</v>
      </c>
    </row>
    <row r="175" spans="2:5" x14ac:dyDescent="0.35">
      <c r="B175" s="78"/>
      <c r="C175" s="37" t="s">
        <v>154</v>
      </c>
      <c r="D175" s="38">
        <v>1</v>
      </c>
      <c r="E175" s="39">
        <v>4.65983224604E-4</v>
      </c>
    </row>
    <row r="176" spans="2:5" x14ac:dyDescent="0.35">
      <c r="B176" s="78"/>
      <c r="C176" s="37" t="s">
        <v>158</v>
      </c>
      <c r="D176" s="38">
        <v>1</v>
      </c>
      <c r="E176" s="39">
        <v>4.65983224604E-4</v>
      </c>
    </row>
    <row r="177" spans="2:5" x14ac:dyDescent="0.35">
      <c r="B177" s="78"/>
      <c r="C177" s="37" t="s">
        <v>160</v>
      </c>
      <c r="D177" s="38">
        <v>1</v>
      </c>
      <c r="E177" s="39">
        <v>4.65983224604E-4</v>
      </c>
    </row>
    <row r="178" spans="2:5" x14ac:dyDescent="0.35">
      <c r="B178" s="78"/>
      <c r="C178" s="37" t="s">
        <v>138</v>
      </c>
      <c r="D178" s="38">
        <v>1</v>
      </c>
      <c r="E178" s="39">
        <v>4.65983224604E-4</v>
      </c>
    </row>
    <row r="179" spans="2:5" x14ac:dyDescent="0.35">
      <c r="B179" s="78"/>
      <c r="C179" s="37" t="s">
        <v>163</v>
      </c>
      <c r="D179" s="38">
        <v>4</v>
      </c>
      <c r="E179" s="39">
        <v>1.863932898416E-3</v>
      </c>
    </row>
    <row r="180" spans="2:5" x14ac:dyDescent="0.35">
      <c r="B180" s="78"/>
      <c r="C180" s="37" t="s">
        <v>166</v>
      </c>
      <c r="D180" s="38">
        <v>1</v>
      </c>
      <c r="E180" s="39">
        <v>4.65983224604E-4</v>
      </c>
    </row>
    <row r="181" spans="2:5" x14ac:dyDescent="0.35">
      <c r="B181" s="78"/>
      <c r="C181" s="37" t="s">
        <v>167</v>
      </c>
      <c r="D181" s="38">
        <v>1</v>
      </c>
      <c r="E181" s="39">
        <v>4.65983224604E-4</v>
      </c>
    </row>
    <row r="182" spans="2:5" x14ac:dyDescent="0.35">
      <c r="B182" s="78"/>
      <c r="C182" s="37" t="s">
        <v>168</v>
      </c>
      <c r="D182" s="38">
        <v>2</v>
      </c>
      <c r="E182" s="39">
        <v>9.3196644920800001E-4</v>
      </c>
    </row>
    <row r="183" spans="2:5" x14ac:dyDescent="0.35">
      <c r="B183" s="78"/>
      <c r="C183" s="37" t="s">
        <v>169</v>
      </c>
      <c r="D183" s="38">
        <v>4</v>
      </c>
      <c r="E183" s="39">
        <v>1.863932898416E-3</v>
      </c>
    </row>
    <row r="184" spans="2:5" x14ac:dyDescent="0.35">
      <c r="B184" s="78"/>
      <c r="C184" s="37" t="s">
        <v>170</v>
      </c>
      <c r="D184" s="38">
        <v>1</v>
      </c>
      <c r="E184" s="39">
        <v>4.65983224604E-4</v>
      </c>
    </row>
    <row r="185" spans="2:5" x14ac:dyDescent="0.35">
      <c r="B185" s="78"/>
      <c r="C185" s="37" t="s">
        <v>171</v>
      </c>
      <c r="D185" s="38">
        <v>1</v>
      </c>
      <c r="E185" s="39">
        <v>4.65983224604E-4</v>
      </c>
    </row>
    <row r="186" spans="2:5" x14ac:dyDescent="0.35">
      <c r="B186" s="78"/>
      <c r="C186" s="37" t="s">
        <v>172</v>
      </c>
      <c r="D186" s="38">
        <v>11</v>
      </c>
      <c r="E186" s="39">
        <v>5.125815470643E-3</v>
      </c>
    </row>
    <row r="187" spans="2:5" x14ac:dyDescent="0.35">
      <c r="B187" s="78"/>
      <c r="C187" s="37" t="s">
        <v>173</v>
      </c>
      <c r="D187" s="38">
        <v>2</v>
      </c>
      <c r="E187" s="39">
        <v>9.3196644920800001E-4</v>
      </c>
    </row>
    <row r="188" spans="2:5" x14ac:dyDescent="0.35">
      <c r="B188" s="78"/>
      <c r="C188" s="37" t="s">
        <v>174</v>
      </c>
      <c r="D188" s="38">
        <v>8</v>
      </c>
      <c r="E188" s="39">
        <v>3.727865796831E-3</v>
      </c>
    </row>
    <row r="189" spans="2:5" x14ac:dyDescent="0.35">
      <c r="B189" s="78"/>
      <c r="C189" s="37" t="s">
        <v>175</v>
      </c>
      <c r="D189" s="38">
        <v>2</v>
      </c>
      <c r="E189" s="39">
        <v>9.3196644920800001E-4</v>
      </c>
    </row>
    <row r="190" spans="2:5" x14ac:dyDescent="0.35">
      <c r="B190" s="78"/>
      <c r="C190" s="37" t="s">
        <v>133</v>
      </c>
      <c r="D190" s="38">
        <v>69</v>
      </c>
      <c r="E190" s="39">
        <v>3.2152842497670003E-2</v>
      </c>
    </row>
    <row r="191" spans="2:5" x14ac:dyDescent="0.35">
      <c r="B191" s="78"/>
      <c r="C191" s="37" t="s">
        <v>178</v>
      </c>
      <c r="D191" s="38">
        <v>30</v>
      </c>
      <c r="E191" s="39">
        <v>1.3979496738117001E-2</v>
      </c>
    </row>
    <row r="192" spans="2:5" x14ac:dyDescent="0.35">
      <c r="B192" s="78"/>
      <c r="C192" s="37" t="s">
        <v>179</v>
      </c>
      <c r="D192" s="38">
        <v>8</v>
      </c>
      <c r="E192" s="39">
        <v>3.727865796831E-3</v>
      </c>
    </row>
    <row r="193" spans="2:5" x14ac:dyDescent="0.35">
      <c r="B193" s="78"/>
      <c r="C193" s="37" t="s">
        <v>134</v>
      </c>
      <c r="D193" s="38">
        <v>117</v>
      </c>
      <c r="E193" s="39">
        <v>5.4520037278658E-2</v>
      </c>
    </row>
    <row r="194" spans="2:5" x14ac:dyDescent="0.35">
      <c r="B194" s="78"/>
      <c r="C194" s="37" t="s">
        <v>141</v>
      </c>
      <c r="D194" s="38">
        <v>4</v>
      </c>
      <c r="E194" s="39">
        <v>1.863932898416E-3</v>
      </c>
    </row>
    <row r="195" spans="2:5" x14ac:dyDescent="0.35">
      <c r="B195" s="78"/>
      <c r="C195" s="37" t="s">
        <v>181</v>
      </c>
      <c r="D195" s="38">
        <v>2</v>
      </c>
      <c r="E195" s="39">
        <v>9.3196644920800001E-4</v>
      </c>
    </row>
    <row r="196" spans="2:5" x14ac:dyDescent="0.35">
      <c r="B196" s="78"/>
      <c r="C196" s="37" t="s">
        <v>139</v>
      </c>
      <c r="D196" s="38">
        <v>1</v>
      </c>
      <c r="E196" s="39">
        <v>4.65983224604E-4</v>
      </c>
    </row>
    <row r="197" spans="2:5" x14ac:dyDescent="0.35">
      <c r="B197" s="78"/>
      <c r="C197" s="37" t="s">
        <v>182</v>
      </c>
      <c r="D197" s="38">
        <v>3</v>
      </c>
      <c r="E197" s="39">
        <v>1.397949673812E-3</v>
      </c>
    </row>
    <row r="198" spans="2:5" x14ac:dyDescent="0.35">
      <c r="B198" s="78"/>
      <c r="C198" s="37" t="s">
        <v>185</v>
      </c>
      <c r="D198" s="38">
        <v>1</v>
      </c>
      <c r="E198" s="39">
        <v>4.65983224604E-4</v>
      </c>
    </row>
    <row r="199" spans="2:5" x14ac:dyDescent="0.35">
      <c r="B199" s="78"/>
      <c r="C199" s="37" t="s">
        <v>187</v>
      </c>
      <c r="D199" s="38">
        <v>6</v>
      </c>
      <c r="E199" s="39">
        <v>2.795899347623E-3</v>
      </c>
    </row>
    <row r="200" spans="2:5" x14ac:dyDescent="0.35">
      <c r="B200" s="78"/>
      <c r="C200" s="37" t="s">
        <v>188</v>
      </c>
      <c r="D200" s="38">
        <v>1</v>
      </c>
      <c r="E200" s="39">
        <v>4.65983224604E-4</v>
      </c>
    </row>
    <row r="201" spans="2:5" x14ac:dyDescent="0.35">
      <c r="B201" s="78"/>
      <c r="C201" s="37" t="s">
        <v>189</v>
      </c>
      <c r="D201" s="38">
        <v>1</v>
      </c>
      <c r="E201" s="39">
        <v>4.65983224604E-4</v>
      </c>
    </row>
    <row r="202" spans="2:5" x14ac:dyDescent="0.35">
      <c r="B202" s="78"/>
      <c r="C202" s="37" t="s">
        <v>191</v>
      </c>
      <c r="D202" s="38">
        <v>1</v>
      </c>
      <c r="E202" s="39">
        <v>4.65983224604E-4</v>
      </c>
    </row>
    <row r="203" spans="2:5" x14ac:dyDescent="0.35">
      <c r="B203" s="78"/>
      <c r="C203" s="37" t="s">
        <v>193</v>
      </c>
      <c r="D203" s="38">
        <v>2</v>
      </c>
      <c r="E203" s="39">
        <v>9.3196644920800001E-4</v>
      </c>
    </row>
    <row r="204" spans="2:5" x14ac:dyDescent="0.35">
      <c r="B204" s="78"/>
      <c r="C204" s="37" t="s">
        <v>194</v>
      </c>
      <c r="D204" s="38">
        <v>3</v>
      </c>
      <c r="E204" s="39">
        <v>1.397949673812E-3</v>
      </c>
    </row>
    <row r="205" spans="2:5" x14ac:dyDescent="0.35">
      <c r="B205" s="78"/>
      <c r="C205" s="37" t="s">
        <v>136</v>
      </c>
      <c r="D205" s="38">
        <v>5</v>
      </c>
      <c r="E205" s="39">
        <v>2.32991612302E-3</v>
      </c>
    </row>
    <row r="206" spans="2:5" x14ac:dyDescent="0.35">
      <c r="B206" s="78"/>
      <c r="C206" s="37" t="s">
        <v>195</v>
      </c>
      <c r="D206" s="38">
        <v>1</v>
      </c>
      <c r="E206" s="39">
        <v>4.65983224604E-4</v>
      </c>
    </row>
    <row r="207" spans="2:5" x14ac:dyDescent="0.35">
      <c r="B207" s="78"/>
      <c r="C207" s="37" t="s">
        <v>196</v>
      </c>
      <c r="D207" s="38">
        <v>6</v>
      </c>
      <c r="E207" s="39">
        <v>2.795899347623E-3</v>
      </c>
    </row>
    <row r="208" spans="2:5" x14ac:dyDescent="0.35">
      <c r="B208" s="78"/>
      <c r="C208" s="37" t="s">
        <v>197</v>
      </c>
      <c r="D208" s="38">
        <v>4</v>
      </c>
      <c r="E208" s="39">
        <v>1.863932898416E-3</v>
      </c>
    </row>
    <row r="209" spans="2:5" x14ac:dyDescent="0.35">
      <c r="B209" s="78"/>
      <c r="C209" s="37" t="s">
        <v>199</v>
      </c>
      <c r="D209" s="38">
        <v>4</v>
      </c>
      <c r="E209" s="39">
        <v>1.863932898416E-3</v>
      </c>
    </row>
    <row r="210" spans="2:5" x14ac:dyDescent="0.35">
      <c r="B210" s="78"/>
      <c r="C210" s="37" t="s">
        <v>137</v>
      </c>
      <c r="D210" s="38">
        <v>2</v>
      </c>
      <c r="E210" s="39">
        <v>9.3196644920800001E-4</v>
      </c>
    </row>
    <row r="211" spans="2:5" x14ac:dyDescent="0.35">
      <c r="B211" s="78"/>
      <c r="C211" s="37" t="s">
        <v>202</v>
      </c>
      <c r="D211" s="38">
        <v>3</v>
      </c>
      <c r="E211" s="39">
        <v>1.397949673812E-3</v>
      </c>
    </row>
    <row r="212" spans="2:5" x14ac:dyDescent="0.35">
      <c r="B212" s="78"/>
      <c r="C212" s="37" t="s">
        <v>203</v>
      </c>
      <c r="D212" s="38">
        <v>2</v>
      </c>
      <c r="E212" s="39">
        <v>9.3196644920800001E-4</v>
      </c>
    </row>
    <row r="213" spans="2:5" x14ac:dyDescent="0.35">
      <c r="B213" s="78"/>
      <c r="C213" s="37" t="s">
        <v>204</v>
      </c>
      <c r="D213" s="38">
        <v>8</v>
      </c>
      <c r="E213" s="39">
        <v>3.727865796831E-3</v>
      </c>
    </row>
    <row r="214" spans="2:5" x14ac:dyDescent="0.35">
      <c r="B214" s="78"/>
      <c r="C214" s="37" t="s">
        <v>205</v>
      </c>
      <c r="D214" s="38">
        <v>25</v>
      </c>
      <c r="E214" s="39">
        <v>1.1649580615098E-2</v>
      </c>
    </row>
    <row r="215" spans="2:5" x14ac:dyDescent="0.35">
      <c r="B215" s="78"/>
      <c r="C215" s="37" t="s">
        <v>142</v>
      </c>
      <c r="D215" s="38">
        <v>1</v>
      </c>
      <c r="E215" s="39">
        <v>4.65983224604E-4</v>
      </c>
    </row>
    <row r="216" spans="2:5" x14ac:dyDescent="0.35">
      <c r="B216" s="78"/>
      <c r="C216" s="37" t="s">
        <v>206</v>
      </c>
      <c r="D216" s="38">
        <v>1</v>
      </c>
      <c r="E216" s="39">
        <v>4.65983224604E-4</v>
      </c>
    </row>
    <row r="217" spans="2:5" x14ac:dyDescent="0.35">
      <c r="B217" s="78"/>
      <c r="C217" s="37" t="s">
        <v>143</v>
      </c>
      <c r="D217" s="38">
        <v>1</v>
      </c>
      <c r="E217" s="39">
        <v>4.65983224604E-4</v>
      </c>
    </row>
    <row r="218" spans="2:5" x14ac:dyDescent="0.35">
      <c r="B218" s="78"/>
      <c r="C218" s="37" t="s">
        <v>207</v>
      </c>
      <c r="D218" s="38">
        <v>2</v>
      </c>
      <c r="E218" s="39">
        <v>9.3196644920800001E-4</v>
      </c>
    </row>
    <row r="219" spans="2:5" x14ac:dyDescent="0.35">
      <c r="B219" s="78"/>
      <c r="C219" s="15" t="s">
        <v>25</v>
      </c>
      <c r="D219" s="16">
        <v>384</v>
      </c>
      <c r="E219" s="17">
        <v>0.178937558247903</v>
      </c>
    </row>
    <row r="220" spans="2:5" x14ac:dyDescent="0.35">
      <c r="B220" s="78" t="s">
        <v>64</v>
      </c>
      <c r="C220" s="37" t="s">
        <v>156</v>
      </c>
      <c r="D220" s="38">
        <v>1</v>
      </c>
      <c r="E220" s="39">
        <v>4.65983224604E-4</v>
      </c>
    </row>
    <row r="221" spans="2:5" x14ac:dyDescent="0.35">
      <c r="B221" s="78"/>
      <c r="C221" s="37" t="s">
        <v>133</v>
      </c>
      <c r="D221" s="38">
        <v>1</v>
      </c>
      <c r="E221" s="39">
        <v>4.65983224604E-4</v>
      </c>
    </row>
    <row r="222" spans="2:5" x14ac:dyDescent="0.35">
      <c r="B222" s="78"/>
      <c r="C222" s="37" t="s">
        <v>134</v>
      </c>
      <c r="D222" s="38">
        <v>8</v>
      </c>
      <c r="E222" s="39">
        <v>3.727865796831E-3</v>
      </c>
    </row>
    <row r="223" spans="2:5" x14ac:dyDescent="0.35">
      <c r="B223" s="78"/>
      <c r="C223" s="37" t="s">
        <v>141</v>
      </c>
      <c r="D223" s="38">
        <v>1</v>
      </c>
      <c r="E223" s="39">
        <v>4.65983224604E-4</v>
      </c>
    </row>
    <row r="224" spans="2:5" x14ac:dyDescent="0.35">
      <c r="B224" s="78"/>
      <c r="C224" s="37" t="s">
        <v>193</v>
      </c>
      <c r="D224" s="38">
        <v>1</v>
      </c>
      <c r="E224" s="39">
        <v>4.65983224604E-4</v>
      </c>
    </row>
    <row r="225" spans="2:5" x14ac:dyDescent="0.35">
      <c r="B225" s="78"/>
      <c r="C225" s="37" t="s">
        <v>137</v>
      </c>
      <c r="D225" s="38">
        <v>1</v>
      </c>
      <c r="E225" s="39">
        <v>4.65983224604E-4</v>
      </c>
    </row>
    <row r="226" spans="2:5" x14ac:dyDescent="0.35">
      <c r="B226" s="78"/>
      <c r="C226" s="15" t="s">
        <v>25</v>
      </c>
      <c r="D226" s="16">
        <v>13</v>
      </c>
      <c r="E226" s="17">
        <v>6.057781919851E-3</v>
      </c>
    </row>
    <row r="227" spans="2:5" x14ac:dyDescent="0.35">
      <c r="B227" s="78" t="s">
        <v>60</v>
      </c>
      <c r="C227" s="37" t="s">
        <v>153</v>
      </c>
      <c r="D227" s="38">
        <v>1</v>
      </c>
      <c r="E227" s="39">
        <v>4.65983224604E-4</v>
      </c>
    </row>
    <row r="228" spans="2:5" x14ac:dyDescent="0.35">
      <c r="B228" s="78"/>
      <c r="C228" s="37" t="s">
        <v>210</v>
      </c>
      <c r="D228" s="38">
        <v>1</v>
      </c>
      <c r="E228" s="39">
        <v>4.65983224604E-4</v>
      </c>
    </row>
    <row r="229" spans="2:5" x14ac:dyDescent="0.35">
      <c r="B229" s="78"/>
      <c r="C229" s="37" t="s">
        <v>172</v>
      </c>
      <c r="D229" s="38">
        <v>1</v>
      </c>
      <c r="E229" s="39">
        <v>4.65983224604E-4</v>
      </c>
    </row>
    <row r="230" spans="2:5" x14ac:dyDescent="0.35">
      <c r="B230" s="78"/>
      <c r="C230" s="37" t="s">
        <v>134</v>
      </c>
      <c r="D230" s="38">
        <v>13</v>
      </c>
      <c r="E230" s="39">
        <v>6.057781919851E-3</v>
      </c>
    </row>
    <row r="231" spans="2:5" x14ac:dyDescent="0.35">
      <c r="B231" s="78"/>
      <c r="C231" s="37" t="s">
        <v>182</v>
      </c>
      <c r="D231" s="38">
        <v>2</v>
      </c>
      <c r="E231" s="39">
        <v>9.3196644920800001E-4</v>
      </c>
    </row>
    <row r="232" spans="2:5" x14ac:dyDescent="0.35">
      <c r="B232" s="78"/>
      <c r="C232" s="37" t="s">
        <v>136</v>
      </c>
      <c r="D232" s="38">
        <v>1</v>
      </c>
      <c r="E232" s="39">
        <v>4.65983224604E-4</v>
      </c>
    </row>
    <row r="233" spans="2:5" x14ac:dyDescent="0.35">
      <c r="B233" s="78"/>
      <c r="C233" s="37" t="s">
        <v>207</v>
      </c>
      <c r="D233" s="38">
        <v>1</v>
      </c>
      <c r="E233" s="39">
        <v>4.65983224604E-4</v>
      </c>
    </row>
    <row r="234" spans="2:5" x14ac:dyDescent="0.35">
      <c r="B234" s="78"/>
      <c r="C234" s="37" t="s">
        <v>208</v>
      </c>
      <c r="D234" s="38">
        <v>1</v>
      </c>
      <c r="E234" s="39">
        <v>4.65983224604E-4</v>
      </c>
    </row>
    <row r="235" spans="2:5" x14ac:dyDescent="0.35">
      <c r="B235" s="78"/>
      <c r="C235" s="15" t="s">
        <v>25</v>
      </c>
      <c r="D235" s="16">
        <v>21</v>
      </c>
      <c r="E235" s="17">
        <v>9.785647716682E-3</v>
      </c>
    </row>
    <row r="236" spans="2:5" x14ac:dyDescent="0.35">
      <c r="B236" s="78" t="s">
        <v>76</v>
      </c>
      <c r="C236" s="37" t="s">
        <v>149</v>
      </c>
      <c r="D236" s="38">
        <v>1</v>
      </c>
      <c r="E236" s="39">
        <v>4.65983224604E-4</v>
      </c>
    </row>
    <row r="237" spans="2:5" x14ac:dyDescent="0.35">
      <c r="B237" s="78"/>
      <c r="C237" s="37" t="s">
        <v>166</v>
      </c>
      <c r="D237" s="38">
        <v>1</v>
      </c>
      <c r="E237" s="39">
        <v>4.65983224604E-4</v>
      </c>
    </row>
    <row r="238" spans="2:5" x14ac:dyDescent="0.35">
      <c r="B238" s="78"/>
      <c r="C238" s="37" t="s">
        <v>134</v>
      </c>
      <c r="D238" s="38">
        <v>2</v>
      </c>
      <c r="E238" s="39">
        <v>9.3196644920800001E-4</v>
      </c>
    </row>
    <row r="239" spans="2:5" x14ac:dyDescent="0.35">
      <c r="B239" s="78"/>
      <c r="C239" s="37" t="s">
        <v>182</v>
      </c>
      <c r="D239" s="38">
        <v>1</v>
      </c>
      <c r="E239" s="39">
        <v>4.65983224604E-4</v>
      </c>
    </row>
    <row r="240" spans="2:5" x14ac:dyDescent="0.35">
      <c r="B240" s="78"/>
      <c r="C240" s="37" t="s">
        <v>183</v>
      </c>
      <c r="D240" s="38">
        <v>1</v>
      </c>
      <c r="E240" s="39">
        <v>4.65983224604E-4</v>
      </c>
    </row>
    <row r="241" spans="2:5" x14ac:dyDescent="0.35">
      <c r="B241" s="78"/>
      <c r="C241" s="37" t="s">
        <v>136</v>
      </c>
      <c r="D241" s="38">
        <v>1</v>
      </c>
      <c r="E241" s="39">
        <v>4.65983224604E-4</v>
      </c>
    </row>
    <row r="242" spans="2:5" x14ac:dyDescent="0.35">
      <c r="B242" s="78"/>
      <c r="C242" s="15" t="s">
        <v>25</v>
      </c>
      <c r="D242" s="16">
        <v>7</v>
      </c>
      <c r="E242" s="17">
        <v>3.261882572227E-3</v>
      </c>
    </row>
    <row r="243" spans="2:5" x14ac:dyDescent="0.35">
      <c r="B243" s="78" t="s">
        <v>86</v>
      </c>
      <c r="C243" s="37" t="s">
        <v>134</v>
      </c>
      <c r="D243" s="38">
        <v>1</v>
      </c>
      <c r="E243" s="39">
        <v>4.65983224604E-4</v>
      </c>
    </row>
    <row r="244" spans="2:5" x14ac:dyDescent="0.35">
      <c r="B244" s="78"/>
      <c r="C244" s="37" t="s">
        <v>193</v>
      </c>
      <c r="D244" s="38">
        <v>1</v>
      </c>
      <c r="E244" s="39">
        <v>4.65983224604E-4</v>
      </c>
    </row>
    <row r="245" spans="2:5" x14ac:dyDescent="0.35">
      <c r="B245" s="78"/>
      <c r="C245" s="15" t="s">
        <v>25</v>
      </c>
      <c r="D245" s="16">
        <v>2</v>
      </c>
      <c r="E245" s="17">
        <v>9.3196644920800001E-4</v>
      </c>
    </row>
    <row r="246" spans="2:5" x14ac:dyDescent="0.35">
      <c r="B246" s="78" t="s">
        <v>66</v>
      </c>
      <c r="C246" s="37" t="s">
        <v>134</v>
      </c>
      <c r="D246" s="38">
        <v>8</v>
      </c>
      <c r="E246" s="39">
        <v>3.727865796831E-3</v>
      </c>
    </row>
    <row r="247" spans="2:5" x14ac:dyDescent="0.35">
      <c r="B247" s="78"/>
      <c r="C247" s="37" t="s">
        <v>137</v>
      </c>
      <c r="D247" s="38">
        <v>2</v>
      </c>
      <c r="E247" s="39">
        <v>9.3196644920800001E-4</v>
      </c>
    </row>
    <row r="248" spans="2:5" x14ac:dyDescent="0.35">
      <c r="B248" s="78"/>
      <c r="C248" s="37" t="s">
        <v>214</v>
      </c>
      <c r="D248" s="38">
        <v>1</v>
      </c>
      <c r="E248" s="39">
        <v>4.65983224604E-4</v>
      </c>
    </row>
    <row r="249" spans="2:5" x14ac:dyDescent="0.35">
      <c r="B249" s="78"/>
      <c r="C249" s="15" t="s">
        <v>25</v>
      </c>
      <c r="D249" s="16">
        <v>11</v>
      </c>
      <c r="E249" s="17">
        <v>5.125815470643E-3</v>
      </c>
    </row>
    <row r="250" spans="2:5" x14ac:dyDescent="0.35">
      <c r="B250" s="78" t="s">
        <v>71</v>
      </c>
      <c r="C250" s="37" t="s">
        <v>172</v>
      </c>
      <c r="D250" s="38">
        <v>1</v>
      </c>
      <c r="E250" s="39">
        <v>4.65983224604E-4</v>
      </c>
    </row>
    <row r="251" spans="2:5" x14ac:dyDescent="0.35">
      <c r="B251" s="78"/>
      <c r="C251" s="37" t="s">
        <v>134</v>
      </c>
      <c r="D251" s="38">
        <v>3</v>
      </c>
      <c r="E251" s="39">
        <v>1.397949673812E-3</v>
      </c>
    </row>
    <row r="252" spans="2:5" x14ac:dyDescent="0.35">
      <c r="B252" s="78"/>
      <c r="C252" s="37" t="s">
        <v>181</v>
      </c>
      <c r="D252" s="38">
        <v>1</v>
      </c>
      <c r="E252" s="39">
        <v>4.65983224604E-4</v>
      </c>
    </row>
    <row r="253" spans="2:5" x14ac:dyDescent="0.35">
      <c r="B253" s="78"/>
      <c r="C253" s="37" t="s">
        <v>139</v>
      </c>
      <c r="D253" s="38">
        <v>1</v>
      </c>
      <c r="E253" s="39">
        <v>4.65983224604E-4</v>
      </c>
    </row>
    <row r="254" spans="2:5" x14ac:dyDescent="0.35">
      <c r="B254" s="78"/>
      <c r="C254" s="37" t="s">
        <v>142</v>
      </c>
      <c r="D254" s="38">
        <v>1</v>
      </c>
      <c r="E254" s="39">
        <v>4.65983224604E-4</v>
      </c>
    </row>
    <row r="255" spans="2:5" x14ac:dyDescent="0.35">
      <c r="B255" s="78"/>
      <c r="C255" s="37" t="s">
        <v>208</v>
      </c>
      <c r="D255" s="38">
        <v>1</v>
      </c>
      <c r="E255" s="39">
        <v>4.65983224604E-4</v>
      </c>
    </row>
    <row r="256" spans="2:5" x14ac:dyDescent="0.35">
      <c r="B256" s="78"/>
      <c r="C256" s="15" t="s">
        <v>25</v>
      </c>
      <c r="D256" s="16">
        <v>8</v>
      </c>
      <c r="E256" s="17">
        <v>3.727865796831E-3</v>
      </c>
    </row>
    <row r="257" spans="2:5" x14ac:dyDescent="0.35">
      <c r="B257" s="78" t="s">
        <v>69</v>
      </c>
      <c r="C257" s="37" t="s">
        <v>148</v>
      </c>
      <c r="D257" s="38">
        <v>6</v>
      </c>
      <c r="E257" s="39">
        <v>2.795899347623E-3</v>
      </c>
    </row>
    <row r="258" spans="2:5" x14ac:dyDescent="0.35">
      <c r="B258" s="78"/>
      <c r="C258" s="37" t="s">
        <v>178</v>
      </c>
      <c r="D258" s="38">
        <v>1</v>
      </c>
      <c r="E258" s="39">
        <v>4.65983224604E-4</v>
      </c>
    </row>
    <row r="259" spans="2:5" x14ac:dyDescent="0.35">
      <c r="B259" s="78"/>
      <c r="C259" s="37" t="s">
        <v>135</v>
      </c>
      <c r="D259" s="38">
        <v>1</v>
      </c>
      <c r="E259" s="39">
        <v>4.65983224604E-4</v>
      </c>
    </row>
    <row r="260" spans="2:5" x14ac:dyDescent="0.35">
      <c r="B260" s="78"/>
      <c r="C260" s="37" t="s">
        <v>187</v>
      </c>
      <c r="D260" s="38">
        <v>1</v>
      </c>
      <c r="E260" s="39">
        <v>4.65983224604E-4</v>
      </c>
    </row>
    <row r="261" spans="2:5" x14ac:dyDescent="0.35">
      <c r="B261" s="78"/>
      <c r="C261" s="37" t="s">
        <v>136</v>
      </c>
      <c r="D261" s="38">
        <v>1</v>
      </c>
      <c r="E261" s="39">
        <v>4.65983224604E-4</v>
      </c>
    </row>
    <row r="262" spans="2:5" x14ac:dyDescent="0.35">
      <c r="B262" s="78"/>
      <c r="C262" s="15" t="s">
        <v>25</v>
      </c>
      <c r="D262" s="16">
        <v>10</v>
      </c>
      <c r="E262" s="17">
        <v>4.659832246039E-3</v>
      </c>
    </row>
    <row r="263" spans="2:5" x14ac:dyDescent="0.35">
      <c r="B263" s="78" t="s">
        <v>82</v>
      </c>
      <c r="C263" s="37" t="s">
        <v>148</v>
      </c>
      <c r="D263" s="38">
        <v>1</v>
      </c>
      <c r="E263" s="39">
        <v>4.65983224604E-4</v>
      </c>
    </row>
    <row r="264" spans="2:5" x14ac:dyDescent="0.35">
      <c r="B264" s="78"/>
      <c r="C264" s="37" t="s">
        <v>134</v>
      </c>
      <c r="D264" s="38">
        <v>1</v>
      </c>
      <c r="E264" s="39">
        <v>4.65983224604E-4</v>
      </c>
    </row>
    <row r="265" spans="2:5" x14ac:dyDescent="0.35">
      <c r="B265" s="78"/>
      <c r="C265" s="37" t="s">
        <v>139</v>
      </c>
      <c r="D265" s="38">
        <v>1</v>
      </c>
      <c r="E265" s="39">
        <v>4.65983224604E-4</v>
      </c>
    </row>
    <row r="266" spans="2:5" x14ac:dyDescent="0.35">
      <c r="B266" s="78"/>
      <c r="C266" s="15" t="s">
        <v>25</v>
      </c>
      <c r="D266" s="16">
        <v>3</v>
      </c>
      <c r="E266" s="17">
        <v>1.397949673812E-3</v>
      </c>
    </row>
    <row r="267" spans="2:5" x14ac:dyDescent="0.35">
      <c r="B267" s="78" t="s">
        <v>67</v>
      </c>
      <c r="C267" s="37" t="s">
        <v>132</v>
      </c>
      <c r="D267" s="38">
        <v>1</v>
      </c>
      <c r="E267" s="39">
        <v>4.65983224604E-4</v>
      </c>
    </row>
    <row r="268" spans="2:5" x14ac:dyDescent="0.35">
      <c r="B268" s="78"/>
      <c r="C268" s="37" t="s">
        <v>211</v>
      </c>
      <c r="D268" s="38">
        <v>1</v>
      </c>
      <c r="E268" s="39">
        <v>4.65983224604E-4</v>
      </c>
    </row>
    <row r="269" spans="2:5" x14ac:dyDescent="0.35">
      <c r="B269" s="78"/>
      <c r="C269" s="37" t="s">
        <v>134</v>
      </c>
      <c r="D269" s="38">
        <v>4</v>
      </c>
      <c r="E269" s="39">
        <v>1.863932898416E-3</v>
      </c>
    </row>
    <row r="270" spans="2:5" x14ac:dyDescent="0.35">
      <c r="B270" s="78"/>
      <c r="C270" s="37" t="s">
        <v>182</v>
      </c>
      <c r="D270" s="38">
        <v>1</v>
      </c>
      <c r="E270" s="39">
        <v>4.65983224604E-4</v>
      </c>
    </row>
    <row r="271" spans="2:5" x14ac:dyDescent="0.35">
      <c r="B271" s="78"/>
      <c r="C271" s="37" t="s">
        <v>185</v>
      </c>
      <c r="D271" s="38">
        <v>1</v>
      </c>
      <c r="E271" s="39">
        <v>4.65983224604E-4</v>
      </c>
    </row>
    <row r="272" spans="2:5" x14ac:dyDescent="0.35">
      <c r="B272" s="78"/>
      <c r="C272" s="37" t="s">
        <v>187</v>
      </c>
      <c r="D272" s="38">
        <v>1</v>
      </c>
      <c r="E272" s="39">
        <v>4.65983224604E-4</v>
      </c>
    </row>
    <row r="273" spans="2:5" x14ac:dyDescent="0.35">
      <c r="B273" s="78"/>
      <c r="C273" s="37" t="s">
        <v>204</v>
      </c>
      <c r="D273" s="38">
        <v>1</v>
      </c>
      <c r="E273" s="39">
        <v>4.65983224604E-4</v>
      </c>
    </row>
    <row r="274" spans="2:5" x14ac:dyDescent="0.35">
      <c r="B274" s="78"/>
      <c r="C274" s="37" t="s">
        <v>143</v>
      </c>
      <c r="D274" s="38">
        <v>1</v>
      </c>
      <c r="E274" s="39">
        <v>4.65983224604E-4</v>
      </c>
    </row>
    <row r="275" spans="2:5" x14ac:dyDescent="0.35">
      <c r="B275" s="78"/>
      <c r="C275" s="15" t="s">
        <v>25</v>
      </c>
      <c r="D275" s="16">
        <v>11</v>
      </c>
      <c r="E275" s="17">
        <v>5.125815470643E-3</v>
      </c>
    </row>
    <row r="276" spans="2:5" x14ac:dyDescent="0.35">
      <c r="B276" s="78" t="s">
        <v>50</v>
      </c>
      <c r="C276" s="37" t="s">
        <v>144</v>
      </c>
      <c r="D276" s="38">
        <v>2</v>
      </c>
      <c r="E276" s="39">
        <v>9.3196644920800001E-4</v>
      </c>
    </row>
    <row r="277" spans="2:5" x14ac:dyDescent="0.35">
      <c r="B277" s="78"/>
      <c r="C277" s="37" t="s">
        <v>165</v>
      </c>
      <c r="D277" s="38">
        <v>1</v>
      </c>
      <c r="E277" s="39">
        <v>4.65983224604E-4</v>
      </c>
    </row>
    <row r="278" spans="2:5" x14ac:dyDescent="0.35">
      <c r="B278" s="78"/>
      <c r="C278" s="37" t="s">
        <v>170</v>
      </c>
      <c r="D278" s="38">
        <v>1</v>
      </c>
      <c r="E278" s="39">
        <v>4.65983224604E-4</v>
      </c>
    </row>
    <row r="279" spans="2:5" x14ac:dyDescent="0.35">
      <c r="B279" s="78"/>
      <c r="C279" s="37" t="s">
        <v>133</v>
      </c>
      <c r="D279" s="38">
        <v>1</v>
      </c>
      <c r="E279" s="39">
        <v>4.65983224604E-4</v>
      </c>
    </row>
    <row r="280" spans="2:5" x14ac:dyDescent="0.35">
      <c r="B280" s="78"/>
      <c r="C280" s="37" t="s">
        <v>178</v>
      </c>
      <c r="D280" s="38">
        <v>34</v>
      </c>
      <c r="E280" s="39">
        <v>1.5843429636532999E-2</v>
      </c>
    </row>
    <row r="281" spans="2:5" x14ac:dyDescent="0.35">
      <c r="B281" s="78"/>
      <c r="C281" s="37" t="s">
        <v>134</v>
      </c>
      <c r="D281" s="38">
        <v>12</v>
      </c>
      <c r="E281" s="39">
        <v>5.591798695247E-3</v>
      </c>
    </row>
    <row r="282" spans="2:5" x14ac:dyDescent="0.35">
      <c r="B282" s="78"/>
      <c r="C282" s="37" t="s">
        <v>141</v>
      </c>
      <c r="D282" s="38">
        <v>3</v>
      </c>
      <c r="E282" s="39">
        <v>1.397949673812E-3</v>
      </c>
    </row>
    <row r="283" spans="2:5" x14ac:dyDescent="0.35">
      <c r="B283" s="78"/>
      <c r="C283" s="37" t="s">
        <v>184</v>
      </c>
      <c r="D283" s="38">
        <v>1</v>
      </c>
      <c r="E283" s="39">
        <v>4.65983224604E-4</v>
      </c>
    </row>
    <row r="284" spans="2:5" x14ac:dyDescent="0.35">
      <c r="B284" s="78"/>
      <c r="C284" s="37" t="s">
        <v>186</v>
      </c>
      <c r="D284" s="38">
        <v>1</v>
      </c>
      <c r="E284" s="39">
        <v>4.65983224604E-4</v>
      </c>
    </row>
    <row r="285" spans="2:5" x14ac:dyDescent="0.35">
      <c r="B285" s="78"/>
      <c r="C285" s="37" t="s">
        <v>188</v>
      </c>
      <c r="D285" s="38">
        <v>1</v>
      </c>
      <c r="E285" s="39">
        <v>4.65983224604E-4</v>
      </c>
    </row>
    <row r="286" spans="2:5" x14ac:dyDescent="0.35">
      <c r="B286" s="78"/>
      <c r="C286" s="37" t="s">
        <v>136</v>
      </c>
      <c r="D286" s="38">
        <v>1</v>
      </c>
      <c r="E286" s="39">
        <v>4.65983224604E-4</v>
      </c>
    </row>
    <row r="287" spans="2:5" x14ac:dyDescent="0.35">
      <c r="B287" s="78"/>
      <c r="C287" s="37" t="s">
        <v>199</v>
      </c>
      <c r="D287" s="38">
        <v>4</v>
      </c>
      <c r="E287" s="39">
        <v>1.863932898416E-3</v>
      </c>
    </row>
    <row r="288" spans="2:5" x14ac:dyDescent="0.35">
      <c r="B288" s="78"/>
      <c r="C288" s="37" t="s">
        <v>137</v>
      </c>
      <c r="D288" s="38">
        <v>2</v>
      </c>
      <c r="E288" s="39">
        <v>9.3196644920800001E-4</v>
      </c>
    </row>
    <row r="289" spans="2:5" x14ac:dyDescent="0.35">
      <c r="B289" s="78"/>
      <c r="C289" s="37" t="s">
        <v>142</v>
      </c>
      <c r="D289" s="38">
        <v>2</v>
      </c>
      <c r="E289" s="39">
        <v>9.3196644920800001E-4</v>
      </c>
    </row>
    <row r="290" spans="2:5" x14ac:dyDescent="0.35">
      <c r="B290" s="78"/>
      <c r="C290" s="37" t="s">
        <v>143</v>
      </c>
      <c r="D290" s="38">
        <v>3</v>
      </c>
      <c r="E290" s="39">
        <v>1.397949673812E-3</v>
      </c>
    </row>
    <row r="291" spans="2:5" x14ac:dyDescent="0.35">
      <c r="B291" s="78"/>
      <c r="C291" s="15" t="s">
        <v>25</v>
      </c>
      <c r="D291" s="16">
        <v>69</v>
      </c>
      <c r="E291" s="17">
        <v>3.2152842497670003E-2</v>
      </c>
    </row>
    <row r="292" spans="2:5" x14ac:dyDescent="0.35">
      <c r="B292" s="78" t="s">
        <v>72</v>
      </c>
      <c r="C292" s="37" t="s">
        <v>138</v>
      </c>
      <c r="D292" s="38">
        <v>1</v>
      </c>
      <c r="E292" s="39">
        <v>4.65983224604E-4</v>
      </c>
    </row>
    <row r="293" spans="2:5" x14ac:dyDescent="0.35">
      <c r="B293" s="78"/>
      <c r="C293" s="37" t="s">
        <v>134</v>
      </c>
      <c r="D293" s="38">
        <v>6</v>
      </c>
      <c r="E293" s="39">
        <v>2.795899347623E-3</v>
      </c>
    </row>
    <row r="294" spans="2:5" x14ac:dyDescent="0.35">
      <c r="B294" s="78"/>
      <c r="C294" s="37" t="s">
        <v>139</v>
      </c>
      <c r="D294" s="38">
        <v>1</v>
      </c>
      <c r="E294" s="39">
        <v>4.65983224604E-4</v>
      </c>
    </row>
    <row r="295" spans="2:5" x14ac:dyDescent="0.35">
      <c r="B295" s="78"/>
      <c r="C295" s="15" t="s">
        <v>25</v>
      </c>
      <c r="D295" s="16">
        <v>8</v>
      </c>
      <c r="E295" s="17">
        <v>3.727865796831E-3</v>
      </c>
    </row>
    <row r="296" spans="2:5" x14ac:dyDescent="0.35">
      <c r="B296" s="78" t="s">
        <v>48</v>
      </c>
      <c r="C296" s="37" t="s">
        <v>151</v>
      </c>
      <c r="D296" s="38">
        <v>1</v>
      </c>
      <c r="E296" s="39">
        <v>4.65983224604E-4</v>
      </c>
    </row>
    <row r="297" spans="2:5" x14ac:dyDescent="0.35">
      <c r="B297" s="78"/>
      <c r="C297" s="37" t="s">
        <v>153</v>
      </c>
      <c r="D297" s="38">
        <v>4</v>
      </c>
      <c r="E297" s="39">
        <v>1.863932898416E-3</v>
      </c>
    </row>
    <row r="298" spans="2:5" x14ac:dyDescent="0.35">
      <c r="B298" s="78"/>
      <c r="C298" s="37" t="s">
        <v>154</v>
      </c>
      <c r="D298" s="38">
        <v>4</v>
      </c>
      <c r="E298" s="39">
        <v>1.863932898416E-3</v>
      </c>
    </row>
    <row r="299" spans="2:5" x14ac:dyDescent="0.35">
      <c r="B299" s="78"/>
      <c r="C299" s="37" t="s">
        <v>158</v>
      </c>
      <c r="D299" s="38">
        <v>4</v>
      </c>
      <c r="E299" s="39">
        <v>1.863932898416E-3</v>
      </c>
    </row>
    <row r="300" spans="2:5" x14ac:dyDescent="0.35">
      <c r="B300" s="78"/>
      <c r="C300" s="37" t="s">
        <v>164</v>
      </c>
      <c r="D300" s="38">
        <v>6</v>
      </c>
      <c r="E300" s="39">
        <v>2.795899347623E-3</v>
      </c>
    </row>
    <row r="301" spans="2:5" x14ac:dyDescent="0.35">
      <c r="B301" s="78"/>
      <c r="C301" s="37" t="s">
        <v>168</v>
      </c>
      <c r="D301" s="38">
        <v>1</v>
      </c>
      <c r="E301" s="39">
        <v>4.65983224604E-4</v>
      </c>
    </row>
    <row r="302" spans="2:5" x14ac:dyDescent="0.35">
      <c r="B302" s="78"/>
      <c r="C302" s="37" t="s">
        <v>174</v>
      </c>
      <c r="D302" s="38">
        <v>1</v>
      </c>
      <c r="E302" s="39">
        <v>4.65983224604E-4</v>
      </c>
    </row>
    <row r="303" spans="2:5" x14ac:dyDescent="0.35">
      <c r="B303" s="78"/>
      <c r="C303" s="37" t="s">
        <v>176</v>
      </c>
      <c r="D303" s="38">
        <v>3</v>
      </c>
      <c r="E303" s="39">
        <v>1.397949673812E-3</v>
      </c>
    </row>
    <row r="304" spans="2:5" x14ac:dyDescent="0.35">
      <c r="B304" s="78"/>
      <c r="C304" s="37" t="s">
        <v>177</v>
      </c>
      <c r="D304" s="38">
        <v>6</v>
      </c>
      <c r="E304" s="39">
        <v>2.795899347623E-3</v>
      </c>
    </row>
    <row r="305" spans="2:5" x14ac:dyDescent="0.35">
      <c r="B305" s="78"/>
      <c r="C305" s="37" t="s">
        <v>134</v>
      </c>
      <c r="D305" s="38">
        <v>7</v>
      </c>
      <c r="E305" s="39">
        <v>3.261882572227E-3</v>
      </c>
    </row>
    <row r="306" spans="2:5" x14ac:dyDescent="0.35">
      <c r="B306" s="78"/>
      <c r="C306" s="37" t="s">
        <v>141</v>
      </c>
      <c r="D306" s="38">
        <v>40</v>
      </c>
      <c r="E306" s="39">
        <v>1.8639328984156999E-2</v>
      </c>
    </row>
    <row r="307" spans="2:5" x14ac:dyDescent="0.35">
      <c r="B307" s="78"/>
      <c r="C307" s="37" t="s">
        <v>181</v>
      </c>
      <c r="D307" s="38">
        <v>1</v>
      </c>
      <c r="E307" s="39">
        <v>4.65983224604E-4</v>
      </c>
    </row>
    <row r="308" spans="2:5" x14ac:dyDescent="0.35">
      <c r="B308" s="78"/>
      <c r="C308" s="37" t="s">
        <v>192</v>
      </c>
      <c r="D308" s="38">
        <v>3</v>
      </c>
      <c r="E308" s="39">
        <v>1.397949673812E-3</v>
      </c>
    </row>
    <row r="309" spans="2:5" x14ac:dyDescent="0.35">
      <c r="B309" s="78"/>
      <c r="C309" s="37" t="s">
        <v>193</v>
      </c>
      <c r="D309" s="38">
        <v>1</v>
      </c>
      <c r="E309" s="39">
        <v>4.65983224604E-4</v>
      </c>
    </row>
    <row r="310" spans="2:5" x14ac:dyDescent="0.35">
      <c r="B310" s="78"/>
      <c r="C310" s="37" t="s">
        <v>136</v>
      </c>
      <c r="D310" s="38">
        <v>5</v>
      </c>
      <c r="E310" s="39">
        <v>2.32991612302E-3</v>
      </c>
    </row>
    <row r="311" spans="2:5" x14ac:dyDescent="0.35">
      <c r="B311" s="78"/>
      <c r="C311" s="37" t="s">
        <v>195</v>
      </c>
      <c r="D311" s="38">
        <v>1</v>
      </c>
      <c r="E311" s="39">
        <v>4.65983224604E-4</v>
      </c>
    </row>
    <row r="312" spans="2:5" x14ac:dyDescent="0.35">
      <c r="B312" s="78"/>
      <c r="C312" s="37" t="s">
        <v>137</v>
      </c>
      <c r="D312" s="38">
        <v>1</v>
      </c>
      <c r="E312" s="39">
        <v>4.65983224604E-4</v>
      </c>
    </row>
    <row r="313" spans="2:5" x14ac:dyDescent="0.35">
      <c r="B313" s="78"/>
      <c r="C313" s="37" t="s">
        <v>203</v>
      </c>
      <c r="D313" s="38">
        <v>1</v>
      </c>
      <c r="E313" s="39">
        <v>4.65983224604E-4</v>
      </c>
    </row>
    <row r="314" spans="2:5" x14ac:dyDescent="0.35">
      <c r="B314" s="78"/>
      <c r="C314" s="37" t="s">
        <v>143</v>
      </c>
      <c r="D314" s="38">
        <v>1</v>
      </c>
      <c r="E314" s="39">
        <v>4.65983224604E-4</v>
      </c>
    </row>
    <row r="315" spans="2:5" x14ac:dyDescent="0.35">
      <c r="B315" s="78"/>
      <c r="C315" s="15" t="s">
        <v>25</v>
      </c>
      <c r="D315" s="16">
        <v>91</v>
      </c>
      <c r="E315" s="17">
        <v>4.2404473438956002E-2</v>
      </c>
    </row>
    <row r="316" spans="2:5" x14ac:dyDescent="0.35">
      <c r="B316" s="78" t="s">
        <v>87</v>
      </c>
      <c r="C316" s="37" t="s">
        <v>136</v>
      </c>
      <c r="D316" s="38">
        <v>1</v>
      </c>
      <c r="E316" s="39">
        <v>4.65983224604E-4</v>
      </c>
    </row>
    <row r="317" spans="2:5" x14ac:dyDescent="0.35">
      <c r="B317" s="78"/>
      <c r="C317" s="37" t="s">
        <v>143</v>
      </c>
      <c r="D317" s="38">
        <v>1</v>
      </c>
      <c r="E317" s="39">
        <v>4.65983224604E-4</v>
      </c>
    </row>
    <row r="318" spans="2:5" x14ac:dyDescent="0.35">
      <c r="B318" s="78"/>
      <c r="C318" s="15" t="s">
        <v>25</v>
      </c>
      <c r="D318" s="16">
        <v>2</v>
      </c>
      <c r="E318" s="17">
        <v>9.3196644920800001E-4</v>
      </c>
    </row>
    <row r="319" spans="2:5" x14ac:dyDescent="0.35">
      <c r="B319" s="78" t="s">
        <v>59</v>
      </c>
      <c r="C319" s="37" t="s">
        <v>144</v>
      </c>
      <c r="D319" s="38">
        <v>1</v>
      </c>
      <c r="E319" s="39">
        <v>4.65983224604E-4</v>
      </c>
    </row>
    <row r="320" spans="2:5" x14ac:dyDescent="0.35">
      <c r="B320" s="78"/>
      <c r="C320" s="37" t="s">
        <v>148</v>
      </c>
      <c r="D320" s="38">
        <v>1</v>
      </c>
      <c r="E320" s="39">
        <v>4.65983224604E-4</v>
      </c>
    </row>
    <row r="321" spans="2:5" x14ac:dyDescent="0.35">
      <c r="B321" s="78"/>
      <c r="C321" s="37" t="s">
        <v>132</v>
      </c>
      <c r="D321" s="38">
        <v>1</v>
      </c>
      <c r="E321" s="39">
        <v>4.65983224604E-4</v>
      </c>
    </row>
    <row r="322" spans="2:5" x14ac:dyDescent="0.35">
      <c r="B322" s="78"/>
      <c r="C322" s="37" t="s">
        <v>155</v>
      </c>
      <c r="D322" s="38">
        <v>1</v>
      </c>
      <c r="E322" s="39">
        <v>4.65983224604E-4</v>
      </c>
    </row>
    <row r="323" spans="2:5" x14ac:dyDescent="0.35">
      <c r="B323" s="78"/>
      <c r="C323" s="37" t="s">
        <v>168</v>
      </c>
      <c r="D323" s="38">
        <v>1</v>
      </c>
      <c r="E323" s="39">
        <v>4.65983224604E-4</v>
      </c>
    </row>
    <row r="324" spans="2:5" x14ac:dyDescent="0.35">
      <c r="B324" s="78"/>
      <c r="C324" s="37" t="s">
        <v>173</v>
      </c>
      <c r="D324" s="38">
        <v>1</v>
      </c>
      <c r="E324" s="39">
        <v>4.65983224604E-4</v>
      </c>
    </row>
    <row r="325" spans="2:5" x14ac:dyDescent="0.35">
      <c r="B325" s="78"/>
      <c r="C325" s="37" t="s">
        <v>174</v>
      </c>
      <c r="D325" s="38">
        <v>1</v>
      </c>
      <c r="E325" s="39">
        <v>4.65983224604E-4</v>
      </c>
    </row>
    <row r="326" spans="2:5" x14ac:dyDescent="0.35">
      <c r="B326" s="78"/>
      <c r="C326" s="37" t="s">
        <v>177</v>
      </c>
      <c r="D326" s="38">
        <v>1</v>
      </c>
      <c r="E326" s="39">
        <v>4.65983224604E-4</v>
      </c>
    </row>
    <row r="327" spans="2:5" x14ac:dyDescent="0.35">
      <c r="B327" s="78"/>
      <c r="C327" s="37" t="s">
        <v>211</v>
      </c>
      <c r="D327" s="38">
        <v>1</v>
      </c>
      <c r="E327" s="39">
        <v>4.65983224604E-4</v>
      </c>
    </row>
    <row r="328" spans="2:5" x14ac:dyDescent="0.35">
      <c r="B328" s="78"/>
      <c r="C328" s="37" t="s">
        <v>134</v>
      </c>
      <c r="D328" s="38">
        <v>8</v>
      </c>
      <c r="E328" s="39">
        <v>3.727865796831E-3</v>
      </c>
    </row>
    <row r="329" spans="2:5" x14ac:dyDescent="0.35">
      <c r="B329" s="78"/>
      <c r="C329" s="37" t="s">
        <v>139</v>
      </c>
      <c r="D329" s="38">
        <v>1</v>
      </c>
      <c r="E329" s="39">
        <v>4.65983224604E-4</v>
      </c>
    </row>
    <row r="330" spans="2:5" x14ac:dyDescent="0.35">
      <c r="B330" s="78"/>
      <c r="C330" s="37" t="s">
        <v>186</v>
      </c>
      <c r="D330" s="38">
        <v>1</v>
      </c>
      <c r="E330" s="39">
        <v>4.65983224604E-4</v>
      </c>
    </row>
    <row r="331" spans="2:5" x14ac:dyDescent="0.35">
      <c r="B331" s="78"/>
      <c r="C331" s="37" t="s">
        <v>203</v>
      </c>
      <c r="D331" s="38">
        <v>1</v>
      </c>
      <c r="E331" s="39">
        <v>4.65983224604E-4</v>
      </c>
    </row>
    <row r="332" spans="2:5" x14ac:dyDescent="0.35">
      <c r="B332" s="78"/>
      <c r="C332" s="37" t="s">
        <v>204</v>
      </c>
      <c r="D332" s="38">
        <v>1</v>
      </c>
      <c r="E332" s="39">
        <v>4.65983224604E-4</v>
      </c>
    </row>
    <row r="333" spans="2:5" x14ac:dyDescent="0.35">
      <c r="B333" s="78"/>
      <c r="C333" s="37" t="s">
        <v>205</v>
      </c>
      <c r="D333" s="38">
        <v>1</v>
      </c>
      <c r="E333" s="39">
        <v>4.65983224604E-4</v>
      </c>
    </row>
    <row r="334" spans="2:5" x14ac:dyDescent="0.35">
      <c r="B334" s="78"/>
      <c r="C334" s="37" t="s">
        <v>207</v>
      </c>
      <c r="D334" s="38">
        <v>1</v>
      </c>
      <c r="E334" s="39">
        <v>4.65983224604E-4</v>
      </c>
    </row>
    <row r="335" spans="2:5" x14ac:dyDescent="0.35">
      <c r="B335" s="78"/>
      <c r="C335" s="15" t="s">
        <v>25</v>
      </c>
      <c r="D335" s="16">
        <v>23</v>
      </c>
      <c r="E335" s="17">
        <v>1.071761416589E-2</v>
      </c>
    </row>
    <row r="336" spans="2:5" x14ac:dyDescent="0.35">
      <c r="B336" s="78" t="s">
        <v>53</v>
      </c>
      <c r="C336" s="37" t="s">
        <v>145</v>
      </c>
      <c r="D336" s="38">
        <v>1</v>
      </c>
      <c r="E336" s="39">
        <v>4.65983224604E-4</v>
      </c>
    </row>
    <row r="337" spans="2:5" x14ac:dyDescent="0.35">
      <c r="B337" s="78"/>
      <c r="C337" s="37" t="s">
        <v>156</v>
      </c>
      <c r="D337" s="38">
        <v>1</v>
      </c>
      <c r="E337" s="39">
        <v>4.65983224604E-4</v>
      </c>
    </row>
    <row r="338" spans="2:5" x14ac:dyDescent="0.35">
      <c r="B338" s="78"/>
      <c r="C338" s="37" t="s">
        <v>169</v>
      </c>
      <c r="D338" s="38">
        <v>1</v>
      </c>
      <c r="E338" s="39">
        <v>4.65983224604E-4</v>
      </c>
    </row>
    <row r="339" spans="2:5" x14ac:dyDescent="0.35">
      <c r="B339" s="78"/>
      <c r="C339" s="37" t="s">
        <v>176</v>
      </c>
      <c r="D339" s="38">
        <v>1</v>
      </c>
      <c r="E339" s="39">
        <v>4.65983224604E-4</v>
      </c>
    </row>
    <row r="340" spans="2:5" x14ac:dyDescent="0.35">
      <c r="B340" s="78"/>
      <c r="C340" s="37" t="s">
        <v>134</v>
      </c>
      <c r="D340" s="38">
        <v>14</v>
      </c>
      <c r="E340" s="39">
        <v>6.523765144455E-3</v>
      </c>
    </row>
    <row r="341" spans="2:5" x14ac:dyDescent="0.35">
      <c r="B341" s="78"/>
      <c r="C341" s="37" t="s">
        <v>141</v>
      </c>
      <c r="D341" s="38">
        <v>11</v>
      </c>
      <c r="E341" s="39">
        <v>5.125815470643E-3</v>
      </c>
    </row>
    <row r="342" spans="2:5" x14ac:dyDescent="0.35">
      <c r="B342" s="78"/>
      <c r="C342" s="37" t="s">
        <v>139</v>
      </c>
      <c r="D342" s="38">
        <v>15</v>
      </c>
      <c r="E342" s="39">
        <v>6.989748369059E-3</v>
      </c>
    </row>
    <row r="343" spans="2:5" x14ac:dyDescent="0.35">
      <c r="B343" s="78"/>
      <c r="C343" s="37" t="s">
        <v>200</v>
      </c>
      <c r="D343" s="38">
        <v>2</v>
      </c>
      <c r="E343" s="39">
        <v>9.3196644920800001E-4</v>
      </c>
    </row>
    <row r="344" spans="2:5" x14ac:dyDescent="0.35">
      <c r="B344" s="78"/>
      <c r="C344" s="37" t="s">
        <v>203</v>
      </c>
      <c r="D344" s="38">
        <v>1</v>
      </c>
      <c r="E344" s="39">
        <v>4.65983224604E-4</v>
      </c>
    </row>
    <row r="345" spans="2:5" x14ac:dyDescent="0.35">
      <c r="B345" s="78"/>
      <c r="C345" s="37" t="s">
        <v>204</v>
      </c>
      <c r="D345" s="38">
        <v>2</v>
      </c>
      <c r="E345" s="39">
        <v>9.3196644920800001E-4</v>
      </c>
    </row>
    <row r="346" spans="2:5" x14ac:dyDescent="0.35">
      <c r="B346" s="78"/>
      <c r="C346" s="37" t="s">
        <v>142</v>
      </c>
      <c r="D346" s="38">
        <v>1</v>
      </c>
      <c r="E346" s="39">
        <v>4.65983224604E-4</v>
      </c>
    </row>
    <row r="347" spans="2:5" x14ac:dyDescent="0.35">
      <c r="B347" s="78"/>
      <c r="C347" s="37" t="s">
        <v>207</v>
      </c>
      <c r="D347" s="38">
        <v>1</v>
      </c>
      <c r="E347" s="39">
        <v>4.65983224604E-4</v>
      </c>
    </row>
    <row r="348" spans="2:5" x14ac:dyDescent="0.35">
      <c r="B348" s="78"/>
      <c r="C348" s="15" t="s">
        <v>25</v>
      </c>
      <c r="D348" s="16">
        <v>51</v>
      </c>
      <c r="E348" s="17">
        <v>2.3765144454800002E-2</v>
      </c>
    </row>
    <row r="349" spans="2:5" x14ac:dyDescent="0.35">
      <c r="B349" s="78" t="s">
        <v>73</v>
      </c>
      <c r="C349" s="37" t="s">
        <v>152</v>
      </c>
      <c r="D349" s="38">
        <v>2</v>
      </c>
      <c r="E349" s="39">
        <v>9.3196644920800001E-4</v>
      </c>
    </row>
    <row r="350" spans="2:5" x14ac:dyDescent="0.35">
      <c r="B350" s="78"/>
      <c r="C350" s="37" t="s">
        <v>134</v>
      </c>
      <c r="D350" s="38">
        <v>2</v>
      </c>
      <c r="E350" s="39">
        <v>9.3196644920800001E-4</v>
      </c>
    </row>
    <row r="351" spans="2:5" x14ac:dyDescent="0.35">
      <c r="B351" s="78"/>
      <c r="C351" s="37" t="s">
        <v>141</v>
      </c>
      <c r="D351" s="38">
        <v>1</v>
      </c>
      <c r="E351" s="39">
        <v>4.65983224604E-4</v>
      </c>
    </row>
    <row r="352" spans="2:5" x14ac:dyDescent="0.35">
      <c r="B352" s="78"/>
      <c r="C352" s="37" t="s">
        <v>139</v>
      </c>
      <c r="D352" s="38">
        <v>2</v>
      </c>
      <c r="E352" s="39">
        <v>9.3196644920800001E-4</v>
      </c>
    </row>
    <row r="353" spans="2:5" x14ac:dyDescent="0.35">
      <c r="B353" s="78"/>
      <c r="C353" s="37" t="s">
        <v>204</v>
      </c>
      <c r="D353" s="38">
        <v>1</v>
      </c>
      <c r="E353" s="39">
        <v>4.65983224604E-4</v>
      </c>
    </row>
    <row r="354" spans="2:5" x14ac:dyDescent="0.35">
      <c r="B354" s="78"/>
      <c r="C354" s="15" t="s">
        <v>25</v>
      </c>
      <c r="D354" s="16">
        <v>8</v>
      </c>
      <c r="E354" s="17">
        <v>3.727865796831E-3</v>
      </c>
    </row>
    <row r="355" spans="2:5" x14ac:dyDescent="0.35">
      <c r="B355" s="78" t="s">
        <v>63</v>
      </c>
      <c r="C355" s="37" t="s">
        <v>148</v>
      </c>
      <c r="D355" s="38">
        <v>2</v>
      </c>
      <c r="E355" s="39">
        <v>9.3196644920800001E-4</v>
      </c>
    </row>
    <row r="356" spans="2:5" x14ac:dyDescent="0.35">
      <c r="B356" s="78"/>
      <c r="C356" s="37" t="s">
        <v>152</v>
      </c>
      <c r="D356" s="38">
        <v>2</v>
      </c>
      <c r="E356" s="39">
        <v>9.3196644920800001E-4</v>
      </c>
    </row>
    <row r="357" spans="2:5" x14ac:dyDescent="0.35">
      <c r="B357" s="78"/>
      <c r="C357" s="37" t="s">
        <v>134</v>
      </c>
      <c r="D357" s="38">
        <v>5</v>
      </c>
      <c r="E357" s="39">
        <v>2.32991612302E-3</v>
      </c>
    </row>
    <row r="358" spans="2:5" x14ac:dyDescent="0.35">
      <c r="B358" s="78"/>
      <c r="C358" s="37" t="s">
        <v>141</v>
      </c>
      <c r="D358" s="38">
        <v>1</v>
      </c>
      <c r="E358" s="39">
        <v>4.65983224604E-4</v>
      </c>
    </row>
    <row r="359" spans="2:5" x14ac:dyDescent="0.35">
      <c r="B359" s="78"/>
      <c r="C359" s="37" t="s">
        <v>136</v>
      </c>
      <c r="D359" s="38">
        <v>1</v>
      </c>
      <c r="E359" s="39">
        <v>4.65983224604E-4</v>
      </c>
    </row>
    <row r="360" spans="2:5" x14ac:dyDescent="0.35">
      <c r="B360" s="78"/>
      <c r="C360" s="37" t="s">
        <v>137</v>
      </c>
      <c r="D360" s="38">
        <v>1</v>
      </c>
      <c r="E360" s="39">
        <v>4.65983224604E-4</v>
      </c>
    </row>
    <row r="361" spans="2:5" x14ac:dyDescent="0.35">
      <c r="B361" s="78"/>
      <c r="C361" s="37" t="s">
        <v>142</v>
      </c>
      <c r="D361" s="38">
        <v>1</v>
      </c>
      <c r="E361" s="39">
        <v>4.65983224604E-4</v>
      </c>
    </row>
    <row r="362" spans="2:5" x14ac:dyDescent="0.35">
      <c r="B362" s="78"/>
      <c r="C362" s="37" t="s">
        <v>143</v>
      </c>
      <c r="D362" s="38">
        <v>1</v>
      </c>
      <c r="E362" s="39">
        <v>4.65983224604E-4</v>
      </c>
    </row>
    <row r="363" spans="2:5" x14ac:dyDescent="0.35">
      <c r="B363" s="78"/>
      <c r="C363" s="37" t="s">
        <v>207</v>
      </c>
      <c r="D363" s="38">
        <v>1</v>
      </c>
      <c r="E363" s="39">
        <v>4.65983224604E-4</v>
      </c>
    </row>
    <row r="364" spans="2:5" x14ac:dyDescent="0.35">
      <c r="B364" s="78"/>
      <c r="C364" s="15" t="s">
        <v>25</v>
      </c>
      <c r="D364" s="16">
        <v>15</v>
      </c>
      <c r="E364" s="17">
        <v>6.989748369059E-3</v>
      </c>
    </row>
    <row r="365" spans="2:5" x14ac:dyDescent="0.35">
      <c r="B365" s="78" t="s">
        <v>79</v>
      </c>
      <c r="C365" s="37" t="s">
        <v>134</v>
      </c>
      <c r="D365" s="38">
        <v>4</v>
      </c>
      <c r="E365" s="39">
        <v>1.863932898416E-3</v>
      </c>
    </row>
    <row r="366" spans="2:5" x14ac:dyDescent="0.35">
      <c r="B366" s="78"/>
      <c r="C366" s="37" t="s">
        <v>187</v>
      </c>
      <c r="D366" s="38">
        <v>1</v>
      </c>
      <c r="E366" s="39">
        <v>4.65983224604E-4</v>
      </c>
    </row>
    <row r="367" spans="2:5" x14ac:dyDescent="0.35">
      <c r="B367" s="78"/>
      <c r="C367" s="37" t="s">
        <v>136</v>
      </c>
      <c r="D367" s="38">
        <v>1</v>
      </c>
      <c r="E367" s="39">
        <v>4.65983224604E-4</v>
      </c>
    </row>
    <row r="368" spans="2:5" x14ac:dyDescent="0.35">
      <c r="B368" s="78"/>
      <c r="C368" s="15" t="s">
        <v>25</v>
      </c>
      <c r="D368" s="16">
        <v>6</v>
      </c>
      <c r="E368" s="17">
        <v>2.795899347623E-3</v>
      </c>
    </row>
    <row r="369" spans="2:5" x14ac:dyDescent="0.35">
      <c r="B369" s="78" t="s">
        <v>54</v>
      </c>
      <c r="C369" s="37" t="s">
        <v>148</v>
      </c>
      <c r="D369" s="38">
        <v>2</v>
      </c>
      <c r="E369" s="39">
        <v>9.3196644920800001E-4</v>
      </c>
    </row>
    <row r="370" spans="2:5" x14ac:dyDescent="0.35">
      <c r="B370" s="78"/>
      <c r="C370" s="37" t="s">
        <v>149</v>
      </c>
      <c r="D370" s="38">
        <v>1</v>
      </c>
      <c r="E370" s="39">
        <v>4.65983224604E-4</v>
      </c>
    </row>
    <row r="371" spans="2:5" x14ac:dyDescent="0.35">
      <c r="B371" s="78"/>
      <c r="C371" s="37" t="s">
        <v>152</v>
      </c>
      <c r="D371" s="38">
        <v>10</v>
      </c>
      <c r="E371" s="39">
        <v>4.659832246039E-3</v>
      </c>
    </row>
    <row r="372" spans="2:5" x14ac:dyDescent="0.35">
      <c r="B372" s="78"/>
      <c r="C372" s="37" t="s">
        <v>155</v>
      </c>
      <c r="D372" s="38">
        <v>1</v>
      </c>
      <c r="E372" s="39">
        <v>4.65983224604E-4</v>
      </c>
    </row>
    <row r="373" spans="2:5" x14ac:dyDescent="0.35">
      <c r="B373" s="78"/>
      <c r="C373" s="37" t="s">
        <v>159</v>
      </c>
      <c r="D373" s="38">
        <v>1</v>
      </c>
      <c r="E373" s="39">
        <v>4.65983224604E-4</v>
      </c>
    </row>
    <row r="374" spans="2:5" x14ac:dyDescent="0.35">
      <c r="B374" s="78"/>
      <c r="C374" s="37" t="s">
        <v>166</v>
      </c>
      <c r="D374" s="38">
        <v>1</v>
      </c>
      <c r="E374" s="39">
        <v>4.65983224604E-4</v>
      </c>
    </row>
    <row r="375" spans="2:5" x14ac:dyDescent="0.35">
      <c r="B375" s="78"/>
      <c r="C375" s="37" t="s">
        <v>167</v>
      </c>
      <c r="D375" s="38">
        <v>5</v>
      </c>
      <c r="E375" s="39">
        <v>2.32991612302E-3</v>
      </c>
    </row>
    <row r="376" spans="2:5" x14ac:dyDescent="0.35">
      <c r="B376" s="78"/>
      <c r="C376" s="37" t="s">
        <v>170</v>
      </c>
      <c r="D376" s="38">
        <v>1</v>
      </c>
      <c r="E376" s="39">
        <v>4.65983224604E-4</v>
      </c>
    </row>
    <row r="377" spans="2:5" x14ac:dyDescent="0.35">
      <c r="B377" s="78"/>
      <c r="C377" s="37" t="s">
        <v>133</v>
      </c>
      <c r="D377" s="38">
        <v>1</v>
      </c>
      <c r="E377" s="39">
        <v>4.65983224604E-4</v>
      </c>
    </row>
    <row r="378" spans="2:5" x14ac:dyDescent="0.35">
      <c r="B378" s="78"/>
      <c r="C378" s="37" t="s">
        <v>178</v>
      </c>
      <c r="D378" s="38">
        <v>1</v>
      </c>
      <c r="E378" s="39">
        <v>4.65983224604E-4</v>
      </c>
    </row>
    <row r="379" spans="2:5" x14ac:dyDescent="0.35">
      <c r="B379" s="78"/>
      <c r="C379" s="37" t="s">
        <v>134</v>
      </c>
      <c r="D379" s="38">
        <v>17</v>
      </c>
      <c r="E379" s="39">
        <v>7.9217148182669991E-3</v>
      </c>
    </row>
    <row r="380" spans="2:5" x14ac:dyDescent="0.35">
      <c r="B380" s="78"/>
      <c r="C380" s="37" t="s">
        <v>182</v>
      </c>
      <c r="D380" s="38">
        <v>1</v>
      </c>
      <c r="E380" s="39">
        <v>4.65983224604E-4</v>
      </c>
    </row>
    <row r="381" spans="2:5" x14ac:dyDescent="0.35">
      <c r="B381" s="78"/>
      <c r="C381" s="37" t="s">
        <v>190</v>
      </c>
      <c r="D381" s="38">
        <v>1</v>
      </c>
      <c r="E381" s="39">
        <v>4.65983224604E-4</v>
      </c>
    </row>
    <row r="382" spans="2:5" x14ac:dyDescent="0.35">
      <c r="B382" s="78"/>
      <c r="C382" s="37" t="s">
        <v>136</v>
      </c>
      <c r="D382" s="38">
        <v>1</v>
      </c>
      <c r="E382" s="39">
        <v>4.65983224604E-4</v>
      </c>
    </row>
    <row r="383" spans="2:5" x14ac:dyDescent="0.35">
      <c r="B383" s="78"/>
      <c r="C383" s="37" t="s">
        <v>196</v>
      </c>
      <c r="D383" s="38">
        <v>1</v>
      </c>
      <c r="E383" s="39">
        <v>4.65983224604E-4</v>
      </c>
    </row>
    <row r="384" spans="2:5" x14ac:dyDescent="0.35">
      <c r="B384" s="78"/>
      <c r="C384" s="37" t="s">
        <v>197</v>
      </c>
      <c r="D384" s="38">
        <v>2</v>
      </c>
      <c r="E384" s="39">
        <v>9.3196644920800001E-4</v>
      </c>
    </row>
    <row r="385" spans="2:5" x14ac:dyDescent="0.35">
      <c r="B385" s="78"/>
      <c r="C385" s="37" t="s">
        <v>137</v>
      </c>
      <c r="D385" s="38">
        <v>1</v>
      </c>
      <c r="E385" s="39">
        <v>4.65983224604E-4</v>
      </c>
    </row>
    <row r="386" spans="2:5" x14ac:dyDescent="0.35">
      <c r="B386" s="78"/>
      <c r="C386" s="37" t="s">
        <v>202</v>
      </c>
      <c r="D386" s="38">
        <v>1</v>
      </c>
      <c r="E386" s="39">
        <v>4.65983224604E-4</v>
      </c>
    </row>
    <row r="387" spans="2:5" x14ac:dyDescent="0.35">
      <c r="B387" s="78"/>
      <c r="C387" s="37" t="s">
        <v>204</v>
      </c>
      <c r="D387" s="38">
        <v>1</v>
      </c>
      <c r="E387" s="39">
        <v>4.65983224604E-4</v>
      </c>
    </row>
    <row r="388" spans="2:5" x14ac:dyDescent="0.35">
      <c r="B388" s="78"/>
      <c r="C388" s="15" t="s">
        <v>25</v>
      </c>
      <c r="D388" s="16">
        <v>50</v>
      </c>
      <c r="E388" s="17">
        <v>2.3299161230196E-2</v>
      </c>
    </row>
    <row r="389" spans="2:5" x14ac:dyDescent="0.35">
      <c r="B389" s="78" t="s">
        <v>74</v>
      </c>
      <c r="C389" s="37" t="s">
        <v>152</v>
      </c>
      <c r="D389" s="38">
        <v>1</v>
      </c>
      <c r="E389" s="39">
        <v>4.65983224604E-4</v>
      </c>
    </row>
    <row r="390" spans="2:5" x14ac:dyDescent="0.35">
      <c r="B390" s="78"/>
      <c r="C390" s="37" t="s">
        <v>168</v>
      </c>
      <c r="D390" s="38">
        <v>1</v>
      </c>
      <c r="E390" s="39">
        <v>4.65983224604E-4</v>
      </c>
    </row>
    <row r="391" spans="2:5" x14ac:dyDescent="0.35">
      <c r="B391" s="78"/>
      <c r="C391" s="37" t="s">
        <v>172</v>
      </c>
      <c r="D391" s="38">
        <v>1</v>
      </c>
      <c r="E391" s="39">
        <v>4.65983224604E-4</v>
      </c>
    </row>
    <row r="392" spans="2:5" x14ac:dyDescent="0.35">
      <c r="B392" s="78"/>
      <c r="C392" s="37" t="s">
        <v>178</v>
      </c>
      <c r="D392" s="38">
        <v>1</v>
      </c>
      <c r="E392" s="39">
        <v>4.65983224604E-4</v>
      </c>
    </row>
    <row r="393" spans="2:5" x14ac:dyDescent="0.35">
      <c r="B393" s="78"/>
      <c r="C393" s="37" t="s">
        <v>134</v>
      </c>
      <c r="D393" s="38">
        <v>4</v>
      </c>
      <c r="E393" s="39">
        <v>1.863932898416E-3</v>
      </c>
    </row>
    <row r="394" spans="2:5" x14ac:dyDescent="0.35">
      <c r="B394" s="78"/>
      <c r="C394" s="15" t="s">
        <v>25</v>
      </c>
      <c r="D394" s="16">
        <v>8</v>
      </c>
      <c r="E394" s="17">
        <v>3.727865796831E-3</v>
      </c>
    </row>
    <row r="395" spans="2:5" x14ac:dyDescent="0.35">
      <c r="B395" s="78" t="s">
        <v>44</v>
      </c>
      <c r="C395" s="37" t="s">
        <v>140</v>
      </c>
      <c r="D395" s="38">
        <v>10</v>
      </c>
      <c r="E395" s="39">
        <v>4.659832246039E-3</v>
      </c>
    </row>
    <row r="396" spans="2:5" x14ac:dyDescent="0.35">
      <c r="B396" s="78"/>
      <c r="C396" s="37" t="s">
        <v>145</v>
      </c>
      <c r="D396" s="38">
        <v>35</v>
      </c>
      <c r="E396" s="39">
        <v>1.6309412861137001E-2</v>
      </c>
    </row>
    <row r="397" spans="2:5" x14ac:dyDescent="0.35">
      <c r="B397" s="78"/>
      <c r="C397" s="37" t="s">
        <v>151</v>
      </c>
      <c r="D397" s="38">
        <v>1</v>
      </c>
      <c r="E397" s="39">
        <v>4.65983224604E-4</v>
      </c>
    </row>
    <row r="398" spans="2:5" x14ac:dyDescent="0.35">
      <c r="B398" s="78"/>
      <c r="C398" s="37" t="s">
        <v>153</v>
      </c>
      <c r="D398" s="38">
        <v>1</v>
      </c>
      <c r="E398" s="39">
        <v>4.65983224604E-4</v>
      </c>
    </row>
    <row r="399" spans="2:5" x14ac:dyDescent="0.35">
      <c r="B399" s="78"/>
      <c r="C399" s="37" t="s">
        <v>154</v>
      </c>
      <c r="D399" s="38">
        <v>2</v>
      </c>
      <c r="E399" s="39">
        <v>9.3196644920800001E-4</v>
      </c>
    </row>
    <row r="400" spans="2:5" x14ac:dyDescent="0.35">
      <c r="B400" s="78"/>
      <c r="C400" s="37" t="s">
        <v>158</v>
      </c>
      <c r="D400" s="38">
        <v>3</v>
      </c>
      <c r="E400" s="39">
        <v>1.397949673812E-3</v>
      </c>
    </row>
    <row r="401" spans="2:5" x14ac:dyDescent="0.35">
      <c r="B401" s="78"/>
      <c r="C401" s="37" t="s">
        <v>161</v>
      </c>
      <c r="D401" s="38">
        <v>1</v>
      </c>
      <c r="E401" s="39">
        <v>4.65983224604E-4</v>
      </c>
    </row>
    <row r="402" spans="2:5" x14ac:dyDescent="0.35">
      <c r="B402" s="78"/>
      <c r="C402" s="37" t="s">
        <v>164</v>
      </c>
      <c r="D402" s="38">
        <v>5</v>
      </c>
      <c r="E402" s="39">
        <v>2.32991612302E-3</v>
      </c>
    </row>
    <row r="403" spans="2:5" x14ac:dyDescent="0.35">
      <c r="B403" s="78"/>
      <c r="C403" s="37" t="s">
        <v>168</v>
      </c>
      <c r="D403" s="38">
        <v>1</v>
      </c>
      <c r="E403" s="39">
        <v>4.65983224604E-4</v>
      </c>
    </row>
    <row r="404" spans="2:5" x14ac:dyDescent="0.35">
      <c r="B404" s="78"/>
      <c r="C404" s="37" t="s">
        <v>169</v>
      </c>
      <c r="D404" s="38">
        <v>5</v>
      </c>
      <c r="E404" s="39">
        <v>2.32991612302E-3</v>
      </c>
    </row>
    <row r="405" spans="2:5" x14ac:dyDescent="0.35">
      <c r="B405" s="78"/>
      <c r="C405" s="37" t="s">
        <v>172</v>
      </c>
      <c r="D405" s="38">
        <v>2</v>
      </c>
      <c r="E405" s="39">
        <v>9.3196644920800001E-4</v>
      </c>
    </row>
    <row r="406" spans="2:5" x14ac:dyDescent="0.35">
      <c r="B406" s="78"/>
      <c r="C406" s="37" t="s">
        <v>176</v>
      </c>
      <c r="D406" s="38">
        <v>19</v>
      </c>
      <c r="E406" s="39">
        <v>8.8536812674739999E-3</v>
      </c>
    </row>
    <row r="407" spans="2:5" x14ac:dyDescent="0.35">
      <c r="B407" s="78"/>
      <c r="C407" s="37" t="s">
        <v>177</v>
      </c>
      <c r="D407" s="38">
        <v>4</v>
      </c>
      <c r="E407" s="39">
        <v>1.863932898416E-3</v>
      </c>
    </row>
    <row r="408" spans="2:5" x14ac:dyDescent="0.35">
      <c r="B408" s="78"/>
      <c r="C408" s="37" t="s">
        <v>178</v>
      </c>
      <c r="D408" s="38">
        <v>2</v>
      </c>
      <c r="E408" s="39">
        <v>9.3196644920800001E-4</v>
      </c>
    </row>
    <row r="409" spans="2:5" x14ac:dyDescent="0.35">
      <c r="B409" s="78"/>
      <c r="C409" s="37" t="s">
        <v>134</v>
      </c>
      <c r="D409" s="38">
        <v>34</v>
      </c>
      <c r="E409" s="39">
        <v>1.5843429636532999E-2</v>
      </c>
    </row>
    <row r="410" spans="2:5" ht="42" x14ac:dyDescent="0.35">
      <c r="B410" s="78"/>
      <c r="C410" s="37" t="s">
        <v>180</v>
      </c>
      <c r="D410" s="38">
        <v>1</v>
      </c>
      <c r="E410" s="39">
        <v>4.65983224604E-4</v>
      </c>
    </row>
    <row r="411" spans="2:5" x14ac:dyDescent="0.35">
      <c r="B411" s="78"/>
      <c r="C411" s="37" t="s">
        <v>141</v>
      </c>
      <c r="D411" s="38">
        <v>327</v>
      </c>
      <c r="E411" s="39">
        <v>0.15237651444548</v>
      </c>
    </row>
    <row r="412" spans="2:5" x14ac:dyDescent="0.35">
      <c r="B412" s="78"/>
      <c r="C412" s="37" t="s">
        <v>139</v>
      </c>
      <c r="D412" s="38">
        <v>78</v>
      </c>
      <c r="E412" s="39">
        <v>3.6346691519105002E-2</v>
      </c>
    </row>
    <row r="413" spans="2:5" x14ac:dyDescent="0.35">
      <c r="B413" s="78"/>
      <c r="C413" s="37" t="s">
        <v>182</v>
      </c>
      <c r="D413" s="38">
        <v>1</v>
      </c>
      <c r="E413" s="39">
        <v>4.65983224604E-4</v>
      </c>
    </row>
    <row r="414" spans="2:5" x14ac:dyDescent="0.35">
      <c r="B414" s="78"/>
      <c r="C414" s="37" t="s">
        <v>184</v>
      </c>
      <c r="D414" s="38">
        <v>2</v>
      </c>
      <c r="E414" s="39">
        <v>9.3196644920800001E-4</v>
      </c>
    </row>
    <row r="415" spans="2:5" x14ac:dyDescent="0.35">
      <c r="B415" s="78"/>
      <c r="C415" s="37" t="s">
        <v>185</v>
      </c>
      <c r="D415" s="38">
        <v>26</v>
      </c>
      <c r="E415" s="39">
        <v>1.2115563839702E-2</v>
      </c>
    </row>
    <row r="416" spans="2:5" x14ac:dyDescent="0.35">
      <c r="B416" s="78"/>
      <c r="C416" s="37" t="s">
        <v>190</v>
      </c>
      <c r="D416" s="38">
        <v>5</v>
      </c>
      <c r="E416" s="39">
        <v>2.32991612302E-3</v>
      </c>
    </row>
    <row r="417" spans="2:5" x14ac:dyDescent="0.35">
      <c r="B417" s="78"/>
      <c r="C417" s="37" t="s">
        <v>192</v>
      </c>
      <c r="D417" s="38">
        <v>7</v>
      </c>
      <c r="E417" s="39">
        <v>3.261882572227E-3</v>
      </c>
    </row>
    <row r="418" spans="2:5" x14ac:dyDescent="0.35">
      <c r="B418" s="78"/>
      <c r="C418" s="37" t="s">
        <v>194</v>
      </c>
      <c r="D418" s="38">
        <v>1</v>
      </c>
      <c r="E418" s="39">
        <v>4.65983224604E-4</v>
      </c>
    </row>
    <row r="419" spans="2:5" x14ac:dyDescent="0.35">
      <c r="B419" s="78"/>
      <c r="C419" s="37" t="s">
        <v>136</v>
      </c>
      <c r="D419" s="38">
        <v>61</v>
      </c>
      <c r="E419" s="39">
        <v>2.8424976700838999E-2</v>
      </c>
    </row>
    <row r="420" spans="2:5" x14ac:dyDescent="0.35">
      <c r="B420" s="78"/>
      <c r="C420" s="37" t="s">
        <v>195</v>
      </c>
      <c r="D420" s="38">
        <v>20</v>
      </c>
      <c r="E420" s="39">
        <v>9.3196644920779999E-3</v>
      </c>
    </row>
    <row r="421" spans="2:5" x14ac:dyDescent="0.35">
      <c r="B421" s="78"/>
      <c r="C421" s="37" t="s">
        <v>198</v>
      </c>
      <c r="D421" s="38">
        <v>1</v>
      </c>
      <c r="E421" s="39">
        <v>4.65983224604E-4</v>
      </c>
    </row>
    <row r="422" spans="2:5" x14ac:dyDescent="0.35">
      <c r="B422" s="78"/>
      <c r="C422" s="37" t="s">
        <v>199</v>
      </c>
      <c r="D422" s="38">
        <v>1</v>
      </c>
      <c r="E422" s="39">
        <v>4.65983224604E-4</v>
      </c>
    </row>
    <row r="423" spans="2:5" x14ac:dyDescent="0.35">
      <c r="B423" s="78"/>
      <c r="C423" s="37" t="s">
        <v>137</v>
      </c>
      <c r="D423" s="38">
        <v>33</v>
      </c>
      <c r="E423" s="39">
        <v>1.5377446411929001E-2</v>
      </c>
    </row>
    <row r="424" spans="2:5" x14ac:dyDescent="0.35">
      <c r="B424" s="78"/>
      <c r="C424" s="37" t="s">
        <v>201</v>
      </c>
      <c r="D424" s="38">
        <v>1</v>
      </c>
      <c r="E424" s="39">
        <v>4.65983224604E-4</v>
      </c>
    </row>
    <row r="425" spans="2:5" x14ac:dyDescent="0.35">
      <c r="B425" s="78"/>
      <c r="C425" s="37" t="s">
        <v>203</v>
      </c>
      <c r="D425" s="38">
        <v>3</v>
      </c>
      <c r="E425" s="39">
        <v>1.397949673812E-3</v>
      </c>
    </row>
    <row r="426" spans="2:5" x14ac:dyDescent="0.35">
      <c r="B426" s="78"/>
      <c r="C426" s="37" t="s">
        <v>204</v>
      </c>
      <c r="D426" s="38">
        <v>3</v>
      </c>
      <c r="E426" s="39">
        <v>1.397949673812E-3</v>
      </c>
    </row>
    <row r="427" spans="2:5" x14ac:dyDescent="0.35">
      <c r="B427" s="78"/>
      <c r="C427" s="37" t="s">
        <v>142</v>
      </c>
      <c r="D427" s="38">
        <v>3</v>
      </c>
      <c r="E427" s="39">
        <v>1.397949673812E-3</v>
      </c>
    </row>
    <row r="428" spans="2:5" x14ac:dyDescent="0.35">
      <c r="B428" s="78"/>
      <c r="C428" s="37" t="s">
        <v>143</v>
      </c>
      <c r="D428" s="38">
        <v>3</v>
      </c>
      <c r="E428" s="39">
        <v>1.397949673812E-3</v>
      </c>
    </row>
    <row r="429" spans="2:5" x14ac:dyDescent="0.35">
      <c r="B429" s="78"/>
      <c r="C429" s="37" t="s">
        <v>208</v>
      </c>
      <c r="D429" s="38">
        <v>1</v>
      </c>
      <c r="E429" s="39">
        <v>4.65983224604E-4</v>
      </c>
    </row>
    <row r="430" spans="2:5" x14ac:dyDescent="0.35">
      <c r="B430" s="78"/>
      <c r="C430" s="15" t="s">
        <v>25</v>
      </c>
      <c r="D430" s="16">
        <v>703</v>
      </c>
      <c r="E430" s="17">
        <v>0.32758620689655199</v>
      </c>
    </row>
    <row r="431" spans="2:5" x14ac:dyDescent="0.35">
      <c r="B431" s="78" t="s">
        <v>47</v>
      </c>
      <c r="C431" s="37" t="s">
        <v>145</v>
      </c>
      <c r="D431" s="38">
        <v>13</v>
      </c>
      <c r="E431" s="39">
        <v>6.057781919851E-3</v>
      </c>
    </row>
    <row r="432" spans="2:5" x14ac:dyDescent="0.35">
      <c r="B432" s="78"/>
      <c r="C432" s="37" t="s">
        <v>153</v>
      </c>
      <c r="D432" s="38">
        <v>1</v>
      </c>
      <c r="E432" s="39">
        <v>4.65983224604E-4</v>
      </c>
    </row>
    <row r="433" spans="2:5" x14ac:dyDescent="0.35">
      <c r="B433" s="78"/>
      <c r="C433" s="37" t="s">
        <v>158</v>
      </c>
      <c r="D433" s="38">
        <v>7</v>
      </c>
      <c r="E433" s="39">
        <v>3.261882572227E-3</v>
      </c>
    </row>
    <row r="434" spans="2:5" x14ac:dyDescent="0.35">
      <c r="B434" s="78"/>
      <c r="C434" s="37" t="s">
        <v>162</v>
      </c>
      <c r="D434" s="38">
        <v>1</v>
      </c>
      <c r="E434" s="39">
        <v>4.65983224604E-4</v>
      </c>
    </row>
    <row r="435" spans="2:5" x14ac:dyDescent="0.35">
      <c r="B435" s="78"/>
      <c r="C435" s="37" t="s">
        <v>168</v>
      </c>
      <c r="D435" s="38">
        <v>1</v>
      </c>
      <c r="E435" s="39">
        <v>4.65983224604E-4</v>
      </c>
    </row>
    <row r="436" spans="2:5" x14ac:dyDescent="0.35">
      <c r="B436" s="78"/>
      <c r="C436" s="37" t="s">
        <v>172</v>
      </c>
      <c r="D436" s="38">
        <v>2</v>
      </c>
      <c r="E436" s="39">
        <v>9.3196644920800001E-4</v>
      </c>
    </row>
    <row r="437" spans="2:5" x14ac:dyDescent="0.35">
      <c r="B437" s="78"/>
      <c r="C437" s="37" t="s">
        <v>176</v>
      </c>
      <c r="D437" s="38">
        <v>4</v>
      </c>
      <c r="E437" s="39">
        <v>1.863932898416E-3</v>
      </c>
    </row>
    <row r="438" spans="2:5" x14ac:dyDescent="0.35">
      <c r="B438" s="78"/>
      <c r="C438" s="37" t="s">
        <v>177</v>
      </c>
      <c r="D438" s="38">
        <v>2</v>
      </c>
      <c r="E438" s="39">
        <v>9.3196644920800001E-4</v>
      </c>
    </row>
    <row r="439" spans="2:5" x14ac:dyDescent="0.35">
      <c r="B439" s="78"/>
      <c r="C439" s="37" t="s">
        <v>178</v>
      </c>
      <c r="D439" s="38">
        <v>1</v>
      </c>
      <c r="E439" s="39">
        <v>4.65983224604E-4</v>
      </c>
    </row>
    <row r="440" spans="2:5" x14ac:dyDescent="0.35">
      <c r="B440" s="78"/>
      <c r="C440" s="37" t="s">
        <v>134</v>
      </c>
      <c r="D440" s="38">
        <v>8</v>
      </c>
      <c r="E440" s="39">
        <v>3.727865796831E-3</v>
      </c>
    </row>
    <row r="441" spans="2:5" x14ac:dyDescent="0.35">
      <c r="B441" s="78"/>
      <c r="C441" s="37" t="s">
        <v>141</v>
      </c>
      <c r="D441" s="38">
        <v>30</v>
      </c>
      <c r="E441" s="39">
        <v>1.3979496738117001E-2</v>
      </c>
    </row>
    <row r="442" spans="2:5" x14ac:dyDescent="0.35">
      <c r="B442" s="78"/>
      <c r="C442" s="37" t="s">
        <v>139</v>
      </c>
      <c r="D442" s="38">
        <v>9</v>
      </c>
      <c r="E442" s="39">
        <v>4.193849021435E-3</v>
      </c>
    </row>
    <row r="443" spans="2:5" x14ac:dyDescent="0.35">
      <c r="B443" s="78"/>
      <c r="C443" s="37" t="s">
        <v>183</v>
      </c>
      <c r="D443" s="38">
        <v>1</v>
      </c>
      <c r="E443" s="39">
        <v>4.65983224604E-4</v>
      </c>
    </row>
    <row r="444" spans="2:5" x14ac:dyDescent="0.35">
      <c r="B444" s="78"/>
      <c r="C444" s="37" t="s">
        <v>185</v>
      </c>
      <c r="D444" s="38">
        <v>1</v>
      </c>
      <c r="E444" s="39">
        <v>4.65983224604E-4</v>
      </c>
    </row>
    <row r="445" spans="2:5" x14ac:dyDescent="0.35">
      <c r="B445" s="78"/>
      <c r="C445" s="37" t="s">
        <v>192</v>
      </c>
      <c r="D445" s="38">
        <v>2</v>
      </c>
      <c r="E445" s="39">
        <v>9.3196644920800001E-4</v>
      </c>
    </row>
    <row r="446" spans="2:5" x14ac:dyDescent="0.35">
      <c r="B446" s="78"/>
      <c r="C446" s="37" t="s">
        <v>136</v>
      </c>
      <c r="D446" s="38">
        <v>5</v>
      </c>
      <c r="E446" s="39">
        <v>2.32991612302E-3</v>
      </c>
    </row>
    <row r="447" spans="2:5" x14ac:dyDescent="0.35">
      <c r="B447" s="78"/>
      <c r="C447" s="37" t="s">
        <v>195</v>
      </c>
      <c r="D447" s="38">
        <v>3</v>
      </c>
      <c r="E447" s="39">
        <v>1.397949673812E-3</v>
      </c>
    </row>
    <row r="448" spans="2:5" x14ac:dyDescent="0.35">
      <c r="B448" s="78"/>
      <c r="C448" s="37" t="s">
        <v>137</v>
      </c>
      <c r="D448" s="38">
        <v>4</v>
      </c>
      <c r="E448" s="39">
        <v>1.863932898416E-3</v>
      </c>
    </row>
    <row r="449" spans="2:5" x14ac:dyDescent="0.35">
      <c r="B449" s="78"/>
      <c r="C449" s="37" t="s">
        <v>203</v>
      </c>
      <c r="D449" s="38">
        <v>1</v>
      </c>
      <c r="E449" s="39">
        <v>4.65983224604E-4</v>
      </c>
    </row>
    <row r="450" spans="2:5" x14ac:dyDescent="0.35">
      <c r="B450" s="78"/>
      <c r="C450" s="37" t="s">
        <v>204</v>
      </c>
      <c r="D450" s="38">
        <v>2</v>
      </c>
      <c r="E450" s="39">
        <v>9.3196644920800001E-4</v>
      </c>
    </row>
    <row r="451" spans="2:5" x14ac:dyDescent="0.35">
      <c r="B451" s="78"/>
      <c r="C451" s="37" t="s">
        <v>142</v>
      </c>
      <c r="D451" s="38">
        <v>2</v>
      </c>
      <c r="E451" s="39">
        <v>9.3196644920800001E-4</v>
      </c>
    </row>
    <row r="452" spans="2:5" x14ac:dyDescent="0.35">
      <c r="B452" s="78"/>
      <c r="C452" s="15" t="s">
        <v>25</v>
      </c>
      <c r="D452" s="16">
        <v>100</v>
      </c>
      <c r="E452" s="17">
        <v>4.6598322460391001E-2</v>
      </c>
    </row>
    <row r="453" spans="2:5" x14ac:dyDescent="0.35">
      <c r="B453" s="78" t="s">
        <v>51</v>
      </c>
      <c r="C453" s="37" t="s">
        <v>147</v>
      </c>
      <c r="D453" s="38">
        <v>1</v>
      </c>
      <c r="E453" s="39">
        <v>4.65983224604E-4</v>
      </c>
    </row>
    <row r="454" spans="2:5" x14ac:dyDescent="0.35">
      <c r="B454" s="78"/>
      <c r="C454" s="37" t="s">
        <v>148</v>
      </c>
      <c r="D454" s="38">
        <v>1</v>
      </c>
      <c r="E454" s="39">
        <v>4.65983224604E-4</v>
      </c>
    </row>
    <row r="455" spans="2:5" x14ac:dyDescent="0.35">
      <c r="B455" s="78"/>
      <c r="C455" s="37" t="s">
        <v>149</v>
      </c>
      <c r="D455" s="38">
        <v>1</v>
      </c>
      <c r="E455" s="39">
        <v>4.65983224604E-4</v>
      </c>
    </row>
    <row r="456" spans="2:5" x14ac:dyDescent="0.35">
      <c r="B456" s="78"/>
      <c r="C456" s="37" t="s">
        <v>157</v>
      </c>
      <c r="D456" s="38">
        <v>1</v>
      </c>
      <c r="E456" s="39">
        <v>4.65983224604E-4</v>
      </c>
    </row>
    <row r="457" spans="2:5" x14ac:dyDescent="0.35">
      <c r="B457" s="78"/>
      <c r="C457" s="37" t="s">
        <v>138</v>
      </c>
      <c r="D457" s="38">
        <v>1</v>
      </c>
      <c r="E457" s="39">
        <v>4.65983224604E-4</v>
      </c>
    </row>
    <row r="458" spans="2:5" x14ac:dyDescent="0.35">
      <c r="B458" s="78"/>
      <c r="C458" s="37" t="s">
        <v>162</v>
      </c>
      <c r="D458" s="38">
        <v>1</v>
      </c>
      <c r="E458" s="39">
        <v>4.65983224604E-4</v>
      </c>
    </row>
    <row r="459" spans="2:5" x14ac:dyDescent="0.35">
      <c r="B459" s="78"/>
      <c r="C459" s="37" t="s">
        <v>172</v>
      </c>
      <c r="D459" s="38">
        <v>1</v>
      </c>
      <c r="E459" s="39">
        <v>4.65983224604E-4</v>
      </c>
    </row>
    <row r="460" spans="2:5" x14ac:dyDescent="0.35">
      <c r="B460" s="78"/>
      <c r="C460" s="37" t="s">
        <v>173</v>
      </c>
      <c r="D460" s="38">
        <v>1</v>
      </c>
      <c r="E460" s="39">
        <v>4.65983224604E-4</v>
      </c>
    </row>
    <row r="461" spans="2:5" x14ac:dyDescent="0.35">
      <c r="B461" s="78"/>
      <c r="C461" s="37" t="s">
        <v>174</v>
      </c>
      <c r="D461" s="38">
        <v>1</v>
      </c>
      <c r="E461" s="39">
        <v>4.65983224604E-4</v>
      </c>
    </row>
    <row r="462" spans="2:5" x14ac:dyDescent="0.35">
      <c r="B462" s="78"/>
      <c r="C462" s="37" t="s">
        <v>133</v>
      </c>
      <c r="D462" s="38">
        <v>5</v>
      </c>
      <c r="E462" s="39">
        <v>2.32991612302E-3</v>
      </c>
    </row>
    <row r="463" spans="2:5" x14ac:dyDescent="0.35">
      <c r="B463" s="78"/>
      <c r="C463" s="37" t="s">
        <v>178</v>
      </c>
      <c r="D463" s="38">
        <v>7</v>
      </c>
      <c r="E463" s="39">
        <v>3.261882572227E-3</v>
      </c>
    </row>
    <row r="464" spans="2:5" x14ac:dyDescent="0.35">
      <c r="B464" s="78"/>
      <c r="C464" s="37" t="s">
        <v>134</v>
      </c>
      <c r="D464" s="38">
        <v>17</v>
      </c>
      <c r="E464" s="39">
        <v>7.9217148182669991E-3</v>
      </c>
    </row>
    <row r="465" spans="2:5" x14ac:dyDescent="0.35">
      <c r="B465" s="78"/>
      <c r="C465" s="37" t="s">
        <v>141</v>
      </c>
      <c r="D465" s="38">
        <v>3</v>
      </c>
      <c r="E465" s="39">
        <v>1.397949673812E-3</v>
      </c>
    </row>
    <row r="466" spans="2:5" x14ac:dyDescent="0.35">
      <c r="B466" s="78"/>
      <c r="C466" s="37" t="s">
        <v>182</v>
      </c>
      <c r="D466" s="38">
        <v>1</v>
      </c>
      <c r="E466" s="39">
        <v>4.65983224604E-4</v>
      </c>
    </row>
    <row r="467" spans="2:5" x14ac:dyDescent="0.35">
      <c r="B467" s="78"/>
      <c r="C467" s="37" t="s">
        <v>184</v>
      </c>
      <c r="D467" s="38">
        <v>1</v>
      </c>
      <c r="E467" s="39">
        <v>4.65983224604E-4</v>
      </c>
    </row>
    <row r="468" spans="2:5" x14ac:dyDescent="0.35">
      <c r="B468" s="78"/>
      <c r="C468" s="37" t="s">
        <v>192</v>
      </c>
      <c r="D468" s="38">
        <v>1</v>
      </c>
      <c r="E468" s="39">
        <v>4.65983224604E-4</v>
      </c>
    </row>
    <row r="469" spans="2:5" x14ac:dyDescent="0.35">
      <c r="B469" s="78"/>
      <c r="C469" s="37" t="s">
        <v>204</v>
      </c>
      <c r="D469" s="38">
        <v>1</v>
      </c>
      <c r="E469" s="39">
        <v>4.65983224604E-4</v>
      </c>
    </row>
    <row r="470" spans="2:5" x14ac:dyDescent="0.35">
      <c r="B470" s="78"/>
      <c r="C470" s="37" t="s">
        <v>205</v>
      </c>
      <c r="D470" s="38">
        <v>8</v>
      </c>
      <c r="E470" s="39">
        <v>3.727865796831E-3</v>
      </c>
    </row>
    <row r="471" spans="2:5" x14ac:dyDescent="0.35">
      <c r="B471" s="78"/>
      <c r="C471" s="15" t="s">
        <v>25</v>
      </c>
      <c r="D471" s="16">
        <v>53</v>
      </c>
      <c r="E471" s="17">
        <v>2.4697110904006999E-2</v>
      </c>
    </row>
    <row r="472" spans="2:5" x14ac:dyDescent="0.35">
      <c r="B472" s="78" t="s">
        <v>61</v>
      </c>
      <c r="C472" s="37" t="s">
        <v>148</v>
      </c>
      <c r="D472" s="38">
        <v>3</v>
      </c>
      <c r="E472" s="39">
        <v>1.397949673812E-3</v>
      </c>
    </row>
    <row r="473" spans="2:5" x14ac:dyDescent="0.35">
      <c r="B473" s="78"/>
      <c r="C473" s="37" t="s">
        <v>138</v>
      </c>
      <c r="D473" s="38">
        <v>1</v>
      </c>
      <c r="E473" s="39">
        <v>4.65983224604E-4</v>
      </c>
    </row>
    <row r="474" spans="2:5" x14ac:dyDescent="0.35">
      <c r="B474" s="78"/>
      <c r="C474" s="37" t="s">
        <v>170</v>
      </c>
      <c r="D474" s="38">
        <v>2</v>
      </c>
      <c r="E474" s="39">
        <v>9.3196644920800001E-4</v>
      </c>
    </row>
    <row r="475" spans="2:5" x14ac:dyDescent="0.35">
      <c r="B475" s="78"/>
      <c r="C475" s="37" t="s">
        <v>177</v>
      </c>
      <c r="D475" s="38">
        <v>1</v>
      </c>
      <c r="E475" s="39">
        <v>4.65983224604E-4</v>
      </c>
    </row>
    <row r="476" spans="2:5" x14ac:dyDescent="0.35">
      <c r="B476" s="78"/>
      <c r="C476" s="37" t="s">
        <v>134</v>
      </c>
      <c r="D476" s="38">
        <v>5</v>
      </c>
      <c r="E476" s="39">
        <v>2.32991612302E-3</v>
      </c>
    </row>
    <row r="477" spans="2:5" x14ac:dyDescent="0.35">
      <c r="B477" s="78"/>
      <c r="C477" s="37" t="s">
        <v>141</v>
      </c>
      <c r="D477" s="38">
        <v>1</v>
      </c>
      <c r="E477" s="39">
        <v>4.65983224604E-4</v>
      </c>
    </row>
    <row r="478" spans="2:5" x14ac:dyDescent="0.35">
      <c r="B478" s="78"/>
      <c r="C478" s="37" t="s">
        <v>139</v>
      </c>
      <c r="D478" s="38">
        <v>1</v>
      </c>
      <c r="E478" s="39">
        <v>4.65983224604E-4</v>
      </c>
    </row>
    <row r="479" spans="2:5" x14ac:dyDescent="0.35">
      <c r="B479" s="78"/>
      <c r="C479" s="37" t="s">
        <v>199</v>
      </c>
      <c r="D479" s="38">
        <v>4</v>
      </c>
      <c r="E479" s="39">
        <v>1.863932898416E-3</v>
      </c>
    </row>
    <row r="480" spans="2:5" x14ac:dyDescent="0.35">
      <c r="B480" s="78"/>
      <c r="C480" s="15" t="s">
        <v>25</v>
      </c>
      <c r="D480" s="16">
        <v>18</v>
      </c>
      <c r="E480" s="17">
        <v>8.3876980428699999E-3</v>
      </c>
    </row>
    <row r="481" spans="2:5" x14ac:dyDescent="0.35">
      <c r="B481" s="78" t="s">
        <v>83</v>
      </c>
      <c r="C481" s="37" t="s">
        <v>172</v>
      </c>
      <c r="D481" s="38">
        <v>1</v>
      </c>
      <c r="E481" s="39">
        <v>4.65983224604E-4</v>
      </c>
    </row>
    <row r="482" spans="2:5" x14ac:dyDescent="0.35">
      <c r="B482" s="78"/>
      <c r="C482" s="37" t="s">
        <v>134</v>
      </c>
      <c r="D482" s="38">
        <v>2</v>
      </c>
      <c r="E482" s="39">
        <v>9.3196644920800001E-4</v>
      </c>
    </row>
    <row r="483" spans="2:5" x14ac:dyDescent="0.35">
      <c r="B483" s="78"/>
      <c r="C483" s="15" t="s">
        <v>25</v>
      </c>
      <c r="D483" s="16">
        <v>3</v>
      </c>
      <c r="E483" s="17">
        <v>1.397949673812E-3</v>
      </c>
    </row>
    <row r="484" spans="2:5" ht="15" x14ac:dyDescent="0.4">
      <c r="B484" s="79" t="s">
        <v>25</v>
      </c>
      <c r="C484" s="79"/>
      <c r="D484" s="20">
        <v>2146</v>
      </c>
      <c r="E484" s="21">
        <v>1</v>
      </c>
    </row>
    <row r="485" spans="2:5" x14ac:dyDescent="0.35">
      <c r="B485" s="11"/>
    </row>
    <row r="486" spans="2:5" x14ac:dyDescent="0.35">
      <c r="B486" s="9" t="s">
        <v>127</v>
      </c>
    </row>
    <row r="487" spans="2:5" x14ac:dyDescent="0.35">
      <c r="B487" s="10" t="s">
        <v>21</v>
      </c>
    </row>
    <row r="488" spans="2:5" x14ac:dyDescent="0.35">
      <c r="B488" s="11" t="s">
        <v>128</v>
      </c>
    </row>
    <row r="489" spans="2:5" x14ac:dyDescent="0.35">
      <c r="B489" s="9" t="s">
        <v>22</v>
      </c>
    </row>
    <row r="490" spans="2:5" x14ac:dyDescent="0.35">
      <c r="B490" s="9" t="s">
        <v>129</v>
      </c>
    </row>
  </sheetData>
  <mergeCells count="45">
    <mergeCell ref="B453:B471"/>
    <mergeCell ref="B472:B480"/>
    <mergeCell ref="B481:B483"/>
    <mergeCell ref="B484:C484"/>
    <mergeCell ref="B365:B368"/>
    <mergeCell ref="B369:B388"/>
    <mergeCell ref="B389:B394"/>
    <mergeCell ref="B395:B430"/>
    <mergeCell ref="B431:B452"/>
    <mergeCell ref="B316:B318"/>
    <mergeCell ref="B319:B335"/>
    <mergeCell ref="B336:B348"/>
    <mergeCell ref="B349:B354"/>
    <mergeCell ref="B355:B364"/>
    <mergeCell ref="B263:B266"/>
    <mergeCell ref="B267:B275"/>
    <mergeCell ref="B276:B291"/>
    <mergeCell ref="B292:B295"/>
    <mergeCell ref="B296:B315"/>
    <mergeCell ref="B236:B242"/>
    <mergeCell ref="B243:B245"/>
    <mergeCell ref="B246:B249"/>
    <mergeCell ref="B250:B256"/>
    <mergeCell ref="B257:B262"/>
    <mergeCell ref="B145:B157"/>
    <mergeCell ref="B158:B167"/>
    <mergeCell ref="B168:B219"/>
    <mergeCell ref="B220:B226"/>
    <mergeCell ref="B227:B235"/>
    <mergeCell ref="B102:B111"/>
    <mergeCell ref="B112:B126"/>
    <mergeCell ref="B127:B129"/>
    <mergeCell ref="B130:B141"/>
    <mergeCell ref="B142:B144"/>
    <mergeCell ref="B96:B101"/>
    <mergeCell ref="B10:B13"/>
    <mergeCell ref="B14:B21"/>
    <mergeCell ref="B22:B25"/>
    <mergeCell ref="B26:B30"/>
    <mergeCell ref="B31:B33"/>
    <mergeCell ref="B34:B36"/>
    <mergeCell ref="B37:B55"/>
    <mergeCell ref="B56:B74"/>
    <mergeCell ref="B75:B91"/>
    <mergeCell ref="B92:B9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4:D41"/>
  <sheetViews>
    <sheetView showGridLines="0" view="pageBreakPreview" topLeftCell="A28" zoomScale="116" zoomScaleNormal="100" zoomScaleSheetLayoutView="116" workbookViewId="0">
      <selection activeCell="A12" sqref="A12:XFD41"/>
    </sheetView>
  </sheetViews>
  <sheetFormatPr baseColWidth="10" defaultRowHeight="14.5" x14ac:dyDescent="0.35"/>
  <cols>
    <col min="1" max="1" width="9.26953125" customWidth="1"/>
    <col min="2" max="2" width="32.36328125" customWidth="1"/>
    <col min="3" max="3" width="19.54296875" customWidth="1"/>
    <col min="4" max="4" width="17.90625" customWidth="1"/>
    <col min="5" max="5" width="8.90625" customWidth="1"/>
    <col min="6" max="6" width="0.1796875" customWidth="1"/>
  </cols>
  <sheetData>
    <row r="4" spans="2:4" ht="34.5" customHeight="1" x14ac:dyDescent="0.35"/>
    <row r="7" spans="2:4" x14ac:dyDescent="0.35">
      <c r="B7" s="68" t="s">
        <v>29</v>
      </c>
      <c r="C7" s="68"/>
      <c r="D7" s="68"/>
    </row>
    <row r="8" spans="2:4" x14ac:dyDescent="0.35">
      <c r="B8" s="68"/>
      <c r="C8" s="68"/>
      <c r="D8" s="68"/>
    </row>
    <row r="9" spans="2:4" x14ac:dyDescent="0.35">
      <c r="B9" s="68"/>
      <c r="C9" s="68"/>
      <c r="D9" s="68"/>
    </row>
    <row r="10" spans="2:4" ht="7.5" customHeight="1" x14ac:dyDescent="0.35"/>
    <row r="11" spans="2:4" ht="28" x14ac:dyDescent="0.35">
      <c r="B11" s="1" t="s">
        <v>30</v>
      </c>
      <c r="C11" s="2" t="s">
        <v>31</v>
      </c>
      <c r="D11" s="3" t="s">
        <v>19</v>
      </c>
    </row>
    <row r="12" spans="2:4" ht="14.5" customHeight="1" x14ac:dyDescent="0.35">
      <c r="B12" s="50" t="s">
        <v>219</v>
      </c>
      <c r="C12" s="51">
        <v>36</v>
      </c>
      <c r="D12" s="52">
        <v>1.6775396085740999E-2</v>
      </c>
    </row>
    <row r="13" spans="2:4" ht="14.5" customHeight="1" x14ac:dyDescent="0.35">
      <c r="B13" s="50" t="s">
        <v>220</v>
      </c>
      <c r="C13" s="51">
        <v>15</v>
      </c>
      <c r="D13" s="52">
        <v>6.989748369059E-3</v>
      </c>
    </row>
    <row r="14" spans="2:4" ht="14.5" customHeight="1" x14ac:dyDescent="0.35">
      <c r="B14" s="50" t="s">
        <v>221</v>
      </c>
      <c r="C14" s="51">
        <v>20</v>
      </c>
      <c r="D14" s="52">
        <v>9.3196644920779999E-3</v>
      </c>
    </row>
    <row r="15" spans="2:4" ht="14.5" customHeight="1" x14ac:dyDescent="0.35">
      <c r="B15" s="50" t="s">
        <v>222</v>
      </c>
      <c r="C15" s="51">
        <v>30</v>
      </c>
      <c r="D15" s="52">
        <v>1.3979496738117001E-2</v>
      </c>
    </row>
    <row r="16" spans="2:4" ht="14.5" customHeight="1" x14ac:dyDescent="0.35">
      <c r="B16" s="50" t="s">
        <v>223</v>
      </c>
      <c r="C16" s="51">
        <v>34</v>
      </c>
      <c r="D16" s="52">
        <v>1.5843429636532999E-2</v>
      </c>
    </row>
    <row r="17" spans="2:4" ht="14.5" customHeight="1" x14ac:dyDescent="0.35">
      <c r="B17" s="50" t="s">
        <v>224</v>
      </c>
      <c r="C17" s="51">
        <v>35</v>
      </c>
      <c r="D17" s="52">
        <v>1.6309412861137001E-2</v>
      </c>
    </row>
    <row r="18" spans="2:4" ht="14.5" customHeight="1" x14ac:dyDescent="0.35">
      <c r="B18" s="50" t="s">
        <v>225</v>
      </c>
      <c r="C18" s="51">
        <v>208</v>
      </c>
      <c r="D18" s="52">
        <v>9.6924510717614001E-2</v>
      </c>
    </row>
    <row r="19" spans="2:4" ht="14.5" customHeight="1" x14ac:dyDescent="0.35">
      <c r="B19" s="50" t="s">
        <v>226</v>
      </c>
      <c r="C19" s="51">
        <v>225</v>
      </c>
      <c r="D19" s="52">
        <v>0.10484622553588099</v>
      </c>
    </row>
    <row r="20" spans="2:4" ht="14.5" customHeight="1" x14ac:dyDescent="0.35">
      <c r="B20" s="50" t="s">
        <v>227</v>
      </c>
      <c r="C20" s="51">
        <v>25</v>
      </c>
      <c r="D20" s="52">
        <v>1.1649580615098E-2</v>
      </c>
    </row>
    <row r="21" spans="2:4" ht="14.5" customHeight="1" x14ac:dyDescent="0.35">
      <c r="B21" s="50" t="s">
        <v>228</v>
      </c>
      <c r="C21" s="51">
        <v>40</v>
      </c>
      <c r="D21" s="52">
        <v>1.8639328984156999E-2</v>
      </c>
    </row>
    <row r="22" spans="2:4" ht="14.5" customHeight="1" x14ac:dyDescent="0.35">
      <c r="B22" s="50" t="s">
        <v>229</v>
      </c>
      <c r="C22" s="51">
        <v>93</v>
      </c>
      <c r="D22" s="52">
        <v>4.3336439888163998E-2</v>
      </c>
    </row>
    <row r="23" spans="2:4" ht="14.5" customHeight="1" x14ac:dyDescent="0.35">
      <c r="B23" s="50" t="s">
        <v>230</v>
      </c>
      <c r="C23" s="51">
        <v>678</v>
      </c>
      <c r="D23" s="52">
        <v>0.31593662628145402</v>
      </c>
    </row>
    <row r="24" spans="2:4" ht="14.5" customHeight="1" x14ac:dyDescent="0.35">
      <c r="B24" s="50" t="s">
        <v>231</v>
      </c>
      <c r="C24" s="51">
        <v>45</v>
      </c>
      <c r="D24" s="52">
        <v>2.0969245107176002E-2</v>
      </c>
    </row>
    <row r="25" spans="2:4" ht="14.5" customHeight="1" x14ac:dyDescent="0.35">
      <c r="B25" s="50" t="s">
        <v>232</v>
      </c>
      <c r="C25" s="51">
        <v>95</v>
      </c>
      <c r="D25" s="52">
        <v>4.4268406337372002E-2</v>
      </c>
    </row>
    <row r="26" spans="2:4" ht="14.5" customHeight="1" x14ac:dyDescent="0.35">
      <c r="B26" s="50" t="s">
        <v>233</v>
      </c>
      <c r="C26" s="51">
        <v>385</v>
      </c>
      <c r="D26" s="52">
        <v>0.17940354147250701</v>
      </c>
    </row>
    <row r="27" spans="2:4" ht="14.5" customHeight="1" x14ac:dyDescent="0.35">
      <c r="B27" s="50" t="s">
        <v>234</v>
      </c>
      <c r="C27" s="51">
        <v>5</v>
      </c>
      <c r="D27" s="52">
        <v>2.32991612302E-3</v>
      </c>
    </row>
    <row r="28" spans="2:4" ht="14.5" customHeight="1" x14ac:dyDescent="0.35">
      <c r="B28" s="50" t="s">
        <v>235</v>
      </c>
      <c r="C28" s="51">
        <v>10</v>
      </c>
      <c r="D28" s="52">
        <v>4.659832246039E-3</v>
      </c>
    </row>
    <row r="29" spans="2:4" ht="14.5" customHeight="1" x14ac:dyDescent="0.35">
      <c r="B29" s="50" t="s">
        <v>236</v>
      </c>
      <c r="C29" s="51">
        <v>3</v>
      </c>
      <c r="D29" s="52">
        <v>1.397949673812E-3</v>
      </c>
    </row>
    <row r="30" spans="2:4" ht="14.5" customHeight="1" x14ac:dyDescent="0.35">
      <c r="B30" s="50" t="s">
        <v>237</v>
      </c>
      <c r="C30" s="51">
        <v>2</v>
      </c>
      <c r="D30" s="52">
        <v>9.3196644920800001E-4</v>
      </c>
    </row>
    <row r="31" spans="2:4" ht="14.5" customHeight="1" x14ac:dyDescent="0.35">
      <c r="B31" s="50" t="s">
        <v>238</v>
      </c>
      <c r="C31" s="51">
        <v>33</v>
      </c>
      <c r="D31" s="52">
        <v>1.5377446411929001E-2</v>
      </c>
    </row>
    <row r="32" spans="2:4" ht="14.5" customHeight="1" x14ac:dyDescent="0.35">
      <c r="B32" s="50" t="s">
        <v>239</v>
      </c>
      <c r="C32" s="51">
        <v>123</v>
      </c>
      <c r="D32" s="52">
        <v>5.7315936626280997E-2</v>
      </c>
    </row>
    <row r="33" spans="2:4" ht="14.5" customHeight="1" x14ac:dyDescent="0.35">
      <c r="B33" s="50" t="s">
        <v>240</v>
      </c>
      <c r="C33" s="51">
        <v>5</v>
      </c>
      <c r="D33" s="52">
        <v>2.32991612302E-3</v>
      </c>
    </row>
    <row r="34" spans="2:4" ht="14.5" customHeight="1" x14ac:dyDescent="0.35">
      <c r="B34" s="50" t="s">
        <v>241</v>
      </c>
      <c r="C34" s="51">
        <v>1</v>
      </c>
      <c r="D34" s="52">
        <v>4.65983224604E-4</v>
      </c>
    </row>
    <row r="35" spans="2:4" ht="14.5" customHeight="1" x14ac:dyDescent="0.35">
      <c r="B35" s="5" t="s">
        <v>25</v>
      </c>
      <c r="C35" s="6">
        <v>2146</v>
      </c>
      <c r="D35" s="7">
        <v>1</v>
      </c>
    </row>
    <row r="36" spans="2:4" ht="14.5" customHeight="1" x14ac:dyDescent="0.35">
      <c r="B36" s="11"/>
    </row>
    <row r="37" spans="2:4" ht="14.5" customHeight="1" x14ac:dyDescent="0.35">
      <c r="B37" s="9" t="s">
        <v>127</v>
      </c>
    </row>
    <row r="38" spans="2:4" ht="14.5" customHeight="1" x14ac:dyDescent="0.35">
      <c r="B38" s="10" t="s">
        <v>21</v>
      </c>
    </row>
    <row r="39" spans="2:4" ht="14.5" customHeight="1" x14ac:dyDescent="0.35">
      <c r="B39" s="11" t="s">
        <v>128</v>
      </c>
    </row>
    <row r="40" spans="2:4" ht="14.5" customHeight="1" x14ac:dyDescent="0.35">
      <c r="B40" s="9" t="s">
        <v>22</v>
      </c>
    </row>
    <row r="41" spans="2:4" ht="14.5" customHeight="1" x14ac:dyDescent="0.35">
      <c r="B41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4:F274"/>
  <sheetViews>
    <sheetView showGridLines="0" view="pageBreakPreview" zoomScale="93" zoomScaleNormal="100" zoomScaleSheetLayoutView="93" workbookViewId="0">
      <selection activeCell="A274" sqref="A269:XFD274"/>
    </sheetView>
  </sheetViews>
  <sheetFormatPr baseColWidth="10" defaultRowHeight="14.5" x14ac:dyDescent="0.35"/>
  <cols>
    <col min="1" max="1" width="3" customWidth="1"/>
    <col min="2" max="2" width="20.26953125" customWidth="1"/>
    <col min="3" max="3" width="26.6328125" customWidth="1"/>
    <col min="4" max="4" width="16.453125" customWidth="1"/>
    <col min="5" max="5" width="15.1796875" customWidth="1"/>
    <col min="6" max="6" width="10.90625" hidden="1" customWidth="1"/>
  </cols>
  <sheetData>
    <row r="4" spans="2:5" ht="30.5" customHeight="1" x14ac:dyDescent="0.35"/>
    <row r="6" spans="2:5" ht="27" customHeight="1" x14ac:dyDescent="0.35"/>
    <row r="7" spans="2:5" ht="25.5" customHeight="1" x14ac:dyDescent="0.35"/>
    <row r="8" spans="2:5" ht="46.5" customHeight="1" x14ac:dyDescent="0.35"/>
    <row r="9" spans="2:5" ht="28" x14ac:dyDescent="0.35">
      <c r="B9" s="12" t="s">
        <v>32</v>
      </c>
      <c r="C9" s="13" t="s">
        <v>27</v>
      </c>
      <c r="D9" s="14" t="s">
        <v>19</v>
      </c>
      <c r="E9" s="12" t="s">
        <v>20</v>
      </c>
    </row>
    <row r="10" spans="2:5" x14ac:dyDescent="0.35">
      <c r="B10" s="73" t="s">
        <v>219</v>
      </c>
      <c r="C10" s="37" t="s">
        <v>91</v>
      </c>
      <c r="D10" s="38">
        <v>27</v>
      </c>
      <c r="E10" s="39">
        <v>1.2581547064306E-2</v>
      </c>
    </row>
    <row r="11" spans="2:5" x14ac:dyDescent="0.35">
      <c r="B11" s="75"/>
      <c r="C11" s="37" t="s">
        <v>92</v>
      </c>
      <c r="D11" s="38">
        <v>1</v>
      </c>
      <c r="E11" s="39">
        <v>4.65983224604E-4</v>
      </c>
    </row>
    <row r="12" spans="2:5" x14ac:dyDescent="0.35">
      <c r="B12" s="75"/>
      <c r="C12" s="37" t="s">
        <v>93</v>
      </c>
      <c r="D12" s="38">
        <v>1</v>
      </c>
      <c r="E12" s="39">
        <v>4.65983224604E-4</v>
      </c>
    </row>
    <row r="13" spans="2:5" x14ac:dyDescent="0.35">
      <c r="B13" s="75"/>
      <c r="C13" s="37" t="s">
        <v>95</v>
      </c>
      <c r="D13" s="38">
        <v>2</v>
      </c>
      <c r="E13" s="39">
        <v>9.3196644920800001E-4</v>
      </c>
    </row>
    <row r="14" spans="2:5" x14ac:dyDescent="0.35">
      <c r="B14" s="75"/>
      <c r="C14" s="37" t="s">
        <v>118</v>
      </c>
      <c r="D14" s="38">
        <v>2</v>
      </c>
      <c r="E14" s="39">
        <v>9.3196644920800001E-4</v>
      </c>
    </row>
    <row r="15" spans="2:5" x14ac:dyDescent="0.35">
      <c r="B15" s="75"/>
      <c r="C15" s="37" t="s">
        <v>120</v>
      </c>
      <c r="D15" s="38">
        <v>1</v>
      </c>
      <c r="E15" s="39">
        <v>4.65983224604E-4</v>
      </c>
    </row>
    <row r="16" spans="2:5" x14ac:dyDescent="0.35">
      <c r="B16" s="75"/>
      <c r="C16" s="37" t="s">
        <v>122</v>
      </c>
      <c r="D16" s="38">
        <v>1</v>
      </c>
      <c r="E16" s="39">
        <v>4.65983224604E-4</v>
      </c>
    </row>
    <row r="17" spans="2:5" x14ac:dyDescent="0.35">
      <c r="B17" s="75"/>
      <c r="C17" s="37" t="s">
        <v>83</v>
      </c>
      <c r="D17" s="38">
        <v>1</v>
      </c>
      <c r="E17" s="39">
        <v>4.65983224604E-4</v>
      </c>
    </row>
    <row r="18" spans="2:5" x14ac:dyDescent="0.35">
      <c r="B18" s="74"/>
      <c r="C18" s="15" t="s">
        <v>25</v>
      </c>
      <c r="D18" s="16">
        <v>36</v>
      </c>
      <c r="E18" s="17">
        <v>1.6775396085740999E-2</v>
      </c>
    </row>
    <row r="19" spans="2:5" x14ac:dyDescent="0.35">
      <c r="B19" s="73" t="s">
        <v>220</v>
      </c>
      <c r="C19" s="37" t="s">
        <v>91</v>
      </c>
      <c r="D19" s="38">
        <v>12</v>
      </c>
      <c r="E19" s="39">
        <v>5.591798695247E-3</v>
      </c>
    </row>
    <row r="20" spans="2:5" x14ac:dyDescent="0.35">
      <c r="B20" s="75"/>
      <c r="C20" s="37" t="s">
        <v>92</v>
      </c>
      <c r="D20" s="38">
        <v>1</v>
      </c>
      <c r="E20" s="39">
        <v>4.65983224604E-4</v>
      </c>
    </row>
    <row r="21" spans="2:5" x14ac:dyDescent="0.35">
      <c r="B21" s="75"/>
      <c r="C21" s="37" t="s">
        <v>101</v>
      </c>
      <c r="D21" s="38">
        <v>1</v>
      </c>
      <c r="E21" s="39">
        <v>4.65983224604E-4</v>
      </c>
    </row>
    <row r="22" spans="2:5" x14ac:dyDescent="0.35">
      <c r="B22" s="75"/>
      <c r="C22" s="37" t="s">
        <v>122</v>
      </c>
      <c r="D22" s="38">
        <v>1</v>
      </c>
      <c r="E22" s="39">
        <v>4.65983224604E-4</v>
      </c>
    </row>
    <row r="23" spans="2:5" x14ac:dyDescent="0.35">
      <c r="B23" s="74"/>
      <c r="C23" s="15" t="s">
        <v>25</v>
      </c>
      <c r="D23" s="16">
        <v>15</v>
      </c>
      <c r="E23" s="17">
        <v>6.989748369059E-3</v>
      </c>
    </row>
    <row r="24" spans="2:5" x14ac:dyDescent="0.35">
      <c r="B24" s="73" t="s">
        <v>221</v>
      </c>
      <c r="C24" s="37" t="s">
        <v>90</v>
      </c>
      <c r="D24" s="38">
        <v>1</v>
      </c>
      <c r="E24" s="39">
        <v>4.65983224604E-4</v>
      </c>
    </row>
    <row r="25" spans="2:5" x14ac:dyDescent="0.35">
      <c r="B25" s="75"/>
      <c r="C25" s="37" t="s">
        <v>91</v>
      </c>
      <c r="D25" s="38">
        <v>14</v>
      </c>
      <c r="E25" s="39">
        <v>6.523765144455E-3</v>
      </c>
    </row>
    <row r="26" spans="2:5" x14ac:dyDescent="0.35">
      <c r="B26" s="75"/>
      <c r="C26" s="37" t="s">
        <v>103</v>
      </c>
      <c r="D26" s="38">
        <v>1</v>
      </c>
      <c r="E26" s="39">
        <v>4.65983224604E-4</v>
      </c>
    </row>
    <row r="27" spans="2:5" x14ac:dyDescent="0.35">
      <c r="B27" s="75"/>
      <c r="C27" s="37" t="s">
        <v>118</v>
      </c>
      <c r="D27" s="38">
        <v>2</v>
      </c>
      <c r="E27" s="39">
        <v>9.3196644920800001E-4</v>
      </c>
    </row>
    <row r="28" spans="2:5" x14ac:dyDescent="0.35">
      <c r="B28" s="75"/>
      <c r="C28" s="37" t="s">
        <v>122</v>
      </c>
      <c r="D28" s="38">
        <v>2</v>
      </c>
      <c r="E28" s="39">
        <v>9.3196644920800001E-4</v>
      </c>
    </row>
    <row r="29" spans="2:5" x14ac:dyDescent="0.35">
      <c r="B29" s="74"/>
      <c r="C29" s="15" t="s">
        <v>25</v>
      </c>
      <c r="D29" s="16">
        <v>20</v>
      </c>
      <c r="E29" s="17">
        <v>9.3196644920779999E-3</v>
      </c>
    </row>
    <row r="30" spans="2:5" x14ac:dyDescent="0.35">
      <c r="B30" s="73" t="s">
        <v>222</v>
      </c>
      <c r="C30" s="37" t="s">
        <v>88</v>
      </c>
      <c r="D30" s="38">
        <v>2</v>
      </c>
      <c r="E30" s="39">
        <v>9.3196644920800001E-4</v>
      </c>
    </row>
    <row r="31" spans="2:5" x14ac:dyDescent="0.35">
      <c r="B31" s="75"/>
      <c r="C31" s="37" t="s">
        <v>90</v>
      </c>
      <c r="D31" s="38">
        <v>1</v>
      </c>
      <c r="E31" s="39">
        <v>4.65983224604E-4</v>
      </c>
    </row>
    <row r="32" spans="2:5" x14ac:dyDescent="0.35">
      <c r="B32" s="75"/>
      <c r="C32" s="37" t="s">
        <v>91</v>
      </c>
      <c r="D32" s="38">
        <v>25</v>
      </c>
      <c r="E32" s="39">
        <v>1.1649580615098E-2</v>
      </c>
    </row>
    <row r="33" spans="2:5" x14ac:dyDescent="0.35">
      <c r="B33" s="75"/>
      <c r="C33" s="37" t="s">
        <v>92</v>
      </c>
      <c r="D33" s="38">
        <v>2</v>
      </c>
      <c r="E33" s="39">
        <v>9.3196644920800001E-4</v>
      </c>
    </row>
    <row r="34" spans="2:5" x14ac:dyDescent="0.35">
      <c r="B34" s="74"/>
      <c r="C34" s="15" t="s">
        <v>25</v>
      </c>
      <c r="D34" s="16">
        <v>30</v>
      </c>
      <c r="E34" s="17">
        <v>1.3979496738117001E-2</v>
      </c>
    </row>
    <row r="35" spans="2:5" x14ac:dyDescent="0.35">
      <c r="B35" s="73" t="s">
        <v>223</v>
      </c>
      <c r="C35" s="37" t="s">
        <v>88</v>
      </c>
      <c r="D35" s="38">
        <v>1</v>
      </c>
      <c r="E35" s="39">
        <v>4.65983224604E-4</v>
      </c>
    </row>
    <row r="36" spans="2:5" x14ac:dyDescent="0.35">
      <c r="B36" s="75"/>
      <c r="C36" s="37" t="s">
        <v>91</v>
      </c>
      <c r="D36" s="38">
        <v>21</v>
      </c>
      <c r="E36" s="39">
        <v>9.785647716682E-3</v>
      </c>
    </row>
    <row r="37" spans="2:5" x14ac:dyDescent="0.35">
      <c r="B37" s="75"/>
      <c r="C37" s="37" t="s">
        <v>92</v>
      </c>
      <c r="D37" s="38">
        <v>3</v>
      </c>
      <c r="E37" s="39">
        <v>1.397949673812E-3</v>
      </c>
    </row>
    <row r="38" spans="2:5" x14ac:dyDescent="0.35">
      <c r="B38" s="75"/>
      <c r="C38" s="37" t="s">
        <v>98</v>
      </c>
      <c r="D38" s="38">
        <v>1</v>
      </c>
      <c r="E38" s="39">
        <v>4.65983224604E-4</v>
      </c>
    </row>
    <row r="39" spans="2:5" x14ac:dyDescent="0.35">
      <c r="B39" s="75"/>
      <c r="C39" s="37" t="s">
        <v>115</v>
      </c>
      <c r="D39" s="38">
        <v>1</v>
      </c>
      <c r="E39" s="39">
        <v>4.65983224604E-4</v>
      </c>
    </row>
    <row r="40" spans="2:5" x14ac:dyDescent="0.35">
      <c r="B40" s="75"/>
      <c r="C40" s="37" t="s">
        <v>117</v>
      </c>
      <c r="D40" s="38">
        <v>1</v>
      </c>
      <c r="E40" s="39">
        <v>4.65983224604E-4</v>
      </c>
    </row>
    <row r="41" spans="2:5" x14ac:dyDescent="0.35">
      <c r="B41" s="75"/>
      <c r="C41" s="37" t="s">
        <v>118</v>
      </c>
      <c r="D41" s="38">
        <v>5</v>
      </c>
      <c r="E41" s="39">
        <v>2.32991612302E-3</v>
      </c>
    </row>
    <row r="42" spans="2:5" x14ac:dyDescent="0.35">
      <c r="B42" s="75"/>
      <c r="C42" s="37" t="s">
        <v>83</v>
      </c>
      <c r="D42" s="38">
        <v>1</v>
      </c>
      <c r="E42" s="39">
        <v>4.65983224604E-4</v>
      </c>
    </row>
    <row r="43" spans="2:5" x14ac:dyDescent="0.35">
      <c r="B43" s="74"/>
      <c r="C43" s="15" t="s">
        <v>25</v>
      </c>
      <c r="D43" s="16">
        <v>34</v>
      </c>
      <c r="E43" s="17">
        <v>1.5843429636532999E-2</v>
      </c>
    </row>
    <row r="44" spans="2:5" x14ac:dyDescent="0.35">
      <c r="B44" s="73" t="s">
        <v>224</v>
      </c>
      <c r="C44" s="37" t="s">
        <v>91</v>
      </c>
      <c r="D44" s="38">
        <v>26</v>
      </c>
      <c r="E44" s="39">
        <v>1.2115563839702E-2</v>
      </c>
    </row>
    <row r="45" spans="2:5" x14ac:dyDescent="0.35">
      <c r="B45" s="75"/>
      <c r="C45" s="37" t="s">
        <v>95</v>
      </c>
      <c r="D45" s="38">
        <v>1</v>
      </c>
      <c r="E45" s="39">
        <v>4.65983224604E-4</v>
      </c>
    </row>
    <row r="46" spans="2:5" x14ac:dyDescent="0.35">
      <c r="B46" s="75"/>
      <c r="C46" s="37" t="s">
        <v>97</v>
      </c>
      <c r="D46" s="38">
        <v>1</v>
      </c>
      <c r="E46" s="39">
        <v>4.65983224604E-4</v>
      </c>
    </row>
    <row r="47" spans="2:5" x14ac:dyDescent="0.35">
      <c r="B47" s="75"/>
      <c r="C47" s="37" t="s">
        <v>99</v>
      </c>
      <c r="D47" s="38">
        <v>1</v>
      </c>
      <c r="E47" s="39">
        <v>4.65983224604E-4</v>
      </c>
    </row>
    <row r="48" spans="2:5" x14ac:dyDescent="0.35">
      <c r="B48" s="75"/>
      <c r="C48" s="37" t="s">
        <v>109</v>
      </c>
      <c r="D48" s="38">
        <v>1</v>
      </c>
      <c r="E48" s="39">
        <v>4.65983224604E-4</v>
      </c>
    </row>
    <row r="49" spans="2:5" x14ac:dyDescent="0.35">
      <c r="B49" s="75"/>
      <c r="C49" s="37" t="s">
        <v>111</v>
      </c>
      <c r="D49" s="38">
        <v>2</v>
      </c>
      <c r="E49" s="39">
        <v>9.3196644920800001E-4</v>
      </c>
    </row>
    <row r="50" spans="2:5" x14ac:dyDescent="0.35">
      <c r="B50" s="75"/>
      <c r="C50" s="37" t="s">
        <v>118</v>
      </c>
      <c r="D50" s="38">
        <v>3</v>
      </c>
      <c r="E50" s="39">
        <v>1.397949673812E-3</v>
      </c>
    </row>
    <row r="51" spans="2:5" x14ac:dyDescent="0.35">
      <c r="B51" s="74"/>
      <c r="C51" s="15" t="s">
        <v>25</v>
      </c>
      <c r="D51" s="16">
        <v>35</v>
      </c>
      <c r="E51" s="17">
        <v>1.6309412861137001E-2</v>
      </c>
    </row>
    <row r="52" spans="2:5" x14ac:dyDescent="0.35">
      <c r="B52" s="73" t="s">
        <v>225</v>
      </c>
      <c r="C52" s="37" t="s">
        <v>88</v>
      </c>
      <c r="D52" s="38">
        <v>1</v>
      </c>
      <c r="E52" s="39">
        <v>4.65983224604E-4</v>
      </c>
    </row>
    <row r="53" spans="2:5" x14ac:dyDescent="0.35">
      <c r="B53" s="75"/>
      <c r="C53" s="37" t="s">
        <v>89</v>
      </c>
      <c r="D53" s="38">
        <v>1</v>
      </c>
      <c r="E53" s="39">
        <v>4.65983224604E-4</v>
      </c>
    </row>
    <row r="54" spans="2:5" x14ac:dyDescent="0.35">
      <c r="B54" s="75"/>
      <c r="C54" s="37" t="s">
        <v>90</v>
      </c>
      <c r="D54" s="38">
        <v>3</v>
      </c>
      <c r="E54" s="39">
        <v>1.397949673812E-3</v>
      </c>
    </row>
    <row r="55" spans="2:5" x14ac:dyDescent="0.35">
      <c r="B55" s="75"/>
      <c r="C55" s="37" t="s">
        <v>91</v>
      </c>
      <c r="D55" s="38">
        <v>162</v>
      </c>
      <c r="E55" s="39">
        <v>7.5489282385833995E-2</v>
      </c>
    </row>
    <row r="56" spans="2:5" x14ac:dyDescent="0.35">
      <c r="B56" s="75"/>
      <c r="C56" s="37" t="s">
        <v>92</v>
      </c>
      <c r="D56" s="38">
        <v>5</v>
      </c>
      <c r="E56" s="39">
        <v>2.32991612302E-3</v>
      </c>
    </row>
    <row r="57" spans="2:5" x14ac:dyDescent="0.35">
      <c r="B57" s="75"/>
      <c r="C57" s="37" t="s">
        <v>95</v>
      </c>
      <c r="D57" s="38">
        <v>1</v>
      </c>
      <c r="E57" s="39">
        <v>4.65983224604E-4</v>
      </c>
    </row>
    <row r="58" spans="2:5" x14ac:dyDescent="0.35">
      <c r="B58" s="75"/>
      <c r="C58" s="37" t="s">
        <v>98</v>
      </c>
      <c r="D58" s="38">
        <v>1</v>
      </c>
      <c r="E58" s="39">
        <v>4.65983224604E-4</v>
      </c>
    </row>
    <row r="59" spans="2:5" x14ac:dyDescent="0.35">
      <c r="B59" s="75"/>
      <c r="C59" s="37" t="s">
        <v>102</v>
      </c>
      <c r="D59" s="38">
        <v>1</v>
      </c>
      <c r="E59" s="39">
        <v>4.65983224604E-4</v>
      </c>
    </row>
    <row r="60" spans="2:5" x14ac:dyDescent="0.35">
      <c r="B60" s="75"/>
      <c r="C60" s="37" t="s">
        <v>104</v>
      </c>
      <c r="D60" s="38">
        <v>1</v>
      </c>
      <c r="E60" s="39">
        <v>4.65983224604E-4</v>
      </c>
    </row>
    <row r="61" spans="2:5" x14ac:dyDescent="0.35">
      <c r="B61" s="75"/>
      <c r="C61" s="37" t="s">
        <v>110</v>
      </c>
      <c r="D61" s="38">
        <v>2</v>
      </c>
      <c r="E61" s="39">
        <v>9.3196644920800001E-4</v>
      </c>
    </row>
    <row r="62" spans="2:5" x14ac:dyDescent="0.35">
      <c r="B62" s="75"/>
      <c r="C62" s="37" t="s">
        <v>111</v>
      </c>
      <c r="D62" s="38">
        <v>3</v>
      </c>
      <c r="E62" s="39">
        <v>1.397949673812E-3</v>
      </c>
    </row>
    <row r="63" spans="2:5" x14ac:dyDescent="0.35">
      <c r="B63" s="75"/>
      <c r="C63" s="37" t="s">
        <v>118</v>
      </c>
      <c r="D63" s="38">
        <v>17</v>
      </c>
      <c r="E63" s="39">
        <v>7.9217148182669991E-3</v>
      </c>
    </row>
    <row r="64" spans="2:5" x14ac:dyDescent="0.35">
      <c r="B64" s="75"/>
      <c r="C64" s="37" t="s">
        <v>121</v>
      </c>
      <c r="D64" s="38">
        <v>1</v>
      </c>
      <c r="E64" s="39">
        <v>4.65983224604E-4</v>
      </c>
    </row>
    <row r="65" spans="2:5" x14ac:dyDescent="0.35">
      <c r="B65" s="75"/>
      <c r="C65" s="37" t="s">
        <v>122</v>
      </c>
      <c r="D65" s="38">
        <v>5</v>
      </c>
      <c r="E65" s="39">
        <v>2.32991612302E-3</v>
      </c>
    </row>
    <row r="66" spans="2:5" x14ac:dyDescent="0.35">
      <c r="B66" s="75"/>
      <c r="C66" s="37" t="s">
        <v>123</v>
      </c>
      <c r="D66" s="38">
        <v>2</v>
      </c>
      <c r="E66" s="39">
        <v>9.3196644920800001E-4</v>
      </c>
    </row>
    <row r="67" spans="2:5" x14ac:dyDescent="0.35">
      <c r="B67" s="75"/>
      <c r="C67" s="37" t="s">
        <v>83</v>
      </c>
      <c r="D67" s="38">
        <v>2</v>
      </c>
      <c r="E67" s="39">
        <v>9.3196644920800001E-4</v>
      </c>
    </row>
    <row r="68" spans="2:5" x14ac:dyDescent="0.35">
      <c r="B68" s="74"/>
      <c r="C68" s="15" t="s">
        <v>25</v>
      </c>
      <c r="D68" s="16">
        <v>208</v>
      </c>
      <c r="E68" s="17">
        <v>9.6924510717614001E-2</v>
      </c>
    </row>
    <row r="69" spans="2:5" x14ac:dyDescent="0.35">
      <c r="B69" s="73" t="s">
        <v>226</v>
      </c>
      <c r="C69" s="37" t="s">
        <v>90</v>
      </c>
      <c r="D69" s="38">
        <v>3</v>
      </c>
      <c r="E69" s="39">
        <v>1.397949673812E-3</v>
      </c>
    </row>
    <row r="70" spans="2:5" x14ac:dyDescent="0.35">
      <c r="B70" s="75"/>
      <c r="C70" s="37" t="s">
        <v>91</v>
      </c>
      <c r="D70" s="38">
        <v>166</v>
      </c>
      <c r="E70" s="39">
        <v>7.7353215284250001E-2</v>
      </c>
    </row>
    <row r="71" spans="2:5" x14ac:dyDescent="0.35">
      <c r="B71" s="75"/>
      <c r="C71" s="37" t="s">
        <v>92</v>
      </c>
      <c r="D71" s="38">
        <v>10</v>
      </c>
      <c r="E71" s="39">
        <v>4.659832246039E-3</v>
      </c>
    </row>
    <row r="72" spans="2:5" x14ac:dyDescent="0.35">
      <c r="B72" s="75"/>
      <c r="C72" s="37" t="s">
        <v>95</v>
      </c>
      <c r="D72" s="38">
        <v>3</v>
      </c>
      <c r="E72" s="39">
        <v>1.397949673812E-3</v>
      </c>
    </row>
    <row r="73" spans="2:5" x14ac:dyDescent="0.35">
      <c r="B73" s="75"/>
      <c r="C73" s="37" t="s">
        <v>96</v>
      </c>
      <c r="D73" s="38">
        <v>1</v>
      </c>
      <c r="E73" s="39">
        <v>4.65983224604E-4</v>
      </c>
    </row>
    <row r="74" spans="2:5" x14ac:dyDescent="0.35">
      <c r="B74" s="75"/>
      <c r="C74" s="37" t="s">
        <v>97</v>
      </c>
      <c r="D74" s="38">
        <v>1</v>
      </c>
      <c r="E74" s="39">
        <v>4.65983224604E-4</v>
      </c>
    </row>
    <row r="75" spans="2:5" x14ac:dyDescent="0.35">
      <c r="B75" s="75"/>
      <c r="C75" s="37" t="s">
        <v>98</v>
      </c>
      <c r="D75" s="38">
        <v>2</v>
      </c>
      <c r="E75" s="39">
        <v>9.3196644920800001E-4</v>
      </c>
    </row>
    <row r="76" spans="2:5" x14ac:dyDescent="0.35">
      <c r="B76" s="75"/>
      <c r="C76" s="37" t="s">
        <v>101</v>
      </c>
      <c r="D76" s="38">
        <v>1</v>
      </c>
      <c r="E76" s="39">
        <v>4.65983224604E-4</v>
      </c>
    </row>
    <row r="77" spans="2:5" x14ac:dyDescent="0.35">
      <c r="B77" s="75"/>
      <c r="C77" s="37" t="s">
        <v>102</v>
      </c>
      <c r="D77" s="38">
        <v>1</v>
      </c>
      <c r="E77" s="39">
        <v>4.65983224604E-4</v>
      </c>
    </row>
    <row r="78" spans="2:5" x14ac:dyDescent="0.35">
      <c r="B78" s="75"/>
      <c r="C78" s="37" t="s">
        <v>111</v>
      </c>
      <c r="D78" s="38">
        <v>1</v>
      </c>
      <c r="E78" s="39">
        <v>4.65983224604E-4</v>
      </c>
    </row>
    <row r="79" spans="2:5" x14ac:dyDescent="0.35">
      <c r="B79" s="75"/>
      <c r="C79" s="37" t="s">
        <v>112</v>
      </c>
      <c r="D79" s="38">
        <v>1</v>
      </c>
      <c r="E79" s="39">
        <v>4.65983224604E-4</v>
      </c>
    </row>
    <row r="80" spans="2:5" x14ac:dyDescent="0.35">
      <c r="B80" s="75"/>
      <c r="C80" s="37" t="s">
        <v>114</v>
      </c>
      <c r="D80" s="38">
        <v>1</v>
      </c>
      <c r="E80" s="39">
        <v>4.65983224604E-4</v>
      </c>
    </row>
    <row r="81" spans="2:5" x14ac:dyDescent="0.35">
      <c r="B81" s="75"/>
      <c r="C81" s="37" t="s">
        <v>116</v>
      </c>
      <c r="D81" s="38">
        <v>1</v>
      </c>
      <c r="E81" s="39">
        <v>4.65983224604E-4</v>
      </c>
    </row>
    <row r="82" spans="2:5" x14ac:dyDescent="0.35">
      <c r="B82" s="75"/>
      <c r="C82" s="37" t="s">
        <v>117</v>
      </c>
      <c r="D82" s="38">
        <v>1</v>
      </c>
      <c r="E82" s="39">
        <v>4.65983224604E-4</v>
      </c>
    </row>
    <row r="83" spans="2:5" x14ac:dyDescent="0.35">
      <c r="B83" s="75"/>
      <c r="C83" s="37" t="s">
        <v>118</v>
      </c>
      <c r="D83" s="38">
        <v>12</v>
      </c>
      <c r="E83" s="39">
        <v>5.591798695247E-3</v>
      </c>
    </row>
    <row r="84" spans="2:5" x14ac:dyDescent="0.35">
      <c r="B84" s="75"/>
      <c r="C84" s="37" t="s">
        <v>122</v>
      </c>
      <c r="D84" s="38">
        <v>13</v>
      </c>
      <c r="E84" s="39">
        <v>6.057781919851E-3</v>
      </c>
    </row>
    <row r="85" spans="2:5" x14ac:dyDescent="0.35">
      <c r="B85" s="75"/>
      <c r="C85" s="37" t="s">
        <v>123</v>
      </c>
      <c r="D85" s="38">
        <v>2</v>
      </c>
      <c r="E85" s="39">
        <v>9.3196644920800001E-4</v>
      </c>
    </row>
    <row r="86" spans="2:5" x14ac:dyDescent="0.35">
      <c r="B86" s="75"/>
      <c r="C86" s="37" t="s">
        <v>83</v>
      </c>
      <c r="D86" s="38">
        <v>3</v>
      </c>
      <c r="E86" s="39">
        <v>1.397949673812E-3</v>
      </c>
    </row>
    <row r="87" spans="2:5" x14ac:dyDescent="0.35">
      <c r="B87" s="75"/>
      <c r="C87" s="37" t="s">
        <v>125</v>
      </c>
      <c r="D87" s="38">
        <v>1</v>
      </c>
      <c r="E87" s="39">
        <v>4.65983224604E-4</v>
      </c>
    </row>
    <row r="88" spans="2:5" x14ac:dyDescent="0.35">
      <c r="B88" s="75"/>
      <c r="C88" s="37" t="s">
        <v>126</v>
      </c>
      <c r="D88" s="38">
        <v>1</v>
      </c>
      <c r="E88" s="39">
        <v>4.65983224604E-4</v>
      </c>
    </row>
    <row r="89" spans="2:5" x14ac:dyDescent="0.35">
      <c r="B89" s="74"/>
      <c r="C89" s="15" t="s">
        <v>25</v>
      </c>
      <c r="D89" s="16">
        <v>225</v>
      </c>
      <c r="E89" s="17">
        <v>0.10484622553588099</v>
      </c>
    </row>
    <row r="90" spans="2:5" x14ac:dyDescent="0.35">
      <c r="B90" s="73" t="s">
        <v>227</v>
      </c>
      <c r="C90" s="37" t="s">
        <v>91</v>
      </c>
      <c r="D90" s="38">
        <v>15</v>
      </c>
      <c r="E90" s="39">
        <v>6.989748369059E-3</v>
      </c>
    </row>
    <row r="91" spans="2:5" x14ac:dyDescent="0.35">
      <c r="B91" s="75"/>
      <c r="C91" s="37" t="s">
        <v>95</v>
      </c>
      <c r="D91" s="38">
        <v>2</v>
      </c>
      <c r="E91" s="39">
        <v>9.3196644920800001E-4</v>
      </c>
    </row>
    <row r="92" spans="2:5" x14ac:dyDescent="0.35">
      <c r="B92" s="75"/>
      <c r="C92" s="37" t="s">
        <v>111</v>
      </c>
      <c r="D92" s="38">
        <v>1</v>
      </c>
      <c r="E92" s="39">
        <v>4.65983224604E-4</v>
      </c>
    </row>
    <row r="93" spans="2:5" x14ac:dyDescent="0.35">
      <c r="B93" s="75"/>
      <c r="C93" s="37" t="s">
        <v>117</v>
      </c>
      <c r="D93" s="38">
        <v>1</v>
      </c>
      <c r="E93" s="39">
        <v>4.65983224604E-4</v>
      </c>
    </row>
    <row r="94" spans="2:5" x14ac:dyDescent="0.35">
      <c r="B94" s="75"/>
      <c r="C94" s="37" t="s">
        <v>118</v>
      </c>
      <c r="D94" s="38">
        <v>4</v>
      </c>
      <c r="E94" s="39">
        <v>1.863932898416E-3</v>
      </c>
    </row>
    <row r="95" spans="2:5" x14ac:dyDescent="0.35">
      <c r="B95" s="75"/>
      <c r="C95" s="37" t="s">
        <v>122</v>
      </c>
      <c r="D95" s="38">
        <v>2</v>
      </c>
      <c r="E95" s="39">
        <v>9.3196644920800001E-4</v>
      </c>
    </row>
    <row r="96" spans="2:5" x14ac:dyDescent="0.35">
      <c r="B96" s="74"/>
      <c r="C96" s="15" t="s">
        <v>25</v>
      </c>
      <c r="D96" s="16">
        <v>25</v>
      </c>
      <c r="E96" s="17">
        <v>1.1649580615098E-2</v>
      </c>
    </row>
    <row r="97" spans="2:5" x14ac:dyDescent="0.35">
      <c r="B97" s="73" t="s">
        <v>228</v>
      </c>
      <c r="C97" s="37" t="s">
        <v>90</v>
      </c>
      <c r="D97" s="38">
        <v>2</v>
      </c>
      <c r="E97" s="39">
        <v>9.3196644920800001E-4</v>
      </c>
    </row>
    <row r="98" spans="2:5" x14ac:dyDescent="0.35">
      <c r="B98" s="75"/>
      <c r="C98" s="37" t="s">
        <v>91</v>
      </c>
      <c r="D98" s="38">
        <v>27</v>
      </c>
      <c r="E98" s="39">
        <v>1.2581547064306E-2</v>
      </c>
    </row>
    <row r="99" spans="2:5" x14ac:dyDescent="0.35">
      <c r="B99" s="75"/>
      <c r="C99" s="37" t="s">
        <v>95</v>
      </c>
      <c r="D99" s="38">
        <v>1</v>
      </c>
      <c r="E99" s="39">
        <v>4.65983224604E-4</v>
      </c>
    </row>
    <row r="100" spans="2:5" x14ac:dyDescent="0.35">
      <c r="B100" s="75"/>
      <c r="C100" s="37" t="s">
        <v>111</v>
      </c>
      <c r="D100" s="38">
        <v>3</v>
      </c>
      <c r="E100" s="39">
        <v>1.397949673812E-3</v>
      </c>
    </row>
    <row r="101" spans="2:5" x14ac:dyDescent="0.35">
      <c r="B101" s="75"/>
      <c r="C101" s="37" t="s">
        <v>112</v>
      </c>
      <c r="D101" s="38">
        <v>1</v>
      </c>
      <c r="E101" s="39">
        <v>4.65983224604E-4</v>
      </c>
    </row>
    <row r="102" spans="2:5" x14ac:dyDescent="0.35">
      <c r="B102" s="75"/>
      <c r="C102" s="37" t="s">
        <v>115</v>
      </c>
      <c r="D102" s="38">
        <v>1</v>
      </c>
      <c r="E102" s="39">
        <v>4.65983224604E-4</v>
      </c>
    </row>
    <row r="103" spans="2:5" x14ac:dyDescent="0.35">
      <c r="B103" s="75"/>
      <c r="C103" s="37" t="s">
        <v>118</v>
      </c>
      <c r="D103" s="38">
        <v>3</v>
      </c>
      <c r="E103" s="39">
        <v>1.397949673812E-3</v>
      </c>
    </row>
    <row r="104" spans="2:5" x14ac:dyDescent="0.35">
      <c r="B104" s="75"/>
      <c r="C104" s="37" t="s">
        <v>83</v>
      </c>
      <c r="D104" s="38">
        <v>2</v>
      </c>
      <c r="E104" s="39">
        <v>9.3196644920800001E-4</v>
      </c>
    </row>
    <row r="105" spans="2:5" x14ac:dyDescent="0.35">
      <c r="B105" s="74"/>
      <c r="C105" s="15" t="s">
        <v>25</v>
      </c>
      <c r="D105" s="16">
        <v>40</v>
      </c>
      <c r="E105" s="17">
        <v>1.8639328984156999E-2</v>
      </c>
    </row>
    <row r="106" spans="2:5" x14ac:dyDescent="0.35">
      <c r="B106" s="73" t="s">
        <v>229</v>
      </c>
      <c r="C106" s="37" t="s">
        <v>90</v>
      </c>
      <c r="D106" s="38">
        <v>2</v>
      </c>
      <c r="E106" s="39">
        <v>9.3196644920800001E-4</v>
      </c>
    </row>
    <row r="107" spans="2:5" x14ac:dyDescent="0.35">
      <c r="B107" s="75"/>
      <c r="C107" s="37" t="s">
        <v>91</v>
      </c>
      <c r="D107" s="38">
        <v>66</v>
      </c>
      <c r="E107" s="39">
        <v>3.0754892823858002E-2</v>
      </c>
    </row>
    <row r="108" spans="2:5" x14ac:dyDescent="0.35">
      <c r="B108" s="75"/>
      <c r="C108" s="37" t="s">
        <v>92</v>
      </c>
      <c r="D108" s="38">
        <v>3</v>
      </c>
      <c r="E108" s="39">
        <v>1.397949673812E-3</v>
      </c>
    </row>
    <row r="109" spans="2:5" x14ac:dyDescent="0.35">
      <c r="B109" s="75"/>
      <c r="C109" s="37" t="s">
        <v>95</v>
      </c>
      <c r="D109" s="38">
        <v>2</v>
      </c>
      <c r="E109" s="39">
        <v>9.3196644920800001E-4</v>
      </c>
    </row>
    <row r="110" spans="2:5" x14ac:dyDescent="0.35">
      <c r="B110" s="75"/>
      <c r="C110" s="37" t="s">
        <v>101</v>
      </c>
      <c r="D110" s="38">
        <v>1</v>
      </c>
      <c r="E110" s="39">
        <v>4.65983224604E-4</v>
      </c>
    </row>
    <row r="111" spans="2:5" x14ac:dyDescent="0.35">
      <c r="B111" s="75"/>
      <c r="C111" s="37" t="s">
        <v>109</v>
      </c>
      <c r="D111" s="38">
        <v>1</v>
      </c>
      <c r="E111" s="39">
        <v>4.65983224604E-4</v>
      </c>
    </row>
    <row r="112" spans="2:5" x14ac:dyDescent="0.35">
      <c r="B112" s="75"/>
      <c r="C112" s="37" t="s">
        <v>111</v>
      </c>
      <c r="D112" s="38">
        <v>5</v>
      </c>
      <c r="E112" s="39">
        <v>2.32991612302E-3</v>
      </c>
    </row>
    <row r="113" spans="2:5" x14ac:dyDescent="0.35">
      <c r="B113" s="75"/>
      <c r="C113" s="37" t="s">
        <v>115</v>
      </c>
      <c r="D113" s="38">
        <v>2</v>
      </c>
      <c r="E113" s="39">
        <v>9.3196644920800001E-4</v>
      </c>
    </row>
    <row r="114" spans="2:5" x14ac:dyDescent="0.35">
      <c r="B114" s="75"/>
      <c r="C114" s="37" t="s">
        <v>118</v>
      </c>
      <c r="D114" s="38">
        <v>1</v>
      </c>
      <c r="E114" s="39">
        <v>4.65983224604E-4</v>
      </c>
    </row>
    <row r="115" spans="2:5" x14ac:dyDescent="0.35">
      <c r="B115" s="75"/>
      <c r="C115" s="37" t="s">
        <v>122</v>
      </c>
      <c r="D115" s="38">
        <v>9</v>
      </c>
      <c r="E115" s="39">
        <v>4.193849021435E-3</v>
      </c>
    </row>
    <row r="116" spans="2:5" x14ac:dyDescent="0.35">
      <c r="B116" s="75"/>
      <c r="C116" s="37" t="s">
        <v>123</v>
      </c>
      <c r="D116" s="38">
        <v>1</v>
      </c>
      <c r="E116" s="39">
        <v>4.65983224604E-4</v>
      </c>
    </row>
    <row r="117" spans="2:5" x14ac:dyDescent="0.35">
      <c r="B117" s="74"/>
      <c r="C117" s="15" t="s">
        <v>25</v>
      </c>
      <c r="D117" s="16">
        <v>93</v>
      </c>
      <c r="E117" s="17">
        <v>4.3336439888163998E-2</v>
      </c>
    </row>
    <row r="118" spans="2:5" x14ac:dyDescent="0.35">
      <c r="B118" s="73" t="s">
        <v>230</v>
      </c>
      <c r="C118" s="37" t="s">
        <v>88</v>
      </c>
      <c r="D118" s="38">
        <v>2</v>
      </c>
      <c r="E118" s="39">
        <v>9.3196644920800001E-4</v>
      </c>
    </row>
    <row r="119" spans="2:5" x14ac:dyDescent="0.35">
      <c r="B119" s="75"/>
      <c r="C119" s="37" t="s">
        <v>89</v>
      </c>
      <c r="D119" s="38">
        <v>2</v>
      </c>
      <c r="E119" s="39">
        <v>9.3196644920800001E-4</v>
      </c>
    </row>
    <row r="120" spans="2:5" x14ac:dyDescent="0.35">
      <c r="B120" s="75"/>
      <c r="C120" s="37" t="s">
        <v>90</v>
      </c>
      <c r="D120" s="38">
        <v>9</v>
      </c>
      <c r="E120" s="39">
        <v>4.193849021435E-3</v>
      </c>
    </row>
    <row r="121" spans="2:5" x14ac:dyDescent="0.35">
      <c r="B121" s="75"/>
      <c r="C121" s="37" t="s">
        <v>91</v>
      </c>
      <c r="D121" s="38">
        <v>461</v>
      </c>
      <c r="E121" s="39">
        <v>0.21481826654240399</v>
      </c>
    </row>
    <row r="122" spans="2:5" x14ac:dyDescent="0.35">
      <c r="B122" s="75"/>
      <c r="C122" s="37" t="s">
        <v>92</v>
      </c>
      <c r="D122" s="38">
        <v>20</v>
      </c>
      <c r="E122" s="39">
        <v>9.3196644920779999E-3</v>
      </c>
    </row>
    <row r="123" spans="2:5" x14ac:dyDescent="0.35">
      <c r="B123" s="75"/>
      <c r="C123" s="37" t="s">
        <v>95</v>
      </c>
      <c r="D123" s="38">
        <v>3</v>
      </c>
      <c r="E123" s="39">
        <v>1.397949673812E-3</v>
      </c>
    </row>
    <row r="124" spans="2:5" x14ac:dyDescent="0.35">
      <c r="B124" s="75"/>
      <c r="C124" s="37" t="s">
        <v>96</v>
      </c>
      <c r="D124" s="38">
        <v>2</v>
      </c>
      <c r="E124" s="39">
        <v>9.3196644920800001E-4</v>
      </c>
    </row>
    <row r="125" spans="2:5" x14ac:dyDescent="0.35">
      <c r="B125" s="75"/>
      <c r="C125" s="37" t="s">
        <v>97</v>
      </c>
      <c r="D125" s="38">
        <v>1</v>
      </c>
      <c r="E125" s="39">
        <v>4.65983224604E-4</v>
      </c>
    </row>
    <row r="126" spans="2:5" x14ac:dyDescent="0.35">
      <c r="B126" s="75"/>
      <c r="C126" s="37" t="s">
        <v>98</v>
      </c>
      <c r="D126" s="38">
        <v>8</v>
      </c>
      <c r="E126" s="39">
        <v>3.727865796831E-3</v>
      </c>
    </row>
    <row r="127" spans="2:5" x14ac:dyDescent="0.35">
      <c r="B127" s="75"/>
      <c r="C127" s="37" t="s">
        <v>99</v>
      </c>
      <c r="D127" s="38">
        <v>3</v>
      </c>
      <c r="E127" s="39">
        <v>1.397949673812E-3</v>
      </c>
    </row>
    <row r="128" spans="2:5" x14ac:dyDescent="0.35">
      <c r="B128" s="75"/>
      <c r="C128" s="37" t="s">
        <v>101</v>
      </c>
      <c r="D128" s="38">
        <v>4</v>
      </c>
      <c r="E128" s="39">
        <v>1.863932898416E-3</v>
      </c>
    </row>
    <row r="129" spans="2:5" x14ac:dyDescent="0.35">
      <c r="B129" s="75"/>
      <c r="C129" s="37" t="s">
        <v>102</v>
      </c>
      <c r="D129" s="38">
        <v>1</v>
      </c>
      <c r="E129" s="39">
        <v>4.65983224604E-4</v>
      </c>
    </row>
    <row r="130" spans="2:5" x14ac:dyDescent="0.35">
      <c r="B130" s="75"/>
      <c r="C130" s="37" t="s">
        <v>103</v>
      </c>
      <c r="D130" s="38">
        <v>3</v>
      </c>
      <c r="E130" s="39">
        <v>1.397949673812E-3</v>
      </c>
    </row>
    <row r="131" spans="2:5" x14ac:dyDescent="0.35">
      <c r="B131" s="75"/>
      <c r="C131" s="37" t="s">
        <v>104</v>
      </c>
      <c r="D131" s="38">
        <v>1</v>
      </c>
      <c r="E131" s="39">
        <v>4.65983224604E-4</v>
      </c>
    </row>
    <row r="132" spans="2:5" x14ac:dyDescent="0.35">
      <c r="B132" s="75"/>
      <c r="C132" s="37" t="s">
        <v>105</v>
      </c>
      <c r="D132" s="38">
        <v>3</v>
      </c>
      <c r="E132" s="39">
        <v>1.397949673812E-3</v>
      </c>
    </row>
    <row r="133" spans="2:5" x14ac:dyDescent="0.35">
      <c r="B133" s="75"/>
      <c r="C133" s="37" t="s">
        <v>106</v>
      </c>
      <c r="D133" s="38">
        <v>3</v>
      </c>
      <c r="E133" s="39">
        <v>1.397949673812E-3</v>
      </c>
    </row>
    <row r="134" spans="2:5" x14ac:dyDescent="0.35">
      <c r="B134" s="75"/>
      <c r="C134" s="37" t="s">
        <v>107</v>
      </c>
      <c r="D134" s="38">
        <v>3</v>
      </c>
      <c r="E134" s="39">
        <v>1.397949673812E-3</v>
      </c>
    </row>
    <row r="135" spans="2:5" x14ac:dyDescent="0.35">
      <c r="B135" s="75"/>
      <c r="C135" s="37" t="s">
        <v>109</v>
      </c>
      <c r="D135" s="38">
        <v>7</v>
      </c>
      <c r="E135" s="39">
        <v>3.261882572227E-3</v>
      </c>
    </row>
    <row r="136" spans="2:5" x14ac:dyDescent="0.35">
      <c r="B136" s="75"/>
      <c r="C136" s="37" t="s">
        <v>111</v>
      </c>
      <c r="D136" s="38">
        <v>16</v>
      </c>
      <c r="E136" s="39">
        <v>7.455731593663E-3</v>
      </c>
    </row>
    <row r="137" spans="2:5" x14ac:dyDescent="0.35">
      <c r="B137" s="75"/>
      <c r="C137" s="37" t="s">
        <v>112</v>
      </c>
      <c r="D137" s="38">
        <v>2</v>
      </c>
      <c r="E137" s="39">
        <v>9.3196644920800001E-4</v>
      </c>
    </row>
    <row r="138" spans="2:5" x14ac:dyDescent="0.35">
      <c r="B138" s="75"/>
      <c r="C138" s="37" t="s">
        <v>114</v>
      </c>
      <c r="D138" s="38">
        <v>3</v>
      </c>
      <c r="E138" s="39">
        <v>1.397949673812E-3</v>
      </c>
    </row>
    <row r="139" spans="2:5" x14ac:dyDescent="0.35">
      <c r="B139" s="75"/>
      <c r="C139" s="37" t="s">
        <v>115</v>
      </c>
      <c r="D139" s="38">
        <v>7</v>
      </c>
      <c r="E139" s="39">
        <v>3.261882572227E-3</v>
      </c>
    </row>
    <row r="140" spans="2:5" x14ac:dyDescent="0.35">
      <c r="B140" s="75"/>
      <c r="C140" s="37" t="s">
        <v>117</v>
      </c>
      <c r="D140" s="38">
        <v>6</v>
      </c>
      <c r="E140" s="39">
        <v>2.795899347623E-3</v>
      </c>
    </row>
    <row r="141" spans="2:5" x14ac:dyDescent="0.35">
      <c r="B141" s="75"/>
      <c r="C141" s="37" t="s">
        <v>118</v>
      </c>
      <c r="D141" s="38">
        <v>10</v>
      </c>
      <c r="E141" s="39">
        <v>4.659832246039E-3</v>
      </c>
    </row>
    <row r="142" spans="2:5" x14ac:dyDescent="0.35">
      <c r="B142" s="75"/>
      <c r="C142" s="37" t="s">
        <v>119</v>
      </c>
      <c r="D142" s="38">
        <v>2</v>
      </c>
      <c r="E142" s="39">
        <v>9.3196644920800001E-4</v>
      </c>
    </row>
    <row r="143" spans="2:5" x14ac:dyDescent="0.35">
      <c r="B143" s="75"/>
      <c r="C143" s="37" t="s">
        <v>120</v>
      </c>
      <c r="D143" s="38">
        <v>2</v>
      </c>
      <c r="E143" s="39">
        <v>9.3196644920800001E-4</v>
      </c>
    </row>
    <row r="144" spans="2:5" x14ac:dyDescent="0.35">
      <c r="B144" s="75"/>
      <c r="C144" s="37" t="s">
        <v>121</v>
      </c>
      <c r="D144" s="38">
        <v>3</v>
      </c>
      <c r="E144" s="39">
        <v>1.397949673812E-3</v>
      </c>
    </row>
    <row r="145" spans="2:5" x14ac:dyDescent="0.35">
      <c r="B145" s="75"/>
      <c r="C145" s="37" t="s">
        <v>122</v>
      </c>
      <c r="D145" s="38">
        <v>76</v>
      </c>
      <c r="E145" s="39">
        <v>3.5414725069896999E-2</v>
      </c>
    </row>
    <row r="146" spans="2:5" x14ac:dyDescent="0.35">
      <c r="B146" s="75"/>
      <c r="C146" s="37" t="s">
        <v>123</v>
      </c>
      <c r="D146" s="38">
        <v>3</v>
      </c>
      <c r="E146" s="39">
        <v>1.397949673812E-3</v>
      </c>
    </row>
    <row r="147" spans="2:5" x14ac:dyDescent="0.35">
      <c r="B147" s="75"/>
      <c r="C147" s="37" t="s">
        <v>124</v>
      </c>
      <c r="D147" s="38">
        <v>1</v>
      </c>
      <c r="E147" s="39">
        <v>4.65983224604E-4</v>
      </c>
    </row>
    <row r="148" spans="2:5" x14ac:dyDescent="0.35">
      <c r="B148" s="75"/>
      <c r="C148" s="37" t="s">
        <v>83</v>
      </c>
      <c r="D148" s="38">
        <v>8</v>
      </c>
      <c r="E148" s="39">
        <v>3.727865796831E-3</v>
      </c>
    </row>
    <row r="149" spans="2:5" x14ac:dyDescent="0.35">
      <c r="B149" s="75"/>
      <c r="C149" s="37" t="s">
        <v>125</v>
      </c>
      <c r="D149" s="38">
        <v>3</v>
      </c>
      <c r="E149" s="39">
        <v>1.397949673812E-3</v>
      </c>
    </row>
    <row r="150" spans="2:5" x14ac:dyDescent="0.35">
      <c r="B150" s="74"/>
      <c r="C150" s="15" t="s">
        <v>25</v>
      </c>
      <c r="D150" s="16">
        <v>678</v>
      </c>
      <c r="E150" s="17">
        <v>0.31593662628145402</v>
      </c>
    </row>
    <row r="151" spans="2:5" x14ac:dyDescent="0.35">
      <c r="B151" s="73" t="s">
        <v>231</v>
      </c>
      <c r="C151" s="37" t="s">
        <v>90</v>
      </c>
      <c r="D151" s="38">
        <v>1</v>
      </c>
      <c r="E151" s="39">
        <v>4.65983224604E-4</v>
      </c>
    </row>
    <row r="152" spans="2:5" x14ac:dyDescent="0.35">
      <c r="B152" s="75"/>
      <c r="C152" s="37" t="s">
        <v>91</v>
      </c>
      <c r="D152" s="38">
        <v>28</v>
      </c>
      <c r="E152" s="39">
        <v>1.304753028891E-2</v>
      </c>
    </row>
    <row r="153" spans="2:5" x14ac:dyDescent="0.35">
      <c r="B153" s="75"/>
      <c r="C153" s="37" t="s">
        <v>92</v>
      </c>
      <c r="D153" s="38">
        <v>1</v>
      </c>
      <c r="E153" s="39">
        <v>4.65983224604E-4</v>
      </c>
    </row>
    <row r="154" spans="2:5" x14ac:dyDescent="0.35">
      <c r="B154" s="75"/>
      <c r="C154" s="37" t="s">
        <v>94</v>
      </c>
      <c r="D154" s="38">
        <v>1</v>
      </c>
      <c r="E154" s="39">
        <v>4.65983224604E-4</v>
      </c>
    </row>
    <row r="155" spans="2:5" x14ac:dyDescent="0.35">
      <c r="B155" s="75"/>
      <c r="C155" s="37" t="s">
        <v>97</v>
      </c>
      <c r="D155" s="38">
        <v>1</v>
      </c>
      <c r="E155" s="39">
        <v>4.65983224604E-4</v>
      </c>
    </row>
    <row r="156" spans="2:5" x14ac:dyDescent="0.35">
      <c r="B156" s="75"/>
      <c r="C156" s="37" t="s">
        <v>98</v>
      </c>
      <c r="D156" s="38">
        <v>1</v>
      </c>
      <c r="E156" s="39">
        <v>4.65983224604E-4</v>
      </c>
    </row>
    <row r="157" spans="2:5" x14ac:dyDescent="0.35">
      <c r="B157" s="75"/>
      <c r="C157" s="37" t="s">
        <v>111</v>
      </c>
      <c r="D157" s="38">
        <v>1</v>
      </c>
      <c r="E157" s="39">
        <v>4.65983224604E-4</v>
      </c>
    </row>
    <row r="158" spans="2:5" x14ac:dyDescent="0.35">
      <c r="B158" s="75"/>
      <c r="C158" s="37" t="s">
        <v>114</v>
      </c>
      <c r="D158" s="38">
        <v>1</v>
      </c>
      <c r="E158" s="39">
        <v>4.65983224604E-4</v>
      </c>
    </row>
    <row r="159" spans="2:5" x14ac:dyDescent="0.35">
      <c r="B159" s="75"/>
      <c r="C159" s="37" t="s">
        <v>116</v>
      </c>
      <c r="D159" s="38">
        <v>1</v>
      </c>
      <c r="E159" s="39">
        <v>4.65983224604E-4</v>
      </c>
    </row>
    <row r="160" spans="2:5" x14ac:dyDescent="0.35">
      <c r="B160" s="75"/>
      <c r="C160" s="37" t="s">
        <v>118</v>
      </c>
      <c r="D160" s="38">
        <v>1</v>
      </c>
      <c r="E160" s="39">
        <v>4.65983224604E-4</v>
      </c>
    </row>
    <row r="161" spans="2:5" x14ac:dyDescent="0.35">
      <c r="B161" s="75"/>
      <c r="C161" s="37" t="s">
        <v>122</v>
      </c>
      <c r="D161" s="38">
        <v>5</v>
      </c>
      <c r="E161" s="39">
        <v>2.32991612302E-3</v>
      </c>
    </row>
    <row r="162" spans="2:5" x14ac:dyDescent="0.35">
      <c r="B162" s="75"/>
      <c r="C162" s="37" t="s">
        <v>83</v>
      </c>
      <c r="D162" s="38">
        <v>2</v>
      </c>
      <c r="E162" s="39">
        <v>9.3196644920800001E-4</v>
      </c>
    </row>
    <row r="163" spans="2:5" x14ac:dyDescent="0.35">
      <c r="B163" s="75"/>
      <c r="C163" s="37" t="s">
        <v>126</v>
      </c>
      <c r="D163" s="38">
        <v>1</v>
      </c>
      <c r="E163" s="39">
        <v>4.65983224604E-4</v>
      </c>
    </row>
    <row r="164" spans="2:5" x14ac:dyDescent="0.35">
      <c r="B164" s="74"/>
      <c r="C164" s="15" t="s">
        <v>25</v>
      </c>
      <c r="D164" s="16">
        <v>45</v>
      </c>
      <c r="E164" s="17">
        <v>2.0969245107176002E-2</v>
      </c>
    </row>
    <row r="165" spans="2:5" x14ac:dyDescent="0.35">
      <c r="B165" s="73" t="s">
        <v>232</v>
      </c>
      <c r="C165" s="37" t="s">
        <v>90</v>
      </c>
      <c r="D165" s="38">
        <v>2</v>
      </c>
      <c r="E165" s="39">
        <v>9.3196644920800001E-4</v>
      </c>
    </row>
    <row r="166" spans="2:5" x14ac:dyDescent="0.35">
      <c r="B166" s="75"/>
      <c r="C166" s="37" t="s">
        <v>91</v>
      </c>
      <c r="D166" s="38">
        <v>56</v>
      </c>
      <c r="E166" s="39">
        <v>2.6095060577819001E-2</v>
      </c>
    </row>
    <row r="167" spans="2:5" x14ac:dyDescent="0.35">
      <c r="B167" s="75"/>
      <c r="C167" s="37" t="s">
        <v>92</v>
      </c>
      <c r="D167" s="38">
        <v>5</v>
      </c>
      <c r="E167" s="39">
        <v>2.32991612302E-3</v>
      </c>
    </row>
    <row r="168" spans="2:5" x14ac:dyDescent="0.35">
      <c r="B168" s="75"/>
      <c r="C168" s="37" t="s">
        <v>95</v>
      </c>
      <c r="D168" s="38">
        <v>1</v>
      </c>
      <c r="E168" s="39">
        <v>4.65983224604E-4</v>
      </c>
    </row>
    <row r="169" spans="2:5" x14ac:dyDescent="0.35">
      <c r="B169" s="75"/>
      <c r="C169" s="37" t="s">
        <v>96</v>
      </c>
      <c r="D169" s="38">
        <v>1</v>
      </c>
      <c r="E169" s="39">
        <v>4.65983224604E-4</v>
      </c>
    </row>
    <row r="170" spans="2:5" x14ac:dyDescent="0.35">
      <c r="B170" s="75"/>
      <c r="C170" s="37" t="s">
        <v>101</v>
      </c>
      <c r="D170" s="38">
        <v>1</v>
      </c>
      <c r="E170" s="39">
        <v>4.65983224604E-4</v>
      </c>
    </row>
    <row r="171" spans="2:5" x14ac:dyDescent="0.35">
      <c r="B171" s="75"/>
      <c r="C171" s="37" t="s">
        <v>111</v>
      </c>
      <c r="D171" s="38">
        <v>2</v>
      </c>
      <c r="E171" s="39">
        <v>9.3196644920800001E-4</v>
      </c>
    </row>
    <row r="172" spans="2:5" x14ac:dyDescent="0.35">
      <c r="B172" s="75"/>
      <c r="C172" s="37" t="s">
        <v>118</v>
      </c>
      <c r="D172" s="38">
        <v>7</v>
      </c>
      <c r="E172" s="39">
        <v>3.261882572227E-3</v>
      </c>
    </row>
    <row r="173" spans="2:5" x14ac:dyDescent="0.35">
      <c r="B173" s="75"/>
      <c r="C173" s="37" t="s">
        <v>119</v>
      </c>
      <c r="D173" s="38">
        <v>1</v>
      </c>
      <c r="E173" s="39">
        <v>4.65983224604E-4</v>
      </c>
    </row>
    <row r="174" spans="2:5" x14ac:dyDescent="0.35">
      <c r="B174" s="75"/>
      <c r="C174" s="37" t="s">
        <v>122</v>
      </c>
      <c r="D174" s="38">
        <v>12</v>
      </c>
      <c r="E174" s="39">
        <v>5.591798695247E-3</v>
      </c>
    </row>
    <row r="175" spans="2:5" x14ac:dyDescent="0.35">
      <c r="B175" s="75"/>
      <c r="C175" s="37" t="s">
        <v>123</v>
      </c>
      <c r="D175" s="38">
        <v>2</v>
      </c>
      <c r="E175" s="39">
        <v>9.3196644920800001E-4</v>
      </c>
    </row>
    <row r="176" spans="2:5" x14ac:dyDescent="0.35">
      <c r="B176" s="75"/>
      <c r="C176" s="37" t="s">
        <v>83</v>
      </c>
      <c r="D176" s="38">
        <v>3</v>
      </c>
      <c r="E176" s="39">
        <v>1.397949673812E-3</v>
      </c>
    </row>
    <row r="177" spans="2:5" x14ac:dyDescent="0.35">
      <c r="B177" s="75"/>
      <c r="C177" s="37" t="s">
        <v>125</v>
      </c>
      <c r="D177" s="38">
        <v>1</v>
      </c>
      <c r="E177" s="39">
        <v>4.65983224604E-4</v>
      </c>
    </row>
    <row r="178" spans="2:5" x14ac:dyDescent="0.35">
      <c r="B178" s="75"/>
      <c r="C178" s="37" t="s">
        <v>126</v>
      </c>
      <c r="D178" s="38">
        <v>1</v>
      </c>
      <c r="E178" s="39">
        <v>4.65983224604E-4</v>
      </c>
    </row>
    <row r="179" spans="2:5" x14ac:dyDescent="0.35">
      <c r="B179" s="74"/>
      <c r="C179" s="15" t="s">
        <v>25</v>
      </c>
      <c r="D179" s="16">
        <v>95</v>
      </c>
      <c r="E179" s="17">
        <v>4.4268406337372002E-2</v>
      </c>
    </row>
    <row r="180" spans="2:5" x14ac:dyDescent="0.35">
      <c r="B180" s="73" t="s">
        <v>233</v>
      </c>
      <c r="C180" s="37" t="s">
        <v>88</v>
      </c>
      <c r="D180" s="38">
        <v>2</v>
      </c>
      <c r="E180" s="39">
        <v>9.3196644920800001E-4</v>
      </c>
    </row>
    <row r="181" spans="2:5" x14ac:dyDescent="0.35">
      <c r="B181" s="75"/>
      <c r="C181" s="37" t="s">
        <v>89</v>
      </c>
      <c r="D181" s="38">
        <v>2</v>
      </c>
      <c r="E181" s="39">
        <v>9.3196644920800001E-4</v>
      </c>
    </row>
    <row r="182" spans="2:5" x14ac:dyDescent="0.35">
      <c r="B182" s="75"/>
      <c r="C182" s="37" t="s">
        <v>90</v>
      </c>
      <c r="D182" s="38">
        <v>5</v>
      </c>
      <c r="E182" s="39">
        <v>2.32991612302E-3</v>
      </c>
    </row>
    <row r="183" spans="2:5" x14ac:dyDescent="0.35">
      <c r="B183" s="75"/>
      <c r="C183" s="37" t="s">
        <v>91</v>
      </c>
      <c r="D183" s="38">
        <v>234</v>
      </c>
      <c r="E183" s="39">
        <v>0.109040074557316</v>
      </c>
    </row>
    <row r="184" spans="2:5" x14ac:dyDescent="0.35">
      <c r="B184" s="75"/>
      <c r="C184" s="37" t="s">
        <v>92</v>
      </c>
      <c r="D184" s="38">
        <v>22</v>
      </c>
      <c r="E184" s="39">
        <v>1.0251630941286E-2</v>
      </c>
    </row>
    <row r="185" spans="2:5" x14ac:dyDescent="0.35">
      <c r="B185" s="75"/>
      <c r="C185" s="37" t="s">
        <v>95</v>
      </c>
      <c r="D185" s="38">
        <v>7</v>
      </c>
      <c r="E185" s="39">
        <v>3.261882572227E-3</v>
      </c>
    </row>
    <row r="186" spans="2:5" x14ac:dyDescent="0.35">
      <c r="B186" s="75"/>
      <c r="C186" s="37" t="s">
        <v>96</v>
      </c>
      <c r="D186" s="38">
        <v>3</v>
      </c>
      <c r="E186" s="39">
        <v>1.397949673812E-3</v>
      </c>
    </row>
    <row r="187" spans="2:5" x14ac:dyDescent="0.35">
      <c r="B187" s="75"/>
      <c r="C187" s="37" t="s">
        <v>97</v>
      </c>
      <c r="D187" s="38">
        <v>2</v>
      </c>
      <c r="E187" s="39">
        <v>9.3196644920800001E-4</v>
      </c>
    </row>
    <row r="188" spans="2:5" x14ac:dyDescent="0.35">
      <c r="B188" s="75"/>
      <c r="C188" s="37" t="s">
        <v>98</v>
      </c>
      <c r="D188" s="38">
        <v>6</v>
      </c>
      <c r="E188" s="39">
        <v>2.795899347623E-3</v>
      </c>
    </row>
    <row r="189" spans="2:5" x14ac:dyDescent="0.35">
      <c r="B189" s="75"/>
      <c r="C189" s="37" t="s">
        <v>99</v>
      </c>
      <c r="D189" s="38">
        <v>1</v>
      </c>
      <c r="E189" s="39">
        <v>4.65983224604E-4</v>
      </c>
    </row>
    <row r="190" spans="2:5" x14ac:dyDescent="0.35">
      <c r="B190" s="75"/>
      <c r="C190" s="37" t="s">
        <v>100</v>
      </c>
      <c r="D190" s="38">
        <v>1</v>
      </c>
      <c r="E190" s="39">
        <v>4.65983224604E-4</v>
      </c>
    </row>
    <row r="191" spans="2:5" x14ac:dyDescent="0.35">
      <c r="B191" s="75"/>
      <c r="C191" s="37" t="s">
        <v>101</v>
      </c>
      <c r="D191" s="38">
        <v>1</v>
      </c>
      <c r="E191" s="39">
        <v>4.65983224604E-4</v>
      </c>
    </row>
    <row r="192" spans="2:5" x14ac:dyDescent="0.35">
      <c r="B192" s="75"/>
      <c r="C192" s="37" t="s">
        <v>103</v>
      </c>
      <c r="D192" s="38">
        <v>1</v>
      </c>
      <c r="E192" s="39">
        <v>4.65983224604E-4</v>
      </c>
    </row>
    <row r="193" spans="2:5" x14ac:dyDescent="0.35">
      <c r="B193" s="75"/>
      <c r="C193" s="37" t="s">
        <v>105</v>
      </c>
      <c r="D193" s="38">
        <v>1</v>
      </c>
      <c r="E193" s="39">
        <v>4.65983224604E-4</v>
      </c>
    </row>
    <row r="194" spans="2:5" x14ac:dyDescent="0.35">
      <c r="B194" s="75"/>
      <c r="C194" s="37" t="s">
        <v>106</v>
      </c>
      <c r="D194" s="38">
        <v>1</v>
      </c>
      <c r="E194" s="39">
        <v>4.65983224604E-4</v>
      </c>
    </row>
    <row r="195" spans="2:5" x14ac:dyDescent="0.35">
      <c r="B195" s="75"/>
      <c r="C195" s="37" t="s">
        <v>107</v>
      </c>
      <c r="D195" s="38">
        <v>1</v>
      </c>
      <c r="E195" s="39">
        <v>4.65983224604E-4</v>
      </c>
    </row>
    <row r="196" spans="2:5" x14ac:dyDescent="0.35">
      <c r="B196" s="75"/>
      <c r="C196" s="37" t="s">
        <v>108</v>
      </c>
      <c r="D196" s="38">
        <v>1</v>
      </c>
      <c r="E196" s="39">
        <v>4.65983224604E-4</v>
      </c>
    </row>
    <row r="197" spans="2:5" x14ac:dyDescent="0.35">
      <c r="B197" s="75"/>
      <c r="C197" s="37" t="s">
        <v>109</v>
      </c>
      <c r="D197" s="38">
        <v>3</v>
      </c>
      <c r="E197" s="39">
        <v>1.397949673812E-3</v>
      </c>
    </row>
    <row r="198" spans="2:5" x14ac:dyDescent="0.35">
      <c r="B198" s="75"/>
      <c r="C198" s="37" t="s">
        <v>111</v>
      </c>
      <c r="D198" s="38">
        <v>13</v>
      </c>
      <c r="E198" s="39">
        <v>6.057781919851E-3</v>
      </c>
    </row>
    <row r="199" spans="2:5" x14ac:dyDescent="0.35">
      <c r="B199" s="75"/>
      <c r="C199" s="37" t="s">
        <v>112</v>
      </c>
      <c r="D199" s="38">
        <v>1</v>
      </c>
      <c r="E199" s="39">
        <v>4.65983224604E-4</v>
      </c>
    </row>
    <row r="200" spans="2:5" x14ac:dyDescent="0.35">
      <c r="B200" s="75"/>
      <c r="C200" s="37" t="s">
        <v>113</v>
      </c>
      <c r="D200" s="38">
        <v>1</v>
      </c>
      <c r="E200" s="39">
        <v>4.65983224604E-4</v>
      </c>
    </row>
    <row r="201" spans="2:5" x14ac:dyDescent="0.35">
      <c r="B201" s="75"/>
      <c r="C201" s="37" t="s">
        <v>115</v>
      </c>
      <c r="D201" s="38">
        <v>3</v>
      </c>
      <c r="E201" s="39">
        <v>1.397949673812E-3</v>
      </c>
    </row>
    <row r="202" spans="2:5" x14ac:dyDescent="0.35">
      <c r="B202" s="75"/>
      <c r="C202" s="37" t="s">
        <v>116</v>
      </c>
      <c r="D202" s="38">
        <v>2</v>
      </c>
      <c r="E202" s="39">
        <v>9.3196644920800001E-4</v>
      </c>
    </row>
    <row r="203" spans="2:5" x14ac:dyDescent="0.35">
      <c r="B203" s="75"/>
      <c r="C203" s="37" t="s">
        <v>117</v>
      </c>
      <c r="D203" s="38">
        <v>3</v>
      </c>
      <c r="E203" s="39">
        <v>1.397949673812E-3</v>
      </c>
    </row>
    <row r="204" spans="2:5" x14ac:dyDescent="0.35">
      <c r="B204" s="75"/>
      <c r="C204" s="37" t="s">
        <v>118</v>
      </c>
      <c r="D204" s="38">
        <v>9</v>
      </c>
      <c r="E204" s="39">
        <v>4.193849021435E-3</v>
      </c>
    </row>
    <row r="205" spans="2:5" x14ac:dyDescent="0.35">
      <c r="B205" s="75"/>
      <c r="C205" s="37" t="s">
        <v>120</v>
      </c>
      <c r="D205" s="38">
        <v>2</v>
      </c>
      <c r="E205" s="39">
        <v>9.3196644920800001E-4</v>
      </c>
    </row>
    <row r="206" spans="2:5" x14ac:dyDescent="0.35">
      <c r="B206" s="75"/>
      <c r="C206" s="37" t="s">
        <v>122</v>
      </c>
      <c r="D206" s="38">
        <v>46</v>
      </c>
      <c r="E206" s="39">
        <v>2.143522833178E-2</v>
      </c>
    </row>
    <row r="207" spans="2:5" x14ac:dyDescent="0.35">
      <c r="B207" s="75"/>
      <c r="C207" s="37" t="s">
        <v>123</v>
      </c>
      <c r="D207" s="38">
        <v>3</v>
      </c>
      <c r="E207" s="39">
        <v>1.397949673812E-3</v>
      </c>
    </row>
    <row r="208" spans="2:5" x14ac:dyDescent="0.35">
      <c r="B208" s="75"/>
      <c r="C208" s="37" t="s">
        <v>83</v>
      </c>
      <c r="D208" s="38">
        <v>7</v>
      </c>
      <c r="E208" s="39">
        <v>3.261882572227E-3</v>
      </c>
    </row>
    <row r="209" spans="2:5" x14ac:dyDescent="0.35">
      <c r="B209" s="75"/>
      <c r="C209" s="37" t="s">
        <v>125</v>
      </c>
      <c r="D209" s="38">
        <v>1</v>
      </c>
      <c r="E209" s="39">
        <v>4.65983224604E-4</v>
      </c>
    </row>
    <row r="210" spans="2:5" x14ac:dyDescent="0.35">
      <c r="B210" s="74"/>
      <c r="C210" s="15" t="s">
        <v>25</v>
      </c>
      <c r="D210" s="16">
        <v>385</v>
      </c>
      <c r="E210" s="17">
        <v>0.17940354147250701</v>
      </c>
    </row>
    <row r="211" spans="2:5" x14ac:dyDescent="0.35">
      <c r="B211" s="73" t="s">
        <v>234</v>
      </c>
      <c r="C211" s="37" t="s">
        <v>91</v>
      </c>
      <c r="D211" s="38">
        <v>3</v>
      </c>
      <c r="E211" s="39">
        <v>1.397949673812E-3</v>
      </c>
    </row>
    <row r="212" spans="2:5" x14ac:dyDescent="0.35">
      <c r="B212" s="75"/>
      <c r="C212" s="37" t="s">
        <v>92</v>
      </c>
      <c r="D212" s="38">
        <v>1</v>
      </c>
      <c r="E212" s="39">
        <v>4.65983224604E-4</v>
      </c>
    </row>
    <row r="213" spans="2:5" x14ac:dyDescent="0.35">
      <c r="B213" s="75"/>
      <c r="C213" s="37" t="s">
        <v>122</v>
      </c>
      <c r="D213" s="38">
        <v>1</v>
      </c>
      <c r="E213" s="39">
        <v>4.65983224604E-4</v>
      </c>
    </row>
    <row r="214" spans="2:5" x14ac:dyDescent="0.35">
      <c r="B214" s="74"/>
      <c r="C214" s="15" t="s">
        <v>25</v>
      </c>
      <c r="D214" s="16">
        <v>5</v>
      </c>
      <c r="E214" s="17">
        <v>2.32991612302E-3</v>
      </c>
    </row>
    <row r="215" spans="2:5" x14ac:dyDescent="0.35">
      <c r="B215" s="73" t="s">
        <v>235</v>
      </c>
      <c r="C215" s="37" t="s">
        <v>89</v>
      </c>
      <c r="D215" s="38">
        <v>1</v>
      </c>
      <c r="E215" s="39">
        <v>4.65983224604E-4</v>
      </c>
    </row>
    <row r="216" spans="2:5" x14ac:dyDescent="0.35">
      <c r="B216" s="75"/>
      <c r="C216" s="37" t="s">
        <v>91</v>
      </c>
      <c r="D216" s="38">
        <v>5</v>
      </c>
      <c r="E216" s="39">
        <v>2.32991612302E-3</v>
      </c>
    </row>
    <row r="217" spans="2:5" x14ac:dyDescent="0.35">
      <c r="B217" s="75"/>
      <c r="C217" s="37" t="s">
        <v>109</v>
      </c>
      <c r="D217" s="38">
        <v>1</v>
      </c>
      <c r="E217" s="39">
        <v>4.65983224604E-4</v>
      </c>
    </row>
    <row r="218" spans="2:5" x14ac:dyDescent="0.35">
      <c r="B218" s="75"/>
      <c r="C218" s="37" t="s">
        <v>122</v>
      </c>
      <c r="D218" s="38">
        <v>3</v>
      </c>
      <c r="E218" s="39">
        <v>1.397949673812E-3</v>
      </c>
    </row>
    <row r="219" spans="2:5" x14ac:dyDescent="0.35">
      <c r="B219" s="74"/>
      <c r="C219" s="15" t="s">
        <v>25</v>
      </c>
      <c r="D219" s="16">
        <v>10</v>
      </c>
      <c r="E219" s="17">
        <v>4.659832246039E-3</v>
      </c>
    </row>
    <row r="220" spans="2:5" x14ac:dyDescent="0.35">
      <c r="B220" s="73" t="s">
        <v>236</v>
      </c>
      <c r="C220" s="37" t="s">
        <v>91</v>
      </c>
      <c r="D220" s="38">
        <v>3</v>
      </c>
      <c r="E220" s="39">
        <v>1.397949673812E-3</v>
      </c>
    </row>
    <row r="221" spans="2:5" x14ac:dyDescent="0.35">
      <c r="B221" s="74"/>
      <c r="C221" s="15" t="s">
        <v>25</v>
      </c>
      <c r="D221" s="16">
        <v>3</v>
      </c>
      <c r="E221" s="17">
        <v>1.397949673812E-3</v>
      </c>
    </row>
    <row r="222" spans="2:5" x14ac:dyDescent="0.35">
      <c r="B222" s="73" t="s">
        <v>237</v>
      </c>
      <c r="C222" s="37" t="s">
        <v>91</v>
      </c>
      <c r="D222" s="38">
        <v>2</v>
      </c>
      <c r="E222" s="39">
        <v>9.3196644920800001E-4</v>
      </c>
    </row>
    <row r="223" spans="2:5" x14ac:dyDescent="0.35">
      <c r="B223" s="74"/>
      <c r="C223" s="15" t="s">
        <v>25</v>
      </c>
      <c r="D223" s="16">
        <v>2</v>
      </c>
      <c r="E223" s="17">
        <v>9.3196644920800001E-4</v>
      </c>
    </row>
    <row r="224" spans="2:5" x14ac:dyDescent="0.35">
      <c r="B224" s="73" t="s">
        <v>238</v>
      </c>
      <c r="C224" s="37" t="s">
        <v>90</v>
      </c>
      <c r="D224" s="38">
        <v>1</v>
      </c>
      <c r="E224" s="39">
        <v>4.65983224604E-4</v>
      </c>
    </row>
    <row r="225" spans="2:5" x14ac:dyDescent="0.35">
      <c r="B225" s="75"/>
      <c r="C225" s="37" t="s">
        <v>91</v>
      </c>
      <c r="D225" s="38">
        <v>13</v>
      </c>
      <c r="E225" s="39">
        <v>6.057781919851E-3</v>
      </c>
    </row>
    <row r="226" spans="2:5" x14ac:dyDescent="0.35">
      <c r="B226" s="75"/>
      <c r="C226" s="37" t="s">
        <v>92</v>
      </c>
      <c r="D226" s="38">
        <v>1</v>
      </c>
      <c r="E226" s="39">
        <v>4.65983224604E-4</v>
      </c>
    </row>
    <row r="227" spans="2:5" x14ac:dyDescent="0.35">
      <c r="B227" s="75"/>
      <c r="C227" s="37" t="s">
        <v>99</v>
      </c>
      <c r="D227" s="38">
        <v>1</v>
      </c>
      <c r="E227" s="39">
        <v>4.65983224604E-4</v>
      </c>
    </row>
    <row r="228" spans="2:5" x14ac:dyDescent="0.35">
      <c r="B228" s="75"/>
      <c r="C228" s="37" t="s">
        <v>101</v>
      </c>
      <c r="D228" s="38">
        <v>1</v>
      </c>
      <c r="E228" s="39">
        <v>4.65983224604E-4</v>
      </c>
    </row>
    <row r="229" spans="2:5" x14ac:dyDescent="0.35">
      <c r="B229" s="75"/>
      <c r="C229" s="37" t="s">
        <v>108</v>
      </c>
      <c r="D229" s="38">
        <v>3</v>
      </c>
      <c r="E229" s="39">
        <v>1.397949673812E-3</v>
      </c>
    </row>
    <row r="230" spans="2:5" x14ac:dyDescent="0.35">
      <c r="B230" s="75"/>
      <c r="C230" s="37" t="s">
        <v>111</v>
      </c>
      <c r="D230" s="38">
        <v>1</v>
      </c>
      <c r="E230" s="39">
        <v>4.65983224604E-4</v>
      </c>
    </row>
    <row r="231" spans="2:5" x14ac:dyDescent="0.35">
      <c r="B231" s="75"/>
      <c r="C231" s="37" t="s">
        <v>113</v>
      </c>
      <c r="D231" s="38">
        <v>1</v>
      </c>
      <c r="E231" s="39">
        <v>4.65983224604E-4</v>
      </c>
    </row>
    <row r="232" spans="2:5" x14ac:dyDescent="0.35">
      <c r="B232" s="75"/>
      <c r="C232" s="37" t="s">
        <v>115</v>
      </c>
      <c r="D232" s="38">
        <v>1</v>
      </c>
      <c r="E232" s="39">
        <v>4.65983224604E-4</v>
      </c>
    </row>
    <row r="233" spans="2:5" x14ac:dyDescent="0.35">
      <c r="B233" s="75"/>
      <c r="C233" s="37" t="s">
        <v>117</v>
      </c>
      <c r="D233" s="38">
        <v>1</v>
      </c>
      <c r="E233" s="39">
        <v>4.65983224604E-4</v>
      </c>
    </row>
    <row r="234" spans="2:5" x14ac:dyDescent="0.35">
      <c r="B234" s="75"/>
      <c r="C234" s="37" t="s">
        <v>118</v>
      </c>
      <c r="D234" s="38">
        <v>2</v>
      </c>
      <c r="E234" s="39">
        <v>9.3196644920800001E-4</v>
      </c>
    </row>
    <row r="235" spans="2:5" x14ac:dyDescent="0.35">
      <c r="B235" s="75"/>
      <c r="C235" s="37" t="s">
        <v>122</v>
      </c>
      <c r="D235" s="38">
        <v>4</v>
      </c>
      <c r="E235" s="39">
        <v>1.863932898416E-3</v>
      </c>
    </row>
    <row r="236" spans="2:5" x14ac:dyDescent="0.35">
      <c r="B236" s="75"/>
      <c r="C236" s="37" t="s">
        <v>123</v>
      </c>
      <c r="D236" s="38">
        <v>1</v>
      </c>
      <c r="E236" s="39">
        <v>4.65983224604E-4</v>
      </c>
    </row>
    <row r="237" spans="2:5" x14ac:dyDescent="0.35">
      <c r="B237" s="75"/>
      <c r="C237" s="37" t="s">
        <v>83</v>
      </c>
      <c r="D237" s="38">
        <v>1</v>
      </c>
      <c r="E237" s="39">
        <v>4.65983224604E-4</v>
      </c>
    </row>
    <row r="238" spans="2:5" x14ac:dyDescent="0.35">
      <c r="B238" s="75"/>
      <c r="C238" s="37" t="s">
        <v>125</v>
      </c>
      <c r="D238" s="38">
        <v>1</v>
      </c>
      <c r="E238" s="39">
        <v>4.65983224604E-4</v>
      </c>
    </row>
    <row r="239" spans="2:5" x14ac:dyDescent="0.35">
      <c r="B239" s="74"/>
      <c r="C239" s="15" t="s">
        <v>25</v>
      </c>
      <c r="D239" s="16">
        <v>33</v>
      </c>
      <c r="E239" s="17">
        <v>1.5377446411929001E-2</v>
      </c>
    </row>
    <row r="240" spans="2:5" x14ac:dyDescent="0.35">
      <c r="B240" s="73" t="s">
        <v>239</v>
      </c>
      <c r="C240" s="37" t="s">
        <v>89</v>
      </c>
      <c r="D240" s="38">
        <v>2</v>
      </c>
      <c r="E240" s="39">
        <v>9.3196644920800001E-4</v>
      </c>
    </row>
    <row r="241" spans="2:5" x14ac:dyDescent="0.35">
      <c r="B241" s="75"/>
      <c r="C241" s="37" t="s">
        <v>90</v>
      </c>
      <c r="D241" s="38">
        <v>3</v>
      </c>
      <c r="E241" s="39">
        <v>1.397949673812E-3</v>
      </c>
    </row>
    <row r="242" spans="2:5" x14ac:dyDescent="0.35">
      <c r="B242" s="75"/>
      <c r="C242" s="37" t="s">
        <v>91</v>
      </c>
      <c r="D242" s="38">
        <v>60</v>
      </c>
      <c r="E242" s="39">
        <v>2.7958993476235001E-2</v>
      </c>
    </row>
    <row r="243" spans="2:5" x14ac:dyDescent="0.35">
      <c r="B243" s="75"/>
      <c r="C243" s="37" t="s">
        <v>92</v>
      </c>
      <c r="D243" s="38">
        <v>8</v>
      </c>
      <c r="E243" s="39">
        <v>3.727865796831E-3</v>
      </c>
    </row>
    <row r="244" spans="2:5" x14ac:dyDescent="0.35">
      <c r="B244" s="75"/>
      <c r="C244" s="37" t="s">
        <v>95</v>
      </c>
      <c r="D244" s="38">
        <v>8</v>
      </c>
      <c r="E244" s="39">
        <v>3.727865796831E-3</v>
      </c>
    </row>
    <row r="245" spans="2:5" x14ac:dyDescent="0.35">
      <c r="B245" s="75"/>
      <c r="C245" s="37" t="s">
        <v>96</v>
      </c>
      <c r="D245" s="38">
        <v>1</v>
      </c>
      <c r="E245" s="39">
        <v>4.65983224604E-4</v>
      </c>
    </row>
    <row r="246" spans="2:5" x14ac:dyDescent="0.35">
      <c r="B246" s="75"/>
      <c r="C246" s="37" t="s">
        <v>98</v>
      </c>
      <c r="D246" s="38">
        <v>5</v>
      </c>
      <c r="E246" s="39">
        <v>2.32991612302E-3</v>
      </c>
    </row>
    <row r="247" spans="2:5" x14ac:dyDescent="0.35">
      <c r="B247" s="75"/>
      <c r="C247" s="37" t="s">
        <v>101</v>
      </c>
      <c r="D247" s="38">
        <v>1</v>
      </c>
      <c r="E247" s="39">
        <v>4.65983224604E-4</v>
      </c>
    </row>
    <row r="248" spans="2:5" x14ac:dyDescent="0.35">
      <c r="B248" s="75"/>
      <c r="C248" s="37" t="s">
        <v>102</v>
      </c>
      <c r="D248" s="38">
        <v>1</v>
      </c>
      <c r="E248" s="39">
        <v>4.65983224604E-4</v>
      </c>
    </row>
    <row r="249" spans="2:5" x14ac:dyDescent="0.35">
      <c r="B249" s="75"/>
      <c r="C249" s="37" t="s">
        <v>106</v>
      </c>
      <c r="D249" s="38">
        <v>1</v>
      </c>
      <c r="E249" s="39">
        <v>4.65983224604E-4</v>
      </c>
    </row>
    <row r="250" spans="2:5" x14ac:dyDescent="0.35">
      <c r="B250" s="75"/>
      <c r="C250" s="37" t="s">
        <v>107</v>
      </c>
      <c r="D250" s="38">
        <v>4</v>
      </c>
      <c r="E250" s="39">
        <v>1.863932898416E-3</v>
      </c>
    </row>
    <row r="251" spans="2:5" x14ac:dyDescent="0.35">
      <c r="B251" s="75"/>
      <c r="C251" s="37" t="s">
        <v>108</v>
      </c>
      <c r="D251" s="38">
        <v>1</v>
      </c>
      <c r="E251" s="39">
        <v>4.65983224604E-4</v>
      </c>
    </row>
    <row r="252" spans="2:5" x14ac:dyDescent="0.35">
      <c r="B252" s="75"/>
      <c r="C252" s="37" t="s">
        <v>111</v>
      </c>
      <c r="D252" s="38">
        <v>4</v>
      </c>
      <c r="E252" s="39">
        <v>1.863932898416E-3</v>
      </c>
    </row>
    <row r="253" spans="2:5" x14ac:dyDescent="0.35">
      <c r="B253" s="75"/>
      <c r="C253" s="37" t="s">
        <v>112</v>
      </c>
      <c r="D253" s="38">
        <v>1</v>
      </c>
      <c r="E253" s="39">
        <v>4.65983224604E-4</v>
      </c>
    </row>
    <row r="254" spans="2:5" x14ac:dyDescent="0.35">
      <c r="B254" s="75"/>
      <c r="C254" s="37" t="s">
        <v>115</v>
      </c>
      <c r="D254" s="38">
        <v>2</v>
      </c>
      <c r="E254" s="39">
        <v>9.3196644920800001E-4</v>
      </c>
    </row>
    <row r="255" spans="2:5" x14ac:dyDescent="0.35">
      <c r="B255" s="75"/>
      <c r="C255" s="37" t="s">
        <v>118</v>
      </c>
      <c r="D255" s="38">
        <v>3</v>
      </c>
      <c r="E255" s="39">
        <v>1.397949673812E-3</v>
      </c>
    </row>
    <row r="256" spans="2:5" x14ac:dyDescent="0.35">
      <c r="B256" s="75"/>
      <c r="C256" s="37" t="s">
        <v>119</v>
      </c>
      <c r="D256" s="38">
        <v>1</v>
      </c>
      <c r="E256" s="39">
        <v>4.65983224604E-4</v>
      </c>
    </row>
    <row r="257" spans="2:5" x14ac:dyDescent="0.35">
      <c r="B257" s="75"/>
      <c r="C257" s="37" t="s">
        <v>122</v>
      </c>
      <c r="D257" s="38">
        <v>14</v>
      </c>
      <c r="E257" s="39">
        <v>6.523765144455E-3</v>
      </c>
    </row>
    <row r="258" spans="2:5" x14ac:dyDescent="0.35">
      <c r="B258" s="75"/>
      <c r="C258" s="37" t="s">
        <v>123</v>
      </c>
      <c r="D258" s="38">
        <v>2</v>
      </c>
      <c r="E258" s="39">
        <v>9.3196644920800001E-4</v>
      </c>
    </row>
    <row r="259" spans="2:5" x14ac:dyDescent="0.35">
      <c r="B259" s="75"/>
      <c r="C259" s="37" t="s">
        <v>83</v>
      </c>
      <c r="D259" s="38">
        <v>1</v>
      </c>
      <c r="E259" s="39">
        <v>4.65983224604E-4</v>
      </c>
    </row>
    <row r="260" spans="2:5" x14ac:dyDescent="0.35">
      <c r="B260" s="74"/>
      <c r="C260" s="15" t="s">
        <v>25</v>
      </c>
      <c r="D260" s="16">
        <v>123</v>
      </c>
      <c r="E260" s="17">
        <v>5.7315936626280997E-2</v>
      </c>
    </row>
    <row r="261" spans="2:5" x14ac:dyDescent="0.35">
      <c r="B261" s="73" t="s">
        <v>240</v>
      </c>
      <c r="C261" s="37" t="s">
        <v>91</v>
      </c>
      <c r="D261" s="38">
        <v>2</v>
      </c>
      <c r="E261" s="39">
        <v>9.3196644920800001E-4</v>
      </c>
    </row>
    <row r="262" spans="2:5" x14ac:dyDescent="0.35">
      <c r="B262" s="75"/>
      <c r="C262" s="37" t="s">
        <v>95</v>
      </c>
      <c r="D262" s="38">
        <v>1</v>
      </c>
      <c r="E262" s="39">
        <v>4.65983224604E-4</v>
      </c>
    </row>
    <row r="263" spans="2:5" x14ac:dyDescent="0.35">
      <c r="B263" s="75"/>
      <c r="C263" s="37" t="s">
        <v>113</v>
      </c>
      <c r="D263" s="38">
        <v>1</v>
      </c>
      <c r="E263" s="39">
        <v>4.65983224604E-4</v>
      </c>
    </row>
    <row r="264" spans="2:5" x14ac:dyDescent="0.35">
      <c r="B264" s="75"/>
      <c r="C264" s="37" t="s">
        <v>122</v>
      </c>
      <c r="D264" s="38">
        <v>1</v>
      </c>
      <c r="E264" s="39">
        <v>4.65983224604E-4</v>
      </c>
    </row>
    <row r="265" spans="2:5" x14ac:dyDescent="0.35">
      <c r="B265" s="74"/>
      <c r="C265" s="15" t="s">
        <v>25</v>
      </c>
      <c r="D265" s="16">
        <v>5</v>
      </c>
      <c r="E265" s="17">
        <v>2.32991612302E-3</v>
      </c>
    </row>
    <row r="266" spans="2:5" x14ac:dyDescent="0.35">
      <c r="B266" s="73" t="s">
        <v>241</v>
      </c>
      <c r="C266" s="37" t="s">
        <v>122</v>
      </c>
      <c r="D266" s="38">
        <v>1</v>
      </c>
      <c r="E266" s="39">
        <v>4.65983224604E-4</v>
      </c>
    </row>
    <row r="267" spans="2:5" x14ac:dyDescent="0.35">
      <c r="B267" s="74"/>
      <c r="C267" s="15" t="s">
        <v>25</v>
      </c>
      <c r="D267" s="16">
        <v>1</v>
      </c>
      <c r="E267" s="17">
        <v>4.65983224604E-4</v>
      </c>
    </row>
    <row r="268" spans="2:5" ht="15" x14ac:dyDescent="0.4">
      <c r="B268" s="76" t="s">
        <v>25</v>
      </c>
      <c r="C268" s="77"/>
      <c r="D268" s="20">
        <v>2146</v>
      </c>
      <c r="E268" s="21">
        <v>1</v>
      </c>
    </row>
    <row r="269" spans="2:5" ht="14.5" customHeight="1" x14ac:dyDescent="0.35">
      <c r="B269" s="11"/>
    </row>
    <row r="270" spans="2:5" ht="14.5" customHeight="1" x14ac:dyDescent="0.35">
      <c r="B270" s="9" t="s">
        <v>127</v>
      </c>
    </row>
    <row r="271" spans="2:5" ht="14.5" customHeight="1" x14ac:dyDescent="0.35">
      <c r="B271" s="10" t="s">
        <v>21</v>
      </c>
    </row>
    <row r="272" spans="2:5" ht="14.5" customHeight="1" x14ac:dyDescent="0.35">
      <c r="B272" s="11" t="s">
        <v>128</v>
      </c>
    </row>
    <row r="273" spans="2:2" ht="14.5" customHeight="1" x14ac:dyDescent="0.35">
      <c r="B273" s="9" t="s">
        <v>22</v>
      </c>
    </row>
    <row r="274" spans="2:2" ht="14.5" customHeight="1" x14ac:dyDescent="0.35">
      <c r="B274" s="9" t="s">
        <v>129</v>
      </c>
    </row>
  </sheetData>
  <mergeCells count="24">
    <mergeCell ref="B97:B105"/>
    <mergeCell ref="B10:B18"/>
    <mergeCell ref="B19:B23"/>
    <mergeCell ref="B24:B29"/>
    <mergeCell ref="B30:B34"/>
    <mergeCell ref="B35:B43"/>
    <mergeCell ref="B44:B51"/>
    <mergeCell ref="B52:B68"/>
    <mergeCell ref="B69:B89"/>
    <mergeCell ref="B90:B96"/>
    <mergeCell ref="B106:B117"/>
    <mergeCell ref="B118:B150"/>
    <mergeCell ref="B151:B164"/>
    <mergeCell ref="B165:B179"/>
    <mergeCell ref="B180:B210"/>
    <mergeCell ref="B240:B260"/>
    <mergeCell ref="B261:B265"/>
    <mergeCell ref="B266:B267"/>
    <mergeCell ref="B268:C268"/>
    <mergeCell ref="B211:B214"/>
    <mergeCell ref="B215:B219"/>
    <mergeCell ref="B220:B221"/>
    <mergeCell ref="B222:B223"/>
    <mergeCell ref="B224:B23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4:E405"/>
  <sheetViews>
    <sheetView showGridLines="0" view="pageBreakPreview" topLeftCell="A382" zoomScale="96" zoomScaleNormal="100" zoomScaleSheetLayoutView="96" workbookViewId="0">
      <selection activeCell="E399" sqref="B9:E399"/>
    </sheetView>
  </sheetViews>
  <sheetFormatPr baseColWidth="10" defaultRowHeight="14.5" x14ac:dyDescent="0.35"/>
  <cols>
    <col min="1" max="1" width="4.08984375" customWidth="1"/>
    <col min="2" max="2" width="17.1796875" customWidth="1"/>
    <col min="3" max="3" width="30.453125" customWidth="1"/>
    <col min="4" max="4" width="20.81640625" customWidth="1"/>
    <col min="5" max="5" width="15.7265625" customWidth="1"/>
  </cols>
  <sheetData>
    <row r="4" spans="2:5" ht="36.75" customHeight="1" x14ac:dyDescent="0.35"/>
    <row r="6" spans="2:5" ht="21.75" customHeight="1" x14ac:dyDescent="0.35"/>
    <row r="7" spans="2:5" ht="24.75" customHeight="1" x14ac:dyDescent="0.35"/>
    <row r="8" spans="2:5" ht="39.5" customHeight="1" x14ac:dyDescent="0.35"/>
    <row r="9" spans="2:5" ht="28" x14ac:dyDescent="0.35">
      <c r="B9" s="18" t="s">
        <v>23</v>
      </c>
      <c r="C9" s="56" t="s">
        <v>30</v>
      </c>
      <c r="D9" s="57" t="s">
        <v>19</v>
      </c>
      <c r="E9" s="18" t="s">
        <v>20</v>
      </c>
    </row>
    <row r="10" spans="2:5" ht="14.5" customHeight="1" x14ac:dyDescent="0.35">
      <c r="B10" s="78" t="s">
        <v>77</v>
      </c>
      <c r="C10" s="37" t="s">
        <v>227</v>
      </c>
      <c r="D10" s="38">
        <v>1</v>
      </c>
      <c r="E10" s="39">
        <v>4.65983224604E-4</v>
      </c>
    </row>
    <row r="11" spans="2:5" ht="14.5" customHeight="1" x14ac:dyDescent="0.35">
      <c r="B11" s="78"/>
      <c r="C11" s="37" t="s">
        <v>233</v>
      </c>
      <c r="D11" s="38">
        <v>3</v>
      </c>
      <c r="E11" s="39">
        <v>1.397949673812E-3</v>
      </c>
    </row>
    <row r="12" spans="2:5" ht="14.5" customHeight="1" x14ac:dyDescent="0.35">
      <c r="B12" s="78"/>
      <c r="C12" s="37" t="s">
        <v>238</v>
      </c>
      <c r="D12" s="38">
        <v>1</v>
      </c>
      <c r="E12" s="39">
        <v>4.65983224604E-4</v>
      </c>
    </row>
    <row r="13" spans="2:5" ht="14.5" customHeight="1" x14ac:dyDescent="0.35">
      <c r="B13" s="78"/>
      <c r="C13" s="37" t="s">
        <v>240</v>
      </c>
      <c r="D13" s="38">
        <v>1</v>
      </c>
      <c r="E13" s="39">
        <v>4.65983224604E-4</v>
      </c>
    </row>
    <row r="14" spans="2:5" ht="14.5" customHeight="1" x14ac:dyDescent="0.35">
      <c r="B14" s="78"/>
      <c r="C14" s="15" t="s">
        <v>25</v>
      </c>
      <c r="D14" s="16">
        <v>6</v>
      </c>
      <c r="E14" s="17">
        <v>2.795899347623E-3</v>
      </c>
    </row>
    <row r="15" spans="2:5" ht="14.5" customHeight="1" x14ac:dyDescent="0.35">
      <c r="B15" s="78" t="s">
        <v>62</v>
      </c>
      <c r="C15" s="37" t="s">
        <v>222</v>
      </c>
      <c r="D15" s="38">
        <v>2</v>
      </c>
      <c r="E15" s="39">
        <v>9.3196644920800001E-4</v>
      </c>
    </row>
    <row r="16" spans="2:5" ht="14.5" customHeight="1" x14ac:dyDescent="0.35">
      <c r="B16" s="78"/>
      <c r="C16" s="37" t="s">
        <v>223</v>
      </c>
      <c r="D16" s="38">
        <v>1</v>
      </c>
      <c r="E16" s="39">
        <v>4.65983224604E-4</v>
      </c>
    </row>
    <row r="17" spans="2:5" ht="14.5" customHeight="1" x14ac:dyDescent="0.35">
      <c r="B17" s="78"/>
      <c r="C17" s="37" t="s">
        <v>225</v>
      </c>
      <c r="D17" s="38">
        <v>2</v>
      </c>
      <c r="E17" s="39">
        <v>9.3196644920800001E-4</v>
      </c>
    </row>
    <row r="18" spans="2:5" ht="14.5" customHeight="1" x14ac:dyDescent="0.35">
      <c r="B18" s="78"/>
      <c r="C18" s="37" t="s">
        <v>226</v>
      </c>
      <c r="D18" s="38">
        <v>1</v>
      </c>
      <c r="E18" s="39">
        <v>4.65983224604E-4</v>
      </c>
    </row>
    <row r="19" spans="2:5" ht="14.5" customHeight="1" x14ac:dyDescent="0.35">
      <c r="B19" s="78"/>
      <c r="C19" s="37" t="s">
        <v>230</v>
      </c>
      <c r="D19" s="38">
        <v>4</v>
      </c>
      <c r="E19" s="39">
        <v>1.863932898416E-3</v>
      </c>
    </row>
    <row r="20" spans="2:5" ht="14.5" customHeight="1" x14ac:dyDescent="0.35">
      <c r="B20" s="78"/>
      <c r="C20" s="37" t="s">
        <v>232</v>
      </c>
      <c r="D20" s="38">
        <v>1</v>
      </c>
      <c r="E20" s="39">
        <v>4.65983224604E-4</v>
      </c>
    </row>
    <row r="21" spans="2:5" ht="14.5" customHeight="1" x14ac:dyDescent="0.35">
      <c r="B21" s="78"/>
      <c r="C21" s="37" t="s">
        <v>233</v>
      </c>
      <c r="D21" s="38">
        <v>5</v>
      </c>
      <c r="E21" s="39">
        <v>2.32991612302E-3</v>
      </c>
    </row>
    <row r="22" spans="2:5" ht="14.5" customHeight="1" x14ac:dyDescent="0.35">
      <c r="B22" s="78"/>
      <c r="C22" s="15" t="s">
        <v>25</v>
      </c>
      <c r="D22" s="16">
        <v>16</v>
      </c>
      <c r="E22" s="17">
        <v>7.455731593663E-3</v>
      </c>
    </row>
    <row r="23" spans="2:5" ht="14.5" customHeight="1" x14ac:dyDescent="0.35">
      <c r="B23" s="78" t="s">
        <v>68</v>
      </c>
      <c r="C23" s="37" t="s">
        <v>230</v>
      </c>
      <c r="D23" s="38">
        <v>4</v>
      </c>
      <c r="E23" s="39">
        <v>1.863932898416E-3</v>
      </c>
    </row>
    <row r="24" spans="2:5" ht="14.5" customHeight="1" x14ac:dyDescent="0.35">
      <c r="B24" s="78"/>
      <c r="C24" s="37" t="s">
        <v>232</v>
      </c>
      <c r="D24" s="38">
        <v>1</v>
      </c>
      <c r="E24" s="39">
        <v>4.65983224604E-4</v>
      </c>
    </row>
    <row r="25" spans="2:5" ht="14.5" customHeight="1" x14ac:dyDescent="0.35">
      <c r="B25" s="78"/>
      <c r="C25" s="37" t="s">
        <v>233</v>
      </c>
      <c r="D25" s="38">
        <v>5</v>
      </c>
      <c r="E25" s="39">
        <v>2.32991612302E-3</v>
      </c>
    </row>
    <row r="26" spans="2:5" ht="14.5" customHeight="1" x14ac:dyDescent="0.35">
      <c r="B26" s="78"/>
      <c r="C26" s="15" t="s">
        <v>25</v>
      </c>
      <c r="D26" s="16">
        <v>10</v>
      </c>
      <c r="E26" s="17">
        <v>4.659832246039E-3</v>
      </c>
    </row>
    <row r="27" spans="2:5" ht="14.5" customHeight="1" x14ac:dyDescent="0.35">
      <c r="B27" s="78" t="s">
        <v>70</v>
      </c>
      <c r="C27" s="37" t="s">
        <v>224</v>
      </c>
      <c r="D27" s="38">
        <v>1</v>
      </c>
      <c r="E27" s="39">
        <v>4.65983224604E-4</v>
      </c>
    </row>
    <row r="28" spans="2:5" ht="14.5" customHeight="1" x14ac:dyDescent="0.35">
      <c r="B28" s="78"/>
      <c r="C28" s="37" t="s">
        <v>226</v>
      </c>
      <c r="D28" s="38">
        <v>2</v>
      </c>
      <c r="E28" s="39">
        <v>9.3196644920800001E-4</v>
      </c>
    </row>
    <row r="29" spans="2:5" ht="14.5" customHeight="1" x14ac:dyDescent="0.35">
      <c r="B29" s="78"/>
      <c r="C29" s="37" t="s">
        <v>230</v>
      </c>
      <c r="D29" s="38">
        <v>1</v>
      </c>
      <c r="E29" s="39">
        <v>4.65983224604E-4</v>
      </c>
    </row>
    <row r="30" spans="2:5" ht="14.5" customHeight="1" x14ac:dyDescent="0.35">
      <c r="B30" s="78"/>
      <c r="C30" s="37" t="s">
        <v>231</v>
      </c>
      <c r="D30" s="38">
        <v>1</v>
      </c>
      <c r="E30" s="39">
        <v>4.65983224604E-4</v>
      </c>
    </row>
    <row r="31" spans="2:5" ht="14.5" customHeight="1" x14ac:dyDescent="0.35">
      <c r="B31" s="78"/>
      <c r="C31" s="37" t="s">
        <v>232</v>
      </c>
      <c r="D31" s="38">
        <v>1</v>
      </c>
      <c r="E31" s="39">
        <v>4.65983224604E-4</v>
      </c>
    </row>
    <row r="32" spans="2:5" ht="14.5" customHeight="1" x14ac:dyDescent="0.35">
      <c r="B32" s="78"/>
      <c r="C32" s="37" t="s">
        <v>233</v>
      </c>
      <c r="D32" s="38">
        <v>3</v>
      </c>
      <c r="E32" s="39">
        <v>1.397949673812E-3</v>
      </c>
    </row>
    <row r="33" spans="2:5" ht="14.5" customHeight="1" x14ac:dyDescent="0.35">
      <c r="B33" s="78"/>
      <c r="C33" s="15" t="s">
        <v>25</v>
      </c>
      <c r="D33" s="16">
        <v>9</v>
      </c>
      <c r="E33" s="17">
        <v>4.193849021435E-3</v>
      </c>
    </row>
    <row r="34" spans="2:5" ht="14.5" customHeight="1" x14ac:dyDescent="0.35">
      <c r="B34" s="78" t="s">
        <v>81</v>
      </c>
      <c r="C34" s="37" t="s">
        <v>230</v>
      </c>
      <c r="D34" s="38">
        <v>3</v>
      </c>
      <c r="E34" s="39">
        <v>1.397949673812E-3</v>
      </c>
    </row>
    <row r="35" spans="2:5" ht="14.5" customHeight="1" x14ac:dyDescent="0.35">
      <c r="B35" s="78"/>
      <c r="C35" s="37" t="s">
        <v>233</v>
      </c>
      <c r="D35" s="38">
        <v>1</v>
      </c>
      <c r="E35" s="39">
        <v>4.65983224604E-4</v>
      </c>
    </row>
    <row r="36" spans="2:5" ht="14.5" customHeight="1" x14ac:dyDescent="0.35">
      <c r="B36" s="78"/>
      <c r="C36" s="15" t="s">
        <v>25</v>
      </c>
      <c r="D36" s="16">
        <v>4</v>
      </c>
      <c r="E36" s="17">
        <v>1.863932898416E-3</v>
      </c>
    </row>
    <row r="37" spans="2:5" ht="14.5" customHeight="1" x14ac:dyDescent="0.35">
      <c r="B37" s="78" t="s">
        <v>84</v>
      </c>
      <c r="C37" s="37" t="s">
        <v>230</v>
      </c>
      <c r="D37" s="38">
        <v>2</v>
      </c>
      <c r="E37" s="39">
        <v>9.3196644920800001E-4</v>
      </c>
    </row>
    <row r="38" spans="2:5" ht="14.5" customHeight="1" x14ac:dyDescent="0.35">
      <c r="B38" s="78"/>
      <c r="C38" s="15" t="s">
        <v>25</v>
      </c>
      <c r="D38" s="16">
        <v>2</v>
      </c>
      <c r="E38" s="17">
        <v>9.3196644920800001E-4</v>
      </c>
    </row>
    <row r="39" spans="2:5" ht="14.5" customHeight="1" x14ac:dyDescent="0.35">
      <c r="B39" s="78" t="s">
        <v>57</v>
      </c>
      <c r="C39" s="37" t="s">
        <v>223</v>
      </c>
      <c r="D39" s="38">
        <v>1</v>
      </c>
      <c r="E39" s="39">
        <v>4.65983224604E-4</v>
      </c>
    </row>
    <row r="40" spans="2:5" ht="14.5" customHeight="1" x14ac:dyDescent="0.35">
      <c r="B40" s="78"/>
      <c r="C40" s="37" t="s">
        <v>225</v>
      </c>
      <c r="D40" s="38">
        <v>2</v>
      </c>
      <c r="E40" s="39">
        <v>9.3196644920800001E-4</v>
      </c>
    </row>
    <row r="41" spans="2:5" ht="14.5" customHeight="1" x14ac:dyDescent="0.35">
      <c r="B41" s="78"/>
      <c r="C41" s="37" t="s">
        <v>226</v>
      </c>
      <c r="D41" s="38">
        <v>3</v>
      </c>
      <c r="E41" s="39">
        <v>1.397949673812E-3</v>
      </c>
    </row>
    <row r="42" spans="2:5" ht="14.5" customHeight="1" x14ac:dyDescent="0.35">
      <c r="B42" s="78"/>
      <c r="C42" s="37" t="s">
        <v>230</v>
      </c>
      <c r="D42" s="38">
        <v>12</v>
      </c>
      <c r="E42" s="39">
        <v>5.591798695247E-3</v>
      </c>
    </row>
    <row r="43" spans="2:5" ht="14.5" customHeight="1" x14ac:dyDescent="0.35">
      <c r="B43" s="78"/>
      <c r="C43" s="37" t="s">
        <v>231</v>
      </c>
      <c r="D43" s="38">
        <v>1</v>
      </c>
      <c r="E43" s="39">
        <v>4.65983224604E-4</v>
      </c>
    </row>
    <row r="44" spans="2:5" ht="14.5" customHeight="1" x14ac:dyDescent="0.35">
      <c r="B44" s="78"/>
      <c r="C44" s="37" t="s">
        <v>233</v>
      </c>
      <c r="D44" s="38">
        <v>6</v>
      </c>
      <c r="E44" s="39">
        <v>2.795899347623E-3</v>
      </c>
    </row>
    <row r="45" spans="2:5" ht="14.5" customHeight="1" x14ac:dyDescent="0.35">
      <c r="B45" s="78"/>
      <c r="C45" s="37" t="s">
        <v>238</v>
      </c>
      <c r="D45" s="38">
        <v>1</v>
      </c>
      <c r="E45" s="39">
        <v>4.65983224604E-4</v>
      </c>
    </row>
    <row r="46" spans="2:5" ht="14.5" customHeight="1" x14ac:dyDescent="0.35">
      <c r="B46" s="78"/>
      <c r="C46" s="37" t="s">
        <v>239</v>
      </c>
      <c r="D46" s="38">
        <v>5</v>
      </c>
      <c r="E46" s="39">
        <v>2.32991612302E-3</v>
      </c>
    </row>
    <row r="47" spans="2:5" ht="14.5" customHeight="1" x14ac:dyDescent="0.35">
      <c r="B47" s="78"/>
      <c r="C47" s="15" t="s">
        <v>25</v>
      </c>
      <c r="D47" s="16">
        <v>31</v>
      </c>
      <c r="E47" s="17">
        <v>1.4445479962721001E-2</v>
      </c>
    </row>
    <row r="48" spans="2:5" ht="14.5" customHeight="1" x14ac:dyDescent="0.35">
      <c r="B48" s="78" t="s">
        <v>46</v>
      </c>
      <c r="C48" s="37" t="s">
        <v>220</v>
      </c>
      <c r="D48" s="38">
        <v>1</v>
      </c>
      <c r="E48" s="39">
        <v>4.65983224604E-4</v>
      </c>
    </row>
    <row r="49" spans="2:5" ht="14.5" customHeight="1" x14ac:dyDescent="0.35">
      <c r="B49" s="78"/>
      <c r="C49" s="37" t="s">
        <v>221</v>
      </c>
      <c r="D49" s="38">
        <v>2</v>
      </c>
      <c r="E49" s="39">
        <v>9.3196644920800001E-4</v>
      </c>
    </row>
    <row r="50" spans="2:5" ht="14.5" customHeight="1" x14ac:dyDescent="0.35">
      <c r="B50" s="78"/>
      <c r="C50" s="37" t="s">
        <v>225</v>
      </c>
      <c r="D50" s="38">
        <v>5</v>
      </c>
      <c r="E50" s="39">
        <v>2.32991612302E-3</v>
      </c>
    </row>
    <row r="51" spans="2:5" ht="14.5" customHeight="1" x14ac:dyDescent="0.35">
      <c r="B51" s="78"/>
      <c r="C51" s="37" t="s">
        <v>226</v>
      </c>
      <c r="D51" s="38">
        <v>4</v>
      </c>
      <c r="E51" s="39">
        <v>1.863932898416E-3</v>
      </c>
    </row>
    <row r="52" spans="2:5" ht="14.5" customHeight="1" x14ac:dyDescent="0.35">
      <c r="B52" s="78"/>
      <c r="C52" s="37" t="s">
        <v>227</v>
      </c>
      <c r="D52" s="38">
        <v>1</v>
      </c>
      <c r="E52" s="39">
        <v>4.65983224604E-4</v>
      </c>
    </row>
    <row r="53" spans="2:5" ht="14.5" customHeight="1" x14ac:dyDescent="0.35">
      <c r="B53" s="78"/>
      <c r="C53" s="37" t="s">
        <v>229</v>
      </c>
      <c r="D53" s="38">
        <v>5</v>
      </c>
      <c r="E53" s="39">
        <v>2.32991612302E-3</v>
      </c>
    </row>
    <row r="54" spans="2:5" ht="14.5" customHeight="1" x14ac:dyDescent="0.35">
      <c r="B54" s="78"/>
      <c r="C54" s="37" t="s">
        <v>230</v>
      </c>
      <c r="D54" s="38">
        <v>53</v>
      </c>
      <c r="E54" s="39">
        <v>2.4697110904006999E-2</v>
      </c>
    </row>
    <row r="55" spans="2:5" ht="14.5" customHeight="1" x14ac:dyDescent="0.35">
      <c r="B55" s="78"/>
      <c r="C55" s="37" t="s">
        <v>231</v>
      </c>
      <c r="D55" s="38">
        <v>4</v>
      </c>
      <c r="E55" s="39">
        <v>1.863932898416E-3</v>
      </c>
    </row>
    <row r="56" spans="2:5" ht="14.5" customHeight="1" x14ac:dyDescent="0.35">
      <c r="B56" s="78"/>
      <c r="C56" s="37" t="s">
        <v>232</v>
      </c>
      <c r="D56" s="38">
        <v>7</v>
      </c>
      <c r="E56" s="39">
        <v>3.261882572227E-3</v>
      </c>
    </row>
    <row r="57" spans="2:5" ht="14.5" customHeight="1" x14ac:dyDescent="0.35">
      <c r="B57" s="78"/>
      <c r="C57" s="37" t="s">
        <v>233</v>
      </c>
      <c r="D57" s="38">
        <v>22</v>
      </c>
      <c r="E57" s="39">
        <v>1.0251630941286E-2</v>
      </c>
    </row>
    <row r="58" spans="2:5" ht="14.5" customHeight="1" x14ac:dyDescent="0.35">
      <c r="B58" s="78"/>
      <c r="C58" s="37" t="s">
        <v>235</v>
      </c>
      <c r="D58" s="38">
        <v>1</v>
      </c>
      <c r="E58" s="39">
        <v>4.65983224604E-4</v>
      </c>
    </row>
    <row r="59" spans="2:5" ht="14.5" customHeight="1" x14ac:dyDescent="0.35">
      <c r="B59" s="78"/>
      <c r="C59" s="37" t="s">
        <v>238</v>
      </c>
      <c r="D59" s="38">
        <v>3</v>
      </c>
      <c r="E59" s="39">
        <v>1.397949673812E-3</v>
      </c>
    </row>
    <row r="60" spans="2:5" ht="14.5" customHeight="1" x14ac:dyDescent="0.35">
      <c r="B60" s="78"/>
      <c r="C60" s="37" t="s">
        <v>239</v>
      </c>
      <c r="D60" s="38">
        <v>6</v>
      </c>
      <c r="E60" s="39">
        <v>2.795899347623E-3</v>
      </c>
    </row>
    <row r="61" spans="2:5" ht="14.5" customHeight="1" x14ac:dyDescent="0.35">
      <c r="B61" s="78"/>
      <c r="C61" s="37" t="s">
        <v>240</v>
      </c>
      <c r="D61" s="38">
        <v>1</v>
      </c>
      <c r="E61" s="39">
        <v>4.65983224604E-4</v>
      </c>
    </row>
    <row r="62" spans="2:5" ht="14.5" customHeight="1" x14ac:dyDescent="0.35">
      <c r="B62" s="78"/>
      <c r="C62" s="15" t="s">
        <v>25</v>
      </c>
      <c r="D62" s="16">
        <v>115</v>
      </c>
      <c r="E62" s="17">
        <v>5.3588070829450003E-2</v>
      </c>
    </row>
    <row r="63" spans="2:5" ht="14.5" customHeight="1" x14ac:dyDescent="0.35">
      <c r="B63" s="78" t="s">
        <v>49</v>
      </c>
      <c r="C63" s="37" t="s">
        <v>219</v>
      </c>
      <c r="D63" s="38">
        <v>1</v>
      </c>
      <c r="E63" s="39">
        <v>4.65983224604E-4</v>
      </c>
    </row>
    <row r="64" spans="2:5" ht="14.5" customHeight="1" x14ac:dyDescent="0.35">
      <c r="B64" s="78"/>
      <c r="C64" s="37" t="s">
        <v>220</v>
      </c>
      <c r="D64" s="38">
        <v>1</v>
      </c>
      <c r="E64" s="39">
        <v>4.65983224604E-4</v>
      </c>
    </row>
    <row r="65" spans="2:5" ht="14.5" customHeight="1" x14ac:dyDescent="0.35">
      <c r="B65" s="78"/>
      <c r="C65" s="37" t="s">
        <v>222</v>
      </c>
      <c r="D65" s="38">
        <v>2</v>
      </c>
      <c r="E65" s="39">
        <v>9.3196644920800001E-4</v>
      </c>
    </row>
    <row r="66" spans="2:5" ht="14.5" customHeight="1" x14ac:dyDescent="0.35">
      <c r="B66" s="78"/>
      <c r="C66" s="37" t="s">
        <v>223</v>
      </c>
      <c r="D66" s="38">
        <v>3</v>
      </c>
      <c r="E66" s="39">
        <v>1.397949673812E-3</v>
      </c>
    </row>
    <row r="67" spans="2:5" ht="14.5" customHeight="1" x14ac:dyDescent="0.35">
      <c r="B67" s="78"/>
      <c r="C67" s="37" t="s">
        <v>225</v>
      </c>
      <c r="D67" s="38">
        <v>5</v>
      </c>
      <c r="E67" s="39">
        <v>2.32991612302E-3</v>
      </c>
    </row>
    <row r="68" spans="2:5" ht="14.5" customHeight="1" x14ac:dyDescent="0.35">
      <c r="B68" s="78"/>
      <c r="C68" s="37" t="s">
        <v>226</v>
      </c>
      <c r="D68" s="38">
        <v>11</v>
      </c>
      <c r="E68" s="39">
        <v>5.125815470643E-3</v>
      </c>
    </row>
    <row r="69" spans="2:5" ht="14.5" customHeight="1" x14ac:dyDescent="0.35">
      <c r="B69" s="78"/>
      <c r="C69" s="37" t="s">
        <v>229</v>
      </c>
      <c r="D69" s="38">
        <v>3</v>
      </c>
      <c r="E69" s="39">
        <v>1.397949673812E-3</v>
      </c>
    </row>
    <row r="70" spans="2:5" ht="14.5" customHeight="1" x14ac:dyDescent="0.35">
      <c r="B70" s="78"/>
      <c r="C70" s="37" t="s">
        <v>230</v>
      </c>
      <c r="D70" s="38">
        <v>20</v>
      </c>
      <c r="E70" s="39">
        <v>9.3196644920779999E-3</v>
      </c>
    </row>
    <row r="71" spans="2:5" ht="14.5" customHeight="1" x14ac:dyDescent="0.35">
      <c r="B71" s="78"/>
      <c r="C71" s="37" t="s">
        <v>231</v>
      </c>
      <c r="D71" s="38">
        <v>2</v>
      </c>
      <c r="E71" s="39">
        <v>9.3196644920800001E-4</v>
      </c>
    </row>
    <row r="72" spans="2:5" ht="14.5" customHeight="1" x14ac:dyDescent="0.35">
      <c r="B72" s="78"/>
      <c r="C72" s="37" t="s">
        <v>232</v>
      </c>
      <c r="D72" s="38">
        <v>6</v>
      </c>
      <c r="E72" s="39">
        <v>2.795899347623E-3</v>
      </c>
    </row>
    <row r="73" spans="2:5" ht="14.5" customHeight="1" x14ac:dyDescent="0.35">
      <c r="B73" s="78"/>
      <c r="C73" s="37" t="s">
        <v>233</v>
      </c>
      <c r="D73" s="38">
        <v>20</v>
      </c>
      <c r="E73" s="39">
        <v>9.3196644920779999E-3</v>
      </c>
    </row>
    <row r="74" spans="2:5" ht="14.5" customHeight="1" x14ac:dyDescent="0.35">
      <c r="B74" s="78"/>
      <c r="C74" s="37" t="s">
        <v>234</v>
      </c>
      <c r="D74" s="38">
        <v>1</v>
      </c>
      <c r="E74" s="39">
        <v>4.65983224604E-4</v>
      </c>
    </row>
    <row r="75" spans="2:5" ht="14.5" customHeight="1" x14ac:dyDescent="0.35">
      <c r="B75" s="78"/>
      <c r="C75" s="37" t="s">
        <v>238</v>
      </c>
      <c r="D75" s="38">
        <v>1</v>
      </c>
      <c r="E75" s="39">
        <v>4.65983224604E-4</v>
      </c>
    </row>
    <row r="76" spans="2:5" ht="14.5" customHeight="1" x14ac:dyDescent="0.35">
      <c r="B76" s="78"/>
      <c r="C76" s="37" t="s">
        <v>239</v>
      </c>
      <c r="D76" s="38">
        <v>8</v>
      </c>
      <c r="E76" s="39">
        <v>3.727865796831E-3</v>
      </c>
    </row>
    <row r="77" spans="2:5" ht="14.5" customHeight="1" x14ac:dyDescent="0.35">
      <c r="B77" s="78"/>
      <c r="C77" s="15" t="s">
        <v>25</v>
      </c>
      <c r="D77" s="16">
        <v>84</v>
      </c>
      <c r="E77" s="17">
        <v>3.9142590866728999E-2</v>
      </c>
    </row>
    <row r="78" spans="2:5" ht="14.5" customHeight="1" x14ac:dyDescent="0.35">
      <c r="B78" s="78" t="s">
        <v>75</v>
      </c>
      <c r="C78" s="37" t="s">
        <v>226</v>
      </c>
      <c r="D78" s="38">
        <v>1</v>
      </c>
      <c r="E78" s="39">
        <v>4.65983224604E-4</v>
      </c>
    </row>
    <row r="79" spans="2:5" ht="14.5" customHeight="1" x14ac:dyDescent="0.35">
      <c r="B79" s="78"/>
      <c r="C79" s="37" t="s">
        <v>230</v>
      </c>
      <c r="D79" s="38">
        <v>3</v>
      </c>
      <c r="E79" s="39">
        <v>1.397949673812E-3</v>
      </c>
    </row>
    <row r="80" spans="2:5" ht="14.5" customHeight="1" x14ac:dyDescent="0.35">
      <c r="B80" s="78"/>
      <c r="C80" s="37" t="s">
        <v>233</v>
      </c>
      <c r="D80" s="38">
        <v>2</v>
      </c>
      <c r="E80" s="39">
        <v>9.3196644920800001E-4</v>
      </c>
    </row>
    <row r="81" spans="2:5" ht="14.5" customHeight="1" x14ac:dyDescent="0.35">
      <c r="B81" s="78"/>
      <c r="C81" s="37" t="s">
        <v>239</v>
      </c>
      <c r="D81" s="38">
        <v>1</v>
      </c>
      <c r="E81" s="39">
        <v>4.65983224604E-4</v>
      </c>
    </row>
    <row r="82" spans="2:5" ht="14.5" customHeight="1" x14ac:dyDescent="0.35">
      <c r="B82" s="78"/>
      <c r="C82" s="15" t="s">
        <v>25</v>
      </c>
      <c r="D82" s="16">
        <v>7</v>
      </c>
      <c r="E82" s="17">
        <v>3.261882572227E-3</v>
      </c>
    </row>
    <row r="83" spans="2:5" ht="14.5" customHeight="1" x14ac:dyDescent="0.35">
      <c r="B83" s="78" t="s">
        <v>78</v>
      </c>
      <c r="C83" s="37" t="s">
        <v>230</v>
      </c>
      <c r="D83" s="38">
        <v>3</v>
      </c>
      <c r="E83" s="39">
        <v>1.397949673812E-3</v>
      </c>
    </row>
    <row r="84" spans="2:5" ht="14.5" customHeight="1" x14ac:dyDescent="0.35">
      <c r="B84" s="78"/>
      <c r="C84" s="37" t="s">
        <v>231</v>
      </c>
      <c r="D84" s="38">
        <v>1</v>
      </c>
      <c r="E84" s="39">
        <v>4.65983224604E-4</v>
      </c>
    </row>
    <row r="85" spans="2:5" ht="14.5" customHeight="1" x14ac:dyDescent="0.35">
      <c r="B85" s="78"/>
      <c r="C85" s="37" t="s">
        <v>232</v>
      </c>
      <c r="D85" s="38">
        <v>1</v>
      </c>
      <c r="E85" s="39">
        <v>4.65983224604E-4</v>
      </c>
    </row>
    <row r="86" spans="2:5" ht="14.5" customHeight="1" x14ac:dyDescent="0.35">
      <c r="B86" s="78"/>
      <c r="C86" s="37" t="s">
        <v>239</v>
      </c>
      <c r="D86" s="38">
        <v>1</v>
      </c>
      <c r="E86" s="39">
        <v>4.65983224604E-4</v>
      </c>
    </row>
    <row r="87" spans="2:5" ht="14.5" customHeight="1" x14ac:dyDescent="0.35">
      <c r="B87" s="78"/>
      <c r="C87" s="15" t="s">
        <v>25</v>
      </c>
      <c r="D87" s="16">
        <v>6</v>
      </c>
      <c r="E87" s="17">
        <v>2.795899347623E-3</v>
      </c>
    </row>
    <row r="88" spans="2:5" ht="14.5" customHeight="1" x14ac:dyDescent="0.35">
      <c r="B88" s="78" t="s">
        <v>65</v>
      </c>
      <c r="C88" s="37" t="s">
        <v>219</v>
      </c>
      <c r="D88" s="38">
        <v>1</v>
      </c>
      <c r="E88" s="39">
        <v>4.65983224604E-4</v>
      </c>
    </row>
    <row r="89" spans="2:5" ht="14.5" customHeight="1" x14ac:dyDescent="0.35">
      <c r="B89" s="78"/>
      <c r="C89" s="37" t="s">
        <v>225</v>
      </c>
      <c r="D89" s="38">
        <v>2</v>
      </c>
      <c r="E89" s="39">
        <v>9.3196644920800001E-4</v>
      </c>
    </row>
    <row r="90" spans="2:5" ht="14.5" customHeight="1" x14ac:dyDescent="0.35">
      <c r="B90" s="78"/>
      <c r="C90" s="37" t="s">
        <v>229</v>
      </c>
      <c r="D90" s="38">
        <v>1</v>
      </c>
      <c r="E90" s="39">
        <v>4.65983224604E-4</v>
      </c>
    </row>
    <row r="91" spans="2:5" ht="14.5" customHeight="1" x14ac:dyDescent="0.35">
      <c r="B91" s="78"/>
      <c r="C91" s="37" t="s">
        <v>230</v>
      </c>
      <c r="D91" s="38">
        <v>4</v>
      </c>
      <c r="E91" s="39">
        <v>1.863932898416E-3</v>
      </c>
    </row>
    <row r="92" spans="2:5" ht="14.5" customHeight="1" x14ac:dyDescent="0.35">
      <c r="B92" s="78"/>
      <c r="C92" s="37" t="s">
        <v>231</v>
      </c>
      <c r="D92" s="38">
        <v>1</v>
      </c>
      <c r="E92" s="39">
        <v>4.65983224604E-4</v>
      </c>
    </row>
    <row r="93" spans="2:5" ht="14.5" customHeight="1" x14ac:dyDescent="0.35">
      <c r="B93" s="78"/>
      <c r="C93" s="37" t="s">
        <v>233</v>
      </c>
      <c r="D93" s="38">
        <v>1</v>
      </c>
      <c r="E93" s="39">
        <v>4.65983224604E-4</v>
      </c>
    </row>
    <row r="94" spans="2:5" ht="14.5" customHeight="1" x14ac:dyDescent="0.35">
      <c r="B94" s="78"/>
      <c r="C94" s="37" t="s">
        <v>238</v>
      </c>
      <c r="D94" s="38">
        <v>1</v>
      </c>
      <c r="E94" s="39">
        <v>4.65983224604E-4</v>
      </c>
    </row>
    <row r="95" spans="2:5" ht="14.5" customHeight="1" x14ac:dyDescent="0.35">
      <c r="B95" s="78"/>
      <c r="C95" s="37" t="s">
        <v>239</v>
      </c>
      <c r="D95" s="38">
        <v>1</v>
      </c>
      <c r="E95" s="39">
        <v>4.65983224604E-4</v>
      </c>
    </row>
    <row r="96" spans="2:5" ht="14.5" customHeight="1" x14ac:dyDescent="0.35">
      <c r="B96" s="78"/>
      <c r="C96" s="15" t="s">
        <v>25</v>
      </c>
      <c r="D96" s="16">
        <v>12</v>
      </c>
      <c r="E96" s="17">
        <v>5.591798695247E-3</v>
      </c>
    </row>
    <row r="97" spans="2:5" ht="14.5" customHeight="1" x14ac:dyDescent="0.35">
      <c r="B97" s="78" t="s">
        <v>55</v>
      </c>
      <c r="C97" s="37" t="s">
        <v>219</v>
      </c>
      <c r="D97" s="38">
        <v>1</v>
      </c>
      <c r="E97" s="39">
        <v>4.65983224604E-4</v>
      </c>
    </row>
    <row r="98" spans="2:5" ht="14.5" customHeight="1" x14ac:dyDescent="0.35">
      <c r="B98" s="78"/>
      <c r="C98" s="37" t="s">
        <v>226</v>
      </c>
      <c r="D98" s="38">
        <v>8</v>
      </c>
      <c r="E98" s="39">
        <v>3.727865796831E-3</v>
      </c>
    </row>
    <row r="99" spans="2:5" ht="14.5" customHeight="1" x14ac:dyDescent="0.35">
      <c r="B99" s="78"/>
      <c r="C99" s="37" t="s">
        <v>229</v>
      </c>
      <c r="D99" s="38">
        <v>2</v>
      </c>
      <c r="E99" s="39">
        <v>9.3196644920800001E-4</v>
      </c>
    </row>
    <row r="100" spans="2:5" ht="14.5" customHeight="1" x14ac:dyDescent="0.35">
      <c r="B100" s="78"/>
      <c r="C100" s="37" t="s">
        <v>230</v>
      </c>
      <c r="D100" s="38">
        <v>13</v>
      </c>
      <c r="E100" s="39">
        <v>6.057781919851E-3</v>
      </c>
    </row>
    <row r="101" spans="2:5" ht="14.5" customHeight="1" x14ac:dyDescent="0.35">
      <c r="B101" s="78"/>
      <c r="C101" s="37" t="s">
        <v>232</v>
      </c>
      <c r="D101" s="38">
        <v>3</v>
      </c>
      <c r="E101" s="39">
        <v>1.397949673812E-3</v>
      </c>
    </row>
    <row r="102" spans="2:5" ht="14.5" customHeight="1" x14ac:dyDescent="0.35">
      <c r="B102" s="78"/>
      <c r="C102" s="37" t="s">
        <v>233</v>
      </c>
      <c r="D102" s="38">
        <v>11</v>
      </c>
      <c r="E102" s="39">
        <v>5.125815470643E-3</v>
      </c>
    </row>
    <row r="103" spans="2:5" ht="14.5" customHeight="1" x14ac:dyDescent="0.35">
      <c r="B103" s="78"/>
      <c r="C103" s="37" t="s">
        <v>234</v>
      </c>
      <c r="D103" s="38">
        <v>1</v>
      </c>
      <c r="E103" s="39">
        <v>4.65983224604E-4</v>
      </c>
    </row>
    <row r="104" spans="2:5" ht="14.5" customHeight="1" x14ac:dyDescent="0.35">
      <c r="B104" s="78"/>
      <c r="C104" s="37" t="s">
        <v>235</v>
      </c>
      <c r="D104" s="38">
        <v>1</v>
      </c>
      <c r="E104" s="39">
        <v>4.65983224604E-4</v>
      </c>
    </row>
    <row r="105" spans="2:5" ht="14.5" customHeight="1" x14ac:dyDescent="0.35">
      <c r="B105" s="78"/>
      <c r="C105" s="37" t="s">
        <v>238</v>
      </c>
      <c r="D105" s="38">
        <v>1</v>
      </c>
      <c r="E105" s="39">
        <v>4.65983224604E-4</v>
      </c>
    </row>
    <row r="106" spans="2:5" ht="14.5" customHeight="1" x14ac:dyDescent="0.35">
      <c r="B106" s="78"/>
      <c r="C106" s="37" t="s">
        <v>239</v>
      </c>
      <c r="D106" s="38">
        <v>3</v>
      </c>
      <c r="E106" s="39">
        <v>1.397949673812E-3</v>
      </c>
    </row>
    <row r="107" spans="2:5" ht="14.5" customHeight="1" x14ac:dyDescent="0.35">
      <c r="B107" s="78"/>
      <c r="C107" s="37" t="s">
        <v>241</v>
      </c>
      <c r="D107" s="38">
        <v>1</v>
      </c>
      <c r="E107" s="39">
        <v>4.65983224604E-4</v>
      </c>
    </row>
    <row r="108" spans="2:5" ht="14.5" customHeight="1" x14ac:dyDescent="0.35">
      <c r="B108" s="78"/>
      <c r="C108" s="15" t="s">
        <v>25</v>
      </c>
      <c r="D108" s="16">
        <v>45</v>
      </c>
      <c r="E108" s="17">
        <v>2.0969245107176002E-2</v>
      </c>
    </row>
    <row r="109" spans="2:5" ht="14.5" customHeight="1" x14ac:dyDescent="0.35">
      <c r="B109" s="78" t="s">
        <v>80</v>
      </c>
      <c r="C109" s="37" t="s">
        <v>224</v>
      </c>
      <c r="D109" s="38">
        <v>1</v>
      </c>
      <c r="E109" s="39">
        <v>4.65983224604E-4</v>
      </c>
    </row>
    <row r="110" spans="2:5" ht="14.5" customHeight="1" x14ac:dyDescent="0.35">
      <c r="B110" s="78"/>
      <c r="C110" s="37" t="s">
        <v>231</v>
      </c>
      <c r="D110" s="38">
        <v>1</v>
      </c>
      <c r="E110" s="39">
        <v>4.65983224604E-4</v>
      </c>
    </row>
    <row r="111" spans="2:5" ht="14.5" customHeight="1" x14ac:dyDescent="0.35">
      <c r="B111" s="78"/>
      <c r="C111" s="37" t="s">
        <v>233</v>
      </c>
      <c r="D111" s="38">
        <v>2</v>
      </c>
      <c r="E111" s="39">
        <v>9.3196644920800001E-4</v>
      </c>
    </row>
    <row r="112" spans="2:5" ht="14.5" customHeight="1" x14ac:dyDescent="0.35">
      <c r="B112" s="78"/>
      <c r="C112" s="37" t="s">
        <v>239</v>
      </c>
      <c r="D112" s="38">
        <v>1</v>
      </c>
      <c r="E112" s="39">
        <v>4.65983224604E-4</v>
      </c>
    </row>
    <row r="113" spans="2:5" ht="14.5" customHeight="1" x14ac:dyDescent="0.35">
      <c r="B113" s="78"/>
      <c r="C113" s="15" t="s">
        <v>25</v>
      </c>
      <c r="D113" s="16">
        <v>5</v>
      </c>
      <c r="E113" s="17">
        <v>2.32991612302E-3</v>
      </c>
    </row>
    <row r="114" spans="2:5" ht="14.5" customHeight="1" x14ac:dyDescent="0.35">
      <c r="B114" s="78" t="s">
        <v>58</v>
      </c>
      <c r="C114" s="37" t="s">
        <v>220</v>
      </c>
      <c r="D114" s="38">
        <v>1</v>
      </c>
      <c r="E114" s="39">
        <v>4.65983224604E-4</v>
      </c>
    </row>
    <row r="115" spans="2:5" ht="14.5" customHeight="1" x14ac:dyDescent="0.35">
      <c r="B115" s="78"/>
      <c r="C115" s="37" t="s">
        <v>224</v>
      </c>
      <c r="D115" s="38">
        <v>1</v>
      </c>
      <c r="E115" s="39">
        <v>4.65983224604E-4</v>
      </c>
    </row>
    <row r="116" spans="2:5" ht="14.5" customHeight="1" x14ac:dyDescent="0.35">
      <c r="B116" s="78"/>
      <c r="C116" s="37" t="s">
        <v>226</v>
      </c>
      <c r="D116" s="38">
        <v>1</v>
      </c>
      <c r="E116" s="39">
        <v>4.65983224604E-4</v>
      </c>
    </row>
    <row r="117" spans="2:5" ht="14.5" customHeight="1" x14ac:dyDescent="0.35">
      <c r="B117" s="78"/>
      <c r="C117" s="37" t="s">
        <v>229</v>
      </c>
      <c r="D117" s="38">
        <v>2</v>
      </c>
      <c r="E117" s="39">
        <v>9.3196644920800001E-4</v>
      </c>
    </row>
    <row r="118" spans="2:5" ht="14.5" customHeight="1" x14ac:dyDescent="0.35">
      <c r="B118" s="78"/>
      <c r="C118" s="37" t="s">
        <v>230</v>
      </c>
      <c r="D118" s="38">
        <v>11</v>
      </c>
      <c r="E118" s="39">
        <v>5.125815470643E-3</v>
      </c>
    </row>
    <row r="119" spans="2:5" ht="14.5" customHeight="1" x14ac:dyDescent="0.35">
      <c r="B119" s="78"/>
      <c r="C119" s="37" t="s">
        <v>232</v>
      </c>
      <c r="D119" s="38">
        <v>1</v>
      </c>
      <c r="E119" s="39">
        <v>4.65983224604E-4</v>
      </c>
    </row>
    <row r="120" spans="2:5" ht="14.5" customHeight="1" x14ac:dyDescent="0.35">
      <c r="B120" s="78"/>
      <c r="C120" s="37" t="s">
        <v>233</v>
      </c>
      <c r="D120" s="38">
        <v>4</v>
      </c>
      <c r="E120" s="39">
        <v>1.863932898416E-3</v>
      </c>
    </row>
    <row r="121" spans="2:5" ht="14.5" customHeight="1" x14ac:dyDescent="0.35">
      <c r="B121" s="78"/>
      <c r="C121" s="37" t="s">
        <v>235</v>
      </c>
      <c r="D121" s="38">
        <v>1</v>
      </c>
      <c r="E121" s="39">
        <v>4.65983224604E-4</v>
      </c>
    </row>
    <row r="122" spans="2:5" ht="14.5" customHeight="1" x14ac:dyDescent="0.35">
      <c r="B122" s="78"/>
      <c r="C122" s="37" t="s">
        <v>238</v>
      </c>
      <c r="D122" s="38">
        <v>1</v>
      </c>
      <c r="E122" s="39">
        <v>4.65983224604E-4</v>
      </c>
    </row>
    <row r="123" spans="2:5" ht="14.5" customHeight="1" x14ac:dyDescent="0.35">
      <c r="B123" s="78"/>
      <c r="C123" s="37" t="s">
        <v>239</v>
      </c>
      <c r="D123" s="38">
        <v>1</v>
      </c>
      <c r="E123" s="39">
        <v>4.65983224604E-4</v>
      </c>
    </row>
    <row r="124" spans="2:5" ht="14.5" customHeight="1" x14ac:dyDescent="0.35">
      <c r="B124" s="78"/>
      <c r="C124" s="15" t="s">
        <v>25</v>
      </c>
      <c r="D124" s="16">
        <v>24</v>
      </c>
      <c r="E124" s="17">
        <v>1.1183597390494E-2</v>
      </c>
    </row>
    <row r="125" spans="2:5" ht="14.5" customHeight="1" x14ac:dyDescent="0.35">
      <c r="B125" s="78" t="s">
        <v>85</v>
      </c>
      <c r="C125" s="37" t="s">
        <v>233</v>
      </c>
      <c r="D125" s="38">
        <v>2</v>
      </c>
      <c r="E125" s="39">
        <v>9.3196644920800001E-4</v>
      </c>
    </row>
    <row r="126" spans="2:5" ht="14.5" customHeight="1" x14ac:dyDescent="0.35">
      <c r="B126" s="78"/>
      <c r="C126" s="15" t="s">
        <v>25</v>
      </c>
      <c r="D126" s="16">
        <v>2</v>
      </c>
      <c r="E126" s="17">
        <v>9.3196644920800001E-4</v>
      </c>
    </row>
    <row r="127" spans="2:5" ht="14.5" customHeight="1" x14ac:dyDescent="0.35">
      <c r="B127" s="78" t="s">
        <v>52</v>
      </c>
      <c r="C127" s="37" t="s">
        <v>224</v>
      </c>
      <c r="D127" s="38">
        <v>2</v>
      </c>
      <c r="E127" s="39">
        <v>9.3196644920800001E-4</v>
      </c>
    </row>
    <row r="128" spans="2:5" ht="14.5" customHeight="1" x14ac:dyDescent="0.35">
      <c r="B128" s="78"/>
      <c r="C128" s="37" t="s">
        <v>225</v>
      </c>
      <c r="D128" s="38">
        <v>3</v>
      </c>
      <c r="E128" s="39">
        <v>1.397949673812E-3</v>
      </c>
    </row>
    <row r="129" spans="2:5" ht="14.5" customHeight="1" x14ac:dyDescent="0.35">
      <c r="B129" s="78"/>
      <c r="C129" s="37" t="s">
        <v>226</v>
      </c>
      <c r="D129" s="38">
        <v>1</v>
      </c>
      <c r="E129" s="39">
        <v>4.65983224604E-4</v>
      </c>
    </row>
    <row r="130" spans="2:5" ht="14.5" customHeight="1" x14ac:dyDescent="0.35">
      <c r="B130" s="78"/>
      <c r="C130" s="37" t="s">
        <v>227</v>
      </c>
      <c r="D130" s="38">
        <v>1</v>
      </c>
      <c r="E130" s="39">
        <v>4.65983224604E-4</v>
      </c>
    </row>
    <row r="131" spans="2:5" ht="14.5" customHeight="1" x14ac:dyDescent="0.35">
      <c r="B131" s="78"/>
      <c r="C131" s="37" t="s">
        <v>228</v>
      </c>
      <c r="D131" s="38">
        <v>3</v>
      </c>
      <c r="E131" s="39">
        <v>1.397949673812E-3</v>
      </c>
    </row>
    <row r="132" spans="2:5" ht="14.5" customHeight="1" x14ac:dyDescent="0.35">
      <c r="B132" s="78"/>
      <c r="C132" s="37" t="s">
        <v>229</v>
      </c>
      <c r="D132" s="38">
        <v>5</v>
      </c>
      <c r="E132" s="39">
        <v>2.32991612302E-3</v>
      </c>
    </row>
    <row r="133" spans="2:5" ht="14.5" customHeight="1" x14ac:dyDescent="0.35">
      <c r="B133" s="78"/>
      <c r="C133" s="37" t="s">
        <v>230</v>
      </c>
      <c r="D133" s="38">
        <v>16</v>
      </c>
      <c r="E133" s="39">
        <v>7.455731593663E-3</v>
      </c>
    </row>
    <row r="134" spans="2:5" ht="14.5" customHeight="1" x14ac:dyDescent="0.35">
      <c r="B134" s="78"/>
      <c r="C134" s="37" t="s">
        <v>231</v>
      </c>
      <c r="D134" s="38">
        <v>1</v>
      </c>
      <c r="E134" s="39">
        <v>4.65983224604E-4</v>
      </c>
    </row>
    <row r="135" spans="2:5" ht="14.5" customHeight="1" x14ac:dyDescent="0.35">
      <c r="B135" s="78"/>
      <c r="C135" s="37" t="s">
        <v>232</v>
      </c>
      <c r="D135" s="38">
        <v>2</v>
      </c>
      <c r="E135" s="39">
        <v>9.3196644920800001E-4</v>
      </c>
    </row>
    <row r="136" spans="2:5" ht="14.5" customHeight="1" x14ac:dyDescent="0.35">
      <c r="B136" s="78"/>
      <c r="C136" s="37" t="s">
        <v>233</v>
      </c>
      <c r="D136" s="38">
        <v>13</v>
      </c>
      <c r="E136" s="39">
        <v>6.057781919851E-3</v>
      </c>
    </row>
    <row r="137" spans="2:5" ht="14.5" customHeight="1" x14ac:dyDescent="0.35">
      <c r="B137" s="78"/>
      <c r="C137" s="37" t="s">
        <v>238</v>
      </c>
      <c r="D137" s="38">
        <v>1</v>
      </c>
      <c r="E137" s="39">
        <v>4.65983224604E-4</v>
      </c>
    </row>
    <row r="138" spans="2:5" ht="14.5" customHeight="1" x14ac:dyDescent="0.35">
      <c r="B138" s="78"/>
      <c r="C138" s="37" t="s">
        <v>239</v>
      </c>
      <c r="D138" s="38">
        <v>4</v>
      </c>
      <c r="E138" s="39">
        <v>1.863932898416E-3</v>
      </c>
    </row>
    <row r="139" spans="2:5" ht="14.5" customHeight="1" x14ac:dyDescent="0.35">
      <c r="B139" s="78"/>
      <c r="C139" s="15" t="s">
        <v>25</v>
      </c>
      <c r="D139" s="16">
        <v>52</v>
      </c>
      <c r="E139" s="17">
        <v>2.4231127679404E-2</v>
      </c>
    </row>
    <row r="140" spans="2:5" ht="14.5" customHeight="1" x14ac:dyDescent="0.35">
      <c r="B140" s="78" t="s">
        <v>56</v>
      </c>
      <c r="C140" s="37" t="s">
        <v>221</v>
      </c>
      <c r="D140" s="38">
        <v>1</v>
      </c>
      <c r="E140" s="39">
        <v>4.65983224604E-4</v>
      </c>
    </row>
    <row r="141" spans="2:5" ht="14.5" customHeight="1" x14ac:dyDescent="0.35">
      <c r="B141" s="78"/>
      <c r="C141" s="37" t="s">
        <v>222</v>
      </c>
      <c r="D141" s="38">
        <v>1</v>
      </c>
      <c r="E141" s="39">
        <v>4.65983224604E-4</v>
      </c>
    </row>
    <row r="142" spans="2:5" ht="14.5" customHeight="1" x14ac:dyDescent="0.35">
      <c r="B142" s="78"/>
      <c r="C142" s="37" t="s">
        <v>225</v>
      </c>
      <c r="D142" s="38">
        <v>3</v>
      </c>
      <c r="E142" s="39">
        <v>1.397949673812E-3</v>
      </c>
    </row>
    <row r="143" spans="2:5" ht="14.5" customHeight="1" x14ac:dyDescent="0.35">
      <c r="B143" s="78"/>
      <c r="C143" s="37" t="s">
        <v>226</v>
      </c>
      <c r="D143" s="38">
        <v>3</v>
      </c>
      <c r="E143" s="39">
        <v>1.397949673812E-3</v>
      </c>
    </row>
    <row r="144" spans="2:5" ht="14.5" customHeight="1" x14ac:dyDescent="0.35">
      <c r="B144" s="78"/>
      <c r="C144" s="37" t="s">
        <v>228</v>
      </c>
      <c r="D144" s="38">
        <v>2</v>
      </c>
      <c r="E144" s="39">
        <v>9.3196644920800001E-4</v>
      </c>
    </row>
    <row r="145" spans="2:5" ht="14.5" customHeight="1" x14ac:dyDescent="0.35">
      <c r="B145" s="78"/>
      <c r="C145" s="37" t="s">
        <v>229</v>
      </c>
      <c r="D145" s="38">
        <v>2</v>
      </c>
      <c r="E145" s="39">
        <v>9.3196644920800001E-4</v>
      </c>
    </row>
    <row r="146" spans="2:5" ht="14.5" customHeight="1" x14ac:dyDescent="0.35">
      <c r="B146" s="78"/>
      <c r="C146" s="37" t="s">
        <v>230</v>
      </c>
      <c r="D146" s="38">
        <v>14</v>
      </c>
      <c r="E146" s="39">
        <v>6.523765144455E-3</v>
      </c>
    </row>
    <row r="147" spans="2:5" ht="14.5" customHeight="1" x14ac:dyDescent="0.35">
      <c r="B147" s="78"/>
      <c r="C147" s="37" t="s">
        <v>231</v>
      </c>
      <c r="D147" s="38">
        <v>1</v>
      </c>
      <c r="E147" s="39">
        <v>4.65983224604E-4</v>
      </c>
    </row>
    <row r="148" spans="2:5" ht="14.5" customHeight="1" x14ac:dyDescent="0.35">
      <c r="B148" s="78"/>
      <c r="C148" s="37" t="s">
        <v>232</v>
      </c>
      <c r="D148" s="38">
        <v>2</v>
      </c>
      <c r="E148" s="39">
        <v>9.3196644920800001E-4</v>
      </c>
    </row>
    <row r="149" spans="2:5" ht="14.5" customHeight="1" x14ac:dyDescent="0.35">
      <c r="B149" s="78"/>
      <c r="C149" s="37" t="s">
        <v>233</v>
      </c>
      <c r="D149" s="38">
        <v>5</v>
      </c>
      <c r="E149" s="39">
        <v>2.32991612302E-3</v>
      </c>
    </row>
    <row r="150" spans="2:5" ht="14.5" customHeight="1" x14ac:dyDescent="0.35">
      <c r="B150" s="78"/>
      <c r="C150" s="37" t="s">
        <v>238</v>
      </c>
      <c r="D150" s="38">
        <v>1</v>
      </c>
      <c r="E150" s="39">
        <v>4.65983224604E-4</v>
      </c>
    </row>
    <row r="151" spans="2:5" ht="14.5" customHeight="1" x14ac:dyDescent="0.35">
      <c r="B151" s="78"/>
      <c r="C151" s="37" t="s">
        <v>239</v>
      </c>
      <c r="D151" s="38">
        <v>3</v>
      </c>
      <c r="E151" s="39">
        <v>1.397949673812E-3</v>
      </c>
    </row>
    <row r="152" spans="2:5" ht="14.5" customHeight="1" x14ac:dyDescent="0.35">
      <c r="B152" s="78"/>
      <c r="C152" s="15" t="s">
        <v>25</v>
      </c>
      <c r="D152" s="16">
        <v>38</v>
      </c>
      <c r="E152" s="17">
        <v>1.7707362534948999E-2</v>
      </c>
    </row>
    <row r="153" spans="2:5" ht="14.5" customHeight="1" x14ac:dyDescent="0.35">
      <c r="B153" s="78" t="s">
        <v>45</v>
      </c>
      <c r="C153" s="37" t="s">
        <v>219</v>
      </c>
      <c r="D153" s="38">
        <v>9</v>
      </c>
      <c r="E153" s="39">
        <v>4.193849021435E-3</v>
      </c>
    </row>
    <row r="154" spans="2:5" ht="14.5" customHeight="1" x14ac:dyDescent="0.35">
      <c r="B154" s="78"/>
      <c r="C154" s="37" t="s">
        <v>220</v>
      </c>
      <c r="D154" s="38">
        <v>4</v>
      </c>
      <c r="E154" s="39">
        <v>1.863932898416E-3</v>
      </c>
    </row>
    <row r="155" spans="2:5" ht="14.5" customHeight="1" x14ac:dyDescent="0.35">
      <c r="B155" s="78"/>
      <c r="C155" s="37" t="s">
        <v>221</v>
      </c>
      <c r="D155" s="38">
        <v>4</v>
      </c>
      <c r="E155" s="39">
        <v>1.863932898416E-3</v>
      </c>
    </row>
    <row r="156" spans="2:5" ht="14.5" customHeight="1" x14ac:dyDescent="0.35">
      <c r="B156" s="78"/>
      <c r="C156" s="37" t="s">
        <v>222</v>
      </c>
      <c r="D156" s="38">
        <v>6</v>
      </c>
      <c r="E156" s="39">
        <v>2.795899347623E-3</v>
      </c>
    </row>
    <row r="157" spans="2:5" ht="14.5" customHeight="1" x14ac:dyDescent="0.35">
      <c r="B157" s="78"/>
      <c r="C157" s="37" t="s">
        <v>223</v>
      </c>
      <c r="D157" s="38">
        <v>2</v>
      </c>
      <c r="E157" s="39">
        <v>9.3196644920800001E-4</v>
      </c>
    </row>
    <row r="158" spans="2:5" ht="14.5" customHeight="1" x14ac:dyDescent="0.35">
      <c r="B158" s="78"/>
      <c r="C158" s="37" t="s">
        <v>224</v>
      </c>
      <c r="D158" s="38">
        <v>9</v>
      </c>
      <c r="E158" s="39">
        <v>4.193849021435E-3</v>
      </c>
    </row>
    <row r="159" spans="2:5" ht="14.5" customHeight="1" x14ac:dyDescent="0.35">
      <c r="B159" s="78"/>
      <c r="C159" s="37" t="s">
        <v>225</v>
      </c>
      <c r="D159" s="38">
        <v>21</v>
      </c>
      <c r="E159" s="39">
        <v>9.785647716682E-3</v>
      </c>
    </row>
    <row r="160" spans="2:5" ht="14.5" customHeight="1" x14ac:dyDescent="0.35">
      <c r="B160" s="78"/>
      <c r="C160" s="37" t="s">
        <v>226</v>
      </c>
      <c r="D160" s="38">
        <v>54</v>
      </c>
      <c r="E160" s="39">
        <v>2.5163094128611001E-2</v>
      </c>
    </row>
    <row r="161" spans="2:5" ht="14.5" customHeight="1" x14ac:dyDescent="0.35">
      <c r="B161" s="78"/>
      <c r="C161" s="37" t="s">
        <v>227</v>
      </c>
      <c r="D161" s="38">
        <v>2</v>
      </c>
      <c r="E161" s="39">
        <v>9.3196644920800001E-4</v>
      </c>
    </row>
    <row r="162" spans="2:5" ht="14.5" customHeight="1" x14ac:dyDescent="0.35">
      <c r="B162" s="78"/>
      <c r="C162" s="37" t="s">
        <v>228</v>
      </c>
      <c r="D162" s="38">
        <v>8</v>
      </c>
      <c r="E162" s="39">
        <v>3.727865796831E-3</v>
      </c>
    </row>
    <row r="163" spans="2:5" ht="14.5" customHeight="1" x14ac:dyDescent="0.35">
      <c r="B163" s="78"/>
      <c r="C163" s="37" t="s">
        <v>229</v>
      </c>
      <c r="D163" s="38">
        <v>7</v>
      </c>
      <c r="E163" s="39">
        <v>3.261882572227E-3</v>
      </c>
    </row>
    <row r="164" spans="2:5" ht="14.5" customHeight="1" x14ac:dyDescent="0.35">
      <c r="B164" s="78"/>
      <c r="C164" s="37" t="s">
        <v>230</v>
      </c>
      <c r="D164" s="38">
        <v>122</v>
      </c>
      <c r="E164" s="39">
        <v>5.6849953401677998E-2</v>
      </c>
    </row>
    <row r="165" spans="2:5" ht="14.5" customHeight="1" x14ac:dyDescent="0.35">
      <c r="B165" s="78"/>
      <c r="C165" s="37" t="s">
        <v>231</v>
      </c>
      <c r="D165" s="38">
        <v>9</v>
      </c>
      <c r="E165" s="39">
        <v>4.193849021435E-3</v>
      </c>
    </row>
    <row r="166" spans="2:5" ht="14.5" customHeight="1" x14ac:dyDescent="0.35">
      <c r="B166" s="78"/>
      <c r="C166" s="37" t="s">
        <v>232</v>
      </c>
      <c r="D166" s="38">
        <v>17</v>
      </c>
      <c r="E166" s="39">
        <v>7.9217148182669991E-3</v>
      </c>
    </row>
    <row r="167" spans="2:5" ht="14.5" customHeight="1" x14ac:dyDescent="0.35">
      <c r="B167" s="78"/>
      <c r="C167" s="37" t="s">
        <v>233</v>
      </c>
      <c r="D167" s="38">
        <v>86</v>
      </c>
      <c r="E167" s="39">
        <v>4.0074557315937002E-2</v>
      </c>
    </row>
    <row r="168" spans="2:5" ht="14.5" customHeight="1" x14ac:dyDescent="0.35">
      <c r="B168" s="78"/>
      <c r="C168" s="37" t="s">
        <v>234</v>
      </c>
      <c r="D168" s="38">
        <v>1</v>
      </c>
      <c r="E168" s="39">
        <v>4.65983224604E-4</v>
      </c>
    </row>
    <row r="169" spans="2:5" ht="14.5" customHeight="1" x14ac:dyDescent="0.35">
      <c r="B169" s="78"/>
      <c r="C169" s="37" t="s">
        <v>235</v>
      </c>
      <c r="D169" s="38">
        <v>2</v>
      </c>
      <c r="E169" s="39">
        <v>9.3196644920800001E-4</v>
      </c>
    </row>
    <row r="170" spans="2:5" ht="14.5" customHeight="1" x14ac:dyDescent="0.35">
      <c r="B170" s="78"/>
      <c r="C170" s="37" t="s">
        <v>236</v>
      </c>
      <c r="D170" s="38">
        <v>1</v>
      </c>
      <c r="E170" s="39">
        <v>4.65983224604E-4</v>
      </c>
    </row>
    <row r="171" spans="2:5" ht="14.5" customHeight="1" x14ac:dyDescent="0.35">
      <c r="B171" s="78"/>
      <c r="C171" s="37" t="s">
        <v>237</v>
      </c>
      <c r="D171" s="38">
        <v>1</v>
      </c>
      <c r="E171" s="39">
        <v>4.65983224604E-4</v>
      </c>
    </row>
    <row r="172" spans="2:5" ht="14.5" customHeight="1" x14ac:dyDescent="0.35">
      <c r="B172" s="78"/>
      <c r="C172" s="37" t="s">
        <v>238</v>
      </c>
      <c r="D172" s="38">
        <v>4</v>
      </c>
      <c r="E172" s="39">
        <v>1.863932898416E-3</v>
      </c>
    </row>
    <row r="173" spans="2:5" ht="14.5" customHeight="1" x14ac:dyDescent="0.35">
      <c r="B173" s="78"/>
      <c r="C173" s="37" t="s">
        <v>239</v>
      </c>
      <c r="D173" s="38">
        <v>13</v>
      </c>
      <c r="E173" s="39">
        <v>6.057781919851E-3</v>
      </c>
    </row>
    <row r="174" spans="2:5" ht="14.5" customHeight="1" x14ac:dyDescent="0.35">
      <c r="B174" s="78"/>
      <c r="C174" s="37" t="s">
        <v>240</v>
      </c>
      <c r="D174" s="38">
        <v>2</v>
      </c>
      <c r="E174" s="39">
        <v>9.3196644920800001E-4</v>
      </c>
    </row>
    <row r="175" spans="2:5" ht="14.5" customHeight="1" x14ac:dyDescent="0.35">
      <c r="B175" s="78"/>
      <c r="C175" s="15" t="s">
        <v>25</v>
      </c>
      <c r="D175" s="16">
        <v>384</v>
      </c>
      <c r="E175" s="17">
        <v>0.178937558247903</v>
      </c>
    </row>
    <row r="176" spans="2:5" ht="14.5" customHeight="1" x14ac:dyDescent="0.35">
      <c r="B176" s="78" t="s">
        <v>64</v>
      </c>
      <c r="C176" s="37" t="s">
        <v>229</v>
      </c>
      <c r="D176" s="38">
        <v>2</v>
      </c>
      <c r="E176" s="39">
        <v>9.3196644920800001E-4</v>
      </c>
    </row>
    <row r="177" spans="2:5" ht="14.5" customHeight="1" x14ac:dyDescent="0.35">
      <c r="B177" s="78"/>
      <c r="C177" s="37" t="s">
        <v>230</v>
      </c>
      <c r="D177" s="38">
        <v>3</v>
      </c>
      <c r="E177" s="39">
        <v>1.397949673812E-3</v>
      </c>
    </row>
    <row r="178" spans="2:5" ht="14.5" customHeight="1" x14ac:dyDescent="0.35">
      <c r="B178" s="78"/>
      <c r="C178" s="37" t="s">
        <v>231</v>
      </c>
      <c r="D178" s="38">
        <v>1</v>
      </c>
      <c r="E178" s="39">
        <v>4.65983224604E-4</v>
      </c>
    </row>
    <row r="179" spans="2:5" ht="14.5" customHeight="1" x14ac:dyDescent="0.35">
      <c r="B179" s="78"/>
      <c r="C179" s="37" t="s">
        <v>233</v>
      </c>
      <c r="D179" s="38">
        <v>4</v>
      </c>
      <c r="E179" s="39">
        <v>1.863932898416E-3</v>
      </c>
    </row>
    <row r="180" spans="2:5" ht="14.5" customHeight="1" x14ac:dyDescent="0.35">
      <c r="B180" s="78"/>
      <c r="C180" s="37" t="s">
        <v>239</v>
      </c>
      <c r="D180" s="38">
        <v>3</v>
      </c>
      <c r="E180" s="39">
        <v>1.397949673812E-3</v>
      </c>
    </row>
    <row r="181" spans="2:5" ht="14.5" customHeight="1" x14ac:dyDescent="0.35">
      <c r="B181" s="78"/>
      <c r="C181" s="15" t="s">
        <v>25</v>
      </c>
      <c r="D181" s="16">
        <v>13</v>
      </c>
      <c r="E181" s="17">
        <v>6.057781919851E-3</v>
      </c>
    </row>
    <row r="182" spans="2:5" ht="14.5" customHeight="1" x14ac:dyDescent="0.35">
      <c r="B182" s="78" t="s">
        <v>60</v>
      </c>
      <c r="C182" s="37" t="s">
        <v>219</v>
      </c>
      <c r="D182" s="38">
        <v>2</v>
      </c>
      <c r="E182" s="39">
        <v>9.3196644920800001E-4</v>
      </c>
    </row>
    <row r="183" spans="2:5" ht="14.5" customHeight="1" x14ac:dyDescent="0.35">
      <c r="B183" s="78"/>
      <c r="C183" s="37" t="s">
        <v>224</v>
      </c>
      <c r="D183" s="38">
        <v>1</v>
      </c>
      <c r="E183" s="39">
        <v>4.65983224604E-4</v>
      </c>
    </row>
    <row r="184" spans="2:5" ht="14.5" customHeight="1" x14ac:dyDescent="0.35">
      <c r="B184" s="78"/>
      <c r="C184" s="37" t="s">
        <v>226</v>
      </c>
      <c r="D184" s="38">
        <v>2</v>
      </c>
      <c r="E184" s="39">
        <v>9.3196644920800001E-4</v>
      </c>
    </row>
    <row r="185" spans="2:5" ht="14.5" customHeight="1" x14ac:dyDescent="0.35">
      <c r="B185" s="78"/>
      <c r="C185" s="37" t="s">
        <v>228</v>
      </c>
      <c r="D185" s="38">
        <v>1</v>
      </c>
      <c r="E185" s="39">
        <v>4.65983224604E-4</v>
      </c>
    </row>
    <row r="186" spans="2:5" ht="14.5" customHeight="1" x14ac:dyDescent="0.35">
      <c r="B186" s="78"/>
      <c r="C186" s="37" t="s">
        <v>230</v>
      </c>
      <c r="D186" s="38">
        <v>3</v>
      </c>
      <c r="E186" s="39">
        <v>1.397949673812E-3</v>
      </c>
    </row>
    <row r="187" spans="2:5" ht="14.5" customHeight="1" x14ac:dyDescent="0.35">
      <c r="B187" s="78"/>
      <c r="C187" s="37" t="s">
        <v>232</v>
      </c>
      <c r="D187" s="38">
        <v>1</v>
      </c>
      <c r="E187" s="39">
        <v>4.65983224604E-4</v>
      </c>
    </row>
    <row r="188" spans="2:5" ht="14.5" customHeight="1" x14ac:dyDescent="0.35">
      <c r="B188" s="78"/>
      <c r="C188" s="37" t="s">
        <v>233</v>
      </c>
      <c r="D188" s="38">
        <v>5</v>
      </c>
      <c r="E188" s="39">
        <v>2.32991612302E-3</v>
      </c>
    </row>
    <row r="189" spans="2:5" ht="14.5" customHeight="1" x14ac:dyDescent="0.35">
      <c r="B189" s="78"/>
      <c r="C189" s="37" t="s">
        <v>239</v>
      </c>
      <c r="D189" s="38">
        <v>6</v>
      </c>
      <c r="E189" s="39">
        <v>2.795899347623E-3</v>
      </c>
    </row>
    <row r="190" spans="2:5" ht="14.5" customHeight="1" x14ac:dyDescent="0.35">
      <c r="B190" s="78"/>
      <c r="C190" s="15" t="s">
        <v>25</v>
      </c>
      <c r="D190" s="16">
        <v>21</v>
      </c>
      <c r="E190" s="17">
        <v>9.785647716682E-3</v>
      </c>
    </row>
    <row r="191" spans="2:5" ht="14.5" customHeight="1" x14ac:dyDescent="0.35">
      <c r="B191" s="78" t="s">
        <v>76</v>
      </c>
      <c r="C191" s="37" t="s">
        <v>226</v>
      </c>
      <c r="D191" s="38">
        <v>1</v>
      </c>
      <c r="E191" s="39">
        <v>4.65983224604E-4</v>
      </c>
    </row>
    <row r="192" spans="2:5" ht="14.5" customHeight="1" x14ac:dyDescent="0.35">
      <c r="B192" s="78"/>
      <c r="C192" s="37" t="s">
        <v>230</v>
      </c>
      <c r="D192" s="38">
        <v>3</v>
      </c>
      <c r="E192" s="39">
        <v>1.397949673812E-3</v>
      </c>
    </row>
    <row r="193" spans="2:5" ht="14.5" customHeight="1" x14ac:dyDescent="0.35">
      <c r="B193" s="78"/>
      <c r="C193" s="37" t="s">
        <v>232</v>
      </c>
      <c r="D193" s="38">
        <v>1</v>
      </c>
      <c r="E193" s="39">
        <v>4.65983224604E-4</v>
      </c>
    </row>
    <row r="194" spans="2:5" ht="14.5" customHeight="1" x14ac:dyDescent="0.35">
      <c r="B194" s="78"/>
      <c r="C194" s="37" t="s">
        <v>233</v>
      </c>
      <c r="D194" s="38">
        <v>1</v>
      </c>
      <c r="E194" s="39">
        <v>4.65983224604E-4</v>
      </c>
    </row>
    <row r="195" spans="2:5" ht="14.5" customHeight="1" x14ac:dyDescent="0.35">
      <c r="B195" s="78"/>
      <c r="C195" s="37" t="s">
        <v>238</v>
      </c>
      <c r="D195" s="38">
        <v>1</v>
      </c>
      <c r="E195" s="39">
        <v>4.65983224604E-4</v>
      </c>
    </row>
    <row r="196" spans="2:5" ht="14.5" customHeight="1" x14ac:dyDescent="0.35">
      <c r="B196" s="78"/>
      <c r="C196" s="15" t="s">
        <v>25</v>
      </c>
      <c r="D196" s="16">
        <v>7</v>
      </c>
      <c r="E196" s="17">
        <v>3.261882572227E-3</v>
      </c>
    </row>
    <row r="197" spans="2:5" ht="14.5" customHeight="1" x14ac:dyDescent="0.35">
      <c r="B197" s="78" t="s">
        <v>86</v>
      </c>
      <c r="C197" s="37" t="s">
        <v>226</v>
      </c>
      <c r="D197" s="38">
        <v>1</v>
      </c>
      <c r="E197" s="39">
        <v>4.65983224604E-4</v>
      </c>
    </row>
    <row r="198" spans="2:5" ht="14.5" customHeight="1" x14ac:dyDescent="0.35">
      <c r="B198" s="78"/>
      <c r="C198" s="37" t="s">
        <v>239</v>
      </c>
      <c r="D198" s="38">
        <v>1</v>
      </c>
      <c r="E198" s="39">
        <v>4.65983224604E-4</v>
      </c>
    </row>
    <row r="199" spans="2:5" ht="14.5" customHeight="1" x14ac:dyDescent="0.35">
      <c r="B199" s="78"/>
      <c r="C199" s="15" t="s">
        <v>25</v>
      </c>
      <c r="D199" s="16">
        <v>2</v>
      </c>
      <c r="E199" s="17">
        <v>9.3196644920800001E-4</v>
      </c>
    </row>
    <row r="200" spans="2:5" ht="14.5" customHeight="1" x14ac:dyDescent="0.35">
      <c r="B200" s="78" t="s">
        <v>66</v>
      </c>
      <c r="C200" s="37" t="s">
        <v>221</v>
      </c>
      <c r="D200" s="38">
        <v>1</v>
      </c>
      <c r="E200" s="39">
        <v>4.65983224604E-4</v>
      </c>
    </row>
    <row r="201" spans="2:5" ht="14.5" customHeight="1" x14ac:dyDescent="0.35">
      <c r="B201" s="78"/>
      <c r="C201" s="37" t="s">
        <v>230</v>
      </c>
      <c r="D201" s="38">
        <v>4</v>
      </c>
      <c r="E201" s="39">
        <v>1.863932898416E-3</v>
      </c>
    </row>
    <row r="202" spans="2:5" ht="14.5" customHeight="1" x14ac:dyDescent="0.35">
      <c r="B202" s="78"/>
      <c r="C202" s="37" t="s">
        <v>233</v>
      </c>
      <c r="D202" s="38">
        <v>2</v>
      </c>
      <c r="E202" s="39">
        <v>9.3196644920800001E-4</v>
      </c>
    </row>
    <row r="203" spans="2:5" ht="14.5" customHeight="1" x14ac:dyDescent="0.35">
      <c r="B203" s="78"/>
      <c r="C203" s="37" t="s">
        <v>238</v>
      </c>
      <c r="D203" s="38">
        <v>3</v>
      </c>
      <c r="E203" s="39">
        <v>1.397949673812E-3</v>
      </c>
    </row>
    <row r="204" spans="2:5" ht="14.5" customHeight="1" x14ac:dyDescent="0.35">
      <c r="B204" s="78"/>
      <c r="C204" s="37" t="s">
        <v>239</v>
      </c>
      <c r="D204" s="38">
        <v>1</v>
      </c>
      <c r="E204" s="39">
        <v>4.65983224604E-4</v>
      </c>
    </row>
    <row r="205" spans="2:5" ht="14.5" customHeight="1" x14ac:dyDescent="0.35">
      <c r="B205" s="78"/>
      <c r="C205" s="15" t="s">
        <v>25</v>
      </c>
      <c r="D205" s="16">
        <v>11</v>
      </c>
      <c r="E205" s="17">
        <v>5.125815470643E-3</v>
      </c>
    </row>
    <row r="206" spans="2:5" ht="14.5" customHeight="1" x14ac:dyDescent="0.35">
      <c r="B206" s="78" t="s">
        <v>71</v>
      </c>
      <c r="C206" s="37" t="s">
        <v>219</v>
      </c>
      <c r="D206" s="38">
        <v>1</v>
      </c>
      <c r="E206" s="39">
        <v>4.65983224604E-4</v>
      </c>
    </row>
    <row r="207" spans="2:5" ht="14.5" customHeight="1" x14ac:dyDescent="0.35">
      <c r="B207" s="78"/>
      <c r="C207" s="37" t="s">
        <v>226</v>
      </c>
      <c r="D207" s="38">
        <v>1</v>
      </c>
      <c r="E207" s="39">
        <v>4.65983224604E-4</v>
      </c>
    </row>
    <row r="208" spans="2:5" ht="14.5" customHeight="1" x14ac:dyDescent="0.35">
      <c r="B208" s="78"/>
      <c r="C208" s="37" t="s">
        <v>228</v>
      </c>
      <c r="D208" s="38">
        <v>1</v>
      </c>
      <c r="E208" s="39">
        <v>4.65983224604E-4</v>
      </c>
    </row>
    <row r="209" spans="2:5" ht="14.5" customHeight="1" x14ac:dyDescent="0.35">
      <c r="B209" s="78"/>
      <c r="C209" s="37" t="s">
        <v>230</v>
      </c>
      <c r="D209" s="38">
        <v>3</v>
      </c>
      <c r="E209" s="39">
        <v>1.397949673812E-3</v>
      </c>
    </row>
    <row r="210" spans="2:5" ht="14.5" customHeight="1" x14ac:dyDescent="0.35">
      <c r="B210" s="78"/>
      <c r="C210" s="37" t="s">
        <v>231</v>
      </c>
      <c r="D210" s="38">
        <v>1</v>
      </c>
      <c r="E210" s="39">
        <v>4.65983224604E-4</v>
      </c>
    </row>
    <row r="211" spans="2:5" ht="14.5" customHeight="1" x14ac:dyDescent="0.35">
      <c r="B211" s="78"/>
      <c r="C211" s="37" t="s">
        <v>233</v>
      </c>
      <c r="D211" s="38">
        <v>1</v>
      </c>
      <c r="E211" s="39">
        <v>4.65983224604E-4</v>
      </c>
    </row>
    <row r="212" spans="2:5" ht="14.5" customHeight="1" x14ac:dyDescent="0.35">
      <c r="B212" s="78"/>
      <c r="C212" s="15" t="s">
        <v>25</v>
      </c>
      <c r="D212" s="16">
        <v>8</v>
      </c>
      <c r="E212" s="17">
        <v>3.727865796831E-3</v>
      </c>
    </row>
    <row r="213" spans="2:5" ht="14.5" customHeight="1" x14ac:dyDescent="0.35">
      <c r="B213" s="78" t="s">
        <v>69</v>
      </c>
      <c r="C213" s="37" t="s">
        <v>223</v>
      </c>
      <c r="D213" s="38">
        <v>1</v>
      </c>
      <c r="E213" s="39">
        <v>4.65983224604E-4</v>
      </c>
    </row>
    <row r="214" spans="2:5" ht="14.5" customHeight="1" x14ac:dyDescent="0.35">
      <c r="B214" s="78"/>
      <c r="C214" s="37" t="s">
        <v>226</v>
      </c>
      <c r="D214" s="38">
        <v>1</v>
      </c>
      <c r="E214" s="39">
        <v>4.65983224604E-4</v>
      </c>
    </row>
    <row r="215" spans="2:5" ht="14.5" customHeight="1" x14ac:dyDescent="0.35">
      <c r="B215" s="78"/>
      <c r="C215" s="37" t="s">
        <v>227</v>
      </c>
      <c r="D215" s="38">
        <v>1</v>
      </c>
      <c r="E215" s="39">
        <v>4.65983224604E-4</v>
      </c>
    </row>
    <row r="216" spans="2:5" ht="14.5" customHeight="1" x14ac:dyDescent="0.35">
      <c r="B216" s="78"/>
      <c r="C216" s="37" t="s">
        <v>230</v>
      </c>
      <c r="D216" s="38">
        <v>3</v>
      </c>
      <c r="E216" s="39">
        <v>1.397949673812E-3</v>
      </c>
    </row>
    <row r="217" spans="2:5" ht="14.5" customHeight="1" x14ac:dyDescent="0.35">
      <c r="B217" s="78"/>
      <c r="C217" s="37" t="s">
        <v>233</v>
      </c>
      <c r="D217" s="38">
        <v>3</v>
      </c>
      <c r="E217" s="39">
        <v>1.397949673812E-3</v>
      </c>
    </row>
    <row r="218" spans="2:5" ht="14.5" customHeight="1" x14ac:dyDescent="0.35">
      <c r="B218" s="78"/>
      <c r="C218" s="37" t="s">
        <v>238</v>
      </c>
      <c r="D218" s="38">
        <v>1</v>
      </c>
      <c r="E218" s="39">
        <v>4.65983224604E-4</v>
      </c>
    </row>
    <row r="219" spans="2:5" ht="14.5" customHeight="1" x14ac:dyDescent="0.35">
      <c r="B219" s="78"/>
      <c r="C219" s="15" t="s">
        <v>25</v>
      </c>
      <c r="D219" s="16">
        <v>10</v>
      </c>
      <c r="E219" s="17">
        <v>4.659832246039E-3</v>
      </c>
    </row>
    <row r="220" spans="2:5" ht="14.5" customHeight="1" x14ac:dyDescent="0.35">
      <c r="B220" s="78" t="s">
        <v>82</v>
      </c>
      <c r="C220" s="37" t="s">
        <v>225</v>
      </c>
      <c r="D220" s="38">
        <v>2</v>
      </c>
      <c r="E220" s="39">
        <v>9.3196644920800001E-4</v>
      </c>
    </row>
    <row r="221" spans="2:5" ht="14.5" customHeight="1" x14ac:dyDescent="0.35">
      <c r="B221" s="78"/>
      <c r="C221" s="37" t="s">
        <v>233</v>
      </c>
      <c r="D221" s="38">
        <v>1</v>
      </c>
      <c r="E221" s="39">
        <v>4.65983224604E-4</v>
      </c>
    </row>
    <row r="222" spans="2:5" ht="14.5" customHeight="1" x14ac:dyDescent="0.35">
      <c r="B222" s="78"/>
      <c r="C222" s="15" t="s">
        <v>25</v>
      </c>
      <c r="D222" s="16">
        <v>3</v>
      </c>
      <c r="E222" s="17">
        <v>1.397949673812E-3</v>
      </c>
    </row>
    <row r="223" spans="2:5" ht="14.5" customHeight="1" x14ac:dyDescent="0.35">
      <c r="B223" s="78" t="s">
        <v>67</v>
      </c>
      <c r="C223" s="37" t="s">
        <v>225</v>
      </c>
      <c r="D223" s="38">
        <v>1</v>
      </c>
      <c r="E223" s="39">
        <v>4.65983224604E-4</v>
      </c>
    </row>
    <row r="224" spans="2:5" ht="14.5" customHeight="1" x14ac:dyDescent="0.35">
      <c r="B224" s="78"/>
      <c r="C224" s="37" t="s">
        <v>226</v>
      </c>
      <c r="D224" s="38">
        <v>1</v>
      </c>
      <c r="E224" s="39">
        <v>4.65983224604E-4</v>
      </c>
    </row>
    <row r="225" spans="2:5" ht="14.5" customHeight="1" x14ac:dyDescent="0.35">
      <c r="B225" s="78"/>
      <c r="C225" s="37" t="s">
        <v>227</v>
      </c>
      <c r="D225" s="38">
        <v>2</v>
      </c>
      <c r="E225" s="39">
        <v>9.3196644920800001E-4</v>
      </c>
    </row>
    <row r="226" spans="2:5" ht="14.5" customHeight="1" x14ac:dyDescent="0.35">
      <c r="B226" s="78"/>
      <c r="C226" s="37" t="s">
        <v>229</v>
      </c>
      <c r="D226" s="38">
        <v>2</v>
      </c>
      <c r="E226" s="39">
        <v>9.3196644920800001E-4</v>
      </c>
    </row>
    <row r="227" spans="2:5" ht="14.5" customHeight="1" x14ac:dyDescent="0.35">
      <c r="B227" s="78"/>
      <c r="C227" s="37" t="s">
        <v>233</v>
      </c>
      <c r="D227" s="38">
        <v>2</v>
      </c>
      <c r="E227" s="39">
        <v>9.3196644920800001E-4</v>
      </c>
    </row>
    <row r="228" spans="2:5" ht="14.5" customHeight="1" x14ac:dyDescent="0.35">
      <c r="B228" s="78"/>
      <c r="C228" s="37" t="s">
        <v>239</v>
      </c>
      <c r="D228" s="38">
        <v>2</v>
      </c>
      <c r="E228" s="39">
        <v>9.3196644920800001E-4</v>
      </c>
    </row>
    <row r="229" spans="2:5" ht="14.5" customHeight="1" x14ac:dyDescent="0.35">
      <c r="B229" s="78"/>
      <c r="C229" s="37" t="s">
        <v>240</v>
      </c>
      <c r="D229" s="38">
        <v>1</v>
      </c>
      <c r="E229" s="39">
        <v>4.65983224604E-4</v>
      </c>
    </row>
    <row r="230" spans="2:5" ht="14.5" customHeight="1" x14ac:dyDescent="0.35">
      <c r="B230" s="78"/>
      <c r="C230" s="15" t="s">
        <v>25</v>
      </c>
      <c r="D230" s="16">
        <v>11</v>
      </c>
      <c r="E230" s="17">
        <v>5.125815470643E-3</v>
      </c>
    </row>
    <row r="231" spans="2:5" ht="14.5" customHeight="1" x14ac:dyDescent="0.35">
      <c r="B231" s="78" t="s">
        <v>50</v>
      </c>
      <c r="C231" s="37" t="s">
        <v>219</v>
      </c>
      <c r="D231" s="38">
        <v>2</v>
      </c>
      <c r="E231" s="39">
        <v>9.3196644920800001E-4</v>
      </c>
    </row>
    <row r="232" spans="2:5" ht="14.5" customHeight="1" x14ac:dyDescent="0.35">
      <c r="B232" s="78"/>
      <c r="C232" s="37" t="s">
        <v>223</v>
      </c>
      <c r="D232" s="38">
        <v>1</v>
      </c>
      <c r="E232" s="39">
        <v>4.65983224604E-4</v>
      </c>
    </row>
    <row r="233" spans="2:5" ht="14.5" customHeight="1" x14ac:dyDescent="0.35">
      <c r="B233" s="78"/>
      <c r="C233" s="37" t="s">
        <v>224</v>
      </c>
      <c r="D233" s="38">
        <v>1</v>
      </c>
      <c r="E233" s="39">
        <v>4.65983224604E-4</v>
      </c>
    </row>
    <row r="234" spans="2:5" ht="14.5" customHeight="1" x14ac:dyDescent="0.35">
      <c r="B234" s="78"/>
      <c r="C234" s="37" t="s">
        <v>225</v>
      </c>
      <c r="D234" s="38">
        <v>3</v>
      </c>
      <c r="E234" s="39">
        <v>1.397949673812E-3</v>
      </c>
    </row>
    <row r="235" spans="2:5" ht="14.5" customHeight="1" x14ac:dyDescent="0.35">
      <c r="B235" s="78"/>
      <c r="C235" s="37" t="s">
        <v>226</v>
      </c>
      <c r="D235" s="38">
        <v>5</v>
      </c>
      <c r="E235" s="39">
        <v>2.32991612302E-3</v>
      </c>
    </row>
    <row r="236" spans="2:5" ht="14.5" customHeight="1" x14ac:dyDescent="0.35">
      <c r="B236" s="78"/>
      <c r="C236" s="37" t="s">
        <v>227</v>
      </c>
      <c r="D236" s="38">
        <v>2</v>
      </c>
      <c r="E236" s="39">
        <v>9.3196644920800001E-4</v>
      </c>
    </row>
    <row r="237" spans="2:5" ht="14.5" customHeight="1" x14ac:dyDescent="0.35">
      <c r="B237" s="78"/>
      <c r="C237" s="37" t="s">
        <v>229</v>
      </c>
      <c r="D237" s="38">
        <v>3</v>
      </c>
      <c r="E237" s="39">
        <v>1.397949673812E-3</v>
      </c>
    </row>
    <row r="238" spans="2:5" ht="14.5" customHeight="1" x14ac:dyDescent="0.35">
      <c r="B238" s="78"/>
      <c r="C238" s="37" t="s">
        <v>230</v>
      </c>
      <c r="D238" s="38">
        <v>29</v>
      </c>
      <c r="E238" s="39">
        <v>1.3513513513514E-2</v>
      </c>
    </row>
    <row r="239" spans="2:5" ht="14.5" customHeight="1" x14ac:dyDescent="0.35">
      <c r="B239" s="78"/>
      <c r="C239" s="37" t="s">
        <v>231</v>
      </c>
      <c r="D239" s="38">
        <v>1</v>
      </c>
      <c r="E239" s="39">
        <v>4.65983224604E-4</v>
      </c>
    </row>
    <row r="240" spans="2:5" ht="14.5" customHeight="1" x14ac:dyDescent="0.35">
      <c r="B240" s="78"/>
      <c r="C240" s="37" t="s">
        <v>232</v>
      </c>
      <c r="D240" s="38">
        <v>2</v>
      </c>
      <c r="E240" s="39">
        <v>9.3196644920800001E-4</v>
      </c>
    </row>
    <row r="241" spans="2:5" ht="14.5" customHeight="1" x14ac:dyDescent="0.35">
      <c r="B241" s="78"/>
      <c r="C241" s="37" t="s">
        <v>233</v>
      </c>
      <c r="D241" s="38">
        <v>13</v>
      </c>
      <c r="E241" s="39">
        <v>6.057781919851E-3</v>
      </c>
    </row>
    <row r="242" spans="2:5" ht="14.5" customHeight="1" x14ac:dyDescent="0.35">
      <c r="B242" s="78"/>
      <c r="C242" s="37" t="s">
        <v>238</v>
      </c>
      <c r="D242" s="38">
        <v>1</v>
      </c>
      <c r="E242" s="39">
        <v>4.65983224604E-4</v>
      </c>
    </row>
    <row r="243" spans="2:5" ht="14.5" customHeight="1" x14ac:dyDescent="0.35">
      <c r="B243" s="78"/>
      <c r="C243" s="37" t="s">
        <v>239</v>
      </c>
      <c r="D243" s="38">
        <v>6</v>
      </c>
      <c r="E243" s="39">
        <v>2.795899347623E-3</v>
      </c>
    </row>
    <row r="244" spans="2:5" ht="14.5" customHeight="1" x14ac:dyDescent="0.35">
      <c r="B244" s="78"/>
      <c r="C244" s="15" t="s">
        <v>25</v>
      </c>
      <c r="D244" s="16">
        <v>69</v>
      </c>
      <c r="E244" s="17">
        <v>3.2152842497670003E-2</v>
      </c>
    </row>
    <row r="245" spans="2:5" ht="14.5" customHeight="1" x14ac:dyDescent="0.35">
      <c r="B245" s="78" t="s">
        <v>72</v>
      </c>
      <c r="C245" s="37" t="s">
        <v>225</v>
      </c>
      <c r="D245" s="38">
        <v>1</v>
      </c>
      <c r="E245" s="39">
        <v>4.65983224604E-4</v>
      </c>
    </row>
    <row r="246" spans="2:5" ht="14.5" customHeight="1" x14ac:dyDescent="0.35">
      <c r="B246" s="78"/>
      <c r="C246" s="37" t="s">
        <v>230</v>
      </c>
      <c r="D246" s="38">
        <v>2</v>
      </c>
      <c r="E246" s="39">
        <v>9.3196644920800001E-4</v>
      </c>
    </row>
    <row r="247" spans="2:5" ht="14.5" customHeight="1" x14ac:dyDescent="0.35">
      <c r="B247" s="78"/>
      <c r="C247" s="37" t="s">
        <v>233</v>
      </c>
      <c r="D247" s="38">
        <v>2</v>
      </c>
      <c r="E247" s="39">
        <v>9.3196644920800001E-4</v>
      </c>
    </row>
    <row r="248" spans="2:5" ht="14.5" customHeight="1" x14ac:dyDescent="0.35">
      <c r="B248" s="78"/>
      <c r="C248" s="37" t="s">
        <v>235</v>
      </c>
      <c r="D248" s="38">
        <v>1</v>
      </c>
      <c r="E248" s="39">
        <v>4.65983224604E-4</v>
      </c>
    </row>
    <row r="249" spans="2:5" ht="14.5" customHeight="1" x14ac:dyDescent="0.35">
      <c r="B249" s="78"/>
      <c r="C249" s="37" t="s">
        <v>239</v>
      </c>
      <c r="D249" s="38">
        <v>2</v>
      </c>
      <c r="E249" s="39">
        <v>9.3196644920800001E-4</v>
      </c>
    </row>
    <row r="250" spans="2:5" ht="14.5" customHeight="1" x14ac:dyDescent="0.35">
      <c r="B250" s="78"/>
      <c r="C250" s="15" t="s">
        <v>25</v>
      </c>
      <c r="D250" s="16">
        <v>8</v>
      </c>
      <c r="E250" s="17">
        <v>3.727865796831E-3</v>
      </c>
    </row>
    <row r="251" spans="2:5" ht="14.5" customHeight="1" x14ac:dyDescent="0.35">
      <c r="B251" s="78" t="s">
        <v>48</v>
      </c>
      <c r="C251" s="37" t="s">
        <v>219</v>
      </c>
      <c r="D251" s="38">
        <v>2</v>
      </c>
      <c r="E251" s="39">
        <v>9.3196644920800001E-4</v>
      </c>
    </row>
    <row r="252" spans="2:5" ht="14.5" customHeight="1" x14ac:dyDescent="0.35">
      <c r="B252" s="78"/>
      <c r="C252" s="37" t="s">
        <v>221</v>
      </c>
      <c r="D252" s="38">
        <v>2</v>
      </c>
      <c r="E252" s="39">
        <v>9.3196644920800001E-4</v>
      </c>
    </row>
    <row r="253" spans="2:5" ht="14.5" customHeight="1" x14ac:dyDescent="0.35">
      <c r="B253" s="78"/>
      <c r="C253" s="37" t="s">
        <v>223</v>
      </c>
      <c r="D253" s="38">
        <v>5</v>
      </c>
      <c r="E253" s="39">
        <v>2.32991612302E-3</v>
      </c>
    </row>
    <row r="254" spans="2:5" ht="14.5" customHeight="1" x14ac:dyDescent="0.35">
      <c r="B254" s="78"/>
      <c r="C254" s="37" t="s">
        <v>224</v>
      </c>
      <c r="D254" s="38">
        <v>3</v>
      </c>
      <c r="E254" s="39">
        <v>1.397949673812E-3</v>
      </c>
    </row>
    <row r="255" spans="2:5" ht="14.5" customHeight="1" x14ac:dyDescent="0.35">
      <c r="B255" s="78"/>
      <c r="C255" s="37" t="s">
        <v>225</v>
      </c>
      <c r="D255" s="38">
        <v>19</v>
      </c>
      <c r="E255" s="39">
        <v>8.8536812674739999E-3</v>
      </c>
    </row>
    <row r="256" spans="2:5" ht="14.5" customHeight="1" x14ac:dyDescent="0.35">
      <c r="B256" s="78"/>
      <c r="C256" s="37" t="s">
        <v>226</v>
      </c>
      <c r="D256" s="38">
        <v>11</v>
      </c>
      <c r="E256" s="39">
        <v>5.125815470643E-3</v>
      </c>
    </row>
    <row r="257" spans="2:5" ht="14.5" customHeight="1" x14ac:dyDescent="0.35">
      <c r="B257" s="78"/>
      <c r="C257" s="37" t="s">
        <v>227</v>
      </c>
      <c r="D257" s="38">
        <v>4</v>
      </c>
      <c r="E257" s="39">
        <v>1.863932898416E-3</v>
      </c>
    </row>
    <row r="258" spans="2:5" ht="14.5" customHeight="1" x14ac:dyDescent="0.35">
      <c r="B258" s="78"/>
      <c r="C258" s="37" t="s">
        <v>228</v>
      </c>
      <c r="D258" s="38">
        <v>5</v>
      </c>
      <c r="E258" s="39">
        <v>2.32991612302E-3</v>
      </c>
    </row>
    <row r="259" spans="2:5" ht="14.5" customHeight="1" x14ac:dyDescent="0.35">
      <c r="B259" s="78"/>
      <c r="C259" s="37" t="s">
        <v>229</v>
      </c>
      <c r="D259" s="38">
        <v>1</v>
      </c>
      <c r="E259" s="39">
        <v>4.65983224604E-4</v>
      </c>
    </row>
    <row r="260" spans="2:5" ht="14.5" customHeight="1" x14ac:dyDescent="0.35">
      <c r="B260" s="78"/>
      <c r="C260" s="37" t="s">
        <v>230</v>
      </c>
      <c r="D260" s="38">
        <v>10</v>
      </c>
      <c r="E260" s="39">
        <v>4.659832246039E-3</v>
      </c>
    </row>
    <row r="261" spans="2:5" ht="14.5" customHeight="1" x14ac:dyDescent="0.35">
      <c r="B261" s="78"/>
      <c r="C261" s="37" t="s">
        <v>231</v>
      </c>
      <c r="D261" s="38">
        <v>2</v>
      </c>
      <c r="E261" s="39">
        <v>9.3196644920800001E-4</v>
      </c>
    </row>
    <row r="262" spans="2:5" ht="14.5" customHeight="1" x14ac:dyDescent="0.35">
      <c r="B262" s="78"/>
      <c r="C262" s="37" t="s">
        <v>232</v>
      </c>
      <c r="D262" s="38">
        <v>9</v>
      </c>
      <c r="E262" s="39">
        <v>4.193849021435E-3</v>
      </c>
    </row>
    <row r="263" spans="2:5" ht="14.5" customHeight="1" x14ac:dyDescent="0.35">
      <c r="B263" s="78"/>
      <c r="C263" s="37" t="s">
        <v>233</v>
      </c>
      <c r="D263" s="38">
        <v>13</v>
      </c>
      <c r="E263" s="39">
        <v>6.057781919851E-3</v>
      </c>
    </row>
    <row r="264" spans="2:5" ht="14.5" customHeight="1" x14ac:dyDescent="0.35">
      <c r="B264" s="78"/>
      <c r="C264" s="37" t="s">
        <v>238</v>
      </c>
      <c r="D264" s="38">
        <v>2</v>
      </c>
      <c r="E264" s="39">
        <v>9.3196644920800001E-4</v>
      </c>
    </row>
    <row r="265" spans="2:5" ht="14.5" customHeight="1" x14ac:dyDescent="0.35">
      <c r="B265" s="78"/>
      <c r="C265" s="37" t="s">
        <v>239</v>
      </c>
      <c r="D265" s="38">
        <v>3</v>
      </c>
      <c r="E265" s="39">
        <v>1.397949673812E-3</v>
      </c>
    </row>
    <row r="266" spans="2:5" ht="14.5" customHeight="1" x14ac:dyDescent="0.35">
      <c r="B266" s="78"/>
      <c r="C266" s="15" t="s">
        <v>25</v>
      </c>
      <c r="D266" s="16">
        <v>91</v>
      </c>
      <c r="E266" s="17">
        <v>4.2404473438956002E-2</v>
      </c>
    </row>
    <row r="267" spans="2:5" ht="14.5" customHeight="1" x14ac:dyDescent="0.35">
      <c r="B267" s="78" t="s">
        <v>87</v>
      </c>
      <c r="C267" s="37" t="s">
        <v>232</v>
      </c>
      <c r="D267" s="38">
        <v>1</v>
      </c>
      <c r="E267" s="39">
        <v>4.65983224604E-4</v>
      </c>
    </row>
    <row r="268" spans="2:5" ht="14.5" customHeight="1" x14ac:dyDescent="0.35">
      <c r="B268" s="78"/>
      <c r="C268" s="37" t="s">
        <v>239</v>
      </c>
      <c r="D268" s="38">
        <v>1</v>
      </c>
      <c r="E268" s="39">
        <v>4.65983224604E-4</v>
      </c>
    </row>
    <row r="269" spans="2:5" ht="14.5" customHeight="1" x14ac:dyDescent="0.35">
      <c r="B269" s="78"/>
      <c r="C269" s="15" t="s">
        <v>25</v>
      </c>
      <c r="D269" s="16">
        <v>2</v>
      </c>
      <c r="E269" s="17">
        <v>9.3196644920800001E-4</v>
      </c>
    </row>
    <row r="270" spans="2:5" ht="14.5" customHeight="1" x14ac:dyDescent="0.35">
      <c r="B270" s="78" t="s">
        <v>59</v>
      </c>
      <c r="C270" s="37" t="s">
        <v>219</v>
      </c>
      <c r="D270" s="38">
        <v>1</v>
      </c>
      <c r="E270" s="39">
        <v>4.65983224604E-4</v>
      </c>
    </row>
    <row r="271" spans="2:5" ht="14.5" customHeight="1" x14ac:dyDescent="0.35">
      <c r="B271" s="78"/>
      <c r="C271" s="37" t="s">
        <v>223</v>
      </c>
      <c r="D271" s="38">
        <v>1</v>
      </c>
      <c r="E271" s="39">
        <v>4.65983224604E-4</v>
      </c>
    </row>
    <row r="272" spans="2:5" ht="14.5" customHeight="1" x14ac:dyDescent="0.35">
      <c r="B272" s="78"/>
      <c r="C272" s="37" t="s">
        <v>228</v>
      </c>
      <c r="D272" s="38">
        <v>1</v>
      </c>
      <c r="E272" s="39">
        <v>4.65983224604E-4</v>
      </c>
    </row>
    <row r="273" spans="2:5" ht="14.5" customHeight="1" x14ac:dyDescent="0.35">
      <c r="B273" s="78"/>
      <c r="C273" s="37" t="s">
        <v>229</v>
      </c>
      <c r="D273" s="38">
        <v>2</v>
      </c>
      <c r="E273" s="39">
        <v>9.3196644920800001E-4</v>
      </c>
    </row>
    <row r="274" spans="2:5" ht="14.5" customHeight="1" x14ac:dyDescent="0.35">
      <c r="B274" s="78"/>
      <c r="C274" s="37" t="s">
        <v>230</v>
      </c>
      <c r="D274" s="38">
        <v>9</v>
      </c>
      <c r="E274" s="39">
        <v>4.193849021435E-3</v>
      </c>
    </row>
    <row r="275" spans="2:5" ht="14.5" customHeight="1" x14ac:dyDescent="0.35">
      <c r="B275" s="78"/>
      <c r="C275" s="37" t="s">
        <v>233</v>
      </c>
      <c r="D275" s="38">
        <v>5</v>
      </c>
      <c r="E275" s="39">
        <v>2.32991612302E-3</v>
      </c>
    </row>
    <row r="276" spans="2:5" ht="14.5" customHeight="1" x14ac:dyDescent="0.35">
      <c r="B276" s="78"/>
      <c r="C276" s="37" t="s">
        <v>238</v>
      </c>
      <c r="D276" s="38">
        <v>1</v>
      </c>
      <c r="E276" s="39">
        <v>4.65983224604E-4</v>
      </c>
    </row>
    <row r="277" spans="2:5" ht="14.5" customHeight="1" x14ac:dyDescent="0.35">
      <c r="B277" s="78"/>
      <c r="C277" s="37" t="s">
        <v>239</v>
      </c>
      <c r="D277" s="38">
        <v>3</v>
      </c>
      <c r="E277" s="39">
        <v>1.397949673812E-3</v>
      </c>
    </row>
    <row r="278" spans="2:5" ht="14.5" customHeight="1" x14ac:dyDescent="0.35">
      <c r="B278" s="78"/>
      <c r="C278" s="15" t="s">
        <v>25</v>
      </c>
      <c r="D278" s="16">
        <v>23</v>
      </c>
      <c r="E278" s="17">
        <v>1.071761416589E-2</v>
      </c>
    </row>
    <row r="279" spans="2:5" ht="14.5" customHeight="1" x14ac:dyDescent="0.35">
      <c r="B279" s="78" t="s">
        <v>53</v>
      </c>
      <c r="C279" s="37" t="s">
        <v>222</v>
      </c>
      <c r="D279" s="38">
        <v>1</v>
      </c>
      <c r="E279" s="39">
        <v>4.65983224604E-4</v>
      </c>
    </row>
    <row r="280" spans="2:5" ht="14.5" customHeight="1" x14ac:dyDescent="0.35">
      <c r="B280" s="78"/>
      <c r="C280" s="37" t="s">
        <v>224</v>
      </c>
      <c r="D280" s="38">
        <v>1</v>
      </c>
      <c r="E280" s="39">
        <v>4.65983224604E-4</v>
      </c>
    </row>
    <row r="281" spans="2:5" ht="14.5" customHeight="1" x14ac:dyDescent="0.35">
      <c r="B281" s="78"/>
      <c r="C281" s="37" t="s">
        <v>225</v>
      </c>
      <c r="D281" s="38">
        <v>5</v>
      </c>
      <c r="E281" s="39">
        <v>2.32991612302E-3</v>
      </c>
    </row>
    <row r="282" spans="2:5" ht="14.5" customHeight="1" x14ac:dyDescent="0.35">
      <c r="B282" s="78"/>
      <c r="C282" s="37" t="s">
        <v>226</v>
      </c>
      <c r="D282" s="38">
        <v>6</v>
      </c>
      <c r="E282" s="39">
        <v>2.795899347623E-3</v>
      </c>
    </row>
    <row r="283" spans="2:5" ht="14.5" customHeight="1" x14ac:dyDescent="0.35">
      <c r="B283" s="78"/>
      <c r="C283" s="37" t="s">
        <v>228</v>
      </c>
      <c r="D283" s="38">
        <v>1</v>
      </c>
      <c r="E283" s="39">
        <v>4.65983224604E-4</v>
      </c>
    </row>
    <row r="284" spans="2:5" ht="14.5" customHeight="1" x14ac:dyDescent="0.35">
      <c r="B284" s="78"/>
      <c r="C284" s="37" t="s">
        <v>230</v>
      </c>
      <c r="D284" s="38">
        <v>21</v>
      </c>
      <c r="E284" s="39">
        <v>9.785647716682E-3</v>
      </c>
    </row>
    <row r="285" spans="2:5" ht="14.5" customHeight="1" x14ac:dyDescent="0.35">
      <c r="B285" s="78"/>
      <c r="C285" s="37" t="s">
        <v>231</v>
      </c>
      <c r="D285" s="38">
        <v>1</v>
      </c>
      <c r="E285" s="39">
        <v>4.65983224604E-4</v>
      </c>
    </row>
    <row r="286" spans="2:5" ht="14.5" customHeight="1" x14ac:dyDescent="0.35">
      <c r="B286" s="78"/>
      <c r="C286" s="37" t="s">
        <v>232</v>
      </c>
      <c r="D286" s="38">
        <v>5</v>
      </c>
      <c r="E286" s="39">
        <v>2.32991612302E-3</v>
      </c>
    </row>
    <row r="287" spans="2:5" ht="14.5" customHeight="1" x14ac:dyDescent="0.35">
      <c r="B287" s="78"/>
      <c r="C287" s="37" t="s">
        <v>233</v>
      </c>
      <c r="D287" s="38">
        <v>6</v>
      </c>
      <c r="E287" s="39">
        <v>2.795899347623E-3</v>
      </c>
    </row>
    <row r="288" spans="2:5" ht="14.5" customHeight="1" x14ac:dyDescent="0.35">
      <c r="B288" s="78"/>
      <c r="C288" s="37" t="s">
        <v>235</v>
      </c>
      <c r="D288" s="38">
        <v>1</v>
      </c>
      <c r="E288" s="39">
        <v>4.65983224604E-4</v>
      </c>
    </row>
    <row r="289" spans="2:5" ht="14.5" customHeight="1" x14ac:dyDescent="0.35">
      <c r="B289" s="78"/>
      <c r="C289" s="37" t="s">
        <v>236</v>
      </c>
      <c r="D289" s="38">
        <v>1</v>
      </c>
      <c r="E289" s="39">
        <v>4.65983224604E-4</v>
      </c>
    </row>
    <row r="290" spans="2:5" ht="14.5" customHeight="1" x14ac:dyDescent="0.35">
      <c r="B290" s="78"/>
      <c r="C290" s="37" t="s">
        <v>238</v>
      </c>
      <c r="D290" s="38">
        <v>1</v>
      </c>
      <c r="E290" s="39">
        <v>4.65983224604E-4</v>
      </c>
    </row>
    <row r="291" spans="2:5" ht="14.5" customHeight="1" x14ac:dyDescent="0.35">
      <c r="B291" s="78"/>
      <c r="C291" s="37" t="s">
        <v>239</v>
      </c>
      <c r="D291" s="38">
        <v>1</v>
      </c>
      <c r="E291" s="39">
        <v>4.65983224604E-4</v>
      </c>
    </row>
    <row r="292" spans="2:5" ht="14.5" customHeight="1" x14ac:dyDescent="0.35">
      <c r="B292" s="78"/>
      <c r="C292" s="15" t="s">
        <v>25</v>
      </c>
      <c r="D292" s="16">
        <v>51</v>
      </c>
      <c r="E292" s="17">
        <v>2.3765144454800002E-2</v>
      </c>
    </row>
    <row r="293" spans="2:5" ht="14.5" customHeight="1" x14ac:dyDescent="0.35">
      <c r="B293" s="78" t="s">
        <v>73</v>
      </c>
      <c r="C293" s="37" t="s">
        <v>230</v>
      </c>
      <c r="D293" s="38">
        <v>3</v>
      </c>
      <c r="E293" s="39">
        <v>1.397949673812E-3</v>
      </c>
    </row>
    <row r="294" spans="2:5" ht="14.5" customHeight="1" x14ac:dyDescent="0.35">
      <c r="B294" s="78"/>
      <c r="C294" s="37" t="s">
        <v>233</v>
      </c>
      <c r="D294" s="38">
        <v>1</v>
      </c>
      <c r="E294" s="39">
        <v>4.65983224604E-4</v>
      </c>
    </row>
    <row r="295" spans="2:5" ht="14.5" customHeight="1" x14ac:dyDescent="0.35">
      <c r="B295" s="78"/>
      <c r="C295" s="37" t="s">
        <v>239</v>
      </c>
      <c r="D295" s="38">
        <v>4</v>
      </c>
      <c r="E295" s="39">
        <v>1.863932898416E-3</v>
      </c>
    </row>
    <row r="296" spans="2:5" ht="14.5" customHeight="1" x14ac:dyDescent="0.35">
      <c r="B296" s="78"/>
      <c r="C296" s="15" t="s">
        <v>25</v>
      </c>
      <c r="D296" s="16">
        <v>8</v>
      </c>
      <c r="E296" s="17">
        <v>3.727865796831E-3</v>
      </c>
    </row>
    <row r="297" spans="2:5" ht="14.5" customHeight="1" x14ac:dyDescent="0.35">
      <c r="B297" s="78" t="s">
        <v>63</v>
      </c>
      <c r="C297" s="37" t="s">
        <v>225</v>
      </c>
      <c r="D297" s="38">
        <v>2</v>
      </c>
      <c r="E297" s="39">
        <v>9.3196644920800001E-4</v>
      </c>
    </row>
    <row r="298" spans="2:5" ht="14.5" customHeight="1" x14ac:dyDescent="0.35">
      <c r="B298" s="78"/>
      <c r="C298" s="37" t="s">
        <v>226</v>
      </c>
      <c r="D298" s="38">
        <v>2</v>
      </c>
      <c r="E298" s="39">
        <v>9.3196644920800001E-4</v>
      </c>
    </row>
    <row r="299" spans="2:5" ht="14.5" customHeight="1" x14ac:dyDescent="0.35">
      <c r="B299" s="78"/>
      <c r="C299" s="37" t="s">
        <v>229</v>
      </c>
      <c r="D299" s="38">
        <v>1</v>
      </c>
      <c r="E299" s="39">
        <v>4.65983224604E-4</v>
      </c>
    </row>
    <row r="300" spans="2:5" ht="14.5" customHeight="1" x14ac:dyDescent="0.35">
      <c r="B300" s="78"/>
      <c r="C300" s="37" t="s">
        <v>230</v>
      </c>
      <c r="D300" s="38">
        <v>3</v>
      </c>
      <c r="E300" s="39">
        <v>1.397949673812E-3</v>
      </c>
    </row>
    <row r="301" spans="2:5" ht="14.5" customHeight="1" x14ac:dyDescent="0.35">
      <c r="B301" s="78"/>
      <c r="C301" s="37" t="s">
        <v>232</v>
      </c>
      <c r="D301" s="38">
        <v>2</v>
      </c>
      <c r="E301" s="39">
        <v>9.3196644920800001E-4</v>
      </c>
    </row>
    <row r="302" spans="2:5" ht="14.5" customHeight="1" x14ac:dyDescent="0.35">
      <c r="B302" s="78"/>
      <c r="C302" s="37" t="s">
        <v>233</v>
      </c>
      <c r="D302" s="38">
        <v>2</v>
      </c>
      <c r="E302" s="39">
        <v>9.3196644920800001E-4</v>
      </c>
    </row>
    <row r="303" spans="2:5" ht="14.5" customHeight="1" x14ac:dyDescent="0.35">
      <c r="B303" s="78"/>
      <c r="C303" s="37" t="s">
        <v>238</v>
      </c>
      <c r="D303" s="38">
        <v>1</v>
      </c>
      <c r="E303" s="39">
        <v>4.65983224604E-4</v>
      </c>
    </row>
    <row r="304" spans="2:5" ht="14.5" customHeight="1" x14ac:dyDescent="0.35">
      <c r="B304" s="78"/>
      <c r="C304" s="37" t="s">
        <v>239</v>
      </c>
      <c r="D304" s="38">
        <v>2</v>
      </c>
      <c r="E304" s="39">
        <v>9.3196644920800001E-4</v>
      </c>
    </row>
    <row r="305" spans="2:5" ht="14.5" customHeight="1" x14ac:dyDescent="0.35">
      <c r="B305" s="78"/>
      <c r="C305" s="15" t="s">
        <v>25</v>
      </c>
      <c r="D305" s="16">
        <v>15</v>
      </c>
      <c r="E305" s="17">
        <v>6.989748369059E-3</v>
      </c>
    </row>
    <row r="306" spans="2:5" ht="14.5" customHeight="1" x14ac:dyDescent="0.35">
      <c r="B306" s="78" t="s">
        <v>79</v>
      </c>
      <c r="C306" s="37" t="s">
        <v>226</v>
      </c>
      <c r="D306" s="38">
        <v>1</v>
      </c>
      <c r="E306" s="39">
        <v>4.65983224604E-4</v>
      </c>
    </row>
    <row r="307" spans="2:5" ht="14.5" customHeight="1" x14ac:dyDescent="0.35">
      <c r="B307" s="78"/>
      <c r="C307" s="37" t="s">
        <v>230</v>
      </c>
      <c r="D307" s="38">
        <v>1</v>
      </c>
      <c r="E307" s="39">
        <v>4.65983224604E-4</v>
      </c>
    </row>
    <row r="308" spans="2:5" ht="14.5" customHeight="1" x14ac:dyDescent="0.35">
      <c r="B308" s="78"/>
      <c r="C308" s="37" t="s">
        <v>233</v>
      </c>
      <c r="D308" s="38">
        <v>2</v>
      </c>
      <c r="E308" s="39">
        <v>9.3196644920800001E-4</v>
      </c>
    </row>
    <row r="309" spans="2:5" ht="14.5" customHeight="1" x14ac:dyDescent="0.35">
      <c r="B309" s="78"/>
      <c r="C309" s="37" t="s">
        <v>235</v>
      </c>
      <c r="D309" s="38">
        <v>1</v>
      </c>
      <c r="E309" s="39">
        <v>4.65983224604E-4</v>
      </c>
    </row>
    <row r="310" spans="2:5" ht="14.5" customHeight="1" x14ac:dyDescent="0.35">
      <c r="B310" s="78"/>
      <c r="C310" s="37" t="s">
        <v>239</v>
      </c>
      <c r="D310" s="38">
        <v>1</v>
      </c>
      <c r="E310" s="39">
        <v>4.65983224604E-4</v>
      </c>
    </row>
    <row r="311" spans="2:5" ht="14.5" customHeight="1" x14ac:dyDescent="0.35">
      <c r="B311" s="78"/>
      <c r="C311" s="15" t="s">
        <v>25</v>
      </c>
      <c r="D311" s="16">
        <v>6</v>
      </c>
      <c r="E311" s="17">
        <v>2.795899347623E-3</v>
      </c>
    </row>
    <row r="312" spans="2:5" ht="14.5" customHeight="1" x14ac:dyDescent="0.35">
      <c r="B312" s="78" t="s">
        <v>54</v>
      </c>
      <c r="C312" s="37" t="s">
        <v>219</v>
      </c>
      <c r="D312" s="38">
        <v>1</v>
      </c>
      <c r="E312" s="39">
        <v>4.65983224604E-4</v>
      </c>
    </row>
    <row r="313" spans="2:5" ht="14.5" customHeight="1" x14ac:dyDescent="0.35">
      <c r="B313" s="78"/>
      <c r="C313" s="37" t="s">
        <v>220</v>
      </c>
      <c r="D313" s="38">
        <v>2</v>
      </c>
      <c r="E313" s="39">
        <v>9.3196644920800001E-4</v>
      </c>
    </row>
    <row r="314" spans="2:5" ht="14.5" customHeight="1" x14ac:dyDescent="0.35">
      <c r="B314" s="78"/>
      <c r="C314" s="37" t="s">
        <v>221</v>
      </c>
      <c r="D314" s="38">
        <v>1</v>
      </c>
      <c r="E314" s="39">
        <v>4.65983224604E-4</v>
      </c>
    </row>
    <row r="315" spans="2:5" ht="14.5" customHeight="1" x14ac:dyDescent="0.35">
      <c r="B315" s="78"/>
      <c r="C315" s="37" t="s">
        <v>222</v>
      </c>
      <c r="D315" s="38">
        <v>1</v>
      </c>
      <c r="E315" s="39">
        <v>4.65983224604E-4</v>
      </c>
    </row>
    <row r="316" spans="2:5" ht="14.5" customHeight="1" x14ac:dyDescent="0.35">
      <c r="B316" s="78"/>
      <c r="C316" s="37" t="s">
        <v>223</v>
      </c>
      <c r="D316" s="38">
        <v>1</v>
      </c>
      <c r="E316" s="39">
        <v>4.65983224604E-4</v>
      </c>
    </row>
    <row r="317" spans="2:5" ht="14.5" customHeight="1" x14ac:dyDescent="0.35">
      <c r="B317" s="78"/>
      <c r="C317" s="37" t="s">
        <v>224</v>
      </c>
      <c r="D317" s="38">
        <v>2</v>
      </c>
      <c r="E317" s="39">
        <v>9.3196644920800001E-4</v>
      </c>
    </row>
    <row r="318" spans="2:5" ht="14.5" customHeight="1" x14ac:dyDescent="0.35">
      <c r="B318" s="78"/>
      <c r="C318" s="37" t="s">
        <v>225</v>
      </c>
      <c r="D318" s="38">
        <v>7</v>
      </c>
      <c r="E318" s="39">
        <v>3.261882572227E-3</v>
      </c>
    </row>
    <row r="319" spans="2:5" ht="14.5" customHeight="1" x14ac:dyDescent="0.35">
      <c r="B319" s="78"/>
      <c r="C319" s="37" t="s">
        <v>226</v>
      </c>
      <c r="D319" s="38">
        <v>3</v>
      </c>
      <c r="E319" s="39">
        <v>1.397949673812E-3</v>
      </c>
    </row>
    <row r="320" spans="2:5" ht="14.5" customHeight="1" x14ac:dyDescent="0.35">
      <c r="B320" s="78"/>
      <c r="C320" s="37" t="s">
        <v>228</v>
      </c>
      <c r="D320" s="38">
        <v>1</v>
      </c>
      <c r="E320" s="39">
        <v>4.65983224604E-4</v>
      </c>
    </row>
    <row r="321" spans="2:5" ht="14.5" customHeight="1" x14ac:dyDescent="0.35">
      <c r="B321" s="78"/>
      <c r="C321" s="37" t="s">
        <v>229</v>
      </c>
      <c r="D321" s="38">
        <v>5</v>
      </c>
      <c r="E321" s="39">
        <v>2.32991612302E-3</v>
      </c>
    </row>
    <row r="322" spans="2:5" ht="14.5" customHeight="1" x14ac:dyDescent="0.35">
      <c r="B322" s="78"/>
      <c r="C322" s="37" t="s">
        <v>230</v>
      </c>
      <c r="D322" s="38">
        <v>9</v>
      </c>
      <c r="E322" s="39">
        <v>4.193849021435E-3</v>
      </c>
    </row>
    <row r="323" spans="2:5" ht="14.5" customHeight="1" x14ac:dyDescent="0.35">
      <c r="B323" s="78"/>
      <c r="C323" s="37" t="s">
        <v>231</v>
      </c>
      <c r="D323" s="38">
        <v>2</v>
      </c>
      <c r="E323" s="39">
        <v>9.3196644920800001E-4</v>
      </c>
    </row>
    <row r="324" spans="2:5" ht="14.5" customHeight="1" x14ac:dyDescent="0.35">
      <c r="B324" s="78"/>
      <c r="C324" s="37" t="s">
        <v>232</v>
      </c>
      <c r="D324" s="38">
        <v>4</v>
      </c>
      <c r="E324" s="39">
        <v>1.863932898416E-3</v>
      </c>
    </row>
    <row r="325" spans="2:5" ht="14.5" customHeight="1" x14ac:dyDescent="0.35">
      <c r="B325" s="78"/>
      <c r="C325" s="37" t="s">
        <v>233</v>
      </c>
      <c r="D325" s="38">
        <v>7</v>
      </c>
      <c r="E325" s="39">
        <v>3.261882572227E-3</v>
      </c>
    </row>
    <row r="326" spans="2:5" ht="14.5" customHeight="1" x14ac:dyDescent="0.35">
      <c r="B326" s="78"/>
      <c r="C326" s="37" t="s">
        <v>239</v>
      </c>
      <c r="D326" s="38">
        <v>4</v>
      </c>
      <c r="E326" s="39">
        <v>1.863932898416E-3</v>
      </c>
    </row>
    <row r="327" spans="2:5" ht="14.5" customHeight="1" x14ac:dyDescent="0.35">
      <c r="B327" s="78"/>
      <c r="C327" s="15" t="s">
        <v>25</v>
      </c>
      <c r="D327" s="16">
        <v>50</v>
      </c>
      <c r="E327" s="17">
        <v>2.3299161230196E-2</v>
      </c>
    </row>
    <row r="328" spans="2:5" ht="14.5" customHeight="1" x14ac:dyDescent="0.35">
      <c r="B328" s="78" t="s">
        <v>74</v>
      </c>
      <c r="C328" s="37" t="s">
        <v>223</v>
      </c>
      <c r="D328" s="38">
        <v>1</v>
      </c>
      <c r="E328" s="39">
        <v>4.65983224604E-4</v>
      </c>
    </row>
    <row r="329" spans="2:5" ht="14.5" customHeight="1" x14ac:dyDescent="0.35">
      <c r="B329" s="78"/>
      <c r="C329" s="37" t="s">
        <v>230</v>
      </c>
      <c r="D329" s="38">
        <v>2</v>
      </c>
      <c r="E329" s="39">
        <v>9.3196644920800001E-4</v>
      </c>
    </row>
    <row r="330" spans="2:5" ht="14.5" customHeight="1" x14ac:dyDescent="0.35">
      <c r="B330" s="78"/>
      <c r="C330" s="37" t="s">
        <v>233</v>
      </c>
      <c r="D330" s="38">
        <v>3</v>
      </c>
      <c r="E330" s="39">
        <v>1.397949673812E-3</v>
      </c>
    </row>
    <row r="331" spans="2:5" ht="14.5" customHeight="1" x14ac:dyDescent="0.35">
      <c r="B331" s="78"/>
      <c r="C331" s="37" t="s">
        <v>238</v>
      </c>
      <c r="D331" s="38">
        <v>1</v>
      </c>
      <c r="E331" s="39">
        <v>4.65983224604E-4</v>
      </c>
    </row>
    <row r="332" spans="2:5" ht="14.5" customHeight="1" x14ac:dyDescent="0.35">
      <c r="B332" s="78"/>
      <c r="C332" s="37" t="s">
        <v>239</v>
      </c>
      <c r="D332" s="38">
        <v>1</v>
      </c>
      <c r="E332" s="39">
        <v>4.65983224604E-4</v>
      </c>
    </row>
    <row r="333" spans="2:5" ht="14.5" customHeight="1" x14ac:dyDescent="0.35">
      <c r="B333" s="78"/>
      <c r="C333" s="15" t="s">
        <v>25</v>
      </c>
      <c r="D333" s="16">
        <v>8</v>
      </c>
      <c r="E333" s="17">
        <v>3.727865796831E-3</v>
      </c>
    </row>
    <row r="334" spans="2:5" ht="14.5" customHeight="1" x14ac:dyDescent="0.35">
      <c r="B334" s="78" t="s">
        <v>44</v>
      </c>
      <c r="C334" s="37" t="s">
        <v>219</v>
      </c>
      <c r="D334" s="38">
        <v>12</v>
      </c>
      <c r="E334" s="39">
        <v>5.591798695247E-3</v>
      </c>
    </row>
    <row r="335" spans="2:5" ht="14.5" customHeight="1" x14ac:dyDescent="0.35">
      <c r="B335" s="78"/>
      <c r="C335" s="37" t="s">
        <v>220</v>
      </c>
      <c r="D335" s="38">
        <v>5</v>
      </c>
      <c r="E335" s="39">
        <v>2.32991612302E-3</v>
      </c>
    </row>
    <row r="336" spans="2:5" ht="14.5" customHeight="1" x14ac:dyDescent="0.35">
      <c r="B336" s="78"/>
      <c r="C336" s="37" t="s">
        <v>221</v>
      </c>
      <c r="D336" s="38">
        <v>6</v>
      </c>
      <c r="E336" s="39">
        <v>2.795899347623E-3</v>
      </c>
    </row>
    <row r="337" spans="2:5" ht="14.5" customHeight="1" x14ac:dyDescent="0.35">
      <c r="B337" s="78"/>
      <c r="C337" s="37" t="s">
        <v>222</v>
      </c>
      <c r="D337" s="38">
        <v>14</v>
      </c>
      <c r="E337" s="39">
        <v>6.523765144455E-3</v>
      </c>
    </row>
    <row r="338" spans="2:5" ht="14.5" customHeight="1" x14ac:dyDescent="0.35">
      <c r="B338" s="78"/>
      <c r="C338" s="37" t="s">
        <v>223</v>
      </c>
      <c r="D338" s="38">
        <v>11</v>
      </c>
      <c r="E338" s="39">
        <v>5.125815470643E-3</v>
      </c>
    </row>
    <row r="339" spans="2:5" ht="14.5" customHeight="1" x14ac:dyDescent="0.35">
      <c r="B339" s="78"/>
      <c r="C339" s="37" t="s">
        <v>224</v>
      </c>
      <c r="D339" s="38">
        <v>9</v>
      </c>
      <c r="E339" s="39">
        <v>4.193849021435E-3</v>
      </c>
    </row>
    <row r="340" spans="2:5" ht="14.5" customHeight="1" x14ac:dyDescent="0.35">
      <c r="B340" s="78"/>
      <c r="C340" s="37" t="s">
        <v>225</v>
      </c>
      <c r="D340" s="38">
        <v>111</v>
      </c>
      <c r="E340" s="39">
        <v>5.1724137931034003E-2</v>
      </c>
    </row>
    <row r="341" spans="2:5" ht="14.5" customHeight="1" x14ac:dyDescent="0.35">
      <c r="B341" s="78"/>
      <c r="C341" s="37" t="s">
        <v>226</v>
      </c>
      <c r="D341" s="38">
        <v>83</v>
      </c>
      <c r="E341" s="39">
        <v>3.8676607642125001E-2</v>
      </c>
    </row>
    <row r="342" spans="2:5" ht="14.5" customHeight="1" x14ac:dyDescent="0.35">
      <c r="B342" s="78"/>
      <c r="C342" s="37" t="s">
        <v>227</v>
      </c>
      <c r="D342" s="38">
        <v>10</v>
      </c>
      <c r="E342" s="39">
        <v>4.659832246039E-3</v>
      </c>
    </row>
    <row r="343" spans="2:5" ht="14.5" customHeight="1" x14ac:dyDescent="0.35">
      <c r="B343" s="78"/>
      <c r="C343" s="37" t="s">
        <v>228</v>
      </c>
      <c r="D343" s="38">
        <v>15</v>
      </c>
      <c r="E343" s="39">
        <v>6.989748369059E-3</v>
      </c>
    </row>
    <row r="344" spans="2:5" ht="14.5" customHeight="1" x14ac:dyDescent="0.35">
      <c r="B344" s="78"/>
      <c r="C344" s="37" t="s">
        <v>229</v>
      </c>
      <c r="D344" s="38">
        <v>48</v>
      </c>
      <c r="E344" s="39">
        <v>2.2367194780988E-2</v>
      </c>
    </row>
    <row r="345" spans="2:5" ht="14.5" customHeight="1" x14ac:dyDescent="0.35">
      <c r="B345" s="78"/>
      <c r="C345" s="37" t="s">
        <v>230</v>
      </c>
      <c r="D345" s="38">
        <v>221</v>
      </c>
      <c r="E345" s="39">
        <v>0.102982292637465</v>
      </c>
    </row>
    <row r="346" spans="2:5" ht="14.5" customHeight="1" x14ac:dyDescent="0.35">
      <c r="B346" s="78"/>
      <c r="C346" s="37" t="s">
        <v>231</v>
      </c>
      <c r="D346" s="38">
        <v>7</v>
      </c>
      <c r="E346" s="39">
        <v>3.261882572227E-3</v>
      </c>
    </row>
    <row r="347" spans="2:5" ht="14.5" customHeight="1" x14ac:dyDescent="0.35">
      <c r="B347" s="78"/>
      <c r="C347" s="37" t="s">
        <v>232</v>
      </c>
      <c r="D347" s="38">
        <v>20</v>
      </c>
      <c r="E347" s="39">
        <v>9.3196644920779999E-3</v>
      </c>
    </row>
    <row r="348" spans="2:5" ht="14.5" customHeight="1" x14ac:dyDescent="0.35">
      <c r="B348" s="78"/>
      <c r="C348" s="37" t="s">
        <v>233</v>
      </c>
      <c r="D348" s="38">
        <v>93</v>
      </c>
      <c r="E348" s="39">
        <v>4.3336439888163998E-2</v>
      </c>
    </row>
    <row r="349" spans="2:5" ht="14.5" customHeight="1" x14ac:dyDescent="0.35">
      <c r="B349" s="78"/>
      <c r="C349" s="37" t="s">
        <v>234</v>
      </c>
      <c r="D349" s="38">
        <v>2</v>
      </c>
      <c r="E349" s="39">
        <v>9.3196644920800001E-4</v>
      </c>
    </row>
    <row r="350" spans="2:5" ht="14.5" customHeight="1" x14ac:dyDescent="0.35">
      <c r="B350" s="78"/>
      <c r="C350" s="37" t="s">
        <v>235</v>
      </c>
      <c r="D350" s="38">
        <v>2</v>
      </c>
      <c r="E350" s="39">
        <v>9.3196644920800001E-4</v>
      </c>
    </row>
    <row r="351" spans="2:5" ht="14.5" customHeight="1" x14ac:dyDescent="0.35">
      <c r="B351" s="78"/>
      <c r="C351" s="37" t="s">
        <v>237</v>
      </c>
      <c r="D351" s="38">
        <v>1</v>
      </c>
      <c r="E351" s="39">
        <v>4.65983224604E-4</v>
      </c>
    </row>
    <row r="352" spans="2:5" ht="14.5" customHeight="1" x14ac:dyDescent="0.35">
      <c r="B352" s="78"/>
      <c r="C352" s="37" t="s">
        <v>238</v>
      </c>
      <c r="D352" s="38">
        <v>3</v>
      </c>
      <c r="E352" s="39">
        <v>1.397949673812E-3</v>
      </c>
    </row>
    <row r="353" spans="2:5" ht="14.5" customHeight="1" x14ac:dyDescent="0.35">
      <c r="B353" s="78"/>
      <c r="C353" s="37" t="s">
        <v>239</v>
      </c>
      <c r="D353" s="38">
        <v>30</v>
      </c>
      <c r="E353" s="39">
        <v>1.3979496738117001E-2</v>
      </c>
    </row>
    <row r="354" spans="2:5" ht="14.5" customHeight="1" x14ac:dyDescent="0.35">
      <c r="B354" s="78"/>
      <c r="C354" s="15" t="s">
        <v>25</v>
      </c>
      <c r="D354" s="16">
        <v>703</v>
      </c>
      <c r="E354" s="17">
        <v>0.32758620689655199</v>
      </c>
    </row>
    <row r="355" spans="2:5" ht="14.5" customHeight="1" x14ac:dyDescent="0.35">
      <c r="B355" s="78" t="s">
        <v>47</v>
      </c>
      <c r="C355" s="37" t="s">
        <v>219</v>
      </c>
      <c r="D355" s="38">
        <v>1</v>
      </c>
      <c r="E355" s="39">
        <v>4.65983224604E-4</v>
      </c>
    </row>
    <row r="356" spans="2:5" ht="14.5" customHeight="1" x14ac:dyDescent="0.35">
      <c r="B356" s="78"/>
      <c r="C356" s="37" t="s">
        <v>221</v>
      </c>
      <c r="D356" s="38">
        <v>3</v>
      </c>
      <c r="E356" s="39">
        <v>1.397949673812E-3</v>
      </c>
    </row>
    <row r="357" spans="2:5" ht="14.5" customHeight="1" x14ac:dyDescent="0.35">
      <c r="B357" s="78"/>
      <c r="C357" s="37" t="s">
        <v>222</v>
      </c>
      <c r="D357" s="38">
        <v>1</v>
      </c>
      <c r="E357" s="39">
        <v>4.65983224604E-4</v>
      </c>
    </row>
    <row r="358" spans="2:5" ht="14.5" customHeight="1" x14ac:dyDescent="0.35">
      <c r="B358" s="78"/>
      <c r="C358" s="37" t="s">
        <v>223</v>
      </c>
      <c r="D358" s="38">
        <v>3</v>
      </c>
      <c r="E358" s="39">
        <v>1.397949673812E-3</v>
      </c>
    </row>
    <row r="359" spans="2:5" ht="14.5" customHeight="1" x14ac:dyDescent="0.35">
      <c r="B359" s="78"/>
      <c r="C359" s="37" t="s">
        <v>224</v>
      </c>
      <c r="D359" s="38">
        <v>2</v>
      </c>
      <c r="E359" s="39">
        <v>9.3196644920800001E-4</v>
      </c>
    </row>
    <row r="360" spans="2:5" ht="14.5" customHeight="1" x14ac:dyDescent="0.35">
      <c r="B360" s="78"/>
      <c r="C360" s="37" t="s">
        <v>225</v>
      </c>
      <c r="D360" s="38">
        <v>9</v>
      </c>
      <c r="E360" s="39">
        <v>4.193849021435E-3</v>
      </c>
    </row>
    <row r="361" spans="2:5" ht="14.5" customHeight="1" x14ac:dyDescent="0.35">
      <c r="B361" s="78"/>
      <c r="C361" s="37" t="s">
        <v>226</v>
      </c>
      <c r="D361" s="38">
        <v>9</v>
      </c>
      <c r="E361" s="39">
        <v>4.193849021435E-3</v>
      </c>
    </row>
    <row r="362" spans="2:5" ht="14.5" customHeight="1" x14ac:dyDescent="0.35">
      <c r="B362" s="78"/>
      <c r="C362" s="37" t="s">
        <v>227</v>
      </c>
      <c r="D362" s="38">
        <v>1</v>
      </c>
      <c r="E362" s="39">
        <v>4.65983224604E-4</v>
      </c>
    </row>
    <row r="363" spans="2:5" ht="14.5" customHeight="1" x14ac:dyDescent="0.35">
      <c r="B363" s="78"/>
      <c r="C363" s="37" t="s">
        <v>228</v>
      </c>
      <c r="D363" s="38">
        <v>2</v>
      </c>
      <c r="E363" s="39">
        <v>9.3196644920800001E-4</v>
      </c>
    </row>
    <row r="364" spans="2:5" ht="14.5" customHeight="1" x14ac:dyDescent="0.35">
      <c r="B364" s="78"/>
      <c r="C364" s="37" t="s">
        <v>229</v>
      </c>
      <c r="D364" s="38">
        <v>1</v>
      </c>
      <c r="E364" s="39">
        <v>4.65983224604E-4</v>
      </c>
    </row>
    <row r="365" spans="2:5" ht="14.5" customHeight="1" x14ac:dyDescent="0.35">
      <c r="B365" s="78"/>
      <c r="C365" s="37" t="s">
        <v>230</v>
      </c>
      <c r="D365" s="38">
        <v>40</v>
      </c>
      <c r="E365" s="39">
        <v>1.8639328984156999E-2</v>
      </c>
    </row>
    <row r="366" spans="2:5" ht="14.5" customHeight="1" x14ac:dyDescent="0.35">
      <c r="B366" s="78"/>
      <c r="C366" s="37" t="s">
        <v>231</v>
      </c>
      <c r="D366" s="38">
        <v>5</v>
      </c>
      <c r="E366" s="39">
        <v>2.32991612302E-3</v>
      </c>
    </row>
    <row r="367" spans="2:5" ht="14.5" customHeight="1" x14ac:dyDescent="0.35">
      <c r="B367" s="78"/>
      <c r="C367" s="37" t="s">
        <v>232</v>
      </c>
      <c r="D367" s="38">
        <v>6</v>
      </c>
      <c r="E367" s="39">
        <v>2.795899347623E-3</v>
      </c>
    </row>
    <row r="368" spans="2:5" ht="14.5" customHeight="1" x14ac:dyDescent="0.35">
      <c r="B368" s="78"/>
      <c r="C368" s="37" t="s">
        <v>233</v>
      </c>
      <c r="D368" s="38">
        <v>13</v>
      </c>
      <c r="E368" s="39">
        <v>6.057781919851E-3</v>
      </c>
    </row>
    <row r="369" spans="2:5" ht="14.5" customHeight="1" x14ac:dyDescent="0.35">
      <c r="B369" s="78"/>
      <c r="C369" s="37" t="s">
        <v>238</v>
      </c>
      <c r="D369" s="38">
        <v>2</v>
      </c>
      <c r="E369" s="39">
        <v>9.3196644920800001E-4</v>
      </c>
    </row>
    <row r="370" spans="2:5" ht="14.5" customHeight="1" x14ac:dyDescent="0.35">
      <c r="B370" s="78"/>
      <c r="C370" s="37" t="s">
        <v>239</v>
      </c>
      <c r="D370" s="38">
        <v>2</v>
      </c>
      <c r="E370" s="39">
        <v>9.3196644920800001E-4</v>
      </c>
    </row>
    <row r="371" spans="2:5" ht="14.5" customHeight="1" x14ac:dyDescent="0.35">
      <c r="B371" s="78"/>
      <c r="C371" s="15" t="s">
        <v>25</v>
      </c>
      <c r="D371" s="16">
        <v>100</v>
      </c>
      <c r="E371" s="17">
        <v>4.6598322460391001E-2</v>
      </c>
    </row>
    <row r="372" spans="2:5" ht="14.5" customHeight="1" x14ac:dyDescent="0.35">
      <c r="B372" s="78" t="s">
        <v>51</v>
      </c>
      <c r="C372" s="37" t="s">
        <v>219</v>
      </c>
      <c r="D372" s="38">
        <v>1</v>
      </c>
      <c r="E372" s="39">
        <v>4.65983224604E-4</v>
      </c>
    </row>
    <row r="373" spans="2:5" ht="14.5" customHeight="1" x14ac:dyDescent="0.35">
      <c r="B373" s="78"/>
      <c r="C373" s="37" t="s">
        <v>220</v>
      </c>
      <c r="D373" s="38">
        <v>1</v>
      </c>
      <c r="E373" s="39">
        <v>4.65983224604E-4</v>
      </c>
    </row>
    <row r="374" spans="2:5" ht="14.5" customHeight="1" x14ac:dyDescent="0.35">
      <c r="B374" s="78"/>
      <c r="C374" s="37" t="s">
        <v>222</v>
      </c>
      <c r="D374" s="38">
        <v>2</v>
      </c>
      <c r="E374" s="39">
        <v>9.3196644920800001E-4</v>
      </c>
    </row>
    <row r="375" spans="2:5" ht="14.5" customHeight="1" x14ac:dyDescent="0.35">
      <c r="B375" s="78"/>
      <c r="C375" s="37" t="s">
        <v>223</v>
      </c>
      <c r="D375" s="38">
        <v>2</v>
      </c>
      <c r="E375" s="39">
        <v>9.3196644920800001E-4</v>
      </c>
    </row>
    <row r="376" spans="2:5" ht="14.5" customHeight="1" x14ac:dyDescent="0.35">
      <c r="B376" s="78"/>
      <c r="C376" s="37" t="s">
        <v>224</v>
      </c>
      <c r="D376" s="38">
        <v>2</v>
      </c>
      <c r="E376" s="39">
        <v>9.3196644920800001E-4</v>
      </c>
    </row>
    <row r="377" spans="2:5" ht="14.5" customHeight="1" x14ac:dyDescent="0.35">
      <c r="B377" s="78"/>
      <c r="C377" s="37" t="s">
        <v>225</v>
      </c>
      <c r="D377" s="38">
        <v>4</v>
      </c>
      <c r="E377" s="39">
        <v>1.863932898416E-3</v>
      </c>
    </row>
    <row r="378" spans="2:5" ht="14.5" customHeight="1" x14ac:dyDescent="0.35">
      <c r="B378" s="78"/>
      <c r="C378" s="37" t="s">
        <v>226</v>
      </c>
      <c r="D378" s="38">
        <v>6</v>
      </c>
      <c r="E378" s="39">
        <v>2.795899347623E-3</v>
      </c>
    </row>
    <row r="379" spans="2:5" ht="14.5" customHeight="1" x14ac:dyDescent="0.35">
      <c r="B379" s="78"/>
      <c r="C379" s="37" t="s">
        <v>229</v>
      </c>
      <c r="D379" s="38">
        <v>1</v>
      </c>
      <c r="E379" s="39">
        <v>4.65983224604E-4</v>
      </c>
    </row>
    <row r="380" spans="2:5" ht="14.5" customHeight="1" x14ac:dyDescent="0.35">
      <c r="B380" s="78"/>
      <c r="C380" s="37" t="s">
        <v>230</v>
      </c>
      <c r="D380" s="38">
        <v>14</v>
      </c>
      <c r="E380" s="39">
        <v>6.523765144455E-3</v>
      </c>
    </row>
    <row r="381" spans="2:5" ht="14.5" customHeight="1" x14ac:dyDescent="0.35">
      <c r="B381" s="78"/>
      <c r="C381" s="37" t="s">
        <v>231</v>
      </c>
      <c r="D381" s="38">
        <v>2</v>
      </c>
      <c r="E381" s="39">
        <v>9.3196644920800001E-4</v>
      </c>
    </row>
    <row r="382" spans="2:5" ht="14.5" customHeight="1" x14ac:dyDescent="0.35">
      <c r="B382" s="78"/>
      <c r="C382" s="37" t="s">
        <v>232</v>
      </c>
      <c r="D382" s="38">
        <v>2</v>
      </c>
      <c r="E382" s="39">
        <v>9.3196644920800001E-4</v>
      </c>
    </row>
    <row r="383" spans="2:5" ht="14.5" customHeight="1" x14ac:dyDescent="0.35">
      <c r="B383" s="78"/>
      <c r="C383" s="37" t="s">
        <v>233</v>
      </c>
      <c r="D383" s="38">
        <v>13</v>
      </c>
      <c r="E383" s="39">
        <v>6.057781919851E-3</v>
      </c>
    </row>
    <row r="384" spans="2:5" ht="14.5" customHeight="1" x14ac:dyDescent="0.35">
      <c r="B384" s="78"/>
      <c r="C384" s="37" t="s">
        <v>236</v>
      </c>
      <c r="D384" s="38">
        <v>1</v>
      </c>
      <c r="E384" s="39">
        <v>4.65983224604E-4</v>
      </c>
    </row>
    <row r="385" spans="2:5" ht="14.5" customHeight="1" x14ac:dyDescent="0.35">
      <c r="B385" s="78"/>
      <c r="C385" s="37" t="s">
        <v>239</v>
      </c>
      <c r="D385" s="38">
        <v>2</v>
      </c>
      <c r="E385" s="39">
        <v>9.3196644920800001E-4</v>
      </c>
    </row>
    <row r="386" spans="2:5" ht="14.5" customHeight="1" x14ac:dyDescent="0.35">
      <c r="B386" s="78"/>
      <c r="C386" s="15" t="s">
        <v>25</v>
      </c>
      <c r="D386" s="16">
        <v>53</v>
      </c>
      <c r="E386" s="17">
        <v>2.4697110904006999E-2</v>
      </c>
    </row>
    <row r="387" spans="2:5" ht="14.5" customHeight="1" x14ac:dyDescent="0.35">
      <c r="B387" s="78" t="s">
        <v>61</v>
      </c>
      <c r="C387" s="37" t="s">
        <v>219</v>
      </c>
      <c r="D387" s="38">
        <v>1</v>
      </c>
      <c r="E387" s="39">
        <v>4.65983224604E-4</v>
      </c>
    </row>
    <row r="388" spans="2:5" ht="14.5" customHeight="1" x14ac:dyDescent="0.35">
      <c r="B388" s="78"/>
      <c r="C388" s="37" t="s">
        <v>223</v>
      </c>
      <c r="D388" s="38">
        <v>1</v>
      </c>
      <c r="E388" s="39">
        <v>4.65983224604E-4</v>
      </c>
    </row>
    <row r="389" spans="2:5" ht="14.5" customHeight="1" x14ac:dyDescent="0.35">
      <c r="B389" s="78"/>
      <c r="C389" s="37" t="s">
        <v>226</v>
      </c>
      <c r="D389" s="38">
        <v>3</v>
      </c>
      <c r="E389" s="39">
        <v>1.397949673812E-3</v>
      </c>
    </row>
    <row r="390" spans="2:5" ht="14.5" customHeight="1" x14ac:dyDescent="0.35">
      <c r="B390" s="78"/>
      <c r="C390" s="37" t="s">
        <v>230</v>
      </c>
      <c r="D390" s="38">
        <v>8</v>
      </c>
      <c r="E390" s="39">
        <v>3.727865796831E-3</v>
      </c>
    </row>
    <row r="391" spans="2:5" ht="14.5" customHeight="1" x14ac:dyDescent="0.35">
      <c r="B391" s="78"/>
      <c r="C391" s="37" t="s">
        <v>231</v>
      </c>
      <c r="D391" s="38">
        <v>1</v>
      </c>
      <c r="E391" s="39">
        <v>4.65983224604E-4</v>
      </c>
    </row>
    <row r="392" spans="2:5" ht="14.5" customHeight="1" x14ac:dyDescent="0.35">
      <c r="B392" s="78"/>
      <c r="C392" s="37" t="s">
        <v>233</v>
      </c>
      <c r="D392" s="38">
        <v>2</v>
      </c>
      <c r="E392" s="39">
        <v>9.3196644920800001E-4</v>
      </c>
    </row>
    <row r="393" spans="2:5" ht="14.5" customHeight="1" x14ac:dyDescent="0.35">
      <c r="B393" s="78"/>
      <c r="C393" s="37" t="s">
        <v>238</v>
      </c>
      <c r="D393" s="38">
        <v>1</v>
      </c>
      <c r="E393" s="39">
        <v>4.65983224604E-4</v>
      </c>
    </row>
    <row r="394" spans="2:5" ht="14.5" customHeight="1" x14ac:dyDescent="0.35">
      <c r="B394" s="78"/>
      <c r="C394" s="37" t="s">
        <v>239</v>
      </c>
      <c r="D394" s="38">
        <v>1</v>
      </c>
      <c r="E394" s="39">
        <v>4.65983224604E-4</v>
      </c>
    </row>
    <row r="395" spans="2:5" ht="14.5" customHeight="1" x14ac:dyDescent="0.35">
      <c r="B395" s="78"/>
      <c r="C395" s="15" t="s">
        <v>25</v>
      </c>
      <c r="D395" s="16">
        <v>18</v>
      </c>
      <c r="E395" s="17">
        <v>8.3876980428699999E-3</v>
      </c>
    </row>
    <row r="396" spans="2:5" ht="14.5" customHeight="1" x14ac:dyDescent="0.35">
      <c r="B396" s="78" t="s">
        <v>83</v>
      </c>
      <c r="C396" s="37" t="s">
        <v>225</v>
      </c>
      <c r="D396" s="38">
        <v>1</v>
      </c>
      <c r="E396" s="39">
        <v>4.65983224604E-4</v>
      </c>
    </row>
    <row r="397" spans="2:5" ht="14.5" customHeight="1" x14ac:dyDescent="0.35">
      <c r="B397" s="78"/>
      <c r="C397" s="37" t="s">
        <v>230</v>
      </c>
      <c r="D397" s="38">
        <v>2</v>
      </c>
      <c r="E397" s="39">
        <v>9.3196644920800001E-4</v>
      </c>
    </row>
    <row r="398" spans="2:5" ht="14.5" customHeight="1" x14ac:dyDescent="0.35">
      <c r="B398" s="78"/>
      <c r="C398" s="15" t="s">
        <v>25</v>
      </c>
      <c r="D398" s="16">
        <v>3</v>
      </c>
      <c r="E398" s="17">
        <v>1.397949673812E-3</v>
      </c>
    </row>
    <row r="399" spans="2:5" ht="14.5" customHeight="1" x14ac:dyDescent="0.4">
      <c r="B399" s="79" t="s">
        <v>25</v>
      </c>
      <c r="C399" s="79"/>
      <c r="D399" s="20">
        <v>2146</v>
      </c>
      <c r="E399" s="21">
        <v>1</v>
      </c>
    </row>
    <row r="400" spans="2:5" ht="14.5" customHeight="1" x14ac:dyDescent="0.35">
      <c r="B400" s="11"/>
    </row>
    <row r="401" spans="2:2" ht="14.5" customHeight="1" x14ac:dyDescent="0.35">
      <c r="B401" s="9" t="s">
        <v>127</v>
      </c>
    </row>
    <row r="402" spans="2:2" ht="14.5" customHeight="1" x14ac:dyDescent="0.35">
      <c r="B402" s="10" t="s">
        <v>21</v>
      </c>
    </row>
    <row r="403" spans="2:2" ht="14.5" customHeight="1" x14ac:dyDescent="0.35">
      <c r="B403" s="11" t="s">
        <v>128</v>
      </c>
    </row>
    <row r="404" spans="2:2" ht="14.5" customHeight="1" x14ac:dyDescent="0.35">
      <c r="B404" s="9" t="s">
        <v>22</v>
      </c>
    </row>
    <row r="405" spans="2:2" ht="14.5" customHeight="1" x14ac:dyDescent="0.35">
      <c r="B405" s="9" t="s">
        <v>129</v>
      </c>
    </row>
  </sheetData>
  <mergeCells count="45">
    <mergeCell ref="B328:B333"/>
    <mergeCell ref="B399:C399"/>
    <mergeCell ref="B334:B354"/>
    <mergeCell ref="B355:B371"/>
    <mergeCell ref="B372:B386"/>
    <mergeCell ref="B387:B395"/>
    <mergeCell ref="B396:B398"/>
    <mergeCell ref="B279:B292"/>
    <mergeCell ref="B293:B296"/>
    <mergeCell ref="B297:B305"/>
    <mergeCell ref="B306:B311"/>
    <mergeCell ref="B312:B327"/>
    <mergeCell ref="B223:B230"/>
    <mergeCell ref="B245:B250"/>
    <mergeCell ref="B251:B266"/>
    <mergeCell ref="B267:B269"/>
    <mergeCell ref="B270:B278"/>
    <mergeCell ref="B231:B244"/>
    <mergeCell ref="B97:B108"/>
    <mergeCell ref="B109:B113"/>
    <mergeCell ref="B114:B124"/>
    <mergeCell ref="B125:B126"/>
    <mergeCell ref="B127:B139"/>
    <mergeCell ref="B140:B152"/>
    <mergeCell ref="B153:B175"/>
    <mergeCell ref="B176:B181"/>
    <mergeCell ref="B182:B190"/>
    <mergeCell ref="B191:B196"/>
    <mergeCell ref="B197:B199"/>
    <mergeCell ref="B200:B205"/>
    <mergeCell ref="B206:B212"/>
    <mergeCell ref="B213:B219"/>
    <mergeCell ref="B220:B222"/>
    <mergeCell ref="B10:B14"/>
    <mergeCell ref="B15:B22"/>
    <mergeCell ref="B23:B26"/>
    <mergeCell ref="B27:B33"/>
    <mergeCell ref="B34:B36"/>
    <mergeCell ref="B88:B96"/>
    <mergeCell ref="B78:B82"/>
    <mergeCell ref="B37:B38"/>
    <mergeCell ref="B39:B47"/>
    <mergeCell ref="B48:B62"/>
    <mergeCell ref="B63:B77"/>
    <mergeCell ref="B83:B8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7:D20"/>
  <sheetViews>
    <sheetView showGridLines="0" view="pageBreakPreview" zoomScale="87" zoomScaleNormal="100" zoomScaleSheetLayoutView="87" workbookViewId="0">
      <selection activeCell="D12" sqref="B12:D14"/>
    </sheetView>
  </sheetViews>
  <sheetFormatPr baseColWidth="10" defaultRowHeight="14.5" x14ac:dyDescent="0.35"/>
  <cols>
    <col min="1" max="1" width="8.81640625" customWidth="1"/>
    <col min="2" max="2" width="23.26953125" customWidth="1"/>
    <col min="3" max="3" width="17.26953125" customWidth="1"/>
    <col min="4" max="4" width="16.1796875" customWidth="1"/>
    <col min="5" max="5" width="8.81640625" customWidth="1"/>
  </cols>
  <sheetData>
    <row r="7" spans="2:4" ht="19.5" customHeight="1" x14ac:dyDescent="0.35">
      <c r="B7" s="68" t="s">
        <v>33</v>
      </c>
      <c r="C7" s="68"/>
      <c r="D7" s="68"/>
    </row>
    <row r="8" spans="2:4" x14ac:dyDescent="0.35">
      <c r="B8" s="68"/>
      <c r="C8" s="68"/>
      <c r="D8" s="68"/>
    </row>
    <row r="9" spans="2:4" ht="31.5" customHeight="1" x14ac:dyDescent="0.35">
      <c r="B9" s="68"/>
      <c r="C9" s="68"/>
      <c r="D9" s="68"/>
    </row>
    <row r="10" spans="2:4" ht="3.5" customHeight="1" x14ac:dyDescent="0.35"/>
    <row r="11" spans="2:4" ht="28" x14ac:dyDescent="0.35">
      <c r="B11" s="1" t="s">
        <v>34</v>
      </c>
      <c r="C11" s="2" t="s">
        <v>19</v>
      </c>
      <c r="D11" s="3" t="s">
        <v>20</v>
      </c>
    </row>
    <row r="12" spans="2:4" ht="14.5" customHeight="1" x14ac:dyDescent="0.35">
      <c r="B12" s="37" t="s">
        <v>130</v>
      </c>
      <c r="C12" s="38">
        <v>648</v>
      </c>
      <c r="D12" s="39">
        <v>0.30195712954333598</v>
      </c>
    </row>
    <row r="13" spans="2:4" ht="14.5" customHeight="1" x14ac:dyDescent="0.35">
      <c r="B13" s="37" t="s">
        <v>131</v>
      </c>
      <c r="C13" s="38">
        <v>1498</v>
      </c>
      <c r="D13" s="39">
        <v>0.69804287045666402</v>
      </c>
    </row>
    <row r="14" spans="2:4" ht="14.5" customHeight="1" x14ac:dyDescent="0.35">
      <c r="B14" s="5" t="s">
        <v>25</v>
      </c>
      <c r="C14" s="6">
        <v>2146</v>
      </c>
      <c r="D14" s="7">
        <v>1</v>
      </c>
    </row>
    <row r="15" spans="2:4" ht="14.5" customHeight="1" x14ac:dyDescent="0.35">
      <c r="B15" s="11"/>
    </row>
    <row r="16" spans="2:4" ht="14.5" customHeight="1" x14ac:dyDescent="0.35">
      <c r="B16" s="9" t="s">
        <v>127</v>
      </c>
    </row>
    <row r="17" spans="2:2" ht="14.5" customHeight="1" x14ac:dyDescent="0.35">
      <c r="B17" s="10" t="s">
        <v>21</v>
      </c>
    </row>
    <row r="18" spans="2:2" ht="14.5" customHeight="1" x14ac:dyDescent="0.35">
      <c r="B18" s="11" t="s">
        <v>128</v>
      </c>
    </row>
    <row r="19" spans="2:2" ht="14.5" customHeight="1" x14ac:dyDescent="0.35">
      <c r="B19" s="9" t="s">
        <v>22</v>
      </c>
    </row>
    <row r="20" spans="2:2" ht="14.5" customHeight="1" x14ac:dyDescent="0.35">
      <c r="B20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4:E147"/>
  <sheetViews>
    <sheetView showGridLines="0" view="pageBreakPreview" topLeftCell="A135" zoomScale="104" zoomScaleNormal="100" zoomScaleSheetLayoutView="104" workbookViewId="0">
      <selection activeCell="B141" sqref="B141:C141"/>
    </sheetView>
  </sheetViews>
  <sheetFormatPr baseColWidth="10" defaultRowHeight="14.5" x14ac:dyDescent="0.35"/>
  <cols>
    <col min="1" max="1" width="7" customWidth="1"/>
    <col min="2" max="2" width="20.81640625" customWidth="1"/>
    <col min="3" max="3" width="12.54296875" customWidth="1"/>
    <col min="4" max="4" width="19.7265625" customWidth="1"/>
    <col min="5" max="5" width="13" customWidth="1"/>
    <col min="6" max="6" width="9.08984375" customWidth="1"/>
  </cols>
  <sheetData>
    <row r="4" spans="2:5" ht="31.5" customHeight="1" x14ac:dyDescent="0.35"/>
    <row r="7" spans="2:5" ht="2" customHeight="1" x14ac:dyDescent="0.35"/>
    <row r="8" spans="2:5" x14ac:dyDescent="0.35">
      <c r="B8" s="68" t="s">
        <v>35</v>
      </c>
      <c r="C8" s="68"/>
      <c r="D8" s="68"/>
      <c r="E8" s="68"/>
    </row>
    <row r="9" spans="2:5" x14ac:dyDescent="0.35">
      <c r="B9" s="68"/>
      <c r="C9" s="68"/>
      <c r="D9" s="68"/>
      <c r="E9" s="68"/>
    </row>
    <row r="10" spans="2:5" x14ac:dyDescent="0.35">
      <c r="B10" s="68"/>
      <c r="C10" s="68"/>
      <c r="D10" s="68"/>
      <c r="E10" s="68"/>
    </row>
    <row r="12" spans="2:5" ht="28" x14ac:dyDescent="0.35">
      <c r="B12" s="18" t="s">
        <v>23</v>
      </c>
      <c r="C12" s="18" t="s">
        <v>34</v>
      </c>
      <c r="D12" s="18" t="s">
        <v>19</v>
      </c>
      <c r="E12" s="18" t="s">
        <v>20</v>
      </c>
    </row>
    <row r="13" spans="2:5" s="58" customFormat="1" ht="14.5" customHeight="1" x14ac:dyDescent="0.4">
      <c r="B13" s="73" t="s">
        <v>77</v>
      </c>
      <c r="C13" s="37" t="s">
        <v>130</v>
      </c>
      <c r="D13" s="38">
        <v>3</v>
      </c>
      <c r="E13" s="39">
        <v>1.397949673812E-3</v>
      </c>
    </row>
    <row r="14" spans="2:5" s="58" customFormat="1" ht="14.5" customHeight="1" x14ac:dyDescent="0.4">
      <c r="B14" s="75"/>
      <c r="C14" s="37" t="s">
        <v>131</v>
      </c>
      <c r="D14" s="38">
        <v>3</v>
      </c>
      <c r="E14" s="39">
        <v>1.397949673812E-3</v>
      </c>
    </row>
    <row r="15" spans="2:5" s="58" customFormat="1" ht="14.5" customHeight="1" x14ac:dyDescent="0.4">
      <c r="B15" s="74"/>
      <c r="C15" s="15" t="s">
        <v>25</v>
      </c>
      <c r="D15" s="16">
        <v>6</v>
      </c>
      <c r="E15" s="17">
        <v>2.795899347623E-3</v>
      </c>
    </row>
    <row r="16" spans="2:5" s="58" customFormat="1" ht="14.5" customHeight="1" x14ac:dyDescent="0.4">
      <c r="B16" s="73" t="s">
        <v>62</v>
      </c>
      <c r="C16" s="37" t="s">
        <v>130</v>
      </c>
      <c r="D16" s="38">
        <v>9</v>
      </c>
      <c r="E16" s="39">
        <v>4.193849021435E-3</v>
      </c>
    </row>
    <row r="17" spans="2:5" s="58" customFormat="1" ht="14.5" customHeight="1" x14ac:dyDescent="0.4">
      <c r="B17" s="75"/>
      <c r="C17" s="37" t="s">
        <v>131</v>
      </c>
      <c r="D17" s="38">
        <v>7</v>
      </c>
      <c r="E17" s="39">
        <v>3.261882572227E-3</v>
      </c>
    </row>
    <row r="18" spans="2:5" s="58" customFormat="1" ht="14.5" customHeight="1" x14ac:dyDescent="0.4">
      <c r="B18" s="74"/>
      <c r="C18" s="15" t="s">
        <v>25</v>
      </c>
      <c r="D18" s="16">
        <v>16</v>
      </c>
      <c r="E18" s="17">
        <v>7.455731593663E-3</v>
      </c>
    </row>
    <row r="19" spans="2:5" s="58" customFormat="1" ht="14.5" customHeight="1" x14ac:dyDescent="0.4">
      <c r="B19" s="73" t="s">
        <v>68</v>
      </c>
      <c r="C19" s="37" t="s">
        <v>130</v>
      </c>
      <c r="D19" s="38">
        <v>5</v>
      </c>
      <c r="E19" s="39">
        <v>2.32991612302E-3</v>
      </c>
    </row>
    <row r="20" spans="2:5" s="58" customFormat="1" ht="14.5" customHeight="1" x14ac:dyDescent="0.4">
      <c r="B20" s="75"/>
      <c r="C20" s="37" t="s">
        <v>131</v>
      </c>
      <c r="D20" s="38">
        <v>5</v>
      </c>
      <c r="E20" s="39">
        <v>2.32991612302E-3</v>
      </c>
    </row>
    <row r="21" spans="2:5" s="58" customFormat="1" ht="14.5" customHeight="1" x14ac:dyDescent="0.4">
      <c r="B21" s="74"/>
      <c r="C21" s="15" t="s">
        <v>25</v>
      </c>
      <c r="D21" s="16">
        <v>10</v>
      </c>
      <c r="E21" s="17">
        <v>4.659832246039E-3</v>
      </c>
    </row>
    <row r="22" spans="2:5" s="58" customFormat="1" ht="14.5" customHeight="1" x14ac:dyDescent="0.4">
      <c r="B22" s="73" t="s">
        <v>70</v>
      </c>
      <c r="C22" s="37" t="s">
        <v>130</v>
      </c>
      <c r="D22" s="38">
        <v>3</v>
      </c>
      <c r="E22" s="39">
        <v>1.397949673812E-3</v>
      </c>
    </row>
    <row r="23" spans="2:5" s="58" customFormat="1" ht="14.5" customHeight="1" x14ac:dyDescent="0.4">
      <c r="B23" s="75"/>
      <c r="C23" s="37" t="s">
        <v>131</v>
      </c>
      <c r="D23" s="38">
        <v>6</v>
      </c>
      <c r="E23" s="39">
        <v>2.795899347623E-3</v>
      </c>
    </row>
    <row r="24" spans="2:5" s="58" customFormat="1" ht="14.5" customHeight="1" x14ac:dyDescent="0.4">
      <c r="B24" s="74"/>
      <c r="C24" s="15" t="s">
        <v>25</v>
      </c>
      <c r="D24" s="16">
        <v>9</v>
      </c>
      <c r="E24" s="17">
        <v>4.193849021435E-3</v>
      </c>
    </row>
    <row r="25" spans="2:5" s="58" customFormat="1" ht="14.5" customHeight="1" x14ac:dyDescent="0.4">
      <c r="B25" s="73" t="s">
        <v>81</v>
      </c>
      <c r="C25" s="37" t="s">
        <v>131</v>
      </c>
      <c r="D25" s="38">
        <v>4</v>
      </c>
      <c r="E25" s="39">
        <v>1.863932898416E-3</v>
      </c>
    </row>
    <row r="26" spans="2:5" s="58" customFormat="1" ht="14.5" customHeight="1" x14ac:dyDescent="0.4">
      <c r="B26" s="74"/>
      <c r="C26" s="15" t="s">
        <v>25</v>
      </c>
      <c r="D26" s="16">
        <v>4</v>
      </c>
      <c r="E26" s="17">
        <v>1.863932898416E-3</v>
      </c>
    </row>
    <row r="27" spans="2:5" s="58" customFormat="1" ht="14.5" customHeight="1" x14ac:dyDescent="0.4">
      <c r="B27" s="73" t="s">
        <v>84</v>
      </c>
      <c r="C27" s="37" t="s">
        <v>131</v>
      </c>
      <c r="D27" s="38">
        <v>2</v>
      </c>
      <c r="E27" s="39">
        <v>9.3196644920800001E-4</v>
      </c>
    </row>
    <row r="28" spans="2:5" s="58" customFormat="1" ht="14.5" customHeight="1" x14ac:dyDescent="0.4">
      <c r="B28" s="74"/>
      <c r="C28" s="15" t="s">
        <v>25</v>
      </c>
      <c r="D28" s="16">
        <v>2</v>
      </c>
      <c r="E28" s="17">
        <v>9.3196644920800001E-4</v>
      </c>
    </row>
    <row r="29" spans="2:5" s="58" customFormat="1" ht="14.5" customHeight="1" x14ac:dyDescent="0.4">
      <c r="B29" s="73" t="s">
        <v>57</v>
      </c>
      <c r="C29" s="37" t="s">
        <v>130</v>
      </c>
      <c r="D29" s="38">
        <v>15</v>
      </c>
      <c r="E29" s="39">
        <v>6.989748369059E-3</v>
      </c>
    </row>
    <row r="30" spans="2:5" s="58" customFormat="1" ht="14.5" customHeight="1" x14ac:dyDescent="0.4">
      <c r="B30" s="75"/>
      <c r="C30" s="37" t="s">
        <v>131</v>
      </c>
      <c r="D30" s="38">
        <v>16</v>
      </c>
      <c r="E30" s="39">
        <v>7.455731593663E-3</v>
      </c>
    </row>
    <row r="31" spans="2:5" s="58" customFormat="1" ht="14.5" customHeight="1" x14ac:dyDescent="0.4">
      <c r="B31" s="74"/>
      <c r="C31" s="15" t="s">
        <v>25</v>
      </c>
      <c r="D31" s="16">
        <v>31</v>
      </c>
      <c r="E31" s="17">
        <v>1.4445479962721001E-2</v>
      </c>
    </row>
    <row r="32" spans="2:5" s="58" customFormat="1" ht="14.5" customHeight="1" x14ac:dyDescent="0.4">
      <c r="B32" s="73" t="s">
        <v>46</v>
      </c>
      <c r="C32" s="37" t="s">
        <v>130</v>
      </c>
      <c r="D32" s="38">
        <v>37</v>
      </c>
      <c r="E32" s="39">
        <v>1.7241379310345001E-2</v>
      </c>
    </row>
    <row r="33" spans="2:5" s="58" customFormat="1" ht="14.5" customHeight="1" x14ac:dyDescent="0.4">
      <c r="B33" s="75"/>
      <c r="C33" s="37" t="s">
        <v>131</v>
      </c>
      <c r="D33" s="38">
        <v>78</v>
      </c>
      <c r="E33" s="39">
        <v>3.6346691519105002E-2</v>
      </c>
    </row>
    <row r="34" spans="2:5" s="58" customFormat="1" ht="14.5" customHeight="1" x14ac:dyDescent="0.4">
      <c r="B34" s="74"/>
      <c r="C34" s="15" t="s">
        <v>25</v>
      </c>
      <c r="D34" s="16">
        <v>115</v>
      </c>
      <c r="E34" s="17">
        <v>5.3588070829450003E-2</v>
      </c>
    </row>
    <row r="35" spans="2:5" s="58" customFormat="1" ht="14.5" customHeight="1" x14ac:dyDescent="0.4">
      <c r="B35" s="73" t="s">
        <v>49</v>
      </c>
      <c r="C35" s="37" t="s">
        <v>130</v>
      </c>
      <c r="D35" s="38">
        <v>18</v>
      </c>
      <c r="E35" s="39">
        <v>8.3876980428699999E-3</v>
      </c>
    </row>
    <row r="36" spans="2:5" s="58" customFormat="1" ht="14.5" customHeight="1" x14ac:dyDescent="0.4">
      <c r="B36" s="75"/>
      <c r="C36" s="37" t="s">
        <v>131</v>
      </c>
      <c r="D36" s="38">
        <v>66</v>
      </c>
      <c r="E36" s="39">
        <v>3.0754892823858002E-2</v>
      </c>
    </row>
    <row r="37" spans="2:5" s="58" customFormat="1" ht="14.5" customHeight="1" x14ac:dyDescent="0.4">
      <c r="B37" s="74"/>
      <c r="C37" s="15" t="s">
        <v>25</v>
      </c>
      <c r="D37" s="16">
        <v>84</v>
      </c>
      <c r="E37" s="17">
        <v>3.9142590866728999E-2</v>
      </c>
    </row>
    <row r="38" spans="2:5" s="58" customFormat="1" ht="14.5" customHeight="1" x14ac:dyDescent="0.4">
      <c r="B38" s="73" t="s">
        <v>75</v>
      </c>
      <c r="C38" s="37" t="s">
        <v>130</v>
      </c>
      <c r="D38" s="38">
        <v>3</v>
      </c>
      <c r="E38" s="39">
        <v>1.397949673812E-3</v>
      </c>
    </row>
    <row r="39" spans="2:5" s="58" customFormat="1" ht="14.5" customHeight="1" x14ac:dyDescent="0.4">
      <c r="B39" s="75"/>
      <c r="C39" s="37" t="s">
        <v>131</v>
      </c>
      <c r="D39" s="38">
        <v>4</v>
      </c>
      <c r="E39" s="39">
        <v>1.863932898416E-3</v>
      </c>
    </row>
    <row r="40" spans="2:5" s="58" customFormat="1" ht="14.5" customHeight="1" x14ac:dyDescent="0.4">
      <c r="B40" s="74"/>
      <c r="C40" s="15" t="s">
        <v>25</v>
      </c>
      <c r="D40" s="16">
        <v>7</v>
      </c>
      <c r="E40" s="17">
        <v>3.261882572227E-3</v>
      </c>
    </row>
    <row r="41" spans="2:5" s="58" customFormat="1" ht="14.5" customHeight="1" x14ac:dyDescent="0.4">
      <c r="B41" s="73" t="s">
        <v>78</v>
      </c>
      <c r="C41" s="37" t="s">
        <v>130</v>
      </c>
      <c r="D41" s="38">
        <v>2</v>
      </c>
      <c r="E41" s="39">
        <v>9.3196644920800001E-4</v>
      </c>
    </row>
    <row r="42" spans="2:5" s="58" customFormat="1" ht="14.5" customHeight="1" x14ac:dyDescent="0.4">
      <c r="B42" s="75"/>
      <c r="C42" s="37" t="s">
        <v>131</v>
      </c>
      <c r="D42" s="38">
        <v>4</v>
      </c>
      <c r="E42" s="39">
        <v>1.863932898416E-3</v>
      </c>
    </row>
    <row r="43" spans="2:5" s="58" customFormat="1" ht="14.5" customHeight="1" x14ac:dyDescent="0.4">
      <c r="B43" s="74"/>
      <c r="C43" s="15" t="s">
        <v>25</v>
      </c>
      <c r="D43" s="16">
        <v>6</v>
      </c>
      <c r="E43" s="17">
        <v>2.795899347623E-3</v>
      </c>
    </row>
    <row r="44" spans="2:5" s="58" customFormat="1" ht="14.5" customHeight="1" x14ac:dyDescent="0.4">
      <c r="B44" s="73" t="s">
        <v>65</v>
      </c>
      <c r="C44" s="37" t="s">
        <v>130</v>
      </c>
      <c r="D44" s="38">
        <v>4</v>
      </c>
      <c r="E44" s="39">
        <v>1.863932898416E-3</v>
      </c>
    </row>
    <row r="45" spans="2:5" s="58" customFormat="1" ht="14.5" customHeight="1" x14ac:dyDescent="0.4">
      <c r="B45" s="75"/>
      <c r="C45" s="37" t="s">
        <v>131</v>
      </c>
      <c r="D45" s="38">
        <v>8</v>
      </c>
      <c r="E45" s="39">
        <v>3.727865796831E-3</v>
      </c>
    </row>
    <row r="46" spans="2:5" s="58" customFormat="1" ht="14.5" customHeight="1" x14ac:dyDescent="0.4">
      <c r="B46" s="74"/>
      <c r="C46" s="15" t="s">
        <v>25</v>
      </c>
      <c r="D46" s="16">
        <v>12</v>
      </c>
      <c r="E46" s="17">
        <v>5.591798695247E-3</v>
      </c>
    </row>
    <row r="47" spans="2:5" s="58" customFormat="1" ht="14.5" customHeight="1" x14ac:dyDescent="0.4">
      <c r="B47" s="73" t="s">
        <v>55</v>
      </c>
      <c r="C47" s="37" t="s">
        <v>130</v>
      </c>
      <c r="D47" s="38">
        <v>23</v>
      </c>
      <c r="E47" s="39">
        <v>1.071761416589E-2</v>
      </c>
    </row>
    <row r="48" spans="2:5" s="58" customFormat="1" ht="14.5" customHeight="1" x14ac:dyDescent="0.4">
      <c r="B48" s="75"/>
      <c r="C48" s="37" t="s">
        <v>131</v>
      </c>
      <c r="D48" s="38">
        <v>22</v>
      </c>
      <c r="E48" s="39">
        <v>1.0251630941286E-2</v>
      </c>
    </row>
    <row r="49" spans="2:5" s="58" customFormat="1" ht="14.5" customHeight="1" x14ac:dyDescent="0.4">
      <c r="B49" s="74"/>
      <c r="C49" s="15" t="s">
        <v>25</v>
      </c>
      <c r="D49" s="16">
        <v>45</v>
      </c>
      <c r="E49" s="17">
        <v>2.0969245107176002E-2</v>
      </c>
    </row>
    <row r="50" spans="2:5" s="58" customFormat="1" ht="14.5" customHeight="1" x14ac:dyDescent="0.4">
      <c r="B50" s="73" t="s">
        <v>80</v>
      </c>
      <c r="C50" s="37" t="s">
        <v>130</v>
      </c>
      <c r="D50" s="38">
        <v>3</v>
      </c>
      <c r="E50" s="39">
        <v>1.397949673812E-3</v>
      </c>
    </row>
    <row r="51" spans="2:5" s="58" customFormat="1" ht="14.5" customHeight="1" x14ac:dyDescent="0.4">
      <c r="B51" s="75"/>
      <c r="C51" s="37" t="s">
        <v>131</v>
      </c>
      <c r="D51" s="38">
        <v>2</v>
      </c>
      <c r="E51" s="39">
        <v>9.3196644920800001E-4</v>
      </c>
    </row>
    <row r="52" spans="2:5" s="58" customFormat="1" ht="14.5" customHeight="1" x14ac:dyDescent="0.4">
      <c r="B52" s="74"/>
      <c r="C52" s="15" t="s">
        <v>25</v>
      </c>
      <c r="D52" s="16">
        <v>5</v>
      </c>
      <c r="E52" s="17">
        <v>2.32991612302E-3</v>
      </c>
    </row>
    <row r="53" spans="2:5" s="58" customFormat="1" ht="14.5" customHeight="1" x14ac:dyDescent="0.4">
      <c r="B53" s="73" t="s">
        <v>58</v>
      </c>
      <c r="C53" s="37" t="s">
        <v>130</v>
      </c>
      <c r="D53" s="38">
        <v>8</v>
      </c>
      <c r="E53" s="39">
        <v>3.727865796831E-3</v>
      </c>
    </row>
    <row r="54" spans="2:5" s="58" customFormat="1" ht="14.5" customHeight="1" x14ac:dyDescent="0.4">
      <c r="B54" s="75"/>
      <c r="C54" s="37" t="s">
        <v>131</v>
      </c>
      <c r="D54" s="38">
        <v>16</v>
      </c>
      <c r="E54" s="39">
        <v>7.455731593663E-3</v>
      </c>
    </row>
    <row r="55" spans="2:5" s="58" customFormat="1" ht="14.5" customHeight="1" x14ac:dyDescent="0.4">
      <c r="B55" s="74"/>
      <c r="C55" s="15" t="s">
        <v>25</v>
      </c>
      <c r="D55" s="16">
        <v>24</v>
      </c>
      <c r="E55" s="17">
        <v>1.1183597390494E-2</v>
      </c>
    </row>
    <row r="56" spans="2:5" s="58" customFormat="1" ht="14.5" customHeight="1" x14ac:dyDescent="0.4">
      <c r="B56" s="73" t="s">
        <v>85</v>
      </c>
      <c r="C56" s="37" t="s">
        <v>130</v>
      </c>
      <c r="D56" s="38">
        <v>1</v>
      </c>
      <c r="E56" s="39">
        <v>4.65983224604E-4</v>
      </c>
    </row>
    <row r="57" spans="2:5" s="58" customFormat="1" ht="14.5" customHeight="1" x14ac:dyDescent="0.4">
      <c r="B57" s="75"/>
      <c r="C57" s="37" t="s">
        <v>131</v>
      </c>
      <c r="D57" s="38">
        <v>1</v>
      </c>
      <c r="E57" s="39">
        <v>4.65983224604E-4</v>
      </c>
    </row>
    <row r="58" spans="2:5" s="58" customFormat="1" ht="14.5" customHeight="1" x14ac:dyDescent="0.4">
      <c r="B58" s="74"/>
      <c r="C58" s="15" t="s">
        <v>25</v>
      </c>
      <c r="D58" s="16">
        <v>2</v>
      </c>
      <c r="E58" s="17">
        <v>9.3196644920800001E-4</v>
      </c>
    </row>
    <row r="59" spans="2:5" s="58" customFormat="1" ht="14.5" customHeight="1" x14ac:dyDescent="0.4">
      <c r="B59" s="73" t="s">
        <v>52</v>
      </c>
      <c r="C59" s="37" t="s">
        <v>130</v>
      </c>
      <c r="D59" s="38">
        <v>21</v>
      </c>
      <c r="E59" s="39">
        <v>9.785647716682E-3</v>
      </c>
    </row>
    <row r="60" spans="2:5" s="58" customFormat="1" ht="14.5" customHeight="1" x14ac:dyDescent="0.4">
      <c r="B60" s="75"/>
      <c r="C60" s="37" t="s">
        <v>131</v>
      </c>
      <c r="D60" s="38">
        <v>31</v>
      </c>
      <c r="E60" s="39">
        <v>1.4445479962721001E-2</v>
      </c>
    </row>
    <row r="61" spans="2:5" s="58" customFormat="1" ht="14.5" customHeight="1" x14ac:dyDescent="0.4">
      <c r="B61" s="74"/>
      <c r="C61" s="15" t="s">
        <v>25</v>
      </c>
      <c r="D61" s="16">
        <v>52</v>
      </c>
      <c r="E61" s="17">
        <v>2.4231127679404E-2</v>
      </c>
    </row>
    <row r="62" spans="2:5" s="58" customFormat="1" ht="14.5" customHeight="1" x14ac:dyDescent="0.4">
      <c r="B62" s="73" t="s">
        <v>56</v>
      </c>
      <c r="C62" s="37" t="s">
        <v>130</v>
      </c>
      <c r="D62" s="38">
        <v>7</v>
      </c>
      <c r="E62" s="39">
        <v>3.261882572227E-3</v>
      </c>
    </row>
    <row r="63" spans="2:5" s="58" customFormat="1" ht="14.5" customHeight="1" x14ac:dyDescent="0.4">
      <c r="B63" s="75"/>
      <c r="C63" s="37" t="s">
        <v>131</v>
      </c>
      <c r="D63" s="38">
        <v>31</v>
      </c>
      <c r="E63" s="39">
        <v>1.4445479962721001E-2</v>
      </c>
    </row>
    <row r="64" spans="2:5" s="58" customFormat="1" ht="14.5" customHeight="1" x14ac:dyDescent="0.4">
      <c r="B64" s="74"/>
      <c r="C64" s="15" t="s">
        <v>25</v>
      </c>
      <c r="D64" s="16">
        <v>38</v>
      </c>
      <c r="E64" s="17">
        <v>1.7707362534948999E-2</v>
      </c>
    </row>
    <row r="65" spans="2:5" s="58" customFormat="1" ht="14.5" customHeight="1" x14ac:dyDescent="0.4">
      <c r="B65" s="73" t="s">
        <v>45</v>
      </c>
      <c r="C65" s="37" t="s">
        <v>130</v>
      </c>
      <c r="D65" s="38">
        <v>149</v>
      </c>
      <c r="E65" s="39">
        <v>6.9431500465982995E-2</v>
      </c>
    </row>
    <row r="66" spans="2:5" s="58" customFormat="1" ht="14.5" customHeight="1" x14ac:dyDescent="0.4">
      <c r="B66" s="75"/>
      <c r="C66" s="37" t="s">
        <v>131</v>
      </c>
      <c r="D66" s="38">
        <v>235</v>
      </c>
      <c r="E66" s="39">
        <v>0.10950605778192</v>
      </c>
    </row>
    <row r="67" spans="2:5" s="58" customFormat="1" ht="14.5" customHeight="1" x14ac:dyDescent="0.4">
      <c r="B67" s="74"/>
      <c r="C67" s="15" t="s">
        <v>25</v>
      </c>
      <c r="D67" s="16">
        <v>384</v>
      </c>
      <c r="E67" s="17">
        <v>0.178937558247903</v>
      </c>
    </row>
    <row r="68" spans="2:5" s="58" customFormat="1" ht="14.5" customHeight="1" x14ac:dyDescent="0.4">
      <c r="B68" s="73" t="s">
        <v>64</v>
      </c>
      <c r="C68" s="37" t="s">
        <v>130</v>
      </c>
      <c r="D68" s="38">
        <v>4</v>
      </c>
      <c r="E68" s="39">
        <v>1.863932898416E-3</v>
      </c>
    </row>
    <row r="69" spans="2:5" s="58" customFormat="1" ht="14.5" customHeight="1" x14ac:dyDescent="0.4">
      <c r="B69" s="75"/>
      <c r="C69" s="37" t="s">
        <v>131</v>
      </c>
      <c r="D69" s="38">
        <v>9</v>
      </c>
      <c r="E69" s="39">
        <v>4.193849021435E-3</v>
      </c>
    </row>
    <row r="70" spans="2:5" s="58" customFormat="1" ht="14.5" customHeight="1" x14ac:dyDescent="0.4">
      <c r="B70" s="74"/>
      <c r="C70" s="15" t="s">
        <v>25</v>
      </c>
      <c r="D70" s="16">
        <v>13</v>
      </c>
      <c r="E70" s="17">
        <v>6.057781919851E-3</v>
      </c>
    </row>
    <row r="71" spans="2:5" s="58" customFormat="1" ht="14.5" customHeight="1" x14ac:dyDescent="0.4">
      <c r="B71" s="73" t="s">
        <v>60</v>
      </c>
      <c r="C71" s="37" t="s">
        <v>130</v>
      </c>
      <c r="D71" s="38">
        <v>4</v>
      </c>
      <c r="E71" s="39">
        <v>1.863932898416E-3</v>
      </c>
    </row>
    <row r="72" spans="2:5" s="58" customFormat="1" ht="14.5" customHeight="1" x14ac:dyDescent="0.4">
      <c r="B72" s="75"/>
      <c r="C72" s="37" t="s">
        <v>131</v>
      </c>
      <c r="D72" s="38">
        <v>17</v>
      </c>
      <c r="E72" s="39">
        <v>7.9217148182669991E-3</v>
      </c>
    </row>
    <row r="73" spans="2:5" s="58" customFormat="1" ht="14.5" customHeight="1" x14ac:dyDescent="0.4">
      <c r="B73" s="74"/>
      <c r="C73" s="15" t="s">
        <v>25</v>
      </c>
      <c r="D73" s="16">
        <v>21</v>
      </c>
      <c r="E73" s="17">
        <v>9.785647716682E-3</v>
      </c>
    </row>
    <row r="74" spans="2:5" s="58" customFormat="1" ht="14.5" customHeight="1" x14ac:dyDescent="0.4">
      <c r="B74" s="73" t="s">
        <v>76</v>
      </c>
      <c r="C74" s="37" t="s">
        <v>130</v>
      </c>
      <c r="D74" s="38">
        <v>2</v>
      </c>
      <c r="E74" s="39">
        <v>9.3196644920800001E-4</v>
      </c>
    </row>
    <row r="75" spans="2:5" s="58" customFormat="1" ht="14.5" customHeight="1" x14ac:dyDescent="0.4">
      <c r="B75" s="75"/>
      <c r="C75" s="37" t="s">
        <v>131</v>
      </c>
      <c r="D75" s="38">
        <v>5</v>
      </c>
      <c r="E75" s="39">
        <v>2.32991612302E-3</v>
      </c>
    </row>
    <row r="76" spans="2:5" s="58" customFormat="1" ht="14.5" customHeight="1" x14ac:dyDescent="0.4">
      <c r="B76" s="74"/>
      <c r="C76" s="15" t="s">
        <v>25</v>
      </c>
      <c r="D76" s="16">
        <v>7</v>
      </c>
      <c r="E76" s="17">
        <v>3.261882572227E-3</v>
      </c>
    </row>
    <row r="77" spans="2:5" s="58" customFormat="1" ht="14.5" customHeight="1" x14ac:dyDescent="0.4">
      <c r="B77" s="73" t="s">
        <v>86</v>
      </c>
      <c r="C77" s="37" t="s">
        <v>131</v>
      </c>
      <c r="D77" s="38">
        <v>2</v>
      </c>
      <c r="E77" s="39">
        <v>9.3196644920800001E-4</v>
      </c>
    </row>
    <row r="78" spans="2:5" s="58" customFormat="1" ht="14.5" customHeight="1" x14ac:dyDescent="0.4">
      <c r="B78" s="74"/>
      <c r="C78" s="15" t="s">
        <v>25</v>
      </c>
      <c r="D78" s="16">
        <v>2</v>
      </c>
      <c r="E78" s="17">
        <v>9.3196644920800001E-4</v>
      </c>
    </row>
    <row r="79" spans="2:5" s="58" customFormat="1" ht="14.5" customHeight="1" x14ac:dyDescent="0.4">
      <c r="B79" s="73" t="s">
        <v>66</v>
      </c>
      <c r="C79" s="37" t="s">
        <v>130</v>
      </c>
      <c r="D79" s="38">
        <v>3</v>
      </c>
      <c r="E79" s="39">
        <v>1.397949673812E-3</v>
      </c>
    </row>
    <row r="80" spans="2:5" s="58" customFormat="1" ht="14.5" customHeight="1" x14ac:dyDescent="0.4">
      <c r="B80" s="75"/>
      <c r="C80" s="37" t="s">
        <v>131</v>
      </c>
      <c r="D80" s="38">
        <v>8</v>
      </c>
      <c r="E80" s="39">
        <v>3.727865796831E-3</v>
      </c>
    </row>
    <row r="81" spans="2:5" s="58" customFormat="1" ht="14.5" customHeight="1" x14ac:dyDescent="0.4">
      <c r="B81" s="74"/>
      <c r="C81" s="15" t="s">
        <v>25</v>
      </c>
      <c r="D81" s="16">
        <v>11</v>
      </c>
      <c r="E81" s="17">
        <v>5.125815470643E-3</v>
      </c>
    </row>
    <row r="82" spans="2:5" s="58" customFormat="1" ht="14.5" customHeight="1" x14ac:dyDescent="0.4">
      <c r="B82" s="73" t="s">
        <v>71</v>
      </c>
      <c r="C82" s="37" t="s">
        <v>130</v>
      </c>
      <c r="D82" s="38">
        <v>4</v>
      </c>
      <c r="E82" s="39">
        <v>1.863932898416E-3</v>
      </c>
    </row>
    <row r="83" spans="2:5" s="58" customFormat="1" ht="14.5" customHeight="1" x14ac:dyDescent="0.4">
      <c r="B83" s="75"/>
      <c r="C83" s="37" t="s">
        <v>131</v>
      </c>
      <c r="D83" s="38">
        <v>4</v>
      </c>
      <c r="E83" s="39">
        <v>1.863932898416E-3</v>
      </c>
    </row>
    <row r="84" spans="2:5" s="58" customFormat="1" ht="14.5" customHeight="1" x14ac:dyDescent="0.4">
      <c r="B84" s="74"/>
      <c r="C84" s="15" t="s">
        <v>25</v>
      </c>
      <c r="D84" s="16">
        <v>8</v>
      </c>
      <c r="E84" s="17">
        <v>3.727865796831E-3</v>
      </c>
    </row>
    <row r="85" spans="2:5" s="58" customFormat="1" ht="14.5" customHeight="1" x14ac:dyDescent="0.4">
      <c r="B85" s="73" t="s">
        <v>69</v>
      </c>
      <c r="C85" s="37" t="s">
        <v>130</v>
      </c>
      <c r="D85" s="38">
        <v>4</v>
      </c>
      <c r="E85" s="39">
        <v>1.863932898416E-3</v>
      </c>
    </row>
    <row r="86" spans="2:5" s="58" customFormat="1" ht="14.5" customHeight="1" x14ac:dyDescent="0.4">
      <c r="B86" s="75"/>
      <c r="C86" s="37" t="s">
        <v>131</v>
      </c>
      <c r="D86" s="38">
        <v>6</v>
      </c>
      <c r="E86" s="39">
        <v>2.795899347623E-3</v>
      </c>
    </row>
    <row r="87" spans="2:5" s="58" customFormat="1" ht="14.5" customHeight="1" x14ac:dyDescent="0.4">
      <c r="B87" s="74"/>
      <c r="C87" s="15" t="s">
        <v>25</v>
      </c>
      <c r="D87" s="16">
        <v>10</v>
      </c>
      <c r="E87" s="17">
        <v>4.659832246039E-3</v>
      </c>
    </row>
    <row r="88" spans="2:5" s="58" customFormat="1" ht="14.5" customHeight="1" x14ac:dyDescent="0.4">
      <c r="B88" s="73" t="s">
        <v>82</v>
      </c>
      <c r="C88" s="37" t="s">
        <v>131</v>
      </c>
      <c r="D88" s="38">
        <v>3</v>
      </c>
      <c r="E88" s="39">
        <v>1.397949673812E-3</v>
      </c>
    </row>
    <row r="89" spans="2:5" s="58" customFormat="1" ht="14.5" customHeight="1" x14ac:dyDescent="0.4">
      <c r="B89" s="74"/>
      <c r="C89" s="15" t="s">
        <v>25</v>
      </c>
      <c r="D89" s="16">
        <v>3</v>
      </c>
      <c r="E89" s="17">
        <v>1.397949673812E-3</v>
      </c>
    </row>
    <row r="90" spans="2:5" s="58" customFormat="1" ht="14.5" customHeight="1" x14ac:dyDescent="0.4">
      <c r="B90" s="73" t="s">
        <v>67</v>
      </c>
      <c r="C90" s="37" t="s">
        <v>130</v>
      </c>
      <c r="D90" s="38">
        <v>6</v>
      </c>
      <c r="E90" s="39">
        <v>2.795899347623E-3</v>
      </c>
    </row>
    <row r="91" spans="2:5" s="58" customFormat="1" ht="14.5" customHeight="1" x14ac:dyDescent="0.4">
      <c r="B91" s="75"/>
      <c r="C91" s="37" t="s">
        <v>131</v>
      </c>
      <c r="D91" s="38">
        <v>5</v>
      </c>
      <c r="E91" s="39">
        <v>2.32991612302E-3</v>
      </c>
    </row>
    <row r="92" spans="2:5" s="58" customFormat="1" ht="14.5" customHeight="1" x14ac:dyDescent="0.4">
      <c r="B92" s="74"/>
      <c r="C92" s="15" t="s">
        <v>25</v>
      </c>
      <c r="D92" s="16">
        <v>11</v>
      </c>
      <c r="E92" s="17">
        <v>5.125815470643E-3</v>
      </c>
    </row>
    <row r="93" spans="2:5" s="58" customFormat="1" ht="14.5" customHeight="1" x14ac:dyDescent="0.4">
      <c r="B93" s="73" t="s">
        <v>50</v>
      </c>
      <c r="C93" s="37" t="s">
        <v>130</v>
      </c>
      <c r="D93" s="38">
        <v>18</v>
      </c>
      <c r="E93" s="39">
        <v>8.3876980428699999E-3</v>
      </c>
    </row>
    <row r="94" spans="2:5" s="58" customFormat="1" ht="14.5" customHeight="1" x14ac:dyDescent="0.4">
      <c r="B94" s="75"/>
      <c r="C94" s="37" t="s">
        <v>131</v>
      </c>
      <c r="D94" s="38">
        <v>51</v>
      </c>
      <c r="E94" s="39">
        <v>2.3765144454800002E-2</v>
      </c>
    </row>
    <row r="95" spans="2:5" s="58" customFormat="1" ht="14.5" customHeight="1" x14ac:dyDescent="0.4">
      <c r="B95" s="74"/>
      <c r="C95" s="15" t="s">
        <v>25</v>
      </c>
      <c r="D95" s="16">
        <v>69</v>
      </c>
      <c r="E95" s="17">
        <v>3.2152842497670003E-2</v>
      </c>
    </row>
    <row r="96" spans="2:5" s="58" customFormat="1" ht="14.5" customHeight="1" x14ac:dyDescent="0.4">
      <c r="B96" s="73" t="s">
        <v>72</v>
      </c>
      <c r="C96" s="37" t="s">
        <v>130</v>
      </c>
      <c r="D96" s="38">
        <v>4</v>
      </c>
      <c r="E96" s="39">
        <v>1.863932898416E-3</v>
      </c>
    </row>
    <row r="97" spans="2:5" s="58" customFormat="1" ht="14.5" customHeight="1" x14ac:dyDescent="0.4">
      <c r="B97" s="75"/>
      <c r="C97" s="37" t="s">
        <v>131</v>
      </c>
      <c r="D97" s="38">
        <v>4</v>
      </c>
      <c r="E97" s="39">
        <v>1.863932898416E-3</v>
      </c>
    </row>
    <row r="98" spans="2:5" s="58" customFormat="1" ht="14.5" customHeight="1" x14ac:dyDescent="0.4">
      <c r="B98" s="74"/>
      <c r="C98" s="15" t="s">
        <v>25</v>
      </c>
      <c r="D98" s="16">
        <v>8</v>
      </c>
      <c r="E98" s="17">
        <v>3.727865796831E-3</v>
      </c>
    </row>
    <row r="99" spans="2:5" s="58" customFormat="1" ht="14.5" customHeight="1" x14ac:dyDescent="0.4">
      <c r="B99" s="73" t="s">
        <v>48</v>
      </c>
      <c r="C99" s="37" t="s">
        <v>130</v>
      </c>
      <c r="D99" s="38">
        <v>22</v>
      </c>
      <c r="E99" s="39">
        <v>1.0251630941286E-2</v>
      </c>
    </row>
    <row r="100" spans="2:5" s="58" customFormat="1" ht="14.5" customHeight="1" x14ac:dyDescent="0.4">
      <c r="B100" s="75"/>
      <c r="C100" s="37" t="s">
        <v>131</v>
      </c>
      <c r="D100" s="38">
        <v>69</v>
      </c>
      <c r="E100" s="39">
        <v>3.2152842497670003E-2</v>
      </c>
    </row>
    <row r="101" spans="2:5" s="58" customFormat="1" ht="14.5" customHeight="1" x14ac:dyDescent="0.4">
      <c r="B101" s="74"/>
      <c r="C101" s="15" t="s">
        <v>25</v>
      </c>
      <c r="D101" s="16">
        <v>91</v>
      </c>
      <c r="E101" s="17">
        <v>4.2404473438956002E-2</v>
      </c>
    </row>
    <row r="102" spans="2:5" s="58" customFormat="1" ht="14.5" customHeight="1" x14ac:dyDescent="0.4">
      <c r="B102" s="73" t="s">
        <v>87</v>
      </c>
      <c r="C102" s="37" t="s">
        <v>130</v>
      </c>
      <c r="D102" s="38">
        <v>1</v>
      </c>
      <c r="E102" s="39">
        <v>4.65983224604E-4</v>
      </c>
    </row>
    <row r="103" spans="2:5" s="58" customFormat="1" ht="14.5" customHeight="1" x14ac:dyDescent="0.4">
      <c r="B103" s="75"/>
      <c r="C103" s="37" t="s">
        <v>131</v>
      </c>
      <c r="D103" s="38">
        <v>1</v>
      </c>
      <c r="E103" s="39">
        <v>4.65983224604E-4</v>
      </c>
    </row>
    <row r="104" spans="2:5" s="58" customFormat="1" ht="14.5" customHeight="1" x14ac:dyDescent="0.4">
      <c r="B104" s="74"/>
      <c r="C104" s="15" t="s">
        <v>25</v>
      </c>
      <c r="D104" s="16">
        <v>2</v>
      </c>
      <c r="E104" s="17">
        <v>9.3196644920800001E-4</v>
      </c>
    </row>
    <row r="105" spans="2:5" s="58" customFormat="1" ht="14.5" customHeight="1" x14ac:dyDescent="0.4">
      <c r="B105" s="73" t="s">
        <v>59</v>
      </c>
      <c r="C105" s="37" t="s">
        <v>130</v>
      </c>
      <c r="D105" s="38">
        <v>10</v>
      </c>
      <c r="E105" s="39">
        <v>4.659832246039E-3</v>
      </c>
    </row>
    <row r="106" spans="2:5" s="58" customFormat="1" ht="14.5" customHeight="1" x14ac:dyDescent="0.4">
      <c r="B106" s="75"/>
      <c r="C106" s="37" t="s">
        <v>131</v>
      </c>
      <c r="D106" s="38">
        <v>13</v>
      </c>
      <c r="E106" s="39">
        <v>6.057781919851E-3</v>
      </c>
    </row>
    <row r="107" spans="2:5" s="58" customFormat="1" ht="14.5" customHeight="1" x14ac:dyDescent="0.4">
      <c r="B107" s="74"/>
      <c r="C107" s="15" t="s">
        <v>25</v>
      </c>
      <c r="D107" s="16">
        <v>23</v>
      </c>
      <c r="E107" s="17">
        <v>1.071761416589E-2</v>
      </c>
    </row>
    <row r="108" spans="2:5" s="58" customFormat="1" ht="14.5" customHeight="1" x14ac:dyDescent="0.4">
      <c r="B108" s="73" t="s">
        <v>53</v>
      </c>
      <c r="C108" s="37" t="s">
        <v>130</v>
      </c>
      <c r="D108" s="38">
        <v>15</v>
      </c>
      <c r="E108" s="39">
        <v>6.989748369059E-3</v>
      </c>
    </row>
    <row r="109" spans="2:5" s="58" customFormat="1" ht="14.5" customHeight="1" x14ac:dyDescent="0.4">
      <c r="B109" s="75"/>
      <c r="C109" s="37" t="s">
        <v>131</v>
      </c>
      <c r="D109" s="38">
        <v>36</v>
      </c>
      <c r="E109" s="39">
        <v>1.6775396085740999E-2</v>
      </c>
    </row>
    <row r="110" spans="2:5" s="58" customFormat="1" ht="14.5" customHeight="1" x14ac:dyDescent="0.4">
      <c r="B110" s="74"/>
      <c r="C110" s="15" t="s">
        <v>25</v>
      </c>
      <c r="D110" s="16">
        <v>51</v>
      </c>
      <c r="E110" s="17">
        <v>2.3765144454800002E-2</v>
      </c>
    </row>
    <row r="111" spans="2:5" s="58" customFormat="1" ht="14.5" customHeight="1" x14ac:dyDescent="0.4">
      <c r="B111" s="73" t="s">
        <v>73</v>
      </c>
      <c r="C111" s="37" t="s">
        <v>130</v>
      </c>
      <c r="D111" s="38">
        <v>1</v>
      </c>
      <c r="E111" s="39">
        <v>4.65983224604E-4</v>
      </c>
    </row>
    <row r="112" spans="2:5" s="58" customFormat="1" ht="14.5" customHeight="1" x14ac:dyDescent="0.4">
      <c r="B112" s="75"/>
      <c r="C112" s="37" t="s">
        <v>131</v>
      </c>
      <c r="D112" s="38">
        <v>7</v>
      </c>
      <c r="E112" s="39">
        <v>3.261882572227E-3</v>
      </c>
    </row>
    <row r="113" spans="2:5" s="58" customFormat="1" ht="14.5" customHeight="1" x14ac:dyDescent="0.4">
      <c r="B113" s="74"/>
      <c r="C113" s="15" t="s">
        <v>25</v>
      </c>
      <c r="D113" s="16">
        <v>8</v>
      </c>
      <c r="E113" s="17">
        <v>3.727865796831E-3</v>
      </c>
    </row>
    <row r="114" spans="2:5" s="58" customFormat="1" ht="14.5" customHeight="1" x14ac:dyDescent="0.4">
      <c r="B114" s="73" t="s">
        <v>63</v>
      </c>
      <c r="C114" s="37" t="s">
        <v>130</v>
      </c>
      <c r="D114" s="38">
        <v>8</v>
      </c>
      <c r="E114" s="39">
        <v>3.727865796831E-3</v>
      </c>
    </row>
    <row r="115" spans="2:5" s="58" customFormat="1" ht="14.5" customHeight="1" x14ac:dyDescent="0.4">
      <c r="B115" s="75"/>
      <c r="C115" s="37" t="s">
        <v>131</v>
      </c>
      <c r="D115" s="38">
        <v>7</v>
      </c>
      <c r="E115" s="39">
        <v>3.261882572227E-3</v>
      </c>
    </row>
    <row r="116" spans="2:5" s="58" customFormat="1" ht="14.5" customHeight="1" x14ac:dyDescent="0.4">
      <c r="B116" s="74"/>
      <c r="C116" s="15" t="s">
        <v>25</v>
      </c>
      <c r="D116" s="16">
        <v>15</v>
      </c>
      <c r="E116" s="17">
        <v>6.989748369059E-3</v>
      </c>
    </row>
    <row r="117" spans="2:5" s="58" customFormat="1" ht="14.5" customHeight="1" x14ac:dyDescent="0.4">
      <c r="B117" s="73" t="s">
        <v>79</v>
      </c>
      <c r="C117" s="37" t="s">
        <v>130</v>
      </c>
      <c r="D117" s="38">
        <v>5</v>
      </c>
      <c r="E117" s="39">
        <v>2.32991612302E-3</v>
      </c>
    </row>
    <row r="118" spans="2:5" s="58" customFormat="1" ht="14.5" customHeight="1" x14ac:dyDescent="0.4">
      <c r="B118" s="75"/>
      <c r="C118" s="37" t="s">
        <v>131</v>
      </c>
      <c r="D118" s="38">
        <v>1</v>
      </c>
      <c r="E118" s="39">
        <v>4.65983224604E-4</v>
      </c>
    </row>
    <row r="119" spans="2:5" s="58" customFormat="1" ht="14.5" customHeight="1" x14ac:dyDescent="0.4">
      <c r="B119" s="74"/>
      <c r="C119" s="15" t="s">
        <v>25</v>
      </c>
      <c r="D119" s="16">
        <v>6</v>
      </c>
      <c r="E119" s="17">
        <v>2.795899347623E-3</v>
      </c>
    </row>
    <row r="120" spans="2:5" s="58" customFormat="1" ht="14.5" customHeight="1" x14ac:dyDescent="0.4">
      <c r="B120" s="73" t="s">
        <v>54</v>
      </c>
      <c r="C120" s="37" t="s">
        <v>130</v>
      </c>
      <c r="D120" s="38">
        <v>28</v>
      </c>
      <c r="E120" s="39">
        <v>1.304753028891E-2</v>
      </c>
    </row>
    <row r="121" spans="2:5" s="58" customFormat="1" ht="14.5" customHeight="1" x14ac:dyDescent="0.4">
      <c r="B121" s="75"/>
      <c r="C121" s="37" t="s">
        <v>131</v>
      </c>
      <c r="D121" s="38">
        <v>22</v>
      </c>
      <c r="E121" s="39">
        <v>1.0251630941286E-2</v>
      </c>
    </row>
    <row r="122" spans="2:5" s="58" customFormat="1" ht="14.5" customHeight="1" x14ac:dyDescent="0.4">
      <c r="B122" s="74"/>
      <c r="C122" s="15" t="s">
        <v>25</v>
      </c>
      <c r="D122" s="16">
        <v>50</v>
      </c>
      <c r="E122" s="17">
        <v>2.3299161230196E-2</v>
      </c>
    </row>
    <row r="123" spans="2:5" s="58" customFormat="1" ht="14.5" customHeight="1" x14ac:dyDescent="0.4">
      <c r="B123" s="73" t="s">
        <v>74</v>
      </c>
      <c r="C123" s="37" t="s">
        <v>130</v>
      </c>
      <c r="D123" s="38">
        <v>5</v>
      </c>
      <c r="E123" s="39">
        <v>2.32991612302E-3</v>
      </c>
    </row>
    <row r="124" spans="2:5" s="58" customFormat="1" ht="14.5" customHeight="1" x14ac:dyDescent="0.4">
      <c r="B124" s="75"/>
      <c r="C124" s="37" t="s">
        <v>131</v>
      </c>
      <c r="D124" s="38">
        <v>3</v>
      </c>
      <c r="E124" s="39">
        <v>1.397949673812E-3</v>
      </c>
    </row>
    <row r="125" spans="2:5" s="58" customFormat="1" ht="14.5" customHeight="1" x14ac:dyDescent="0.4">
      <c r="B125" s="74"/>
      <c r="C125" s="15" t="s">
        <v>25</v>
      </c>
      <c r="D125" s="16">
        <v>8</v>
      </c>
      <c r="E125" s="17">
        <v>3.727865796831E-3</v>
      </c>
    </row>
    <row r="126" spans="2:5" s="58" customFormat="1" ht="14.5" customHeight="1" x14ac:dyDescent="0.4">
      <c r="B126" s="73" t="s">
        <v>44</v>
      </c>
      <c r="C126" s="37" t="s">
        <v>130</v>
      </c>
      <c r="D126" s="38">
        <v>133</v>
      </c>
      <c r="E126" s="39">
        <v>6.1975768872321001E-2</v>
      </c>
    </row>
    <row r="127" spans="2:5" s="58" customFormat="1" ht="14.5" customHeight="1" x14ac:dyDescent="0.4">
      <c r="B127" s="75"/>
      <c r="C127" s="37" t="s">
        <v>131</v>
      </c>
      <c r="D127" s="38">
        <v>570</v>
      </c>
      <c r="E127" s="39">
        <v>0.26561043802423101</v>
      </c>
    </row>
    <row r="128" spans="2:5" s="58" customFormat="1" ht="14.5" customHeight="1" x14ac:dyDescent="0.4">
      <c r="B128" s="74"/>
      <c r="C128" s="15" t="s">
        <v>25</v>
      </c>
      <c r="D128" s="16">
        <v>703</v>
      </c>
      <c r="E128" s="17">
        <v>0.32758620689655199</v>
      </c>
    </row>
    <row r="129" spans="2:5" s="58" customFormat="1" ht="14.5" customHeight="1" x14ac:dyDescent="0.4">
      <c r="B129" s="73" t="s">
        <v>47</v>
      </c>
      <c r="C129" s="37" t="s">
        <v>130</v>
      </c>
      <c r="D129" s="38">
        <v>37</v>
      </c>
      <c r="E129" s="39">
        <v>1.7241379310345001E-2</v>
      </c>
    </row>
    <row r="130" spans="2:5" s="58" customFormat="1" ht="14.5" customHeight="1" x14ac:dyDescent="0.4">
      <c r="B130" s="75"/>
      <c r="C130" s="37" t="s">
        <v>131</v>
      </c>
      <c r="D130" s="38">
        <v>63</v>
      </c>
      <c r="E130" s="39">
        <v>2.9356943150046999E-2</v>
      </c>
    </row>
    <row r="131" spans="2:5" s="58" customFormat="1" ht="14.5" customHeight="1" x14ac:dyDescent="0.4">
      <c r="B131" s="74"/>
      <c r="C131" s="15" t="s">
        <v>25</v>
      </c>
      <c r="D131" s="16">
        <v>100</v>
      </c>
      <c r="E131" s="17">
        <v>4.6598322460391001E-2</v>
      </c>
    </row>
    <row r="132" spans="2:5" s="58" customFormat="1" ht="14.5" customHeight="1" x14ac:dyDescent="0.4">
      <c r="B132" s="73" t="s">
        <v>51</v>
      </c>
      <c r="C132" s="37" t="s">
        <v>130</v>
      </c>
      <c r="D132" s="38">
        <v>20</v>
      </c>
      <c r="E132" s="39">
        <v>9.3196644920779999E-3</v>
      </c>
    </row>
    <row r="133" spans="2:5" s="58" customFormat="1" ht="14.5" customHeight="1" x14ac:dyDescent="0.4">
      <c r="B133" s="75"/>
      <c r="C133" s="37" t="s">
        <v>131</v>
      </c>
      <c r="D133" s="38">
        <v>33</v>
      </c>
      <c r="E133" s="39">
        <v>1.5377446411929001E-2</v>
      </c>
    </row>
    <row r="134" spans="2:5" s="58" customFormat="1" ht="14.5" customHeight="1" x14ac:dyDescent="0.4">
      <c r="B134" s="74"/>
      <c r="C134" s="15" t="s">
        <v>25</v>
      </c>
      <c r="D134" s="16">
        <v>53</v>
      </c>
      <c r="E134" s="17">
        <v>2.4697110904006999E-2</v>
      </c>
    </row>
    <row r="135" spans="2:5" s="58" customFormat="1" ht="14.5" customHeight="1" x14ac:dyDescent="0.4">
      <c r="B135" s="73" t="s">
        <v>61</v>
      </c>
      <c r="C135" s="37" t="s">
        <v>130</v>
      </c>
      <c r="D135" s="38">
        <v>2</v>
      </c>
      <c r="E135" s="39">
        <v>9.3196644920800001E-4</v>
      </c>
    </row>
    <row r="136" spans="2:5" s="58" customFormat="1" ht="14.5" customHeight="1" x14ac:dyDescent="0.4">
      <c r="B136" s="75"/>
      <c r="C136" s="37" t="s">
        <v>131</v>
      </c>
      <c r="D136" s="38">
        <v>16</v>
      </c>
      <c r="E136" s="39">
        <v>7.455731593663E-3</v>
      </c>
    </row>
    <row r="137" spans="2:5" s="58" customFormat="1" ht="14.5" customHeight="1" x14ac:dyDescent="0.4">
      <c r="B137" s="74"/>
      <c r="C137" s="15" t="s">
        <v>25</v>
      </c>
      <c r="D137" s="16">
        <v>18</v>
      </c>
      <c r="E137" s="17">
        <v>8.3876980428699999E-3</v>
      </c>
    </row>
    <row r="138" spans="2:5" s="58" customFormat="1" ht="14.5" customHeight="1" x14ac:dyDescent="0.4">
      <c r="B138" s="73" t="s">
        <v>83</v>
      </c>
      <c r="C138" s="37" t="s">
        <v>130</v>
      </c>
      <c r="D138" s="38">
        <v>1</v>
      </c>
      <c r="E138" s="39">
        <v>4.65983224604E-4</v>
      </c>
    </row>
    <row r="139" spans="2:5" s="58" customFormat="1" ht="14.5" customHeight="1" x14ac:dyDescent="0.4">
      <c r="B139" s="75"/>
      <c r="C139" s="37" t="s">
        <v>131</v>
      </c>
      <c r="D139" s="38">
        <v>2</v>
      </c>
      <c r="E139" s="39">
        <v>9.3196644920800001E-4</v>
      </c>
    </row>
    <row r="140" spans="2:5" s="58" customFormat="1" ht="14.5" customHeight="1" x14ac:dyDescent="0.4">
      <c r="B140" s="74"/>
      <c r="C140" s="15" t="s">
        <v>25</v>
      </c>
      <c r="D140" s="16">
        <v>3</v>
      </c>
      <c r="E140" s="17">
        <v>1.397949673812E-3</v>
      </c>
    </row>
    <row r="141" spans="2:5" s="58" customFormat="1" ht="14.5" customHeight="1" x14ac:dyDescent="0.4">
      <c r="B141" s="76" t="s">
        <v>25</v>
      </c>
      <c r="C141" s="77"/>
      <c r="D141" s="20">
        <v>2146</v>
      </c>
      <c r="E141" s="21">
        <v>1</v>
      </c>
    </row>
    <row r="142" spans="2:5" x14ac:dyDescent="0.35">
      <c r="B142" s="11"/>
    </row>
    <row r="143" spans="2:5" x14ac:dyDescent="0.35">
      <c r="B143" s="9" t="s">
        <v>127</v>
      </c>
    </row>
    <row r="144" spans="2:5" x14ac:dyDescent="0.35">
      <c r="B144" s="10" t="s">
        <v>21</v>
      </c>
    </row>
    <row r="145" spans="2:2" x14ac:dyDescent="0.35">
      <c r="B145" s="11" t="s">
        <v>128</v>
      </c>
    </row>
    <row r="146" spans="2:2" x14ac:dyDescent="0.35">
      <c r="B146" s="9" t="s">
        <v>22</v>
      </c>
    </row>
    <row r="147" spans="2:2" x14ac:dyDescent="0.35">
      <c r="B147" s="9" t="s">
        <v>129</v>
      </c>
    </row>
  </sheetData>
  <mergeCells count="46">
    <mergeCell ref="B129:B131"/>
    <mergeCell ref="B132:B134"/>
    <mergeCell ref="B135:B137"/>
    <mergeCell ref="B138:B140"/>
    <mergeCell ref="B141:C141"/>
    <mergeCell ref="B53:B55"/>
    <mergeCell ref="B56:B58"/>
    <mergeCell ref="B59:B61"/>
    <mergeCell ref="B77:B78"/>
    <mergeCell ref="B79:B81"/>
    <mergeCell ref="B114:B116"/>
    <mergeCell ref="B117:B119"/>
    <mergeCell ref="B120:B122"/>
    <mergeCell ref="B108:B110"/>
    <mergeCell ref="B111:B113"/>
    <mergeCell ref="B126:B128"/>
    <mergeCell ref="B123:B125"/>
    <mergeCell ref="B62:B64"/>
    <mergeCell ref="B65:B67"/>
    <mergeCell ref="B74:B76"/>
    <mergeCell ref="B68:B70"/>
    <mergeCell ref="B71:B73"/>
    <mergeCell ref="B82:B84"/>
    <mergeCell ref="B85:B87"/>
    <mergeCell ref="B90:B92"/>
    <mergeCell ref="B93:B95"/>
    <mergeCell ref="B96:B98"/>
    <mergeCell ref="B99:B101"/>
    <mergeCell ref="B102:B104"/>
    <mergeCell ref="B105:B107"/>
    <mergeCell ref="B88:B89"/>
    <mergeCell ref="B8:E10"/>
    <mergeCell ref="B41:B43"/>
    <mergeCell ref="B44:B46"/>
    <mergeCell ref="B47:B49"/>
    <mergeCell ref="B50:B52"/>
    <mergeCell ref="B13:B15"/>
    <mergeCell ref="B16:B18"/>
    <mergeCell ref="B19:B21"/>
    <mergeCell ref="B22:B24"/>
    <mergeCell ref="B25:B26"/>
    <mergeCell ref="B32:B34"/>
    <mergeCell ref="B35:B37"/>
    <mergeCell ref="B38:B40"/>
    <mergeCell ref="B27:B28"/>
    <mergeCell ref="B29:B31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F7EA-C0B1-44DA-81DB-5FCA2212BEFE}">
  <sheetPr>
    <tabColor rgb="FF00B050"/>
  </sheetPr>
  <dimension ref="B8:E130"/>
  <sheetViews>
    <sheetView showGridLines="0" view="pageBreakPreview" topLeftCell="A118" zoomScale="156" zoomScaleNormal="100" zoomScaleSheetLayoutView="156" workbookViewId="0">
      <selection activeCell="C15" sqref="C15"/>
    </sheetView>
  </sheetViews>
  <sheetFormatPr baseColWidth="10" defaultRowHeight="14.5" x14ac:dyDescent="0.35"/>
  <cols>
    <col min="1" max="1" width="11.7265625" customWidth="1"/>
    <col min="2" max="2" width="24.54296875" customWidth="1"/>
    <col min="3" max="3" width="12.54296875" customWidth="1"/>
    <col min="4" max="4" width="17.36328125" customWidth="1"/>
    <col min="5" max="5" width="12.81640625" customWidth="1"/>
    <col min="6" max="6" width="9.81640625" customWidth="1"/>
  </cols>
  <sheetData>
    <row r="8" spans="2:5" x14ac:dyDescent="0.35">
      <c r="B8" s="68" t="s">
        <v>279</v>
      </c>
      <c r="C8" s="68"/>
      <c r="D8" s="68"/>
      <c r="E8" s="68"/>
    </row>
    <row r="9" spans="2:5" x14ac:dyDescent="0.35">
      <c r="B9" s="68"/>
      <c r="C9" s="68"/>
      <c r="D9" s="68"/>
      <c r="E9" s="68"/>
    </row>
    <row r="10" spans="2:5" x14ac:dyDescent="0.35">
      <c r="B10" s="68"/>
      <c r="C10" s="68"/>
      <c r="D10" s="68"/>
      <c r="E10" s="68"/>
    </row>
    <row r="12" spans="2:5" ht="28" x14ac:dyDescent="0.35">
      <c r="B12" s="18" t="s">
        <v>27</v>
      </c>
      <c r="C12" s="18" t="s">
        <v>34</v>
      </c>
      <c r="D12" s="18" t="s">
        <v>19</v>
      </c>
      <c r="E12" s="18" t="s">
        <v>20</v>
      </c>
    </row>
    <row r="13" spans="2:5" ht="14.5" customHeight="1" x14ac:dyDescent="0.35">
      <c r="B13" s="78" t="s">
        <v>88</v>
      </c>
      <c r="C13" s="37" t="s">
        <v>130</v>
      </c>
      <c r="D13" s="38">
        <v>3</v>
      </c>
      <c r="E13" s="39">
        <v>1.397949673812E-3</v>
      </c>
    </row>
    <row r="14" spans="2:5" ht="14.5" customHeight="1" x14ac:dyDescent="0.35">
      <c r="B14" s="78"/>
      <c r="C14" s="37" t="s">
        <v>131</v>
      </c>
      <c r="D14" s="38">
        <v>5</v>
      </c>
      <c r="E14" s="39">
        <v>2.32991612302E-3</v>
      </c>
    </row>
    <row r="15" spans="2:5" ht="14.5" customHeight="1" x14ac:dyDescent="0.35">
      <c r="B15" s="78"/>
      <c r="C15" s="80" t="s">
        <v>25</v>
      </c>
      <c r="D15" s="25">
        <v>8</v>
      </c>
      <c r="E15" s="26">
        <v>3.727865796831E-3</v>
      </c>
    </row>
    <row r="16" spans="2:5" ht="14.5" customHeight="1" x14ac:dyDescent="0.35">
      <c r="B16" s="78" t="s">
        <v>89</v>
      </c>
      <c r="C16" s="37" t="s">
        <v>130</v>
      </c>
      <c r="D16" s="38">
        <v>4</v>
      </c>
      <c r="E16" s="39">
        <v>1.863932898416E-3</v>
      </c>
    </row>
    <row r="17" spans="2:5" ht="14.5" customHeight="1" x14ac:dyDescent="0.35">
      <c r="B17" s="78"/>
      <c r="C17" s="37" t="s">
        <v>131</v>
      </c>
      <c r="D17" s="38">
        <v>4</v>
      </c>
      <c r="E17" s="39">
        <v>1.863932898416E-3</v>
      </c>
    </row>
    <row r="18" spans="2:5" ht="14.5" customHeight="1" x14ac:dyDescent="0.35">
      <c r="B18" s="78"/>
      <c r="C18" s="80" t="s">
        <v>25</v>
      </c>
      <c r="D18" s="25">
        <v>8</v>
      </c>
      <c r="E18" s="26">
        <v>3.727865796831E-3</v>
      </c>
    </row>
    <row r="19" spans="2:5" ht="14.5" customHeight="1" x14ac:dyDescent="0.35">
      <c r="B19" s="78" t="s">
        <v>90</v>
      </c>
      <c r="C19" s="37" t="s">
        <v>130</v>
      </c>
      <c r="D19" s="38">
        <v>7</v>
      </c>
      <c r="E19" s="39">
        <v>3.261882572227E-3</v>
      </c>
    </row>
    <row r="20" spans="2:5" ht="14.5" customHeight="1" x14ac:dyDescent="0.35">
      <c r="B20" s="78"/>
      <c r="C20" s="37" t="s">
        <v>131</v>
      </c>
      <c r="D20" s="38">
        <v>26</v>
      </c>
      <c r="E20" s="39">
        <v>1.2115563839702E-2</v>
      </c>
    </row>
    <row r="21" spans="2:5" ht="14.5" customHeight="1" x14ac:dyDescent="0.35">
      <c r="B21" s="78"/>
      <c r="C21" s="80" t="s">
        <v>25</v>
      </c>
      <c r="D21" s="25">
        <v>33</v>
      </c>
      <c r="E21" s="26">
        <v>1.5377446411929001E-2</v>
      </c>
    </row>
    <row r="22" spans="2:5" ht="14.5" customHeight="1" x14ac:dyDescent="0.35">
      <c r="B22" s="78" t="s">
        <v>91</v>
      </c>
      <c r="C22" s="37" t="s">
        <v>130</v>
      </c>
      <c r="D22" s="38">
        <v>408</v>
      </c>
      <c r="E22" s="39">
        <v>0.19012115563839699</v>
      </c>
    </row>
    <row r="23" spans="2:5" ht="14.5" customHeight="1" x14ac:dyDescent="0.35">
      <c r="B23" s="78"/>
      <c r="C23" s="37" t="s">
        <v>131</v>
      </c>
      <c r="D23" s="38">
        <v>1020</v>
      </c>
      <c r="E23" s="39">
        <v>0.475302889095993</v>
      </c>
    </row>
    <row r="24" spans="2:5" ht="14.5" customHeight="1" x14ac:dyDescent="0.35">
      <c r="B24" s="78"/>
      <c r="C24" s="80" t="s">
        <v>25</v>
      </c>
      <c r="D24" s="25">
        <v>1428</v>
      </c>
      <c r="E24" s="26">
        <v>0.66542404473438999</v>
      </c>
    </row>
    <row r="25" spans="2:5" ht="14.5" customHeight="1" x14ac:dyDescent="0.35">
      <c r="B25" s="78" t="s">
        <v>92</v>
      </c>
      <c r="C25" s="37" t="s">
        <v>130</v>
      </c>
      <c r="D25" s="38">
        <v>20</v>
      </c>
      <c r="E25" s="39">
        <v>9.3196644920779999E-3</v>
      </c>
    </row>
    <row r="26" spans="2:5" ht="14.5" customHeight="1" x14ac:dyDescent="0.35">
      <c r="B26" s="78"/>
      <c r="C26" s="37" t="s">
        <v>131</v>
      </c>
      <c r="D26" s="38">
        <v>63</v>
      </c>
      <c r="E26" s="39">
        <v>2.9356943150046999E-2</v>
      </c>
    </row>
    <row r="27" spans="2:5" ht="14.5" customHeight="1" x14ac:dyDescent="0.35">
      <c r="B27" s="78"/>
      <c r="C27" s="80" t="s">
        <v>25</v>
      </c>
      <c r="D27" s="25">
        <v>83</v>
      </c>
      <c r="E27" s="26">
        <v>3.8676607642125001E-2</v>
      </c>
    </row>
    <row r="28" spans="2:5" ht="14.5" customHeight="1" x14ac:dyDescent="0.35">
      <c r="B28" s="78" t="s">
        <v>93</v>
      </c>
      <c r="C28" s="37" t="s">
        <v>130</v>
      </c>
      <c r="D28" s="38">
        <v>1</v>
      </c>
      <c r="E28" s="39">
        <v>4.65983224604E-4</v>
      </c>
    </row>
    <row r="29" spans="2:5" ht="14.5" customHeight="1" x14ac:dyDescent="0.35">
      <c r="B29" s="78"/>
      <c r="C29" s="80" t="s">
        <v>25</v>
      </c>
      <c r="D29" s="25">
        <v>1</v>
      </c>
      <c r="E29" s="26">
        <v>4.65983224604E-4</v>
      </c>
    </row>
    <row r="30" spans="2:5" ht="14.5" customHeight="1" x14ac:dyDescent="0.35">
      <c r="B30" s="78" t="s">
        <v>94</v>
      </c>
      <c r="C30" s="37" t="s">
        <v>130</v>
      </c>
      <c r="D30" s="38">
        <v>1</v>
      </c>
      <c r="E30" s="39">
        <v>4.65983224604E-4</v>
      </c>
    </row>
    <row r="31" spans="2:5" ht="14.5" customHeight="1" x14ac:dyDescent="0.35">
      <c r="B31" s="78"/>
      <c r="C31" s="80" t="s">
        <v>25</v>
      </c>
      <c r="D31" s="25">
        <v>1</v>
      </c>
      <c r="E31" s="26">
        <v>4.65983224604E-4</v>
      </c>
    </row>
    <row r="32" spans="2:5" ht="14.5" customHeight="1" x14ac:dyDescent="0.35">
      <c r="B32" s="78" t="s">
        <v>95</v>
      </c>
      <c r="C32" s="37" t="s">
        <v>130</v>
      </c>
      <c r="D32" s="38">
        <v>10</v>
      </c>
      <c r="E32" s="39">
        <v>4.659832246039E-3</v>
      </c>
    </row>
    <row r="33" spans="2:5" ht="14.5" customHeight="1" x14ac:dyDescent="0.35">
      <c r="B33" s="78"/>
      <c r="C33" s="37" t="s">
        <v>131</v>
      </c>
      <c r="D33" s="38">
        <v>22</v>
      </c>
      <c r="E33" s="39">
        <v>1.0251630941286E-2</v>
      </c>
    </row>
    <row r="34" spans="2:5" ht="14.5" customHeight="1" x14ac:dyDescent="0.35">
      <c r="B34" s="78"/>
      <c r="C34" s="80" t="s">
        <v>25</v>
      </c>
      <c r="D34" s="25">
        <v>32</v>
      </c>
      <c r="E34" s="26">
        <v>1.4911463187325001E-2</v>
      </c>
    </row>
    <row r="35" spans="2:5" ht="14.5" customHeight="1" x14ac:dyDescent="0.35">
      <c r="B35" s="78" t="s">
        <v>96</v>
      </c>
      <c r="C35" s="37" t="s">
        <v>130</v>
      </c>
      <c r="D35" s="38">
        <v>6</v>
      </c>
      <c r="E35" s="39">
        <v>2.795899347623E-3</v>
      </c>
    </row>
    <row r="36" spans="2:5" ht="14.5" customHeight="1" x14ac:dyDescent="0.35">
      <c r="B36" s="78"/>
      <c r="C36" s="37" t="s">
        <v>131</v>
      </c>
      <c r="D36" s="38">
        <v>2</v>
      </c>
      <c r="E36" s="39">
        <v>9.3196644920800001E-4</v>
      </c>
    </row>
    <row r="37" spans="2:5" ht="14.5" customHeight="1" x14ac:dyDescent="0.35">
      <c r="B37" s="78"/>
      <c r="C37" s="80" t="s">
        <v>25</v>
      </c>
      <c r="D37" s="25">
        <v>8</v>
      </c>
      <c r="E37" s="26">
        <v>3.727865796831E-3</v>
      </c>
    </row>
    <row r="38" spans="2:5" ht="14.5" customHeight="1" x14ac:dyDescent="0.35">
      <c r="B38" s="78" t="s">
        <v>97</v>
      </c>
      <c r="C38" s="37" t="s">
        <v>130</v>
      </c>
      <c r="D38" s="38">
        <v>3</v>
      </c>
      <c r="E38" s="39">
        <v>1.397949673812E-3</v>
      </c>
    </row>
    <row r="39" spans="2:5" ht="14.5" customHeight="1" x14ac:dyDescent="0.35">
      <c r="B39" s="78"/>
      <c r="C39" s="37" t="s">
        <v>131</v>
      </c>
      <c r="D39" s="38">
        <v>3</v>
      </c>
      <c r="E39" s="39">
        <v>1.397949673812E-3</v>
      </c>
    </row>
    <row r="40" spans="2:5" ht="14.5" customHeight="1" x14ac:dyDescent="0.35">
      <c r="B40" s="78"/>
      <c r="C40" s="80" t="s">
        <v>25</v>
      </c>
      <c r="D40" s="25">
        <v>6</v>
      </c>
      <c r="E40" s="26">
        <v>2.795899347623E-3</v>
      </c>
    </row>
    <row r="41" spans="2:5" ht="14.5" customHeight="1" x14ac:dyDescent="0.35">
      <c r="B41" s="78" t="s">
        <v>98</v>
      </c>
      <c r="C41" s="37" t="s">
        <v>130</v>
      </c>
      <c r="D41" s="38">
        <v>13</v>
      </c>
      <c r="E41" s="39">
        <v>6.057781919851E-3</v>
      </c>
    </row>
    <row r="42" spans="2:5" ht="14.5" customHeight="1" x14ac:dyDescent="0.35">
      <c r="B42" s="78"/>
      <c r="C42" s="37" t="s">
        <v>131</v>
      </c>
      <c r="D42" s="38">
        <v>11</v>
      </c>
      <c r="E42" s="39">
        <v>5.125815470643E-3</v>
      </c>
    </row>
    <row r="43" spans="2:5" ht="14.5" customHeight="1" x14ac:dyDescent="0.35">
      <c r="B43" s="78"/>
      <c r="C43" s="80" t="s">
        <v>25</v>
      </c>
      <c r="D43" s="25">
        <v>24</v>
      </c>
      <c r="E43" s="26">
        <v>1.1183597390494E-2</v>
      </c>
    </row>
    <row r="44" spans="2:5" ht="14.5" customHeight="1" x14ac:dyDescent="0.35">
      <c r="B44" s="78" t="s">
        <v>99</v>
      </c>
      <c r="C44" s="37" t="s">
        <v>130</v>
      </c>
      <c r="D44" s="38">
        <v>3</v>
      </c>
      <c r="E44" s="39">
        <v>1.397949673812E-3</v>
      </c>
    </row>
    <row r="45" spans="2:5" ht="14.5" customHeight="1" x14ac:dyDescent="0.35">
      <c r="B45" s="78"/>
      <c r="C45" s="37" t="s">
        <v>131</v>
      </c>
      <c r="D45" s="38">
        <v>3</v>
      </c>
      <c r="E45" s="39">
        <v>1.397949673812E-3</v>
      </c>
    </row>
    <row r="46" spans="2:5" ht="14.5" customHeight="1" x14ac:dyDescent="0.35">
      <c r="B46" s="78"/>
      <c r="C46" s="80" t="s">
        <v>25</v>
      </c>
      <c r="D46" s="25">
        <v>6</v>
      </c>
      <c r="E46" s="26">
        <v>2.795899347623E-3</v>
      </c>
    </row>
    <row r="47" spans="2:5" ht="14.5" customHeight="1" x14ac:dyDescent="0.35">
      <c r="B47" s="78" t="s">
        <v>100</v>
      </c>
      <c r="C47" s="37" t="s">
        <v>131</v>
      </c>
      <c r="D47" s="38">
        <v>1</v>
      </c>
      <c r="E47" s="39">
        <v>4.65983224604E-4</v>
      </c>
    </row>
    <row r="48" spans="2:5" ht="14.5" customHeight="1" x14ac:dyDescent="0.35">
      <c r="B48" s="78"/>
      <c r="C48" s="80" t="s">
        <v>25</v>
      </c>
      <c r="D48" s="25">
        <v>1</v>
      </c>
      <c r="E48" s="26">
        <v>4.65983224604E-4</v>
      </c>
    </row>
    <row r="49" spans="2:5" ht="14.5" customHeight="1" x14ac:dyDescent="0.35">
      <c r="B49" s="78" t="s">
        <v>101</v>
      </c>
      <c r="C49" s="37" t="s">
        <v>130</v>
      </c>
      <c r="D49" s="38">
        <v>4</v>
      </c>
      <c r="E49" s="39">
        <v>1.863932898416E-3</v>
      </c>
    </row>
    <row r="50" spans="2:5" ht="14.5" customHeight="1" x14ac:dyDescent="0.35">
      <c r="B50" s="78"/>
      <c r="C50" s="37" t="s">
        <v>131</v>
      </c>
      <c r="D50" s="38">
        <v>7</v>
      </c>
      <c r="E50" s="39">
        <v>3.261882572227E-3</v>
      </c>
    </row>
    <row r="51" spans="2:5" ht="14.5" customHeight="1" x14ac:dyDescent="0.35">
      <c r="B51" s="78"/>
      <c r="C51" s="80" t="s">
        <v>25</v>
      </c>
      <c r="D51" s="25">
        <v>11</v>
      </c>
      <c r="E51" s="26">
        <v>5.125815470643E-3</v>
      </c>
    </row>
    <row r="52" spans="2:5" ht="14.5" customHeight="1" x14ac:dyDescent="0.35">
      <c r="B52" s="78" t="s">
        <v>102</v>
      </c>
      <c r="C52" s="37" t="s">
        <v>130</v>
      </c>
      <c r="D52" s="38">
        <v>1</v>
      </c>
      <c r="E52" s="39">
        <v>4.65983224604E-4</v>
      </c>
    </row>
    <row r="53" spans="2:5" ht="14.5" customHeight="1" x14ac:dyDescent="0.35">
      <c r="B53" s="78"/>
      <c r="C53" s="37" t="s">
        <v>131</v>
      </c>
      <c r="D53" s="38">
        <v>3</v>
      </c>
      <c r="E53" s="39">
        <v>1.397949673812E-3</v>
      </c>
    </row>
    <row r="54" spans="2:5" ht="14.5" customHeight="1" x14ac:dyDescent="0.35">
      <c r="B54" s="78"/>
      <c r="C54" s="80" t="s">
        <v>25</v>
      </c>
      <c r="D54" s="25">
        <v>4</v>
      </c>
      <c r="E54" s="26">
        <v>1.863932898416E-3</v>
      </c>
    </row>
    <row r="55" spans="2:5" ht="14.5" customHeight="1" x14ac:dyDescent="0.35">
      <c r="B55" s="78" t="s">
        <v>103</v>
      </c>
      <c r="C55" s="37" t="s">
        <v>130</v>
      </c>
      <c r="D55" s="38">
        <v>3</v>
      </c>
      <c r="E55" s="39">
        <v>1.397949673812E-3</v>
      </c>
    </row>
    <row r="56" spans="2:5" ht="14.5" customHeight="1" x14ac:dyDescent="0.35">
      <c r="B56" s="78"/>
      <c r="C56" s="37" t="s">
        <v>131</v>
      </c>
      <c r="D56" s="38">
        <v>2</v>
      </c>
      <c r="E56" s="39">
        <v>9.3196644920800001E-4</v>
      </c>
    </row>
    <row r="57" spans="2:5" ht="14.5" customHeight="1" x14ac:dyDescent="0.35">
      <c r="B57" s="78"/>
      <c r="C57" s="80" t="s">
        <v>25</v>
      </c>
      <c r="D57" s="25">
        <v>5</v>
      </c>
      <c r="E57" s="26">
        <v>2.32991612302E-3</v>
      </c>
    </row>
    <row r="58" spans="2:5" ht="14.5" customHeight="1" x14ac:dyDescent="0.35">
      <c r="B58" s="78" t="s">
        <v>104</v>
      </c>
      <c r="C58" s="37" t="s">
        <v>131</v>
      </c>
      <c r="D58" s="38">
        <v>2</v>
      </c>
      <c r="E58" s="39">
        <v>9.3196644920800001E-4</v>
      </c>
    </row>
    <row r="59" spans="2:5" ht="14.5" customHeight="1" x14ac:dyDescent="0.35">
      <c r="B59" s="78"/>
      <c r="C59" s="80" t="s">
        <v>25</v>
      </c>
      <c r="D59" s="25">
        <v>2</v>
      </c>
      <c r="E59" s="26">
        <v>9.3196644920800001E-4</v>
      </c>
    </row>
    <row r="60" spans="2:5" ht="14.5" customHeight="1" x14ac:dyDescent="0.35">
      <c r="B60" s="78" t="s">
        <v>105</v>
      </c>
      <c r="C60" s="37" t="s">
        <v>131</v>
      </c>
      <c r="D60" s="38">
        <v>4</v>
      </c>
      <c r="E60" s="39">
        <v>1.863932898416E-3</v>
      </c>
    </row>
    <row r="61" spans="2:5" ht="14.5" customHeight="1" x14ac:dyDescent="0.35">
      <c r="B61" s="78"/>
      <c r="C61" s="80" t="s">
        <v>25</v>
      </c>
      <c r="D61" s="25">
        <v>4</v>
      </c>
      <c r="E61" s="26">
        <v>1.863932898416E-3</v>
      </c>
    </row>
    <row r="62" spans="2:5" ht="14.5" customHeight="1" x14ac:dyDescent="0.35">
      <c r="B62" s="78" t="s">
        <v>106</v>
      </c>
      <c r="C62" s="37" t="s">
        <v>130</v>
      </c>
      <c r="D62" s="38">
        <v>2</v>
      </c>
      <c r="E62" s="39">
        <v>9.3196644920800001E-4</v>
      </c>
    </row>
    <row r="63" spans="2:5" ht="14.5" customHeight="1" x14ac:dyDescent="0.35">
      <c r="B63" s="78"/>
      <c r="C63" s="37" t="s">
        <v>131</v>
      </c>
      <c r="D63" s="38">
        <v>3</v>
      </c>
      <c r="E63" s="39">
        <v>1.397949673812E-3</v>
      </c>
    </row>
    <row r="64" spans="2:5" ht="14.5" customHeight="1" x14ac:dyDescent="0.35">
      <c r="B64" s="78"/>
      <c r="C64" s="80" t="s">
        <v>25</v>
      </c>
      <c r="D64" s="25">
        <v>5</v>
      </c>
      <c r="E64" s="26">
        <v>2.32991612302E-3</v>
      </c>
    </row>
    <row r="65" spans="2:5" ht="14.5" customHeight="1" x14ac:dyDescent="0.35">
      <c r="B65" s="78" t="s">
        <v>107</v>
      </c>
      <c r="C65" s="37" t="s">
        <v>130</v>
      </c>
      <c r="D65" s="38">
        <v>1</v>
      </c>
      <c r="E65" s="39">
        <v>4.65983224604E-4</v>
      </c>
    </row>
    <row r="66" spans="2:5" ht="14.5" customHeight="1" x14ac:dyDescent="0.35">
      <c r="B66" s="78"/>
      <c r="C66" s="37" t="s">
        <v>131</v>
      </c>
      <c r="D66" s="38">
        <v>7</v>
      </c>
      <c r="E66" s="39">
        <v>3.261882572227E-3</v>
      </c>
    </row>
    <row r="67" spans="2:5" ht="14.5" customHeight="1" x14ac:dyDescent="0.35">
      <c r="B67" s="78"/>
      <c r="C67" s="80" t="s">
        <v>25</v>
      </c>
      <c r="D67" s="25">
        <v>8</v>
      </c>
      <c r="E67" s="26">
        <v>3.727865796831E-3</v>
      </c>
    </row>
    <row r="68" spans="2:5" ht="14.5" customHeight="1" x14ac:dyDescent="0.35">
      <c r="B68" s="78" t="s">
        <v>108</v>
      </c>
      <c r="C68" s="37" t="s">
        <v>131</v>
      </c>
      <c r="D68" s="38">
        <v>5</v>
      </c>
      <c r="E68" s="39">
        <v>2.32991612302E-3</v>
      </c>
    </row>
    <row r="69" spans="2:5" ht="14.5" customHeight="1" x14ac:dyDescent="0.35">
      <c r="B69" s="78"/>
      <c r="C69" s="80" t="s">
        <v>25</v>
      </c>
      <c r="D69" s="25">
        <v>5</v>
      </c>
      <c r="E69" s="26">
        <v>2.32991612302E-3</v>
      </c>
    </row>
    <row r="70" spans="2:5" ht="14.5" customHeight="1" x14ac:dyDescent="0.35">
      <c r="B70" s="78" t="s">
        <v>109</v>
      </c>
      <c r="C70" s="37" t="s">
        <v>130</v>
      </c>
      <c r="D70" s="38">
        <v>4</v>
      </c>
      <c r="E70" s="39">
        <v>1.863932898416E-3</v>
      </c>
    </row>
    <row r="71" spans="2:5" ht="14.5" customHeight="1" x14ac:dyDescent="0.35">
      <c r="B71" s="78"/>
      <c r="C71" s="37" t="s">
        <v>131</v>
      </c>
      <c r="D71" s="38">
        <v>9</v>
      </c>
      <c r="E71" s="39">
        <v>4.193849021435E-3</v>
      </c>
    </row>
    <row r="72" spans="2:5" ht="14.5" customHeight="1" x14ac:dyDescent="0.35">
      <c r="B72" s="78"/>
      <c r="C72" s="80" t="s">
        <v>25</v>
      </c>
      <c r="D72" s="25">
        <v>13</v>
      </c>
      <c r="E72" s="26">
        <v>6.057781919851E-3</v>
      </c>
    </row>
    <row r="73" spans="2:5" ht="14.5" customHeight="1" x14ac:dyDescent="0.35">
      <c r="B73" s="78" t="s">
        <v>110</v>
      </c>
      <c r="C73" s="37" t="s">
        <v>131</v>
      </c>
      <c r="D73" s="38">
        <v>2</v>
      </c>
      <c r="E73" s="39">
        <v>9.3196644920800001E-4</v>
      </c>
    </row>
    <row r="74" spans="2:5" ht="14.5" customHeight="1" x14ac:dyDescent="0.35">
      <c r="B74" s="78"/>
      <c r="C74" s="80" t="s">
        <v>25</v>
      </c>
      <c r="D74" s="25">
        <v>2</v>
      </c>
      <c r="E74" s="26">
        <v>9.3196644920800001E-4</v>
      </c>
    </row>
    <row r="75" spans="2:5" ht="14.5" customHeight="1" x14ac:dyDescent="0.35">
      <c r="B75" s="78" t="s">
        <v>111</v>
      </c>
      <c r="C75" s="37" t="s">
        <v>130</v>
      </c>
      <c r="D75" s="38">
        <v>21</v>
      </c>
      <c r="E75" s="39">
        <v>9.785647716682E-3</v>
      </c>
    </row>
    <row r="76" spans="2:5" ht="14.5" customHeight="1" x14ac:dyDescent="0.35">
      <c r="B76" s="78"/>
      <c r="C76" s="37" t="s">
        <v>131</v>
      </c>
      <c r="D76" s="38">
        <v>31</v>
      </c>
      <c r="E76" s="39">
        <v>1.4445479962721001E-2</v>
      </c>
    </row>
    <row r="77" spans="2:5" ht="14.5" customHeight="1" x14ac:dyDescent="0.35">
      <c r="B77" s="78"/>
      <c r="C77" s="80" t="s">
        <v>25</v>
      </c>
      <c r="D77" s="25">
        <v>52</v>
      </c>
      <c r="E77" s="26">
        <v>2.4231127679404E-2</v>
      </c>
    </row>
    <row r="78" spans="2:5" ht="14.5" customHeight="1" x14ac:dyDescent="0.35">
      <c r="B78" s="78" t="s">
        <v>112</v>
      </c>
      <c r="C78" s="37" t="s">
        <v>130</v>
      </c>
      <c r="D78" s="38">
        <v>1</v>
      </c>
      <c r="E78" s="39">
        <v>4.65983224604E-4</v>
      </c>
    </row>
    <row r="79" spans="2:5" ht="14.5" customHeight="1" x14ac:dyDescent="0.35">
      <c r="B79" s="78"/>
      <c r="C79" s="37" t="s">
        <v>131</v>
      </c>
      <c r="D79" s="38">
        <v>5</v>
      </c>
      <c r="E79" s="39">
        <v>2.32991612302E-3</v>
      </c>
    </row>
    <row r="80" spans="2:5" ht="14.5" customHeight="1" x14ac:dyDescent="0.35">
      <c r="B80" s="78"/>
      <c r="C80" s="80" t="s">
        <v>25</v>
      </c>
      <c r="D80" s="25">
        <v>6</v>
      </c>
      <c r="E80" s="26">
        <v>2.795899347623E-3</v>
      </c>
    </row>
    <row r="81" spans="2:5" ht="14.5" customHeight="1" x14ac:dyDescent="0.35">
      <c r="B81" s="78" t="s">
        <v>113</v>
      </c>
      <c r="C81" s="37" t="s">
        <v>130</v>
      </c>
      <c r="D81" s="38">
        <v>1</v>
      </c>
      <c r="E81" s="39">
        <v>4.65983224604E-4</v>
      </c>
    </row>
    <row r="82" spans="2:5" ht="14.5" customHeight="1" x14ac:dyDescent="0.35">
      <c r="B82" s="78"/>
      <c r="C82" s="37" t="s">
        <v>131</v>
      </c>
      <c r="D82" s="38">
        <v>2</v>
      </c>
      <c r="E82" s="39">
        <v>9.3196644920800001E-4</v>
      </c>
    </row>
    <row r="83" spans="2:5" ht="14.5" customHeight="1" x14ac:dyDescent="0.35">
      <c r="B83" s="78"/>
      <c r="C83" s="80" t="s">
        <v>25</v>
      </c>
      <c r="D83" s="25">
        <v>3</v>
      </c>
      <c r="E83" s="26">
        <v>1.397949673812E-3</v>
      </c>
    </row>
    <row r="84" spans="2:5" ht="14.5" customHeight="1" x14ac:dyDescent="0.35">
      <c r="B84" s="78" t="s">
        <v>114</v>
      </c>
      <c r="C84" s="37" t="s">
        <v>130</v>
      </c>
      <c r="D84" s="38">
        <v>2</v>
      </c>
      <c r="E84" s="39">
        <v>9.3196644920800001E-4</v>
      </c>
    </row>
    <row r="85" spans="2:5" ht="14.5" customHeight="1" x14ac:dyDescent="0.35">
      <c r="B85" s="78"/>
      <c r="C85" s="37" t="s">
        <v>131</v>
      </c>
      <c r="D85" s="38">
        <v>3</v>
      </c>
      <c r="E85" s="39">
        <v>1.397949673812E-3</v>
      </c>
    </row>
    <row r="86" spans="2:5" ht="14.5" customHeight="1" x14ac:dyDescent="0.35">
      <c r="B86" s="78"/>
      <c r="C86" s="80" t="s">
        <v>25</v>
      </c>
      <c r="D86" s="25">
        <v>5</v>
      </c>
      <c r="E86" s="26">
        <v>2.32991612302E-3</v>
      </c>
    </row>
    <row r="87" spans="2:5" ht="14.5" customHeight="1" x14ac:dyDescent="0.35">
      <c r="B87" s="78" t="s">
        <v>115</v>
      </c>
      <c r="C87" s="37" t="s">
        <v>130</v>
      </c>
      <c r="D87" s="38">
        <v>6</v>
      </c>
      <c r="E87" s="39">
        <v>2.795899347623E-3</v>
      </c>
    </row>
    <row r="88" spans="2:5" ht="14.5" customHeight="1" x14ac:dyDescent="0.35">
      <c r="B88" s="78"/>
      <c r="C88" s="37" t="s">
        <v>131</v>
      </c>
      <c r="D88" s="38">
        <v>11</v>
      </c>
      <c r="E88" s="39">
        <v>5.125815470643E-3</v>
      </c>
    </row>
    <row r="89" spans="2:5" ht="14.5" customHeight="1" x14ac:dyDescent="0.35">
      <c r="B89" s="78"/>
      <c r="C89" s="80" t="s">
        <v>25</v>
      </c>
      <c r="D89" s="25">
        <v>17</v>
      </c>
      <c r="E89" s="26">
        <v>7.9217148182669991E-3</v>
      </c>
    </row>
    <row r="90" spans="2:5" ht="14.5" customHeight="1" x14ac:dyDescent="0.35">
      <c r="B90" s="78" t="s">
        <v>116</v>
      </c>
      <c r="C90" s="37" t="s">
        <v>130</v>
      </c>
      <c r="D90" s="38">
        <v>2</v>
      </c>
      <c r="E90" s="39">
        <v>9.3196644920800001E-4</v>
      </c>
    </row>
    <row r="91" spans="2:5" ht="14.5" customHeight="1" x14ac:dyDescent="0.35">
      <c r="B91" s="78"/>
      <c r="C91" s="37" t="s">
        <v>131</v>
      </c>
      <c r="D91" s="38">
        <v>2</v>
      </c>
      <c r="E91" s="39">
        <v>9.3196644920800001E-4</v>
      </c>
    </row>
    <row r="92" spans="2:5" ht="14.5" customHeight="1" x14ac:dyDescent="0.35">
      <c r="B92" s="78"/>
      <c r="C92" s="80" t="s">
        <v>25</v>
      </c>
      <c r="D92" s="25">
        <v>4</v>
      </c>
      <c r="E92" s="26">
        <v>1.863932898416E-3</v>
      </c>
    </row>
    <row r="93" spans="2:5" ht="14.5" customHeight="1" x14ac:dyDescent="0.35">
      <c r="B93" s="78" t="s">
        <v>117</v>
      </c>
      <c r="C93" s="37" t="s">
        <v>130</v>
      </c>
      <c r="D93" s="38">
        <v>4</v>
      </c>
      <c r="E93" s="39">
        <v>1.863932898416E-3</v>
      </c>
    </row>
    <row r="94" spans="2:5" ht="14.5" customHeight="1" x14ac:dyDescent="0.35">
      <c r="B94" s="78"/>
      <c r="C94" s="37" t="s">
        <v>131</v>
      </c>
      <c r="D94" s="38">
        <v>9</v>
      </c>
      <c r="E94" s="39">
        <v>4.193849021435E-3</v>
      </c>
    </row>
    <row r="95" spans="2:5" ht="14.5" customHeight="1" x14ac:dyDescent="0.35">
      <c r="B95" s="78"/>
      <c r="C95" s="80" t="s">
        <v>25</v>
      </c>
      <c r="D95" s="25">
        <v>13</v>
      </c>
      <c r="E95" s="26">
        <v>6.057781919851E-3</v>
      </c>
    </row>
    <row r="96" spans="2:5" ht="14.5" customHeight="1" x14ac:dyDescent="0.35">
      <c r="B96" s="78" t="s">
        <v>118</v>
      </c>
      <c r="C96" s="37" t="s">
        <v>130</v>
      </c>
      <c r="D96" s="38">
        <v>19</v>
      </c>
      <c r="E96" s="39">
        <v>8.8536812674739999E-3</v>
      </c>
    </row>
    <row r="97" spans="2:5" ht="14.5" customHeight="1" x14ac:dyDescent="0.35">
      <c r="B97" s="78"/>
      <c r="C97" s="37" t="s">
        <v>131</v>
      </c>
      <c r="D97" s="38">
        <v>62</v>
      </c>
      <c r="E97" s="39">
        <v>2.8890959925443001E-2</v>
      </c>
    </row>
    <row r="98" spans="2:5" ht="14.5" customHeight="1" x14ac:dyDescent="0.35">
      <c r="B98" s="78"/>
      <c r="C98" s="80" t="s">
        <v>25</v>
      </c>
      <c r="D98" s="25">
        <v>81</v>
      </c>
      <c r="E98" s="26">
        <v>3.7744641192916997E-2</v>
      </c>
    </row>
    <row r="99" spans="2:5" ht="14.5" customHeight="1" x14ac:dyDescent="0.35">
      <c r="B99" s="78" t="s">
        <v>119</v>
      </c>
      <c r="C99" s="37" t="s">
        <v>130</v>
      </c>
      <c r="D99" s="38">
        <v>2</v>
      </c>
      <c r="E99" s="39">
        <v>9.3196644920800001E-4</v>
      </c>
    </row>
    <row r="100" spans="2:5" ht="14.5" customHeight="1" x14ac:dyDescent="0.35">
      <c r="B100" s="78"/>
      <c r="C100" s="37" t="s">
        <v>131</v>
      </c>
      <c r="D100" s="38">
        <v>2</v>
      </c>
      <c r="E100" s="39">
        <v>9.3196644920800001E-4</v>
      </c>
    </row>
    <row r="101" spans="2:5" ht="14.5" customHeight="1" x14ac:dyDescent="0.35">
      <c r="B101" s="78"/>
      <c r="C101" s="80" t="s">
        <v>25</v>
      </c>
      <c r="D101" s="25">
        <v>4</v>
      </c>
      <c r="E101" s="26">
        <v>1.863932898416E-3</v>
      </c>
    </row>
    <row r="102" spans="2:5" ht="14.5" customHeight="1" x14ac:dyDescent="0.35">
      <c r="B102" s="78" t="s">
        <v>120</v>
      </c>
      <c r="C102" s="37" t="s">
        <v>130</v>
      </c>
      <c r="D102" s="38">
        <v>3</v>
      </c>
      <c r="E102" s="39">
        <v>1.397949673812E-3</v>
      </c>
    </row>
    <row r="103" spans="2:5" ht="14.5" customHeight="1" x14ac:dyDescent="0.35">
      <c r="B103" s="78"/>
      <c r="C103" s="37" t="s">
        <v>131</v>
      </c>
      <c r="D103" s="38">
        <v>2</v>
      </c>
      <c r="E103" s="39">
        <v>9.3196644920800001E-4</v>
      </c>
    </row>
    <row r="104" spans="2:5" ht="14.5" customHeight="1" x14ac:dyDescent="0.35">
      <c r="B104" s="78"/>
      <c r="C104" s="80" t="s">
        <v>25</v>
      </c>
      <c r="D104" s="25">
        <v>5</v>
      </c>
      <c r="E104" s="26">
        <v>2.32991612302E-3</v>
      </c>
    </row>
    <row r="105" spans="2:5" ht="14.5" customHeight="1" x14ac:dyDescent="0.35">
      <c r="B105" s="78" t="s">
        <v>121</v>
      </c>
      <c r="C105" s="37" t="s">
        <v>130</v>
      </c>
      <c r="D105" s="38">
        <v>1</v>
      </c>
      <c r="E105" s="39">
        <v>4.65983224604E-4</v>
      </c>
    </row>
    <row r="106" spans="2:5" ht="14.5" customHeight="1" x14ac:dyDescent="0.35">
      <c r="B106" s="78"/>
      <c r="C106" s="37" t="s">
        <v>131</v>
      </c>
      <c r="D106" s="38">
        <v>3</v>
      </c>
      <c r="E106" s="39">
        <v>1.397949673812E-3</v>
      </c>
    </row>
    <row r="107" spans="2:5" ht="14.5" customHeight="1" x14ac:dyDescent="0.35">
      <c r="B107" s="78"/>
      <c r="C107" s="80" t="s">
        <v>25</v>
      </c>
      <c r="D107" s="25">
        <v>4</v>
      </c>
      <c r="E107" s="26">
        <v>1.863932898416E-3</v>
      </c>
    </row>
    <row r="108" spans="2:5" ht="14.5" customHeight="1" x14ac:dyDescent="0.35">
      <c r="B108" s="78" t="s">
        <v>122</v>
      </c>
      <c r="C108" s="37" t="s">
        <v>130</v>
      </c>
      <c r="D108" s="38">
        <v>76</v>
      </c>
      <c r="E108" s="39">
        <v>3.5414725069896999E-2</v>
      </c>
    </row>
    <row r="109" spans="2:5" ht="14.5" customHeight="1" x14ac:dyDescent="0.35">
      <c r="B109" s="78"/>
      <c r="C109" s="37" t="s">
        <v>131</v>
      </c>
      <c r="D109" s="38">
        <v>120</v>
      </c>
      <c r="E109" s="39">
        <v>5.5917986952470002E-2</v>
      </c>
    </row>
    <row r="110" spans="2:5" ht="14.5" customHeight="1" x14ac:dyDescent="0.35">
      <c r="B110" s="78"/>
      <c r="C110" s="80" t="s">
        <v>25</v>
      </c>
      <c r="D110" s="25">
        <v>196</v>
      </c>
      <c r="E110" s="26">
        <v>9.1332712022366994E-2</v>
      </c>
    </row>
    <row r="111" spans="2:5" ht="14.5" customHeight="1" x14ac:dyDescent="0.35">
      <c r="B111" s="78" t="s">
        <v>123</v>
      </c>
      <c r="C111" s="37" t="s">
        <v>130</v>
      </c>
      <c r="D111" s="38">
        <v>8</v>
      </c>
      <c r="E111" s="39">
        <v>3.727865796831E-3</v>
      </c>
    </row>
    <row r="112" spans="2:5" ht="14.5" customHeight="1" x14ac:dyDescent="0.35">
      <c r="B112" s="78"/>
      <c r="C112" s="37" t="s">
        <v>131</v>
      </c>
      <c r="D112" s="38">
        <v>8</v>
      </c>
      <c r="E112" s="39">
        <v>3.727865796831E-3</v>
      </c>
    </row>
    <row r="113" spans="2:5" ht="14.5" customHeight="1" x14ac:dyDescent="0.35">
      <c r="B113" s="78"/>
      <c r="C113" s="80" t="s">
        <v>25</v>
      </c>
      <c r="D113" s="25">
        <v>16</v>
      </c>
      <c r="E113" s="26">
        <v>7.455731593663E-3</v>
      </c>
    </row>
    <row r="114" spans="2:5" ht="14.5" customHeight="1" x14ac:dyDescent="0.35">
      <c r="B114" s="78" t="s">
        <v>124</v>
      </c>
      <c r="C114" s="37" t="s">
        <v>130</v>
      </c>
      <c r="D114" s="38">
        <v>1</v>
      </c>
      <c r="E114" s="39">
        <v>4.65983224604E-4</v>
      </c>
    </row>
    <row r="115" spans="2:5" ht="14.5" customHeight="1" x14ac:dyDescent="0.35">
      <c r="B115" s="78"/>
      <c r="C115" s="80" t="s">
        <v>25</v>
      </c>
      <c r="D115" s="25">
        <v>1</v>
      </c>
      <c r="E115" s="26">
        <v>4.65983224604E-4</v>
      </c>
    </row>
    <row r="116" spans="2:5" ht="14.5" customHeight="1" x14ac:dyDescent="0.35">
      <c r="B116" s="78" t="s">
        <v>83</v>
      </c>
      <c r="C116" s="37" t="s">
        <v>130</v>
      </c>
      <c r="D116" s="38">
        <v>5</v>
      </c>
      <c r="E116" s="39">
        <v>2.32991612302E-3</v>
      </c>
    </row>
    <row r="117" spans="2:5" ht="14.5" customHeight="1" x14ac:dyDescent="0.35">
      <c r="B117" s="78"/>
      <c r="C117" s="37" t="s">
        <v>131</v>
      </c>
      <c r="D117" s="38">
        <v>26</v>
      </c>
      <c r="E117" s="39">
        <v>1.2115563839702E-2</v>
      </c>
    </row>
    <row r="118" spans="2:5" ht="14.5" customHeight="1" x14ac:dyDescent="0.35">
      <c r="B118" s="78"/>
      <c r="C118" s="80" t="s">
        <v>25</v>
      </c>
      <c r="D118" s="25">
        <v>31</v>
      </c>
      <c r="E118" s="26">
        <v>1.4445479962721001E-2</v>
      </c>
    </row>
    <row r="119" spans="2:5" ht="14.5" customHeight="1" x14ac:dyDescent="0.35">
      <c r="B119" s="78" t="s">
        <v>125</v>
      </c>
      <c r="C119" s="37" t="s">
        <v>130</v>
      </c>
      <c r="D119" s="38">
        <v>2</v>
      </c>
      <c r="E119" s="39">
        <v>9.3196644920800001E-4</v>
      </c>
    </row>
    <row r="120" spans="2:5" ht="14.5" customHeight="1" x14ac:dyDescent="0.35">
      <c r="B120" s="78"/>
      <c r="C120" s="37" t="s">
        <v>131</v>
      </c>
      <c r="D120" s="38">
        <v>5</v>
      </c>
      <c r="E120" s="39">
        <v>2.32991612302E-3</v>
      </c>
    </row>
    <row r="121" spans="2:5" ht="14.5" customHeight="1" x14ac:dyDescent="0.35">
      <c r="B121" s="78"/>
      <c r="C121" s="80" t="s">
        <v>25</v>
      </c>
      <c r="D121" s="25">
        <v>7</v>
      </c>
      <c r="E121" s="26">
        <v>3.261882572227E-3</v>
      </c>
    </row>
    <row r="122" spans="2:5" ht="14.5" customHeight="1" x14ac:dyDescent="0.35">
      <c r="B122" s="78" t="s">
        <v>126</v>
      </c>
      <c r="C122" s="37" t="s">
        <v>131</v>
      </c>
      <c r="D122" s="38">
        <v>3</v>
      </c>
      <c r="E122" s="39">
        <v>1.397949673812E-3</v>
      </c>
    </row>
    <row r="123" spans="2:5" ht="14.5" customHeight="1" x14ac:dyDescent="0.35">
      <c r="B123" s="78"/>
      <c r="C123" s="80" t="s">
        <v>25</v>
      </c>
      <c r="D123" s="25">
        <v>3</v>
      </c>
      <c r="E123" s="26">
        <v>1.397949673812E-3</v>
      </c>
    </row>
    <row r="124" spans="2:5" ht="14.5" customHeight="1" x14ac:dyDescent="0.35">
      <c r="B124" s="79" t="s">
        <v>25</v>
      </c>
      <c r="C124" s="79"/>
      <c r="D124" s="22">
        <v>2146</v>
      </c>
      <c r="E124" s="23">
        <v>1</v>
      </c>
    </row>
    <row r="125" spans="2:5" ht="14.5" customHeight="1" x14ac:dyDescent="0.35">
      <c r="B125" s="11"/>
    </row>
    <row r="126" spans="2:5" ht="14.5" customHeight="1" x14ac:dyDescent="0.35">
      <c r="B126" s="9" t="s">
        <v>127</v>
      </c>
    </row>
    <row r="127" spans="2:5" ht="14.5" customHeight="1" x14ac:dyDescent="0.35">
      <c r="B127" s="10" t="s">
        <v>21</v>
      </c>
    </row>
    <row r="128" spans="2:5" ht="14.5" customHeight="1" x14ac:dyDescent="0.35">
      <c r="B128" s="11" t="s">
        <v>128</v>
      </c>
    </row>
    <row r="129" spans="2:2" ht="14.5" customHeight="1" x14ac:dyDescent="0.35">
      <c r="B129" s="9" t="s">
        <v>22</v>
      </c>
    </row>
    <row r="130" spans="2:2" ht="14.5" customHeight="1" x14ac:dyDescent="0.35">
      <c r="B130" s="9" t="s">
        <v>129</v>
      </c>
    </row>
  </sheetData>
  <mergeCells count="42">
    <mergeCell ref="B124:C124"/>
    <mergeCell ref="B93:B95"/>
    <mergeCell ref="B96:B98"/>
    <mergeCell ref="B99:B101"/>
    <mergeCell ref="B102:B104"/>
    <mergeCell ref="B105:B107"/>
    <mergeCell ref="B108:B110"/>
    <mergeCell ref="B111:B113"/>
    <mergeCell ref="B114:B115"/>
    <mergeCell ref="B116:B118"/>
    <mergeCell ref="B119:B121"/>
    <mergeCell ref="B122:B123"/>
    <mergeCell ref="B90:B92"/>
    <mergeCell ref="B60:B61"/>
    <mergeCell ref="B62:B64"/>
    <mergeCell ref="B65:B67"/>
    <mergeCell ref="B68:B69"/>
    <mergeCell ref="B70:B72"/>
    <mergeCell ref="B73:B74"/>
    <mergeCell ref="B75:B77"/>
    <mergeCell ref="B78:B80"/>
    <mergeCell ref="B81:B83"/>
    <mergeCell ref="B84:B86"/>
    <mergeCell ref="B87:B89"/>
    <mergeCell ref="B58:B59"/>
    <mergeCell ref="B28:B29"/>
    <mergeCell ref="B30:B31"/>
    <mergeCell ref="B32:B34"/>
    <mergeCell ref="B35:B37"/>
    <mergeCell ref="B38:B40"/>
    <mergeCell ref="B41:B43"/>
    <mergeCell ref="B44:B46"/>
    <mergeCell ref="B47:B48"/>
    <mergeCell ref="B49:B51"/>
    <mergeCell ref="B52:B54"/>
    <mergeCell ref="B55:B57"/>
    <mergeCell ref="B25:B27"/>
    <mergeCell ref="B8:E10"/>
    <mergeCell ref="B13:B15"/>
    <mergeCell ref="B16:B18"/>
    <mergeCell ref="B19:B21"/>
    <mergeCell ref="B22:B24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4:F31"/>
  <sheetViews>
    <sheetView showGridLines="0" view="pageBreakPreview" zoomScale="90" zoomScaleNormal="100" zoomScaleSheetLayoutView="90" workbookViewId="0">
      <selection activeCell="C11" sqref="C11"/>
    </sheetView>
  </sheetViews>
  <sheetFormatPr baseColWidth="10" defaultRowHeight="14.5" x14ac:dyDescent="0.35"/>
  <cols>
    <col min="1" max="1" width="2.6328125" customWidth="1"/>
    <col min="2" max="2" width="16.7265625" customWidth="1"/>
    <col min="3" max="3" width="21.36328125" customWidth="1"/>
    <col min="4" max="4" width="16.54296875" customWidth="1"/>
    <col min="5" max="6" width="15.453125" customWidth="1"/>
  </cols>
  <sheetData>
    <row r="4" spans="2:6" ht="38" customHeight="1" x14ac:dyDescent="0.35"/>
    <row r="7" spans="2:6" ht="8.5" customHeight="1" x14ac:dyDescent="0.35"/>
    <row r="8" spans="2:6" x14ac:dyDescent="0.35">
      <c r="B8" s="68" t="s">
        <v>281</v>
      </c>
      <c r="C8" s="68"/>
      <c r="D8" s="68"/>
      <c r="E8" s="68"/>
      <c r="F8" s="68"/>
    </row>
    <row r="9" spans="2:6" x14ac:dyDescent="0.35">
      <c r="B9" s="68"/>
      <c r="C9" s="68"/>
      <c r="D9" s="68"/>
      <c r="E9" s="68"/>
      <c r="F9" s="68"/>
    </row>
    <row r="10" spans="2:6" x14ac:dyDescent="0.35">
      <c r="B10" s="68"/>
      <c r="C10" s="68"/>
      <c r="D10" s="68"/>
      <c r="E10" s="68"/>
      <c r="F10" s="68"/>
    </row>
    <row r="11" spans="2:6" ht="21.5" customHeight="1" x14ac:dyDescent="0.35"/>
    <row r="12" spans="2:6" ht="45.5" customHeight="1" x14ac:dyDescent="0.35">
      <c r="B12" s="18" t="s">
        <v>34</v>
      </c>
      <c r="C12" s="18" t="s">
        <v>36</v>
      </c>
      <c r="D12" s="18" t="s">
        <v>19</v>
      </c>
      <c r="E12" s="18" t="s">
        <v>37</v>
      </c>
      <c r="F12" s="18" t="s">
        <v>38</v>
      </c>
    </row>
    <row r="13" spans="2:6" ht="14.5" customHeight="1" x14ac:dyDescent="0.35">
      <c r="B13" s="78" t="s">
        <v>130</v>
      </c>
      <c r="C13" s="37" t="s">
        <v>242</v>
      </c>
      <c r="D13" s="38">
        <v>73</v>
      </c>
      <c r="E13" s="39">
        <v>0.112654320987654</v>
      </c>
      <c r="F13" s="39">
        <v>3.4016775396086003E-2</v>
      </c>
    </row>
    <row r="14" spans="2:6" ht="14.5" customHeight="1" x14ac:dyDescent="0.35">
      <c r="B14" s="78"/>
      <c r="C14" s="37" t="s">
        <v>243</v>
      </c>
      <c r="D14" s="38">
        <v>157</v>
      </c>
      <c r="E14" s="39">
        <v>0.242283950617284</v>
      </c>
      <c r="F14" s="39">
        <v>7.3159366262814995E-2</v>
      </c>
    </row>
    <row r="15" spans="2:6" ht="14.5" customHeight="1" x14ac:dyDescent="0.35">
      <c r="B15" s="78"/>
      <c r="C15" s="37" t="s">
        <v>244</v>
      </c>
      <c r="D15" s="38">
        <v>208</v>
      </c>
      <c r="E15" s="39">
        <v>0.32098765432098803</v>
      </c>
      <c r="F15" s="39">
        <v>9.6924510717614001E-2</v>
      </c>
    </row>
    <row r="16" spans="2:6" ht="14.5" customHeight="1" x14ac:dyDescent="0.35">
      <c r="B16" s="78"/>
      <c r="C16" s="37" t="s">
        <v>245</v>
      </c>
      <c r="D16" s="38">
        <v>174</v>
      </c>
      <c r="E16" s="39">
        <v>0.26851851851851899</v>
      </c>
      <c r="F16" s="39">
        <v>8.1081081081081002E-2</v>
      </c>
    </row>
    <row r="17" spans="2:6" ht="14.5" customHeight="1" x14ac:dyDescent="0.35">
      <c r="B17" s="78"/>
      <c r="C17" s="37" t="s">
        <v>246</v>
      </c>
      <c r="D17" s="38">
        <v>28</v>
      </c>
      <c r="E17" s="39">
        <v>4.3209876543209999E-2</v>
      </c>
      <c r="F17" s="39">
        <v>1.304753028891E-2</v>
      </c>
    </row>
    <row r="18" spans="2:6" ht="14.5" customHeight="1" x14ac:dyDescent="0.35">
      <c r="B18" s="78"/>
      <c r="C18" s="37" t="s">
        <v>247</v>
      </c>
      <c r="D18" s="38">
        <v>8</v>
      </c>
      <c r="E18" s="39">
        <v>1.2345679012345999E-2</v>
      </c>
      <c r="F18" s="39">
        <v>3.727865796831E-3</v>
      </c>
    </row>
    <row r="19" spans="2:6" ht="14.5" customHeight="1" x14ac:dyDescent="0.35">
      <c r="B19" s="78" t="s">
        <v>131</v>
      </c>
      <c r="C19" s="37" t="s">
        <v>242</v>
      </c>
      <c r="D19" s="38">
        <v>270</v>
      </c>
      <c r="E19" s="39">
        <v>0.18024032042723601</v>
      </c>
      <c r="F19" s="39">
        <v>0.12581547064305701</v>
      </c>
    </row>
    <row r="20" spans="2:6" ht="14.5" customHeight="1" x14ac:dyDescent="0.35">
      <c r="B20" s="78"/>
      <c r="C20" s="37" t="s">
        <v>243</v>
      </c>
      <c r="D20" s="38">
        <v>457</v>
      </c>
      <c r="E20" s="39">
        <v>0.30507343124165598</v>
      </c>
      <c r="F20" s="39">
        <v>0.212954333643989</v>
      </c>
    </row>
    <row r="21" spans="2:6" ht="14.5" customHeight="1" x14ac:dyDescent="0.35">
      <c r="B21" s="78"/>
      <c r="C21" s="37" t="s">
        <v>244</v>
      </c>
      <c r="D21" s="38">
        <v>426</v>
      </c>
      <c r="E21" s="39">
        <v>0.28437917222963999</v>
      </c>
      <c r="F21" s="39">
        <v>0.198508853681267</v>
      </c>
    </row>
    <row r="22" spans="2:6" ht="14.5" customHeight="1" x14ac:dyDescent="0.35">
      <c r="B22" s="78"/>
      <c r="C22" s="37" t="s">
        <v>245</v>
      </c>
      <c r="D22" s="38">
        <v>299</v>
      </c>
      <c r="E22" s="39">
        <v>0.19959946595460601</v>
      </c>
      <c r="F22" s="39">
        <v>0.13932898415657</v>
      </c>
    </row>
    <row r="23" spans="2:6" ht="14.5" customHeight="1" x14ac:dyDescent="0.35">
      <c r="B23" s="78"/>
      <c r="C23" s="37" t="s">
        <v>246</v>
      </c>
      <c r="D23" s="38">
        <v>41</v>
      </c>
      <c r="E23" s="39">
        <v>2.7369826435247002E-2</v>
      </c>
      <c r="F23" s="39">
        <v>1.9105312208760002E-2</v>
      </c>
    </row>
    <row r="24" spans="2:6" ht="14.5" customHeight="1" x14ac:dyDescent="0.35">
      <c r="B24" s="78"/>
      <c r="C24" s="37" t="s">
        <v>247</v>
      </c>
      <c r="D24" s="38">
        <v>5</v>
      </c>
      <c r="E24" s="39">
        <v>3.337783711615E-3</v>
      </c>
      <c r="F24" s="39">
        <v>2.32991612302E-3</v>
      </c>
    </row>
    <row r="25" spans="2:6" ht="14.5" customHeight="1" x14ac:dyDescent="0.35">
      <c r="B25" s="76" t="s">
        <v>25</v>
      </c>
      <c r="C25" s="77"/>
      <c r="D25" s="22">
        <v>2146</v>
      </c>
      <c r="E25" s="23">
        <v>1</v>
      </c>
      <c r="F25" s="24">
        <v>1</v>
      </c>
    </row>
    <row r="26" spans="2:6" ht="14.5" customHeight="1" x14ac:dyDescent="0.35">
      <c r="B26" s="11"/>
    </row>
    <row r="27" spans="2:6" ht="14.5" customHeight="1" x14ac:dyDescent="0.35">
      <c r="B27" s="9" t="s">
        <v>127</v>
      </c>
    </row>
    <row r="28" spans="2:6" ht="14.5" customHeight="1" x14ac:dyDescent="0.35">
      <c r="B28" s="10" t="s">
        <v>21</v>
      </c>
    </row>
    <row r="29" spans="2:6" ht="14.5" customHeight="1" x14ac:dyDescent="0.35">
      <c r="B29" s="11" t="s">
        <v>128</v>
      </c>
    </row>
    <row r="30" spans="2:6" ht="14.5" customHeight="1" x14ac:dyDescent="0.35">
      <c r="B30" s="9" t="s">
        <v>22</v>
      </c>
    </row>
    <row r="31" spans="2:6" ht="14.5" customHeight="1" x14ac:dyDescent="0.35">
      <c r="B31" s="9" t="s">
        <v>129</v>
      </c>
    </row>
  </sheetData>
  <mergeCells count="4">
    <mergeCell ref="B25:C25"/>
    <mergeCell ref="B8:F10"/>
    <mergeCell ref="B13:B18"/>
    <mergeCell ref="B19:B24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B4:D49"/>
  <sheetViews>
    <sheetView showGridLines="0" view="pageBreakPreview" zoomScale="89" zoomScaleNormal="100" zoomScaleSheetLayoutView="89" workbookViewId="0">
      <selection activeCell="C11" sqref="C11"/>
    </sheetView>
  </sheetViews>
  <sheetFormatPr baseColWidth="10" defaultRowHeight="14.5" x14ac:dyDescent="0.35"/>
  <cols>
    <col min="1" max="1" width="7.54296875" customWidth="1"/>
    <col min="2" max="2" width="41.08984375" customWidth="1"/>
    <col min="3" max="3" width="19" customWidth="1"/>
    <col min="4" max="4" width="16.7265625" customWidth="1"/>
    <col min="5" max="5" width="8.90625" customWidth="1"/>
  </cols>
  <sheetData>
    <row r="4" spans="2:4" ht="32" customHeight="1" x14ac:dyDescent="0.35"/>
    <row r="6" spans="2:4" ht="13" customHeight="1" x14ac:dyDescent="0.35"/>
    <row r="7" spans="2:4" ht="10" customHeight="1" x14ac:dyDescent="0.35">
      <c r="B7" s="68" t="s">
        <v>282</v>
      </c>
      <c r="C7" s="68"/>
      <c r="D7" s="68"/>
    </row>
    <row r="8" spans="2:4" x14ac:dyDescent="0.35">
      <c r="B8" s="68"/>
      <c r="C8" s="68"/>
      <c r="D8" s="68"/>
    </row>
    <row r="9" spans="2:4" ht="30" customHeight="1" x14ac:dyDescent="0.35">
      <c r="B9" s="68"/>
      <c r="C9" s="68"/>
      <c r="D9" s="68"/>
    </row>
    <row r="10" spans="2:4" ht="9" customHeight="1" x14ac:dyDescent="0.35"/>
    <row r="11" spans="2:4" ht="28" x14ac:dyDescent="0.35">
      <c r="B11" s="1" t="s">
        <v>39</v>
      </c>
      <c r="C11" s="2" t="s">
        <v>19</v>
      </c>
      <c r="D11" s="3" t="s">
        <v>20</v>
      </c>
    </row>
    <row r="12" spans="2:4" x14ac:dyDescent="0.35">
      <c r="B12" s="50" t="s">
        <v>248</v>
      </c>
      <c r="C12" s="51">
        <v>1340</v>
      </c>
      <c r="D12" s="52">
        <v>0.62441752096924497</v>
      </c>
    </row>
    <row r="13" spans="2:4" x14ac:dyDescent="0.35">
      <c r="B13" s="50" t="s">
        <v>249</v>
      </c>
      <c r="C13" s="51">
        <v>289</v>
      </c>
      <c r="D13" s="52">
        <v>0.134669151910531</v>
      </c>
    </row>
    <row r="14" spans="2:4" ht="28" x14ac:dyDescent="0.35">
      <c r="B14" s="50" t="s">
        <v>250</v>
      </c>
      <c r="C14" s="51">
        <v>257</v>
      </c>
      <c r="D14" s="52">
        <v>0.119757688723206</v>
      </c>
    </row>
    <row r="15" spans="2:4" ht="14.5" customHeight="1" x14ac:dyDescent="0.35">
      <c r="B15" s="50" t="s">
        <v>251</v>
      </c>
      <c r="C15" s="51">
        <v>46</v>
      </c>
      <c r="D15" s="52">
        <v>2.143522833178E-2</v>
      </c>
    </row>
    <row r="16" spans="2:4" ht="14.5" customHeight="1" x14ac:dyDescent="0.35">
      <c r="B16" s="50" t="s">
        <v>252</v>
      </c>
      <c r="C16" s="51">
        <v>30</v>
      </c>
      <c r="D16" s="52">
        <v>1.3979496738117001E-2</v>
      </c>
    </row>
    <row r="17" spans="2:4" ht="14.5" customHeight="1" x14ac:dyDescent="0.35">
      <c r="B17" s="50" t="s">
        <v>253</v>
      </c>
      <c r="C17" s="51">
        <v>30</v>
      </c>
      <c r="D17" s="52">
        <v>1.3979496738117001E-2</v>
      </c>
    </row>
    <row r="18" spans="2:4" ht="14.5" customHeight="1" x14ac:dyDescent="0.35">
      <c r="B18" s="50" t="s">
        <v>254</v>
      </c>
      <c r="C18" s="51">
        <v>21</v>
      </c>
      <c r="D18" s="52">
        <v>9.785647716682E-3</v>
      </c>
    </row>
    <row r="19" spans="2:4" ht="14.5" customHeight="1" x14ac:dyDescent="0.35">
      <c r="B19" s="50" t="s">
        <v>255</v>
      </c>
      <c r="C19" s="51">
        <v>20</v>
      </c>
      <c r="D19" s="52">
        <v>9.3196644920779999E-3</v>
      </c>
    </row>
    <row r="20" spans="2:4" ht="14.5" customHeight="1" x14ac:dyDescent="0.35">
      <c r="B20" s="50" t="s">
        <v>256</v>
      </c>
      <c r="C20" s="51">
        <v>13</v>
      </c>
      <c r="D20" s="52">
        <v>6.057781919851E-3</v>
      </c>
    </row>
    <row r="21" spans="2:4" ht="14.5" customHeight="1" x14ac:dyDescent="0.35">
      <c r="B21" s="50" t="s">
        <v>257</v>
      </c>
      <c r="C21" s="51">
        <v>12</v>
      </c>
      <c r="D21" s="52">
        <v>5.591798695247E-3</v>
      </c>
    </row>
    <row r="22" spans="2:4" ht="14.5" customHeight="1" x14ac:dyDescent="0.35">
      <c r="B22" s="50" t="s">
        <v>258</v>
      </c>
      <c r="C22" s="51">
        <v>11</v>
      </c>
      <c r="D22" s="52">
        <v>5.125815470643E-3</v>
      </c>
    </row>
    <row r="23" spans="2:4" ht="14.5" customHeight="1" x14ac:dyDescent="0.35">
      <c r="B23" s="50" t="s">
        <v>259</v>
      </c>
      <c r="C23" s="51">
        <v>11</v>
      </c>
      <c r="D23" s="52">
        <v>5.125815470643E-3</v>
      </c>
    </row>
    <row r="24" spans="2:4" ht="14.5" customHeight="1" x14ac:dyDescent="0.35">
      <c r="B24" s="50" t="s">
        <v>260</v>
      </c>
      <c r="C24" s="51">
        <v>10</v>
      </c>
      <c r="D24" s="52">
        <v>4.659832246039E-3</v>
      </c>
    </row>
    <row r="25" spans="2:4" ht="14.5" customHeight="1" x14ac:dyDescent="0.35">
      <c r="B25" s="50" t="s">
        <v>261</v>
      </c>
      <c r="C25" s="51">
        <v>9</v>
      </c>
      <c r="D25" s="52">
        <v>4.193849021435E-3</v>
      </c>
    </row>
    <row r="26" spans="2:4" ht="14.5" customHeight="1" x14ac:dyDescent="0.35">
      <c r="B26" s="50" t="s">
        <v>262</v>
      </c>
      <c r="C26" s="51">
        <v>8</v>
      </c>
      <c r="D26" s="52">
        <v>3.727865796831E-3</v>
      </c>
    </row>
    <row r="27" spans="2:4" ht="14.5" customHeight="1" x14ac:dyDescent="0.35">
      <c r="B27" s="50" t="s">
        <v>263</v>
      </c>
      <c r="C27" s="51">
        <v>7</v>
      </c>
      <c r="D27" s="52">
        <v>3.261882572227E-3</v>
      </c>
    </row>
    <row r="28" spans="2:4" ht="14.5" customHeight="1" x14ac:dyDescent="0.35">
      <c r="B28" s="50" t="s">
        <v>264</v>
      </c>
      <c r="C28" s="51">
        <v>5</v>
      </c>
      <c r="D28" s="52">
        <v>2.32991612302E-3</v>
      </c>
    </row>
    <row r="29" spans="2:4" ht="14.5" customHeight="1" x14ac:dyDescent="0.35">
      <c r="B29" s="50" t="s">
        <v>265</v>
      </c>
      <c r="C29" s="51">
        <v>5</v>
      </c>
      <c r="D29" s="52">
        <v>2.32991612302E-3</v>
      </c>
    </row>
    <row r="30" spans="2:4" ht="14.5" customHeight="1" x14ac:dyDescent="0.35">
      <c r="B30" s="50" t="s">
        <v>266</v>
      </c>
      <c r="C30" s="51">
        <v>4</v>
      </c>
      <c r="D30" s="52">
        <v>1.863932898416E-3</v>
      </c>
    </row>
    <row r="31" spans="2:4" ht="14.5" customHeight="1" x14ac:dyDescent="0.35">
      <c r="B31" s="50" t="s">
        <v>267</v>
      </c>
      <c r="C31" s="51">
        <v>4</v>
      </c>
      <c r="D31" s="52">
        <v>1.863932898416E-3</v>
      </c>
    </row>
    <row r="32" spans="2:4" ht="14.5" customHeight="1" x14ac:dyDescent="0.35">
      <c r="B32" s="50" t="s">
        <v>268</v>
      </c>
      <c r="C32" s="51">
        <v>3</v>
      </c>
      <c r="D32" s="52">
        <v>1.397949673812E-3</v>
      </c>
    </row>
    <row r="33" spans="2:4" ht="14.5" customHeight="1" x14ac:dyDescent="0.35">
      <c r="B33" s="50" t="s">
        <v>269</v>
      </c>
      <c r="C33" s="51">
        <v>2</v>
      </c>
      <c r="D33" s="52">
        <v>9.3196644920800001E-4</v>
      </c>
    </row>
    <row r="34" spans="2:4" ht="14.5" customHeight="1" x14ac:dyDescent="0.35">
      <c r="B34" s="50" t="s">
        <v>270</v>
      </c>
      <c r="C34" s="51">
        <v>1</v>
      </c>
      <c r="D34" s="52">
        <v>4.65983224604E-4</v>
      </c>
    </row>
    <row r="35" spans="2:4" ht="14.5" customHeight="1" x14ac:dyDescent="0.35">
      <c r="B35" s="50" t="s">
        <v>271</v>
      </c>
      <c r="C35" s="51">
        <v>1</v>
      </c>
      <c r="D35" s="52">
        <v>4.65983224604E-4</v>
      </c>
    </row>
    <row r="36" spans="2:4" ht="14.5" customHeight="1" x14ac:dyDescent="0.35">
      <c r="B36" s="50" t="s">
        <v>272</v>
      </c>
      <c r="C36" s="51">
        <v>1</v>
      </c>
      <c r="D36" s="52">
        <v>4.65983224604E-4</v>
      </c>
    </row>
    <row r="37" spans="2:4" ht="14.5" customHeight="1" x14ac:dyDescent="0.35">
      <c r="B37" s="50" t="s">
        <v>273</v>
      </c>
      <c r="C37" s="51">
        <v>1</v>
      </c>
      <c r="D37" s="52">
        <v>4.65983224604E-4</v>
      </c>
    </row>
    <row r="38" spans="2:4" ht="14.5" customHeight="1" x14ac:dyDescent="0.35">
      <c r="B38" s="50" t="s">
        <v>274</v>
      </c>
      <c r="C38" s="51">
        <v>1</v>
      </c>
      <c r="D38" s="52">
        <v>4.65983224604E-4</v>
      </c>
    </row>
    <row r="39" spans="2:4" ht="14.5" customHeight="1" x14ac:dyDescent="0.35">
      <c r="B39" s="50" t="s">
        <v>275</v>
      </c>
      <c r="C39" s="51">
        <v>1</v>
      </c>
      <c r="D39" s="52">
        <v>4.65983224604E-4</v>
      </c>
    </row>
    <row r="40" spans="2:4" ht="14.5" customHeight="1" x14ac:dyDescent="0.35">
      <c r="B40" s="50" t="s">
        <v>276</v>
      </c>
      <c r="C40" s="51">
        <v>1</v>
      </c>
      <c r="D40" s="52">
        <v>4.65983224604E-4</v>
      </c>
    </row>
    <row r="41" spans="2:4" ht="14.5" customHeight="1" x14ac:dyDescent="0.35">
      <c r="B41" s="50" t="s">
        <v>277</v>
      </c>
      <c r="C41" s="51">
        <v>1</v>
      </c>
      <c r="D41" s="52">
        <v>4.65983224604E-4</v>
      </c>
    </row>
    <row r="42" spans="2:4" ht="14.5" customHeight="1" x14ac:dyDescent="0.35">
      <c r="B42" s="50" t="s">
        <v>278</v>
      </c>
      <c r="C42" s="51">
        <v>1</v>
      </c>
      <c r="D42" s="52">
        <v>4.65983224604E-4</v>
      </c>
    </row>
    <row r="43" spans="2:4" ht="14.5" customHeight="1" x14ac:dyDescent="0.35">
      <c r="B43" s="5" t="s">
        <v>25</v>
      </c>
      <c r="C43" s="6">
        <v>2146</v>
      </c>
      <c r="D43" s="7">
        <v>1</v>
      </c>
    </row>
    <row r="44" spans="2:4" x14ac:dyDescent="0.35">
      <c r="B44" s="11"/>
    </row>
    <row r="45" spans="2:4" x14ac:dyDescent="0.35">
      <c r="B45" s="9" t="s">
        <v>127</v>
      </c>
    </row>
    <row r="46" spans="2:4" x14ac:dyDescent="0.35">
      <c r="B46" s="10" t="s">
        <v>21</v>
      </c>
    </row>
    <row r="47" spans="2:4" x14ac:dyDescent="0.35">
      <c r="B47" s="11" t="s">
        <v>128</v>
      </c>
    </row>
    <row r="48" spans="2:4" x14ac:dyDescent="0.35">
      <c r="B48" s="9" t="s">
        <v>22</v>
      </c>
    </row>
    <row r="49" spans="2:2" x14ac:dyDescent="0.35">
      <c r="B49" s="9" t="s">
        <v>129</v>
      </c>
    </row>
  </sheetData>
  <mergeCells count="1">
    <mergeCell ref="B7:D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Índice</vt:lpstr>
      <vt:lpstr>Yucatán_EdoUSA</vt:lpstr>
      <vt:lpstr>Yucatán_Cons</vt:lpstr>
      <vt:lpstr>YucatánXCons</vt:lpstr>
      <vt:lpstr>Yucatán_EdoMun</vt:lpstr>
      <vt:lpstr>Yucatán_USAMuni</vt:lpstr>
      <vt:lpstr>Yucatán_MUNICIPIO</vt:lpstr>
      <vt:lpstr>Yucatán_educ_gral</vt:lpstr>
      <vt:lpstr>Yucatán_NivelE_Cons</vt:lpstr>
      <vt:lpstr>Yucatán_EducCons</vt:lpstr>
      <vt:lpstr>Yucatán_GenGral</vt:lpstr>
      <vt:lpstr>Yucatán_GENERO</vt:lpstr>
      <vt:lpstr>Yucatán_GENERO_EUA</vt:lpstr>
      <vt:lpstr>Yucatán_Gen_Edad</vt:lpstr>
      <vt:lpstr>Yucatán_ocup_gral</vt:lpstr>
      <vt:lpstr>Yucatán_Cons!Área_de_impresión</vt:lpstr>
      <vt:lpstr>Yucatán_NivelE_Cons!Área_de_impresión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Servicio Social IME 03</cp:lastModifiedBy>
  <dcterms:created xsi:type="dcterms:W3CDTF">2023-11-03T14:59:42Z</dcterms:created>
  <dcterms:modified xsi:type="dcterms:W3CDTF">2024-12-26T15:12:59Z</dcterms:modified>
</cp:coreProperties>
</file>