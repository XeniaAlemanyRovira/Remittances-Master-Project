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6213F015-F8BB-4B80-9834-54E4189F8290}" xr6:coauthVersionLast="47" xr6:coauthVersionMax="47" xr10:uidLastSave="{00000000-0000-0000-0000-000000000000}"/>
  <bookViews>
    <workbookView xWindow="-110" yWindow="-110" windowWidth="19420" windowHeight="10420" tabRatio="747" xr2:uid="{00000000-000D-0000-FFFF-FFFF00000000}"/>
  </bookViews>
  <sheets>
    <sheet name="Índice" sheetId="1" r:id="rId1"/>
    <sheet name="Querétaro_EdoUsa" sheetId="2" r:id="rId2"/>
    <sheet name="Querétaro_Cons" sheetId="16" r:id="rId3"/>
    <sheet name="QuerétaroXCons" sheetId="15" r:id="rId4"/>
    <sheet name="Querétaro_EdoMun" sheetId="5" r:id="rId5"/>
    <sheet name="Querétaro_USAMuni" sheetId="6" r:id="rId6"/>
    <sheet name="Querétaro_MUNICIPIO" sheetId="7" r:id="rId7"/>
    <sheet name="Querétaro_educ_gral" sheetId="8" r:id="rId8"/>
    <sheet name="Querétaro_NivelE_Cons" sheetId="9" r:id="rId9"/>
    <sheet name="Querétaro_EducCons" sheetId="10" r:id="rId10"/>
    <sheet name="Querétaro_GenGral" sheetId="11" r:id="rId11"/>
    <sheet name="Querétaro_GENERO" sheetId="12" r:id="rId12"/>
    <sheet name="Querétaro_GENERO_EUA" sheetId="17" r:id="rId13"/>
    <sheet name="Querétaro_Gen_Edad" sheetId="13" r:id="rId14"/>
    <sheet name="Querétaro_ocup_gral" sheetId="14" r:id="rId15"/>
  </sheets>
  <definedNames>
    <definedName name="_xlnm._FilterDatabase" localSheetId="2" hidden="1">Querétaro_Cons!$B$11:$D$11</definedName>
    <definedName name="_xlnm._FilterDatabase" localSheetId="4" hidden="1">Querétaro_EdoMun!$B$11:$D$11</definedName>
    <definedName name="_xlnm._FilterDatabase" localSheetId="1" hidden="1">Querétaro_EdoUsa!$B$11:$D$11</definedName>
    <definedName name="_xlnm._FilterDatabase" localSheetId="7" hidden="1">Querétaro_educ_gral!$B$11:$D$11</definedName>
    <definedName name="_xlnm._FilterDatabase" localSheetId="9" hidden="1">Querétaro_EducCons!$B$9:$E$515</definedName>
    <definedName name="_xlnm._FilterDatabase" localSheetId="11" hidden="1">Querétaro_GENERO!$B$12:$E$140</definedName>
    <definedName name="_xlnm._FilterDatabase" localSheetId="12" hidden="1">Querétaro_GENERO_EUA!$B$12:$E$152</definedName>
    <definedName name="_xlnm._FilterDatabase" localSheetId="10" hidden="1">Querétaro_GenGral!$B$11:$D$11</definedName>
    <definedName name="_xlnm._FilterDatabase" localSheetId="6" hidden="1">Querétaro_MUNICIPIO!$B$9:$E$9</definedName>
    <definedName name="_xlnm._FilterDatabase" localSheetId="8" hidden="1">Querétaro_NivelE_Cons!$B$9:$E$9</definedName>
    <definedName name="_xlnm._FilterDatabase" localSheetId="14" hidden="1">Querétaro_ocup_gral!$B$11:$D$11</definedName>
    <definedName name="_xlnm._FilterDatabase" localSheetId="5" hidden="1">Querétaro_USAMuni!$B$9:$E$9</definedName>
    <definedName name="_xlnm._FilterDatabase" localSheetId="3" hidden="1">QuerétaroXCons!$B$11:$D$11</definedName>
    <definedName name="_xlnm.Print_Area" localSheetId="9">Querétaro_EducCons!$A$1:$E$723</definedName>
    <definedName name="_xlnm.Print_Area" localSheetId="6">Querétaro_MUNICIPIO!$A$1:$E$9</definedName>
    <definedName name="_xlnm.Print_Area" localSheetId="8">Querétaro_NivelE_Cons!$A$1:$E$577</definedName>
    <definedName name="_xlnm.Print_Area" localSheetId="14">Querétaro_ocup_gral!$A$1:$E$60</definedName>
    <definedName name="_xlnm.Print_Area" localSheetId="5">Querétaro_USAMuni!$A$1:$E$579</definedName>
    <definedName name="_xlnm.Print_Titles" localSheetId="2">Querétaro_Cons!$1:$11</definedName>
    <definedName name="_xlnm.Print_Titles" localSheetId="4">Querétaro_EdoMun!$1:$11</definedName>
    <definedName name="_xlnm.Print_Titles" localSheetId="1">Querétaro_EdoUsa!$1:$11</definedName>
    <definedName name="_xlnm.Print_Titles" localSheetId="7">Querétaro_educ_gral!$1:$11</definedName>
    <definedName name="_xlnm.Print_Titles" localSheetId="9">Querétaro_EducCons!$1:$9</definedName>
    <definedName name="_xlnm.Print_Titles" localSheetId="13">Querétaro_Gen_Edad!$1:$12</definedName>
    <definedName name="_xlnm.Print_Titles" localSheetId="11">Querétaro_GENERO!$1:$12</definedName>
    <definedName name="_xlnm.Print_Titles" localSheetId="12">Querétaro_GENERO_EUA!$1:$12</definedName>
    <definedName name="_xlnm.Print_Titles" localSheetId="10">Querétaro_GenGral!$1:$11</definedName>
    <definedName name="_xlnm.Print_Titles" localSheetId="6">Querétaro_MUNICIPIO!$1:$9</definedName>
    <definedName name="_xlnm.Print_Titles" localSheetId="8">Querétaro_NivelE_Cons!$1:$9</definedName>
    <definedName name="_xlnm.Print_Titles" localSheetId="14">Querétaro_ocup_gral!$1:$11</definedName>
    <definedName name="_xlnm.Print_Titles" localSheetId="5">Querétaro_USAMuni!$1:$9</definedName>
    <definedName name="_xlnm.Print_Titles" localSheetId="3">QuerétaroXCons!$1:$11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5" l="1"/>
  <c r="D21" i="15" s="1"/>
  <c r="D20" i="15"/>
  <c r="D19" i="15"/>
  <c r="D14" i="15"/>
  <c r="D12" i="15" l="1"/>
  <c r="D13" i="15"/>
  <c r="D15" i="15"/>
  <c r="D16" i="15"/>
  <c r="D17" i="15"/>
  <c r="D18" i="15"/>
  <c r="D22" i="15"/>
</calcChain>
</file>

<file path=xl/sharedStrings.xml><?xml version="1.0" encoding="utf-8"?>
<sst xmlns="http://schemas.openxmlformats.org/spreadsheetml/2006/main" count="3537" uniqueCount="345">
  <si>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</si>
  <si>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</si>
  <si>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</si>
  <si>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</si>
  <si>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</si>
  <si>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</si>
  <si>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</si>
  <si>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</si>
  <si>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</si>
  <si>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</si>
  <si>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</si>
  <si>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</si>
  <si>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</si>
  <si>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</si>
  <si>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</si>
  <si>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</si>
  <si>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</si>
  <si>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</si>
  <si>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</si>
  <si>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</si>
  <si>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</si>
  <si>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</si>
  <si>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</si>
  <si>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</si>
  <si>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</si>
  <si>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</si>
  <si>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</si>
  <si>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</si>
  <si>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</si>
  <si>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</si>
  <si>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</si>
  <si>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</si>
  <si>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</si>
  <si>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</si>
  <si>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QUERÉTARO POR GÉNERO Y EDAD EN EE.UU.</t>
  </si>
  <si>
    <t>Ocupación</t>
  </si>
  <si>
    <t>5.3 Por Estado de la Unión Americana</t>
  </si>
  <si>
    <t>MATRÍCULAS CONSULARES DE ALTA SEGURIDAD EXPEDIDAS A ORIGINARIOS DE QUERÉTARO EN LOS CONSULADOS DE MÉXICO EN EE.UU.</t>
  </si>
  <si>
    <t xml:space="preserve">MATRÍCULAS CONSULARES EXPEDIDAS A ORIGINARIOS DE QUERÉTARO POR GÉNERO EN EE.UU </t>
  </si>
  <si>
    <t>MATRÍCULAS CONSULARES EXPEDIDAS EN EE.UU. A ORIGINARIOS DE QUERÉTARO POR NIVEL DE EDUCACIÓN</t>
  </si>
  <si>
    <t>MATRÍCULAS CONSULARES EXPEDIDAS A ORIGINARIOS DE QUERÉTARO POR GÉNERO Y CONSULADO</t>
  </si>
  <si>
    <t>MATRÍCULAS CONSULARES EXPEDIDAS A ORIGINARIOS DE QUERÉTARO POR GÉNERO Y POR ESTADO DE LA UNIÓN AMERICANA</t>
  </si>
  <si>
    <t xml:space="preserve">MATRÍCULAS CONSULARES DE ALTA SEGURIDAD EXPEDIDAS POR MUNICIPIO A ORIGINARIOS DEL ESTADO DE QUERÉTARO EN LOS CONSULADOS DE MÉXICO EN EE.UU. </t>
  </si>
  <si>
    <t>MATRÍCULAS CONSULARES DE ALTA SEGURIDAD EXPEDIDAS A ORIGINARIOS DE QUERÉTARO POR ESTADO DE LA UNIÓN AMERICANA</t>
  </si>
  <si>
    <t>LOS 10 CONSULADOS  DE MÉXICO EN EE.UU., CON MAYOR NÚMERO DE EXPEDICIÓN DE  MATRÍCULAS CONSULARES DE ALTA SEGURIDAD A ORIGINARIOS DE QUERÉTARO</t>
  </si>
  <si>
    <t>TOTAL TOP 10</t>
  </si>
  <si>
    <t xml:space="preserve">TOTAL GENERAL </t>
  </si>
  <si>
    <t>Tamaño de la muestra: 789,030</t>
  </si>
  <si>
    <t>Elaborado por: Análisis de Información, Instituto de Mexicanas y Mexicanos en el Exterior</t>
  </si>
  <si>
    <t>Noviembre de 2024</t>
  </si>
  <si>
    <t>DALLAS</t>
  </si>
  <si>
    <t>HOUSTON</t>
  </si>
  <si>
    <t>RALEIGH</t>
  </si>
  <si>
    <t>AUSTIN</t>
  </si>
  <si>
    <t>ATLANTA</t>
  </si>
  <si>
    <t>ORLANDO</t>
  </si>
  <si>
    <t>LITTLE ROCK</t>
  </si>
  <si>
    <t>LOS ANGELES</t>
  </si>
  <si>
    <t>SANTA ANA</t>
  </si>
  <si>
    <t>CHICAGO</t>
  </si>
  <si>
    <t>MIAMI</t>
  </si>
  <si>
    <t>SAN DIEGO</t>
  </si>
  <si>
    <t>SAN BERNARDINO</t>
  </si>
  <si>
    <t>NUEVA ORLEANS</t>
  </si>
  <si>
    <t>SAN ANTONIO</t>
  </si>
  <si>
    <t>LAS VEGAS</t>
  </si>
  <si>
    <t>OKLAHOMA CITY</t>
  </si>
  <si>
    <t>DENVER</t>
  </si>
  <si>
    <t>INDIANAPOLIS</t>
  </si>
  <si>
    <t>OMAHA</t>
  </si>
  <si>
    <t>KANSAS CITY</t>
  </si>
  <si>
    <t>FILADELFIA</t>
  </si>
  <si>
    <t>SACRAMENTO</t>
  </si>
  <si>
    <t>MILWAUKEE</t>
  </si>
  <si>
    <t>WASHINGTON</t>
  </si>
  <si>
    <t>MCALLEN</t>
  </si>
  <si>
    <t>SAINT PAUL</t>
  </si>
  <si>
    <t>DETROIT</t>
  </si>
  <si>
    <t>SAN JOSE</t>
  </si>
  <si>
    <t>PHOENIX</t>
  </si>
  <si>
    <t>BOISE</t>
  </si>
  <si>
    <t>FRESNO</t>
  </si>
  <si>
    <t>NUEVA YORK</t>
  </si>
  <si>
    <t>SAN FRANCISCO</t>
  </si>
  <si>
    <t>BOSTON</t>
  </si>
  <si>
    <t>BROWNSVILLE</t>
  </si>
  <si>
    <t>SEATTLE</t>
  </si>
  <si>
    <t>PORTLAND</t>
  </si>
  <si>
    <t>SALT LAKE CITY</t>
  </si>
  <si>
    <t>ALBUQUERQUE</t>
  </si>
  <si>
    <t>EL PASO</t>
  </si>
  <si>
    <t>OXNARD</t>
  </si>
  <si>
    <t>PRESIDIO</t>
  </si>
  <si>
    <t>LAREDO</t>
  </si>
  <si>
    <t>DEL RIO</t>
  </si>
  <si>
    <t>TUCSON</t>
  </si>
  <si>
    <t>CALEXICO</t>
  </si>
  <si>
    <t>EAGLE PASS</t>
  </si>
  <si>
    <t>NEW BRUNSWICK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</si>
  <si>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</si>
  <si>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</si>
  <si>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</si>
  <si>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</si>
  <si>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</si>
  <si>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</si>
  <si>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</si>
  <si>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</si>
  <si>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</si>
  <si>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</si>
  <si>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</si>
  <si>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</si>
  <si>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</si>
  <si>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</si>
  <si>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</si>
  <si>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</si>
  <si>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</si>
  <si>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</si>
  <si>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</si>
  <si>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</si>
  <si>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</si>
  <si>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</si>
  <si>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</si>
  <si>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</si>
  <si>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</si>
  <si>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</si>
  <si>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</si>
  <si>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</si>
  <si>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</si>
  <si>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</si>
  <si>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</si>
  <si>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</si>
  <si>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</si>
  <si>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</si>
  <si>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</si>
  <si>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</si>
  <si>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</si>
  <si>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</si>
  <si>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</si>
  <si>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</si>
  <si>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</si>
  <si>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</si>
  <si>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</si>
  <si>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</si>
  <si>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</si>
  <si>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</si>
  <si>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</si>
  <si>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</si>
  <si>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</si>
  <si>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</si>
  <si>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</si>
  <si>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</si>
  <si>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ALABAMA Total</t>
  </si>
  <si>
    <t>ALASKA Total</t>
  </si>
  <si>
    <t>ARIZONA Total</t>
  </si>
  <si>
    <t>ARKANSAS Total</t>
  </si>
  <si>
    <t>CALIFORNIA Total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</si>
  <si>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</si>
  <si>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</si>
  <si>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</si>
  <si>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</si>
  <si>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</si>
  <si>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</si>
  <si>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</si>
  <si>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</si>
  <si>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</si>
  <si>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</si>
  <si>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</si>
  <si>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</si>
  <si>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</si>
  <si>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</si>
  <si>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</si>
  <si>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</si>
  <si>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</si>
  <si>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</si>
  <si>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</si>
  <si>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</si>
  <si>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</si>
  <si>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</si>
  <si>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</si>
  <si>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</si>
  <si>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HAMPSHIRE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</si>
  <si>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</si>
  <si>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</si>
  <si>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</si>
  <si>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</si>
  <si>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</si>
  <si>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</si>
  <si>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</si>
  <si>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</si>
  <si>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</si>
  <si>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</si>
  <si>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</si>
  <si>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</si>
  <si>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</si>
  <si>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TEXAS Total</t>
  </si>
  <si>
    <t>UTAH Total</t>
  </si>
  <si>
    <t>VIRGINIA Total</t>
  </si>
  <si>
    <t>WASHINGTON Total</t>
  </si>
  <si>
    <t>WEST VIRGINIA Total</t>
  </si>
  <si>
    <t>WISCONSIN Total</t>
  </si>
  <si>
    <t>WYOMING Total</t>
  </si>
  <si>
    <t xml:space="preserve">  Matrículas consulares expedidas a originarios de Querétaro en el 2023</t>
  </si>
  <si>
    <t>AMEALCO DE BONFIL</t>
  </si>
  <si>
    <t>ARROYO SECO</t>
  </si>
  <si>
    <t>CADEREYTA DE MONTES</t>
  </si>
  <si>
    <t>CORREGIDORA</t>
  </si>
  <si>
    <t>HUIMILPAN</t>
  </si>
  <si>
    <t>JALPAN DE SERRA</t>
  </si>
  <si>
    <t>PINAL DE AMOLES</t>
  </si>
  <si>
    <t>QUERÉTARO</t>
  </si>
  <si>
    <t>SAN JOAQUÍN</t>
  </si>
  <si>
    <t>SAN JUAN DEL RÍO</t>
  </si>
  <si>
    <t>TEQUISQUIAPAN</t>
  </si>
  <si>
    <t>TOLIMÁN</t>
  </si>
  <si>
    <t>COLÓN</t>
  </si>
  <si>
    <t>EL MARQUÉS</t>
  </si>
  <si>
    <t>LANDA DE MATAMOROS</t>
  </si>
  <si>
    <t>PEDRO ESCOBEDO</t>
  </si>
  <si>
    <t>PEÑAMILLER</t>
  </si>
  <si>
    <t>EZEQUIEL MONTES</t>
  </si>
  <si>
    <t>NO SE REGISTRÓ EL MUNICIPIO/CONDADO/ALCALDÍA DE NACIMIENTO</t>
  </si>
  <si>
    <t>SAN PEDRO</t>
  </si>
  <si>
    <t>SAUCILLO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</si>
  <si>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</si>
  <si>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</si>
  <si>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</si>
  <si>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</si>
  <si>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</si>
  <si>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</si>
  <si>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</si>
  <si>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</si>
  <si>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</si>
  <si>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</si>
  <si>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</si>
  <si>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</si>
  <si>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</si>
  <si>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</si>
  <si>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</si>
  <si>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</si>
  <si>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</si>
  <si>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</si>
  <si>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</si>
  <si>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</si>
  <si>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</si>
  <si>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</si>
  <si>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</si>
  <si>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</si>
  <si>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</si>
  <si>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KINDERGARTEN Total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</si>
  <si>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</si>
  <si>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</si>
  <si>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</si>
  <si>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</si>
  <si>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</si>
  <si>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</si>
  <si>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</si>
  <si>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</si>
  <si>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</si>
  <si>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</si>
  <si>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CONSTRUCCIÓN, TRAB. DE LA IND. DE LA</t>
  </si>
  <si>
    <t>OBRERO(A)</t>
  </si>
  <si>
    <t>ALIMENTOS Y BEBIDAS, ESP. EN PREPARACIÓN DE</t>
  </si>
  <si>
    <t>JARDINERO(A)</t>
  </si>
  <si>
    <t>ESTUDIANTE</t>
  </si>
  <si>
    <t>AGROPECUARIA, TRAB. DE LA INDUSTRIA</t>
  </si>
  <si>
    <t>PINTOR(A)</t>
  </si>
  <si>
    <t>CARPINTERO/TAPICERO</t>
  </si>
  <si>
    <t>MESERO(A)</t>
  </si>
  <si>
    <t>LIMPIEZA, EMPLEADO DE</t>
  </si>
  <si>
    <t>TÉCNICO(A) EN MANTENIMIENTO</t>
  </si>
  <si>
    <t>MECÁNICO(A)</t>
  </si>
  <si>
    <t>SIN ESPECIFICAR</t>
  </si>
  <si>
    <t>EMPRESARIO(A)</t>
  </si>
  <si>
    <t>OPERARIO(A)</t>
  </si>
  <si>
    <t>DESEMPLEADO</t>
  </si>
  <si>
    <t>JUBILADO(A)/PENSIONADO(A)</t>
  </si>
  <si>
    <t>PROFESIONISTA</t>
  </si>
  <si>
    <t>CHOFER</t>
  </si>
  <si>
    <t>VENDEDOR(A)</t>
  </si>
  <si>
    <t>SOLDADOR</t>
  </si>
  <si>
    <t>CAJERO(A)/COBRADOR(A)</t>
  </si>
  <si>
    <t>BELLEZA, PROFESIONAL DE SERVICIOS DE</t>
  </si>
  <si>
    <t>CARNICERO(A)</t>
  </si>
  <si>
    <t>AEROCOMERCIAL, TRAB. DE LA INDUSTRIA</t>
  </si>
  <si>
    <t>EXTRACCIÓN, TRAB. DE LA INDUSTRIA DE LA</t>
  </si>
  <si>
    <t>GERENTE/DIRECTOR(A)</t>
  </si>
  <si>
    <t>TRABAJADOR(A) DOMÉSTICO(A)</t>
  </si>
  <si>
    <t>ADMINISTRADOR(A)/CONTADOR(A)</t>
  </si>
  <si>
    <t>ARTISTA INTERPRETATIVO(A)</t>
  </si>
  <si>
    <t>AUTOR(A)/PERIODISTA/TRADUCTOR(A)</t>
  </si>
  <si>
    <t>AUXILIARES ADMINISTRATIVOS Y DE OFICINA</t>
  </si>
  <si>
    <t>DISCAPACITADO</t>
  </si>
  <si>
    <t>ENFERMERO(A)/TRAB. DE APOYO EN SALUD</t>
  </si>
  <si>
    <t>FOTÓGRAFO(A)</t>
  </si>
  <si>
    <t>MARINERO</t>
  </si>
  <si>
    <t>MÉDICO(A) /ESP. EN SALUD</t>
  </si>
  <si>
    <t>OTRO</t>
  </si>
  <si>
    <t>TURISMO, SERV. RELACIONADOS CON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</si>
  <si>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</si>
  <si>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</si>
  <si>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</si>
  <si>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</si>
  <si>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</si>
  <si>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</si>
  <si>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</si>
  <si>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</si>
  <si>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</si>
  <si>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</si>
  <si>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</si>
  <si>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EAGLE PASS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</si>
  <si>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</si>
  <si>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</si>
  <si>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</si>
  <si>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</si>
  <si>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</si>
  <si>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</si>
  <si>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</si>
  <si>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</si>
  <si>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</si>
  <si>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</si>
  <si>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</si>
  <si>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</si>
  <si>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</si>
  <si>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</si>
  <si>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</si>
  <si>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</si>
  <si>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</si>
  <si>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</si>
  <si>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</si>
  <si>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</si>
  <si>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</si>
  <si>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</si>
  <si>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</si>
  <si>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</si>
  <si>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</si>
  <si>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</si>
  <si>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</si>
  <si>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</si>
  <si>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</si>
  <si>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</si>
  <si>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</si>
  <si>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</si>
  <si>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</si>
  <si>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</si>
  <si>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MATRÍCULAS CONSULARES EXPEDIDAS EN EE.UU. ORIGINARIOS DE QUERÉTARO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</si>
</sst>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  <font>
      <sz val="9"/>
      <color indexed="8"/>
      <name val="Montserrat"/>
    </font>
    <font>
      <sz val="11"/>
      <name val="Montserrat"/>
    </font>
    <font>
      <sz val="8"/>
      <color theme="1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2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0" fontId="23" fillId="3" borderId="0" xfId="0" applyFont="1" applyFill="1"/>
    <xf numFmtId="0" fontId="24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49" fontId="24" fillId="9" borderId="12" xfId="0" applyNumberFormat="1" applyFont="1" applyFill="1" applyBorder="1" applyAlignment="1">
      <alignment vertical="center" wrapText="1"/>
    </xf>
    <xf numFmtId="3" fontId="24" fillId="9" borderId="9" xfId="0" applyNumberFormat="1" applyFont="1" applyFill="1" applyBorder="1" applyAlignment="1">
      <alignment horizontal="right" vertical="center" wrapText="1"/>
    </xf>
    <xf numFmtId="164" fontId="24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49" fontId="6" fillId="10" borderId="13" xfId="0" applyNumberFormat="1" applyFont="1" applyFill="1" applyBorder="1" applyAlignment="1">
      <alignment vertical="center" wrapText="1"/>
    </xf>
    <xf numFmtId="49" fontId="6" fillId="10" borderId="12" xfId="0" applyNumberFormat="1" applyFont="1" applyFill="1" applyBorder="1" applyAlignment="1">
      <alignment vertical="center" wrapText="1"/>
    </xf>
    <xf numFmtId="49" fontId="6" fillId="4" borderId="9" xfId="0" applyNumberFormat="1" applyFont="1" applyFill="1" applyBorder="1" applyAlignment="1">
      <alignment vertical="top" wrapText="1"/>
    </xf>
    <xf numFmtId="165" fontId="6" fillId="4" borderId="9" xfId="0" applyNumberFormat="1" applyFont="1" applyFill="1" applyBorder="1" applyAlignment="1">
      <alignment horizontal="right" vertical="top" wrapText="1"/>
    </xf>
    <xf numFmtId="164" fontId="6" fillId="4" borderId="9" xfId="0" applyNumberFormat="1" applyFont="1" applyFill="1" applyBorder="1" applyAlignment="1">
      <alignment horizontal="right" vertical="top" wrapText="1"/>
    </xf>
    <xf numFmtId="3" fontId="24" fillId="11" borderId="9" xfId="0" applyNumberFormat="1" applyFont="1" applyFill="1" applyBorder="1" applyAlignment="1">
      <alignment horizontal="right" vertical="center" wrapText="1"/>
    </xf>
    <xf numFmtId="164" fontId="24" fillId="11" borderId="9" xfId="0" applyNumberFormat="1" applyFont="1" applyFill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3" fontId="1" fillId="3" borderId="0" xfId="0" applyNumberFormat="1" applyFont="1" applyFill="1"/>
    <xf numFmtId="0" fontId="1" fillId="3" borderId="0" xfId="0" applyFont="1" applyFill="1"/>
    <xf numFmtId="0" fontId="25" fillId="3" borderId="0" xfId="0" applyFont="1" applyFill="1" applyAlignment="1">
      <alignment vertical="top"/>
    </xf>
    <xf numFmtId="3" fontId="8" fillId="3" borderId="0" xfId="0" applyNumberFormat="1" applyFont="1" applyFill="1"/>
    <xf numFmtId="0" fontId="8" fillId="3" borderId="0" xfId="0" applyFont="1" applyFill="1"/>
    <xf numFmtId="0" fontId="26" fillId="3" borderId="0" xfId="0" applyFont="1" applyFill="1"/>
    <xf numFmtId="0" fontId="16" fillId="2" borderId="9" xfId="3" applyFont="1" applyFill="1" applyBorder="1" applyAlignment="1">
      <alignment horizontal="center" vertical="center" wrapText="1"/>
    </xf>
    <xf numFmtId="0" fontId="6" fillId="2" borderId="9" xfId="3" applyFont="1" applyFill="1" applyBorder="1" applyAlignment="1">
      <alignment horizontal="center" vertical="center" wrapText="1"/>
    </xf>
    <xf numFmtId="1" fontId="16" fillId="2" borderId="9" xfId="3" applyNumberFormat="1" applyFont="1" applyFill="1" applyBorder="1" applyAlignment="1">
      <alignment horizontal="center" vertical="center" wrapText="1"/>
    </xf>
    <xf numFmtId="165" fontId="7" fillId="3" borderId="9" xfId="0" applyNumberFormat="1" applyFont="1" applyFill="1" applyBorder="1" applyAlignment="1">
      <alignment horizontal="right" vertical="center" wrapText="1"/>
    </xf>
    <xf numFmtId="49" fontId="6" fillId="5" borderId="9" xfId="2" applyNumberFormat="1" applyFont="1" applyFill="1" applyBorder="1" applyAlignment="1">
      <alignment vertical="center" wrapText="1"/>
    </xf>
    <xf numFmtId="165" fontId="6" fillId="5" borderId="9" xfId="2" applyNumberFormat="1" applyFont="1" applyFill="1" applyBorder="1" applyAlignment="1">
      <alignment horizontal="right" vertical="center" wrapText="1"/>
    </xf>
    <xf numFmtId="164" fontId="6" fillId="5" borderId="9" xfId="2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vertical="center" wrapText="1"/>
    </xf>
    <xf numFmtId="164" fontId="6" fillId="10" borderId="9" xfId="0" applyNumberFormat="1" applyFont="1" applyFill="1" applyBorder="1" applyAlignment="1">
      <alignment horizontal="right" vertical="center" wrapText="1"/>
    </xf>
    <xf numFmtId="0" fontId="27" fillId="0" borderId="0" xfId="0" applyFont="1"/>
    <xf numFmtId="0" fontId="27" fillId="3" borderId="0" xfId="0" applyFont="1" applyFill="1"/>
    <xf numFmtId="3" fontId="27" fillId="3" borderId="0" xfId="0" applyNumberFormat="1" applyFont="1" applyFill="1"/>
    <xf numFmtId="49" fontId="24" fillId="11" borderId="9" xfId="0" applyNumberFormat="1" applyFont="1" applyFill="1" applyBorder="1" applyAlignment="1">
      <alignment vertical="center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2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10" borderId="9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center" vertical="center" wrapText="1"/>
    </xf>
    <xf numFmtId="49" fontId="24" fillId="8" borderId="9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4" fillId="8" borderId="13" xfId="0" applyNumberFormat="1" applyFont="1" applyFill="1" applyBorder="1" applyAlignment="1">
      <alignment horizontal="center" vertical="center" wrapText="1"/>
    </xf>
    <xf numFmtId="49" fontId="24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362666</xdr:colOff>
      <xdr:row>1</xdr:row>
      <xdr:rowOff>180667</xdr:rowOff>
    </xdr:from>
    <xdr:to>
      <xdr:col>3</xdr:col>
      <xdr:colOff>874763</xdr:colOff>
      <xdr:row>2</xdr:row>
      <xdr:rowOff>180667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48816" y="7140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281609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6138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161235</xdr:colOff>
      <xdr:row>7</xdr:row>
      <xdr:rowOff>142875</xdr:rowOff>
    </xdr:from>
    <xdr:to>
      <xdr:col>5</xdr:col>
      <xdr:colOff>54207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5428974" y="1683440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0</xdr:row>
      <xdr:rowOff>180975</xdr:rowOff>
    </xdr:from>
    <xdr:to>
      <xdr:col>1</xdr:col>
      <xdr:colOff>400609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CDBFC94-EDEA-464F-8115-8EA86484B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198783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806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1067767</xdr:colOff>
      <xdr:row>1</xdr:row>
      <xdr:rowOff>146878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0158" y="340139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004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0</xdr:row>
      <xdr:rowOff>161925</xdr:rowOff>
    </xdr:from>
    <xdr:to>
      <xdr:col>1</xdr:col>
      <xdr:colOff>429184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6F9E6D5-5178-46E4-B2A4-28F80A085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133350</xdr:rowOff>
    </xdr:from>
    <xdr:to>
      <xdr:col>5</xdr:col>
      <xdr:colOff>112047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670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0</xdr:rowOff>
    </xdr:from>
    <xdr:to>
      <xdr:col>1</xdr:col>
      <xdr:colOff>391084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41E7761-675E-4D82-83B8-EFE2F60FA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165653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604989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1067767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26245" y="345661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235088</xdr:colOff>
      <xdr:row>7</xdr:row>
      <xdr:rowOff>104775</xdr:rowOff>
    </xdr:from>
    <xdr:to>
      <xdr:col>5</xdr:col>
      <xdr:colOff>128060</xdr:colOff>
      <xdr:row>8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530436" y="1645340"/>
          <a:ext cx="539015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161925</xdr:colOff>
      <xdr:row>1</xdr:row>
      <xdr:rowOff>28575</xdr:rowOff>
    </xdr:from>
    <xdr:to>
      <xdr:col>1</xdr:col>
      <xdr:colOff>467284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7842B02-D7C3-4AE4-B342-8B81A551E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QUERÉTARO POR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131379</xdr:rowOff>
    </xdr:from>
    <xdr:to>
      <xdr:col>4</xdr:col>
      <xdr:colOff>1031045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56638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142875</xdr:rowOff>
    </xdr:from>
    <xdr:to>
      <xdr:col>1</xdr:col>
      <xdr:colOff>991159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E5BF6C6-235D-4DB9-83BB-08B05FAEB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QUERÉTARO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111672</xdr:rowOff>
    </xdr:from>
    <xdr:to>
      <xdr:col>4</xdr:col>
      <xdr:colOff>1031045</xdr:colOff>
      <xdr:row>7</xdr:row>
      <xdr:rowOff>296027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56638" y="185244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123825</xdr:colOff>
      <xdr:row>1</xdr:row>
      <xdr:rowOff>9525</xdr:rowOff>
    </xdr:from>
    <xdr:to>
      <xdr:col>1</xdr:col>
      <xdr:colOff>1048309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5CE417F-684C-454C-A95E-7698F28D5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110435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348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946289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8159" y="345661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132245</xdr:colOff>
      <xdr:row>7</xdr:row>
      <xdr:rowOff>111815</xdr:rowOff>
    </xdr:from>
    <xdr:to>
      <xdr:col>5</xdr:col>
      <xdr:colOff>25217</xdr:colOff>
      <xdr:row>8</xdr:row>
      <xdr:rowOff>105670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780984" y="1652380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161925</xdr:colOff>
      <xdr:row>1</xdr:row>
      <xdr:rowOff>0</xdr:rowOff>
    </xdr:from>
    <xdr:to>
      <xdr:col>1</xdr:col>
      <xdr:colOff>467284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CC34FCE-5713-4CB0-8BCF-888CF61854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QUERÉTARO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592408</xdr:colOff>
      <xdr:row>7</xdr:row>
      <xdr:rowOff>127774</xdr:rowOff>
    </xdr:from>
    <xdr:to>
      <xdr:col>4</xdr:col>
      <xdr:colOff>1104505</xdr:colOff>
      <xdr:row>7</xdr:row>
      <xdr:rowOff>312129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227134" y="185853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142875</xdr:rowOff>
    </xdr:from>
    <xdr:to>
      <xdr:col>1</xdr:col>
      <xdr:colOff>991159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9BA2C02-0DD9-44CE-B9DC-E7391C977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QUERÉTARO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495689</xdr:colOff>
      <xdr:row>7</xdr:row>
      <xdr:rowOff>136072</xdr:rowOff>
    </xdr:from>
    <xdr:to>
      <xdr:col>4</xdr:col>
      <xdr:colOff>1007786</xdr:colOff>
      <xdr:row>7</xdr:row>
      <xdr:rowOff>320427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41556" y="18855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142875</xdr:rowOff>
    </xdr:from>
    <xdr:to>
      <xdr:col>1</xdr:col>
      <xdr:colOff>981634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2BF29E6-1ED0-4D29-9332-B5BC91A9A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259522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3261"/>
          <a:ext cx="5486675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482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1</xdr:col>
      <xdr:colOff>391084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23CF121-C553-4D20-8FA3-4DF6F1C28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839736</xdr:colOff>
      <xdr:row>8</xdr:row>
      <xdr:rowOff>171590</xdr:rowOff>
    </xdr:from>
    <xdr:to>
      <xdr:col>5</xdr:col>
      <xdr:colOff>276519</xdr:colOff>
      <xdr:row>9</xdr:row>
      <xdr:rowOff>167538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/>
      </xdr:nvSpPr>
      <xdr:spPr>
        <a:xfrm>
          <a:off x="5932436" y="1695590"/>
          <a:ext cx="535333" cy="1864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123825</xdr:rowOff>
    </xdr:from>
    <xdr:to>
      <xdr:col>1</xdr:col>
      <xdr:colOff>962584</xdr:colOff>
      <xdr:row>3</xdr:row>
      <xdr:rowOff>314324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3829008-0FA5-4DCB-A301-2861DF803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757186</xdr:colOff>
      <xdr:row>8</xdr:row>
      <xdr:rowOff>171590</xdr:rowOff>
    </xdr:from>
    <xdr:to>
      <xdr:col>5</xdr:col>
      <xdr:colOff>193969</xdr:colOff>
      <xdr:row>9</xdr:row>
      <xdr:rowOff>167538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849886" y="1695590"/>
          <a:ext cx="535333" cy="1864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85725</xdr:rowOff>
    </xdr:from>
    <xdr:to>
      <xdr:col>1</xdr:col>
      <xdr:colOff>991159</xdr:colOff>
      <xdr:row>3</xdr:row>
      <xdr:rowOff>276224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503DD24-8D99-465B-8702-1CE6E1AE9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85725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580153</xdr:colOff>
      <xdr:row>9</xdr:row>
      <xdr:rowOff>66222</xdr:rowOff>
    </xdr:from>
    <xdr:to>
      <xdr:col>5</xdr:col>
      <xdr:colOff>1092250</xdr:colOff>
      <xdr:row>10</xdr:row>
      <xdr:rowOff>62170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638053" y="1780722"/>
          <a:ext cx="512097" cy="1864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95250</xdr:rowOff>
    </xdr:from>
    <xdr:to>
      <xdr:col>1</xdr:col>
      <xdr:colOff>1010209</xdr:colOff>
      <xdr:row>3</xdr:row>
      <xdr:rowOff>285749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1B95967-8086-45A8-868E-FC72D289A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9525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4</xdr:col>
      <xdr:colOff>585305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2" y="193261"/>
          <a:ext cx="661863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QUERÉTARO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764072</xdr:colOff>
      <xdr:row>1</xdr:row>
      <xdr:rowOff>130312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7681" y="323573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1219614</xdr:colOff>
      <xdr:row>8</xdr:row>
      <xdr:rowOff>72611</xdr:rowOff>
    </xdr:from>
    <xdr:to>
      <xdr:col>4</xdr:col>
      <xdr:colOff>521761</xdr:colOff>
      <xdr:row>8</xdr:row>
      <xdr:rowOff>259727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73223" y="1806437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0</xdr:rowOff>
    </xdr:from>
    <xdr:to>
      <xdr:col>1</xdr:col>
      <xdr:colOff>429184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1E60BF0-8D8A-4456-B386-5B7592183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Normal="100" zoomScaleSheetLayoutView="100" workbookViewId="0">
      <selection activeCell="D5" sqref="D5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99" t="s">
        <v>201</v>
      </c>
      <c r="B1" s="100"/>
      <c r="C1" s="100"/>
      <c r="D1" s="101"/>
    </row>
    <row r="2" spans="1:4">
      <c r="A2" s="2"/>
      <c r="B2" s="3"/>
      <c r="C2" s="3"/>
      <c r="D2" s="4"/>
    </row>
    <row r="3" spans="1:4">
      <c r="A3" s="102" t="s">
        <v>0</v>
      </c>
      <c r="B3" s="103"/>
      <c r="C3" s="103"/>
      <c r="D3" s="104"/>
    </row>
    <row r="4" spans="1:4">
      <c r="A4" s="102"/>
      <c r="B4" s="103"/>
      <c r="C4" s="103"/>
      <c r="D4" s="104"/>
    </row>
    <row r="5" spans="1:4">
      <c r="A5" s="5"/>
      <c r="B5" s="6"/>
      <c r="C5" s="6"/>
      <c r="D5" s="7"/>
    </row>
    <row r="6" spans="1:4" ht="18.5">
      <c r="A6" s="97" t="s">
        <v>1</v>
      </c>
      <c r="B6" s="98"/>
      <c r="C6" s="98"/>
      <c r="D6" s="105"/>
    </row>
    <row r="7" spans="1:4">
      <c r="A7" s="8"/>
      <c r="D7" s="9"/>
    </row>
    <row r="8" spans="1:4" ht="18.5">
      <c r="A8" s="97" t="s">
        <v>2</v>
      </c>
      <c r="B8" s="98"/>
      <c r="C8" s="98"/>
      <c r="D8" s="105"/>
    </row>
    <row r="9" spans="1:4" ht="18.5">
      <c r="A9" s="8"/>
      <c r="B9" s="97" t="s">
        <v>3</v>
      </c>
      <c r="C9" s="98"/>
      <c r="D9" s="98"/>
    </row>
    <row r="10" spans="1:4">
      <c r="A10" s="8"/>
      <c r="D10" s="9"/>
    </row>
    <row r="11" spans="1:4" ht="18.5">
      <c r="A11" s="53" t="s">
        <v>4</v>
      </c>
      <c r="D11" s="9"/>
    </row>
    <row r="12" spans="1:4" ht="18.5">
      <c r="A12" s="8"/>
      <c r="B12" s="97" t="s">
        <v>5</v>
      </c>
      <c r="C12" s="98"/>
      <c r="D12" s="98"/>
    </row>
    <row r="13" spans="1:4" ht="18.5">
      <c r="A13" s="8"/>
      <c r="B13" s="97" t="s">
        <v>6</v>
      </c>
      <c r="C13" s="98"/>
      <c r="D13" s="98"/>
    </row>
    <row r="14" spans="1:4" ht="18.5">
      <c r="A14" s="8"/>
      <c r="B14" s="97" t="s">
        <v>7</v>
      </c>
      <c r="C14" s="98"/>
      <c r="D14" s="98"/>
    </row>
    <row r="15" spans="1:4">
      <c r="A15" s="8"/>
      <c r="D15" s="9"/>
    </row>
    <row r="16" spans="1:4" ht="18.5">
      <c r="A16" s="53" t="s">
        <v>8</v>
      </c>
      <c r="D16" s="9"/>
    </row>
    <row r="17" spans="1:4" ht="18.5">
      <c r="A17" s="8"/>
      <c r="B17" s="97" t="s">
        <v>9</v>
      </c>
      <c r="C17" s="98"/>
      <c r="D17" s="98"/>
    </row>
    <row r="18" spans="1:4" ht="18.5">
      <c r="A18" s="8"/>
      <c r="B18" s="97" t="s">
        <v>10</v>
      </c>
      <c r="C18" s="98"/>
      <c r="D18" s="98"/>
    </row>
    <row r="19" spans="1:4" ht="18.5">
      <c r="A19" s="8"/>
      <c r="B19" s="97" t="s">
        <v>11</v>
      </c>
      <c r="C19" s="98"/>
      <c r="D19" s="98"/>
    </row>
    <row r="20" spans="1:4">
      <c r="A20" s="8"/>
      <c r="D20" s="9"/>
    </row>
    <row r="21" spans="1:4" ht="18.5">
      <c r="A21" s="53" t="s">
        <v>12</v>
      </c>
      <c r="D21" s="9"/>
    </row>
    <row r="22" spans="1:4" ht="18.5">
      <c r="A22" s="8"/>
      <c r="B22" s="97" t="s">
        <v>13</v>
      </c>
      <c r="C22" s="98"/>
      <c r="D22" s="98"/>
    </row>
    <row r="23" spans="1:4" ht="18.5">
      <c r="A23" s="8"/>
      <c r="B23" s="97" t="s">
        <v>14</v>
      </c>
      <c r="C23" s="98"/>
      <c r="D23" s="98"/>
    </row>
    <row r="24" spans="1:4" ht="18.5">
      <c r="A24" s="8"/>
      <c r="B24" s="97" t="s">
        <v>36</v>
      </c>
      <c r="C24" s="98"/>
      <c r="D24" s="98"/>
    </row>
    <row r="25" spans="1:4">
      <c r="A25" s="8"/>
      <c r="D25" s="9"/>
    </row>
    <row r="26" spans="1:4" ht="18.5">
      <c r="A26" s="97" t="s">
        <v>15</v>
      </c>
      <c r="B26" s="98"/>
      <c r="C26" s="98"/>
      <c r="D26" s="105"/>
    </row>
    <row r="27" spans="1:4">
      <c r="A27" s="8"/>
      <c r="D27" s="9"/>
    </row>
    <row r="28" spans="1:4" ht="18.5">
      <c r="A28" s="97" t="s">
        <v>16</v>
      </c>
      <c r="B28" s="98"/>
      <c r="C28" s="98"/>
      <c r="D28" s="105"/>
    </row>
    <row r="29" spans="1:4" ht="17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Querétaro_USAMuni!A1" display="3.2 Por Estado de USA" xr:uid="{00000000-0004-0000-0000-00000D000000}"/>
    <hyperlink ref="A8:D8" location="Querétaro_Cons!A1" display="2. Por Circunscripción Consular" xr:uid="{00000000-0004-0000-0000-00000E000000}"/>
    <hyperlink ref="B9:D9" location="QuerétaroXCons!A1" display="2.1 Top ten por circunscripción consular" xr:uid="{00000000-0004-0000-0000-00000F000000}"/>
    <hyperlink ref="A6:D6" location="Querétaro_EdoUsa!A1" display="1. Por Estados de USA" xr:uid="{00000000-0004-0000-0000-000010000000}"/>
    <hyperlink ref="B12:D12" location="Querétaro_EdoMun!A1" display="3.1 Municipio general" xr:uid="{00000000-0004-0000-0000-000011000000}"/>
    <hyperlink ref="B14:D14" location="Querétaro_MUNICIPIO!A1" display="3.3 Por Circunscripción Consular" xr:uid="{00000000-0004-0000-0000-000012000000}"/>
    <hyperlink ref="B17:D17" location="Querétaro_educ_gral!A1" display="4.1 Educación general" xr:uid="{00000000-0004-0000-0000-000013000000}"/>
    <hyperlink ref="B18:D18" location="Querétaro_NivelE_Cons!A1" display="4.2 Por Estado de USA" xr:uid="{00000000-0004-0000-0000-000014000000}"/>
    <hyperlink ref="B19:D19" location="Querétaro_EducCons!A1" display="4.3 Por Circunscripción Consular" xr:uid="{00000000-0004-0000-0000-000015000000}"/>
    <hyperlink ref="B22:D22" location="Querétaro_GenGral!A1" display="5.1 Género General" xr:uid="{00000000-0004-0000-0000-000016000000}"/>
    <hyperlink ref="B23:D23" location="Querétaro_GENERO!A1" display="5.2 Por Circunscripción Consular" xr:uid="{00000000-0004-0000-0000-000017000000}"/>
    <hyperlink ref="A26:D26" location="Querétaro_Gen_Edad!A1" display="6. Por estructura de Edad" xr:uid="{00000000-0004-0000-0000-000018000000}"/>
    <hyperlink ref="A28:D28" location="Querétaro_ocup_gral!A1" display="7. Por Ocupación" xr:uid="{00000000-0004-0000-0000-000019000000}"/>
    <hyperlink ref="B24" location="Querétar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E69"/>
  <sheetViews>
    <sheetView showGridLines="0" view="pageBreakPreview" topLeftCell="A52" zoomScale="115" zoomScaleNormal="100" zoomScaleSheetLayoutView="115" workbookViewId="0">
      <selection activeCell="C68" sqref="C68"/>
    </sheetView>
  </sheetViews>
  <sheetFormatPr baseColWidth="10" defaultColWidth="11.453125" defaultRowHeight="14.5"/>
  <cols>
    <col min="1" max="1" width="9.26953125" style="13" customWidth="1"/>
    <col min="2" max="2" width="30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81640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106" t="s">
        <v>43</v>
      </c>
      <c r="C7" s="106"/>
      <c r="D7" s="106"/>
    </row>
    <row r="8" spans="2:5" s="25" customFormat="1" ht="15" customHeight="1">
      <c r="B8" s="106"/>
      <c r="C8" s="106"/>
      <c r="D8" s="106"/>
    </row>
    <row r="9" spans="2:5" s="25" customFormat="1" ht="33" customHeight="1">
      <c r="B9" s="106"/>
      <c r="C9" s="106"/>
      <c r="D9" s="106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21</v>
      </c>
      <c r="C11" s="27" t="s">
        <v>20</v>
      </c>
      <c r="D11" s="26" t="s">
        <v>19</v>
      </c>
    </row>
    <row r="12" spans="2:5">
      <c r="B12" s="23" t="s">
        <v>99</v>
      </c>
      <c r="C12" s="22">
        <v>91</v>
      </c>
      <c r="D12" s="21">
        <v>9.5078884129140007E-3</v>
      </c>
    </row>
    <row r="13" spans="2:5">
      <c r="B13" s="23" t="s">
        <v>100</v>
      </c>
      <c r="C13" s="22">
        <v>1</v>
      </c>
      <c r="D13" s="21">
        <v>1.04482290252E-4</v>
      </c>
      <c r="E13" s="24"/>
    </row>
    <row r="14" spans="2:5">
      <c r="B14" s="23" t="s">
        <v>101</v>
      </c>
      <c r="C14" s="22">
        <v>81</v>
      </c>
      <c r="D14" s="21">
        <v>8.4630655103960003E-3</v>
      </c>
      <c r="E14" s="24"/>
    </row>
    <row r="15" spans="2:5">
      <c r="B15" s="23" t="s">
        <v>102</v>
      </c>
      <c r="C15" s="22">
        <v>198</v>
      </c>
      <c r="D15" s="21">
        <v>2.0687493469856998E-2</v>
      </c>
    </row>
    <row r="16" spans="2:5">
      <c r="B16" s="23" t="s">
        <v>103</v>
      </c>
      <c r="C16" s="22">
        <v>1630</v>
      </c>
      <c r="D16" s="21">
        <v>0.17030613311043799</v>
      </c>
    </row>
    <row r="17" spans="2:4">
      <c r="B17" s="23" t="s">
        <v>104</v>
      </c>
      <c r="C17" s="22">
        <v>134</v>
      </c>
      <c r="D17" s="21">
        <v>1.4000626893741999E-2</v>
      </c>
    </row>
    <row r="18" spans="2:4">
      <c r="B18" s="23" t="s">
        <v>105</v>
      </c>
      <c r="C18" s="22">
        <v>16</v>
      </c>
      <c r="D18" s="21">
        <v>1.671716644029E-3</v>
      </c>
    </row>
    <row r="19" spans="2:4">
      <c r="B19" s="23" t="s">
        <v>106</v>
      </c>
      <c r="C19" s="22">
        <v>5</v>
      </c>
      <c r="D19" s="21">
        <v>5.2241145125899997E-4</v>
      </c>
    </row>
    <row r="20" spans="2:4">
      <c r="B20" s="23" t="s">
        <v>107</v>
      </c>
      <c r="C20" s="22">
        <v>1</v>
      </c>
      <c r="D20" s="21">
        <v>1.04482290252E-4</v>
      </c>
    </row>
    <row r="21" spans="2:4">
      <c r="B21" s="23" t="s">
        <v>108</v>
      </c>
      <c r="C21" s="22">
        <v>740</v>
      </c>
      <c r="D21" s="21">
        <v>7.7316894786333995E-2</v>
      </c>
    </row>
    <row r="22" spans="2:4">
      <c r="B22" s="23" t="s">
        <v>109</v>
      </c>
      <c r="C22" s="22">
        <v>353</v>
      </c>
      <c r="D22" s="21">
        <v>3.6882248458885998E-2</v>
      </c>
    </row>
    <row r="23" spans="2:4">
      <c r="B23" s="23" t="s">
        <v>110</v>
      </c>
      <c r="C23" s="22">
        <v>3</v>
      </c>
      <c r="D23" s="21">
        <v>3.13446870755E-4</v>
      </c>
    </row>
    <row r="24" spans="2:4">
      <c r="B24" s="23" t="s">
        <v>111</v>
      </c>
      <c r="C24" s="22">
        <v>65</v>
      </c>
      <c r="D24" s="21">
        <v>6.7913488663669998E-3</v>
      </c>
    </row>
    <row r="25" spans="2:4">
      <c r="B25" s="23" t="s">
        <v>112</v>
      </c>
      <c r="C25" s="22">
        <v>247</v>
      </c>
      <c r="D25" s="21">
        <v>2.5807125692194999E-2</v>
      </c>
    </row>
    <row r="26" spans="2:4">
      <c r="B26" s="23" t="s">
        <v>113</v>
      </c>
      <c r="C26" s="22">
        <v>170</v>
      </c>
      <c r="D26" s="21">
        <v>1.7761989342806001E-2</v>
      </c>
    </row>
    <row r="27" spans="2:4">
      <c r="B27" s="23" t="s">
        <v>114</v>
      </c>
      <c r="C27" s="22">
        <v>27</v>
      </c>
      <c r="D27" s="21">
        <v>2.8210218367989998E-3</v>
      </c>
    </row>
    <row r="28" spans="2:4">
      <c r="B28" s="23" t="s">
        <v>115</v>
      </c>
      <c r="C28" s="22">
        <v>51</v>
      </c>
      <c r="D28" s="21">
        <v>5.328596802842E-3</v>
      </c>
    </row>
    <row r="29" spans="2:4">
      <c r="B29" s="23" t="s">
        <v>116</v>
      </c>
      <c r="C29" s="22">
        <v>44</v>
      </c>
      <c r="D29" s="21">
        <v>4.5972207710790001E-3</v>
      </c>
    </row>
    <row r="30" spans="2:4">
      <c r="B30" s="23" t="s">
        <v>117</v>
      </c>
      <c r="C30" s="22">
        <v>105</v>
      </c>
      <c r="D30" s="21">
        <v>1.0970640476439E-2</v>
      </c>
    </row>
    <row r="31" spans="2:4">
      <c r="B31" s="23" t="s">
        <v>118</v>
      </c>
      <c r="C31" s="22">
        <v>10</v>
      </c>
      <c r="D31" s="21">
        <v>1.0448229025179999E-3</v>
      </c>
    </row>
    <row r="32" spans="2:4">
      <c r="B32" s="23" t="s">
        <v>119</v>
      </c>
      <c r="C32" s="22">
        <v>8</v>
      </c>
      <c r="D32" s="21">
        <v>8.3585832201399997E-4</v>
      </c>
    </row>
    <row r="33" spans="2:4">
      <c r="B33" s="23" t="s">
        <v>120</v>
      </c>
      <c r="C33" s="22">
        <v>27</v>
      </c>
      <c r="D33" s="21">
        <v>2.8210218367989998E-3</v>
      </c>
    </row>
    <row r="34" spans="2:4">
      <c r="B34" s="23" t="s">
        <v>121</v>
      </c>
      <c r="C34" s="22">
        <v>46</v>
      </c>
      <c r="D34" s="21">
        <v>4.8061853515829998E-3</v>
      </c>
    </row>
    <row r="35" spans="2:4">
      <c r="B35" s="23" t="s">
        <v>122</v>
      </c>
      <c r="C35" s="22">
        <v>70</v>
      </c>
      <c r="D35" s="21">
        <v>7.313760317626E-3</v>
      </c>
    </row>
    <row r="36" spans="2:4">
      <c r="B36" s="23" t="s">
        <v>123</v>
      </c>
      <c r="C36" s="22">
        <v>86</v>
      </c>
      <c r="D36" s="21">
        <v>8.9854769616549996E-3</v>
      </c>
    </row>
    <row r="37" spans="2:4">
      <c r="B37" s="23" t="s">
        <v>124</v>
      </c>
      <c r="C37" s="22">
        <v>70</v>
      </c>
      <c r="D37" s="21">
        <v>7.313760317626E-3</v>
      </c>
    </row>
    <row r="38" spans="2:4">
      <c r="B38" s="23" t="s">
        <v>125</v>
      </c>
      <c r="C38" s="22">
        <v>9</v>
      </c>
      <c r="D38" s="21">
        <v>9.4034061226599996E-4</v>
      </c>
    </row>
    <row r="39" spans="2:4">
      <c r="B39" s="23" t="s">
        <v>126</v>
      </c>
      <c r="C39" s="22">
        <v>99</v>
      </c>
      <c r="D39" s="21">
        <v>1.0343746734928E-2</v>
      </c>
    </row>
    <row r="40" spans="2:4">
      <c r="B40" s="23" t="s">
        <v>127</v>
      </c>
      <c r="C40" s="22">
        <v>153</v>
      </c>
      <c r="D40" s="21">
        <v>1.5985790408526001E-2</v>
      </c>
    </row>
    <row r="41" spans="2:4">
      <c r="B41" s="23" t="s">
        <v>128</v>
      </c>
      <c r="C41" s="22">
        <v>10</v>
      </c>
      <c r="D41" s="21">
        <v>1.0448229025179999E-3</v>
      </c>
    </row>
    <row r="42" spans="2:4">
      <c r="B42" s="23" t="s">
        <v>129</v>
      </c>
      <c r="C42" s="22">
        <v>40</v>
      </c>
      <c r="D42" s="21">
        <v>4.1792916100719998E-3</v>
      </c>
    </row>
    <row r="43" spans="2:4">
      <c r="B43" s="23" t="s">
        <v>130</v>
      </c>
      <c r="C43" s="22">
        <v>28</v>
      </c>
      <c r="D43" s="21">
        <v>2.9255041270500001E-3</v>
      </c>
    </row>
    <row r="44" spans="2:4">
      <c r="B44" s="23" t="s">
        <v>131</v>
      </c>
      <c r="C44" s="22">
        <v>42</v>
      </c>
      <c r="D44" s="21">
        <v>4.3882561905760004E-3</v>
      </c>
    </row>
    <row r="45" spans="2:4">
      <c r="B45" s="23" t="s">
        <v>132</v>
      </c>
      <c r="C45" s="22">
        <v>401</v>
      </c>
      <c r="D45" s="21">
        <v>4.1897398390972999E-2</v>
      </c>
    </row>
    <row r="46" spans="2:4">
      <c r="B46" s="23" t="s">
        <v>133</v>
      </c>
      <c r="C46" s="22">
        <v>13</v>
      </c>
      <c r="D46" s="21">
        <v>1.3582697732729999E-3</v>
      </c>
    </row>
    <row r="47" spans="2:4">
      <c r="B47" s="23" t="s">
        <v>134</v>
      </c>
      <c r="C47" s="22">
        <v>51</v>
      </c>
      <c r="D47" s="21">
        <v>5.328596802842E-3</v>
      </c>
    </row>
    <row r="48" spans="2:4">
      <c r="B48" s="23" t="s">
        <v>135</v>
      </c>
      <c r="C48" s="22">
        <v>189</v>
      </c>
      <c r="D48" s="21">
        <v>1.9747152857590999E-2</v>
      </c>
    </row>
    <row r="49" spans="2:4">
      <c r="B49" s="23" t="s">
        <v>136</v>
      </c>
      <c r="C49" s="22">
        <v>31</v>
      </c>
      <c r="D49" s="21">
        <v>3.2389509978060001E-3</v>
      </c>
    </row>
    <row r="50" spans="2:4">
      <c r="B50" s="23" t="s">
        <v>137</v>
      </c>
      <c r="C50" s="22">
        <v>84</v>
      </c>
      <c r="D50" s="21">
        <v>8.7765123811509999E-3</v>
      </c>
    </row>
    <row r="51" spans="2:4">
      <c r="B51" s="23" t="s">
        <v>138</v>
      </c>
      <c r="C51" s="22">
        <v>3</v>
      </c>
      <c r="D51" s="21">
        <v>3.13446870755E-4</v>
      </c>
    </row>
    <row r="52" spans="2:4">
      <c r="B52" s="23" t="s">
        <v>139</v>
      </c>
      <c r="C52" s="22">
        <v>237</v>
      </c>
      <c r="D52" s="21">
        <v>2.4762302789677001E-2</v>
      </c>
    </row>
    <row r="53" spans="2:4">
      <c r="B53" s="23" t="s">
        <v>140</v>
      </c>
      <c r="C53" s="22">
        <v>5</v>
      </c>
      <c r="D53" s="21">
        <v>5.2241145125899997E-4</v>
      </c>
    </row>
    <row r="54" spans="2:4">
      <c r="B54" s="23" t="s">
        <v>141</v>
      </c>
      <c r="C54" s="22">
        <v>233</v>
      </c>
      <c r="D54" s="21">
        <v>2.434437362867E-2</v>
      </c>
    </row>
    <row r="55" spans="2:4">
      <c r="B55" s="23" t="s">
        <v>142</v>
      </c>
      <c r="C55" s="22">
        <v>3333</v>
      </c>
      <c r="D55" s="21">
        <v>0.34823947340925698</v>
      </c>
    </row>
    <row r="56" spans="2:4">
      <c r="B56" s="23" t="s">
        <v>143</v>
      </c>
      <c r="C56" s="22">
        <v>45</v>
      </c>
      <c r="D56" s="21">
        <v>4.701703061331E-3</v>
      </c>
    </row>
    <row r="57" spans="2:4">
      <c r="B57" s="23" t="s">
        <v>144</v>
      </c>
      <c r="C57" s="22">
        <v>2</v>
      </c>
      <c r="D57" s="21">
        <v>2.08964580504E-4</v>
      </c>
    </row>
    <row r="58" spans="2:4">
      <c r="B58" s="23" t="s">
        <v>145</v>
      </c>
      <c r="C58" s="22">
        <v>95</v>
      </c>
      <c r="D58" s="21">
        <v>9.9258175739209992E-3</v>
      </c>
    </row>
    <row r="59" spans="2:4">
      <c r="B59" s="23" t="s">
        <v>74</v>
      </c>
      <c r="C59" s="22">
        <v>75</v>
      </c>
      <c r="D59" s="21">
        <v>7.8361717688850002E-3</v>
      </c>
    </row>
    <row r="60" spans="2:4">
      <c r="B60" s="23" t="s">
        <v>146</v>
      </c>
      <c r="C60" s="22">
        <v>4</v>
      </c>
      <c r="D60" s="21">
        <v>4.1792916100699999E-4</v>
      </c>
    </row>
    <row r="61" spans="2:4">
      <c r="B61" s="23" t="s">
        <v>147</v>
      </c>
      <c r="C61" s="22">
        <v>106</v>
      </c>
      <c r="D61" s="21">
        <v>1.1075122766691E-2</v>
      </c>
    </row>
    <row r="62" spans="2:4">
      <c r="B62" s="23" t="s">
        <v>148</v>
      </c>
      <c r="C62" s="22">
        <v>4</v>
      </c>
      <c r="D62" s="21">
        <v>4.1792916100699999E-4</v>
      </c>
    </row>
    <row r="63" spans="2:4">
      <c r="B63" s="20" t="s">
        <v>29</v>
      </c>
      <c r="C63" s="19">
        <v>9571</v>
      </c>
      <c r="D63" s="18">
        <v>1</v>
      </c>
    </row>
    <row r="64" spans="2:4" ht="14.5" customHeight="1">
      <c r="B64" s="17"/>
    </row>
    <row r="65" spans="2:2" ht="14.5" customHeight="1">
      <c r="B65" s="15" t="s">
        <v>47</v>
      </c>
    </row>
    <row r="66" spans="2:2" ht="14.5" customHeight="1">
      <c r="B66" s="17" t="s">
        <v>18</v>
      </c>
    </row>
    <row r="67" spans="2:2" ht="14.5" customHeight="1">
      <c r="B67" s="16" t="s">
        <v>48</v>
      </c>
    </row>
    <row r="68" spans="2:2" ht="14.5" customHeight="1">
      <c r="B68" s="15" t="s">
        <v>17</v>
      </c>
    </row>
    <row r="69" spans="2:2" ht="14.5" customHeight="1">
      <c r="B6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E67"/>
  <sheetViews>
    <sheetView showGridLines="0" view="pageBreakPreview" zoomScale="115" zoomScaleNormal="100" zoomScaleSheetLayoutView="115" workbookViewId="0">
      <selection activeCell="B11" sqref="B11:D61"/>
    </sheetView>
  </sheetViews>
  <sheetFormatPr baseColWidth="10" defaultColWidth="11.453125" defaultRowHeight="14.5"/>
  <cols>
    <col min="1" max="1" width="9.26953125" style="13" customWidth="1"/>
    <col min="2" max="2" width="27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4531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106" t="s">
        <v>37</v>
      </c>
      <c r="C7" s="106"/>
      <c r="D7" s="106"/>
    </row>
    <row r="8" spans="2:5" s="25" customFormat="1" ht="15" customHeight="1">
      <c r="B8" s="106"/>
      <c r="C8" s="106"/>
      <c r="D8" s="106"/>
    </row>
    <row r="9" spans="2:5" s="25" customFormat="1" ht="33" customHeight="1">
      <c r="B9" s="106"/>
      <c r="C9" s="106"/>
      <c r="D9" s="106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76" t="s">
        <v>22</v>
      </c>
      <c r="C11" s="77" t="s">
        <v>20</v>
      </c>
      <c r="D11" s="76" t="s">
        <v>19</v>
      </c>
    </row>
    <row r="12" spans="2:5" ht="14.5" customHeight="1">
      <c r="B12" s="23" t="s">
        <v>50</v>
      </c>
      <c r="C12" s="22">
        <v>1425</v>
      </c>
      <c r="D12" s="21">
        <v>0.14888726360881799</v>
      </c>
    </row>
    <row r="13" spans="2:5" ht="14.5" customHeight="1">
      <c r="B13" s="23" t="s">
        <v>51</v>
      </c>
      <c r="C13" s="22">
        <v>897</v>
      </c>
      <c r="D13" s="21">
        <v>9.3720614355866996E-2</v>
      </c>
    </row>
    <row r="14" spans="2:5" ht="14.5" customHeight="1">
      <c r="B14" s="23" t="s">
        <v>52</v>
      </c>
      <c r="C14" s="22">
        <v>669</v>
      </c>
      <c r="D14" s="21">
        <v>6.9898652178456006E-2</v>
      </c>
      <c r="E14" s="24"/>
    </row>
    <row r="15" spans="2:5" ht="14.5" customHeight="1">
      <c r="B15" s="23" t="s">
        <v>53</v>
      </c>
      <c r="C15" s="22">
        <v>541</v>
      </c>
      <c r="D15" s="21">
        <v>5.6524919026225001E-2</v>
      </c>
    </row>
    <row r="16" spans="2:5" ht="14.5" customHeight="1">
      <c r="B16" s="23" t="s">
        <v>54</v>
      </c>
      <c r="C16" s="22">
        <v>534</v>
      </c>
      <c r="D16" s="21">
        <v>5.5793542994462E-2</v>
      </c>
    </row>
    <row r="17" spans="2:4" ht="14.5" customHeight="1">
      <c r="B17" s="23" t="s">
        <v>55</v>
      </c>
      <c r="C17" s="22">
        <v>394</v>
      </c>
      <c r="D17" s="21">
        <v>4.1166022359209999E-2</v>
      </c>
    </row>
    <row r="18" spans="2:4" ht="14.5" customHeight="1">
      <c r="B18" s="23" t="s">
        <v>56</v>
      </c>
      <c r="C18" s="22">
        <v>379</v>
      </c>
      <c r="D18" s="21">
        <v>3.9598788005432997E-2</v>
      </c>
    </row>
    <row r="19" spans="2:4" ht="14.5" customHeight="1">
      <c r="B19" s="23" t="s">
        <v>57</v>
      </c>
      <c r="C19" s="22">
        <v>378</v>
      </c>
      <c r="D19" s="21">
        <v>3.9494305715180998E-2</v>
      </c>
    </row>
    <row r="20" spans="2:4" ht="14.5" customHeight="1">
      <c r="B20" s="23" t="s">
        <v>58</v>
      </c>
      <c r="C20" s="22">
        <v>370</v>
      </c>
      <c r="D20" s="21">
        <v>3.8658447393166998E-2</v>
      </c>
    </row>
    <row r="21" spans="2:4" ht="14.5" customHeight="1">
      <c r="B21" s="23" t="s">
        <v>59</v>
      </c>
      <c r="C21" s="22">
        <v>364</v>
      </c>
      <c r="D21" s="21">
        <v>3.8031553651656003E-2</v>
      </c>
    </row>
    <row r="22" spans="2:4" ht="14.5" customHeight="1">
      <c r="B22" s="23" t="s">
        <v>60</v>
      </c>
      <c r="C22" s="22">
        <v>351</v>
      </c>
      <c r="D22" s="21">
        <v>3.6673283878382999E-2</v>
      </c>
    </row>
    <row r="23" spans="2:4" ht="14.5" customHeight="1">
      <c r="B23" s="23" t="s">
        <v>61</v>
      </c>
      <c r="C23" s="22">
        <v>295</v>
      </c>
      <c r="D23" s="21">
        <v>3.0822275624282001E-2</v>
      </c>
    </row>
    <row r="24" spans="2:4" ht="14.5" customHeight="1">
      <c r="B24" s="23" t="s">
        <v>62</v>
      </c>
      <c r="C24" s="22">
        <v>237</v>
      </c>
      <c r="D24" s="21">
        <v>2.4762302789677001E-2</v>
      </c>
    </row>
    <row r="25" spans="2:4" ht="14.5" customHeight="1">
      <c r="B25" s="23" t="s">
        <v>63</v>
      </c>
      <c r="C25" s="22">
        <v>194</v>
      </c>
      <c r="D25" s="21">
        <v>2.0269564308850001E-2</v>
      </c>
    </row>
    <row r="26" spans="2:4" ht="14.5" customHeight="1">
      <c r="B26" s="23" t="s">
        <v>64</v>
      </c>
      <c r="C26" s="22">
        <v>193</v>
      </c>
      <c r="D26" s="21">
        <v>2.0165082018597999E-2</v>
      </c>
    </row>
    <row r="27" spans="2:4" ht="14.5" customHeight="1">
      <c r="B27" s="23" t="s">
        <v>65</v>
      </c>
      <c r="C27" s="22">
        <v>148</v>
      </c>
      <c r="D27" s="21">
        <v>1.5463378957267E-2</v>
      </c>
    </row>
    <row r="28" spans="2:4" ht="14.5" customHeight="1">
      <c r="B28" s="23" t="s">
        <v>66</v>
      </c>
      <c r="C28" s="22">
        <v>144</v>
      </c>
      <c r="D28" s="21">
        <v>1.504544979626E-2</v>
      </c>
    </row>
    <row r="29" spans="2:4" ht="14.5" customHeight="1">
      <c r="B29" s="23" t="s">
        <v>67</v>
      </c>
      <c r="C29" s="22">
        <v>140</v>
      </c>
      <c r="D29" s="21">
        <v>1.4627520635252E-2</v>
      </c>
    </row>
    <row r="30" spans="2:4" ht="14.5" customHeight="1">
      <c r="B30" s="23" t="s">
        <v>68</v>
      </c>
      <c r="C30" s="22">
        <v>125</v>
      </c>
      <c r="D30" s="21">
        <v>1.3060286281475E-2</v>
      </c>
    </row>
    <row r="31" spans="2:4" ht="14.5" customHeight="1">
      <c r="B31" s="23" t="s">
        <v>69</v>
      </c>
      <c r="C31" s="22">
        <v>123</v>
      </c>
      <c r="D31" s="21">
        <v>1.2851321700972E-2</v>
      </c>
    </row>
    <row r="32" spans="2:4" ht="14.5" customHeight="1">
      <c r="B32" s="23" t="s">
        <v>70</v>
      </c>
      <c r="C32" s="22">
        <v>114</v>
      </c>
      <c r="D32" s="21">
        <v>1.1910981088704999E-2</v>
      </c>
    </row>
    <row r="33" spans="2:4" ht="14.5" customHeight="1">
      <c r="B33" s="23" t="s">
        <v>71</v>
      </c>
      <c r="C33" s="22">
        <v>109</v>
      </c>
      <c r="D33" s="21">
        <v>1.1388569637446E-2</v>
      </c>
    </row>
    <row r="34" spans="2:4" ht="14.5" customHeight="1">
      <c r="B34" s="23" t="s">
        <v>72</v>
      </c>
      <c r="C34" s="22">
        <v>99</v>
      </c>
      <c r="D34" s="21">
        <v>1.0343746734928E-2</v>
      </c>
    </row>
    <row r="35" spans="2:4" ht="14.5" customHeight="1">
      <c r="B35" s="23" t="s">
        <v>73</v>
      </c>
      <c r="C35" s="22">
        <v>96</v>
      </c>
      <c r="D35" s="21">
        <v>1.0030299864173E-2</v>
      </c>
    </row>
    <row r="36" spans="2:4" ht="14.5" customHeight="1">
      <c r="B36" s="23" t="s">
        <v>74</v>
      </c>
      <c r="C36" s="22">
        <v>96</v>
      </c>
      <c r="D36" s="21">
        <v>1.0030299864173E-2</v>
      </c>
    </row>
    <row r="37" spans="2:4" ht="14.5" customHeight="1">
      <c r="B37" s="23" t="s">
        <v>75</v>
      </c>
      <c r="C37" s="22">
        <v>91</v>
      </c>
      <c r="D37" s="21">
        <v>9.5078884129140007E-3</v>
      </c>
    </row>
    <row r="38" spans="2:4" ht="14.5" customHeight="1">
      <c r="B38" s="23" t="s">
        <v>76</v>
      </c>
      <c r="C38" s="22">
        <v>90</v>
      </c>
      <c r="D38" s="21">
        <v>9.4034061226619999E-3</v>
      </c>
    </row>
    <row r="39" spans="2:4" ht="14.5" customHeight="1">
      <c r="B39" s="23" t="s">
        <v>77</v>
      </c>
      <c r="C39" s="22">
        <v>86</v>
      </c>
      <c r="D39" s="21">
        <v>8.9854769616549996E-3</v>
      </c>
    </row>
    <row r="40" spans="2:4" ht="14.5" customHeight="1">
      <c r="B40" s="23" t="s">
        <v>78</v>
      </c>
      <c r="C40" s="22">
        <v>86</v>
      </c>
      <c r="D40" s="21">
        <v>8.9854769616549996E-3</v>
      </c>
    </row>
    <row r="41" spans="2:4" ht="14.5" customHeight="1">
      <c r="B41" s="23" t="s">
        <v>79</v>
      </c>
      <c r="C41" s="22">
        <v>81</v>
      </c>
      <c r="D41" s="21">
        <v>8.4630655103960003E-3</v>
      </c>
    </row>
    <row r="42" spans="2:4" ht="14.5" customHeight="1">
      <c r="B42" s="23" t="s">
        <v>80</v>
      </c>
      <c r="C42" s="22">
        <v>78</v>
      </c>
      <c r="D42" s="21">
        <v>8.1496186396410007E-3</v>
      </c>
    </row>
    <row r="43" spans="2:4" ht="14.5" customHeight="1">
      <c r="B43" s="23" t="s">
        <v>81</v>
      </c>
      <c r="C43" s="22">
        <v>76</v>
      </c>
      <c r="D43" s="21">
        <v>7.9406540591369992E-3</v>
      </c>
    </row>
    <row r="44" spans="2:4" ht="14.5" customHeight="1">
      <c r="B44" s="23" t="s">
        <v>82</v>
      </c>
      <c r="C44" s="22">
        <v>76</v>
      </c>
      <c r="D44" s="21">
        <v>7.9406540591369992E-3</v>
      </c>
    </row>
    <row r="45" spans="2:4" ht="14.5" customHeight="1">
      <c r="B45" s="23" t="s">
        <v>83</v>
      </c>
      <c r="C45" s="22">
        <v>69</v>
      </c>
      <c r="D45" s="21">
        <v>7.2092780273740002E-3</v>
      </c>
    </row>
    <row r="46" spans="2:4" ht="14.5" customHeight="1">
      <c r="B46" s="23" t="s">
        <v>84</v>
      </c>
      <c r="C46" s="22">
        <v>60</v>
      </c>
      <c r="D46" s="21">
        <v>6.2689374151079997E-3</v>
      </c>
    </row>
    <row r="47" spans="2:4" ht="14.5" customHeight="1">
      <c r="B47" s="23" t="s">
        <v>85</v>
      </c>
      <c r="C47" s="22">
        <v>60</v>
      </c>
      <c r="D47" s="21">
        <v>6.2689374151079997E-3</v>
      </c>
    </row>
    <row r="48" spans="2:4" ht="14.5" customHeight="1">
      <c r="B48" s="23" t="s">
        <v>86</v>
      </c>
      <c r="C48" s="22">
        <v>52</v>
      </c>
      <c r="D48" s="21">
        <v>5.4330790930939999E-3</v>
      </c>
    </row>
    <row r="49" spans="2:4" ht="14.5" customHeight="1">
      <c r="B49" s="23" t="s">
        <v>87</v>
      </c>
      <c r="C49" s="22">
        <v>47</v>
      </c>
      <c r="D49" s="21">
        <v>4.9106676418349997E-3</v>
      </c>
    </row>
    <row r="50" spans="2:4" ht="14.5" customHeight="1">
      <c r="B50" s="23" t="s">
        <v>88</v>
      </c>
      <c r="C50" s="22">
        <v>43</v>
      </c>
      <c r="D50" s="21">
        <v>4.4927384808280003E-3</v>
      </c>
    </row>
    <row r="51" spans="2:4" ht="14.5" customHeight="1">
      <c r="B51" s="23" t="s">
        <v>89</v>
      </c>
      <c r="C51" s="22">
        <v>41</v>
      </c>
      <c r="D51" s="21">
        <v>4.2837739003239996E-3</v>
      </c>
    </row>
    <row r="52" spans="2:4" ht="14.5" customHeight="1">
      <c r="B52" s="23" t="s">
        <v>90</v>
      </c>
      <c r="C52" s="22">
        <v>30</v>
      </c>
      <c r="D52" s="21">
        <v>3.1344687075539998E-3</v>
      </c>
    </row>
    <row r="53" spans="2:4" ht="14.5" customHeight="1">
      <c r="B53" s="23" t="s">
        <v>91</v>
      </c>
      <c r="C53" s="22">
        <v>29</v>
      </c>
      <c r="D53" s="21">
        <v>3.029986417302E-3</v>
      </c>
    </row>
    <row r="54" spans="2:4" ht="14.5" customHeight="1">
      <c r="B54" s="23" t="s">
        <v>92</v>
      </c>
      <c r="C54" s="22">
        <v>28</v>
      </c>
      <c r="D54" s="21">
        <v>2.9255041270500001E-3</v>
      </c>
    </row>
    <row r="55" spans="2:4" ht="14.5" customHeight="1">
      <c r="B55" s="23" t="s">
        <v>93</v>
      </c>
      <c r="C55" s="22">
        <v>16</v>
      </c>
      <c r="D55" s="21">
        <v>1.671716644029E-3</v>
      </c>
    </row>
    <row r="56" spans="2:4" ht="14.5" customHeight="1">
      <c r="B56" s="23" t="s">
        <v>94</v>
      </c>
      <c r="C56" s="22">
        <v>10</v>
      </c>
      <c r="D56" s="21">
        <v>1.0448229025179999E-3</v>
      </c>
    </row>
    <row r="57" spans="2:4" ht="14.5" customHeight="1">
      <c r="B57" s="23" t="s">
        <v>95</v>
      </c>
      <c r="C57" s="22">
        <v>4</v>
      </c>
      <c r="D57" s="21">
        <v>4.1792916100699999E-4</v>
      </c>
    </row>
    <row r="58" spans="2:4" ht="14.5" customHeight="1">
      <c r="B58" s="23" t="s">
        <v>96</v>
      </c>
      <c r="C58" s="22">
        <v>1</v>
      </c>
      <c r="D58" s="21">
        <v>1.04482290252E-4</v>
      </c>
    </row>
    <row r="59" spans="2:4" ht="14.5" customHeight="1">
      <c r="B59" s="23" t="s">
        <v>97</v>
      </c>
      <c r="C59" s="22">
        <v>1</v>
      </c>
      <c r="D59" s="21">
        <v>1.04482290252E-4</v>
      </c>
    </row>
    <row r="60" spans="2:4" ht="14.5" customHeight="1">
      <c r="B60" s="23" t="s">
        <v>98</v>
      </c>
      <c r="C60" s="22">
        <v>1</v>
      </c>
      <c r="D60" s="21">
        <v>1.04482290252E-4</v>
      </c>
    </row>
    <row r="61" spans="2:4" ht="14.5" customHeight="1">
      <c r="B61" s="20" t="s">
        <v>29</v>
      </c>
      <c r="C61" s="19">
        <v>9571</v>
      </c>
      <c r="D61" s="18">
        <v>1</v>
      </c>
    </row>
    <row r="62" spans="2:4" ht="14.5" customHeight="1">
      <c r="B62" s="15"/>
    </row>
    <row r="63" spans="2:4" ht="14.5" customHeight="1">
      <c r="B63" s="15" t="s">
        <v>47</v>
      </c>
    </row>
    <row r="64" spans="2:4" ht="14.5" customHeight="1">
      <c r="B64" s="17" t="s">
        <v>18</v>
      </c>
    </row>
    <row r="65" spans="2:2" ht="14.5" customHeight="1">
      <c r="B65" s="16" t="s">
        <v>48</v>
      </c>
    </row>
    <row r="66" spans="2:2" ht="14.5" customHeight="1">
      <c r="B66" s="15" t="s">
        <v>17</v>
      </c>
    </row>
    <row r="67" spans="2:2" ht="14.5" customHeight="1">
      <c r="B67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E29"/>
  <sheetViews>
    <sheetView showGridLines="0" view="pageBreakPreview" topLeftCell="A12" zoomScale="115" zoomScaleNormal="100" zoomScaleSheetLayoutView="115" workbookViewId="0">
      <selection activeCell="C12" sqref="C12:C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106" t="s">
        <v>44</v>
      </c>
      <c r="C7" s="106"/>
      <c r="D7" s="106"/>
    </row>
    <row r="8" spans="2:5" s="25" customFormat="1" ht="15" customHeight="1">
      <c r="B8" s="106"/>
      <c r="C8" s="106"/>
      <c r="D8" s="106"/>
    </row>
    <row r="9" spans="2:5" s="25" customFormat="1" ht="33" customHeight="1">
      <c r="B9" s="106"/>
      <c r="C9" s="106"/>
      <c r="D9" s="106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22</v>
      </c>
      <c r="C11" s="27" t="s">
        <v>20</v>
      </c>
      <c r="D11" s="26" t="s">
        <v>19</v>
      </c>
    </row>
    <row r="12" spans="2:5" ht="14.5" customHeight="1">
      <c r="B12" s="23" t="s">
        <v>50</v>
      </c>
      <c r="C12" s="22">
        <v>1425</v>
      </c>
      <c r="D12" s="21">
        <f>C12/$C$22</f>
        <v>0.23945555368845572</v>
      </c>
    </row>
    <row r="13" spans="2:5" ht="14.5" customHeight="1">
      <c r="B13" s="23" t="s">
        <v>51</v>
      </c>
      <c r="C13" s="22">
        <v>897</v>
      </c>
      <c r="D13" s="21">
        <f t="shared" ref="D13:D21" si="0">C13/$C$22</f>
        <v>0.1507309695849437</v>
      </c>
    </row>
    <row r="14" spans="2:5" ht="14.5" customHeight="1">
      <c r="B14" s="23" t="s">
        <v>52</v>
      </c>
      <c r="C14" s="22">
        <v>669</v>
      </c>
      <c r="D14" s="21">
        <f t="shared" si="0"/>
        <v>0.11241808099479079</v>
      </c>
      <c r="E14" s="24"/>
    </row>
    <row r="15" spans="2:5" ht="14.5" customHeight="1">
      <c r="B15" s="23" t="s">
        <v>53</v>
      </c>
      <c r="C15" s="22">
        <v>541</v>
      </c>
      <c r="D15" s="21">
        <f t="shared" si="0"/>
        <v>9.0909090909090912E-2</v>
      </c>
      <c r="E15" s="24"/>
    </row>
    <row r="16" spans="2:5" ht="14.5" customHeight="1">
      <c r="B16" s="23" t="s">
        <v>54</v>
      </c>
      <c r="C16" s="22">
        <v>534</v>
      </c>
      <c r="D16" s="21">
        <f t="shared" si="0"/>
        <v>8.9732818013779192E-2</v>
      </c>
    </row>
    <row r="17" spans="2:4" ht="14.5" customHeight="1">
      <c r="B17" s="23" t="s">
        <v>55</v>
      </c>
      <c r="C17" s="22">
        <v>394</v>
      </c>
      <c r="D17" s="21">
        <f t="shared" si="0"/>
        <v>6.6207360107544952E-2</v>
      </c>
    </row>
    <row r="18" spans="2:4" ht="14.5" customHeight="1">
      <c r="B18" s="23" t="s">
        <v>56</v>
      </c>
      <c r="C18" s="22">
        <v>379</v>
      </c>
      <c r="D18" s="21">
        <f t="shared" si="0"/>
        <v>6.3686775331876999E-2</v>
      </c>
    </row>
    <row r="19" spans="2:4" ht="14.5" customHeight="1">
      <c r="B19" s="23" t="s">
        <v>57</v>
      </c>
      <c r="C19" s="22">
        <v>378</v>
      </c>
      <c r="D19" s="21">
        <f t="shared" si="0"/>
        <v>6.3518736346832472E-2</v>
      </c>
    </row>
    <row r="20" spans="2:4" ht="14.5" customHeight="1">
      <c r="B20" s="23" t="s">
        <v>58</v>
      </c>
      <c r="C20" s="22">
        <v>370</v>
      </c>
      <c r="D20" s="21">
        <f t="shared" si="0"/>
        <v>6.2174424466476225E-2</v>
      </c>
    </row>
    <row r="21" spans="2:4" ht="14.5" customHeight="1">
      <c r="B21" s="23" t="s">
        <v>59</v>
      </c>
      <c r="C21" s="22">
        <v>364</v>
      </c>
      <c r="D21" s="21">
        <f t="shared" si="0"/>
        <v>6.1166190556209039E-2</v>
      </c>
    </row>
    <row r="22" spans="2:4" ht="14.5" customHeight="1">
      <c r="B22" s="20" t="s">
        <v>45</v>
      </c>
      <c r="C22" s="19">
        <f>SUM(C12:C21)</f>
        <v>5951</v>
      </c>
      <c r="D22" s="18">
        <f t="shared" ref="D22" si="1">C22/$C$22</f>
        <v>1</v>
      </c>
    </row>
    <row r="23" spans="2:4" ht="14.5" customHeight="1">
      <c r="B23" s="20" t="s">
        <v>46</v>
      </c>
      <c r="C23" s="19">
        <v>9571</v>
      </c>
    </row>
    <row r="24" spans="2:4" ht="14.5" customHeight="1">
      <c r="B24" s="15"/>
    </row>
    <row r="25" spans="2:4" ht="14.5" customHeight="1">
      <c r="B25" s="15" t="s">
        <v>47</v>
      </c>
    </row>
    <row r="26" spans="2:4" ht="14.5" customHeight="1">
      <c r="B26" s="17" t="s">
        <v>18</v>
      </c>
    </row>
    <row r="27" spans="2:4" ht="14.5" customHeight="1">
      <c r="B27" s="16" t="s">
        <v>48</v>
      </c>
    </row>
    <row r="28" spans="2:4" ht="14.5" customHeight="1">
      <c r="B28" s="15" t="s">
        <v>17</v>
      </c>
    </row>
    <row r="29" spans="2:4" ht="14.5" customHeight="1">
      <c r="B2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39"/>
  <sheetViews>
    <sheetView showGridLines="0" view="pageBreakPreview" topLeftCell="A27" zoomScale="115" zoomScaleNormal="100" zoomScaleSheetLayoutView="115" workbookViewId="0">
      <selection activeCell="H12" sqref="H12"/>
    </sheetView>
  </sheetViews>
  <sheetFormatPr baseColWidth="10" defaultColWidth="11.453125" defaultRowHeight="14.5"/>
  <cols>
    <col min="1" max="1" width="9.26953125" style="13" customWidth="1"/>
    <col min="2" max="2" width="31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106" t="s">
        <v>42</v>
      </c>
      <c r="C7" s="106"/>
      <c r="D7" s="106"/>
    </row>
    <row r="8" spans="2:5" s="25" customFormat="1" ht="15" customHeight="1">
      <c r="B8" s="106"/>
      <c r="C8" s="106"/>
      <c r="D8" s="106"/>
    </row>
    <row r="9" spans="2:5" s="25" customFormat="1" ht="33" customHeight="1">
      <c r="B9" s="106"/>
      <c r="C9" s="106"/>
      <c r="D9" s="106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23</v>
      </c>
      <c r="C11" s="27" t="s">
        <v>20</v>
      </c>
      <c r="D11" s="26" t="s">
        <v>19</v>
      </c>
    </row>
    <row r="12" spans="2:5">
      <c r="B12" s="23" t="s">
        <v>209</v>
      </c>
      <c r="C12" s="22">
        <v>2895</v>
      </c>
      <c r="D12" s="21">
        <v>0.30247623027896797</v>
      </c>
    </row>
    <row r="13" spans="2:5">
      <c r="B13" s="23" t="s">
        <v>211</v>
      </c>
      <c r="C13" s="22">
        <v>1213</v>
      </c>
      <c r="D13" s="21">
        <v>0.126737018075436</v>
      </c>
    </row>
    <row r="14" spans="2:5">
      <c r="B14" s="23" t="s">
        <v>204</v>
      </c>
      <c r="C14" s="22">
        <v>876</v>
      </c>
      <c r="D14" s="21">
        <v>9.1526486260578993E-2</v>
      </c>
      <c r="E14" s="24"/>
    </row>
    <row r="15" spans="2:5">
      <c r="B15" s="23" t="s">
        <v>207</v>
      </c>
      <c r="C15" s="22">
        <v>707</v>
      </c>
      <c r="D15" s="21">
        <v>7.3868979208024002E-2</v>
      </c>
      <c r="E15" s="24"/>
    </row>
    <row r="16" spans="2:5">
      <c r="B16" s="23" t="s">
        <v>202</v>
      </c>
      <c r="C16" s="22">
        <v>639</v>
      </c>
      <c r="D16" s="21">
        <v>6.6764183470902003E-2</v>
      </c>
    </row>
    <row r="17" spans="2:4">
      <c r="B17" s="23" t="s">
        <v>208</v>
      </c>
      <c r="C17" s="22">
        <v>506</v>
      </c>
      <c r="D17" s="21">
        <v>5.2868038867412002E-2</v>
      </c>
    </row>
    <row r="18" spans="2:4">
      <c r="B18" s="23" t="s">
        <v>206</v>
      </c>
      <c r="C18" s="22">
        <v>412</v>
      </c>
      <c r="D18" s="21">
        <v>4.3046703583742997E-2</v>
      </c>
    </row>
    <row r="19" spans="2:4">
      <c r="B19" s="23" t="s">
        <v>216</v>
      </c>
      <c r="C19" s="22">
        <v>410</v>
      </c>
      <c r="D19" s="21">
        <v>4.2837739003238999E-2</v>
      </c>
    </row>
    <row r="20" spans="2:4">
      <c r="B20" s="23" t="s">
        <v>203</v>
      </c>
      <c r="C20" s="22">
        <v>351</v>
      </c>
      <c r="D20" s="21">
        <v>3.6673283878382999E-2</v>
      </c>
    </row>
    <row r="21" spans="2:4">
      <c r="B21" s="23" t="s">
        <v>212</v>
      </c>
      <c r="C21" s="22">
        <v>275</v>
      </c>
      <c r="D21" s="21">
        <v>2.8732629819246E-2</v>
      </c>
    </row>
    <row r="22" spans="2:4">
      <c r="B22" s="23" t="s">
        <v>215</v>
      </c>
      <c r="C22" s="22">
        <v>209</v>
      </c>
      <c r="D22" s="21">
        <v>2.1836798662626999E-2</v>
      </c>
    </row>
    <row r="23" spans="2:4">
      <c r="B23" s="23" t="s">
        <v>217</v>
      </c>
      <c r="C23" s="22">
        <v>172</v>
      </c>
      <c r="D23" s="21">
        <v>1.7970953923309999E-2</v>
      </c>
    </row>
    <row r="24" spans="2:4">
      <c r="B24" s="23" t="s">
        <v>219</v>
      </c>
      <c r="C24" s="22">
        <v>166</v>
      </c>
      <c r="D24" s="21">
        <v>1.7344060181799001E-2</v>
      </c>
    </row>
    <row r="25" spans="2:4">
      <c r="B25" s="23" t="s">
        <v>210</v>
      </c>
      <c r="C25" s="22">
        <v>161</v>
      </c>
      <c r="D25" s="21">
        <v>1.6821648730540002E-2</v>
      </c>
    </row>
    <row r="26" spans="2:4">
      <c r="B26" s="23" t="s">
        <v>214</v>
      </c>
      <c r="C26" s="22">
        <v>156</v>
      </c>
      <c r="D26" s="21">
        <v>1.6299237279280999E-2</v>
      </c>
    </row>
    <row r="27" spans="2:4">
      <c r="B27" s="23" t="s">
        <v>218</v>
      </c>
      <c r="C27" s="22">
        <v>152</v>
      </c>
      <c r="D27" s="21">
        <v>1.5881308118273998E-2</v>
      </c>
    </row>
    <row r="28" spans="2:4">
      <c r="B28" s="23" t="s">
        <v>213</v>
      </c>
      <c r="C28" s="22">
        <v>131</v>
      </c>
      <c r="D28" s="21">
        <v>1.3687180022986E-2</v>
      </c>
    </row>
    <row r="29" spans="2:4">
      <c r="B29" s="23" t="s">
        <v>205</v>
      </c>
      <c r="C29" s="22">
        <v>130</v>
      </c>
      <c r="D29" s="21">
        <v>1.3582697732734E-2</v>
      </c>
    </row>
    <row r="30" spans="2:4" ht="42">
      <c r="B30" s="23" t="s">
        <v>220</v>
      </c>
      <c r="C30" s="22">
        <v>8</v>
      </c>
      <c r="D30" s="21">
        <v>8.3585832201399997E-4</v>
      </c>
    </row>
    <row r="31" spans="2:4">
      <c r="B31" s="23" t="s">
        <v>221</v>
      </c>
      <c r="C31" s="22">
        <v>1</v>
      </c>
      <c r="D31" s="21">
        <v>1.04482290252E-4</v>
      </c>
    </row>
    <row r="32" spans="2:4">
      <c r="B32" s="23" t="s">
        <v>222</v>
      </c>
      <c r="C32" s="22">
        <v>1</v>
      </c>
      <c r="D32" s="21">
        <v>1.04482290252E-4</v>
      </c>
    </row>
    <row r="33" spans="2:4">
      <c r="B33" s="20" t="s">
        <v>29</v>
      </c>
      <c r="C33" s="19">
        <v>9571</v>
      </c>
      <c r="D33" s="18">
        <v>1</v>
      </c>
    </row>
    <row r="34" spans="2:4" ht="15">
      <c r="B34" s="80"/>
      <c r="C34" s="81"/>
      <c r="D34" s="82"/>
    </row>
    <row r="35" spans="2:4">
      <c r="B35" s="15" t="s">
        <v>47</v>
      </c>
    </row>
    <row r="36" spans="2:4">
      <c r="B36" s="17" t="s">
        <v>18</v>
      </c>
    </row>
    <row r="37" spans="2:4">
      <c r="B37" s="16" t="s">
        <v>48</v>
      </c>
    </row>
    <row r="38" spans="2:4">
      <c r="B38" s="15" t="s">
        <v>17</v>
      </c>
    </row>
    <row r="39" spans="2:4">
      <c r="B3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579"/>
  <sheetViews>
    <sheetView showGridLines="0" view="pageBreakPreview" topLeftCell="A557" zoomScale="85" zoomScaleNormal="100" zoomScaleSheetLayoutView="85" workbookViewId="0">
      <selection activeCell="F7" sqref="F7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9.269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108"/>
      <c r="C7" s="108"/>
      <c r="D7" s="108"/>
      <c r="E7" s="108"/>
    </row>
    <row r="8" spans="1:5" s="41" customFormat="1" ht="33" customHeight="1">
      <c r="A8" s="42"/>
      <c r="B8" s="108"/>
      <c r="C8" s="108"/>
      <c r="D8" s="108"/>
      <c r="E8" s="108"/>
    </row>
    <row r="9" spans="1:5" s="25" customFormat="1" ht="33.75" customHeight="1">
      <c r="B9" s="84" t="s">
        <v>25</v>
      </c>
      <c r="C9" s="85" t="s">
        <v>24</v>
      </c>
      <c r="D9" s="86" t="s">
        <v>20</v>
      </c>
      <c r="E9" s="84" t="s">
        <v>19</v>
      </c>
    </row>
    <row r="10" spans="1:5" ht="15" customHeight="1">
      <c r="B10" s="107" t="s">
        <v>99</v>
      </c>
      <c r="C10" s="66" t="s">
        <v>202</v>
      </c>
      <c r="D10" s="67">
        <v>6</v>
      </c>
      <c r="E10" s="68">
        <v>6.2689374151099996E-4</v>
      </c>
    </row>
    <row r="11" spans="1:5" ht="15" customHeight="1">
      <c r="B11" s="107"/>
      <c r="C11" s="66" t="s">
        <v>203</v>
      </c>
      <c r="D11" s="67">
        <v>1</v>
      </c>
      <c r="E11" s="68">
        <v>1.04482290252E-4</v>
      </c>
    </row>
    <row r="12" spans="1:5" ht="15" customHeight="1">
      <c r="B12" s="107"/>
      <c r="C12" s="66" t="s">
        <v>204</v>
      </c>
      <c r="D12" s="67">
        <v>25</v>
      </c>
      <c r="E12" s="68">
        <v>2.6120572562950001E-3</v>
      </c>
    </row>
    <row r="13" spans="1:5" ht="15" customHeight="1">
      <c r="B13" s="107"/>
      <c r="C13" s="66" t="s">
        <v>205</v>
      </c>
      <c r="D13" s="67">
        <v>1</v>
      </c>
      <c r="E13" s="68">
        <v>1.04482290252E-4</v>
      </c>
    </row>
    <row r="14" spans="1:5" ht="15" customHeight="1">
      <c r="B14" s="107"/>
      <c r="C14" s="66" t="s">
        <v>206</v>
      </c>
      <c r="D14" s="67">
        <v>4</v>
      </c>
      <c r="E14" s="68">
        <v>4.1792916100699999E-4</v>
      </c>
    </row>
    <row r="15" spans="1:5" ht="15" customHeight="1">
      <c r="B15" s="107"/>
      <c r="C15" s="66" t="s">
        <v>207</v>
      </c>
      <c r="D15" s="67">
        <v>3</v>
      </c>
      <c r="E15" s="68">
        <v>3.13446870755E-4</v>
      </c>
    </row>
    <row r="16" spans="1:5" ht="15" customHeight="1">
      <c r="B16" s="107"/>
      <c r="C16" s="66" t="s">
        <v>208</v>
      </c>
      <c r="D16" s="67">
        <v>4</v>
      </c>
      <c r="E16" s="68">
        <v>4.1792916100699999E-4</v>
      </c>
    </row>
    <row r="17" spans="2:5" ht="15" customHeight="1">
      <c r="B17" s="107"/>
      <c r="C17" s="66" t="s">
        <v>209</v>
      </c>
      <c r="D17" s="67">
        <v>15</v>
      </c>
      <c r="E17" s="68">
        <v>1.5672343537769999E-3</v>
      </c>
    </row>
    <row r="18" spans="2:5" ht="15" customHeight="1">
      <c r="B18" s="107"/>
      <c r="C18" s="66" t="s">
        <v>210</v>
      </c>
      <c r="D18" s="67">
        <v>10</v>
      </c>
      <c r="E18" s="68">
        <v>1.0448229025179999E-3</v>
      </c>
    </row>
    <row r="19" spans="2:5" ht="15" customHeight="1">
      <c r="B19" s="107"/>
      <c r="C19" s="66" t="s">
        <v>211</v>
      </c>
      <c r="D19" s="67">
        <v>20</v>
      </c>
      <c r="E19" s="68">
        <v>2.0896458050359999E-3</v>
      </c>
    </row>
    <row r="20" spans="2:5" ht="15" customHeight="1">
      <c r="B20" s="107"/>
      <c r="C20" s="66" t="s">
        <v>212</v>
      </c>
      <c r="D20" s="67">
        <v>2</v>
      </c>
      <c r="E20" s="68">
        <v>2.08964580504E-4</v>
      </c>
    </row>
    <row r="21" spans="2:5" ht="15" customHeight="1">
      <c r="B21" s="107"/>
      <c r="C21" s="36" t="s">
        <v>29</v>
      </c>
      <c r="D21" s="35">
        <v>91</v>
      </c>
      <c r="E21" s="34">
        <v>9.5078884129140007E-3</v>
      </c>
    </row>
    <row r="22" spans="2:5" ht="15" customHeight="1">
      <c r="B22" s="107" t="s">
        <v>100</v>
      </c>
      <c r="C22" s="66" t="s">
        <v>213</v>
      </c>
      <c r="D22" s="67">
        <v>1</v>
      </c>
      <c r="E22" s="68">
        <v>1.04482290252E-4</v>
      </c>
    </row>
    <row r="23" spans="2:5" ht="15" customHeight="1">
      <c r="B23" s="107"/>
      <c r="C23" s="36" t="s">
        <v>29</v>
      </c>
      <c r="D23" s="35">
        <v>1</v>
      </c>
      <c r="E23" s="34">
        <v>1.04482290252E-4</v>
      </c>
    </row>
    <row r="24" spans="2:5" ht="15" customHeight="1">
      <c r="B24" s="107" t="s">
        <v>101</v>
      </c>
      <c r="C24" s="66" t="s">
        <v>202</v>
      </c>
      <c r="D24" s="67">
        <v>5</v>
      </c>
      <c r="E24" s="68">
        <v>5.2241145125899997E-4</v>
      </c>
    </row>
    <row r="25" spans="2:5" ht="15" customHeight="1">
      <c r="B25" s="107"/>
      <c r="C25" s="66" t="s">
        <v>204</v>
      </c>
      <c r="D25" s="67">
        <v>7</v>
      </c>
      <c r="E25" s="68">
        <v>7.3137603176300005E-4</v>
      </c>
    </row>
    <row r="26" spans="2:5" ht="15" customHeight="1">
      <c r="B26" s="107"/>
      <c r="C26" s="66" t="s">
        <v>214</v>
      </c>
      <c r="D26" s="67">
        <v>3</v>
      </c>
      <c r="E26" s="68">
        <v>3.13446870755E-4</v>
      </c>
    </row>
    <row r="27" spans="2:5" ht="15" customHeight="1">
      <c r="B27" s="107"/>
      <c r="C27" s="66" t="s">
        <v>205</v>
      </c>
      <c r="D27" s="67">
        <v>1</v>
      </c>
      <c r="E27" s="68">
        <v>1.04482290252E-4</v>
      </c>
    </row>
    <row r="28" spans="2:5" ht="15" customHeight="1">
      <c r="B28" s="107"/>
      <c r="C28" s="66" t="s">
        <v>215</v>
      </c>
      <c r="D28" s="67">
        <v>3</v>
      </c>
      <c r="E28" s="68">
        <v>3.13446870755E-4</v>
      </c>
    </row>
    <row r="29" spans="2:5" ht="15" customHeight="1">
      <c r="B29" s="107"/>
      <c r="C29" s="66" t="s">
        <v>207</v>
      </c>
      <c r="D29" s="67">
        <v>3</v>
      </c>
      <c r="E29" s="68">
        <v>3.13446870755E-4</v>
      </c>
    </row>
    <row r="30" spans="2:5" ht="15" customHeight="1">
      <c r="B30" s="107"/>
      <c r="C30" s="66" t="s">
        <v>216</v>
      </c>
      <c r="D30" s="67">
        <v>5</v>
      </c>
      <c r="E30" s="68">
        <v>5.2241145125899997E-4</v>
      </c>
    </row>
    <row r="31" spans="2:5" ht="15" customHeight="1">
      <c r="B31" s="107"/>
      <c r="C31" s="66" t="s">
        <v>217</v>
      </c>
      <c r="D31" s="67">
        <v>2</v>
      </c>
      <c r="E31" s="68">
        <v>2.08964580504E-4</v>
      </c>
    </row>
    <row r="32" spans="2:5" ht="15" customHeight="1">
      <c r="B32" s="107"/>
      <c r="C32" s="66" t="s">
        <v>218</v>
      </c>
      <c r="D32" s="67">
        <v>1</v>
      </c>
      <c r="E32" s="68">
        <v>1.04482290252E-4</v>
      </c>
    </row>
    <row r="33" spans="2:5" ht="15" customHeight="1">
      <c r="B33" s="107"/>
      <c r="C33" s="66" t="s">
        <v>208</v>
      </c>
      <c r="D33" s="67">
        <v>7</v>
      </c>
      <c r="E33" s="68">
        <v>7.3137603176300005E-4</v>
      </c>
    </row>
    <row r="34" spans="2:5" ht="15" customHeight="1">
      <c r="B34" s="107"/>
      <c r="C34" s="66" t="s">
        <v>209</v>
      </c>
      <c r="D34" s="67">
        <v>28</v>
      </c>
      <c r="E34" s="68">
        <v>2.9255041270500001E-3</v>
      </c>
    </row>
    <row r="35" spans="2:5" ht="15" customHeight="1">
      <c r="B35" s="107"/>
      <c r="C35" s="66" t="s">
        <v>210</v>
      </c>
      <c r="D35" s="67">
        <v>2</v>
      </c>
      <c r="E35" s="68">
        <v>2.08964580504E-4</v>
      </c>
    </row>
    <row r="36" spans="2:5" ht="15" customHeight="1">
      <c r="B36" s="107"/>
      <c r="C36" s="66" t="s">
        <v>211</v>
      </c>
      <c r="D36" s="67">
        <v>8</v>
      </c>
      <c r="E36" s="68">
        <v>8.3585832201399997E-4</v>
      </c>
    </row>
    <row r="37" spans="2:5" ht="15" customHeight="1">
      <c r="B37" s="107"/>
      <c r="C37" s="66" t="s">
        <v>212</v>
      </c>
      <c r="D37" s="67">
        <v>6</v>
      </c>
      <c r="E37" s="68">
        <v>6.2689374151099996E-4</v>
      </c>
    </row>
    <row r="38" spans="2:5" ht="15" customHeight="1">
      <c r="B38" s="107"/>
      <c r="C38" s="36" t="s">
        <v>29</v>
      </c>
      <c r="D38" s="35">
        <v>81</v>
      </c>
      <c r="E38" s="34">
        <v>8.4630655103960003E-3</v>
      </c>
    </row>
    <row r="39" spans="2:5" ht="15" customHeight="1">
      <c r="B39" s="107" t="s">
        <v>102</v>
      </c>
      <c r="C39" s="66" t="s">
        <v>202</v>
      </c>
      <c r="D39" s="67">
        <v>3</v>
      </c>
      <c r="E39" s="68">
        <v>3.13446870755E-4</v>
      </c>
    </row>
    <row r="40" spans="2:5" ht="15" customHeight="1">
      <c r="B40" s="107"/>
      <c r="C40" s="66" t="s">
        <v>203</v>
      </c>
      <c r="D40" s="67">
        <v>7</v>
      </c>
      <c r="E40" s="68">
        <v>7.3137603176300005E-4</v>
      </c>
    </row>
    <row r="41" spans="2:5" ht="15" customHeight="1">
      <c r="B41" s="107"/>
      <c r="C41" s="66" t="s">
        <v>204</v>
      </c>
      <c r="D41" s="67">
        <v>2</v>
      </c>
      <c r="E41" s="68">
        <v>2.08964580504E-4</v>
      </c>
    </row>
    <row r="42" spans="2:5" ht="15" customHeight="1">
      <c r="B42" s="107"/>
      <c r="C42" s="66" t="s">
        <v>205</v>
      </c>
      <c r="D42" s="67">
        <v>7</v>
      </c>
      <c r="E42" s="68">
        <v>7.3137603176300005E-4</v>
      </c>
    </row>
    <row r="43" spans="2:5" ht="15" customHeight="1">
      <c r="B43" s="107"/>
      <c r="C43" s="66" t="s">
        <v>215</v>
      </c>
      <c r="D43" s="67">
        <v>4</v>
      </c>
      <c r="E43" s="68">
        <v>4.1792916100699999E-4</v>
      </c>
    </row>
    <row r="44" spans="2:5" ht="15" customHeight="1">
      <c r="B44" s="107"/>
      <c r="C44" s="66" t="s">
        <v>206</v>
      </c>
      <c r="D44" s="67">
        <v>33</v>
      </c>
      <c r="E44" s="68">
        <v>3.4479155783089998E-3</v>
      </c>
    </row>
    <row r="45" spans="2:5" ht="15" customHeight="1">
      <c r="B45" s="107"/>
      <c r="C45" s="66" t="s">
        <v>207</v>
      </c>
      <c r="D45" s="67">
        <v>29</v>
      </c>
      <c r="E45" s="68">
        <v>3.029986417302E-3</v>
      </c>
    </row>
    <row r="46" spans="2:5" ht="15" customHeight="1">
      <c r="B46" s="107"/>
      <c r="C46" s="66" t="s">
        <v>216</v>
      </c>
      <c r="D46" s="67">
        <v>5</v>
      </c>
      <c r="E46" s="68">
        <v>5.2241145125899997E-4</v>
      </c>
    </row>
    <row r="47" spans="2:5" ht="15" customHeight="1">
      <c r="B47" s="107"/>
      <c r="C47" s="66" t="s">
        <v>217</v>
      </c>
      <c r="D47" s="67">
        <v>2</v>
      </c>
      <c r="E47" s="68">
        <v>2.08964580504E-4</v>
      </c>
    </row>
    <row r="48" spans="2:5" ht="15" customHeight="1">
      <c r="B48" s="107"/>
      <c r="C48" s="66" t="s">
        <v>218</v>
      </c>
      <c r="D48" s="67">
        <v>1</v>
      </c>
      <c r="E48" s="68">
        <v>1.04482290252E-4</v>
      </c>
    </row>
    <row r="49" spans="2:5" ht="15" customHeight="1">
      <c r="B49" s="107"/>
      <c r="C49" s="66" t="s">
        <v>208</v>
      </c>
      <c r="D49" s="67">
        <v>12</v>
      </c>
      <c r="E49" s="68">
        <v>1.2537874830219999E-3</v>
      </c>
    </row>
    <row r="50" spans="2:5" ht="15" customHeight="1">
      <c r="B50" s="107"/>
      <c r="C50" s="66" t="s">
        <v>209</v>
      </c>
      <c r="D50" s="67">
        <v>70</v>
      </c>
      <c r="E50" s="68">
        <v>7.313760317626E-3</v>
      </c>
    </row>
    <row r="51" spans="2:5" ht="15" customHeight="1">
      <c r="B51" s="107"/>
      <c r="C51" s="66" t="s">
        <v>210</v>
      </c>
      <c r="D51" s="67">
        <v>1</v>
      </c>
      <c r="E51" s="68">
        <v>1.04482290252E-4</v>
      </c>
    </row>
    <row r="52" spans="2:5" ht="15" customHeight="1">
      <c r="B52" s="107"/>
      <c r="C52" s="66" t="s">
        <v>211</v>
      </c>
      <c r="D52" s="67">
        <v>21</v>
      </c>
      <c r="E52" s="68">
        <v>2.1941280952880002E-3</v>
      </c>
    </row>
    <row r="53" spans="2:5" ht="15" customHeight="1">
      <c r="B53" s="107"/>
      <c r="C53" s="66" t="s">
        <v>212</v>
      </c>
      <c r="D53" s="67">
        <v>1</v>
      </c>
      <c r="E53" s="68">
        <v>1.04482290252E-4</v>
      </c>
    </row>
    <row r="54" spans="2:5" ht="15" customHeight="1">
      <c r="B54" s="107"/>
      <c r="C54" s="36" t="s">
        <v>29</v>
      </c>
      <c r="D54" s="35">
        <v>198</v>
      </c>
      <c r="E54" s="34">
        <v>2.0687493469856998E-2</v>
      </c>
    </row>
    <row r="55" spans="2:5" ht="15" customHeight="1">
      <c r="B55" s="107" t="s">
        <v>103</v>
      </c>
      <c r="C55" s="66" t="s">
        <v>202</v>
      </c>
      <c r="D55" s="67">
        <v>168</v>
      </c>
      <c r="E55" s="68">
        <v>1.7553024762302999E-2</v>
      </c>
    </row>
    <row r="56" spans="2:5" ht="15" customHeight="1">
      <c r="B56" s="107"/>
      <c r="C56" s="66" t="s">
        <v>203</v>
      </c>
      <c r="D56" s="67">
        <v>13</v>
      </c>
      <c r="E56" s="68">
        <v>1.3582697732729999E-3</v>
      </c>
    </row>
    <row r="57" spans="2:5" ht="15" customHeight="1">
      <c r="B57" s="107"/>
      <c r="C57" s="66" t="s">
        <v>204</v>
      </c>
      <c r="D57" s="67">
        <v>177</v>
      </c>
      <c r="E57" s="68">
        <v>1.8493365374568999E-2</v>
      </c>
    </row>
    <row r="58" spans="2:5" ht="15" customHeight="1">
      <c r="B58" s="107"/>
      <c r="C58" s="66" t="s">
        <v>214</v>
      </c>
      <c r="D58" s="67">
        <v>55</v>
      </c>
      <c r="E58" s="68">
        <v>5.7465259638490003E-3</v>
      </c>
    </row>
    <row r="59" spans="2:5" ht="15" customHeight="1">
      <c r="B59" s="107"/>
      <c r="C59" s="66" t="s">
        <v>205</v>
      </c>
      <c r="D59" s="67">
        <v>8</v>
      </c>
      <c r="E59" s="68">
        <v>8.3585832201399997E-4</v>
      </c>
    </row>
    <row r="60" spans="2:5" ht="15" customHeight="1">
      <c r="B60" s="107"/>
      <c r="C60" s="66" t="s">
        <v>215</v>
      </c>
      <c r="D60" s="67">
        <v>28</v>
      </c>
      <c r="E60" s="68">
        <v>2.9255041270500001E-3</v>
      </c>
    </row>
    <row r="61" spans="2:5" ht="15" customHeight="1">
      <c r="B61" s="107"/>
      <c r="C61" s="66" t="s">
        <v>219</v>
      </c>
      <c r="D61" s="67">
        <v>118</v>
      </c>
      <c r="E61" s="68">
        <v>1.2328910249713E-2</v>
      </c>
    </row>
    <row r="62" spans="2:5" ht="15" customHeight="1">
      <c r="B62" s="107"/>
      <c r="C62" s="66" t="s">
        <v>206</v>
      </c>
      <c r="D62" s="67">
        <v>13</v>
      </c>
      <c r="E62" s="68">
        <v>1.3582697732729999E-3</v>
      </c>
    </row>
    <row r="63" spans="2:5" ht="15" customHeight="1">
      <c r="B63" s="107"/>
      <c r="C63" s="66" t="s">
        <v>207</v>
      </c>
      <c r="D63" s="67">
        <v>16</v>
      </c>
      <c r="E63" s="68">
        <v>1.671716644029E-3</v>
      </c>
    </row>
    <row r="64" spans="2:5" ht="15" customHeight="1">
      <c r="B64" s="107"/>
      <c r="C64" s="66" t="s">
        <v>216</v>
      </c>
      <c r="D64" s="67">
        <v>7</v>
      </c>
      <c r="E64" s="68">
        <v>7.3137603176300005E-4</v>
      </c>
    </row>
    <row r="65" spans="2:5" ht="15" customHeight="1">
      <c r="B65" s="107"/>
      <c r="C65" s="66" t="s">
        <v>220</v>
      </c>
      <c r="D65" s="67">
        <v>1</v>
      </c>
      <c r="E65" s="68">
        <v>1.04482290252E-4</v>
      </c>
    </row>
    <row r="66" spans="2:5" ht="15" customHeight="1">
      <c r="B66" s="107"/>
      <c r="C66" s="66" t="s">
        <v>217</v>
      </c>
      <c r="D66" s="67">
        <v>19</v>
      </c>
      <c r="E66" s="68">
        <v>1.985163514784E-3</v>
      </c>
    </row>
    <row r="67" spans="2:5" ht="15" customHeight="1">
      <c r="B67" s="107"/>
      <c r="C67" s="66" t="s">
        <v>218</v>
      </c>
      <c r="D67" s="67">
        <v>68</v>
      </c>
      <c r="E67" s="68">
        <v>7.1047957371230003E-3</v>
      </c>
    </row>
    <row r="68" spans="2:5" ht="15" customHeight="1">
      <c r="B68" s="107"/>
      <c r="C68" s="66" t="s">
        <v>208</v>
      </c>
      <c r="D68" s="67">
        <v>82</v>
      </c>
      <c r="E68" s="68">
        <v>8.5675478006479993E-3</v>
      </c>
    </row>
    <row r="69" spans="2:5" ht="15" customHeight="1">
      <c r="B69" s="107"/>
      <c r="C69" s="66" t="s">
        <v>209</v>
      </c>
      <c r="D69" s="67">
        <v>266</v>
      </c>
      <c r="E69" s="68">
        <v>2.7792289206979001E-2</v>
      </c>
    </row>
    <row r="70" spans="2:5" ht="15" customHeight="1">
      <c r="B70" s="107"/>
      <c r="C70" s="66" t="s">
        <v>210</v>
      </c>
      <c r="D70" s="67">
        <v>60</v>
      </c>
      <c r="E70" s="68">
        <v>6.2689374151079997E-3</v>
      </c>
    </row>
    <row r="71" spans="2:5" ht="15" customHeight="1">
      <c r="B71" s="107"/>
      <c r="C71" s="66" t="s">
        <v>211</v>
      </c>
      <c r="D71" s="67">
        <v>396</v>
      </c>
      <c r="E71" s="68">
        <v>4.1374986939713997E-2</v>
      </c>
    </row>
    <row r="72" spans="2:5" ht="15" customHeight="1">
      <c r="B72" s="107"/>
      <c r="C72" s="66" t="s">
        <v>212</v>
      </c>
      <c r="D72" s="67">
        <v>54</v>
      </c>
      <c r="E72" s="68">
        <v>5.6420436735969996E-3</v>
      </c>
    </row>
    <row r="73" spans="2:5" ht="15" customHeight="1">
      <c r="B73" s="107"/>
      <c r="C73" s="66" t="s">
        <v>213</v>
      </c>
      <c r="D73" s="67">
        <v>81</v>
      </c>
      <c r="E73" s="68">
        <v>8.4630655103960003E-3</v>
      </c>
    </row>
    <row r="74" spans="2:5" ht="15" customHeight="1">
      <c r="B74" s="107"/>
      <c r="C74" s="36" t="s">
        <v>29</v>
      </c>
      <c r="D74" s="35">
        <v>1630</v>
      </c>
      <c r="E74" s="34">
        <v>0.17030613311043799</v>
      </c>
    </row>
    <row r="75" spans="2:5" ht="15" customHeight="1">
      <c r="B75" s="107" t="s">
        <v>104</v>
      </c>
      <c r="C75" s="66" t="s">
        <v>202</v>
      </c>
      <c r="D75" s="67">
        <v>12</v>
      </c>
      <c r="E75" s="68">
        <v>1.2537874830219999E-3</v>
      </c>
    </row>
    <row r="76" spans="2:5" ht="15" customHeight="1">
      <c r="B76" s="107"/>
      <c r="C76" s="66" t="s">
        <v>203</v>
      </c>
      <c r="D76" s="67">
        <v>2</v>
      </c>
      <c r="E76" s="68">
        <v>2.08964580504E-4</v>
      </c>
    </row>
    <row r="77" spans="2:5" ht="15" customHeight="1">
      <c r="B77" s="107"/>
      <c r="C77" s="66" t="s">
        <v>204</v>
      </c>
      <c r="D77" s="67">
        <v>9</v>
      </c>
      <c r="E77" s="68">
        <v>9.4034061226599996E-4</v>
      </c>
    </row>
    <row r="78" spans="2:5" ht="15" customHeight="1">
      <c r="B78" s="107"/>
      <c r="C78" s="66" t="s">
        <v>214</v>
      </c>
      <c r="D78" s="67">
        <v>1</v>
      </c>
      <c r="E78" s="68">
        <v>1.04482290252E-4</v>
      </c>
    </row>
    <row r="79" spans="2:5" ht="15" customHeight="1">
      <c r="B79" s="107"/>
      <c r="C79" s="66" t="s">
        <v>205</v>
      </c>
      <c r="D79" s="67">
        <v>1</v>
      </c>
      <c r="E79" s="68">
        <v>1.04482290252E-4</v>
      </c>
    </row>
    <row r="80" spans="2:5" ht="15" customHeight="1">
      <c r="B80" s="107"/>
      <c r="C80" s="66" t="s">
        <v>215</v>
      </c>
      <c r="D80" s="67">
        <v>12</v>
      </c>
      <c r="E80" s="68">
        <v>1.2537874830219999E-3</v>
      </c>
    </row>
    <row r="81" spans="2:5" ht="15" customHeight="1">
      <c r="B81" s="107"/>
      <c r="C81" s="66" t="s">
        <v>207</v>
      </c>
      <c r="D81" s="67">
        <v>4</v>
      </c>
      <c r="E81" s="68">
        <v>4.1792916100699999E-4</v>
      </c>
    </row>
    <row r="82" spans="2:5" ht="15" customHeight="1">
      <c r="B82" s="107"/>
      <c r="C82" s="66" t="s">
        <v>216</v>
      </c>
      <c r="D82" s="67">
        <v>9</v>
      </c>
      <c r="E82" s="68">
        <v>9.4034061226599996E-4</v>
      </c>
    </row>
    <row r="83" spans="2:5" ht="15" customHeight="1">
      <c r="B83" s="107"/>
      <c r="C83" s="66" t="s">
        <v>217</v>
      </c>
      <c r="D83" s="67">
        <v>4</v>
      </c>
      <c r="E83" s="68">
        <v>4.1792916100699999E-4</v>
      </c>
    </row>
    <row r="84" spans="2:5" ht="15" customHeight="1">
      <c r="B84" s="107"/>
      <c r="C84" s="66" t="s">
        <v>218</v>
      </c>
      <c r="D84" s="67">
        <v>2</v>
      </c>
      <c r="E84" s="68">
        <v>2.08964580504E-4</v>
      </c>
    </row>
    <row r="85" spans="2:5" ht="15" customHeight="1">
      <c r="B85" s="107"/>
      <c r="C85" s="66" t="s">
        <v>208</v>
      </c>
      <c r="D85" s="67">
        <v>3</v>
      </c>
      <c r="E85" s="68">
        <v>3.13446870755E-4</v>
      </c>
    </row>
    <row r="86" spans="2:5" ht="15" customHeight="1">
      <c r="B86" s="107"/>
      <c r="C86" s="66" t="s">
        <v>209</v>
      </c>
      <c r="D86" s="67">
        <v>45</v>
      </c>
      <c r="E86" s="68">
        <v>4.701703061331E-3</v>
      </c>
    </row>
    <row r="87" spans="2:5" ht="15" customHeight="1">
      <c r="B87" s="107"/>
      <c r="C87" s="66" t="s">
        <v>210</v>
      </c>
      <c r="D87" s="67">
        <v>3</v>
      </c>
      <c r="E87" s="68">
        <v>3.13446870755E-4</v>
      </c>
    </row>
    <row r="88" spans="2:5" ht="15" customHeight="1">
      <c r="B88" s="107"/>
      <c r="C88" s="66" t="s">
        <v>211</v>
      </c>
      <c r="D88" s="67">
        <v>18</v>
      </c>
      <c r="E88" s="68">
        <v>1.8806812245319999E-3</v>
      </c>
    </row>
    <row r="89" spans="2:5" ht="15" customHeight="1">
      <c r="B89" s="107"/>
      <c r="C89" s="66" t="s">
        <v>212</v>
      </c>
      <c r="D89" s="67">
        <v>9</v>
      </c>
      <c r="E89" s="68">
        <v>9.4034061226599996E-4</v>
      </c>
    </row>
    <row r="90" spans="2:5" ht="15" customHeight="1">
      <c r="B90" s="107"/>
      <c r="C90" s="36" t="s">
        <v>29</v>
      </c>
      <c r="D90" s="35">
        <v>134</v>
      </c>
      <c r="E90" s="34">
        <v>1.4000626893741999E-2</v>
      </c>
    </row>
    <row r="91" spans="2:5" ht="15" customHeight="1">
      <c r="B91" s="107" t="s">
        <v>105</v>
      </c>
      <c r="C91" s="66" t="s">
        <v>203</v>
      </c>
      <c r="D91" s="67">
        <v>1</v>
      </c>
      <c r="E91" s="68">
        <v>1.04482290252E-4</v>
      </c>
    </row>
    <row r="92" spans="2:5" ht="15" customHeight="1">
      <c r="B92" s="107"/>
      <c r="C92" s="66" t="s">
        <v>204</v>
      </c>
      <c r="D92" s="67">
        <v>1</v>
      </c>
      <c r="E92" s="68">
        <v>1.04482290252E-4</v>
      </c>
    </row>
    <row r="93" spans="2:5" ht="15" customHeight="1">
      <c r="B93" s="107"/>
      <c r="C93" s="66" t="s">
        <v>214</v>
      </c>
      <c r="D93" s="67">
        <v>3</v>
      </c>
      <c r="E93" s="68">
        <v>3.13446870755E-4</v>
      </c>
    </row>
    <row r="94" spans="2:5" ht="15" customHeight="1">
      <c r="B94" s="107"/>
      <c r="C94" s="66" t="s">
        <v>215</v>
      </c>
      <c r="D94" s="67">
        <v>1</v>
      </c>
      <c r="E94" s="68">
        <v>1.04482290252E-4</v>
      </c>
    </row>
    <row r="95" spans="2:5" ht="15" customHeight="1">
      <c r="B95" s="107"/>
      <c r="C95" s="66" t="s">
        <v>208</v>
      </c>
      <c r="D95" s="67">
        <v>1</v>
      </c>
      <c r="E95" s="68">
        <v>1.04482290252E-4</v>
      </c>
    </row>
    <row r="96" spans="2:5" ht="15" customHeight="1">
      <c r="B96" s="107"/>
      <c r="C96" s="66" t="s">
        <v>209</v>
      </c>
      <c r="D96" s="67">
        <v>7</v>
      </c>
      <c r="E96" s="68">
        <v>7.3137603176300005E-4</v>
      </c>
    </row>
    <row r="97" spans="2:5" ht="15" customHeight="1">
      <c r="B97" s="107"/>
      <c r="C97" s="66" t="s">
        <v>211</v>
      </c>
      <c r="D97" s="67">
        <v>2</v>
      </c>
      <c r="E97" s="68">
        <v>2.08964580504E-4</v>
      </c>
    </row>
    <row r="98" spans="2:5" ht="15" customHeight="1">
      <c r="B98" s="107"/>
      <c r="C98" s="36" t="s">
        <v>29</v>
      </c>
      <c r="D98" s="35">
        <v>16</v>
      </c>
      <c r="E98" s="34">
        <v>1.671716644029E-3</v>
      </c>
    </row>
    <row r="99" spans="2:5" ht="15" customHeight="1">
      <c r="B99" s="107" t="s">
        <v>106</v>
      </c>
      <c r="C99" s="66" t="s">
        <v>204</v>
      </c>
      <c r="D99" s="67">
        <v>1</v>
      </c>
      <c r="E99" s="68">
        <v>1.04482290252E-4</v>
      </c>
    </row>
    <row r="100" spans="2:5" ht="15" customHeight="1">
      <c r="B100" s="107"/>
      <c r="C100" s="66" t="s">
        <v>214</v>
      </c>
      <c r="D100" s="67">
        <v>1</v>
      </c>
      <c r="E100" s="68">
        <v>1.04482290252E-4</v>
      </c>
    </row>
    <row r="101" spans="2:5" ht="15" customHeight="1">
      <c r="B101" s="107"/>
      <c r="C101" s="66" t="s">
        <v>207</v>
      </c>
      <c r="D101" s="67">
        <v>1</v>
      </c>
      <c r="E101" s="68">
        <v>1.04482290252E-4</v>
      </c>
    </row>
    <row r="102" spans="2:5" ht="15" customHeight="1">
      <c r="B102" s="107"/>
      <c r="C102" s="66" t="s">
        <v>209</v>
      </c>
      <c r="D102" s="67">
        <v>1</v>
      </c>
      <c r="E102" s="68">
        <v>1.04482290252E-4</v>
      </c>
    </row>
    <row r="103" spans="2:5" ht="15" customHeight="1">
      <c r="B103" s="107"/>
      <c r="C103" s="66" t="s">
        <v>213</v>
      </c>
      <c r="D103" s="67">
        <v>1</v>
      </c>
      <c r="E103" s="68">
        <v>1.04482290252E-4</v>
      </c>
    </row>
    <row r="104" spans="2:5" ht="15" customHeight="1">
      <c r="B104" s="107"/>
      <c r="C104" s="36" t="s">
        <v>29</v>
      </c>
      <c r="D104" s="35">
        <v>5</v>
      </c>
      <c r="E104" s="34">
        <v>5.2241145125899997E-4</v>
      </c>
    </row>
    <row r="105" spans="2:5" ht="15" customHeight="1">
      <c r="B105" s="107" t="s">
        <v>107</v>
      </c>
      <c r="C105" s="66" t="s">
        <v>211</v>
      </c>
      <c r="D105" s="67">
        <v>1</v>
      </c>
      <c r="E105" s="68">
        <v>1.04482290252E-4</v>
      </c>
    </row>
    <row r="106" spans="2:5" ht="15" customHeight="1">
      <c r="B106" s="107"/>
      <c r="C106" s="36" t="s">
        <v>29</v>
      </c>
      <c r="D106" s="35">
        <v>1</v>
      </c>
      <c r="E106" s="34">
        <v>1.04482290252E-4</v>
      </c>
    </row>
    <row r="107" spans="2:5" ht="15" customHeight="1">
      <c r="B107" s="107" t="s">
        <v>108</v>
      </c>
      <c r="C107" s="66" t="s">
        <v>202</v>
      </c>
      <c r="D107" s="67">
        <v>6</v>
      </c>
      <c r="E107" s="68">
        <v>6.2689374151099996E-4</v>
      </c>
    </row>
    <row r="108" spans="2:5" ht="15" customHeight="1">
      <c r="B108" s="107"/>
      <c r="C108" s="66" t="s">
        <v>203</v>
      </c>
      <c r="D108" s="67">
        <v>21</v>
      </c>
      <c r="E108" s="68">
        <v>2.1941280952880002E-3</v>
      </c>
    </row>
    <row r="109" spans="2:5" ht="15" customHeight="1">
      <c r="B109" s="107"/>
      <c r="C109" s="66" t="s">
        <v>204</v>
      </c>
      <c r="D109" s="67">
        <v>118</v>
      </c>
      <c r="E109" s="68">
        <v>1.2328910249713E-2</v>
      </c>
    </row>
    <row r="110" spans="2:5" ht="15" customHeight="1">
      <c r="B110" s="107"/>
      <c r="C110" s="66" t="s">
        <v>214</v>
      </c>
      <c r="D110" s="67">
        <v>35</v>
      </c>
      <c r="E110" s="68">
        <v>3.656880158813E-3</v>
      </c>
    </row>
    <row r="111" spans="2:5" ht="15" customHeight="1">
      <c r="B111" s="107"/>
      <c r="C111" s="66" t="s">
        <v>205</v>
      </c>
      <c r="D111" s="67">
        <v>6</v>
      </c>
      <c r="E111" s="68">
        <v>6.2689374151099996E-4</v>
      </c>
    </row>
    <row r="112" spans="2:5" ht="15" customHeight="1">
      <c r="B112" s="107"/>
      <c r="C112" s="66" t="s">
        <v>215</v>
      </c>
      <c r="D112" s="67">
        <v>5</v>
      </c>
      <c r="E112" s="68">
        <v>5.2241145125899997E-4</v>
      </c>
    </row>
    <row r="113" spans="2:5" ht="15" customHeight="1">
      <c r="B113" s="107"/>
      <c r="C113" s="66" t="s">
        <v>219</v>
      </c>
      <c r="D113" s="67">
        <v>11</v>
      </c>
      <c r="E113" s="68">
        <v>1.14930519277E-3</v>
      </c>
    </row>
    <row r="114" spans="2:5" ht="15" customHeight="1">
      <c r="B114" s="107"/>
      <c r="C114" s="66" t="s">
        <v>206</v>
      </c>
      <c r="D114" s="67">
        <v>10</v>
      </c>
      <c r="E114" s="68">
        <v>1.0448229025179999E-3</v>
      </c>
    </row>
    <row r="115" spans="2:5" ht="15" customHeight="1">
      <c r="B115" s="107"/>
      <c r="C115" s="66" t="s">
        <v>207</v>
      </c>
      <c r="D115" s="67">
        <v>66</v>
      </c>
      <c r="E115" s="68">
        <v>6.8958311566189997E-3</v>
      </c>
    </row>
    <row r="116" spans="2:5" ht="15" customHeight="1">
      <c r="B116" s="107"/>
      <c r="C116" s="66" t="s">
        <v>216</v>
      </c>
      <c r="D116" s="67">
        <v>113</v>
      </c>
      <c r="E116" s="68">
        <v>1.1806498798453999E-2</v>
      </c>
    </row>
    <row r="117" spans="2:5" ht="15" customHeight="1">
      <c r="B117" s="107"/>
      <c r="C117" s="66" t="s">
        <v>217</v>
      </c>
      <c r="D117" s="67">
        <v>4</v>
      </c>
      <c r="E117" s="68">
        <v>4.1792916100699999E-4</v>
      </c>
    </row>
    <row r="118" spans="2:5" ht="15" customHeight="1">
      <c r="B118" s="107"/>
      <c r="C118" s="66" t="s">
        <v>218</v>
      </c>
      <c r="D118" s="67">
        <v>3</v>
      </c>
      <c r="E118" s="68">
        <v>3.13446870755E-4</v>
      </c>
    </row>
    <row r="119" spans="2:5" ht="15" customHeight="1">
      <c r="B119" s="107"/>
      <c r="C119" s="66" t="s">
        <v>208</v>
      </c>
      <c r="D119" s="67">
        <v>99</v>
      </c>
      <c r="E119" s="68">
        <v>1.0343746734928E-2</v>
      </c>
    </row>
    <row r="120" spans="2:5" ht="15" customHeight="1">
      <c r="B120" s="107"/>
      <c r="C120" s="66" t="s">
        <v>209</v>
      </c>
      <c r="D120" s="67">
        <v>156</v>
      </c>
      <c r="E120" s="68">
        <v>1.6299237279280999E-2</v>
      </c>
    </row>
    <row r="121" spans="2:5" ht="15" customHeight="1">
      <c r="B121" s="107"/>
      <c r="C121" s="66" t="s">
        <v>210</v>
      </c>
      <c r="D121" s="67">
        <v>11</v>
      </c>
      <c r="E121" s="68">
        <v>1.14930519277E-3</v>
      </c>
    </row>
    <row r="122" spans="2:5" ht="15" customHeight="1">
      <c r="B122" s="107"/>
      <c r="C122" s="66" t="s">
        <v>211</v>
      </c>
      <c r="D122" s="67">
        <v>48</v>
      </c>
      <c r="E122" s="68">
        <v>5.0151499320869996E-3</v>
      </c>
    </row>
    <row r="123" spans="2:5" ht="15" customHeight="1">
      <c r="B123" s="107"/>
      <c r="C123" s="66" t="s">
        <v>212</v>
      </c>
      <c r="D123" s="67">
        <v>26</v>
      </c>
      <c r="E123" s="68">
        <v>2.716539546547E-3</v>
      </c>
    </row>
    <row r="124" spans="2:5" ht="15" customHeight="1">
      <c r="B124" s="107"/>
      <c r="C124" s="66" t="s">
        <v>213</v>
      </c>
      <c r="D124" s="67">
        <v>2</v>
      </c>
      <c r="E124" s="68">
        <v>2.08964580504E-4</v>
      </c>
    </row>
    <row r="125" spans="2:5" ht="15" customHeight="1">
      <c r="B125" s="107"/>
      <c r="C125" s="36" t="s">
        <v>29</v>
      </c>
      <c r="D125" s="35">
        <v>740</v>
      </c>
      <c r="E125" s="34">
        <v>7.7316894786333995E-2</v>
      </c>
    </row>
    <row r="126" spans="2:5" ht="15" customHeight="1">
      <c r="B126" s="107" t="s">
        <v>109</v>
      </c>
      <c r="C126" s="66" t="s">
        <v>202</v>
      </c>
      <c r="D126" s="67">
        <v>8</v>
      </c>
      <c r="E126" s="68">
        <v>8.3585832201399997E-4</v>
      </c>
    </row>
    <row r="127" spans="2:5" ht="15" customHeight="1">
      <c r="B127" s="107"/>
      <c r="C127" s="66" t="s">
        <v>203</v>
      </c>
      <c r="D127" s="67">
        <v>8</v>
      </c>
      <c r="E127" s="68">
        <v>8.3585832201399997E-4</v>
      </c>
    </row>
    <row r="128" spans="2:5" ht="15" customHeight="1">
      <c r="B128" s="107"/>
      <c r="C128" s="66" t="s">
        <v>204</v>
      </c>
      <c r="D128" s="67">
        <v>79</v>
      </c>
      <c r="E128" s="68">
        <v>8.2541009298920005E-3</v>
      </c>
    </row>
    <row r="129" spans="2:5" ht="15" customHeight="1">
      <c r="B129" s="107"/>
      <c r="C129" s="66" t="s">
        <v>214</v>
      </c>
      <c r="D129" s="67">
        <v>2</v>
      </c>
      <c r="E129" s="68">
        <v>2.08964580504E-4</v>
      </c>
    </row>
    <row r="130" spans="2:5" ht="15" customHeight="1">
      <c r="B130" s="107"/>
      <c r="C130" s="66" t="s">
        <v>205</v>
      </c>
      <c r="D130" s="67">
        <v>5</v>
      </c>
      <c r="E130" s="68">
        <v>5.2241145125899997E-4</v>
      </c>
    </row>
    <row r="131" spans="2:5" ht="15" customHeight="1">
      <c r="B131" s="107"/>
      <c r="C131" s="66" t="s">
        <v>215</v>
      </c>
      <c r="D131" s="67">
        <v>3</v>
      </c>
      <c r="E131" s="68">
        <v>3.13446870755E-4</v>
      </c>
    </row>
    <row r="132" spans="2:5" ht="15" customHeight="1">
      <c r="B132" s="107"/>
      <c r="C132" s="66" t="s">
        <v>219</v>
      </c>
      <c r="D132" s="67">
        <v>1</v>
      </c>
      <c r="E132" s="68">
        <v>1.04482290252E-4</v>
      </c>
    </row>
    <row r="133" spans="2:5" ht="15" customHeight="1">
      <c r="B133" s="107"/>
      <c r="C133" s="66" t="s">
        <v>206</v>
      </c>
      <c r="D133" s="67">
        <v>32</v>
      </c>
      <c r="E133" s="68">
        <v>3.343433288058E-3</v>
      </c>
    </row>
    <row r="134" spans="2:5" ht="15" customHeight="1">
      <c r="B134" s="107"/>
      <c r="C134" s="66" t="s">
        <v>207</v>
      </c>
      <c r="D134" s="67">
        <v>28</v>
      </c>
      <c r="E134" s="68">
        <v>2.9255041270500001E-3</v>
      </c>
    </row>
    <row r="135" spans="2:5" ht="15" customHeight="1">
      <c r="B135" s="107"/>
      <c r="C135" s="66" t="s">
        <v>216</v>
      </c>
      <c r="D135" s="67">
        <v>19</v>
      </c>
      <c r="E135" s="68">
        <v>1.985163514784E-3</v>
      </c>
    </row>
    <row r="136" spans="2:5" ht="15" customHeight="1">
      <c r="B136" s="107"/>
      <c r="C136" s="66" t="s">
        <v>220</v>
      </c>
      <c r="D136" s="67">
        <v>1</v>
      </c>
      <c r="E136" s="68">
        <v>1.04482290252E-4</v>
      </c>
    </row>
    <row r="137" spans="2:5" ht="15" customHeight="1">
      <c r="B137" s="107"/>
      <c r="C137" s="66" t="s">
        <v>217</v>
      </c>
      <c r="D137" s="67">
        <v>13</v>
      </c>
      <c r="E137" s="68">
        <v>1.3582697732729999E-3</v>
      </c>
    </row>
    <row r="138" spans="2:5" ht="15" customHeight="1">
      <c r="B138" s="107"/>
      <c r="C138" s="66" t="s">
        <v>218</v>
      </c>
      <c r="D138" s="67">
        <v>5</v>
      </c>
      <c r="E138" s="68">
        <v>5.2241145125899997E-4</v>
      </c>
    </row>
    <row r="139" spans="2:5" ht="15" customHeight="1">
      <c r="B139" s="107"/>
      <c r="C139" s="66" t="s">
        <v>208</v>
      </c>
      <c r="D139" s="67">
        <v>20</v>
      </c>
      <c r="E139" s="68">
        <v>2.0896458050359999E-3</v>
      </c>
    </row>
    <row r="140" spans="2:5" ht="15" customHeight="1">
      <c r="B140" s="107"/>
      <c r="C140" s="66" t="s">
        <v>209</v>
      </c>
      <c r="D140" s="67">
        <v>76</v>
      </c>
      <c r="E140" s="68">
        <v>7.9406540591369992E-3</v>
      </c>
    </row>
    <row r="141" spans="2:5" ht="15" customHeight="1">
      <c r="B141" s="107"/>
      <c r="C141" s="66" t="s">
        <v>210</v>
      </c>
      <c r="D141" s="67">
        <v>3</v>
      </c>
      <c r="E141" s="68">
        <v>3.13446870755E-4</v>
      </c>
    </row>
    <row r="142" spans="2:5" ht="15" customHeight="1">
      <c r="B142" s="107"/>
      <c r="C142" s="66" t="s">
        <v>211</v>
      </c>
      <c r="D142" s="67">
        <v>43</v>
      </c>
      <c r="E142" s="68">
        <v>4.4927384808280003E-3</v>
      </c>
    </row>
    <row r="143" spans="2:5" ht="15" customHeight="1">
      <c r="B143" s="107"/>
      <c r="C143" s="66" t="s">
        <v>212</v>
      </c>
      <c r="D143" s="67">
        <v>6</v>
      </c>
      <c r="E143" s="68">
        <v>6.2689374151099996E-4</v>
      </c>
    </row>
    <row r="144" spans="2:5" ht="15" customHeight="1">
      <c r="B144" s="107"/>
      <c r="C144" s="66" t="s">
        <v>213</v>
      </c>
      <c r="D144" s="67">
        <v>1</v>
      </c>
      <c r="E144" s="68">
        <v>1.04482290252E-4</v>
      </c>
    </row>
    <row r="145" spans="2:5" ht="15" customHeight="1">
      <c r="B145" s="107"/>
      <c r="C145" s="36" t="s">
        <v>29</v>
      </c>
      <c r="D145" s="35">
        <v>353</v>
      </c>
      <c r="E145" s="34">
        <v>3.6882248458885998E-2</v>
      </c>
    </row>
    <row r="146" spans="2:5" ht="15" customHeight="1">
      <c r="B146" s="107" t="s">
        <v>110</v>
      </c>
      <c r="C146" s="66" t="s">
        <v>202</v>
      </c>
      <c r="D146" s="67">
        <v>1</v>
      </c>
      <c r="E146" s="68">
        <v>1.04482290252E-4</v>
      </c>
    </row>
    <row r="147" spans="2:5" ht="15" customHeight="1">
      <c r="B147" s="107"/>
      <c r="C147" s="66" t="s">
        <v>204</v>
      </c>
      <c r="D147" s="67">
        <v>2</v>
      </c>
      <c r="E147" s="68">
        <v>2.08964580504E-4</v>
      </c>
    </row>
    <row r="148" spans="2:5" ht="15" customHeight="1">
      <c r="B148" s="107"/>
      <c r="C148" s="36" t="s">
        <v>29</v>
      </c>
      <c r="D148" s="35">
        <v>3</v>
      </c>
      <c r="E148" s="34">
        <v>3.13446870755E-4</v>
      </c>
    </row>
    <row r="149" spans="2:5" ht="15" customHeight="1">
      <c r="B149" s="107" t="s">
        <v>111</v>
      </c>
      <c r="C149" s="66" t="s">
        <v>202</v>
      </c>
      <c r="D149" s="67">
        <v>1</v>
      </c>
      <c r="E149" s="68">
        <v>1.04482290252E-4</v>
      </c>
    </row>
    <row r="150" spans="2:5" ht="15" customHeight="1">
      <c r="B150" s="107"/>
      <c r="C150" s="66" t="s">
        <v>203</v>
      </c>
      <c r="D150" s="67">
        <v>1</v>
      </c>
      <c r="E150" s="68">
        <v>1.04482290252E-4</v>
      </c>
    </row>
    <row r="151" spans="2:5" ht="15" customHeight="1">
      <c r="B151" s="107"/>
      <c r="C151" s="66" t="s">
        <v>204</v>
      </c>
      <c r="D151" s="67">
        <v>12</v>
      </c>
      <c r="E151" s="68">
        <v>1.2537874830219999E-3</v>
      </c>
    </row>
    <row r="152" spans="2:5" ht="15" customHeight="1">
      <c r="B152" s="107"/>
      <c r="C152" s="66" t="s">
        <v>205</v>
      </c>
      <c r="D152" s="67">
        <v>1</v>
      </c>
      <c r="E152" s="68">
        <v>1.04482290252E-4</v>
      </c>
    </row>
    <row r="153" spans="2:5" ht="15" customHeight="1">
      <c r="B153" s="107"/>
      <c r="C153" s="66" t="s">
        <v>215</v>
      </c>
      <c r="D153" s="67">
        <v>6</v>
      </c>
      <c r="E153" s="68">
        <v>6.2689374151099996E-4</v>
      </c>
    </row>
    <row r="154" spans="2:5" ht="15" customHeight="1">
      <c r="B154" s="107"/>
      <c r="C154" s="66" t="s">
        <v>206</v>
      </c>
      <c r="D154" s="67">
        <v>1</v>
      </c>
      <c r="E154" s="68">
        <v>1.04482290252E-4</v>
      </c>
    </row>
    <row r="155" spans="2:5" ht="15" customHeight="1">
      <c r="B155" s="107"/>
      <c r="C155" s="66" t="s">
        <v>207</v>
      </c>
      <c r="D155" s="67">
        <v>4</v>
      </c>
      <c r="E155" s="68">
        <v>4.1792916100699999E-4</v>
      </c>
    </row>
    <row r="156" spans="2:5" ht="15" customHeight="1">
      <c r="B156" s="107"/>
      <c r="C156" s="66" t="s">
        <v>218</v>
      </c>
      <c r="D156" s="67">
        <v>4</v>
      </c>
      <c r="E156" s="68">
        <v>4.1792916100699999E-4</v>
      </c>
    </row>
    <row r="157" spans="2:5" ht="15" customHeight="1">
      <c r="B157" s="107"/>
      <c r="C157" s="66" t="s">
        <v>208</v>
      </c>
      <c r="D157" s="67">
        <v>11</v>
      </c>
      <c r="E157" s="68">
        <v>1.14930519277E-3</v>
      </c>
    </row>
    <row r="158" spans="2:5" ht="15" customHeight="1">
      <c r="B158" s="107"/>
      <c r="C158" s="66" t="s">
        <v>209</v>
      </c>
      <c r="D158" s="67">
        <v>15</v>
      </c>
      <c r="E158" s="68">
        <v>1.5672343537769999E-3</v>
      </c>
    </row>
    <row r="159" spans="2:5" ht="15" customHeight="1">
      <c r="B159" s="107"/>
      <c r="C159" s="66" t="s">
        <v>210</v>
      </c>
      <c r="D159" s="67">
        <v>6</v>
      </c>
      <c r="E159" s="68">
        <v>6.2689374151099996E-4</v>
      </c>
    </row>
    <row r="160" spans="2:5" ht="15" customHeight="1">
      <c r="B160" s="107"/>
      <c r="C160" s="66" t="s">
        <v>211</v>
      </c>
      <c r="D160" s="67">
        <v>3</v>
      </c>
      <c r="E160" s="68">
        <v>3.13446870755E-4</v>
      </c>
    </row>
    <row r="161" spans="2:5" ht="15" customHeight="1">
      <c r="B161" s="107"/>
      <c r="C161" s="36" t="s">
        <v>29</v>
      </c>
      <c r="D161" s="35">
        <v>65</v>
      </c>
      <c r="E161" s="34">
        <v>6.7913488663669998E-3</v>
      </c>
    </row>
    <row r="162" spans="2:5" ht="15" customHeight="1">
      <c r="B162" s="107" t="s">
        <v>112</v>
      </c>
      <c r="C162" s="66" t="s">
        <v>202</v>
      </c>
      <c r="D162" s="67">
        <v>21</v>
      </c>
      <c r="E162" s="68">
        <v>2.1941280952880002E-3</v>
      </c>
    </row>
    <row r="163" spans="2:5" ht="15" customHeight="1">
      <c r="B163" s="107"/>
      <c r="C163" s="66" t="s">
        <v>203</v>
      </c>
      <c r="D163" s="67">
        <v>5</v>
      </c>
      <c r="E163" s="68">
        <v>5.2241145125899997E-4</v>
      </c>
    </row>
    <row r="164" spans="2:5" ht="15" customHeight="1">
      <c r="B164" s="107"/>
      <c r="C164" s="66" t="s">
        <v>204</v>
      </c>
      <c r="D164" s="67">
        <v>10</v>
      </c>
      <c r="E164" s="68">
        <v>1.0448229025179999E-3</v>
      </c>
    </row>
    <row r="165" spans="2:5" ht="15" customHeight="1">
      <c r="B165" s="107"/>
      <c r="C165" s="66" t="s">
        <v>214</v>
      </c>
      <c r="D165" s="67">
        <v>4</v>
      </c>
      <c r="E165" s="68">
        <v>4.1792916100699999E-4</v>
      </c>
    </row>
    <row r="166" spans="2:5" ht="15" customHeight="1">
      <c r="B166" s="107"/>
      <c r="C166" s="66" t="s">
        <v>205</v>
      </c>
      <c r="D166" s="67">
        <v>3</v>
      </c>
      <c r="E166" s="68">
        <v>3.13446870755E-4</v>
      </c>
    </row>
    <row r="167" spans="2:5" ht="15" customHeight="1">
      <c r="B167" s="107"/>
      <c r="C167" s="66" t="s">
        <v>215</v>
      </c>
      <c r="D167" s="67">
        <v>5</v>
      </c>
      <c r="E167" s="68">
        <v>5.2241145125899997E-4</v>
      </c>
    </row>
    <row r="168" spans="2:5" ht="15" customHeight="1">
      <c r="B168" s="107"/>
      <c r="C168" s="66" t="s">
        <v>219</v>
      </c>
      <c r="D168" s="67">
        <v>3</v>
      </c>
      <c r="E168" s="68">
        <v>3.13446870755E-4</v>
      </c>
    </row>
    <row r="169" spans="2:5" ht="15" customHeight="1">
      <c r="B169" s="107"/>
      <c r="C169" s="66" t="s">
        <v>206</v>
      </c>
      <c r="D169" s="67">
        <v>6</v>
      </c>
      <c r="E169" s="68">
        <v>6.2689374151099996E-4</v>
      </c>
    </row>
    <row r="170" spans="2:5" ht="15" customHeight="1">
      <c r="B170" s="107"/>
      <c r="C170" s="66" t="s">
        <v>207</v>
      </c>
      <c r="D170" s="67">
        <v>10</v>
      </c>
      <c r="E170" s="68">
        <v>1.0448229025179999E-3</v>
      </c>
    </row>
    <row r="171" spans="2:5" ht="15" customHeight="1">
      <c r="B171" s="107"/>
      <c r="C171" s="66" t="s">
        <v>216</v>
      </c>
      <c r="D171" s="67">
        <v>4</v>
      </c>
      <c r="E171" s="68">
        <v>4.1792916100699999E-4</v>
      </c>
    </row>
    <row r="172" spans="2:5" ht="15" customHeight="1">
      <c r="B172" s="107"/>
      <c r="C172" s="66" t="s">
        <v>217</v>
      </c>
      <c r="D172" s="67">
        <v>5</v>
      </c>
      <c r="E172" s="68">
        <v>5.2241145125899997E-4</v>
      </c>
    </row>
    <row r="173" spans="2:5" ht="15" customHeight="1">
      <c r="B173" s="107"/>
      <c r="C173" s="66" t="s">
        <v>208</v>
      </c>
      <c r="D173" s="67">
        <v>3</v>
      </c>
      <c r="E173" s="68">
        <v>3.13446870755E-4</v>
      </c>
    </row>
    <row r="174" spans="2:5" ht="15" customHeight="1">
      <c r="B174" s="107"/>
      <c r="C174" s="66" t="s">
        <v>209</v>
      </c>
      <c r="D174" s="67">
        <v>118</v>
      </c>
      <c r="E174" s="68">
        <v>1.2328910249713E-2</v>
      </c>
    </row>
    <row r="175" spans="2:5" ht="15" customHeight="1">
      <c r="B175" s="107"/>
      <c r="C175" s="66" t="s">
        <v>210</v>
      </c>
      <c r="D175" s="67">
        <v>2</v>
      </c>
      <c r="E175" s="68">
        <v>2.08964580504E-4</v>
      </c>
    </row>
    <row r="176" spans="2:5" ht="15" customHeight="1">
      <c r="B176" s="107"/>
      <c r="C176" s="66" t="s">
        <v>211</v>
      </c>
      <c r="D176" s="67">
        <v>27</v>
      </c>
      <c r="E176" s="68">
        <v>2.8210218367989998E-3</v>
      </c>
    </row>
    <row r="177" spans="2:5" ht="15" customHeight="1">
      <c r="B177" s="107"/>
      <c r="C177" s="66" t="s">
        <v>212</v>
      </c>
      <c r="D177" s="67">
        <v>21</v>
      </c>
      <c r="E177" s="68">
        <v>2.1941280952880002E-3</v>
      </c>
    </row>
    <row r="178" spans="2:5" ht="15" customHeight="1">
      <c r="B178" s="107"/>
      <c r="C178" s="36" t="s">
        <v>29</v>
      </c>
      <c r="D178" s="35">
        <v>247</v>
      </c>
      <c r="E178" s="34">
        <v>2.5807125692194999E-2</v>
      </c>
    </row>
    <row r="179" spans="2:5" ht="15" customHeight="1">
      <c r="B179" s="107" t="s">
        <v>113</v>
      </c>
      <c r="C179" s="66" t="s">
        <v>202</v>
      </c>
      <c r="D179" s="67">
        <v>16</v>
      </c>
      <c r="E179" s="68">
        <v>1.671716644029E-3</v>
      </c>
    </row>
    <row r="180" spans="2:5" ht="15" customHeight="1">
      <c r="B180" s="107"/>
      <c r="C180" s="66" t="s">
        <v>204</v>
      </c>
      <c r="D180" s="67">
        <v>50</v>
      </c>
      <c r="E180" s="68">
        <v>5.2241145125900001E-3</v>
      </c>
    </row>
    <row r="181" spans="2:5" ht="15" customHeight="1">
      <c r="B181" s="107"/>
      <c r="C181" s="66" t="s">
        <v>215</v>
      </c>
      <c r="D181" s="67">
        <v>2</v>
      </c>
      <c r="E181" s="68">
        <v>2.08964580504E-4</v>
      </c>
    </row>
    <row r="182" spans="2:5" ht="15" customHeight="1">
      <c r="B182" s="107"/>
      <c r="C182" s="66" t="s">
        <v>219</v>
      </c>
      <c r="D182" s="67">
        <v>2</v>
      </c>
      <c r="E182" s="68">
        <v>2.08964580504E-4</v>
      </c>
    </row>
    <row r="183" spans="2:5" ht="15" customHeight="1">
      <c r="B183" s="107"/>
      <c r="C183" s="66" t="s">
        <v>206</v>
      </c>
      <c r="D183" s="67">
        <v>1</v>
      </c>
      <c r="E183" s="68">
        <v>1.04482290252E-4</v>
      </c>
    </row>
    <row r="184" spans="2:5" ht="15" customHeight="1">
      <c r="B184" s="107"/>
      <c r="C184" s="66" t="s">
        <v>207</v>
      </c>
      <c r="D184" s="67">
        <v>5</v>
      </c>
      <c r="E184" s="68">
        <v>5.2241145125899997E-4</v>
      </c>
    </row>
    <row r="185" spans="2:5" ht="15" customHeight="1">
      <c r="B185" s="107"/>
      <c r="C185" s="66" t="s">
        <v>216</v>
      </c>
      <c r="D185" s="67">
        <v>1</v>
      </c>
      <c r="E185" s="68">
        <v>1.04482290252E-4</v>
      </c>
    </row>
    <row r="186" spans="2:5" ht="15" customHeight="1">
      <c r="B186" s="107"/>
      <c r="C186" s="66" t="s">
        <v>217</v>
      </c>
      <c r="D186" s="67">
        <v>14</v>
      </c>
      <c r="E186" s="68">
        <v>1.462752063525E-3</v>
      </c>
    </row>
    <row r="187" spans="2:5" ht="15" customHeight="1">
      <c r="B187" s="107"/>
      <c r="C187" s="66" t="s">
        <v>208</v>
      </c>
      <c r="D187" s="67">
        <v>13</v>
      </c>
      <c r="E187" s="68">
        <v>1.3582697732729999E-3</v>
      </c>
    </row>
    <row r="188" spans="2:5" ht="15" customHeight="1">
      <c r="B188" s="107"/>
      <c r="C188" s="66" t="s">
        <v>209</v>
      </c>
      <c r="D188" s="67">
        <v>34</v>
      </c>
      <c r="E188" s="68">
        <v>3.5523978685610001E-3</v>
      </c>
    </row>
    <row r="189" spans="2:5" ht="15" customHeight="1">
      <c r="B189" s="107"/>
      <c r="C189" s="66" t="s">
        <v>211</v>
      </c>
      <c r="D189" s="67">
        <v>28</v>
      </c>
      <c r="E189" s="68">
        <v>2.9255041270500001E-3</v>
      </c>
    </row>
    <row r="190" spans="2:5" ht="15" customHeight="1">
      <c r="B190" s="107"/>
      <c r="C190" s="66" t="s">
        <v>212</v>
      </c>
      <c r="D190" s="67">
        <v>4</v>
      </c>
      <c r="E190" s="68">
        <v>4.1792916100699999E-4</v>
      </c>
    </row>
    <row r="191" spans="2:5" ht="15" customHeight="1">
      <c r="B191" s="107"/>
      <c r="C191" s="36" t="s">
        <v>29</v>
      </c>
      <c r="D191" s="35">
        <v>170</v>
      </c>
      <c r="E191" s="34">
        <v>1.7761989342806001E-2</v>
      </c>
    </row>
    <row r="192" spans="2:5" ht="15" customHeight="1">
      <c r="B192" s="107" t="s">
        <v>114</v>
      </c>
      <c r="C192" s="66" t="s">
        <v>202</v>
      </c>
      <c r="D192" s="67">
        <v>2</v>
      </c>
      <c r="E192" s="68">
        <v>2.08964580504E-4</v>
      </c>
    </row>
    <row r="193" spans="2:5" ht="15" customHeight="1">
      <c r="B193" s="107"/>
      <c r="C193" s="66" t="s">
        <v>204</v>
      </c>
      <c r="D193" s="67">
        <v>1</v>
      </c>
      <c r="E193" s="68">
        <v>1.04482290252E-4</v>
      </c>
    </row>
    <row r="194" spans="2:5" ht="15" customHeight="1">
      <c r="B194" s="107"/>
      <c r="C194" s="66" t="s">
        <v>219</v>
      </c>
      <c r="D194" s="67">
        <v>1</v>
      </c>
      <c r="E194" s="68">
        <v>1.04482290252E-4</v>
      </c>
    </row>
    <row r="195" spans="2:5" ht="15" customHeight="1">
      <c r="B195" s="107"/>
      <c r="C195" s="66" t="s">
        <v>206</v>
      </c>
      <c r="D195" s="67">
        <v>2</v>
      </c>
      <c r="E195" s="68">
        <v>2.08964580504E-4</v>
      </c>
    </row>
    <row r="196" spans="2:5" ht="15" customHeight="1">
      <c r="B196" s="107"/>
      <c r="C196" s="66" t="s">
        <v>217</v>
      </c>
      <c r="D196" s="67">
        <v>2</v>
      </c>
      <c r="E196" s="68">
        <v>2.08964580504E-4</v>
      </c>
    </row>
    <row r="197" spans="2:5" ht="15" customHeight="1">
      <c r="B197" s="107"/>
      <c r="C197" s="66" t="s">
        <v>208</v>
      </c>
      <c r="D197" s="67">
        <v>1</v>
      </c>
      <c r="E197" s="68">
        <v>1.04482290252E-4</v>
      </c>
    </row>
    <row r="198" spans="2:5" ht="15" customHeight="1">
      <c r="B198" s="107"/>
      <c r="C198" s="66" t="s">
        <v>209</v>
      </c>
      <c r="D198" s="67">
        <v>11</v>
      </c>
      <c r="E198" s="68">
        <v>1.14930519277E-3</v>
      </c>
    </row>
    <row r="199" spans="2:5" ht="15" customHeight="1">
      <c r="B199" s="107"/>
      <c r="C199" s="66" t="s">
        <v>211</v>
      </c>
      <c r="D199" s="67">
        <v>3</v>
      </c>
      <c r="E199" s="68">
        <v>3.13446870755E-4</v>
      </c>
    </row>
    <row r="200" spans="2:5" ht="15" customHeight="1">
      <c r="B200" s="107"/>
      <c r="C200" s="66" t="s">
        <v>212</v>
      </c>
      <c r="D200" s="67">
        <v>4</v>
      </c>
      <c r="E200" s="68">
        <v>4.1792916100699999E-4</v>
      </c>
    </row>
    <row r="201" spans="2:5" ht="15" customHeight="1">
      <c r="B201" s="107"/>
      <c r="C201" s="36" t="s">
        <v>29</v>
      </c>
      <c r="D201" s="35">
        <v>27</v>
      </c>
      <c r="E201" s="34">
        <v>2.8210218367989998E-3</v>
      </c>
    </row>
    <row r="202" spans="2:5" ht="15" customHeight="1">
      <c r="B202" s="107" t="s">
        <v>115</v>
      </c>
      <c r="C202" s="66" t="s">
        <v>202</v>
      </c>
      <c r="D202" s="67">
        <v>8</v>
      </c>
      <c r="E202" s="68">
        <v>8.3585832201399997E-4</v>
      </c>
    </row>
    <row r="203" spans="2:5" ht="15" customHeight="1">
      <c r="B203" s="107"/>
      <c r="C203" s="66" t="s">
        <v>203</v>
      </c>
      <c r="D203" s="67">
        <v>3</v>
      </c>
      <c r="E203" s="68">
        <v>3.13446870755E-4</v>
      </c>
    </row>
    <row r="204" spans="2:5" ht="15" customHeight="1">
      <c r="B204" s="107"/>
      <c r="C204" s="66" t="s">
        <v>204</v>
      </c>
      <c r="D204" s="67">
        <v>1</v>
      </c>
      <c r="E204" s="68">
        <v>1.04482290252E-4</v>
      </c>
    </row>
    <row r="205" spans="2:5" ht="15" customHeight="1">
      <c r="B205" s="107"/>
      <c r="C205" s="66" t="s">
        <v>206</v>
      </c>
      <c r="D205" s="67">
        <v>4</v>
      </c>
      <c r="E205" s="68">
        <v>4.1792916100699999E-4</v>
      </c>
    </row>
    <row r="206" spans="2:5" ht="15" customHeight="1">
      <c r="B206" s="107"/>
      <c r="C206" s="66" t="s">
        <v>207</v>
      </c>
      <c r="D206" s="67">
        <v>8</v>
      </c>
      <c r="E206" s="68">
        <v>8.3585832201399997E-4</v>
      </c>
    </row>
    <row r="207" spans="2:5" ht="15" customHeight="1">
      <c r="B207" s="107"/>
      <c r="C207" s="66" t="s">
        <v>217</v>
      </c>
      <c r="D207" s="67">
        <v>1</v>
      </c>
      <c r="E207" s="68">
        <v>1.04482290252E-4</v>
      </c>
    </row>
    <row r="208" spans="2:5" ht="15" customHeight="1">
      <c r="B208" s="107"/>
      <c r="C208" s="66" t="s">
        <v>208</v>
      </c>
      <c r="D208" s="67">
        <v>2</v>
      </c>
      <c r="E208" s="68">
        <v>2.08964580504E-4</v>
      </c>
    </row>
    <row r="209" spans="2:5" ht="15" customHeight="1">
      <c r="B209" s="107"/>
      <c r="C209" s="66" t="s">
        <v>209</v>
      </c>
      <c r="D209" s="67">
        <v>14</v>
      </c>
      <c r="E209" s="68">
        <v>1.462752063525E-3</v>
      </c>
    </row>
    <row r="210" spans="2:5" ht="15" customHeight="1">
      <c r="B210" s="107"/>
      <c r="C210" s="66" t="s">
        <v>211</v>
      </c>
      <c r="D210" s="67">
        <v>10</v>
      </c>
      <c r="E210" s="68">
        <v>1.0448229025179999E-3</v>
      </c>
    </row>
    <row r="211" spans="2:5" ht="15" customHeight="1">
      <c r="B211" s="107"/>
      <c r="C211" s="36" t="s">
        <v>29</v>
      </c>
      <c r="D211" s="35">
        <v>51</v>
      </c>
      <c r="E211" s="34">
        <v>5.328596802842E-3</v>
      </c>
    </row>
    <row r="212" spans="2:5" ht="15" customHeight="1">
      <c r="B212" s="107" t="s">
        <v>116</v>
      </c>
      <c r="C212" s="66" t="s">
        <v>202</v>
      </c>
      <c r="D212" s="67">
        <v>2</v>
      </c>
      <c r="E212" s="68">
        <v>2.08964580504E-4</v>
      </c>
    </row>
    <row r="213" spans="2:5" ht="15" customHeight="1">
      <c r="B213" s="107"/>
      <c r="C213" s="66" t="s">
        <v>203</v>
      </c>
      <c r="D213" s="67">
        <v>3</v>
      </c>
      <c r="E213" s="68">
        <v>3.13446870755E-4</v>
      </c>
    </row>
    <row r="214" spans="2:5" ht="15" customHeight="1">
      <c r="B214" s="107"/>
      <c r="C214" s="66" t="s">
        <v>204</v>
      </c>
      <c r="D214" s="67">
        <v>6</v>
      </c>
      <c r="E214" s="68">
        <v>6.2689374151099996E-4</v>
      </c>
    </row>
    <row r="215" spans="2:5" ht="15" customHeight="1">
      <c r="B215" s="107"/>
      <c r="C215" s="66" t="s">
        <v>206</v>
      </c>
      <c r="D215" s="67">
        <v>4</v>
      </c>
      <c r="E215" s="68">
        <v>4.1792916100699999E-4</v>
      </c>
    </row>
    <row r="216" spans="2:5" ht="15" customHeight="1">
      <c r="B216" s="107"/>
      <c r="C216" s="66" t="s">
        <v>207</v>
      </c>
      <c r="D216" s="67">
        <v>8</v>
      </c>
      <c r="E216" s="68">
        <v>8.3585832201399997E-4</v>
      </c>
    </row>
    <row r="217" spans="2:5" ht="15" customHeight="1">
      <c r="B217" s="107"/>
      <c r="C217" s="66" t="s">
        <v>216</v>
      </c>
      <c r="D217" s="67">
        <v>3</v>
      </c>
      <c r="E217" s="68">
        <v>3.13446870755E-4</v>
      </c>
    </row>
    <row r="218" spans="2:5" ht="15" customHeight="1">
      <c r="B218" s="107"/>
      <c r="C218" s="66" t="s">
        <v>208</v>
      </c>
      <c r="D218" s="67">
        <v>1</v>
      </c>
      <c r="E218" s="68">
        <v>1.04482290252E-4</v>
      </c>
    </row>
    <row r="219" spans="2:5" ht="15" customHeight="1">
      <c r="B219" s="107"/>
      <c r="C219" s="66" t="s">
        <v>209</v>
      </c>
      <c r="D219" s="67">
        <v>12</v>
      </c>
      <c r="E219" s="68">
        <v>1.2537874830219999E-3</v>
      </c>
    </row>
    <row r="220" spans="2:5" ht="15" customHeight="1">
      <c r="B220" s="107"/>
      <c r="C220" s="66" t="s">
        <v>210</v>
      </c>
      <c r="D220" s="67">
        <v>1</v>
      </c>
      <c r="E220" s="68">
        <v>1.04482290252E-4</v>
      </c>
    </row>
    <row r="221" spans="2:5" ht="15" customHeight="1">
      <c r="B221" s="107"/>
      <c r="C221" s="66" t="s">
        <v>211</v>
      </c>
      <c r="D221" s="67">
        <v>4</v>
      </c>
      <c r="E221" s="68">
        <v>4.1792916100699999E-4</v>
      </c>
    </row>
    <row r="222" spans="2:5" ht="15" customHeight="1">
      <c r="B222" s="107"/>
      <c r="C222" s="36" t="s">
        <v>29</v>
      </c>
      <c r="D222" s="35">
        <v>44</v>
      </c>
      <c r="E222" s="34">
        <v>4.5972207710790001E-3</v>
      </c>
    </row>
    <row r="223" spans="2:5" ht="15" customHeight="1">
      <c r="B223" s="107" t="s">
        <v>117</v>
      </c>
      <c r="C223" s="66" t="s">
        <v>202</v>
      </c>
      <c r="D223" s="67">
        <v>5</v>
      </c>
      <c r="E223" s="68">
        <v>5.2241145125899997E-4</v>
      </c>
    </row>
    <row r="224" spans="2:5" ht="15" customHeight="1">
      <c r="B224" s="107"/>
      <c r="C224" s="66" t="s">
        <v>203</v>
      </c>
      <c r="D224" s="67">
        <v>7</v>
      </c>
      <c r="E224" s="68">
        <v>7.3137603176300005E-4</v>
      </c>
    </row>
    <row r="225" spans="2:5" ht="15" customHeight="1">
      <c r="B225" s="107"/>
      <c r="C225" s="66" t="s">
        <v>204</v>
      </c>
      <c r="D225" s="67">
        <v>2</v>
      </c>
      <c r="E225" s="68">
        <v>2.08964580504E-4</v>
      </c>
    </row>
    <row r="226" spans="2:5" ht="15" customHeight="1">
      <c r="B226" s="107"/>
      <c r="C226" s="66" t="s">
        <v>214</v>
      </c>
      <c r="D226" s="67">
        <v>1</v>
      </c>
      <c r="E226" s="68">
        <v>1.04482290252E-4</v>
      </c>
    </row>
    <row r="227" spans="2:5" ht="15" customHeight="1">
      <c r="B227" s="107"/>
      <c r="C227" s="66" t="s">
        <v>205</v>
      </c>
      <c r="D227" s="67">
        <v>6</v>
      </c>
      <c r="E227" s="68">
        <v>6.2689374151099996E-4</v>
      </c>
    </row>
    <row r="228" spans="2:5" ht="15" customHeight="1">
      <c r="B228" s="107"/>
      <c r="C228" s="66" t="s">
        <v>206</v>
      </c>
      <c r="D228" s="67">
        <v>20</v>
      </c>
      <c r="E228" s="68">
        <v>2.0896458050359999E-3</v>
      </c>
    </row>
    <row r="229" spans="2:5" ht="15" customHeight="1">
      <c r="B229" s="107"/>
      <c r="C229" s="66" t="s">
        <v>207</v>
      </c>
      <c r="D229" s="67">
        <v>14</v>
      </c>
      <c r="E229" s="68">
        <v>1.462752063525E-3</v>
      </c>
    </row>
    <row r="230" spans="2:5" ht="15" customHeight="1">
      <c r="B230" s="107"/>
      <c r="C230" s="66" t="s">
        <v>216</v>
      </c>
      <c r="D230" s="67">
        <v>3</v>
      </c>
      <c r="E230" s="68">
        <v>3.13446870755E-4</v>
      </c>
    </row>
    <row r="231" spans="2:5" ht="15" customHeight="1">
      <c r="B231" s="107"/>
      <c r="C231" s="66" t="s">
        <v>217</v>
      </c>
      <c r="D231" s="67">
        <v>2</v>
      </c>
      <c r="E231" s="68">
        <v>2.08964580504E-4</v>
      </c>
    </row>
    <row r="232" spans="2:5" ht="15" customHeight="1">
      <c r="B232" s="107"/>
      <c r="C232" s="66" t="s">
        <v>208</v>
      </c>
      <c r="D232" s="67">
        <v>3</v>
      </c>
      <c r="E232" s="68">
        <v>3.13446870755E-4</v>
      </c>
    </row>
    <row r="233" spans="2:5" ht="15" customHeight="1">
      <c r="B233" s="107"/>
      <c r="C233" s="66" t="s">
        <v>209</v>
      </c>
      <c r="D233" s="67">
        <v>31</v>
      </c>
      <c r="E233" s="68">
        <v>3.2389509978060001E-3</v>
      </c>
    </row>
    <row r="234" spans="2:5" ht="15" customHeight="1">
      <c r="B234" s="107"/>
      <c r="C234" s="66" t="s">
        <v>211</v>
      </c>
      <c r="D234" s="67">
        <v>11</v>
      </c>
      <c r="E234" s="68">
        <v>1.14930519277E-3</v>
      </c>
    </row>
    <row r="235" spans="2:5" ht="15" customHeight="1">
      <c r="B235" s="107"/>
      <c r="C235" s="36" t="s">
        <v>29</v>
      </c>
      <c r="D235" s="35">
        <v>105</v>
      </c>
      <c r="E235" s="34">
        <v>1.0970640476439E-2</v>
      </c>
    </row>
    <row r="236" spans="2:5" ht="15" customHeight="1">
      <c r="B236" s="107" t="s">
        <v>118</v>
      </c>
      <c r="C236" s="66" t="s">
        <v>215</v>
      </c>
      <c r="D236" s="67">
        <v>2</v>
      </c>
      <c r="E236" s="68">
        <v>2.08964580504E-4</v>
      </c>
    </row>
    <row r="237" spans="2:5" ht="15" customHeight="1">
      <c r="B237" s="107"/>
      <c r="C237" s="66" t="s">
        <v>209</v>
      </c>
      <c r="D237" s="67">
        <v>8</v>
      </c>
      <c r="E237" s="68">
        <v>8.3585832201399997E-4</v>
      </c>
    </row>
    <row r="238" spans="2:5" ht="15" customHeight="1">
      <c r="B238" s="107"/>
      <c r="C238" s="36" t="s">
        <v>29</v>
      </c>
      <c r="D238" s="35">
        <v>10</v>
      </c>
      <c r="E238" s="34">
        <v>1.0448229025179999E-3</v>
      </c>
    </row>
    <row r="239" spans="2:5" ht="15" customHeight="1">
      <c r="B239" s="107" t="s">
        <v>119</v>
      </c>
      <c r="C239" s="66" t="s">
        <v>203</v>
      </c>
      <c r="D239" s="67">
        <v>1</v>
      </c>
      <c r="E239" s="68">
        <v>1.04482290252E-4</v>
      </c>
    </row>
    <row r="240" spans="2:5" ht="15" customHeight="1">
      <c r="B240" s="107"/>
      <c r="C240" s="66" t="s">
        <v>216</v>
      </c>
      <c r="D240" s="67">
        <v>2</v>
      </c>
      <c r="E240" s="68">
        <v>2.08964580504E-4</v>
      </c>
    </row>
    <row r="241" spans="2:5" ht="15" customHeight="1">
      <c r="B241" s="107"/>
      <c r="C241" s="66" t="s">
        <v>208</v>
      </c>
      <c r="D241" s="67">
        <v>2</v>
      </c>
      <c r="E241" s="68">
        <v>2.08964580504E-4</v>
      </c>
    </row>
    <row r="242" spans="2:5" ht="15" customHeight="1">
      <c r="B242" s="107"/>
      <c r="C242" s="66" t="s">
        <v>209</v>
      </c>
      <c r="D242" s="67">
        <v>2</v>
      </c>
      <c r="E242" s="68">
        <v>2.08964580504E-4</v>
      </c>
    </row>
    <row r="243" spans="2:5" ht="15" customHeight="1">
      <c r="B243" s="107"/>
      <c r="C243" s="66" t="s">
        <v>211</v>
      </c>
      <c r="D243" s="67">
        <v>1</v>
      </c>
      <c r="E243" s="68">
        <v>1.04482290252E-4</v>
      </c>
    </row>
    <row r="244" spans="2:5" ht="15" customHeight="1">
      <c r="B244" s="107"/>
      <c r="C244" s="36" t="s">
        <v>29</v>
      </c>
      <c r="D244" s="35">
        <v>8</v>
      </c>
      <c r="E244" s="34">
        <v>8.3585832201399997E-4</v>
      </c>
    </row>
    <row r="245" spans="2:5" ht="15" customHeight="1">
      <c r="B245" s="107" t="s">
        <v>120</v>
      </c>
      <c r="C245" s="66" t="s">
        <v>202</v>
      </c>
      <c r="D245" s="67">
        <v>1</v>
      </c>
      <c r="E245" s="68">
        <v>1.04482290252E-4</v>
      </c>
    </row>
    <row r="246" spans="2:5" ht="15" customHeight="1">
      <c r="B246" s="107"/>
      <c r="C246" s="66" t="s">
        <v>203</v>
      </c>
      <c r="D246" s="67">
        <v>1</v>
      </c>
      <c r="E246" s="68">
        <v>1.04482290252E-4</v>
      </c>
    </row>
    <row r="247" spans="2:5" ht="15" customHeight="1">
      <c r="B247" s="107"/>
      <c r="C247" s="66" t="s">
        <v>215</v>
      </c>
      <c r="D247" s="67">
        <v>7</v>
      </c>
      <c r="E247" s="68">
        <v>7.3137603176300005E-4</v>
      </c>
    </row>
    <row r="248" spans="2:5" ht="15" customHeight="1">
      <c r="B248" s="107"/>
      <c r="C248" s="66" t="s">
        <v>209</v>
      </c>
      <c r="D248" s="67">
        <v>18</v>
      </c>
      <c r="E248" s="68">
        <v>1.8806812245319999E-3</v>
      </c>
    </row>
    <row r="249" spans="2:5" ht="15" customHeight="1">
      <c r="B249" s="107"/>
      <c r="C249" s="36" t="s">
        <v>29</v>
      </c>
      <c r="D249" s="35">
        <v>27</v>
      </c>
      <c r="E249" s="34">
        <v>2.8210218367989998E-3</v>
      </c>
    </row>
    <row r="250" spans="2:5" ht="15" customHeight="1">
      <c r="B250" s="107" t="s">
        <v>121</v>
      </c>
      <c r="C250" s="66" t="s">
        <v>204</v>
      </c>
      <c r="D250" s="67">
        <v>4</v>
      </c>
      <c r="E250" s="68">
        <v>4.1792916100699999E-4</v>
      </c>
    </row>
    <row r="251" spans="2:5" ht="15" customHeight="1">
      <c r="B251" s="107"/>
      <c r="C251" s="66" t="s">
        <v>207</v>
      </c>
      <c r="D251" s="67">
        <v>7</v>
      </c>
      <c r="E251" s="68">
        <v>7.3137603176300005E-4</v>
      </c>
    </row>
    <row r="252" spans="2:5" ht="15" customHeight="1">
      <c r="B252" s="107"/>
      <c r="C252" s="66" t="s">
        <v>216</v>
      </c>
      <c r="D252" s="67">
        <v>2</v>
      </c>
      <c r="E252" s="68">
        <v>2.08964580504E-4</v>
      </c>
    </row>
    <row r="253" spans="2:5" ht="15" customHeight="1">
      <c r="B253" s="107"/>
      <c r="C253" s="66" t="s">
        <v>217</v>
      </c>
      <c r="D253" s="67">
        <v>2</v>
      </c>
      <c r="E253" s="68">
        <v>2.08964580504E-4</v>
      </c>
    </row>
    <row r="254" spans="2:5" ht="15" customHeight="1">
      <c r="B254" s="107"/>
      <c r="C254" s="66" t="s">
        <v>208</v>
      </c>
      <c r="D254" s="67">
        <v>10</v>
      </c>
      <c r="E254" s="68">
        <v>1.0448229025179999E-3</v>
      </c>
    </row>
    <row r="255" spans="2:5" ht="15" customHeight="1">
      <c r="B255" s="107"/>
      <c r="C255" s="66" t="s">
        <v>209</v>
      </c>
      <c r="D255" s="67">
        <v>16</v>
      </c>
      <c r="E255" s="68">
        <v>1.671716644029E-3</v>
      </c>
    </row>
    <row r="256" spans="2:5" ht="15" customHeight="1">
      <c r="B256" s="107"/>
      <c r="C256" s="66" t="s">
        <v>210</v>
      </c>
      <c r="D256" s="67">
        <v>1</v>
      </c>
      <c r="E256" s="68">
        <v>1.04482290252E-4</v>
      </c>
    </row>
    <row r="257" spans="2:5" ht="15" customHeight="1">
      <c r="B257" s="107"/>
      <c r="C257" s="66" t="s">
        <v>211</v>
      </c>
      <c r="D257" s="67">
        <v>3</v>
      </c>
      <c r="E257" s="68">
        <v>3.13446870755E-4</v>
      </c>
    </row>
    <row r="258" spans="2:5" ht="15" customHeight="1">
      <c r="B258" s="107"/>
      <c r="C258" s="66" t="s">
        <v>212</v>
      </c>
      <c r="D258" s="67">
        <v>1</v>
      </c>
      <c r="E258" s="68">
        <v>1.04482290252E-4</v>
      </c>
    </row>
    <row r="259" spans="2:5" ht="15" customHeight="1">
      <c r="B259" s="107"/>
      <c r="C259" s="36" t="s">
        <v>29</v>
      </c>
      <c r="D259" s="35">
        <v>46</v>
      </c>
      <c r="E259" s="34">
        <v>4.8061853515829998E-3</v>
      </c>
    </row>
    <row r="260" spans="2:5" ht="15" customHeight="1">
      <c r="B260" s="107" t="s">
        <v>122</v>
      </c>
      <c r="C260" s="66" t="s">
        <v>202</v>
      </c>
      <c r="D260" s="67">
        <v>4</v>
      </c>
      <c r="E260" s="68">
        <v>4.1792916100699999E-4</v>
      </c>
    </row>
    <row r="261" spans="2:5" ht="15" customHeight="1">
      <c r="B261" s="107"/>
      <c r="C261" s="66" t="s">
        <v>204</v>
      </c>
      <c r="D261" s="67">
        <v>5</v>
      </c>
      <c r="E261" s="68">
        <v>5.2241145125899997E-4</v>
      </c>
    </row>
    <row r="262" spans="2:5" ht="15" customHeight="1">
      <c r="B262" s="107"/>
      <c r="C262" s="66" t="s">
        <v>214</v>
      </c>
      <c r="D262" s="67">
        <v>3</v>
      </c>
      <c r="E262" s="68">
        <v>3.13446870755E-4</v>
      </c>
    </row>
    <row r="263" spans="2:5" ht="15" customHeight="1">
      <c r="B263" s="107"/>
      <c r="C263" s="66" t="s">
        <v>215</v>
      </c>
      <c r="D263" s="67">
        <v>2</v>
      </c>
      <c r="E263" s="68">
        <v>2.08964580504E-4</v>
      </c>
    </row>
    <row r="264" spans="2:5" ht="15" customHeight="1">
      <c r="B264" s="107"/>
      <c r="C264" s="66" t="s">
        <v>216</v>
      </c>
      <c r="D264" s="67">
        <v>3</v>
      </c>
      <c r="E264" s="68">
        <v>3.13446870755E-4</v>
      </c>
    </row>
    <row r="265" spans="2:5" ht="15" customHeight="1">
      <c r="B265" s="107"/>
      <c r="C265" s="66" t="s">
        <v>217</v>
      </c>
      <c r="D265" s="67">
        <v>1</v>
      </c>
      <c r="E265" s="68">
        <v>1.04482290252E-4</v>
      </c>
    </row>
    <row r="266" spans="2:5" ht="15" customHeight="1">
      <c r="B266" s="107"/>
      <c r="C266" s="66" t="s">
        <v>218</v>
      </c>
      <c r="D266" s="67">
        <v>1</v>
      </c>
      <c r="E266" s="68">
        <v>1.04482290252E-4</v>
      </c>
    </row>
    <row r="267" spans="2:5" ht="15" customHeight="1">
      <c r="B267" s="107"/>
      <c r="C267" s="66" t="s">
        <v>209</v>
      </c>
      <c r="D267" s="67">
        <v>28</v>
      </c>
      <c r="E267" s="68">
        <v>2.9255041270500001E-3</v>
      </c>
    </row>
    <row r="268" spans="2:5" ht="15" customHeight="1">
      <c r="B268" s="107"/>
      <c r="C268" s="66" t="s">
        <v>210</v>
      </c>
      <c r="D268" s="67">
        <v>2</v>
      </c>
      <c r="E268" s="68">
        <v>2.08964580504E-4</v>
      </c>
    </row>
    <row r="269" spans="2:5" ht="15" customHeight="1">
      <c r="B269" s="107"/>
      <c r="C269" s="66" t="s">
        <v>211</v>
      </c>
      <c r="D269" s="67">
        <v>17</v>
      </c>
      <c r="E269" s="68">
        <v>1.7761989342810001E-3</v>
      </c>
    </row>
    <row r="270" spans="2:5" ht="15" customHeight="1">
      <c r="B270" s="107"/>
      <c r="C270" s="66" t="s">
        <v>212</v>
      </c>
      <c r="D270" s="67">
        <v>1</v>
      </c>
      <c r="E270" s="68">
        <v>1.04482290252E-4</v>
      </c>
    </row>
    <row r="271" spans="2:5" ht="15" customHeight="1">
      <c r="B271" s="107"/>
      <c r="C271" s="66" t="s">
        <v>213</v>
      </c>
      <c r="D271" s="67">
        <v>3</v>
      </c>
      <c r="E271" s="68">
        <v>3.13446870755E-4</v>
      </c>
    </row>
    <row r="272" spans="2:5" ht="15" customHeight="1">
      <c r="B272" s="107"/>
      <c r="C272" s="36" t="s">
        <v>29</v>
      </c>
      <c r="D272" s="35">
        <v>70</v>
      </c>
      <c r="E272" s="34">
        <v>7.313760317626E-3</v>
      </c>
    </row>
    <row r="273" spans="2:5" ht="15" customHeight="1">
      <c r="B273" s="107" t="s">
        <v>123</v>
      </c>
      <c r="C273" s="66" t="s">
        <v>202</v>
      </c>
      <c r="D273" s="67">
        <v>1</v>
      </c>
      <c r="E273" s="68">
        <v>1.04482290252E-4</v>
      </c>
    </row>
    <row r="274" spans="2:5" ht="15" customHeight="1">
      <c r="B274" s="107"/>
      <c r="C274" s="66" t="s">
        <v>203</v>
      </c>
      <c r="D274" s="67">
        <v>19</v>
      </c>
      <c r="E274" s="68">
        <v>1.985163514784E-3</v>
      </c>
    </row>
    <row r="275" spans="2:5" ht="15" customHeight="1">
      <c r="B275" s="107"/>
      <c r="C275" s="66" t="s">
        <v>204</v>
      </c>
      <c r="D275" s="67">
        <v>8</v>
      </c>
      <c r="E275" s="68">
        <v>8.3585832201399997E-4</v>
      </c>
    </row>
    <row r="276" spans="2:5" ht="15" customHeight="1">
      <c r="B276" s="107"/>
      <c r="C276" s="66" t="s">
        <v>214</v>
      </c>
      <c r="D276" s="67">
        <v>1</v>
      </c>
      <c r="E276" s="68">
        <v>1.04482290252E-4</v>
      </c>
    </row>
    <row r="277" spans="2:5" ht="15" customHeight="1">
      <c r="B277" s="107"/>
      <c r="C277" s="66" t="s">
        <v>215</v>
      </c>
      <c r="D277" s="67">
        <v>4</v>
      </c>
      <c r="E277" s="68">
        <v>4.1792916100699999E-4</v>
      </c>
    </row>
    <row r="278" spans="2:5" ht="15" customHeight="1">
      <c r="B278" s="107"/>
      <c r="C278" s="66" t="s">
        <v>219</v>
      </c>
      <c r="D278" s="67">
        <v>1</v>
      </c>
      <c r="E278" s="68">
        <v>1.04482290252E-4</v>
      </c>
    </row>
    <row r="279" spans="2:5" ht="15" customHeight="1">
      <c r="B279" s="107"/>
      <c r="C279" s="66" t="s">
        <v>206</v>
      </c>
      <c r="D279" s="67">
        <v>4</v>
      </c>
      <c r="E279" s="68">
        <v>4.1792916100699999E-4</v>
      </c>
    </row>
    <row r="280" spans="2:5" ht="15" customHeight="1">
      <c r="B280" s="107"/>
      <c r="C280" s="66" t="s">
        <v>207</v>
      </c>
      <c r="D280" s="67">
        <v>9</v>
      </c>
      <c r="E280" s="68">
        <v>9.4034061226599996E-4</v>
      </c>
    </row>
    <row r="281" spans="2:5" ht="15" customHeight="1">
      <c r="B281" s="107"/>
      <c r="C281" s="66" t="s">
        <v>216</v>
      </c>
      <c r="D281" s="67">
        <v>1</v>
      </c>
      <c r="E281" s="68">
        <v>1.04482290252E-4</v>
      </c>
    </row>
    <row r="282" spans="2:5" ht="15" customHeight="1">
      <c r="B282" s="107"/>
      <c r="C282" s="66" t="s">
        <v>218</v>
      </c>
      <c r="D282" s="67">
        <v>2</v>
      </c>
      <c r="E282" s="68">
        <v>2.08964580504E-4</v>
      </c>
    </row>
    <row r="283" spans="2:5" ht="15" customHeight="1">
      <c r="B283" s="107"/>
      <c r="C283" s="66" t="s">
        <v>208</v>
      </c>
      <c r="D283" s="67">
        <v>5</v>
      </c>
      <c r="E283" s="68">
        <v>5.2241145125899997E-4</v>
      </c>
    </row>
    <row r="284" spans="2:5" ht="15" customHeight="1">
      <c r="B284" s="107"/>
      <c r="C284" s="66" t="s">
        <v>209</v>
      </c>
      <c r="D284" s="67">
        <v>21</v>
      </c>
      <c r="E284" s="68">
        <v>2.1941280952880002E-3</v>
      </c>
    </row>
    <row r="285" spans="2:5" ht="15" customHeight="1">
      <c r="B285" s="107"/>
      <c r="C285" s="66" t="s">
        <v>210</v>
      </c>
      <c r="D285" s="67">
        <v>6</v>
      </c>
      <c r="E285" s="68">
        <v>6.2689374151099996E-4</v>
      </c>
    </row>
    <row r="286" spans="2:5" ht="15" customHeight="1">
      <c r="B286" s="107"/>
      <c r="C286" s="66" t="s">
        <v>211</v>
      </c>
      <c r="D286" s="67">
        <v>4</v>
      </c>
      <c r="E286" s="68">
        <v>4.1792916100699999E-4</v>
      </c>
    </row>
    <row r="287" spans="2:5" ht="15" customHeight="1">
      <c r="B287" s="107"/>
      <c r="C287" s="36" t="s">
        <v>29</v>
      </c>
      <c r="D287" s="35">
        <v>86</v>
      </c>
      <c r="E287" s="34">
        <v>8.9854769616549996E-3</v>
      </c>
    </row>
    <row r="288" spans="2:5" ht="15" customHeight="1">
      <c r="B288" s="107" t="s">
        <v>124</v>
      </c>
      <c r="C288" s="66" t="s">
        <v>202</v>
      </c>
      <c r="D288" s="67">
        <v>3</v>
      </c>
      <c r="E288" s="68">
        <v>3.13446870755E-4</v>
      </c>
    </row>
    <row r="289" spans="2:5" ht="15" customHeight="1">
      <c r="B289" s="107"/>
      <c r="C289" s="66" t="s">
        <v>204</v>
      </c>
      <c r="D289" s="67">
        <v>2</v>
      </c>
      <c r="E289" s="68">
        <v>2.08964580504E-4</v>
      </c>
    </row>
    <row r="290" spans="2:5" ht="15" customHeight="1">
      <c r="B290" s="107"/>
      <c r="C290" s="66" t="s">
        <v>214</v>
      </c>
      <c r="D290" s="67">
        <v>1</v>
      </c>
      <c r="E290" s="68">
        <v>1.04482290252E-4</v>
      </c>
    </row>
    <row r="291" spans="2:5" ht="15" customHeight="1">
      <c r="B291" s="107"/>
      <c r="C291" s="66" t="s">
        <v>205</v>
      </c>
      <c r="D291" s="67">
        <v>1</v>
      </c>
      <c r="E291" s="68">
        <v>1.04482290252E-4</v>
      </c>
    </row>
    <row r="292" spans="2:5" ht="15" customHeight="1">
      <c r="B292" s="107"/>
      <c r="C292" s="66" t="s">
        <v>215</v>
      </c>
      <c r="D292" s="67">
        <v>3</v>
      </c>
      <c r="E292" s="68">
        <v>3.13446870755E-4</v>
      </c>
    </row>
    <row r="293" spans="2:5" ht="15" customHeight="1">
      <c r="B293" s="107"/>
      <c r="C293" s="66" t="s">
        <v>219</v>
      </c>
      <c r="D293" s="67">
        <v>5</v>
      </c>
      <c r="E293" s="68">
        <v>5.2241145125899997E-4</v>
      </c>
    </row>
    <row r="294" spans="2:5" ht="15" customHeight="1">
      <c r="B294" s="107"/>
      <c r="C294" s="66" t="s">
        <v>206</v>
      </c>
      <c r="D294" s="67">
        <v>6</v>
      </c>
      <c r="E294" s="68">
        <v>6.2689374151099996E-4</v>
      </c>
    </row>
    <row r="295" spans="2:5" ht="15" customHeight="1">
      <c r="B295" s="107"/>
      <c r="C295" s="66" t="s">
        <v>207</v>
      </c>
      <c r="D295" s="67">
        <v>3</v>
      </c>
      <c r="E295" s="68">
        <v>3.13446870755E-4</v>
      </c>
    </row>
    <row r="296" spans="2:5" ht="15" customHeight="1">
      <c r="B296" s="107"/>
      <c r="C296" s="66" t="s">
        <v>217</v>
      </c>
      <c r="D296" s="67">
        <v>5</v>
      </c>
      <c r="E296" s="68">
        <v>5.2241145125899997E-4</v>
      </c>
    </row>
    <row r="297" spans="2:5" ht="15" customHeight="1">
      <c r="B297" s="107"/>
      <c r="C297" s="66" t="s">
        <v>209</v>
      </c>
      <c r="D297" s="67">
        <v>27</v>
      </c>
      <c r="E297" s="68">
        <v>2.8210218367989998E-3</v>
      </c>
    </row>
    <row r="298" spans="2:5" ht="15" customHeight="1">
      <c r="B298" s="107"/>
      <c r="C298" s="66" t="s">
        <v>211</v>
      </c>
      <c r="D298" s="67">
        <v>13</v>
      </c>
      <c r="E298" s="68">
        <v>1.3582697732729999E-3</v>
      </c>
    </row>
    <row r="299" spans="2:5" ht="15" customHeight="1">
      <c r="B299" s="107"/>
      <c r="C299" s="66" t="s">
        <v>212</v>
      </c>
      <c r="D299" s="67">
        <v>1</v>
      </c>
      <c r="E299" s="68">
        <v>1.04482290252E-4</v>
      </c>
    </row>
    <row r="300" spans="2:5" ht="15" customHeight="1">
      <c r="B300" s="107"/>
      <c r="C300" s="36" t="s">
        <v>29</v>
      </c>
      <c r="D300" s="35">
        <v>70</v>
      </c>
      <c r="E300" s="34">
        <v>7.313760317626E-3</v>
      </c>
    </row>
    <row r="301" spans="2:5" ht="15" customHeight="1">
      <c r="B301" s="107" t="s">
        <v>125</v>
      </c>
      <c r="C301" s="66" t="s">
        <v>207</v>
      </c>
      <c r="D301" s="67">
        <v>1</v>
      </c>
      <c r="E301" s="68">
        <v>1.04482290252E-4</v>
      </c>
    </row>
    <row r="302" spans="2:5" ht="15" customHeight="1">
      <c r="B302" s="107"/>
      <c r="C302" s="66" t="s">
        <v>209</v>
      </c>
      <c r="D302" s="67">
        <v>7</v>
      </c>
      <c r="E302" s="68">
        <v>7.3137603176300005E-4</v>
      </c>
    </row>
    <row r="303" spans="2:5" ht="15" customHeight="1">
      <c r="B303" s="107"/>
      <c r="C303" s="66" t="s">
        <v>212</v>
      </c>
      <c r="D303" s="67">
        <v>1</v>
      </c>
      <c r="E303" s="68">
        <v>1.04482290252E-4</v>
      </c>
    </row>
    <row r="304" spans="2:5" ht="15" customHeight="1">
      <c r="B304" s="107"/>
      <c r="C304" s="36" t="s">
        <v>29</v>
      </c>
      <c r="D304" s="35">
        <v>9</v>
      </c>
      <c r="E304" s="34">
        <v>9.4034061226599996E-4</v>
      </c>
    </row>
    <row r="305" spans="2:5" ht="15" customHeight="1">
      <c r="B305" s="107" t="s">
        <v>126</v>
      </c>
      <c r="C305" s="66" t="s">
        <v>202</v>
      </c>
      <c r="D305" s="67">
        <v>56</v>
      </c>
      <c r="E305" s="68">
        <v>5.8510082541010002E-3</v>
      </c>
    </row>
    <row r="306" spans="2:5" ht="15" customHeight="1">
      <c r="B306" s="107"/>
      <c r="C306" s="66" t="s">
        <v>204</v>
      </c>
      <c r="D306" s="67">
        <v>1</v>
      </c>
      <c r="E306" s="68">
        <v>1.04482290252E-4</v>
      </c>
    </row>
    <row r="307" spans="2:5" ht="15" customHeight="1">
      <c r="B307" s="107"/>
      <c r="C307" s="66" t="s">
        <v>215</v>
      </c>
      <c r="D307" s="67">
        <v>2</v>
      </c>
      <c r="E307" s="68">
        <v>2.08964580504E-4</v>
      </c>
    </row>
    <row r="308" spans="2:5" ht="15" customHeight="1">
      <c r="B308" s="107"/>
      <c r="C308" s="66" t="s">
        <v>207</v>
      </c>
      <c r="D308" s="67">
        <v>2</v>
      </c>
      <c r="E308" s="68">
        <v>2.08964580504E-4</v>
      </c>
    </row>
    <row r="309" spans="2:5" ht="15" customHeight="1">
      <c r="B309" s="107"/>
      <c r="C309" s="66" t="s">
        <v>209</v>
      </c>
      <c r="D309" s="67">
        <v>24</v>
      </c>
      <c r="E309" s="68">
        <v>2.5075749660430002E-3</v>
      </c>
    </row>
    <row r="310" spans="2:5" ht="15" customHeight="1">
      <c r="B310" s="107"/>
      <c r="C310" s="66" t="s">
        <v>211</v>
      </c>
      <c r="D310" s="67">
        <v>13</v>
      </c>
      <c r="E310" s="68">
        <v>1.3582697732729999E-3</v>
      </c>
    </row>
    <row r="311" spans="2:5" ht="15" customHeight="1">
      <c r="B311" s="107"/>
      <c r="C311" s="66" t="s">
        <v>213</v>
      </c>
      <c r="D311" s="67">
        <v>1</v>
      </c>
      <c r="E311" s="68">
        <v>1.04482290252E-4</v>
      </c>
    </row>
    <row r="312" spans="2:5" ht="15" customHeight="1">
      <c r="B312" s="107"/>
      <c r="C312" s="36" t="s">
        <v>29</v>
      </c>
      <c r="D312" s="35">
        <v>99</v>
      </c>
      <c r="E312" s="34">
        <v>1.0343746734928E-2</v>
      </c>
    </row>
    <row r="313" spans="2:5" ht="15" customHeight="1">
      <c r="B313" s="107" t="s">
        <v>127</v>
      </c>
      <c r="C313" s="66" t="s">
        <v>202</v>
      </c>
      <c r="D313" s="67">
        <v>38</v>
      </c>
      <c r="E313" s="68">
        <v>3.970327029568E-3</v>
      </c>
    </row>
    <row r="314" spans="2:5" ht="15" customHeight="1">
      <c r="B314" s="107"/>
      <c r="C314" s="66" t="s">
        <v>204</v>
      </c>
      <c r="D314" s="67">
        <v>12</v>
      </c>
      <c r="E314" s="68">
        <v>1.2537874830219999E-3</v>
      </c>
    </row>
    <row r="315" spans="2:5" ht="15" customHeight="1">
      <c r="B315" s="107"/>
      <c r="C315" s="66" t="s">
        <v>214</v>
      </c>
      <c r="D315" s="67">
        <v>4</v>
      </c>
      <c r="E315" s="68">
        <v>4.1792916100699999E-4</v>
      </c>
    </row>
    <row r="316" spans="2:5" ht="15" customHeight="1">
      <c r="B316" s="107"/>
      <c r="C316" s="66" t="s">
        <v>205</v>
      </c>
      <c r="D316" s="67">
        <v>1</v>
      </c>
      <c r="E316" s="68">
        <v>1.04482290252E-4</v>
      </c>
    </row>
    <row r="317" spans="2:5" ht="15" customHeight="1">
      <c r="B317" s="107"/>
      <c r="C317" s="66" t="s">
        <v>215</v>
      </c>
      <c r="D317" s="67">
        <v>2</v>
      </c>
      <c r="E317" s="68">
        <v>2.08964580504E-4</v>
      </c>
    </row>
    <row r="318" spans="2:5" ht="15" customHeight="1">
      <c r="B318" s="107"/>
      <c r="C318" s="66" t="s">
        <v>218</v>
      </c>
      <c r="D318" s="67">
        <v>2</v>
      </c>
      <c r="E318" s="68">
        <v>2.08964580504E-4</v>
      </c>
    </row>
    <row r="319" spans="2:5" ht="15" customHeight="1">
      <c r="B319" s="107"/>
      <c r="C319" s="66" t="s">
        <v>208</v>
      </c>
      <c r="D319" s="67">
        <v>7</v>
      </c>
      <c r="E319" s="68">
        <v>7.3137603176300005E-4</v>
      </c>
    </row>
    <row r="320" spans="2:5" ht="15" customHeight="1">
      <c r="B320" s="107"/>
      <c r="C320" s="66" t="s">
        <v>209</v>
      </c>
      <c r="D320" s="67">
        <v>26</v>
      </c>
      <c r="E320" s="68">
        <v>2.716539546547E-3</v>
      </c>
    </row>
    <row r="321" spans="2:5" ht="15" customHeight="1">
      <c r="B321" s="107"/>
      <c r="C321" s="66" t="s">
        <v>210</v>
      </c>
      <c r="D321" s="67">
        <v>12</v>
      </c>
      <c r="E321" s="68">
        <v>1.2537874830219999E-3</v>
      </c>
    </row>
    <row r="322" spans="2:5" ht="15" customHeight="1">
      <c r="B322" s="107"/>
      <c r="C322" s="66" t="s">
        <v>211</v>
      </c>
      <c r="D322" s="67">
        <v>38</v>
      </c>
      <c r="E322" s="68">
        <v>3.970327029568E-3</v>
      </c>
    </row>
    <row r="323" spans="2:5" ht="15" customHeight="1">
      <c r="B323" s="107"/>
      <c r="C323" s="66" t="s">
        <v>212</v>
      </c>
      <c r="D323" s="67">
        <v>3</v>
      </c>
      <c r="E323" s="68">
        <v>3.13446870755E-4</v>
      </c>
    </row>
    <row r="324" spans="2:5" ht="15" customHeight="1">
      <c r="B324" s="107"/>
      <c r="C324" s="66" t="s">
        <v>213</v>
      </c>
      <c r="D324" s="67">
        <v>8</v>
      </c>
      <c r="E324" s="68">
        <v>8.3585832201399997E-4</v>
      </c>
    </row>
    <row r="325" spans="2:5" ht="15" customHeight="1">
      <c r="B325" s="107"/>
      <c r="C325" s="36" t="s">
        <v>29</v>
      </c>
      <c r="D325" s="35">
        <v>153</v>
      </c>
      <c r="E325" s="34">
        <v>1.5985790408526001E-2</v>
      </c>
    </row>
    <row r="326" spans="2:5" ht="15" customHeight="1">
      <c r="B326" s="107" t="s">
        <v>128</v>
      </c>
      <c r="C326" s="66" t="s">
        <v>215</v>
      </c>
      <c r="D326" s="67">
        <v>2</v>
      </c>
      <c r="E326" s="68">
        <v>2.08964580504E-4</v>
      </c>
    </row>
    <row r="327" spans="2:5" ht="15" customHeight="1">
      <c r="B327" s="107"/>
      <c r="C327" s="66" t="s">
        <v>216</v>
      </c>
      <c r="D327" s="67">
        <v>4</v>
      </c>
      <c r="E327" s="68">
        <v>4.1792916100699999E-4</v>
      </c>
    </row>
    <row r="328" spans="2:5" ht="15" customHeight="1">
      <c r="B328" s="107"/>
      <c r="C328" s="66" t="s">
        <v>209</v>
      </c>
      <c r="D328" s="67">
        <v>4</v>
      </c>
      <c r="E328" s="68">
        <v>4.1792916100699999E-4</v>
      </c>
    </row>
    <row r="329" spans="2:5" ht="15" customHeight="1">
      <c r="B329" s="107"/>
      <c r="C329" s="36" t="s">
        <v>29</v>
      </c>
      <c r="D329" s="35">
        <v>10</v>
      </c>
      <c r="E329" s="34">
        <v>1.0448229025179999E-3</v>
      </c>
    </row>
    <row r="330" spans="2:5" ht="15" customHeight="1">
      <c r="B330" s="107" t="s">
        <v>129</v>
      </c>
      <c r="C330" s="66" t="s">
        <v>202</v>
      </c>
      <c r="D330" s="67">
        <v>4</v>
      </c>
      <c r="E330" s="68">
        <v>4.1792916100699999E-4</v>
      </c>
    </row>
    <row r="331" spans="2:5" ht="15" customHeight="1">
      <c r="B331" s="107"/>
      <c r="C331" s="66" t="s">
        <v>203</v>
      </c>
      <c r="D331" s="67">
        <v>2</v>
      </c>
      <c r="E331" s="68">
        <v>2.08964580504E-4</v>
      </c>
    </row>
    <row r="332" spans="2:5" ht="15" customHeight="1">
      <c r="B332" s="107"/>
      <c r="C332" s="66" t="s">
        <v>204</v>
      </c>
      <c r="D332" s="67">
        <v>6</v>
      </c>
      <c r="E332" s="68">
        <v>6.2689374151099996E-4</v>
      </c>
    </row>
    <row r="333" spans="2:5" ht="15" customHeight="1">
      <c r="B333" s="107"/>
      <c r="C333" s="66" t="s">
        <v>205</v>
      </c>
      <c r="D333" s="67">
        <v>1</v>
      </c>
      <c r="E333" s="68">
        <v>1.04482290252E-4</v>
      </c>
    </row>
    <row r="334" spans="2:5" ht="15" customHeight="1">
      <c r="B334" s="107"/>
      <c r="C334" s="66" t="s">
        <v>207</v>
      </c>
      <c r="D334" s="67">
        <v>1</v>
      </c>
      <c r="E334" s="68">
        <v>1.04482290252E-4</v>
      </c>
    </row>
    <row r="335" spans="2:5" ht="15" customHeight="1">
      <c r="B335" s="107"/>
      <c r="C335" s="66" t="s">
        <v>218</v>
      </c>
      <c r="D335" s="67">
        <v>1</v>
      </c>
      <c r="E335" s="68">
        <v>1.04482290252E-4</v>
      </c>
    </row>
    <row r="336" spans="2:5" ht="15" customHeight="1">
      <c r="B336" s="107"/>
      <c r="C336" s="66" t="s">
        <v>208</v>
      </c>
      <c r="D336" s="67">
        <v>4</v>
      </c>
      <c r="E336" s="68">
        <v>4.1792916100699999E-4</v>
      </c>
    </row>
    <row r="337" spans="2:5" ht="15" customHeight="1">
      <c r="B337" s="107"/>
      <c r="C337" s="66" t="s">
        <v>209</v>
      </c>
      <c r="D337" s="67">
        <v>4</v>
      </c>
      <c r="E337" s="68">
        <v>4.1792916100699999E-4</v>
      </c>
    </row>
    <row r="338" spans="2:5" ht="15" customHeight="1">
      <c r="B338" s="107"/>
      <c r="C338" s="66" t="s">
        <v>211</v>
      </c>
      <c r="D338" s="67">
        <v>10</v>
      </c>
      <c r="E338" s="68">
        <v>1.0448229025179999E-3</v>
      </c>
    </row>
    <row r="339" spans="2:5" ht="15" customHeight="1">
      <c r="B339" s="107"/>
      <c r="C339" s="66" t="s">
        <v>212</v>
      </c>
      <c r="D339" s="67">
        <v>7</v>
      </c>
      <c r="E339" s="68">
        <v>7.3137603176300005E-4</v>
      </c>
    </row>
    <row r="340" spans="2:5" ht="15" customHeight="1">
      <c r="B340" s="107"/>
      <c r="C340" s="36" t="s">
        <v>29</v>
      </c>
      <c r="D340" s="35">
        <v>40</v>
      </c>
      <c r="E340" s="34">
        <v>4.1792916100719998E-3</v>
      </c>
    </row>
    <row r="341" spans="2:5" ht="15" customHeight="1">
      <c r="B341" s="107" t="s">
        <v>130</v>
      </c>
      <c r="C341" s="66" t="s">
        <v>202</v>
      </c>
      <c r="D341" s="67">
        <v>1</v>
      </c>
      <c r="E341" s="68">
        <v>1.04482290252E-4</v>
      </c>
    </row>
    <row r="342" spans="2:5" ht="15" customHeight="1">
      <c r="B342" s="107"/>
      <c r="C342" s="66" t="s">
        <v>203</v>
      </c>
      <c r="D342" s="67">
        <v>3</v>
      </c>
      <c r="E342" s="68">
        <v>3.13446870755E-4</v>
      </c>
    </row>
    <row r="343" spans="2:5" ht="15" customHeight="1">
      <c r="B343" s="107"/>
      <c r="C343" s="66" t="s">
        <v>204</v>
      </c>
      <c r="D343" s="67">
        <v>2</v>
      </c>
      <c r="E343" s="68">
        <v>2.08964580504E-4</v>
      </c>
    </row>
    <row r="344" spans="2:5" ht="15" customHeight="1">
      <c r="B344" s="107"/>
      <c r="C344" s="66" t="s">
        <v>205</v>
      </c>
      <c r="D344" s="67">
        <v>1</v>
      </c>
      <c r="E344" s="68">
        <v>1.04482290252E-4</v>
      </c>
    </row>
    <row r="345" spans="2:5" ht="15" customHeight="1">
      <c r="B345" s="107"/>
      <c r="C345" s="66" t="s">
        <v>207</v>
      </c>
      <c r="D345" s="67">
        <v>1</v>
      </c>
      <c r="E345" s="68">
        <v>1.04482290252E-4</v>
      </c>
    </row>
    <row r="346" spans="2:5" ht="15" customHeight="1">
      <c r="B346" s="107"/>
      <c r="C346" s="66" t="s">
        <v>220</v>
      </c>
      <c r="D346" s="67">
        <v>1</v>
      </c>
      <c r="E346" s="68">
        <v>1.04482290252E-4</v>
      </c>
    </row>
    <row r="347" spans="2:5" ht="15" customHeight="1">
      <c r="B347" s="107"/>
      <c r="C347" s="66" t="s">
        <v>217</v>
      </c>
      <c r="D347" s="67">
        <v>1</v>
      </c>
      <c r="E347" s="68">
        <v>1.04482290252E-4</v>
      </c>
    </row>
    <row r="348" spans="2:5" ht="15" customHeight="1">
      <c r="B348" s="107"/>
      <c r="C348" s="66" t="s">
        <v>218</v>
      </c>
      <c r="D348" s="67">
        <v>2</v>
      </c>
      <c r="E348" s="68">
        <v>2.08964580504E-4</v>
      </c>
    </row>
    <row r="349" spans="2:5" ht="15" customHeight="1">
      <c r="B349" s="107"/>
      <c r="C349" s="66" t="s">
        <v>208</v>
      </c>
      <c r="D349" s="67">
        <v>1</v>
      </c>
      <c r="E349" s="68">
        <v>1.04482290252E-4</v>
      </c>
    </row>
    <row r="350" spans="2:5" ht="15" customHeight="1">
      <c r="B350" s="107"/>
      <c r="C350" s="66" t="s">
        <v>209</v>
      </c>
      <c r="D350" s="67">
        <v>7</v>
      </c>
      <c r="E350" s="68">
        <v>7.3137603176300005E-4</v>
      </c>
    </row>
    <row r="351" spans="2:5" ht="15" customHeight="1">
      <c r="B351" s="107"/>
      <c r="C351" s="66" t="s">
        <v>210</v>
      </c>
      <c r="D351" s="67">
        <v>3</v>
      </c>
      <c r="E351" s="68">
        <v>3.13446870755E-4</v>
      </c>
    </row>
    <row r="352" spans="2:5" ht="15" customHeight="1">
      <c r="B352" s="107"/>
      <c r="C352" s="66" t="s">
        <v>211</v>
      </c>
      <c r="D352" s="67">
        <v>4</v>
      </c>
      <c r="E352" s="68">
        <v>4.1792916100699999E-4</v>
      </c>
    </row>
    <row r="353" spans="2:5" ht="15" customHeight="1">
      <c r="B353" s="107"/>
      <c r="C353" s="66" t="s">
        <v>212</v>
      </c>
      <c r="D353" s="67">
        <v>1</v>
      </c>
      <c r="E353" s="68">
        <v>1.04482290252E-4</v>
      </c>
    </row>
    <row r="354" spans="2:5" ht="15" customHeight="1">
      <c r="B354" s="107"/>
      <c r="C354" s="36" t="s">
        <v>29</v>
      </c>
      <c r="D354" s="35">
        <v>28</v>
      </c>
      <c r="E354" s="34">
        <v>2.9255041270500001E-3</v>
      </c>
    </row>
    <row r="355" spans="2:5" ht="15" customHeight="1">
      <c r="B355" s="107" t="s">
        <v>131</v>
      </c>
      <c r="C355" s="66" t="s">
        <v>202</v>
      </c>
      <c r="D355" s="67">
        <v>2</v>
      </c>
      <c r="E355" s="68">
        <v>2.08964580504E-4</v>
      </c>
    </row>
    <row r="356" spans="2:5" ht="15" customHeight="1">
      <c r="B356" s="107"/>
      <c r="C356" s="66" t="s">
        <v>203</v>
      </c>
      <c r="D356" s="67">
        <v>1</v>
      </c>
      <c r="E356" s="68">
        <v>1.04482290252E-4</v>
      </c>
    </row>
    <row r="357" spans="2:5" ht="15" customHeight="1">
      <c r="B357" s="107"/>
      <c r="C357" s="66" t="s">
        <v>204</v>
      </c>
      <c r="D357" s="67">
        <v>7</v>
      </c>
      <c r="E357" s="68">
        <v>7.3137603176300005E-4</v>
      </c>
    </row>
    <row r="358" spans="2:5" ht="15" customHeight="1">
      <c r="B358" s="107"/>
      <c r="C358" s="66" t="s">
        <v>219</v>
      </c>
      <c r="D358" s="67">
        <v>1</v>
      </c>
      <c r="E358" s="68">
        <v>1.04482290252E-4</v>
      </c>
    </row>
    <row r="359" spans="2:5" ht="15" customHeight="1">
      <c r="B359" s="107"/>
      <c r="C359" s="66" t="s">
        <v>207</v>
      </c>
      <c r="D359" s="67">
        <v>1</v>
      </c>
      <c r="E359" s="68">
        <v>1.04482290252E-4</v>
      </c>
    </row>
    <row r="360" spans="2:5" ht="15" customHeight="1">
      <c r="B360" s="107"/>
      <c r="C360" s="66" t="s">
        <v>216</v>
      </c>
      <c r="D360" s="67">
        <v>1</v>
      </c>
      <c r="E360" s="68">
        <v>1.04482290252E-4</v>
      </c>
    </row>
    <row r="361" spans="2:5" ht="15" customHeight="1">
      <c r="B361" s="107"/>
      <c r="C361" s="66" t="s">
        <v>217</v>
      </c>
      <c r="D361" s="67">
        <v>1</v>
      </c>
      <c r="E361" s="68">
        <v>1.04482290252E-4</v>
      </c>
    </row>
    <row r="362" spans="2:5" ht="15" customHeight="1">
      <c r="B362" s="107"/>
      <c r="C362" s="66" t="s">
        <v>218</v>
      </c>
      <c r="D362" s="67">
        <v>1</v>
      </c>
      <c r="E362" s="68">
        <v>1.04482290252E-4</v>
      </c>
    </row>
    <row r="363" spans="2:5" ht="15" customHeight="1">
      <c r="B363" s="107"/>
      <c r="C363" s="66" t="s">
        <v>208</v>
      </c>
      <c r="D363" s="67">
        <v>2</v>
      </c>
      <c r="E363" s="68">
        <v>2.08964580504E-4</v>
      </c>
    </row>
    <row r="364" spans="2:5" ht="15" customHeight="1">
      <c r="B364" s="107"/>
      <c r="C364" s="66" t="s">
        <v>209</v>
      </c>
      <c r="D364" s="67">
        <v>13</v>
      </c>
      <c r="E364" s="68">
        <v>1.3582697732729999E-3</v>
      </c>
    </row>
    <row r="365" spans="2:5" ht="15" customHeight="1">
      <c r="B365" s="107"/>
      <c r="C365" s="66" t="s">
        <v>210</v>
      </c>
      <c r="D365" s="67">
        <v>2</v>
      </c>
      <c r="E365" s="68">
        <v>2.08964580504E-4</v>
      </c>
    </row>
    <row r="366" spans="2:5" ht="15" customHeight="1">
      <c r="B366" s="107"/>
      <c r="C366" s="66" t="s">
        <v>211</v>
      </c>
      <c r="D366" s="67">
        <v>7</v>
      </c>
      <c r="E366" s="68">
        <v>7.3137603176300005E-4</v>
      </c>
    </row>
    <row r="367" spans="2:5" ht="15" customHeight="1">
      <c r="B367" s="107"/>
      <c r="C367" s="66" t="s">
        <v>212</v>
      </c>
      <c r="D367" s="67">
        <v>2</v>
      </c>
      <c r="E367" s="68">
        <v>2.08964580504E-4</v>
      </c>
    </row>
    <row r="368" spans="2:5" ht="15" customHeight="1">
      <c r="B368" s="107"/>
      <c r="C368" s="66" t="s">
        <v>213</v>
      </c>
      <c r="D368" s="67">
        <v>1</v>
      </c>
      <c r="E368" s="68">
        <v>1.04482290252E-4</v>
      </c>
    </row>
    <row r="369" spans="2:5" ht="15" customHeight="1">
      <c r="B369" s="107"/>
      <c r="C369" s="36" t="s">
        <v>29</v>
      </c>
      <c r="D369" s="35">
        <v>42</v>
      </c>
      <c r="E369" s="34">
        <v>4.3882561905760004E-3</v>
      </c>
    </row>
    <row r="370" spans="2:5" ht="15" customHeight="1">
      <c r="B370" s="107" t="s">
        <v>132</v>
      </c>
      <c r="C370" s="66" t="s">
        <v>202</v>
      </c>
      <c r="D370" s="67">
        <v>26</v>
      </c>
      <c r="E370" s="68">
        <v>2.716539546547E-3</v>
      </c>
    </row>
    <row r="371" spans="2:5" ht="15" customHeight="1">
      <c r="B371" s="107"/>
      <c r="C371" s="66" t="s">
        <v>203</v>
      </c>
      <c r="D371" s="67">
        <v>11</v>
      </c>
      <c r="E371" s="68">
        <v>1.14930519277E-3</v>
      </c>
    </row>
    <row r="372" spans="2:5" ht="15" customHeight="1">
      <c r="B372" s="107"/>
      <c r="C372" s="66" t="s">
        <v>204</v>
      </c>
      <c r="D372" s="67">
        <v>20</v>
      </c>
      <c r="E372" s="68">
        <v>2.0896458050359999E-3</v>
      </c>
    </row>
    <row r="373" spans="2:5" ht="15" customHeight="1">
      <c r="B373" s="107"/>
      <c r="C373" s="66" t="s">
        <v>214</v>
      </c>
      <c r="D373" s="67">
        <v>2</v>
      </c>
      <c r="E373" s="68">
        <v>2.08964580504E-4</v>
      </c>
    </row>
    <row r="374" spans="2:5" ht="15" customHeight="1">
      <c r="B374" s="107"/>
      <c r="C374" s="66" t="s">
        <v>205</v>
      </c>
      <c r="D374" s="67">
        <v>5</v>
      </c>
      <c r="E374" s="68">
        <v>5.2241145125899997E-4</v>
      </c>
    </row>
    <row r="375" spans="2:5" ht="15" customHeight="1">
      <c r="B375" s="107"/>
      <c r="C375" s="66" t="s">
        <v>215</v>
      </c>
      <c r="D375" s="67">
        <v>10</v>
      </c>
      <c r="E375" s="68">
        <v>1.0448229025179999E-3</v>
      </c>
    </row>
    <row r="376" spans="2:5" ht="15" customHeight="1">
      <c r="B376" s="107"/>
      <c r="C376" s="66" t="s">
        <v>219</v>
      </c>
      <c r="D376" s="67">
        <v>2</v>
      </c>
      <c r="E376" s="68">
        <v>2.08964580504E-4</v>
      </c>
    </row>
    <row r="377" spans="2:5" ht="15" customHeight="1">
      <c r="B377" s="107"/>
      <c r="C377" s="66" t="s">
        <v>206</v>
      </c>
      <c r="D377" s="67">
        <v>16</v>
      </c>
      <c r="E377" s="68">
        <v>1.671716644029E-3</v>
      </c>
    </row>
    <row r="378" spans="2:5" ht="15" customHeight="1">
      <c r="B378" s="107"/>
      <c r="C378" s="66" t="s">
        <v>207</v>
      </c>
      <c r="D378" s="67">
        <v>33</v>
      </c>
      <c r="E378" s="68">
        <v>3.4479155783089998E-3</v>
      </c>
    </row>
    <row r="379" spans="2:5" ht="15" customHeight="1">
      <c r="B379" s="107"/>
      <c r="C379" s="66" t="s">
        <v>216</v>
      </c>
      <c r="D379" s="67">
        <v>27</v>
      </c>
      <c r="E379" s="68">
        <v>2.8210218367989998E-3</v>
      </c>
    </row>
    <row r="380" spans="2:5" ht="15" customHeight="1">
      <c r="B380" s="107"/>
      <c r="C380" s="66" t="s">
        <v>217</v>
      </c>
      <c r="D380" s="67">
        <v>28</v>
      </c>
      <c r="E380" s="68">
        <v>2.9255041270500001E-3</v>
      </c>
    </row>
    <row r="381" spans="2:5" ht="15" customHeight="1">
      <c r="B381" s="107"/>
      <c r="C381" s="66" t="s">
        <v>218</v>
      </c>
      <c r="D381" s="67">
        <v>14</v>
      </c>
      <c r="E381" s="68">
        <v>1.462752063525E-3</v>
      </c>
    </row>
    <row r="382" spans="2:5" ht="15" customHeight="1">
      <c r="B382" s="107"/>
      <c r="C382" s="66" t="s">
        <v>208</v>
      </c>
      <c r="D382" s="67">
        <v>39</v>
      </c>
      <c r="E382" s="68">
        <v>4.0748093198199999E-3</v>
      </c>
    </row>
    <row r="383" spans="2:5" ht="15" customHeight="1">
      <c r="B383" s="107"/>
      <c r="C383" s="66" t="s">
        <v>209</v>
      </c>
      <c r="D383" s="67">
        <v>100</v>
      </c>
      <c r="E383" s="68">
        <v>1.044822902518E-2</v>
      </c>
    </row>
    <row r="384" spans="2:5" ht="15" customHeight="1">
      <c r="B384" s="107"/>
      <c r="C384" s="66" t="s">
        <v>210</v>
      </c>
      <c r="D384" s="67">
        <v>1</v>
      </c>
      <c r="E384" s="68">
        <v>1.04482290252E-4</v>
      </c>
    </row>
    <row r="385" spans="2:5" ht="15" customHeight="1">
      <c r="B385" s="107"/>
      <c r="C385" s="66" t="s">
        <v>211</v>
      </c>
      <c r="D385" s="67">
        <v>55</v>
      </c>
      <c r="E385" s="68">
        <v>5.7465259638490003E-3</v>
      </c>
    </row>
    <row r="386" spans="2:5" ht="15" customHeight="1">
      <c r="B386" s="107"/>
      <c r="C386" s="66" t="s">
        <v>212</v>
      </c>
      <c r="D386" s="67">
        <v>9</v>
      </c>
      <c r="E386" s="68">
        <v>9.4034061226599996E-4</v>
      </c>
    </row>
    <row r="387" spans="2:5" ht="15" customHeight="1">
      <c r="B387" s="107"/>
      <c r="C387" s="66" t="s">
        <v>213</v>
      </c>
      <c r="D387" s="67">
        <v>3</v>
      </c>
      <c r="E387" s="68">
        <v>3.13446870755E-4</v>
      </c>
    </row>
    <row r="388" spans="2:5" ht="15" customHeight="1">
      <c r="B388" s="107"/>
      <c r="C388" s="36" t="s">
        <v>29</v>
      </c>
      <c r="D388" s="35">
        <v>401</v>
      </c>
      <c r="E388" s="34">
        <v>4.1897398390972999E-2</v>
      </c>
    </row>
    <row r="389" spans="2:5" ht="15" customHeight="1">
      <c r="B389" s="107" t="s">
        <v>133</v>
      </c>
      <c r="C389" s="66" t="s">
        <v>202</v>
      </c>
      <c r="D389" s="67">
        <v>3</v>
      </c>
      <c r="E389" s="68">
        <v>3.13446870755E-4</v>
      </c>
    </row>
    <row r="390" spans="2:5" ht="15" customHeight="1">
      <c r="B390" s="107"/>
      <c r="C390" s="66" t="s">
        <v>215</v>
      </c>
      <c r="D390" s="67">
        <v>1</v>
      </c>
      <c r="E390" s="68">
        <v>1.04482290252E-4</v>
      </c>
    </row>
    <row r="391" spans="2:5" ht="15" customHeight="1">
      <c r="B391" s="107"/>
      <c r="C391" s="66" t="s">
        <v>206</v>
      </c>
      <c r="D391" s="67">
        <v>1</v>
      </c>
      <c r="E391" s="68">
        <v>1.04482290252E-4</v>
      </c>
    </row>
    <row r="392" spans="2:5" ht="15" customHeight="1">
      <c r="B392" s="107"/>
      <c r="C392" s="66" t="s">
        <v>209</v>
      </c>
      <c r="D392" s="67">
        <v>5</v>
      </c>
      <c r="E392" s="68">
        <v>5.2241145125899997E-4</v>
      </c>
    </row>
    <row r="393" spans="2:5" ht="15" customHeight="1">
      <c r="B393" s="107"/>
      <c r="C393" s="66" t="s">
        <v>211</v>
      </c>
      <c r="D393" s="67">
        <v>3</v>
      </c>
      <c r="E393" s="68">
        <v>3.13446870755E-4</v>
      </c>
    </row>
    <row r="394" spans="2:5" ht="15" customHeight="1">
      <c r="B394" s="107"/>
      <c r="C394" s="36" t="s">
        <v>29</v>
      </c>
      <c r="D394" s="35">
        <v>13</v>
      </c>
      <c r="E394" s="34">
        <v>1.3582697732729999E-3</v>
      </c>
    </row>
    <row r="395" spans="2:5" ht="15" customHeight="1">
      <c r="B395" s="107" t="s">
        <v>134</v>
      </c>
      <c r="C395" s="66" t="s">
        <v>202</v>
      </c>
      <c r="D395" s="67">
        <v>1</v>
      </c>
      <c r="E395" s="68">
        <v>1.04482290252E-4</v>
      </c>
    </row>
    <row r="396" spans="2:5" ht="15" customHeight="1">
      <c r="B396" s="107"/>
      <c r="C396" s="66" t="s">
        <v>203</v>
      </c>
      <c r="D396" s="67">
        <v>2</v>
      </c>
      <c r="E396" s="68">
        <v>2.08964580504E-4</v>
      </c>
    </row>
    <row r="397" spans="2:5" ht="15" customHeight="1">
      <c r="B397" s="107"/>
      <c r="C397" s="66" t="s">
        <v>204</v>
      </c>
      <c r="D397" s="67">
        <v>4</v>
      </c>
      <c r="E397" s="68">
        <v>4.1792916100699999E-4</v>
      </c>
    </row>
    <row r="398" spans="2:5" ht="15" customHeight="1">
      <c r="B398" s="107"/>
      <c r="C398" s="66" t="s">
        <v>214</v>
      </c>
      <c r="D398" s="67">
        <v>1</v>
      </c>
      <c r="E398" s="68">
        <v>1.04482290252E-4</v>
      </c>
    </row>
    <row r="399" spans="2:5" ht="15" customHeight="1">
      <c r="B399" s="107"/>
      <c r="C399" s="66" t="s">
        <v>219</v>
      </c>
      <c r="D399" s="67">
        <v>1</v>
      </c>
      <c r="E399" s="68">
        <v>1.04482290252E-4</v>
      </c>
    </row>
    <row r="400" spans="2:5" ht="15" customHeight="1">
      <c r="B400" s="107"/>
      <c r="C400" s="66" t="s">
        <v>206</v>
      </c>
      <c r="D400" s="67">
        <v>1</v>
      </c>
      <c r="E400" s="68">
        <v>1.04482290252E-4</v>
      </c>
    </row>
    <row r="401" spans="2:5" ht="15" customHeight="1">
      <c r="B401" s="107"/>
      <c r="C401" s="66" t="s">
        <v>207</v>
      </c>
      <c r="D401" s="67">
        <v>5</v>
      </c>
      <c r="E401" s="68">
        <v>5.2241145125899997E-4</v>
      </c>
    </row>
    <row r="402" spans="2:5" ht="15" customHeight="1">
      <c r="B402" s="107"/>
      <c r="C402" s="66" t="s">
        <v>216</v>
      </c>
      <c r="D402" s="67">
        <v>3</v>
      </c>
      <c r="E402" s="68">
        <v>3.13446870755E-4</v>
      </c>
    </row>
    <row r="403" spans="2:5" ht="15" customHeight="1">
      <c r="B403" s="107"/>
      <c r="C403" s="66" t="s">
        <v>208</v>
      </c>
      <c r="D403" s="67">
        <v>1</v>
      </c>
      <c r="E403" s="68">
        <v>1.04482290252E-4</v>
      </c>
    </row>
    <row r="404" spans="2:5" ht="15" customHeight="1">
      <c r="B404" s="107"/>
      <c r="C404" s="66" t="s">
        <v>209</v>
      </c>
      <c r="D404" s="67">
        <v>24</v>
      </c>
      <c r="E404" s="68">
        <v>2.5075749660430002E-3</v>
      </c>
    </row>
    <row r="405" spans="2:5" ht="15" customHeight="1">
      <c r="B405" s="107"/>
      <c r="C405" s="66" t="s">
        <v>211</v>
      </c>
      <c r="D405" s="67">
        <v>5</v>
      </c>
      <c r="E405" s="68">
        <v>5.2241145125899997E-4</v>
      </c>
    </row>
    <row r="406" spans="2:5" ht="15" customHeight="1">
      <c r="B406" s="107"/>
      <c r="C406" s="66" t="s">
        <v>212</v>
      </c>
      <c r="D406" s="67">
        <v>3</v>
      </c>
      <c r="E406" s="68">
        <v>3.13446870755E-4</v>
      </c>
    </row>
    <row r="407" spans="2:5" ht="15" customHeight="1">
      <c r="B407" s="107"/>
      <c r="C407" s="36" t="s">
        <v>29</v>
      </c>
      <c r="D407" s="35">
        <v>51</v>
      </c>
      <c r="E407" s="34">
        <v>5.328596802842E-3</v>
      </c>
    </row>
    <row r="408" spans="2:5" ht="15" customHeight="1">
      <c r="B408" s="107" t="s">
        <v>135</v>
      </c>
      <c r="C408" s="66" t="s">
        <v>202</v>
      </c>
      <c r="D408" s="67">
        <v>11</v>
      </c>
      <c r="E408" s="68">
        <v>1.14930519277E-3</v>
      </c>
    </row>
    <row r="409" spans="2:5" ht="15" customHeight="1">
      <c r="B409" s="107"/>
      <c r="C409" s="66" t="s">
        <v>203</v>
      </c>
      <c r="D409" s="67">
        <v>12</v>
      </c>
      <c r="E409" s="68">
        <v>1.2537874830219999E-3</v>
      </c>
    </row>
    <row r="410" spans="2:5" ht="15" customHeight="1">
      <c r="B410" s="107"/>
      <c r="C410" s="66" t="s">
        <v>204</v>
      </c>
      <c r="D410" s="67">
        <v>13</v>
      </c>
      <c r="E410" s="68">
        <v>1.3582697732729999E-3</v>
      </c>
    </row>
    <row r="411" spans="2:5" ht="15" customHeight="1">
      <c r="B411" s="107"/>
      <c r="C411" s="66" t="s">
        <v>215</v>
      </c>
      <c r="D411" s="67">
        <v>4</v>
      </c>
      <c r="E411" s="68">
        <v>4.1792916100699999E-4</v>
      </c>
    </row>
    <row r="412" spans="2:5" ht="15" customHeight="1">
      <c r="B412" s="107"/>
      <c r="C412" s="66" t="s">
        <v>219</v>
      </c>
      <c r="D412" s="67">
        <v>3</v>
      </c>
      <c r="E412" s="68">
        <v>3.13446870755E-4</v>
      </c>
    </row>
    <row r="413" spans="2:5" ht="15" customHeight="1">
      <c r="B413" s="107"/>
      <c r="C413" s="66" t="s">
        <v>206</v>
      </c>
      <c r="D413" s="67">
        <v>7</v>
      </c>
      <c r="E413" s="68">
        <v>7.3137603176300005E-4</v>
      </c>
    </row>
    <row r="414" spans="2:5" ht="15" customHeight="1">
      <c r="B414" s="107"/>
      <c r="C414" s="66" t="s">
        <v>207</v>
      </c>
      <c r="D414" s="67">
        <v>64</v>
      </c>
      <c r="E414" s="68">
        <v>6.686866576115E-3</v>
      </c>
    </row>
    <row r="415" spans="2:5" ht="15" customHeight="1">
      <c r="B415" s="107"/>
      <c r="C415" s="66" t="s">
        <v>216</v>
      </c>
      <c r="D415" s="67">
        <v>9</v>
      </c>
      <c r="E415" s="68">
        <v>9.4034061226599996E-4</v>
      </c>
    </row>
    <row r="416" spans="2:5" ht="15" customHeight="1">
      <c r="B416" s="107"/>
      <c r="C416" s="66" t="s">
        <v>220</v>
      </c>
      <c r="D416" s="67">
        <v>1</v>
      </c>
      <c r="E416" s="68">
        <v>1.04482290252E-4</v>
      </c>
    </row>
    <row r="417" spans="2:5" ht="15" customHeight="1">
      <c r="B417" s="107"/>
      <c r="C417" s="66" t="s">
        <v>218</v>
      </c>
      <c r="D417" s="67">
        <v>1</v>
      </c>
      <c r="E417" s="68">
        <v>1.04482290252E-4</v>
      </c>
    </row>
    <row r="418" spans="2:5" ht="15" customHeight="1">
      <c r="B418" s="107"/>
      <c r="C418" s="66" t="s">
        <v>208</v>
      </c>
      <c r="D418" s="67">
        <v>2</v>
      </c>
      <c r="E418" s="68">
        <v>2.08964580504E-4</v>
      </c>
    </row>
    <row r="419" spans="2:5" ht="15" customHeight="1">
      <c r="B419" s="107"/>
      <c r="C419" s="66" t="s">
        <v>209</v>
      </c>
      <c r="D419" s="67">
        <v>39</v>
      </c>
      <c r="E419" s="68">
        <v>4.0748093198199999E-3</v>
      </c>
    </row>
    <row r="420" spans="2:5" ht="15" customHeight="1">
      <c r="B420" s="107"/>
      <c r="C420" s="66" t="s">
        <v>210</v>
      </c>
      <c r="D420" s="67">
        <v>4</v>
      </c>
      <c r="E420" s="68">
        <v>4.1792916100699999E-4</v>
      </c>
    </row>
    <row r="421" spans="2:5" ht="15" customHeight="1">
      <c r="B421" s="107"/>
      <c r="C421" s="66" t="s">
        <v>211</v>
      </c>
      <c r="D421" s="67">
        <v>13</v>
      </c>
      <c r="E421" s="68">
        <v>1.3582697732729999E-3</v>
      </c>
    </row>
    <row r="422" spans="2:5" ht="15" customHeight="1">
      <c r="B422" s="107"/>
      <c r="C422" s="66" t="s">
        <v>212</v>
      </c>
      <c r="D422" s="67">
        <v>5</v>
      </c>
      <c r="E422" s="68">
        <v>5.2241145125899997E-4</v>
      </c>
    </row>
    <row r="423" spans="2:5" ht="15" customHeight="1">
      <c r="B423" s="107"/>
      <c r="C423" s="66" t="s">
        <v>213</v>
      </c>
      <c r="D423" s="67">
        <v>1</v>
      </c>
      <c r="E423" s="68">
        <v>1.04482290252E-4</v>
      </c>
    </row>
    <row r="424" spans="2:5" ht="15" customHeight="1">
      <c r="B424" s="107"/>
      <c r="C424" s="36" t="s">
        <v>29</v>
      </c>
      <c r="D424" s="35">
        <v>189</v>
      </c>
      <c r="E424" s="34">
        <v>1.9747152857590999E-2</v>
      </c>
    </row>
    <row r="425" spans="2:5" ht="15" customHeight="1">
      <c r="B425" s="107" t="s">
        <v>136</v>
      </c>
      <c r="C425" s="66" t="s">
        <v>202</v>
      </c>
      <c r="D425" s="67">
        <v>2</v>
      </c>
      <c r="E425" s="68">
        <v>2.08964580504E-4</v>
      </c>
    </row>
    <row r="426" spans="2:5" ht="15" customHeight="1">
      <c r="B426" s="107"/>
      <c r="C426" s="66" t="s">
        <v>204</v>
      </c>
      <c r="D426" s="67">
        <v>8</v>
      </c>
      <c r="E426" s="68">
        <v>8.3585832201399997E-4</v>
      </c>
    </row>
    <row r="427" spans="2:5" ht="15" customHeight="1">
      <c r="B427" s="107"/>
      <c r="C427" s="66" t="s">
        <v>214</v>
      </c>
      <c r="D427" s="67">
        <v>2</v>
      </c>
      <c r="E427" s="68">
        <v>2.08964580504E-4</v>
      </c>
    </row>
    <row r="428" spans="2:5" ht="15" customHeight="1">
      <c r="B428" s="107"/>
      <c r="C428" s="66" t="s">
        <v>205</v>
      </c>
      <c r="D428" s="67">
        <v>1</v>
      </c>
      <c r="E428" s="68">
        <v>1.04482290252E-4</v>
      </c>
    </row>
    <row r="429" spans="2:5" ht="15" customHeight="1">
      <c r="B429" s="107"/>
      <c r="C429" s="66" t="s">
        <v>219</v>
      </c>
      <c r="D429" s="67">
        <v>6</v>
      </c>
      <c r="E429" s="68">
        <v>6.2689374151099996E-4</v>
      </c>
    </row>
    <row r="430" spans="2:5" ht="15" customHeight="1">
      <c r="B430" s="107"/>
      <c r="C430" s="66" t="s">
        <v>218</v>
      </c>
      <c r="D430" s="67">
        <v>1</v>
      </c>
      <c r="E430" s="68">
        <v>1.04482290252E-4</v>
      </c>
    </row>
    <row r="431" spans="2:5" ht="15" customHeight="1">
      <c r="B431" s="107"/>
      <c r="C431" s="66" t="s">
        <v>209</v>
      </c>
      <c r="D431" s="67">
        <v>4</v>
      </c>
      <c r="E431" s="68">
        <v>4.1792916100699999E-4</v>
      </c>
    </row>
    <row r="432" spans="2:5" ht="15" customHeight="1">
      <c r="B432" s="107"/>
      <c r="C432" s="66" t="s">
        <v>210</v>
      </c>
      <c r="D432" s="67">
        <v>1</v>
      </c>
      <c r="E432" s="68">
        <v>1.04482290252E-4</v>
      </c>
    </row>
    <row r="433" spans="2:5" ht="15" customHeight="1">
      <c r="B433" s="107"/>
      <c r="C433" s="66" t="s">
        <v>211</v>
      </c>
      <c r="D433" s="67">
        <v>3</v>
      </c>
      <c r="E433" s="68">
        <v>3.13446870755E-4</v>
      </c>
    </row>
    <row r="434" spans="2:5" ht="15" customHeight="1">
      <c r="B434" s="107"/>
      <c r="C434" s="66" t="s">
        <v>213</v>
      </c>
      <c r="D434" s="67">
        <v>3</v>
      </c>
      <c r="E434" s="68">
        <v>3.13446870755E-4</v>
      </c>
    </row>
    <row r="435" spans="2:5" ht="15" customHeight="1">
      <c r="B435" s="107"/>
      <c r="C435" s="36" t="s">
        <v>29</v>
      </c>
      <c r="D435" s="35">
        <v>31</v>
      </c>
      <c r="E435" s="34">
        <v>3.2389509978060001E-3</v>
      </c>
    </row>
    <row r="436" spans="2:5" ht="15" customHeight="1">
      <c r="B436" s="107" t="s">
        <v>137</v>
      </c>
      <c r="C436" s="66" t="s">
        <v>204</v>
      </c>
      <c r="D436" s="67">
        <v>45</v>
      </c>
      <c r="E436" s="68">
        <v>4.701703061331E-3</v>
      </c>
    </row>
    <row r="437" spans="2:5" ht="15" customHeight="1">
      <c r="B437" s="107"/>
      <c r="C437" s="66" t="s">
        <v>219</v>
      </c>
      <c r="D437" s="67">
        <v>1</v>
      </c>
      <c r="E437" s="68">
        <v>1.04482290252E-4</v>
      </c>
    </row>
    <row r="438" spans="2:5" ht="15" customHeight="1">
      <c r="B438" s="107"/>
      <c r="C438" s="66" t="s">
        <v>206</v>
      </c>
      <c r="D438" s="67">
        <v>1</v>
      </c>
      <c r="E438" s="68">
        <v>1.04482290252E-4</v>
      </c>
    </row>
    <row r="439" spans="2:5" ht="15" customHeight="1">
      <c r="B439" s="107"/>
      <c r="C439" s="66" t="s">
        <v>208</v>
      </c>
      <c r="D439" s="67">
        <v>8</v>
      </c>
      <c r="E439" s="68">
        <v>8.3585832201399997E-4</v>
      </c>
    </row>
    <row r="440" spans="2:5" ht="15" customHeight="1">
      <c r="B440" s="107"/>
      <c r="C440" s="66" t="s">
        <v>209</v>
      </c>
      <c r="D440" s="67">
        <v>8</v>
      </c>
      <c r="E440" s="68">
        <v>8.3585832201399997E-4</v>
      </c>
    </row>
    <row r="441" spans="2:5" ht="15" customHeight="1">
      <c r="B441" s="107"/>
      <c r="C441" s="66" t="s">
        <v>210</v>
      </c>
      <c r="D441" s="67">
        <v>8</v>
      </c>
      <c r="E441" s="68">
        <v>8.3585832201399997E-4</v>
      </c>
    </row>
    <row r="442" spans="2:5" ht="15" customHeight="1">
      <c r="B442" s="107"/>
      <c r="C442" s="66" t="s">
        <v>211</v>
      </c>
      <c r="D442" s="67">
        <v>8</v>
      </c>
      <c r="E442" s="68">
        <v>8.3585832201399997E-4</v>
      </c>
    </row>
    <row r="443" spans="2:5" ht="15" customHeight="1">
      <c r="B443" s="107"/>
      <c r="C443" s="66" t="s">
        <v>212</v>
      </c>
      <c r="D443" s="67">
        <v>5</v>
      </c>
      <c r="E443" s="68">
        <v>5.2241145125899997E-4</v>
      </c>
    </row>
    <row r="444" spans="2:5" ht="15" customHeight="1">
      <c r="B444" s="107"/>
      <c r="C444" s="36" t="s">
        <v>29</v>
      </c>
      <c r="D444" s="35">
        <v>84</v>
      </c>
      <c r="E444" s="34">
        <v>8.7765123811509999E-3</v>
      </c>
    </row>
    <row r="445" spans="2:5" ht="15" customHeight="1">
      <c r="B445" s="107" t="s">
        <v>138</v>
      </c>
      <c r="C445" s="66" t="s">
        <v>207</v>
      </c>
      <c r="D445" s="67">
        <v>1</v>
      </c>
      <c r="E445" s="68">
        <v>1.04482290252E-4</v>
      </c>
    </row>
    <row r="446" spans="2:5" ht="15" customHeight="1">
      <c r="B446" s="107"/>
      <c r="C446" s="66" t="s">
        <v>216</v>
      </c>
      <c r="D446" s="67">
        <v>1</v>
      </c>
      <c r="E446" s="68">
        <v>1.04482290252E-4</v>
      </c>
    </row>
    <row r="447" spans="2:5" ht="15" customHeight="1">
      <c r="B447" s="107"/>
      <c r="C447" s="66" t="s">
        <v>208</v>
      </c>
      <c r="D447" s="67">
        <v>1</v>
      </c>
      <c r="E447" s="68">
        <v>1.04482290252E-4</v>
      </c>
    </row>
    <row r="448" spans="2:5" ht="15" customHeight="1">
      <c r="B448" s="107"/>
      <c r="C448" s="36" t="s">
        <v>29</v>
      </c>
      <c r="D448" s="35">
        <v>3</v>
      </c>
      <c r="E448" s="34">
        <v>3.13446870755E-4</v>
      </c>
    </row>
    <row r="449" spans="2:5" ht="15" customHeight="1">
      <c r="B449" s="107" t="s">
        <v>139</v>
      </c>
      <c r="C449" s="66" t="s">
        <v>202</v>
      </c>
      <c r="D449" s="67">
        <v>3</v>
      </c>
      <c r="E449" s="68">
        <v>3.13446870755E-4</v>
      </c>
    </row>
    <row r="450" spans="2:5" ht="15" customHeight="1">
      <c r="B450" s="107"/>
      <c r="C450" s="66" t="s">
        <v>203</v>
      </c>
      <c r="D450" s="67">
        <v>1</v>
      </c>
      <c r="E450" s="68">
        <v>1.04482290252E-4</v>
      </c>
    </row>
    <row r="451" spans="2:5" ht="15" customHeight="1">
      <c r="B451" s="107"/>
      <c r="C451" s="66" t="s">
        <v>204</v>
      </c>
      <c r="D451" s="67">
        <v>34</v>
      </c>
      <c r="E451" s="68">
        <v>3.5523978685610001E-3</v>
      </c>
    </row>
    <row r="452" spans="2:5" ht="15" customHeight="1">
      <c r="B452" s="107"/>
      <c r="C452" s="66" t="s">
        <v>205</v>
      </c>
      <c r="D452" s="67">
        <v>5</v>
      </c>
      <c r="E452" s="68">
        <v>5.2241145125899997E-4</v>
      </c>
    </row>
    <row r="453" spans="2:5" ht="15" customHeight="1">
      <c r="B453" s="107"/>
      <c r="C453" s="66" t="s">
        <v>215</v>
      </c>
      <c r="D453" s="67">
        <v>1</v>
      </c>
      <c r="E453" s="68">
        <v>1.04482290252E-4</v>
      </c>
    </row>
    <row r="454" spans="2:5" ht="15" customHeight="1">
      <c r="B454" s="107"/>
      <c r="C454" s="66" t="s">
        <v>219</v>
      </c>
      <c r="D454" s="67">
        <v>3</v>
      </c>
      <c r="E454" s="68">
        <v>3.13446870755E-4</v>
      </c>
    </row>
    <row r="455" spans="2:5" ht="15" customHeight="1">
      <c r="B455" s="107"/>
      <c r="C455" s="66" t="s">
        <v>206</v>
      </c>
      <c r="D455" s="67">
        <v>16</v>
      </c>
      <c r="E455" s="68">
        <v>1.671716644029E-3</v>
      </c>
    </row>
    <row r="456" spans="2:5" ht="15" customHeight="1">
      <c r="B456" s="107"/>
      <c r="C456" s="66" t="s">
        <v>207</v>
      </c>
      <c r="D456" s="67">
        <v>12</v>
      </c>
      <c r="E456" s="68">
        <v>1.2537874830219999E-3</v>
      </c>
    </row>
    <row r="457" spans="2:5" ht="15" customHeight="1">
      <c r="B457" s="107"/>
      <c r="C457" s="66" t="s">
        <v>216</v>
      </c>
      <c r="D457" s="67">
        <v>7</v>
      </c>
      <c r="E457" s="68">
        <v>7.3137603176300005E-4</v>
      </c>
    </row>
    <row r="458" spans="2:5" ht="15" customHeight="1">
      <c r="B458" s="107"/>
      <c r="C458" s="66" t="s">
        <v>217</v>
      </c>
      <c r="D458" s="67">
        <v>3</v>
      </c>
      <c r="E458" s="68">
        <v>3.13446870755E-4</v>
      </c>
    </row>
    <row r="459" spans="2:5" ht="15" customHeight="1">
      <c r="B459" s="107"/>
      <c r="C459" s="66" t="s">
        <v>218</v>
      </c>
      <c r="D459" s="67">
        <v>13</v>
      </c>
      <c r="E459" s="68">
        <v>1.3582697732729999E-3</v>
      </c>
    </row>
    <row r="460" spans="2:5" ht="15" customHeight="1">
      <c r="B460" s="107"/>
      <c r="C460" s="66" t="s">
        <v>208</v>
      </c>
      <c r="D460" s="67">
        <v>27</v>
      </c>
      <c r="E460" s="68">
        <v>2.8210218367989998E-3</v>
      </c>
    </row>
    <row r="461" spans="2:5" ht="15" customHeight="1">
      <c r="B461" s="107"/>
      <c r="C461" s="66" t="s">
        <v>209</v>
      </c>
      <c r="D461" s="67">
        <v>77</v>
      </c>
      <c r="E461" s="68">
        <v>8.045136349389E-3</v>
      </c>
    </row>
    <row r="462" spans="2:5" ht="15" customHeight="1">
      <c r="B462" s="107"/>
      <c r="C462" s="66" t="s">
        <v>211</v>
      </c>
      <c r="D462" s="67">
        <v>22</v>
      </c>
      <c r="E462" s="68">
        <v>2.2986103855400001E-3</v>
      </c>
    </row>
    <row r="463" spans="2:5" ht="15" customHeight="1">
      <c r="B463" s="107"/>
      <c r="C463" s="66" t="s">
        <v>212</v>
      </c>
      <c r="D463" s="67">
        <v>2</v>
      </c>
      <c r="E463" s="68">
        <v>2.08964580504E-4</v>
      </c>
    </row>
    <row r="464" spans="2:5" ht="15" customHeight="1">
      <c r="B464" s="107"/>
      <c r="C464" s="66" t="s">
        <v>213</v>
      </c>
      <c r="D464" s="67">
        <v>11</v>
      </c>
      <c r="E464" s="68">
        <v>1.14930519277E-3</v>
      </c>
    </row>
    <row r="465" spans="2:5" ht="15" customHeight="1">
      <c r="B465" s="107"/>
      <c r="C465" s="36" t="s">
        <v>29</v>
      </c>
      <c r="D465" s="35">
        <v>237</v>
      </c>
      <c r="E465" s="34">
        <v>2.4762302789677001E-2</v>
      </c>
    </row>
    <row r="466" spans="2:5" ht="15" customHeight="1">
      <c r="B466" s="107" t="s">
        <v>140</v>
      </c>
      <c r="C466" s="66" t="s">
        <v>202</v>
      </c>
      <c r="D466" s="67">
        <v>1</v>
      </c>
      <c r="E466" s="68">
        <v>1.04482290252E-4</v>
      </c>
    </row>
    <row r="467" spans="2:5" ht="15" customHeight="1">
      <c r="B467" s="107"/>
      <c r="C467" s="66" t="s">
        <v>217</v>
      </c>
      <c r="D467" s="67">
        <v>1</v>
      </c>
      <c r="E467" s="68">
        <v>1.04482290252E-4</v>
      </c>
    </row>
    <row r="468" spans="2:5" ht="15" customHeight="1">
      <c r="B468" s="107"/>
      <c r="C468" s="66" t="s">
        <v>209</v>
      </c>
      <c r="D468" s="67">
        <v>3</v>
      </c>
      <c r="E468" s="68">
        <v>3.13446870755E-4</v>
      </c>
    </row>
    <row r="469" spans="2:5" ht="15" customHeight="1">
      <c r="B469" s="107"/>
      <c r="C469" s="36" t="s">
        <v>29</v>
      </c>
      <c r="D469" s="35">
        <v>5</v>
      </c>
      <c r="E469" s="34">
        <v>5.2241145125899997E-4</v>
      </c>
    </row>
    <row r="470" spans="2:5" ht="15" customHeight="1">
      <c r="B470" s="107" t="s">
        <v>141</v>
      </c>
      <c r="C470" s="66" t="s">
        <v>202</v>
      </c>
      <c r="D470" s="67">
        <v>17</v>
      </c>
      <c r="E470" s="68">
        <v>1.7761989342810001E-3</v>
      </c>
    </row>
    <row r="471" spans="2:5" ht="15" customHeight="1">
      <c r="B471" s="107"/>
      <c r="C471" s="66" t="s">
        <v>203</v>
      </c>
      <c r="D471" s="67">
        <v>18</v>
      </c>
      <c r="E471" s="68">
        <v>1.8806812245319999E-3</v>
      </c>
    </row>
    <row r="472" spans="2:5" ht="15" customHeight="1">
      <c r="B472" s="107"/>
      <c r="C472" s="66" t="s">
        <v>204</v>
      </c>
      <c r="D472" s="67">
        <v>24</v>
      </c>
      <c r="E472" s="68">
        <v>2.5075749660430002E-3</v>
      </c>
    </row>
    <row r="473" spans="2:5" ht="15" customHeight="1">
      <c r="B473" s="107"/>
      <c r="C473" s="66" t="s">
        <v>214</v>
      </c>
      <c r="D473" s="67">
        <v>3</v>
      </c>
      <c r="E473" s="68">
        <v>3.13446870755E-4</v>
      </c>
    </row>
    <row r="474" spans="2:5" ht="15" customHeight="1">
      <c r="B474" s="107"/>
      <c r="C474" s="66" t="s">
        <v>205</v>
      </c>
      <c r="D474" s="67">
        <v>1</v>
      </c>
      <c r="E474" s="68">
        <v>1.04482290252E-4</v>
      </c>
    </row>
    <row r="475" spans="2:5" ht="15" customHeight="1">
      <c r="B475" s="107"/>
      <c r="C475" s="66" t="s">
        <v>215</v>
      </c>
      <c r="D475" s="67">
        <v>9</v>
      </c>
      <c r="E475" s="68">
        <v>9.4034061226599996E-4</v>
      </c>
    </row>
    <row r="476" spans="2:5" ht="15" customHeight="1">
      <c r="B476" s="107"/>
      <c r="C476" s="66" t="s">
        <v>206</v>
      </c>
      <c r="D476" s="67">
        <v>12</v>
      </c>
      <c r="E476" s="68">
        <v>1.2537874830219999E-3</v>
      </c>
    </row>
    <row r="477" spans="2:5" ht="15" customHeight="1">
      <c r="B477" s="107"/>
      <c r="C477" s="66" t="s">
        <v>207</v>
      </c>
      <c r="D477" s="67">
        <v>24</v>
      </c>
      <c r="E477" s="68">
        <v>2.5075749660430002E-3</v>
      </c>
    </row>
    <row r="478" spans="2:5" ht="15" customHeight="1">
      <c r="B478" s="107"/>
      <c r="C478" s="66" t="s">
        <v>216</v>
      </c>
      <c r="D478" s="67">
        <v>5</v>
      </c>
      <c r="E478" s="68">
        <v>5.2241145125899997E-4</v>
      </c>
    </row>
    <row r="479" spans="2:5" ht="15" customHeight="1">
      <c r="B479" s="107"/>
      <c r="C479" s="66" t="s">
        <v>220</v>
      </c>
      <c r="D479" s="67">
        <v>1</v>
      </c>
      <c r="E479" s="68">
        <v>1.04482290252E-4</v>
      </c>
    </row>
    <row r="480" spans="2:5" ht="15" customHeight="1">
      <c r="B480" s="107"/>
      <c r="C480" s="66" t="s">
        <v>217</v>
      </c>
      <c r="D480" s="67">
        <v>4</v>
      </c>
      <c r="E480" s="68">
        <v>4.1792916100699999E-4</v>
      </c>
    </row>
    <row r="481" spans="2:5" ht="15" customHeight="1">
      <c r="B481" s="107"/>
      <c r="C481" s="66" t="s">
        <v>218</v>
      </c>
      <c r="D481" s="67">
        <v>1</v>
      </c>
      <c r="E481" s="68">
        <v>1.04482290252E-4</v>
      </c>
    </row>
    <row r="482" spans="2:5" ht="15" customHeight="1">
      <c r="B482" s="107"/>
      <c r="C482" s="66" t="s">
        <v>208</v>
      </c>
      <c r="D482" s="67">
        <v>9</v>
      </c>
      <c r="E482" s="68">
        <v>9.4034061226599996E-4</v>
      </c>
    </row>
    <row r="483" spans="2:5" ht="15" customHeight="1">
      <c r="B483" s="107"/>
      <c r="C483" s="66" t="s">
        <v>209</v>
      </c>
      <c r="D483" s="67">
        <v>73</v>
      </c>
      <c r="E483" s="68">
        <v>7.6272071883819997E-3</v>
      </c>
    </row>
    <row r="484" spans="2:5" ht="15" customHeight="1">
      <c r="B484" s="107"/>
      <c r="C484" s="66" t="s">
        <v>210</v>
      </c>
      <c r="D484" s="67">
        <v>2</v>
      </c>
      <c r="E484" s="68">
        <v>2.08964580504E-4</v>
      </c>
    </row>
    <row r="485" spans="2:5" ht="15" customHeight="1">
      <c r="B485" s="107"/>
      <c r="C485" s="66" t="s">
        <v>211</v>
      </c>
      <c r="D485" s="67">
        <v>29</v>
      </c>
      <c r="E485" s="68">
        <v>3.029986417302E-3</v>
      </c>
    </row>
    <row r="486" spans="2:5" ht="15" customHeight="1">
      <c r="B486" s="107"/>
      <c r="C486" s="66" t="s">
        <v>212</v>
      </c>
      <c r="D486" s="67">
        <v>1</v>
      </c>
      <c r="E486" s="68">
        <v>1.04482290252E-4</v>
      </c>
    </row>
    <row r="487" spans="2:5" ht="15" customHeight="1">
      <c r="B487" s="107"/>
      <c r="C487" s="36" t="s">
        <v>29</v>
      </c>
      <c r="D487" s="35">
        <v>233</v>
      </c>
      <c r="E487" s="34">
        <v>2.434437362867E-2</v>
      </c>
    </row>
    <row r="488" spans="2:5" ht="15" customHeight="1">
      <c r="B488" s="107" t="s">
        <v>142</v>
      </c>
      <c r="C488" s="66" t="s">
        <v>202</v>
      </c>
      <c r="D488" s="67">
        <v>117</v>
      </c>
      <c r="E488" s="68">
        <v>1.2224427959461E-2</v>
      </c>
    </row>
    <row r="489" spans="2:5" ht="15" customHeight="1">
      <c r="B489" s="107"/>
      <c r="C489" s="66" t="s">
        <v>203</v>
      </c>
      <c r="D489" s="67">
        <v>204</v>
      </c>
      <c r="E489" s="68">
        <v>2.1314387211368E-2</v>
      </c>
    </row>
    <row r="490" spans="2:5" ht="15" customHeight="1">
      <c r="B490" s="107"/>
      <c r="C490" s="66" t="s">
        <v>204</v>
      </c>
      <c r="D490" s="67">
        <v>161</v>
      </c>
      <c r="E490" s="68">
        <v>1.6821648730540002E-2</v>
      </c>
    </row>
    <row r="491" spans="2:5" ht="15" customHeight="1">
      <c r="B491" s="107"/>
      <c r="C491" s="66" t="s">
        <v>214</v>
      </c>
      <c r="D491" s="67">
        <v>28</v>
      </c>
      <c r="E491" s="68">
        <v>2.9255041270500001E-3</v>
      </c>
    </row>
    <row r="492" spans="2:5" ht="15" customHeight="1">
      <c r="B492" s="107"/>
      <c r="C492" s="66" t="s">
        <v>205</v>
      </c>
      <c r="D492" s="67">
        <v>69</v>
      </c>
      <c r="E492" s="68">
        <v>7.2092780273740002E-3</v>
      </c>
    </row>
    <row r="493" spans="2:5" ht="15" customHeight="1">
      <c r="B493" s="107"/>
      <c r="C493" s="66" t="s">
        <v>215</v>
      </c>
      <c r="D493" s="67">
        <v>80</v>
      </c>
      <c r="E493" s="68">
        <v>8.3585832201439995E-3</v>
      </c>
    </row>
    <row r="494" spans="2:5" ht="15" customHeight="1">
      <c r="B494" s="107"/>
      <c r="C494" s="66" t="s">
        <v>219</v>
      </c>
      <c r="D494" s="67">
        <v>6</v>
      </c>
      <c r="E494" s="68">
        <v>6.2689374151099996E-4</v>
      </c>
    </row>
    <row r="495" spans="2:5" ht="15" customHeight="1">
      <c r="B495" s="107"/>
      <c r="C495" s="66" t="s">
        <v>206</v>
      </c>
      <c r="D495" s="67">
        <v>214</v>
      </c>
      <c r="E495" s="68">
        <v>2.2359210113885999E-2</v>
      </c>
    </row>
    <row r="496" spans="2:5" ht="15" customHeight="1">
      <c r="B496" s="107"/>
      <c r="C496" s="66" t="s">
        <v>207</v>
      </c>
      <c r="D496" s="67">
        <v>326</v>
      </c>
      <c r="E496" s="68">
        <v>3.4061226622087999E-2</v>
      </c>
    </row>
    <row r="497" spans="2:5" ht="15" customHeight="1">
      <c r="B497" s="107"/>
      <c r="C497" s="66" t="s">
        <v>216</v>
      </c>
      <c r="D497" s="67">
        <v>167</v>
      </c>
      <c r="E497" s="68">
        <v>1.7448542472051E-2</v>
      </c>
    </row>
    <row r="498" spans="2:5" ht="15" customHeight="1">
      <c r="B498" s="107"/>
      <c r="C498" s="66" t="s">
        <v>220</v>
      </c>
      <c r="D498" s="67">
        <v>3</v>
      </c>
      <c r="E498" s="68">
        <v>3.13446870755E-4</v>
      </c>
    </row>
    <row r="499" spans="2:5" ht="15" customHeight="1">
      <c r="B499" s="107"/>
      <c r="C499" s="66" t="s">
        <v>217</v>
      </c>
      <c r="D499" s="67">
        <v>53</v>
      </c>
      <c r="E499" s="68">
        <v>5.5375613833459998E-3</v>
      </c>
    </row>
    <row r="500" spans="2:5" ht="15" customHeight="1">
      <c r="B500" s="107"/>
      <c r="C500" s="66" t="s">
        <v>218</v>
      </c>
      <c r="D500" s="67">
        <v>26</v>
      </c>
      <c r="E500" s="68">
        <v>2.716539546547E-3</v>
      </c>
    </row>
    <row r="501" spans="2:5" ht="15" customHeight="1">
      <c r="B501" s="107"/>
      <c r="C501" s="66" t="s">
        <v>208</v>
      </c>
      <c r="D501" s="67">
        <v>104</v>
      </c>
      <c r="E501" s="68">
        <v>1.0866158186187001E-2</v>
      </c>
    </row>
    <row r="502" spans="2:5" ht="15" customHeight="1">
      <c r="B502" s="107"/>
      <c r="C502" s="66" t="s">
        <v>209</v>
      </c>
      <c r="D502" s="67">
        <v>1390</v>
      </c>
      <c r="E502" s="68">
        <v>0.145230383450005</v>
      </c>
    </row>
    <row r="503" spans="2:5" ht="15" customHeight="1">
      <c r="B503" s="107"/>
      <c r="C503" s="66" t="s">
        <v>210</v>
      </c>
      <c r="D503" s="67">
        <v>17</v>
      </c>
      <c r="E503" s="68">
        <v>1.7761989342810001E-3</v>
      </c>
    </row>
    <row r="504" spans="2:5" ht="15" customHeight="1">
      <c r="B504" s="107"/>
      <c r="C504" s="66" t="s">
        <v>211</v>
      </c>
      <c r="D504" s="67">
        <v>271</v>
      </c>
      <c r="E504" s="68">
        <v>2.8314700658238001E-2</v>
      </c>
    </row>
    <row r="505" spans="2:5" ht="15" customHeight="1">
      <c r="B505" s="107"/>
      <c r="C505" s="66" t="s">
        <v>221</v>
      </c>
      <c r="D505" s="67">
        <v>1</v>
      </c>
      <c r="E505" s="68">
        <v>1.04482290252E-4</v>
      </c>
    </row>
    <row r="506" spans="2:5" ht="15" customHeight="1">
      <c r="B506" s="107"/>
      <c r="C506" s="66" t="s">
        <v>222</v>
      </c>
      <c r="D506" s="67">
        <v>1</v>
      </c>
      <c r="E506" s="68">
        <v>1.04482290252E-4</v>
      </c>
    </row>
    <row r="507" spans="2:5" ht="15" customHeight="1">
      <c r="B507" s="107"/>
      <c r="C507" s="66" t="s">
        <v>212</v>
      </c>
      <c r="D507" s="67">
        <v>82</v>
      </c>
      <c r="E507" s="68">
        <v>8.5675478006479993E-3</v>
      </c>
    </row>
    <row r="508" spans="2:5" ht="15" customHeight="1">
      <c r="B508" s="107"/>
      <c r="C508" s="66" t="s">
        <v>213</v>
      </c>
      <c r="D508" s="67">
        <v>13</v>
      </c>
      <c r="E508" s="68">
        <v>1.3582697732729999E-3</v>
      </c>
    </row>
    <row r="509" spans="2:5" ht="15" customHeight="1">
      <c r="B509" s="107"/>
      <c r="C509" s="36" t="s">
        <v>29</v>
      </c>
      <c r="D509" s="35">
        <v>3333</v>
      </c>
      <c r="E509" s="34">
        <v>0.34823947340925698</v>
      </c>
    </row>
    <row r="510" spans="2:5" ht="15" customHeight="1">
      <c r="B510" s="107" t="s">
        <v>143</v>
      </c>
      <c r="C510" s="66" t="s">
        <v>202</v>
      </c>
      <c r="D510" s="67">
        <v>18</v>
      </c>
      <c r="E510" s="68">
        <v>1.8806812245319999E-3</v>
      </c>
    </row>
    <row r="511" spans="2:5" ht="15" customHeight="1">
      <c r="B511" s="107"/>
      <c r="C511" s="66" t="s">
        <v>204</v>
      </c>
      <c r="D511" s="67">
        <v>2</v>
      </c>
      <c r="E511" s="68">
        <v>2.08964580504E-4</v>
      </c>
    </row>
    <row r="512" spans="2:5" ht="15" customHeight="1">
      <c r="B512" s="107"/>
      <c r="C512" s="66" t="s">
        <v>205</v>
      </c>
      <c r="D512" s="67">
        <v>1</v>
      </c>
      <c r="E512" s="68">
        <v>1.04482290252E-4</v>
      </c>
    </row>
    <row r="513" spans="2:5" ht="15" customHeight="1">
      <c r="B513" s="107"/>
      <c r="C513" s="66" t="s">
        <v>209</v>
      </c>
      <c r="D513" s="67">
        <v>9</v>
      </c>
      <c r="E513" s="68">
        <v>9.4034061226599996E-4</v>
      </c>
    </row>
    <row r="514" spans="2:5" ht="15" customHeight="1">
      <c r="B514" s="107"/>
      <c r="C514" s="66" t="s">
        <v>211</v>
      </c>
      <c r="D514" s="67">
        <v>11</v>
      </c>
      <c r="E514" s="68">
        <v>1.14930519277E-3</v>
      </c>
    </row>
    <row r="515" spans="2:5" ht="15" customHeight="1">
      <c r="B515" s="107"/>
      <c r="C515" s="66" t="s">
        <v>212</v>
      </c>
      <c r="D515" s="67">
        <v>4</v>
      </c>
      <c r="E515" s="68">
        <v>4.1792916100699999E-4</v>
      </c>
    </row>
    <row r="516" spans="2:5" ht="15" customHeight="1">
      <c r="B516" s="107"/>
      <c r="C516" s="36" t="s">
        <v>29</v>
      </c>
      <c r="D516" s="35">
        <v>45</v>
      </c>
      <c r="E516" s="34">
        <v>4.701703061331E-3</v>
      </c>
    </row>
    <row r="517" spans="2:5" ht="15" customHeight="1">
      <c r="B517" s="107" t="s">
        <v>144</v>
      </c>
      <c r="C517" s="66" t="s">
        <v>209</v>
      </c>
      <c r="D517" s="67">
        <v>2</v>
      </c>
      <c r="E517" s="68">
        <v>2.08964580504E-4</v>
      </c>
    </row>
    <row r="518" spans="2:5" ht="15" customHeight="1">
      <c r="B518" s="107"/>
      <c r="C518" s="36" t="s">
        <v>29</v>
      </c>
      <c r="D518" s="35">
        <v>2</v>
      </c>
      <c r="E518" s="34">
        <v>2.08964580504E-4</v>
      </c>
    </row>
    <row r="519" spans="2:5" ht="15" customHeight="1">
      <c r="B519" s="107" t="s">
        <v>145</v>
      </c>
      <c r="C519" s="66" t="s">
        <v>202</v>
      </c>
      <c r="D519" s="67">
        <v>7</v>
      </c>
      <c r="E519" s="68">
        <v>7.3137603176300005E-4</v>
      </c>
    </row>
    <row r="520" spans="2:5" ht="15" customHeight="1">
      <c r="B520" s="107"/>
      <c r="C520" s="66" t="s">
        <v>203</v>
      </c>
      <c r="D520" s="67">
        <v>2</v>
      </c>
      <c r="E520" s="68">
        <v>2.08964580504E-4</v>
      </c>
    </row>
    <row r="521" spans="2:5" ht="15" customHeight="1">
      <c r="B521" s="107"/>
      <c r="C521" s="66" t="s">
        <v>204</v>
      </c>
      <c r="D521" s="67">
        <v>7</v>
      </c>
      <c r="E521" s="68">
        <v>7.3137603176300005E-4</v>
      </c>
    </row>
    <row r="522" spans="2:5" ht="15" customHeight="1">
      <c r="B522" s="107"/>
      <c r="C522" s="66" t="s">
        <v>214</v>
      </c>
      <c r="D522" s="67">
        <v>3</v>
      </c>
      <c r="E522" s="68">
        <v>3.13446870755E-4</v>
      </c>
    </row>
    <row r="523" spans="2:5" ht="15" customHeight="1">
      <c r="B523" s="107"/>
      <c r="C523" s="66" t="s">
        <v>205</v>
      </c>
      <c r="D523" s="67">
        <v>3</v>
      </c>
      <c r="E523" s="68">
        <v>3.13446870755E-4</v>
      </c>
    </row>
    <row r="524" spans="2:5" ht="15" customHeight="1">
      <c r="B524" s="107"/>
      <c r="C524" s="66" t="s">
        <v>215</v>
      </c>
      <c r="D524" s="67">
        <v>2</v>
      </c>
      <c r="E524" s="68">
        <v>2.08964580504E-4</v>
      </c>
    </row>
    <row r="525" spans="2:5" ht="15" customHeight="1">
      <c r="B525" s="107"/>
      <c r="C525" s="66" t="s">
        <v>206</v>
      </c>
      <c r="D525" s="67">
        <v>2</v>
      </c>
      <c r="E525" s="68">
        <v>2.08964580504E-4</v>
      </c>
    </row>
    <row r="526" spans="2:5" ht="15" customHeight="1">
      <c r="B526" s="107"/>
      <c r="C526" s="66" t="s">
        <v>207</v>
      </c>
      <c r="D526" s="67">
        <v>13</v>
      </c>
      <c r="E526" s="68">
        <v>1.3582697732729999E-3</v>
      </c>
    </row>
    <row r="527" spans="2:5" ht="15" customHeight="1">
      <c r="B527" s="107"/>
      <c r="C527" s="66" t="s">
        <v>216</v>
      </c>
      <c r="D527" s="67">
        <v>5</v>
      </c>
      <c r="E527" s="68">
        <v>5.2241145125899997E-4</v>
      </c>
    </row>
    <row r="528" spans="2:5" ht="15" customHeight="1">
      <c r="B528" s="107"/>
      <c r="C528" s="66" t="s">
        <v>217</v>
      </c>
      <c r="D528" s="67">
        <v>3</v>
      </c>
      <c r="E528" s="68">
        <v>3.13446870755E-4</v>
      </c>
    </row>
    <row r="529" spans="2:5" ht="15" customHeight="1">
      <c r="B529" s="107"/>
      <c r="C529" s="66" t="s">
        <v>208</v>
      </c>
      <c r="D529" s="67">
        <v>16</v>
      </c>
      <c r="E529" s="68">
        <v>1.671716644029E-3</v>
      </c>
    </row>
    <row r="530" spans="2:5" ht="15" customHeight="1">
      <c r="B530" s="107"/>
      <c r="C530" s="66" t="s">
        <v>209</v>
      </c>
      <c r="D530" s="67">
        <v>15</v>
      </c>
      <c r="E530" s="68">
        <v>1.5672343537769999E-3</v>
      </c>
    </row>
    <row r="531" spans="2:5" ht="15" customHeight="1">
      <c r="B531" s="107"/>
      <c r="C531" s="66" t="s">
        <v>210</v>
      </c>
      <c r="D531" s="67">
        <v>1</v>
      </c>
      <c r="E531" s="68">
        <v>1.04482290252E-4</v>
      </c>
    </row>
    <row r="532" spans="2:5" ht="15" customHeight="1">
      <c r="B532" s="107"/>
      <c r="C532" s="66" t="s">
        <v>211</v>
      </c>
      <c r="D532" s="67">
        <v>13</v>
      </c>
      <c r="E532" s="68">
        <v>1.3582697732729999E-3</v>
      </c>
    </row>
    <row r="533" spans="2:5" ht="15" customHeight="1">
      <c r="B533" s="107"/>
      <c r="C533" s="66" t="s">
        <v>212</v>
      </c>
      <c r="D533" s="67">
        <v>2</v>
      </c>
      <c r="E533" s="68">
        <v>2.08964580504E-4</v>
      </c>
    </row>
    <row r="534" spans="2:5" ht="15" customHeight="1">
      <c r="B534" s="107"/>
      <c r="C534" s="66" t="s">
        <v>213</v>
      </c>
      <c r="D534" s="67">
        <v>1</v>
      </c>
      <c r="E534" s="68">
        <v>1.04482290252E-4</v>
      </c>
    </row>
    <row r="535" spans="2:5" ht="15" customHeight="1">
      <c r="B535" s="107"/>
      <c r="C535" s="36" t="s">
        <v>29</v>
      </c>
      <c r="D535" s="35">
        <v>95</v>
      </c>
      <c r="E535" s="34">
        <v>9.9258175739209992E-3</v>
      </c>
    </row>
    <row r="536" spans="2:5" ht="15" customHeight="1">
      <c r="B536" s="107" t="s">
        <v>74</v>
      </c>
      <c r="C536" s="66" t="s">
        <v>202</v>
      </c>
      <c r="D536" s="67">
        <v>4</v>
      </c>
      <c r="E536" s="68">
        <v>4.1792916100699999E-4</v>
      </c>
    </row>
    <row r="537" spans="2:5" ht="15" customHeight="1">
      <c r="B537" s="107"/>
      <c r="C537" s="66" t="s">
        <v>204</v>
      </c>
      <c r="D537" s="67">
        <v>6</v>
      </c>
      <c r="E537" s="68">
        <v>6.2689374151099996E-4</v>
      </c>
    </row>
    <row r="538" spans="2:5" ht="15" customHeight="1">
      <c r="B538" s="107"/>
      <c r="C538" s="66" t="s">
        <v>214</v>
      </c>
      <c r="D538" s="67">
        <v>2</v>
      </c>
      <c r="E538" s="68">
        <v>2.08964580504E-4</v>
      </c>
    </row>
    <row r="539" spans="2:5" ht="15" customHeight="1">
      <c r="B539" s="107"/>
      <c r="C539" s="66" t="s">
        <v>205</v>
      </c>
      <c r="D539" s="67">
        <v>2</v>
      </c>
      <c r="E539" s="68">
        <v>2.08964580504E-4</v>
      </c>
    </row>
    <row r="540" spans="2:5" ht="15" customHeight="1">
      <c r="B540" s="107"/>
      <c r="C540" s="66" t="s">
        <v>215</v>
      </c>
      <c r="D540" s="67">
        <v>8</v>
      </c>
      <c r="E540" s="68">
        <v>8.3585832201399997E-4</v>
      </c>
    </row>
    <row r="541" spans="2:5" ht="15" customHeight="1">
      <c r="B541" s="107"/>
      <c r="C541" s="66" t="s">
        <v>219</v>
      </c>
      <c r="D541" s="67">
        <v>1</v>
      </c>
      <c r="E541" s="68">
        <v>1.04482290252E-4</v>
      </c>
    </row>
    <row r="542" spans="2:5" ht="15" customHeight="1">
      <c r="B542" s="107"/>
      <c r="C542" s="66" t="s">
        <v>206</v>
      </c>
      <c r="D542" s="67">
        <v>1</v>
      </c>
      <c r="E542" s="68">
        <v>1.04482290252E-4</v>
      </c>
    </row>
    <row r="543" spans="2:5" ht="15" customHeight="1">
      <c r="B543" s="107"/>
      <c r="C543" s="66" t="s">
        <v>207</v>
      </c>
      <c r="D543" s="67">
        <v>1</v>
      </c>
      <c r="E543" s="68">
        <v>1.04482290252E-4</v>
      </c>
    </row>
    <row r="544" spans="2:5" ht="15" customHeight="1">
      <c r="B544" s="107"/>
      <c r="C544" s="66" t="s">
        <v>217</v>
      </c>
      <c r="D544" s="67">
        <v>1</v>
      </c>
      <c r="E544" s="68">
        <v>1.04482290252E-4</v>
      </c>
    </row>
    <row r="545" spans="2:5" ht="15" customHeight="1">
      <c r="B545" s="107"/>
      <c r="C545" s="66" t="s">
        <v>208</v>
      </c>
      <c r="D545" s="67">
        <v>5</v>
      </c>
      <c r="E545" s="68">
        <v>5.2241145125899997E-4</v>
      </c>
    </row>
    <row r="546" spans="2:5" ht="15" customHeight="1">
      <c r="B546" s="107"/>
      <c r="C546" s="66" t="s">
        <v>209</v>
      </c>
      <c r="D546" s="67">
        <v>26</v>
      </c>
      <c r="E546" s="68">
        <v>2.716539546547E-3</v>
      </c>
    </row>
    <row r="547" spans="2:5" ht="15" customHeight="1">
      <c r="B547" s="107"/>
      <c r="C547" s="66" t="s">
        <v>211</v>
      </c>
      <c r="D547" s="67">
        <v>16</v>
      </c>
      <c r="E547" s="68">
        <v>1.671716644029E-3</v>
      </c>
    </row>
    <row r="548" spans="2:5" ht="15" customHeight="1">
      <c r="B548" s="107"/>
      <c r="C548" s="66" t="s">
        <v>212</v>
      </c>
      <c r="D548" s="67">
        <v>2</v>
      </c>
      <c r="E548" s="68">
        <v>2.08964580504E-4</v>
      </c>
    </row>
    <row r="549" spans="2:5" ht="15" customHeight="1">
      <c r="B549" s="107"/>
      <c r="C549" s="36" t="s">
        <v>29</v>
      </c>
      <c r="D549" s="35">
        <v>75</v>
      </c>
      <c r="E549" s="34">
        <v>7.8361717688850002E-3</v>
      </c>
    </row>
    <row r="550" spans="2:5" ht="15" customHeight="1">
      <c r="B550" s="107" t="s">
        <v>146</v>
      </c>
      <c r="C550" s="66" t="s">
        <v>218</v>
      </c>
      <c r="D550" s="67">
        <v>1</v>
      </c>
      <c r="E550" s="68">
        <v>1.04482290252E-4</v>
      </c>
    </row>
    <row r="551" spans="2:5" ht="15" customHeight="1">
      <c r="B551" s="107"/>
      <c r="C551" s="66" t="s">
        <v>211</v>
      </c>
      <c r="D551" s="67">
        <v>3</v>
      </c>
      <c r="E551" s="68">
        <v>3.13446870755E-4</v>
      </c>
    </row>
    <row r="552" spans="2:5" ht="15" customHeight="1">
      <c r="B552" s="107"/>
      <c r="C552" s="36" t="s">
        <v>29</v>
      </c>
      <c r="D552" s="35">
        <v>4</v>
      </c>
      <c r="E552" s="34">
        <v>4.1792916100699999E-4</v>
      </c>
    </row>
    <row r="553" spans="2:5" ht="15" customHeight="1">
      <c r="B553" s="107" t="s">
        <v>147</v>
      </c>
      <c r="C553" s="66" t="s">
        <v>202</v>
      </c>
      <c r="D553" s="67">
        <v>54</v>
      </c>
      <c r="E553" s="68">
        <v>5.6420436735969996E-3</v>
      </c>
    </row>
    <row r="554" spans="2:5" ht="15" customHeight="1">
      <c r="B554" s="107"/>
      <c r="C554" s="66" t="s">
        <v>203</v>
      </c>
      <c r="D554" s="67">
        <v>2</v>
      </c>
      <c r="E554" s="68">
        <v>2.08964580504E-4</v>
      </c>
    </row>
    <row r="555" spans="2:5" ht="15" customHeight="1">
      <c r="B555" s="107"/>
      <c r="C555" s="66" t="s">
        <v>204</v>
      </c>
      <c r="D555" s="67">
        <v>2</v>
      </c>
      <c r="E555" s="68">
        <v>2.08964580504E-4</v>
      </c>
    </row>
    <row r="556" spans="2:5" ht="15" customHeight="1">
      <c r="B556" s="107"/>
      <c r="C556" s="66" t="s">
        <v>214</v>
      </c>
      <c r="D556" s="67">
        <v>1</v>
      </c>
      <c r="E556" s="68">
        <v>1.04482290252E-4</v>
      </c>
    </row>
    <row r="557" spans="2:5" ht="15" customHeight="1">
      <c r="B557" s="107"/>
      <c r="C557" s="66" t="s">
        <v>215</v>
      </c>
      <c r="D557" s="67">
        <v>1</v>
      </c>
      <c r="E557" s="68">
        <v>1.04482290252E-4</v>
      </c>
    </row>
    <row r="558" spans="2:5" ht="15" customHeight="1">
      <c r="B558" s="107"/>
      <c r="C558" s="66" t="s">
        <v>206</v>
      </c>
      <c r="D558" s="67">
        <v>1</v>
      </c>
      <c r="E558" s="68">
        <v>1.04482290252E-4</v>
      </c>
    </row>
    <row r="559" spans="2:5" ht="15" customHeight="1">
      <c r="B559" s="107"/>
      <c r="C559" s="66" t="s">
        <v>207</v>
      </c>
      <c r="D559" s="67">
        <v>3</v>
      </c>
      <c r="E559" s="68">
        <v>3.13446870755E-4</v>
      </c>
    </row>
    <row r="560" spans="2:5" ht="15" customHeight="1">
      <c r="B560" s="107"/>
      <c r="C560" s="66" t="s">
        <v>216</v>
      </c>
      <c r="D560" s="67">
        <v>4</v>
      </c>
      <c r="E560" s="68">
        <v>4.1792916100699999E-4</v>
      </c>
    </row>
    <row r="561" spans="2:5" ht="15" customHeight="1">
      <c r="B561" s="107"/>
      <c r="C561" s="66" t="s">
        <v>217</v>
      </c>
      <c r="D561" s="67">
        <v>1</v>
      </c>
      <c r="E561" s="68">
        <v>1.04482290252E-4</v>
      </c>
    </row>
    <row r="562" spans="2:5" ht="15" customHeight="1">
      <c r="B562" s="107"/>
      <c r="C562" s="66" t="s">
        <v>218</v>
      </c>
      <c r="D562" s="67">
        <v>2</v>
      </c>
      <c r="E562" s="68">
        <v>2.08964580504E-4</v>
      </c>
    </row>
    <row r="563" spans="2:5" ht="15" customHeight="1">
      <c r="B563" s="107"/>
      <c r="C563" s="66" t="s">
        <v>209</v>
      </c>
      <c r="D563" s="67">
        <v>16</v>
      </c>
      <c r="E563" s="68">
        <v>1.671716644029E-3</v>
      </c>
    </row>
    <row r="564" spans="2:5" ht="15" customHeight="1">
      <c r="B564" s="107"/>
      <c r="C564" s="66" t="s">
        <v>210</v>
      </c>
      <c r="D564" s="67">
        <v>2</v>
      </c>
      <c r="E564" s="68">
        <v>2.08964580504E-4</v>
      </c>
    </row>
    <row r="565" spans="2:5" ht="15" customHeight="1">
      <c r="B565" s="107"/>
      <c r="C565" s="66" t="s">
        <v>211</v>
      </c>
      <c r="D565" s="67">
        <v>7</v>
      </c>
      <c r="E565" s="68">
        <v>7.3137603176300005E-4</v>
      </c>
    </row>
    <row r="566" spans="2:5" ht="15" customHeight="1">
      <c r="B566" s="107"/>
      <c r="C566" s="66" t="s">
        <v>212</v>
      </c>
      <c r="D566" s="67">
        <v>10</v>
      </c>
      <c r="E566" s="68">
        <v>1.0448229025179999E-3</v>
      </c>
    </row>
    <row r="567" spans="2:5" ht="15" customHeight="1">
      <c r="B567" s="107"/>
      <c r="C567" s="36" t="s">
        <v>29</v>
      </c>
      <c r="D567" s="35">
        <v>106</v>
      </c>
      <c r="E567" s="34">
        <v>1.1075122766691E-2</v>
      </c>
    </row>
    <row r="568" spans="2:5" ht="15" customHeight="1">
      <c r="B568" s="107" t="s">
        <v>148</v>
      </c>
      <c r="C568" s="66" t="s">
        <v>202</v>
      </c>
      <c r="D568" s="67">
        <v>1</v>
      </c>
      <c r="E568" s="68">
        <v>1.04482290252E-4</v>
      </c>
    </row>
    <row r="569" spans="2:5" ht="15" customHeight="1">
      <c r="B569" s="107"/>
      <c r="C569" s="66" t="s">
        <v>207</v>
      </c>
      <c r="D569" s="67">
        <v>1</v>
      </c>
      <c r="E569" s="68">
        <v>1.04482290252E-4</v>
      </c>
    </row>
    <row r="570" spans="2:5" ht="15" customHeight="1">
      <c r="B570" s="107"/>
      <c r="C570" s="66" t="s">
        <v>208</v>
      </c>
      <c r="D570" s="67">
        <v>1</v>
      </c>
      <c r="E570" s="68">
        <v>1.04482290252E-4</v>
      </c>
    </row>
    <row r="571" spans="2:5" ht="15" customHeight="1">
      <c r="B571" s="107"/>
      <c r="C571" s="66" t="s">
        <v>211</v>
      </c>
      <c r="D571" s="67">
        <v>1</v>
      </c>
      <c r="E571" s="68">
        <v>1.04482290252E-4</v>
      </c>
    </row>
    <row r="572" spans="2:5" ht="15" customHeight="1">
      <c r="B572" s="107"/>
      <c r="C572" s="36" t="s">
        <v>29</v>
      </c>
      <c r="D572" s="35">
        <v>4</v>
      </c>
      <c r="E572" s="34">
        <v>4.1792916100699999E-4</v>
      </c>
    </row>
    <row r="573" spans="2:5" ht="15" customHeight="1">
      <c r="B573" s="109" t="s">
        <v>29</v>
      </c>
      <c r="C573" s="109"/>
      <c r="D573" s="64">
        <v>9571</v>
      </c>
      <c r="E573" s="65">
        <v>1</v>
      </c>
    </row>
    <row r="574" spans="2:5" ht="15" customHeight="1">
      <c r="B574" s="83"/>
      <c r="C574" s="83"/>
      <c r="D574" s="83"/>
      <c r="E574" s="83"/>
    </row>
    <row r="575" spans="2:5" ht="15" customHeight="1">
      <c r="B575" s="15" t="s">
        <v>47</v>
      </c>
      <c r="C575" s="83"/>
      <c r="D575" s="83"/>
      <c r="E575" s="83"/>
    </row>
    <row r="576" spans="2:5" ht="15" customHeight="1">
      <c r="B576" s="17" t="s">
        <v>18</v>
      </c>
      <c r="C576" s="83"/>
      <c r="D576" s="83"/>
      <c r="E576" s="83"/>
    </row>
    <row r="577" spans="2:5" ht="15" customHeight="1">
      <c r="B577" s="16" t="s">
        <v>48</v>
      </c>
      <c r="C577" s="83"/>
      <c r="D577" s="83"/>
      <c r="E577" s="83"/>
    </row>
    <row r="578" spans="2:5" ht="15" customHeight="1">
      <c r="B578" s="15" t="s">
        <v>17</v>
      </c>
      <c r="C578" s="83"/>
      <c r="D578" s="83"/>
      <c r="E578" s="83"/>
    </row>
    <row r="579" spans="2:5" ht="15" customHeight="1">
      <c r="B579" s="15" t="s">
        <v>49</v>
      </c>
      <c r="C579" s="83"/>
      <c r="D579" s="83"/>
      <c r="E579" s="83"/>
    </row>
  </sheetData>
  <mergeCells count="53">
    <mergeCell ref="B568:B572"/>
    <mergeCell ref="B573:C573"/>
    <mergeCell ref="B517:B518"/>
    <mergeCell ref="B519:B535"/>
    <mergeCell ref="B536:B549"/>
    <mergeCell ref="B550:B552"/>
    <mergeCell ref="B553:B567"/>
    <mergeCell ref="B330:B340"/>
    <mergeCell ref="B341:B354"/>
    <mergeCell ref="B355:B369"/>
    <mergeCell ref="B370:B388"/>
    <mergeCell ref="B389:B394"/>
    <mergeCell ref="B288:B300"/>
    <mergeCell ref="B301:B304"/>
    <mergeCell ref="B305:B312"/>
    <mergeCell ref="B313:B325"/>
    <mergeCell ref="B326:B329"/>
    <mergeCell ref="B239:B244"/>
    <mergeCell ref="B245:B249"/>
    <mergeCell ref="B250:B259"/>
    <mergeCell ref="B260:B272"/>
    <mergeCell ref="B273:B287"/>
    <mergeCell ref="B192:B201"/>
    <mergeCell ref="B202:B211"/>
    <mergeCell ref="B212:B222"/>
    <mergeCell ref="B223:B235"/>
    <mergeCell ref="B236:B238"/>
    <mergeCell ref="B126:B145"/>
    <mergeCell ref="B146:B148"/>
    <mergeCell ref="B149:B161"/>
    <mergeCell ref="B162:B178"/>
    <mergeCell ref="B179:B191"/>
    <mergeCell ref="B75:B90"/>
    <mergeCell ref="B91:B98"/>
    <mergeCell ref="B99:B104"/>
    <mergeCell ref="B105:B106"/>
    <mergeCell ref="B107:B125"/>
    <mergeCell ref="B470:B487"/>
    <mergeCell ref="B488:B509"/>
    <mergeCell ref="B510:B516"/>
    <mergeCell ref="B395:B407"/>
    <mergeCell ref="B408:B424"/>
    <mergeCell ref="B425:B435"/>
    <mergeCell ref="B436:B444"/>
    <mergeCell ref="B445:B448"/>
    <mergeCell ref="B449:B465"/>
    <mergeCell ref="B466:B469"/>
    <mergeCell ref="B55:B74"/>
    <mergeCell ref="B7:E8"/>
    <mergeCell ref="B10:B21"/>
    <mergeCell ref="B22:B23"/>
    <mergeCell ref="B24:B38"/>
    <mergeCell ref="B39:B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678"/>
  <sheetViews>
    <sheetView showGridLines="0" topLeftCell="A647" zoomScale="85" zoomScaleNormal="85" zoomScaleSheetLayoutView="85" workbookViewId="0">
      <selection activeCell="D680" sqref="D680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5.816406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108"/>
      <c r="C7" s="108"/>
      <c r="D7" s="108"/>
      <c r="E7" s="108"/>
    </row>
    <row r="8" spans="1:5" s="41" customFormat="1" ht="33" customHeight="1">
      <c r="A8" s="42"/>
      <c r="B8" s="108"/>
      <c r="C8" s="108"/>
      <c r="D8" s="108"/>
      <c r="E8" s="108"/>
    </row>
    <row r="9" spans="1:5" s="25" customFormat="1" ht="40.5" customHeight="1">
      <c r="B9" s="38" t="s">
        <v>22</v>
      </c>
      <c r="C9" s="40" t="s">
        <v>24</v>
      </c>
      <c r="D9" s="39" t="s">
        <v>20</v>
      </c>
      <c r="E9" s="38" t="s">
        <v>19</v>
      </c>
    </row>
    <row r="10" spans="1:5" ht="14.5" customHeight="1">
      <c r="B10" s="110" t="s">
        <v>89</v>
      </c>
      <c r="C10" s="23" t="s">
        <v>202</v>
      </c>
      <c r="D10" s="87">
        <v>3</v>
      </c>
      <c r="E10" s="21">
        <v>3.13446870755E-4</v>
      </c>
    </row>
    <row r="11" spans="1:5" ht="14.5" customHeight="1">
      <c r="B11" s="111"/>
      <c r="C11" s="23" t="s">
        <v>203</v>
      </c>
      <c r="D11" s="87">
        <v>3</v>
      </c>
      <c r="E11" s="21">
        <v>3.13446870755E-4</v>
      </c>
    </row>
    <row r="12" spans="1:5" ht="14.5" customHeight="1">
      <c r="B12" s="111"/>
      <c r="C12" s="23" t="s">
        <v>204</v>
      </c>
      <c r="D12" s="87">
        <v>3</v>
      </c>
      <c r="E12" s="21">
        <v>3.13446870755E-4</v>
      </c>
    </row>
    <row r="13" spans="1:5" ht="14.5" customHeight="1">
      <c r="B13" s="111"/>
      <c r="C13" s="23" t="s">
        <v>207</v>
      </c>
      <c r="D13" s="87">
        <v>1</v>
      </c>
      <c r="E13" s="21">
        <v>1.04482290252E-4</v>
      </c>
    </row>
    <row r="14" spans="1:5" ht="14.5" customHeight="1">
      <c r="B14" s="111"/>
      <c r="C14" s="23" t="s">
        <v>220</v>
      </c>
      <c r="D14" s="87">
        <v>1</v>
      </c>
      <c r="E14" s="21">
        <v>1.04482290252E-4</v>
      </c>
    </row>
    <row r="15" spans="1:5" ht="14.5" customHeight="1">
      <c r="B15" s="111"/>
      <c r="C15" s="23" t="s">
        <v>208</v>
      </c>
      <c r="D15" s="87">
        <v>2</v>
      </c>
      <c r="E15" s="21">
        <v>2.08964580504E-4</v>
      </c>
    </row>
    <row r="16" spans="1:5" ht="14.5" customHeight="1">
      <c r="B16" s="111"/>
      <c r="C16" s="23" t="s">
        <v>209</v>
      </c>
      <c r="D16" s="87">
        <v>18</v>
      </c>
      <c r="E16" s="21">
        <v>1.8806812245319999E-3</v>
      </c>
    </row>
    <row r="17" spans="2:5" ht="14.5" customHeight="1">
      <c r="B17" s="111"/>
      <c r="C17" s="23" t="s">
        <v>210</v>
      </c>
      <c r="D17" s="87">
        <v>2</v>
      </c>
      <c r="E17" s="21">
        <v>2.08964580504E-4</v>
      </c>
    </row>
    <row r="18" spans="2:5" ht="14.5" customHeight="1">
      <c r="B18" s="111"/>
      <c r="C18" s="23" t="s">
        <v>211</v>
      </c>
      <c r="D18" s="87">
        <v>7</v>
      </c>
      <c r="E18" s="21">
        <v>7.3137603176300005E-4</v>
      </c>
    </row>
    <row r="19" spans="2:5" ht="14.5" customHeight="1">
      <c r="B19" s="111"/>
      <c r="C19" s="23" t="s">
        <v>212</v>
      </c>
      <c r="D19" s="87">
        <v>1</v>
      </c>
      <c r="E19" s="21">
        <v>1.04482290252E-4</v>
      </c>
    </row>
    <row r="20" spans="2:5" ht="14.5" customHeight="1">
      <c r="B20" s="112"/>
      <c r="C20" s="88" t="s">
        <v>29</v>
      </c>
      <c r="D20" s="89">
        <v>41</v>
      </c>
      <c r="E20" s="90">
        <v>4.2837739003239996E-3</v>
      </c>
    </row>
    <row r="21" spans="2:5" ht="14.5" customHeight="1">
      <c r="B21" s="110" t="s">
        <v>54</v>
      </c>
      <c r="C21" s="23" t="s">
        <v>202</v>
      </c>
      <c r="D21" s="87">
        <v>28</v>
      </c>
      <c r="E21" s="21">
        <v>2.9255041270500001E-3</v>
      </c>
    </row>
    <row r="22" spans="2:5" ht="14.5" customHeight="1">
      <c r="B22" s="111"/>
      <c r="C22" s="23" t="s">
        <v>203</v>
      </c>
      <c r="D22" s="87">
        <v>13</v>
      </c>
      <c r="E22" s="21">
        <v>1.3582697732729999E-3</v>
      </c>
    </row>
    <row r="23" spans="2:5" ht="14.5" customHeight="1">
      <c r="B23" s="111"/>
      <c r="C23" s="23" t="s">
        <v>204</v>
      </c>
      <c r="D23" s="87">
        <v>113</v>
      </c>
      <c r="E23" s="21">
        <v>1.1806498798453999E-2</v>
      </c>
    </row>
    <row r="24" spans="2:5" ht="14.5" customHeight="1">
      <c r="B24" s="111"/>
      <c r="C24" s="23" t="s">
        <v>214</v>
      </c>
      <c r="D24" s="87">
        <v>5</v>
      </c>
      <c r="E24" s="21">
        <v>5.2241145125899997E-4</v>
      </c>
    </row>
    <row r="25" spans="2:5" ht="14.5" customHeight="1">
      <c r="B25" s="111"/>
      <c r="C25" s="23" t="s">
        <v>205</v>
      </c>
      <c r="D25" s="87">
        <v>4</v>
      </c>
      <c r="E25" s="21">
        <v>4.1792916100699999E-4</v>
      </c>
    </row>
    <row r="26" spans="2:5" ht="14.5" customHeight="1">
      <c r="B26" s="111"/>
      <c r="C26" s="23" t="s">
        <v>215</v>
      </c>
      <c r="D26" s="87">
        <v>6</v>
      </c>
      <c r="E26" s="21">
        <v>6.2689374151099996E-4</v>
      </c>
    </row>
    <row r="27" spans="2:5" ht="14.5" customHeight="1">
      <c r="B27" s="111"/>
      <c r="C27" s="23" t="s">
        <v>219</v>
      </c>
      <c r="D27" s="87">
        <v>1</v>
      </c>
      <c r="E27" s="21">
        <v>1.04482290252E-4</v>
      </c>
    </row>
    <row r="28" spans="2:5" ht="14.5" customHeight="1">
      <c r="B28" s="111"/>
      <c r="C28" s="23" t="s">
        <v>206</v>
      </c>
      <c r="D28" s="87">
        <v>38</v>
      </c>
      <c r="E28" s="21">
        <v>3.970327029568E-3</v>
      </c>
    </row>
    <row r="29" spans="2:5" ht="14.5" customHeight="1">
      <c r="B29" s="111"/>
      <c r="C29" s="23" t="s">
        <v>207</v>
      </c>
      <c r="D29" s="87">
        <v>36</v>
      </c>
      <c r="E29" s="21">
        <v>3.7613624490649999E-3</v>
      </c>
    </row>
    <row r="30" spans="2:5" ht="14.5" customHeight="1">
      <c r="B30" s="111"/>
      <c r="C30" s="23" t="s">
        <v>216</v>
      </c>
      <c r="D30" s="87">
        <v>19</v>
      </c>
      <c r="E30" s="21">
        <v>1.985163514784E-3</v>
      </c>
    </row>
    <row r="31" spans="2:5" ht="14.5" customHeight="1">
      <c r="B31" s="111"/>
      <c r="C31" s="23" t="s">
        <v>220</v>
      </c>
      <c r="D31" s="87">
        <v>2</v>
      </c>
      <c r="E31" s="21">
        <v>2.08964580504E-4</v>
      </c>
    </row>
    <row r="32" spans="2:5" ht="14.5" customHeight="1">
      <c r="B32" s="111"/>
      <c r="C32" s="23" t="s">
        <v>217</v>
      </c>
      <c r="D32" s="87">
        <v>14</v>
      </c>
      <c r="E32" s="21">
        <v>1.462752063525E-3</v>
      </c>
    </row>
    <row r="33" spans="2:5" ht="14.5" customHeight="1">
      <c r="B33" s="111"/>
      <c r="C33" s="23" t="s">
        <v>218</v>
      </c>
      <c r="D33" s="87">
        <v>6</v>
      </c>
      <c r="E33" s="21">
        <v>6.2689374151099996E-4</v>
      </c>
    </row>
    <row r="34" spans="2:5" ht="14.5" customHeight="1">
      <c r="B34" s="111"/>
      <c r="C34" s="23" t="s">
        <v>208</v>
      </c>
      <c r="D34" s="87">
        <v>29</v>
      </c>
      <c r="E34" s="21">
        <v>3.029986417302E-3</v>
      </c>
    </row>
    <row r="35" spans="2:5" ht="14.5" customHeight="1">
      <c r="B35" s="111"/>
      <c r="C35" s="23" t="s">
        <v>209</v>
      </c>
      <c r="D35" s="87">
        <v>117</v>
      </c>
      <c r="E35" s="21">
        <v>1.2224427959461E-2</v>
      </c>
    </row>
    <row r="36" spans="2:5" ht="14.5" customHeight="1">
      <c r="B36" s="111"/>
      <c r="C36" s="23" t="s">
        <v>210</v>
      </c>
      <c r="D36" s="87">
        <v>12</v>
      </c>
      <c r="E36" s="21">
        <v>1.2537874830219999E-3</v>
      </c>
    </row>
    <row r="37" spans="2:5" ht="14.5" customHeight="1">
      <c r="B37" s="111"/>
      <c r="C37" s="23" t="s">
        <v>211</v>
      </c>
      <c r="D37" s="87">
        <v>82</v>
      </c>
      <c r="E37" s="21">
        <v>8.5675478006479993E-3</v>
      </c>
    </row>
    <row r="38" spans="2:5" ht="14.5" customHeight="1">
      <c r="B38" s="111"/>
      <c r="C38" s="23" t="s">
        <v>212</v>
      </c>
      <c r="D38" s="87">
        <v>8</v>
      </c>
      <c r="E38" s="21">
        <v>8.3585832201399997E-4</v>
      </c>
    </row>
    <row r="39" spans="2:5" ht="14.5" customHeight="1">
      <c r="B39" s="111"/>
      <c r="C39" s="23" t="s">
        <v>213</v>
      </c>
      <c r="D39" s="87">
        <v>1</v>
      </c>
      <c r="E39" s="21">
        <v>1.04482290252E-4</v>
      </c>
    </row>
    <row r="40" spans="2:5" ht="14.5" customHeight="1">
      <c r="B40" s="112"/>
      <c r="C40" s="88" t="s">
        <v>29</v>
      </c>
      <c r="D40" s="89">
        <v>534</v>
      </c>
      <c r="E40" s="90">
        <v>5.5793542994462E-2</v>
      </c>
    </row>
    <row r="41" spans="2:5" ht="14.5" customHeight="1">
      <c r="B41" s="110" t="s">
        <v>53</v>
      </c>
      <c r="C41" s="23" t="s">
        <v>202</v>
      </c>
      <c r="D41" s="87">
        <v>18</v>
      </c>
      <c r="E41" s="21">
        <v>1.8806812245319999E-3</v>
      </c>
    </row>
    <row r="42" spans="2:5" ht="14.5" customHeight="1">
      <c r="B42" s="111"/>
      <c r="C42" s="23" t="s">
        <v>203</v>
      </c>
      <c r="D42" s="87">
        <v>17</v>
      </c>
      <c r="E42" s="21">
        <v>1.7761989342810001E-3</v>
      </c>
    </row>
    <row r="43" spans="2:5" ht="14.5" customHeight="1">
      <c r="B43" s="111"/>
      <c r="C43" s="23" t="s">
        <v>204</v>
      </c>
      <c r="D43" s="87">
        <v>36</v>
      </c>
      <c r="E43" s="21">
        <v>3.7613624490649999E-3</v>
      </c>
    </row>
    <row r="44" spans="2:5" ht="14.5" customHeight="1">
      <c r="B44" s="111"/>
      <c r="C44" s="23" t="s">
        <v>214</v>
      </c>
      <c r="D44" s="87">
        <v>12</v>
      </c>
      <c r="E44" s="21">
        <v>1.2537874830219999E-3</v>
      </c>
    </row>
    <row r="45" spans="2:5" ht="14.5" customHeight="1">
      <c r="B45" s="111"/>
      <c r="C45" s="23" t="s">
        <v>205</v>
      </c>
      <c r="D45" s="87">
        <v>8</v>
      </c>
      <c r="E45" s="21">
        <v>8.3585832201399997E-4</v>
      </c>
    </row>
    <row r="46" spans="2:5" ht="14.5" customHeight="1">
      <c r="B46" s="111"/>
      <c r="C46" s="23" t="s">
        <v>215</v>
      </c>
      <c r="D46" s="87">
        <v>33</v>
      </c>
      <c r="E46" s="21">
        <v>3.4479155783089998E-3</v>
      </c>
    </row>
    <row r="47" spans="2:5" ht="14.5" customHeight="1">
      <c r="B47" s="111"/>
      <c r="C47" s="23" t="s">
        <v>219</v>
      </c>
      <c r="D47" s="87">
        <v>2</v>
      </c>
      <c r="E47" s="21">
        <v>2.08964580504E-4</v>
      </c>
    </row>
    <row r="48" spans="2:5" ht="14.5" customHeight="1">
      <c r="B48" s="111"/>
      <c r="C48" s="23" t="s">
        <v>206</v>
      </c>
      <c r="D48" s="87">
        <v>28</v>
      </c>
      <c r="E48" s="21">
        <v>2.9255041270500001E-3</v>
      </c>
    </row>
    <row r="49" spans="2:5" ht="14.5" customHeight="1">
      <c r="B49" s="111"/>
      <c r="C49" s="23" t="s">
        <v>207</v>
      </c>
      <c r="D49" s="87">
        <v>65</v>
      </c>
      <c r="E49" s="21">
        <v>6.7913488663669998E-3</v>
      </c>
    </row>
    <row r="50" spans="2:5" ht="14.5" customHeight="1">
      <c r="B50" s="111"/>
      <c r="C50" s="23" t="s">
        <v>216</v>
      </c>
      <c r="D50" s="87">
        <v>18</v>
      </c>
      <c r="E50" s="21">
        <v>1.8806812245319999E-3</v>
      </c>
    </row>
    <row r="51" spans="2:5" ht="14.5" customHeight="1">
      <c r="B51" s="111"/>
      <c r="C51" s="23" t="s">
        <v>217</v>
      </c>
      <c r="D51" s="87">
        <v>8</v>
      </c>
      <c r="E51" s="21">
        <v>8.3585832201399997E-4</v>
      </c>
    </row>
    <row r="52" spans="2:5" ht="14.5" customHeight="1">
      <c r="B52" s="111"/>
      <c r="C52" s="23" t="s">
        <v>218</v>
      </c>
      <c r="D52" s="87">
        <v>3</v>
      </c>
      <c r="E52" s="21">
        <v>3.13446870755E-4</v>
      </c>
    </row>
    <row r="53" spans="2:5" ht="14.5" customHeight="1">
      <c r="B53" s="111"/>
      <c r="C53" s="23" t="s">
        <v>208</v>
      </c>
      <c r="D53" s="87">
        <v>11</v>
      </c>
      <c r="E53" s="21">
        <v>1.14930519277E-3</v>
      </c>
    </row>
    <row r="54" spans="2:5" ht="14.5" customHeight="1">
      <c r="B54" s="111"/>
      <c r="C54" s="23" t="s">
        <v>209</v>
      </c>
      <c r="D54" s="87">
        <v>192</v>
      </c>
      <c r="E54" s="21">
        <v>2.0060599728346E-2</v>
      </c>
    </row>
    <row r="55" spans="2:5" ht="14.5" customHeight="1">
      <c r="B55" s="111"/>
      <c r="C55" s="23" t="s">
        <v>210</v>
      </c>
      <c r="D55" s="87">
        <v>4</v>
      </c>
      <c r="E55" s="21">
        <v>4.1792916100699999E-4</v>
      </c>
    </row>
    <row r="56" spans="2:5" ht="14.5" customHeight="1">
      <c r="B56" s="111"/>
      <c r="C56" s="23" t="s">
        <v>211</v>
      </c>
      <c r="D56" s="87">
        <v>44</v>
      </c>
      <c r="E56" s="21">
        <v>4.5972207710790001E-3</v>
      </c>
    </row>
    <row r="57" spans="2:5" ht="14.5" customHeight="1">
      <c r="B57" s="111"/>
      <c r="C57" s="23" t="s">
        <v>212</v>
      </c>
      <c r="D57" s="87">
        <v>40</v>
      </c>
      <c r="E57" s="21">
        <v>4.1792916100719998E-3</v>
      </c>
    </row>
    <row r="58" spans="2:5" ht="14.5" customHeight="1">
      <c r="B58" s="111"/>
      <c r="C58" s="23" t="s">
        <v>213</v>
      </c>
      <c r="D58" s="87">
        <v>2</v>
      </c>
      <c r="E58" s="21">
        <v>2.08964580504E-4</v>
      </c>
    </row>
    <row r="59" spans="2:5" ht="14.5" customHeight="1">
      <c r="B59" s="112"/>
      <c r="C59" s="88" t="s">
        <v>29</v>
      </c>
      <c r="D59" s="89">
        <v>541</v>
      </c>
      <c r="E59" s="90">
        <v>5.6524919026225001E-2</v>
      </c>
    </row>
    <row r="60" spans="2:5" ht="14.5" customHeight="1">
      <c r="B60" s="110" t="s">
        <v>80</v>
      </c>
      <c r="C60" s="23" t="s">
        <v>202</v>
      </c>
      <c r="D60" s="87">
        <v>2</v>
      </c>
      <c r="E60" s="21">
        <v>2.08964580504E-4</v>
      </c>
    </row>
    <row r="61" spans="2:5" ht="14.5" customHeight="1">
      <c r="B61" s="111"/>
      <c r="C61" s="23" t="s">
        <v>203</v>
      </c>
      <c r="D61" s="87">
        <v>1</v>
      </c>
      <c r="E61" s="21">
        <v>1.04482290252E-4</v>
      </c>
    </row>
    <row r="62" spans="2:5" ht="14.5" customHeight="1">
      <c r="B62" s="111"/>
      <c r="C62" s="23" t="s">
        <v>204</v>
      </c>
      <c r="D62" s="87">
        <v>12</v>
      </c>
      <c r="E62" s="21">
        <v>1.2537874830219999E-3</v>
      </c>
    </row>
    <row r="63" spans="2:5" ht="14.5" customHeight="1">
      <c r="B63" s="111"/>
      <c r="C63" s="23" t="s">
        <v>205</v>
      </c>
      <c r="D63" s="87">
        <v>1</v>
      </c>
      <c r="E63" s="21">
        <v>1.04482290252E-4</v>
      </c>
    </row>
    <row r="64" spans="2:5" ht="14.5" customHeight="1">
      <c r="B64" s="111"/>
      <c r="C64" s="23" t="s">
        <v>215</v>
      </c>
      <c r="D64" s="87">
        <v>6</v>
      </c>
      <c r="E64" s="21">
        <v>6.2689374151099996E-4</v>
      </c>
    </row>
    <row r="65" spans="2:5" ht="14.5" customHeight="1">
      <c r="B65" s="111"/>
      <c r="C65" s="23" t="s">
        <v>206</v>
      </c>
      <c r="D65" s="87">
        <v>1</v>
      </c>
      <c r="E65" s="21">
        <v>1.04482290252E-4</v>
      </c>
    </row>
    <row r="66" spans="2:5" ht="14.5" customHeight="1">
      <c r="B66" s="111"/>
      <c r="C66" s="23" t="s">
        <v>207</v>
      </c>
      <c r="D66" s="87">
        <v>5</v>
      </c>
      <c r="E66" s="21">
        <v>5.2241145125899997E-4</v>
      </c>
    </row>
    <row r="67" spans="2:5" ht="14.5" customHeight="1">
      <c r="B67" s="111"/>
      <c r="C67" s="23" t="s">
        <v>218</v>
      </c>
      <c r="D67" s="87">
        <v>4</v>
      </c>
      <c r="E67" s="21">
        <v>4.1792916100699999E-4</v>
      </c>
    </row>
    <row r="68" spans="2:5" ht="14.5" customHeight="1">
      <c r="B68" s="111"/>
      <c r="C68" s="23" t="s">
        <v>208</v>
      </c>
      <c r="D68" s="87">
        <v>12</v>
      </c>
      <c r="E68" s="21">
        <v>1.2537874830219999E-3</v>
      </c>
    </row>
    <row r="69" spans="2:5" ht="14.5" customHeight="1">
      <c r="B69" s="111"/>
      <c r="C69" s="23" t="s">
        <v>209</v>
      </c>
      <c r="D69" s="87">
        <v>23</v>
      </c>
      <c r="E69" s="21">
        <v>2.4030926757909999E-3</v>
      </c>
    </row>
    <row r="70" spans="2:5" ht="14.5" customHeight="1">
      <c r="B70" s="111"/>
      <c r="C70" s="23" t="s">
        <v>210</v>
      </c>
      <c r="D70" s="87">
        <v>6</v>
      </c>
      <c r="E70" s="21">
        <v>6.2689374151099996E-4</v>
      </c>
    </row>
    <row r="71" spans="2:5" ht="14.5" customHeight="1">
      <c r="B71" s="111"/>
      <c r="C71" s="23" t="s">
        <v>211</v>
      </c>
      <c r="D71" s="87">
        <v>4</v>
      </c>
      <c r="E71" s="21">
        <v>4.1792916100699999E-4</v>
      </c>
    </row>
    <row r="72" spans="2:5" ht="14.5" customHeight="1">
      <c r="B72" s="111"/>
      <c r="C72" s="23" t="s">
        <v>212</v>
      </c>
      <c r="D72" s="87">
        <v>1</v>
      </c>
      <c r="E72" s="21">
        <v>1.04482290252E-4</v>
      </c>
    </row>
    <row r="73" spans="2:5" ht="14.5" customHeight="1">
      <c r="B73" s="112"/>
      <c r="C73" s="88" t="s">
        <v>29</v>
      </c>
      <c r="D73" s="89">
        <v>78</v>
      </c>
      <c r="E73" s="90">
        <v>8.1496186396410007E-3</v>
      </c>
    </row>
    <row r="74" spans="2:5" ht="14.5" customHeight="1">
      <c r="B74" s="110" t="s">
        <v>84</v>
      </c>
      <c r="C74" s="23" t="s">
        <v>202</v>
      </c>
      <c r="D74" s="87">
        <v>1</v>
      </c>
      <c r="E74" s="21">
        <v>1.04482290252E-4</v>
      </c>
    </row>
    <row r="75" spans="2:5" ht="14.5" customHeight="1">
      <c r="B75" s="111"/>
      <c r="C75" s="23" t="s">
        <v>203</v>
      </c>
      <c r="D75" s="87">
        <v>1</v>
      </c>
      <c r="E75" s="21">
        <v>1.04482290252E-4</v>
      </c>
    </row>
    <row r="76" spans="2:5" ht="14.5" customHeight="1">
      <c r="B76" s="111"/>
      <c r="C76" s="23" t="s">
        <v>204</v>
      </c>
      <c r="D76" s="87">
        <v>1</v>
      </c>
      <c r="E76" s="21">
        <v>1.04482290252E-4</v>
      </c>
    </row>
    <row r="77" spans="2:5" ht="14.5" customHeight="1">
      <c r="B77" s="111"/>
      <c r="C77" s="23" t="s">
        <v>214</v>
      </c>
      <c r="D77" s="87">
        <v>1</v>
      </c>
      <c r="E77" s="21">
        <v>1.04482290252E-4</v>
      </c>
    </row>
    <row r="78" spans="2:5" ht="14.5" customHeight="1">
      <c r="B78" s="111"/>
      <c r="C78" s="23" t="s">
        <v>215</v>
      </c>
      <c r="D78" s="87">
        <v>12</v>
      </c>
      <c r="E78" s="21">
        <v>1.2537874830219999E-3</v>
      </c>
    </row>
    <row r="79" spans="2:5" ht="14.5" customHeight="1">
      <c r="B79" s="111"/>
      <c r="C79" s="23" t="s">
        <v>207</v>
      </c>
      <c r="D79" s="87">
        <v>1</v>
      </c>
      <c r="E79" s="21">
        <v>1.04482290252E-4</v>
      </c>
    </row>
    <row r="80" spans="2:5" ht="14.5" customHeight="1">
      <c r="B80" s="111"/>
      <c r="C80" s="23" t="s">
        <v>216</v>
      </c>
      <c r="D80" s="87">
        <v>5</v>
      </c>
      <c r="E80" s="21">
        <v>5.2241145125899997E-4</v>
      </c>
    </row>
    <row r="81" spans="2:5" ht="14.5" customHeight="1">
      <c r="B81" s="111"/>
      <c r="C81" s="23" t="s">
        <v>208</v>
      </c>
      <c r="D81" s="87">
        <v>2</v>
      </c>
      <c r="E81" s="21">
        <v>2.08964580504E-4</v>
      </c>
    </row>
    <row r="82" spans="2:5" ht="14.5" customHeight="1">
      <c r="B82" s="111"/>
      <c r="C82" s="23" t="s">
        <v>209</v>
      </c>
      <c r="D82" s="87">
        <v>34</v>
      </c>
      <c r="E82" s="21">
        <v>3.5523978685610001E-3</v>
      </c>
    </row>
    <row r="83" spans="2:5" ht="14.5" customHeight="1">
      <c r="B83" s="111"/>
      <c r="C83" s="23" t="s">
        <v>211</v>
      </c>
      <c r="D83" s="87">
        <v>2</v>
      </c>
      <c r="E83" s="21">
        <v>2.08964580504E-4</v>
      </c>
    </row>
    <row r="84" spans="2:5" ht="14.5" customHeight="1">
      <c r="B84" s="112"/>
      <c r="C84" s="88" t="s">
        <v>29</v>
      </c>
      <c r="D84" s="89">
        <v>60</v>
      </c>
      <c r="E84" s="90">
        <v>6.2689374151079997E-3</v>
      </c>
    </row>
    <row r="85" spans="2:5" ht="14.5" customHeight="1">
      <c r="B85" s="110" t="s">
        <v>85</v>
      </c>
      <c r="C85" s="23" t="s">
        <v>203</v>
      </c>
      <c r="D85" s="87">
        <v>4</v>
      </c>
      <c r="E85" s="21">
        <v>4.1792916100699999E-4</v>
      </c>
    </row>
    <row r="86" spans="2:5" ht="14.5" customHeight="1">
      <c r="B86" s="111"/>
      <c r="C86" s="23" t="s">
        <v>207</v>
      </c>
      <c r="D86" s="87">
        <v>16</v>
      </c>
      <c r="E86" s="21">
        <v>1.671716644029E-3</v>
      </c>
    </row>
    <row r="87" spans="2:5" ht="14.5" customHeight="1">
      <c r="B87" s="111"/>
      <c r="C87" s="23" t="s">
        <v>216</v>
      </c>
      <c r="D87" s="87">
        <v>16</v>
      </c>
      <c r="E87" s="21">
        <v>1.671716644029E-3</v>
      </c>
    </row>
    <row r="88" spans="2:5" ht="14.5" customHeight="1">
      <c r="B88" s="111"/>
      <c r="C88" s="23" t="s">
        <v>208</v>
      </c>
      <c r="D88" s="87">
        <v>18</v>
      </c>
      <c r="E88" s="21">
        <v>1.8806812245319999E-3</v>
      </c>
    </row>
    <row r="89" spans="2:5" ht="14.5" customHeight="1">
      <c r="B89" s="111"/>
      <c r="C89" s="23" t="s">
        <v>209</v>
      </c>
      <c r="D89" s="87">
        <v>5</v>
      </c>
      <c r="E89" s="21">
        <v>5.2241145125899997E-4</v>
      </c>
    </row>
    <row r="90" spans="2:5" ht="14.5" customHeight="1">
      <c r="B90" s="111"/>
      <c r="C90" s="23" t="s">
        <v>212</v>
      </c>
      <c r="D90" s="87">
        <v>1</v>
      </c>
      <c r="E90" s="21">
        <v>1.04482290252E-4</v>
      </c>
    </row>
    <row r="91" spans="2:5" ht="14.5" customHeight="1">
      <c r="B91" s="112"/>
      <c r="C91" s="88" t="s">
        <v>29</v>
      </c>
      <c r="D91" s="89">
        <v>60</v>
      </c>
      <c r="E91" s="90">
        <v>6.2689374151079997E-3</v>
      </c>
    </row>
    <row r="92" spans="2:5" ht="14.5" customHeight="1">
      <c r="B92" s="110" t="s">
        <v>96</v>
      </c>
      <c r="C92" s="23" t="s">
        <v>210</v>
      </c>
      <c r="D92" s="87">
        <v>1</v>
      </c>
      <c r="E92" s="21">
        <v>1.04482290252E-4</v>
      </c>
    </row>
    <row r="93" spans="2:5" ht="14.5" customHeight="1">
      <c r="B93" s="112"/>
      <c r="C93" s="88" t="s">
        <v>29</v>
      </c>
      <c r="D93" s="89">
        <v>1</v>
      </c>
      <c r="E93" s="90">
        <v>1.04482290252E-4</v>
      </c>
    </row>
    <row r="94" spans="2:5" ht="14.5" customHeight="1">
      <c r="B94" s="110" t="s">
        <v>59</v>
      </c>
      <c r="C94" s="23" t="s">
        <v>202</v>
      </c>
      <c r="D94" s="87">
        <v>35</v>
      </c>
      <c r="E94" s="21">
        <v>3.656880158813E-3</v>
      </c>
    </row>
    <row r="95" spans="2:5" ht="14.5" customHeight="1">
      <c r="B95" s="111"/>
      <c r="C95" s="23" t="s">
        <v>203</v>
      </c>
      <c r="D95" s="87">
        <v>6</v>
      </c>
      <c r="E95" s="21">
        <v>6.2689374151099996E-4</v>
      </c>
    </row>
    <row r="96" spans="2:5" ht="14.5" customHeight="1">
      <c r="B96" s="111"/>
      <c r="C96" s="23" t="s">
        <v>204</v>
      </c>
      <c r="D96" s="87">
        <v>25</v>
      </c>
      <c r="E96" s="21">
        <v>2.6120572562950001E-3</v>
      </c>
    </row>
    <row r="97" spans="2:5" ht="14.5" customHeight="1">
      <c r="B97" s="111"/>
      <c r="C97" s="23" t="s">
        <v>214</v>
      </c>
      <c r="D97" s="87">
        <v>4</v>
      </c>
      <c r="E97" s="21">
        <v>4.1792916100699999E-4</v>
      </c>
    </row>
    <row r="98" spans="2:5" ht="14.5" customHeight="1">
      <c r="B98" s="111"/>
      <c r="C98" s="23" t="s">
        <v>205</v>
      </c>
      <c r="D98" s="87">
        <v>3</v>
      </c>
      <c r="E98" s="21">
        <v>3.13446870755E-4</v>
      </c>
    </row>
    <row r="99" spans="2:5" ht="14.5" customHeight="1">
      <c r="B99" s="111"/>
      <c r="C99" s="23" t="s">
        <v>215</v>
      </c>
      <c r="D99" s="87">
        <v>6</v>
      </c>
      <c r="E99" s="21">
        <v>6.2689374151099996E-4</v>
      </c>
    </row>
    <row r="100" spans="2:5" ht="14.5" customHeight="1">
      <c r="B100" s="111"/>
      <c r="C100" s="23" t="s">
        <v>219</v>
      </c>
      <c r="D100" s="87">
        <v>4</v>
      </c>
      <c r="E100" s="21">
        <v>4.1792916100699999E-4</v>
      </c>
    </row>
    <row r="101" spans="2:5" ht="14.5" customHeight="1">
      <c r="B101" s="111"/>
      <c r="C101" s="23" t="s">
        <v>206</v>
      </c>
      <c r="D101" s="87">
        <v>6</v>
      </c>
      <c r="E101" s="21">
        <v>6.2689374151099996E-4</v>
      </c>
    </row>
    <row r="102" spans="2:5" ht="14.5" customHeight="1">
      <c r="B102" s="111"/>
      <c r="C102" s="23" t="s">
        <v>207</v>
      </c>
      <c r="D102" s="87">
        <v>16</v>
      </c>
      <c r="E102" s="21">
        <v>1.671716644029E-3</v>
      </c>
    </row>
    <row r="103" spans="2:5" ht="14.5" customHeight="1">
      <c r="B103" s="111"/>
      <c r="C103" s="23" t="s">
        <v>216</v>
      </c>
      <c r="D103" s="87">
        <v>7</v>
      </c>
      <c r="E103" s="21">
        <v>7.3137603176300005E-4</v>
      </c>
    </row>
    <row r="104" spans="2:5" ht="14.5" customHeight="1">
      <c r="B104" s="111"/>
      <c r="C104" s="23" t="s">
        <v>217</v>
      </c>
      <c r="D104" s="87">
        <v>9</v>
      </c>
      <c r="E104" s="21">
        <v>9.4034061226599996E-4</v>
      </c>
    </row>
    <row r="105" spans="2:5" ht="14.5" customHeight="1">
      <c r="B105" s="111"/>
      <c r="C105" s="23" t="s">
        <v>208</v>
      </c>
      <c r="D105" s="87">
        <v>12</v>
      </c>
      <c r="E105" s="21">
        <v>1.2537874830219999E-3</v>
      </c>
    </row>
    <row r="106" spans="2:5" ht="14.5" customHeight="1">
      <c r="B106" s="111"/>
      <c r="C106" s="23" t="s">
        <v>209</v>
      </c>
      <c r="D106" s="87">
        <v>154</v>
      </c>
      <c r="E106" s="21">
        <v>1.6090272698778E-2</v>
      </c>
    </row>
    <row r="107" spans="2:5" ht="14.5" customHeight="1">
      <c r="B107" s="111"/>
      <c r="C107" s="23" t="s">
        <v>210</v>
      </c>
      <c r="D107" s="87">
        <v>2</v>
      </c>
      <c r="E107" s="21">
        <v>2.08964580504E-4</v>
      </c>
    </row>
    <row r="108" spans="2:5" ht="14.5" customHeight="1">
      <c r="B108" s="111"/>
      <c r="C108" s="23" t="s">
        <v>211</v>
      </c>
      <c r="D108" s="87">
        <v>51</v>
      </c>
      <c r="E108" s="21">
        <v>5.328596802842E-3</v>
      </c>
    </row>
    <row r="109" spans="2:5" ht="14.5" customHeight="1">
      <c r="B109" s="111"/>
      <c r="C109" s="23" t="s">
        <v>212</v>
      </c>
      <c r="D109" s="87">
        <v>24</v>
      </c>
      <c r="E109" s="21">
        <v>2.5075749660430002E-3</v>
      </c>
    </row>
    <row r="110" spans="2:5" ht="14.5" customHeight="1">
      <c r="B110" s="112"/>
      <c r="C110" s="88" t="s">
        <v>29</v>
      </c>
      <c r="D110" s="89">
        <v>364</v>
      </c>
      <c r="E110" s="90">
        <v>3.8031553651656003E-2</v>
      </c>
    </row>
    <row r="111" spans="2:5" ht="14.5" customHeight="1">
      <c r="B111" s="110" t="s">
        <v>50</v>
      </c>
      <c r="C111" s="23" t="s">
        <v>202</v>
      </c>
      <c r="D111" s="87">
        <v>28</v>
      </c>
      <c r="E111" s="21">
        <v>2.9255041270500001E-3</v>
      </c>
    </row>
    <row r="112" spans="2:5" ht="14.5" customHeight="1">
      <c r="B112" s="111"/>
      <c r="C112" s="23" t="s">
        <v>203</v>
      </c>
      <c r="D112" s="87">
        <v>99</v>
      </c>
      <c r="E112" s="21">
        <v>1.0343746734928E-2</v>
      </c>
    </row>
    <row r="113" spans="2:5" ht="14.5" customHeight="1">
      <c r="B113" s="111"/>
      <c r="C113" s="23" t="s">
        <v>204</v>
      </c>
      <c r="D113" s="87">
        <v>76</v>
      </c>
      <c r="E113" s="21">
        <v>7.9406540591369992E-3</v>
      </c>
    </row>
    <row r="114" spans="2:5" ht="14.5" customHeight="1">
      <c r="B114" s="111"/>
      <c r="C114" s="23" t="s">
        <v>214</v>
      </c>
      <c r="D114" s="87">
        <v>4</v>
      </c>
      <c r="E114" s="21">
        <v>4.1792916100699999E-4</v>
      </c>
    </row>
    <row r="115" spans="2:5" ht="14.5" customHeight="1">
      <c r="B115" s="111"/>
      <c r="C115" s="23" t="s">
        <v>205</v>
      </c>
      <c r="D115" s="87">
        <v>24</v>
      </c>
      <c r="E115" s="21">
        <v>2.5075749660430002E-3</v>
      </c>
    </row>
    <row r="116" spans="2:5" ht="14.5" customHeight="1">
      <c r="B116" s="111"/>
      <c r="C116" s="23" t="s">
        <v>215</v>
      </c>
      <c r="D116" s="87">
        <v>30</v>
      </c>
      <c r="E116" s="21">
        <v>3.1344687075539998E-3</v>
      </c>
    </row>
    <row r="117" spans="2:5" ht="14.5" customHeight="1">
      <c r="B117" s="111"/>
      <c r="C117" s="23" t="s">
        <v>206</v>
      </c>
      <c r="D117" s="87">
        <v>73</v>
      </c>
      <c r="E117" s="21">
        <v>7.6272071883819997E-3</v>
      </c>
    </row>
    <row r="118" spans="2:5" ht="14.5" customHeight="1">
      <c r="B118" s="111"/>
      <c r="C118" s="23" t="s">
        <v>207</v>
      </c>
      <c r="D118" s="87">
        <v>130</v>
      </c>
      <c r="E118" s="21">
        <v>1.3582697732734E-2</v>
      </c>
    </row>
    <row r="119" spans="2:5" ht="14.5" customHeight="1">
      <c r="B119" s="111"/>
      <c r="C119" s="23" t="s">
        <v>216</v>
      </c>
      <c r="D119" s="87">
        <v>31</v>
      </c>
      <c r="E119" s="21">
        <v>3.2389509978060001E-3</v>
      </c>
    </row>
    <row r="120" spans="2:5" ht="14.5" customHeight="1">
      <c r="B120" s="111"/>
      <c r="C120" s="23" t="s">
        <v>220</v>
      </c>
      <c r="D120" s="87">
        <v>1</v>
      </c>
      <c r="E120" s="21">
        <v>1.04482290252E-4</v>
      </c>
    </row>
    <row r="121" spans="2:5" ht="14.5" customHeight="1">
      <c r="B121" s="111"/>
      <c r="C121" s="23" t="s">
        <v>217</v>
      </c>
      <c r="D121" s="87">
        <v>12</v>
      </c>
      <c r="E121" s="21">
        <v>1.2537874830219999E-3</v>
      </c>
    </row>
    <row r="122" spans="2:5" ht="14.5" customHeight="1">
      <c r="B122" s="111"/>
      <c r="C122" s="23" t="s">
        <v>218</v>
      </c>
      <c r="D122" s="87">
        <v>12</v>
      </c>
      <c r="E122" s="21">
        <v>1.2537874830219999E-3</v>
      </c>
    </row>
    <row r="123" spans="2:5" ht="14.5" customHeight="1">
      <c r="B123" s="111"/>
      <c r="C123" s="23" t="s">
        <v>208</v>
      </c>
      <c r="D123" s="87">
        <v>13</v>
      </c>
      <c r="E123" s="21">
        <v>1.3582697732729999E-3</v>
      </c>
    </row>
    <row r="124" spans="2:5" ht="14.5" customHeight="1">
      <c r="B124" s="111"/>
      <c r="C124" s="23" t="s">
        <v>209</v>
      </c>
      <c r="D124" s="87">
        <v>712</v>
      </c>
      <c r="E124" s="21">
        <v>7.4391390659283005E-2</v>
      </c>
    </row>
    <row r="125" spans="2:5" ht="14.5" customHeight="1">
      <c r="B125" s="111"/>
      <c r="C125" s="23" t="s">
        <v>210</v>
      </c>
      <c r="D125" s="87">
        <v>5</v>
      </c>
      <c r="E125" s="21">
        <v>5.2241145125899997E-4</v>
      </c>
    </row>
    <row r="126" spans="2:5" ht="14.5" customHeight="1">
      <c r="B126" s="111"/>
      <c r="C126" s="23" t="s">
        <v>211</v>
      </c>
      <c r="D126" s="87">
        <v>150</v>
      </c>
      <c r="E126" s="21">
        <v>1.567234353777E-2</v>
      </c>
    </row>
    <row r="127" spans="2:5" ht="14.5" customHeight="1">
      <c r="B127" s="111"/>
      <c r="C127" s="23" t="s">
        <v>212</v>
      </c>
      <c r="D127" s="87">
        <v>22</v>
      </c>
      <c r="E127" s="21">
        <v>2.2986103855400001E-3</v>
      </c>
    </row>
    <row r="128" spans="2:5" ht="14.5" customHeight="1">
      <c r="B128" s="111"/>
      <c r="C128" s="23" t="s">
        <v>213</v>
      </c>
      <c r="D128" s="87">
        <v>3</v>
      </c>
      <c r="E128" s="21">
        <v>3.13446870755E-4</v>
      </c>
    </row>
    <row r="129" spans="2:5" ht="14.5" customHeight="1">
      <c r="B129" s="112"/>
      <c r="C129" s="88" t="s">
        <v>29</v>
      </c>
      <c r="D129" s="89">
        <v>1425</v>
      </c>
      <c r="E129" s="90">
        <v>0.14888726360881799</v>
      </c>
    </row>
    <row r="130" spans="2:5" ht="14.5" customHeight="1">
      <c r="B130" s="110" t="s">
        <v>94</v>
      </c>
      <c r="C130" s="23" t="s">
        <v>207</v>
      </c>
      <c r="D130" s="87">
        <v>5</v>
      </c>
      <c r="E130" s="21">
        <v>5.2241145125899997E-4</v>
      </c>
    </row>
    <row r="131" spans="2:5" ht="14.5" customHeight="1">
      <c r="B131" s="111"/>
      <c r="C131" s="23" t="s">
        <v>216</v>
      </c>
      <c r="D131" s="87">
        <v>2</v>
      </c>
      <c r="E131" s="21">
        <v>2.08964580504E-4</v>
      </c>
    </row>
    <row r="132" spans="2:5" ht="14.5" customHeight="1">
      <c r="B132" s="111"/>
      <c r="C132" s="23" t="s">
        <v>209</v>
      </c>
      <c r="D132" s="87">
        <v>1</v>
      </c>
      <c r="E132" s="21">
        <v>1.04482290252E-4</v>
      </c>
    </row>
    <row r="133" spans="2:5" ht="14.5" customHeight="1">
      <c r="B133" s="111"/>
      <c r="C133" s="23" t="s">
        <v>210</v>
      </c>
      <c r="D133" s="87">
        <v>1</v>
      </c>
      <c r="E133" s="21">
        <v>1.04482290252E-4</v>
      </c>
    </row>
    <row r="134" spans="2:5" ht="14.5" customHeight="1">
      <c r="B134" s="111"/>
      <c r="C134" s="23" t="s">
        <v>211</v>
      </c>
      <c r="D134" s="87">
        <v>1</v>
      </c>
      <c r="E134" s="21">
        <v>1.04482290252E-4</v>
      </c>
    </row>
    <row r="135" spans="2:5" ht="14.5" customHeight="1">
      <c r="B135" s="112"/>
      <c r="C135" s="88" t="s">
        <v>29</v>
      </c>
      <c r="D135" s="89">
        <v>10</v>
      </c>
      <c r="E135" s="90">
        <v>1.0448229025179999E-3</v>
      </c>
    </row>
    <row r="136" spans="2:5" ht="14.5" customHeight="1">
      <c r="B136" s="110" t="s">
        <v>67</v>
      </c>
      <c r="C136" s="23" t="s">
        <v>202</v>
      </c>
      <c r="D136" s="87">
        <v>13</v>
      </c>
      <c r="E136" s="21">
        <v>1.3582697732729999E-3</v>
      </c>
    </row>
    <row r="137" spans="2:5" ht="14.5" customHeight="1">
      <c r="B137" s="111"/>
      <c r="C137" s="23" t="s">
        <v>203</v>
      </c>
      <c r="D137" s="87">
        <v>3</v>
      </c>
      <c r="E137" s="21">
        <v>3.13446870755E-4</v>
      </c>
    </row>
    <row r="138" spans="2:5" ht="14.5" customHeight="1">
      <c r="B138" s="111"/>
      <c r="C138" s="23" t="s">
        <v>204</v>
      </c>
      <c r="D138" s="87">
        <v>8</v>
      </c>
      <c r="E138" s="21">
        <v>8.3585832201399997E-4</v>
      </c>
    </row>
    <row r="139" spans="2:5" ht="14.5" customHeight="1">
      <c r="B139" s="111"/>
      <c r="C139" s="23" t="s">
        <v>214</v>
      </c>
      <c r="D139" s="87">
        <v>1</v>
      </c>
      <c r="E139" s="21">
        <v>1.04482290252E-4</v>
      </c>
    </row>
    <row r="140" spans="2:5" ht="14.5" customHeight="1">
      <c r="B140" s="111"/>
      <c r="C140" s="23" t="s">
        <v>205</v>
      </c>
      <c r="D140" s="87">
        <v>1</v>
      </c>
      <c r="E140" s="21">
        <v>1.04482290252E-4</v>
      </c>
    </row>
    <row r="141" spans="2:5" ht="14.5" customHeight="1">
      <c r="B141" s="111"/>
      <c r="C141" s="23" t="s">
        <v>215</v>
      </c>
      <c r="D141" s="87">
        <v>12</v>
      </c>
      <c r="E141" s="21">
        <v>1.2537874830219999E-3</v>
      </c>
    </row>
    <row r="142" spans="2:5" ht="14.5" customHeight="1">
      <c r="B142" s="111"/>
      <c r="C142" s="23" t="s">
        <v>206</v>
      </c>
      <c r="D142" s="87">
        <v>1</v>
      </c>
      <c r="E142" s="21">
        <v>1.04482290252E-4</v>
      </c>
    </row>
    <row r="143" spans="2:5" ht="14.5" customHeight="1">
      <c r="B143" s="111"/>
      <c r="C143" s="23" t="s">
        <v>207</v>
      </c>
      <c r="D143" s="87">
        <v>6</v>
      </c>
      <c r="E143" s="21">
        <v>6.2689374151099996E-4</v>
      </c>
    </row>
    <row r="144" spans="2:5" ht="14.5" customHeight="1">
      <c r="B144" s="111"/>
      <c r="C144" s="23" t="s">
        <v>216</v>
      </c>
      <c r="D144" s="87">
        <v>9</v>
      </c>
      <c r="E144" s="21">
        <v>9.4034061226599996E-4</v>
      </c>
    </row>
    <row r="145" spans="2:5" ht="14.5" customHeight="1">
      <c r="B145" s="111"/>
      <c r="C145" s="23" t="s">
        <v>217</v>
      </c>
      <c r="D145" s="87">
        <v>4</v>
      </c>
      <c r="E145" s="21">
        <v>4.1792916100699999E-4</v>
      </c>
    </row>
    <row r="146" spans="2:5" ht="14.5" customHeight="1">
      <c r="B146" s="111"/>
      <c r="C146" s="23" t="s">
        <v>218</v>
      </c>
      <c r="D146" s="87">
        <v>2</v>
      </c>
      <c r="E146" s="21">
        <v>2.08964580504E-4</v>
      </c>
    </row>
    <row r="147" spans="2:5" ht="14.5" customHeight="1">
      <c r="B147" s="111"/>
      <c r="C147" s="23" t="s">
        <v>208</v>
      </c>
      <c r="D147" s="87">
        <v>4</v>
      </c>
      <c r="E147" s="21">
        <v>4.1792916100699999E-4</v>
      </c>
    </row>
    <row r="148" spans="2:5" ht="14.5" customHeight="1">
      <c r="B148" s="111"/>
      <c r="C148" s="23" t="s">
        <v>209</v>
      </c>
      <c r="D148" s="87">
        <v>45</v>
      </c>
      <c r="E148" s="21">
        <v>4.701703061331E-3</v>
      </c>
    </row>
    <row r="149" spans="2:5" ht="14.5" customHeight="1">
      <c r="B149" s="111"/>
      <c r="C149" s="23" t="s">
        <v>210</v>
      </c>
      <c r="D149" s="87">
        <v>3</v>
      </c>
      <c r="E149" s="21">
        <v>3.13446870755E-4</v>
      </c>
    </row>
    <row r="150" spans="2:5" ht="14.5" customHeight="1">
      <c r="B150" s="111"/>
      <c r="C150" s="23" t="s">
        <v>211</v>
      </c>
      <c r="D150" s="87">
        <v>18</v>
      </c>
      <c r="E150" s="21">
        <v>1.8806812245319999E-3</v>
      </c>
    </row>
    <row r="151" spans="2:5" ht="14.5" customHeight="1">
      <c r="B151" s="111"/>
      <c r="C151" s="23" t="s">
        <v>212</v>
      </c>
      <c r="D151" s="87">
        <v>10</v>
      </c>
      <c r="E151" s="21">
        <v>1.0448229025179999E-3</v>
      </c>
    </row>
    <row r="152" spans="2:5" ht="14.5" customHeight="1">
      <c r="B152" s="112"/>
      <c r="C152" s="88" t="s">
        <v>29</v>
      </c>
      <c r="D152" s="89">
        <v>140</v>
      </c>
      <c r="E152" s="90">
        <v>1.4627520635252E-2</v>
      </c>
    </row>
    <row r="153" spans="2:5" ht="14.5" customHeight="1">
      <c r="B153" s="110" t="s">
        <v>77</v>
      </c>
      <c r="C153" s="23" t="s">
        <v>204</v>
      </c>
      <c r="D153" s="87">
        <v>12</v>
      </c>
      <c r="E153" s="21">
        <v>1.2537874830219999E-3</v>
      </c>
    </row>
    <row r="154" spans="2:5" ht="14.5" customHeight="1">
      <c r="B154" s="111"/>
      <c r="C154" s="23" t="s">
        <v>214</v>
      </c>
      <c r="D154" s="87">
        <v>1</v>
      </c>
      <c r="E154" s="21">
        <v>1.04482290252E-4</v>
      </c>
    </row>
    <row r="155" spans="2:5" ht="14.5" customHeight="1">
      <c r="B155" s="111"/>
      <c r="C155" s="23" t="s">
        <v>219</v>
      </c>
      <c r="D155" s="87">
        <v>1</v>
      </c>
      <c r="E155" s="21">
        <v>1.04482290252E-4</v>
      </c>
    </row>
    <row r="156" spans="2:5" ht="14.5" customHeight="1">
      <c r="B156" s="111"/>
      <c r="C156" s="23" t="s">
        <v>206</v>
      </c>
      <c r="D156" s="87">
        <v>1</v>
      </c>
      <c r="E156" s="21">
        <v>1.04482290252E-4</v>
      </c>
    </row>
    <row r="157" spans="2:5" ht="14.5" customHeight="1">
      <c r="B157" s="111"/>
      <c r="C157" s="23" t="s">
        <v>207</v>
      </c>
      <c r="D157" s="87">
        <v>9</v>
      </c>
      <c r="E157" s="21">
        <v>9.4034061226599996E-4</v>
      </c>
    </row>
    <row r="158" spans="2:5" ht="14.5" customHeight="1">
      <c r="B158" s="111"/>
      <c r="C158" s="23" t="s">
        <v>216</v>
      </c>
      <c r="D158" s="87">
        <v>4</v>
      </c>
      <c r="E158" s="21">
        <v>4.1792916100699999E-4</v>
      </c>
    </row>
    <row r="159" spans="2:5" ht="14.5" customHeight="1">
      <c r="B159" s="111"/>
      <c r="C159" s="23" t="s">
        <v>217</v>
      </c>
      <c r="D159" s="87">
        <v>2</v>
      </c>
      <c r="E159" s="21">
        <v>2.08964580504E-4</v>
      </c>
    </row>
    <row r="160" spans="2:5" ht="14.5" customHeight="1">
      <c r="B160" s="111"/>
      <c r="C160" s="23" t="s">
        <v>208</v>
      </c>
      <c r="D160" s="87">
        <v>12</v>
      </c>
      <c r="E160" s="21">
        <v>1.2537874830219999E-3</v>
      </c>
    </row>
    <row r="161" spans="2:5" ht="14.5" customHeight="1">
      <c r="B161" s="111"/>
      <c r="C161" s="23" t="s">
        <v>209</v>
      </c>
      <c r="D161" s="87">
        <v>36</v>
      </c>
      <c r="E161" s="21">
        <v>3.7613624490649999E-3</v>
      </c>
    </row>
    <row r="162" spans="2:5" ht="14.5" customHeight="1">
      <c r="B162" s="111"/>
      <c r="C162" s="23" t="s">
        <v>210</v>
      </c>
      <c r="D162" s="87">
        <v>1</v>
      </c>
      <c r="E162" s="21">
        <v>1.04482290252E-4</v>
      </c>
    </row>
    <row r="163" spans="2:5" ht="14.5" customHeight="1">
      <c r="B163" s="111"/>
      <c r="C163" s="23" t="s">
        <v>211</v>
      </c>
      <c r="D163" s="87">
        <v>4</v>
      </c>
      <c r="E163" s="21">
        <v>4.1792916100699999E-4</v>
      </c>
    </row>
    <row r="164" spans="2:5" ht="14.5" customHeight="1">
      <c r="B164" s="111"/>
      <c r="C164" s="23" t="s">
        <v>212</v>
      </c>
      <c r="D164" s="87">
        <v>3</v>
      </c>
      <c r="E164" s="21">
        <v>3.13446870755E-4</v>
      </c>
    </row>
    <row r="165" spans="2:5" ht="14.5" customHeight="1">
      <c r="B165" s="112"/>
      <c r="C165" s="88" t="s">
        <v>29</v>
      </c>
      <c r="D165" s="89">
        <v>86</v>
      </c>
      <c r="E165" s="90">
        <v>8.9854769616549996E-3</v>
      </c>
    </row>
    <row r="166" spans="2:5" ht="14.5" customHeight="1">
      <c r="B166" s="110" t="s">
        <v>97</v>
      </c>
      <c r="C166" s="23" t="s">
        <v>207</v>
      </c>
      <c r="D166" s="87">
        <v>1</v>
      </c>
      <c r="E166" s="21">
        <v>1.04482290252E-4</v>
      </c>
    </row>
    <row r="167" spans="2:5" ht="14.5" customHeight="1">
      <c r="B167" s="112"/>
      <c r="C167" s="88" t="s">
        <v>29</v>
      </c>
      <c r="D167" s="89">
        <v>1</v>
      </c>
      <c r="E167" s="90">
        <v>1.04482290252E-4</v>
      </c>
    </row>
    <row r="168" spans="2:5" ht="14.5" customHeight="1">
      <c r="B168" s="110" t="s">
        <v>90</v>
      </c>
      <c r="C168" s="23" t="s">
        <v>203</v>
      </c>
      <c r="D168" s="87">
        <v>1</v>
      </c>
      <c r="E168" s="21">
        <v>1.04482290252E-4</v>
      </c>
    </row>
    <row r="169" spans="2:5" ht="14.5" customHeight="1">
      <c r="B169" s="111"/>
      <c r="C169" s="23" t="s">
        <v>204</v>
      </c>
      <c r="D169" s="87">
        <v>2</v>
      </c>
      <c r="E169" s="21">
        <v>2.08964580504E-4</v>
      </c>
    </row>
    <row r="170" spans="2:5" ht="14.5" customHeight="1">
      <c r="B170" s="111"/>
      <c r="C170" s="23" t="s">
        <v>214</v>
      </c>
      <c r="D170" s="87">
        <v>2</v>
      </c>
      <c r="E170" s="21">
        <v>2.08964580504E-4</v>
      </c>
    </row>
    <row r="171" spans="2:5" ht="14.5" customHeight="1">
      <c r="B171" s="111"/>
      <c r="C171" s="23" t="s">
        <v>217</v>
      </c>
      <c r="D171" s="87">
        <v>7</v>
      </c>
      <c r="E171" s="21">
        <v>7.3137603176300005E-4</v>
      </c>
    </row>
    <row r="172" spans="2:5" ht="14.5" customHeight="1">
      <c r="B172" s="111"/>
      <c r="C172" s="23" t="s">
        <v>218</v>
      </c>
      <c r="D172" s="87">
        <v>1</v>
      </c>
      <c r="E172" s="21">
        <v>1.04482290252E-4</v>
      </c>
    </row>
    <row r="173" spans="2:5" ht="14.5" customHeight="1">
      <c r="B173" s="111"/>
      <c r="C173" s="23" t="s">
        <v>209</v>
      </c>
      <c r="D173" s="87">
        <v>13</v>
      </c>
      <c r="E173" s="21">
        <v>1.3582697732729999E-3</v>
      </c>
    </row>
    <row r="174" spans="2:5" ht="14.5" customHeight="1">
      <c r="B174" s="111"/>
      <c r="C174" s="23" t="s">
        <v>210</v>
      </c>
      <c r="D174" s="87">
        <v>1</v>
      </c>
      <c r="E174" s="21">
        <v>1.04482290252E-4</v>
      </c>
    </row>
    <row r="175" spans="2:5" ht="14.5" customHeight="1">
      <c r="B175" s="111"/>
      <c r="C175" s="23" t="s">
        <v>211</v>
      </c>
      <c r="D175" s="87">
        <v>3</v>
      </c>
      <c r="E175" s="21">
        <v>3.13446870755E-4</v>
      </c>
    </row>
    <row r="176" spans="2:5" ht="14.5" customHeight="1">
      <c r="B176" s="112"/>
      <c r="C176" s="88" t="s">
        <v>29</v>
      </c>
      <c r="D176" s="89">
        <v>30</v>
      </c>
      <c r="E176" s="90">
        <v>3.1344687075539998E-3</v>
      </c>
    </row>
    <row r="177" spans="2:5" ht="14.5" customHeight="1">
      <c r="B177" s="110" t="s">
        <v>71</v>
      </c>
      <c r="C177" s="23" t="s">
        <v>202</v>
      </c>
      <c r="D177" s="87">
        <v>2</v>
      </c>
      <c r="E177" s="21">
        <v>2.08964580504E-4</v>
      </c>
    </row>
    <row r="178" spans="2:5" ht="14.5" customHeight="1">
      <c r="B178" s="111"/>
      <c r="C178" s="23" t="s">
        <v>204</v>
      </c>
      <c r="D178" s="87">
        <v>53</v>
      </c>
      <c r="E178" s="21">
        <v>5.5375613833459998E-3</v>
      </c>
    </row>
    <row r="179" spans="2:5" ht="14.5" customHeight="1">
      <c r="B179" s="111"/>
      <c r="C179" s="23" t="s">
        <v>214</v>
      </c>
      <c r="D179" s="87">
        <v>1</v>
      </c>
      <c r="E179" s="21">
        <v>1.04482290252E-4</v>
      </c>
    </row>
    <row r="180" spans="2:5" ht="14.5" customHeight="1">
      <c r="B180" s="111"/>
      <c r="C180" s="23" t="s">
        <v>205</v>
      </c>
      <c r="D180" s="87">
        <v>1</v>
      </c>
      <c r="E180" s="21">
        <v>1.04482290252E-4</v>
      </c>
    </row>
    <row r="181" spans="2:5" ht="14.5" customHeight="1">
      <c r="B181" s="111"/>
      <c r="C181" s="23" t="s">
        <v>219</v>
      </c>
      <c r="D181" s="87">
        <v>1</v>
      </c>
      <c r="E181" s="21">
        <v>1.04482290252E-4</v>
      </c>
    </row>
    <row r="182" spans="2:5" ht="14.5" customHeight="1">
      <c r="B182" s="111"/>
      <c r="C182" s="23" t="s">
        <v>206</v>
      </c>
      <c r="D182" s="87">
        <v>1</v>
      </c>
      <c r="E182" s="21">
        <v>1.04482290252E-4</v>
      </c>
    </row>
    <row r="183" spans="2:5" ht="14.5" customHeight="1">
      <c r="B183" s="111"/>
      <c r="C183" s="23" t="s">
        <v>207</v>
      </c>
      <c r="D183" s="87">
        <v>1</v>
      </c>
      <c r="E183" s="21">
        <v>1.04482290252E-4</v>
      </c>
    </row>
    <row r="184" spans="2:5" ht="14.5" customHeight="1">
      <c r="B184" s="111"/>
      <c r="C184" s="23" t="s">
        <v>218</v>
      </c>
      <c r="D184" s="87">
        <v>1</v>
      </c>
      <c r="E184" s="21">
        <v>1.04482290252E-4</v>
      </c>
    </row>
    <row r="185" spans="2:5" ht="14.5" customHeight="1">
      <c r="B185" s="111"/>
      <c r="C185" s="23" t="s">
        <v>208</v>
      </c>
      <c r="D185" s="87">
        <v>12</v>
      </c>
      <c r="E185" s="21">
        <v>1.2537874830219999E-3</v>
      </c>
    </row>
    <row r="186" spans="2:5" ht="14.5" customHeight="1">
      <c r="B186" s="111"/>
      <c r="C186" s="23" t="s">
        <v>209</v>
      </c>
      <c r="D186" s="87">
        <v>12</v>
      </c>
      <c r="E186" s="21">
        <v>1.2537874830219999E-3</v>
      </c>
    </row>
    <row r="187" spans="2:5" ht="14.5" customHeight="1">
      <c r="B187" s="111"/>
      <c r="C187" s="23" t="s">
        <v>210</v>
      </c>
      <c r="D187" s="87">
        <v>9</v>
      </c>
      <c r="E187" s="21">
        <v>9.4034061226599996E-4</v>
      </c>
    </row>
    <row r="188" spans="2:5" ht="14.5" customHeight="1">
      <c r="B188" s="111"/>
      <c r="C188" s="23" t="s">
        <v>211</v>
      </c>
      <c r="D188" s="87">
        <v>9</v>
      </c>
      <c r="E188" s="21">
        <v>9.4034061226599996E-4</v>
      </c>
    </row>
    <row r="189" spans="2:5" ht="14.5" customHeight="1">
      <c r="B189" s="111"/>
      <c r="C189" s="23" t="s">
        <v>212</v>
      </c>
      <c r="D189" s="87">
        <v>5</v>
      </c>
      <c r="E189" s="21">
        <v>5.2241145125899997E-4</v>
      </c>
    </row>
    <row r="190" spans="2:5" ht="14.5" customHeight="1">
      <c r="B190" s="111"/>
      <c r="C190" s="23" t="s">
        <v>213</v>
      </c>
      <c r="D190" s="87">
        <v>1</v>
      </c>
      <c r="E190" s="21">
        <v>1.04482290252E-4</v>
      </c>
    </row>
    <row r="191" spans="2:5" ht="14.5" customHeight="1">
      <c r="B191" s="112"/>
      <c r="C191" s="88" t="s">
        <v>29</v>
      </c>
      <c r="D191" s="89">
        <v>109</v>
      </c>
      <c r="E191" s="90">
        <v>1.1388569637446E-2</v>
      </c>
    </row>
    <row r="192" spans="2:5" ht="14.5" customHeight="1">
      <c r="B192" s="110" t="s">
        <v>81</v>
      </c>
      <c r="C192" s="23" t="s">
        <v>202</v>
      </c>
      <c r="D192" s="87">
        <v>12</v>
      </c>
      <c r="E192" s="21">
        <v>1.2537874830219999E-3</v>
      </c>
    </row>
    <row r="193" spans="2:5" ht="14.5" customHeight="1">
      <c r="B193" s="111"/>
      <c r="C193" s="23" t="s">
        <v>203</v>
      </c>
      <c r="D193" s="87">
        <v>1</v>
      </c>
      <c r="E193" s="21">
        <v>1.04482290252E-4</v>
      </c>
    </row>
    <row r="194" spans="2:5" ht="14.5" customHeight="1">
      <c r="B194" s="111"/>
      <c r="C194" s="23" t="s">
        <v>204</v>
      </c>
      <c r="D194" s="87">
        <v>13</v>
      </c>
      <c r="E194" s="21">
        <v>1.3582697732729999E-3</v>
      </c>
    </row>
    <row r="195" spans="2:5" ht="14.5" customHeight="1">
      <c r="B195" s="111"/>
      <c r="C195" s="23" t="s">
        <v>215</v>
      </c>
      <c r="D195" s="87">
        <v>1</v>
      </c>
      <c r="E195" s="21">
        <v>1.04482290252E-4</v>
      </c>
    </row>
    <row r="196" spans="2:5" ht="14.5" customHeight="1">
      <c r="B196" s="111"/>
      <c r="C196" s="23" t="s">
        <v>219</v>
      </c>
      <c r="D196" s="87">
        <v>1</v>
      </c>
      <c r="E196" s="21">
        <v>1.04482290252E-4</v>
      </c>
    </row>
    <row r="197" spans="2:5" ht="14.5" customHeight="1">
      <c r="B197" s="111"/>
      <c r="C197" s="23" t="s">
        <v>207</v>
      </c>
      <c r="D197" s="87">
        <v>3</v>
      </c>
      <c r="E197" s="21">
        <v>3.13446870755E-4</v>
      </c>
    </row>
    <row r="198" spans="2:5" ht="14.5" customHeight="1">
      <c r="B198" s="111"/>
      <c r="C198" s="23" t="s">
        <v>216</v>
      </c>
      <c r="D198" s="87">
        <v>2</v>
      </c>
      <c r="E198" s="21">
        <v>2.08964580504E-4</v>
      </c>
    </row>
    <row r="199" spans="2:5" ht="14.5" customHeight="1">
      <c r="B199" s="111"/>
      <c r="C199" s="23" t="s">
        <v>218</v>
      </c>
      <c r="D199" s="87">
        <v>9</v>
      </c>
      <c r="E199" s="21">
        <v>9.4034061226599996E-4</v>
      </c>
    </row>
    <row r="200" spans="2:5" ht="14.5" customHeight="1">
      <c r="B200" s="111"/>
      <c r="C200" s="23" t="s">
        <v>208</v>
      </c>
      <c r="D200" s="87">
        <v>5</v>
      </c>
      <c r="E200" s="21">
        <v>5.2241145125899997E-4</v>
      </c>
    </row>
    <row r="201" spans="2:5" ht="14.5" customHeight="1">
      <c r="B201" s="111"/>
      <c r="C201" s="23" t="s">
        <v>209</v>
      </c>
      <c r="D201" s="87">
        <v>12</v>
      </c>
      <c r="E201" s="21">
        <v>1.2537874830219999E-3</v>
      </c>
    </row>
    <row r="202" spans="2:5" ht="14.5" customHeight="1">
      <c r="B202" s="111"/>
      <c r="C202" s="23" t="s">
        <v>210</v>
      </c>
      <c r="D202" s="87">
        <v>2</v>
      </c>
      <c r="E202" s="21">
        <v>2.08964580504E-4</v>
      </c>
    </row>
    <row r="203" spans="2:5" ht="14.5" customHeight="1">
      <c r="B203" s="111"/>
      <c r="C203" s="23" t="s">
        <v>211</v>
      </c>
      <c r="D203" s="87">
        <v>10</v>
      </c>
      <c r="E203" s="21">
        <v>1.0448229025179999E-3</v>
      </c>
    </row>
    <row r="204" spans="2:5" ht="14.5" customHeight="1">
      <c r="B204" s="111"/>
      <c r="C204" s="23" t="s">
        <v>212</v>
      </c>
      <c r="D204" s="87">
        <v>1</v>
      </c>
      <c r="E204" s="21">
        <v>1.04482290252E-4</v>
      </c>
    </row>
    <row r="205" spans="2:5" ht="14.5" customHeight="1">
      <c r="B205" s="111"/>
      <c r="C205" s="23" t="s">
        <v>213</v>
      </c>
      <c r="D205" s="87">
        <v>4</v>
      </c>
      <c r="E205" s="21">
        <v>4.1792916100699999E-4</v>
      </c>
    </row>
    <row r="206" spans="2:5" ht="14.5" customHeight="1">
      <c r="B206" s="112"/>
      <c r="C206" s="88" t="s">
        <v>29</v>
      </c>
      <c r="D206" s="89">
        <v>76</v>
      </c>
      <c r="E206" s="90">
        <v>7.9406540591369992E-3</v>
      </c>
    </row>
    <row r="207" spans="2:5" ht="14.5" customHeight="1">
      <c r="B207" s="110" t="s">
        <v>51</v>
      </c>
      <c r="C207" s="23" t="s">
        <v>202</v>
      </c>
      <c r="D207" s="87">
        <v>59</v>
      </c>
      <c r="E207" s="21">
        <v>6.1644551248559998E-3</v>
      </c>
    </row>
    <row r="208" spans="2:5" ht="14.5" customHeight="1">
      <c r="B208" s="111"/>
      <c r="C208" s="23" t="s">
        <v>203</v>
      </c>
      <c r="D208" s="87">
        <v>69</v>
      </c>
      <c r="E208" s="21">
        <v>7.2092780273740002E-3</v>
      </c>
    </row>
    <row r="209" spans="2:5" ht="14.5" customHeight="1">
      <c r="B209" s="111"/>
      <c r="C209" s="23" t="s">
        <v>204</v>
      </c>
      <c r="D209" s="87">
        <v>30</v>
      </c>
      <c r="E209" s="21">
        <v>3.1344687075539998E-3</v>
      </c>
    </row>
    <row r="210" spans="2:5" ht="14.5" customHeight="1">
      <c r="B210" s="111"/>
      <c r="C210" s="23" t="s">
        <v>214</v>
      </c>
      <c r="D210" s="87">
        <v>8</v>
      </c>
      <c r="E210" s="21">
        <v>8.3585832201399997E-4</v>
      </c>
    </row>
    <row r="211" spans="2:5" ht="14.5" customHeight="1">
      <c r="B211" s="111"/>
      <c r="C211" s="23" t="s">
        <v>205</v>
      </c>
      <c r="D211" s="87">
        <v>31</v>
      </c>
      <c r="E211" s="21">
        <v>3.2389509978060001E-3</v>
      </c>
    </row>
    <row r="212" spans="2:5" ht="14.5" customHeight="1">
      <c r="B212" s="111"/>
      <c r="C212" s="23" t="s">
        <v>215</v>
      </c>
      <c r="D212" s="87">
        <v>13</v>
      </c>
      <c r="E212" s="21">
        <v>1.3582697732729999E-3</v>
      </c>
    </row>
    <row r="213" spans="2:5" ht="14.5" customHeight="1">
      <c r="B213" s="111"/>
      <c r="C213" s="23" t="s">
        <v>219</v>
      </c>
      <c r="D213" s="87">
        <v>3</v>
      </c>
      <c r="E213" s="21">
        <v>3.13446870755E-4</v>
      </c>
    </row>
    <row r="214" spans="2:5" ht="14.5" customHeight="1">
      <c r="B214" s="111"/>
      <c r="C214" s="23" t="s">
        <v>206</v>
      </c>
      <c r="D214" s="87">
        <v>100</v>
      </c>
      <c r="E214" s="21">
        <v>1.044822902518E-2</v>
      </c>
    </row>
    <row r="215" spans="2:5" ht="14.5" customHeight="1">
      <c r="B215" s="111"/>
      <c r="C215" s="23" t="s">
        <v>207</v>
      </c>
      <c r="D215" s="87">
        <v>67</v>
      </c>
      <c r="E215" s="21">
        <v>7.0003134468709996E-3</v>
      </c>
    </row>
    <row r="216" spans="2:5" ht="14.5" customHeight="1">
      <c r="B216" s="111"/>
      <c r="C216" s="23" t="s">
        <v>216</v>
      </c>
      <c r="D216" s="87">
        <v>86</v>
      </c>
      <c r="E216" s="21">
        <v>8.9854769616549996E-3</v>
      </c>
    </row>
    <row r="217" spans="2:5" ht="14.5" customHeight="1">
      <c r="B217" s="111"/>
      <c r="C217" s="23" t="s">
        <v>220</v>
      </c>
      <c r="D217" s="87">
        <v>2</v>
      </c>
      <c r="E217" s="21">
        <v>2.08964580504E-4</v>
      </c>
    </row>
    <row r="218" spans="2:5" ht="14.5" customHeight="1">
      <c r="B218" s="111"/>
      <c r="C218" s="23" t="s">
        <v>217</v>
      </c>
      <c r="D218" s="87">
        <v>18</v>
      </c>
      <c r="E218" s="21">
        <v>1.8806812245319999E-3</v>
      </c>
    </row>
    <row r="219" spans="2:5" ht="14.5" customHeight="1">
      <c r="B219" s="111"/>
      <c r="C219" s="23" t="s">
        <v>218</v>
      </c>
      <c r="D219" s="87">
        <v>6</v>
      </c>
      <c r="E219" s="21">
        <v>6.2689374151099996E-4</v>
      </c>
    </row>
    <row r="220" spans="2:5" ht="14.5" customHeight="1">
      <c r="B220" s="111"/>
      <c r="C220" s="23" t="s">
        <v>208</v>
      </c>
      <c r="D220" s="87">
        <v>21</v>
      </c>
      <c r="E220" s="21">
        <v>2.1941280952880002E-3</v>
      </c>
    </row>
    <row r="221" spans="2:5" ht="14.5" customHeight="1">
      <c r="B221" s="111"/>
      <c r="C221" s="23" t="s">
        <v>209</v>
      </c>
      <c r="D221" s="87">
        <v>314</v>
      </c>
      <c r="E221" s="21">
        <v>3.2807439139066003E-2</v>
      </c>
    </row>
    <row r="222" spans="2:5" ht="14.5" customHeight="1">
      <c r="B222" s="111"/>
      <c r="C222" s="23" t="s">
        <v>210</v>
      </c>
      <c r="D222" s="87">
        <v>1</v>
      </c>
      <c r="E222" s="21">
        <v>1.04482290252E-4</v>
      </c>
    </row>
    <row r="223" spans="2:5" ht="14.5" customHeight="1">
      <c r="B223" s="111"/>
      <c r="C223" s="23" t="s">
        <v>211</v>
      </c>
      <c r="D223" s="87">
        <v>46</v>
      </c>
      <c r="E223" s="21">
        <v>4.8061853515829998E-3</v>
      </c>
    </row>
    <row r="224" spans="2:5" ht="14.5" customHeight="1">
      <c r="B224" s="111"/>
      <c r="C224" s="23" t="s">
        <v>221</v>
      </c>
      <c r="D224" s="87">
        <v>1</v>
      </c>
      <c r="E224" s="21">
        <v>1.04482290252E-4</v>
      </c>
    </row>
    <row r="225" spans="2:5" ht="14.5" customHeight="1">
      <c r="B225" s="111"/>
      <c r="C225" s="23" t="s">
        <v>222</v>
      </c>
      <c r="D225" s="87">
        <v>1</v>
      </c>
      <c r="E225" s="21">
        <v>1.04482290252E-4</v>
      </c>
    </row>
    <row r="226" spans="2:5" ht="14.5" customHeight="1">
      <c r="B226" s="111"/>
      <c r="C226" s="23" t="s">
        <v>212</v>
      </c>
      <c r="D226" s="87">
        <v>15</v>
      </c>
      <c r="E226" s="21">
        <v>1.5672343537769999E-3</v>
      </c>
    </row>
    <row r="227" spans="2:5" ht="14.5" customHeight="1">
      <c r="B227" s="111"/>
      <c r="C227" s="23" t="s">
        <v>213</v>
      </c>
      <c r="D227" s="87">
        <v>6</v>
      </c>
      <c r="E227" s="21">
        <v>6.2689374151099996E-4</v>
      </c>
    </row>
    <row r="228" spans="2:5" ht="14.5" customHeight="1">
      <c r="B228" s="112"/>
      <c r="C228" s="88" t="s">
        <v>29</v>
      </c>
      <c r="D228" s="89">
        <v>897</v>
      </c>
      <c r="E228" s="90">
        <v>9.3720614355866996E-2</v>
      </c>
    </row>
    <row r="229" spans="2:5" ht="14.5" customHeight="1">
      <c r="B229" s="110" t="s">
        <v>68</v>
      </c>
      <c r="C229" s="23" t="s">
        <v>202</v>
      </c>
      <c r="D229" s="87">
        <v>9</v>
      </c>
      <c r="E229" s="21">
        <v>9.4034061226599996E-4</v>
      </c>
    </row>
    <row r="230" spans="2:5" ht="14.5" customHeight="1">
      <c r="B230" s="111"/>
      <c r="C230" s="23" t="s">
        <v>203</v>
      </c>
      <c r="D230" s="87">
        <v>4</v>
      </c>
      <c r="E230" s="21">
        <v>4.1792916100699999E-4</v>
      </c>
    </row>
    <row r="231" spans="2:5" ht="14.5" customHeight="1">
      <c r="B231" s="111"/>
      <c r="C231" s="23" t="s">
        <v>204</v>
      </c>
      <c r="D231" s="87">
        <v>37</v>
      </c>
      <c r="E231" s="21">
        <v>3.8658447393170002E-3</v>
      </c>
    </row>
    <row r="232" spans="2:5" ht="14.5" customHeight="1">
      <c r="B232" s="111"/>
      <c r="C232" s="23" t="s">
        <v>215</v>
      </c>
      <c r="D232" s="87">
        <v>1</v>
      </c>
      <c r="E232" s="21">
        <v>1.04482290252E-4</v>
      </c>
    </row>
    <row r="233" spans="2:5" ht="14.5" customHeight="1">
      <c r="B233" s="111"/>
      <c r="C233" s="23" t="s">
        <v>219</v>
      </c>
      <c r="D233" s="87">
        <v>1</v>
      </c>
      <c r="E233" s="21">
        <v>1.04482290252E-4</v>
      </c>
    </row>
    <row r="234" spans="2:5" ht="14.5" customHeight="1">
      <c r="B234" s="111"/>
      <c r="C234" s="23" t="s">
        <v>206</v>
      </c>
      <c r="D234" s="87">
        <v>5</v>
      </c>
      <c r="E234" s="21">
        <v>5.2241145125899997E-4</v>
      </c>
    </row>
    <row r="235" spans="2:5" ht="14.5" customHeight="1">
      <c r="B235" s="111"/>
      <c r="C235" s="23" t="s">
        <v>207</v>
      </c>
      <c r="D235" s="87">
        <v>9</v>
      </c>
      <c r="E235" s="21">
        <v>9.4034061226599996E-4</v>
      </c>
    </row>
    <row r="236" spans="2:5" ht="14.5" customHeight="1">
      <c r="B236" s="111"/>
      <c r="C236" s="23" t="s">
        <v>216</v>
      </c>
      <c r="D236" s="87">
        <v>2</v>
      </c>
      <c r="E236" s="21">
        <v>2.08964580504E-4</v>
      </c>
    </row>
    <row r="237" spans="2:5" ht="14.5" customHeight="1">
      <c r="B237" s="111"/>
      <c r="C237" s="23" t="s">
        <v>217</v>
      </c>
      <c r="D237" s="87">
        <v>10</v>
      </c>
      <c r="E237" s="21">
        <v>1.0448229025179999E-3</v>
      </c>
    </row>
    <row r="238" spans="2:5" ht="14.5" customHeight="1">
      <c r="B238" s="111"/>
      <c r="C238" s="23" t="s">
        <v>208</v>
      </c>
      <c r="D238" s="87">
        <v>8</v>
      </c>
      <c r="E238" s="21">
        <v>8.3585832201399997E-4</v>
      </c>
    </row>
    <row r="239" spans="2:5" ht="14.5" customHeight="1">
      <c r="B239" s="111"/>
      <c r="C239" s="23" t="s">
        <v>209</v>
      </c>
      <c r="D239" s="87">
        <v>19</v>
      </c>
      <c r="E239" s="21">
        <v>1.985163514784E-3</v>
      </c>
    </row>
    <row r="240" spans="2:5" ht="14.5" customHeight="1">
      <c r="B240" s="111"/>
      <c r="C240" s="23" t="s">
        <v>210</v>
      </c>
      <c r="D240" s="87">
        <v>1</v>
      </c>
      <c r="E240" s="21">
        <v>1.04482290252E-4</v>
      </c>
    </row>
    <row r="241" spans="2:5" ht="14.5" customHeight="1">
      <c r="B241" s="111"/>
      <c r="C241" s="23" t="s">
        <v>211</v>
      </c>
      <c r="D241" s="87">
        <v>16</v>
      </c>
      <c r="E241" s="21">
        <v>1.671716644029E-3</v>
      </c>
    </row>
    <row r="242" spans="2:5" ht="14.5" customHeight="1">
      <c r="B242" s="111"/>
      <c r="C242" s="23" t="s">
        <v>212</v>
      </c>
      <c r="D242" s="87">
        <v>3</v>
      </c>
      <c r="E242" s="21">
        <v>3.13446870755E-4</v>
      </c>
    </row>
    <row r="243" spans="2:5" ht="14.5" customHeight="1">
      <c r="B243" s="112"/>
      <c r="C243" s="88" t="s">
        <v>29</v>
      </c>
      <c r="D243" s="89">
        <v>125</v>
      </c>
      <c r="E243" s="90">
        <v>1.3060286281475E-2</v>
      </c>
    </row>
    <row r="244" spans="2:5" ht="14.5" customHeight="1">
      <c r="B244" s="110" t="s">
        <v>70</v>
      </c>
      <c r="C244" s="23" t="s">
        <v>202</v>
      </c>
      <c r="D244" s="87">
        <v>11</v>
      </c>
      <c r="E244" s="21">
        <v>1.14930519277E-3</v>
      </c>
    </row>
    <row r="245" spans="2:5" ht="14.5" customHeight="1">
      <c r="B245" s="111"/>
      <c r="C245" s="23" t="s">
        <v>203</v>
      </c>
      <c r="D245" s="87">
        <v>3</v>
      </c>
      <c r="E245" s="21">
        <v>3.13446870755E-4</v>
      </c>
    </row>
    <row r="246" spans="2:5" ht="14.5" customHeight="1">
      <c r="B246" s="111"/>
      <c r="C246" s="23" t="s">
        <v>204</v>
      </c>
      <c r="D246" s="87">
        <v>3</v>
      </c>
      <c r="E246" s="21">
        <v>3.13446870755E-4</v>
      </c>
    </row>
    <row r="247" spans="2:5" ht="14.5" customHeight="1">
      <c r="B247" s="111"/>
      <c r="C247" s="23" t="s">
        <v>214</v>
      </c>
      <c r="D247" s="87">
        <v>1</v>
      </c>
      <c r="E247" s="21">
        <v>1.04482290252E-4</v>
      </c>
    </row>
    <row r="248" spans="2:5" ht="14.5" customHeight="1">
      <c r="B248" s="111"/>
      <c r="C248" s="23" t="s">
        <v>215</v>
      </c>
      <c r="D248" s="87">
        <v>3</v>
      </c>
      <c r="E248" s="21">
        <v>3.13446870755E-4</v>
      </c>
    </row>
    <row r="249" spans="2:5" ht="14.5" customHeight="1">
      <c r="B249" s="111"/>
      <c r="C249" s="23" t="s">
        <v>219</v>
      </c>
      <c r="D249" s="87">
        <v>5</v>
      </c>
      <c r="E249" s="21">
        <v>5.2241145125899997E-4</v>
      </c>
    </row>
    <row r="250" spans="2:5" ht="14.5" customHeight="1">
      <c r="B250" s="111"/>
      <c r="C250" s="23" t="s">
        <v>206</v>
      </c>
      <c r="D250" s="87">
        <v>8</v>
      </c>
      <c r="E250" s="21">
        <v>8.3585832201399997E-4</v>
      </c>
    </row>
    <row r="251" spans="2:5" ht="14.5" customHeight="1">
      <c r="B251" s="111"/>
      <c r="C251" s="23" t="s">
        <v>207</v>
      </c>
      <c r="D251" s="87">
        <v>11</v>
      </c>
      <c r="E251" s="21">
        <v>1.14930519277E-3</v>
      </c>
    </row>
    <row r="252" spans="2:5" ht="14.5" customHeight="1">
      <c r="B252" s="111"/>
      <c r="C252" s="23" t="s">
        <v>217</v>
      </c>
      <c r="D252" s="87">
        <v>6</v>
      </c>
      <c r="E252" s="21">
        <v>6.2689374151099996E-4</v>
      </c>
    </row>
    <row r="253" spans="2:5" ht="14.5" customHeight="1">
      <c r="B253" s="111"/>
      <c r="C253" s="23" t="s">
        <v>208</v>
      </c>
      <c r="D253" s="87">
        <v>2</v>
      </c>
      <c r="E253" s="21">
        <v>2.08964580504E-4</v>
      </c>
    </row>
    <row r="254" spans="2:5" ht="14.5" customHeight="1">
      <c r="B254" s="111"/>
      <c r="C254" s="23" t="s">
        <v>209</v>
      </c>
      <c r="D254" s="87">
        <v>40</v>
      </c>
      <c r="E254" s="21">
        <v>4.1792916100719998E-3</v>
      </c>
    </row>
    <row r="255" spans="2:5" ht="14.5" customHeight="1">
      <c r="B255" s="111"/>
      <c r="C255" s="23" t="s">
        <v>211</v>
      </c>
      <c r="D255" s="87">
        <v>20</v>
      </c>
      <c r="E255" s="21">
        <v>2.0896458050359999E-3</v>
      </c>
    </row>
    <row r="256" spans="2:5" ht="14.5" customHeight="1">
      <c r="B256" s="111"/>
      <c r="C256" s="23" t="s">
        <v>212</v>
      </c>
      <c r="D256" s="87">
        <v>1</v>
      </c>
      <c r="E256" s="21">
        <v>1.04482290252E-4</v>
      </c>
    </row>
    <row r="257" spans="2:5" ht="14.5" customHeight="1">
      <c r="B257" s="112"/>
      <c r="C257" s="88" t="s">
        <v>29</v>
      </c>
      <c r="D257" s="89">
        <v>114</v>
      </c>
      <c r="E257" s="90">
        <v>1.1910981088704999E-2</v>
      </c>
    </row>
    <row r="258" spans="2:5" ht="14.5" customHeight="1">
      <c r="B258" s="110" t="s">
        <v>93</v>
      </c>
      <c r="C258" s="23" t="s">
        <v>202</v>
      </c>
      <c r="D258" s="87">
        <v>2</v>
      </c>
      <c r="E258" s="21">
        <v>2.08964580504E-4</v>
      </c>
    </row>
    <row r="259" spans="2:5" ht="14.5" customHeight="1">
      <c r="B259" s="111"/>
      <c r="C259" s="23" t="s">
        <v>204</v>
      </c>
      <c r="D259" s="87">
        <v>3</v>
      </c>
      <c r="E259" s="21">
        <v>3.13446870755E-4</v>
      </c>
    </row>
    <row r="260" spans="2:5" ht="14.5" customHeight="1">
      <c r="B260" s="111"/>
      <c r="C260" s="23" t="s">
        <v>206</v>
      </c>
      <c r="D260" s="87">
        <v>1</v>
      </c>
      <c r="E260" s="21">
        <v>1.04482290252E-4</v>
      </c>
    </row>
    <row r="261" spans="2:5" ht="14.5" customHeight="1">
      <c r="B261" s="111"/>
      <c r="C261" s="23" t="s">
        <v>207</v>
      </c>
      <c r="D261" s="87">
        <v>1</v>
      </c>
      <c r="E261" s="21">
        <v>1.04482290252E-4</v>
      </c>
    </row>
    <row r="262" spans="2:5" ht="14.5" customHeight="1">
      <c r="B262" s="111"/>
      <c r="C262" s="23" t="s">
        <v>217</v>
      </c>
      <c r="D262" s="87">
        <v>1</v>
      </c>
      <c r="E262" s="21">
        <v>1.04482290252E-4</v>
      </c>
    </row>
    <row r="263" spans="2:5" ht="14.5" customHeight="1">
      <c r="B263" s="111"/>
      <c r="C263" s="23" t="s">
        <v>209</v>
      </c>
      <c r="D263" s="87">
        <v>7</v>
      </c>
      <c r="E263" s="21">
        <v>7.3137603176300005E-4</v>
      </c>
    </row>
    <row r="264" spans="2:5" ht="14.5" customHeight="1">
      <c r="B264" s="111"/>
      <c r="C264" s="23" t="s">
        <v>212</v>
      </c>
      <c r="D264" s="87">
        <v>1</v>
      </c>
      <c r="E264" s="21">
        <v>1.04482290252E-4</v>
      </c>
    </row>
    <row r="265" spans="2:5" ht="14.5" customHeight="1">
      <c r="B265" s="112"/>
      <c r="C265" s="88" t="s">
        <v>29</v>
      </c>
      <c r="D265" s="89">
        <v>16</v>
      </c>
      <c r="E265" s="90">
        <v>1.671716644029E-3</v>
      </c>
    </row>
    <row r="266" spans="2:5" ht="14.5" customHeight="1">
      <c r="B266" s="110" t="s">
        <v>65</v>
      </c>
      <c r="C266" s="23" t="s">
        <v>202</v>
      </c>
      <c r="D266" s="87">
        <v>39</v>
      </c>
      <c r="E266" s="21">
        <v>4.0748093198199999E-3</v>
      </c>
    </row>
    <row r="267" spans="2:5" ht="14.5" customHeight="1">
      <c r="B267" s="111"/>
      <c r="C267" s="23" t="s">
        <v>204</v>
      </c>
      <c r="D267" s="87">
        <v>12</v>
      </c>
      <c r="E267" s="21">
        <v>1.2537874830219999E-3</v>
      </c>
    </row>
    <row r="268" spans="2:5" ht="14.5" customHeight="1">
      <c r="B268" s="111"/>
      <c r="C268" s="23" t="s">
        <v>214</v>
      </c>
      <c r="D268" s="87">
        <v>4</v>
      </c>
      <c r="E268" s="21">
        <v>4.1792916100699999E-4</v>
      </c>
    </row>
    <row r="269" spans="2:5" ht="14.5" customHeight="1">
      <c r="B269" s="111"/>
      <c r="C269" s="23" t="s">
        <v>205</v>
      </c>
      <c r="D269" s="87">
        <v>1</v>
      </c>
      <c r="E269" s="21">
        <v>1.04482290252E-4</v>
      </c>
    </row>
    <row r="270" spans="2:5" ht="14.5" customHeight="1">
      <c r="B270" s="111"/>
      <c r="C270" s="23" t="s">
        <v>215</v>
      </c>
      <c r="D270" s="87">
        <v>2</v>
      </c>
      <c r="E270" s="21">
        <v>2.08964580504E-4</v>
      </c>
    </row>
    <row r="271" spans="2:5" ht="14.5" customHeight="1">
      <c r="B271" s="111"/>
      <c r="C271" s="23" t="s">
        <v>218</v>
      </c>
      <c r="D271" s="87">
        <v>2</v>
      </c>
      <c r="E271" s="21">
        <v>2.08964580504E-4</v>
      </c>
    </row>
    <row r="272" spans="2:5" ht="14.5" customHeight="1">
      <c r="B272" s="111"/>
      <c r="C272" s="23" t="s">
        <v>208</v>
      </c>
      <c r="D272" s="87">
        <v>7</v>
      </c>
      <c r="E272" s="21">
        <v>7.3137603176300005E-4</v>
      </c>
    </row>
    <row r="273" spans="2:5" ht="14.5" customHeight="1">
      <c r="B273" s="111"/>
      <c r="C273" s="23" t="s">
        <v>209</v>
      </c>
      <c r="D273" s="87">
        <v>23</v>
      </c>
      <c r="E273" s="21">
        <v>2.4030926757909999E-3</v>
      </c>
    </row>
    <row r="274" spans="2:5" ht="14.5" customHeight="1">
      <c r="B274" s="111"/>
      <c r="C274" s="23" t="s">
        <v>210</v>
      </c>
      <c r="D274" s="87">
        <v>12</v>
      </c>
      <c r="E274" s="21">
        <v>1.2537874830219999E-3</v>
      </c>
    </row>
    <row r="275" spans="2:5" ht="14.5" customHeight="1">
      <c r="B275" s="111"/>
      <c r="C275" s="23" t="s">
        <v>211</v>
      </c>
      <c r="D275" s="87">
        <v>36</v>
      </c>
      <c r="E275" s="21">
        <v>3.7613624490649999E-3</v>
      </c>
    </row>
    <row r="276" spans="2:5" ht="14.5" customHeight="1">
      <c r="B276" s="111"/>
      <c r="C276" s="23" t="s">
        <v>212</v>
      </c>
      <c r="D276" s="87">
        <v>3</v>
      </c>
      <c r="E276" s="21">
        <v>3.13446870755E-4</v>
      </c>
    </row>
    <row r="277" spans="2:5" ht="14.5" customHeight="1">
      <c r="B277" s="111"/>
      <c r="C277" s="23" t="s">
        <v>213</v>
      </c>
      <c r="D277" s="87">
        <v>7</v>
      </c>
      <c r="E277" s="21">
        <v>7.3137603176300005E-4</v>
      </c>
    </row>
    <row r="278" spans="2:5" ht="14.5" customHeight="1">
      <c r="B278" s="112"/>
      <c r="C278" s="88" t="s">
        <v>29</v>
      </c>
      <c r="D278" s="89">
        <v>148</v>
      </c>
      <c r="E278" s="90">
        <v>1.5463378957267E-2</v>
      </c>
    </row>
    <row r="279" spans="2:5" ht="14.5" customHeight="1">
      <c r="B279" s="110" t="s">
        <v>56</v>
      </c>
      <c r="C279" s="23" t="s">
        <v>202</v>
      </c>
      <c r="D279" s="87">
        <v>9</v>
      </c>
      <c r="E279" s="21">
        <v>9.4034061226599996E-4</v>
      </c>
    </row>
    <row r="280" spans="2:5" ht="14.5" customHeight="1">
      <c r="B280" s="111"/>
      <c r="C280" s="23" t="s">
        <v>203</v>
      </c>
      <c r="D280" s="87">
        <v>26</v>
      </c>
      <c r="E280" s="21">
        <v>2.716539546547E-3</v>
      </c>
    </row>
    <row r="281" spans="2:5" ht="14.5" customHeight="1">
      <c r="B281" s="111"/>
      <c r="C281" s="23" t="s">
        <v>204</v>
      </c>
      <c r="D281" s="87">
        <v>13</v>
      </c>
      <c r="E281" s="21">
        <v>1.3582697732729999E-3</v>
      </c>
    </row>
    <row r="282" spans="2:5" ht="14.5" customHeight="1">
      <c r="B282" s="111"/>
      <c r="C282" s="23" t="s">
        <v>205</v>
      </c>
      <c r="D282" s="87">
        <v>7</v>
      </c>
      <c r="E282" s="21">
        <v>7.3137603176300005E-4</v>
      </c>
    </row>
    <row r="283" spans="2:5" ht="14.5" customHeight="1">
      <c r="B283" s="111"/>
      <c r="C283" s="23" t="s">
        <v>215</v>
      </c>
      <c r="D283" s="87">
        <v>9</v>
      </c>
      <c r="E283" s="21">
        <v>9.4034061226599996E-4</v>
      </c>
    </row>
    <row r="284" spans="2:5" ht="14.5" customHeight="1">
      <c r="B284" s="111"/>
      <c r="C284" s="23" t="s">
        <v>206</v>
      </c>
      <c r="D284" s="87">
        <v>42</v>
      </c>
      <c r="E284" s="21">
        <v>4.3882561905760004E-3</v>
      </c>
    </row>
    <row r="285" spans="2:5" ht="14.5" customHeight="1">
      <c r="B285" s="111"/>
      <c r="C285" s="23" t="s">
        <v>207</v>
      </c>
      <c r="D285" s="87">
        <v>82</v>
      </c>
      <c r="E285" s="21">
        <v>8.5675478006479993E-3</v>
      </c>
    </row>
    <row r="286" spans="2:5" ht="14.5" customHeight="1">
      <c r="B286" s="111"/>
      <c r="C286" s="23" t="s">
        <v>216</v>
      </c>
      <c r="D286" s="87">
        <v>12</v>
      </c>
      <c r="E286" s="21">
        <v>1.2537874830219999E-3</v>
      </c>
    </row>
    <row r="287" spans="2:5" ht="14.5" customHeight="1">
      <c r="B287" s="111"/>
      <c r="C287" s="23" t="s">
        <v>217</v>
      </c>
      <c r="D287" s="87">
        <v>4</v>
      </c>
      <c r="E287" s="21">
        <v>4.1792916100699999E-4</v>
      </c>
    </row>
    <row r="288" spans="2:5" ht="14.5" customHeight="1">
      <c r="B288" s="111"/>
      <c r="C288" s="23" t="s">
        <v>218</v>
      </c>
      <c r="D288" s="87">
        <v>1</v>
      </c>
      <c r="E288" s="21">
        <v>1.04482290252E-4</v>
      </c>
    </row>
    <row r="289" spans="2:5" ht="14.5" customHeight="1">
      <c r="B289" s="111"/>
      <c r="C289" s="23" t="s">
        <v>208</v>
      </c>
      <c r="D289" s="87">
        <v>17</v>
      </c>
      <c r="E289" s="21">
        <v>1.7761989342810001E-3</v>
      </c>
    </row>
    <row r="290" spans="2:5" ht="14.5" customHeight="1">
      <c r="B290" s="111"/>
      <c r="C290" s="23" t="s">
        <v>209</v>
      </c>
      <c r="D290" s="87">
        <v>125</v>
      </c>
      <c r="E290" s="21">
        <v>1.3060286281475E-2</v>
      </c>
    </row>
    <row r="291" spans="2:5" ht="14.5" customHeight="1">
      <c r="B291" s="111"/>
      <c r="C291" s="23" t="s">
        <v>210</v>
      </c>
      <c r="D291" s="87">
        <v>2</v>
      </c>
      <c r="E291" s="21">
        <v>2.08964580504E-4</v>
      </c>
    </row>
    <row r="292" spans="2:5" ht="14.5" customHeight="1">
      <c r="B292" s="111"/>
      <c r="C292" s="23" t="s">
        <v>211</v>
      </c>
      <c r="D292" s="87">
        <v>29</v>
      </c>
      <c r="E292" s="21">
        <v>3.029986417302E-3</v>
      </c>
    </row>
    <row r="293" spans="2:5" ht="14.5" customHeight="1">
      <c r="B293" s="111"/>
      <c r="C293" s="23" t="s">
        <v>212</v>
      </c>
      <c r="D293" s="87">
        <v>1</v>
      </c>
      <c r="E293" s="21">
        <v>1.04482290252E-4</v>
      </c>
    </row>
    <row r="294" spans="2:5" ht="14.5" customHeight="1">
      <c r="B294" s="112"/>
      <c r="C294" s="88" t="s">
        <v>29</v>
      </c>
      <c r="D294" s="89">
        <v>379</v>
      </c>
      <c r="E294" s="90">
        <v>3.9598788005432997E-2</v>
      </c>
    </row>
    <row r="295" spans="2:5" ht="14.5" customHeight="1">
      <c r="B295" s="110" t="s">
        <v>57</v>
      </c>
      <c r="C295" s="23" t="s">
        <v>202</v>
      </c>
      <c r="D295" s="87">
        <v>31</v>
      </c>
      <c r="E295" s="21">
        <v>3.2389509978060001E-3</v>
      </c>
    </row>
    <row r="296" spans="2:5" ht="14.5" customHeight="1">
      <c r="B296" s="111"/>
      <c r="C296" s="23" t="s">
        <v>203</v>
      </c>
      <c r="D296" s="87">
        <v>1</v>
      </c>
      <c r="E296" s="21">
        <v>1.04482290252E-4</v>
      </c>
    </row>
    <row r="297" spans="2:5" ht="14.5" customHeight="1">
      <c r="B297" s="111"/>
      <c r="C297" s="23" t="s">
        <v>204</v>
      </c>
      <c r="D297" s="87">
        <v>29</v>
      </c>
      <c r="E297" s="21">
        <v>3.029986417302E-3</v>
      </c>
    </row>
    <row r="298" spans="2:5" ht="14.5" customHeight="1">
      <c r="B298" s="111"/>
      <c r="C298" s="23" t="s">
        <v>214</v>
      </c>
      <c r="D298" s="87">
        <v>22</v>
      </c>
      <c r="E298" s="21">
        <v>2.2986103855400001E-3</v>
      </c>
    </row>
    <row r="299" spans="2:5" ht="14.5" customHeight="1">
      <c r="B299" s="111"/>
      <c r="C299" s="23" t="s">
        <v>205</v>
      </c>
      <c r="D299" s="87">
        <v>2</v>
      </c>
      <c r="E299" s="21">
        <v>2.08964580504E-4</v>
      </c>
    </row>
    <row r="300" spans="2:5" ht="14.5" customHeight="1">
      <c r="B300" s="111"/>
      <c r="C300" s="23" t="s">
        <v>215</v>
      </c>
      <c r="D300" s="87">
        <v>14</v>
      </c>
      <c r="E300" s="21">
        <v>1.462752063525E-3</v>
      </c>
    </row>
    <row r="301" spans="2:5" ht="14.5" customHeight="1">
      <c r="B301" s="111"/>
      <c r="C301" s="23" t="s">
        <v>219</v>
      </c>
      <c r="D301" s="87">
        <v>20</v>
      </c>
      <c r="E301" s="21">
        <v>2.0896458050359999E-3</v>
      </c>
    </row>
    <row r="302" spans="2:5" ht="14.5" customHeight="1">
      <c r="B302" s="111"/>
      <c r="C302" s="23" t="s">
        <v>206</v>
      </c>
      <c r="D302" s="87">
        <v>1</v>
      </c>
      <c r="E302" s="21">
        <v>1.04482290252E-4</v>
      </c>
    </row>
    <row r="303" spans="2:5" ht="14.5" customHeight="1">
      <c r="B303" s="111"/>
      <c r="C303" s="23" t="s">
        <v>207</v>
      </c>
      <c r="D303" s="87">
        <v>3</v>
      </c>
      <c r="E303" s="21">
        <v>3.13446870755E-4</v>
      </c>
    </row>
    <row r="304" spans="2:5" ht="14.5" customHeight="1">
      <c r="B304" s="111"/>
      <c r="C304" s="23" t="s">
        <v>216</v>
      </c>
      <c r="D304" s="87">
        <v>1</v>
      </c>
      <c r="E304" s="21">
        <v>1.04482290252E-4</v>
      </c>
    </row>
    <row r="305" spans="2:5" ht="14.5" customHeight="1">
      <c r="B305" s="111"/>
      <c r="C305" s="23" t="s">
        <v>217</v>
      </c>
      <c r="D305" s="87">
        <v>11</v>
      </c>
      <c r="E305" s="21">
        <v>1.14930519277E-3</v>
      </c>
    </row>
    <row r="306" spans="2:5" ht="14.5" customHeight="1">
      <c r="B306" s="111"/>
      <c r="C306" s="23" t="s">
        <v>218</v>
      </c>
      <c r="D306" s="87">
        <v>2</v>
      </c>
      <c r="E306" s="21">
        <v>2.08964580504E-4</v>
      </c>
    </row>
    <row r="307" spans="2:5" ht="14.5" customHeight="1">
      <c r="B307" s="111"/>
      <c r="C307" s="23" t="s">
        <v>208</v>
      </c>
      <c r="D307" s="87">
        <v>5</v>
      </c>
      <c r="E307" s="21">
        <v>5.2241145125899997E-4</v>
      </c>
    </row>
    <row r="308" spans="2:5" ht="14.5" customHeight="1">
      <c r="B308" s="111"/>
      <c r="C308" s="23" t="s">
        <v>209</v>
      </c>
      <c r="D308" s="87">
        <v>102</v>
      </c>
      <c r="E308" s="21">
        <v>1.0657193605684E-2</v>
      </c>
    </row>
    <row r="309" spans="2:5" ht="14.5" customHeight="1">
      <c r="B309" s="111"/>
      <c r="C309" s="23" t="s">
        <v>210</v>
      </c>
      <c r="D309" s="87">
        <v>4</v>
      </c>
      <c r="E309" s="21">
        <v>4.1792916100699999E-4</v>
      </c>
    </row>
    <row r="310" spans="2:5" ht="14.5" customHeight="1">
      <c r="B310" s="111"/>
      <c r="C310" s="23" t="s">
        <v>211</v>
      </c>
      <c r="D310" s="87">
        <v>53</v>
      </c>
      <c r="E310" s="21">
        <v>5.5375613833459998E-3</v>
      </c>
    </row>
    <row r="311" spans="2:5" ht="14.5" customHeight="1">
      <c r="B311" s="111"/>
      <c r="C311" s="23" t="s">
        <v>212</v>
      </c>
      <c r="D311" s="87">
        <v>14</v>
      </c>
      <c r="E311" s="21">
        <v>1.462752063525E-3</v>
      </c>
    </row>
    <row r="312" spans="2:5" ht="14.5" customHeight="1">
      <c r="B312" s="111"/>
      <c r="C312" s="23" t="s">
        <v>213</v>
      </c>
      <c r="D312" s="87">
        <v>63</v>
      </c>
      <c r="E312" s="21">
        <v>6.5823842858640002E-3</v>
      </c>
    </row>
    <row r="313" spans="2:5" ht="14.5" customHeight="1">
      <c r="B313" s="112"/>
      <c r="C313" s="88" t="s">
        <v>29</v>
      </c>
      <c r="D313" s="89">
        <v>378</v>
      </c>
      <c r="E313" s="90">
        <v>3.9494305715180998E-2</v>
      </c>
    </row>
    <row r="314" spans="2:5" ht="14.5" customHeight="1">
      <c r="B314" s="110" t="s">
        <v>75</v>
      </c>
      <c r="C314" s="23" t="s">
        <v>202</v>
      </c>
      <c r="D314" s="87">
        <v>1</v>
      </c>
      <c r="E314" s="21">
        <v>1.04482290252E-4</v>
      </c>
    </row>
    <row r="315" spans="2:5" ht="14.5" customHeight="1">
      <c r="B315" s="111"/>
      <c r="C315" s="23" t="s">
        <v>203</v>
      </c>
      <c r="D315" s="87">
        <v>1</v>
      </c>
      <c r="E315" s="21">
        <v>1.04482290252E-4</v>
      </c>
    </row>
    <row r="316" spans="2:5" ht="14.5" customHeight="1">
      <c r="B316" s="111"/>
      <c r="C316" s="23" t="s">
        <v>204</v>
      </c>
      <c r="D316" s="87">
        <v>3</v>
      </c>
      <c r="E316" s="21">
        <v>3.13446870755E-4</v>
      </c>
    </row>
    <row r="317" spans="2:5" ht="14.5" customHeight="1">
      <c r="B317" s="111"/>
      <c r="C317" s="23" t="s">
        <v>214</v>
      </c>
      <c r="D317" s="87">
        <v>2</v>
      </c>
      <c r="E317" s="21">
        <v>2.08964580504E-4</v>
      </c>
    </row>
    <row r="318" spans="2:5" ht="14.5" customHeight="1">
      <c r="B318" s="111"/>
      <c r="C318" s="23" t="s">
        <v>206</v>
      </c>
      <c r="D318" s="87">
        <v>2</v>
      </c>
      <c r="E318" s="21">
        <v>2.08964580504E-4</v>
      </c>
    </row>
    <row r="319" spans="2:5" ht="14.5" customHeight="1">
      <c r="B319" s="111"/>
      <c r="C319" s="23" t="s">
        <v>207</v>
      </c>
      <c r="D319" s="87">
        <v>17</v>
      </c>
      <c r="E319" s="21">
        <v>1.7761989342810001E-3</v>
      </c>
    </row>
    <row r="320" spans="2:5" ht="14.5" customHeight="1">
      <c r="B320" s="111"/>
      <c r="C320" s="23" t="s">
        <v>216</v>
      </c>
      <c r="D320" s="87">
        <v>5</v>
      </c>
      <c r="E320" s="21">
        <v>5.2241145125899997E-4</v>
      </c>
    </row>
    <row r="321" spans="2:5" ht="14.5" customHeight="1">
      <c r="B321" s="111"/>
      <c r="C321" s="23" t="s">
        <v>218</v>
      </c>
      <c r="D321" s="87">
        <v>2</v>
      </c>
      <c r="E321" s="21">
        <v>2.08964580504E-4</v>
      </c>
    </row>
    <row r="322" spans="2:5" ht="14.5" customHeight="1">
      <c r="B322" s="111"/>
      <c r="C322" s="23" t="s">
        <v>208</v>
      </c>
      <c r="D322" s="87">
        <v>30</v>
      </c>
      <c r="E322" s="21">
        <v>3.1344687075539998E-3</v>
      </c>
    </row>
    <row r="323" spans="2:5" ht="14.5" customHeight="1">
      <c r="B323" s="111"/>
      <c r="C323" s="23" t="s">
        <v>209</v>
      </c>
      <c r="D323" s="87">
        <v>19</v>
      </c>
      <c r="E323" s="21">
        <v>1.985163514784E-3</v>
      </c>
    </row>
    <row r="324" spans="2:5" ht="14.5" customHeight="1">
      <c r="B324" s="111"/>
      <c r="C324" s="23" t="s">
        <v>210</v>
      </c>
      <c r="D324" s="87">
        <v>2</v>
      </c>
      <c r="E324" s="21">
        <v>2.08964580504E-4</v>
      </c>
    </row>
    <row r="325" spans="2:5" ht="14.5" customHeight="1">
      <c r="B325" s="111"/>
      <c r="C325" s="23" t="s">
        <v>211</v>
      </c>
      <c r="D325" s="87">
        <v>5</v>
      </c>
      <c r="E325" s="21">
        <v>5.2241145125899997E-4</v>
      </c>
    </row>
    <row r="326" spans="2:5" ht="14.5" customHeight="1">
      <c r="B326" s="111"/>
      <c r="C326" s="23" t="s">
        <v>212</v>
      </c>
      <c r="D326" s="87">
        <v>1</v>
      </c>
      <c r="E326" s="21">
        <v>1.04482290252E-4</v>
      </c>
    </row>
    <row r="327" spans="2:5" ht="14.5" customHeight="1">
      <c r="B327" s="111"/>
      <c r="C327" s="23" t="s">
        <v>213</v>
      </c>
      <c r="D327" s="87">
        <v>1</v>
      </c>
      <c r="E327" s="21">
        <v>1.04482290252E-4</v>
      </c>
    </row>
    <row r="328" spans="2:5" ht="14.5" customHeight="1">
      <c r="B328" s="112"/>
      <c r="C328" s="88" t="s">
        <v>29</v>
      </c>
      <c r="D328" s="89">
        <v>91</v>
      </c>
      <c r="E328" s="90">
        <v>9.5078884129140007E-3</v>
      </c>
    </row>
    <row r="329" spans="2:5" ht="14.5" customHeight="1">
      <c r="B329" s="110" t="s">
        <v>60</v>
      </c>
      <c r="C329" s="23" t="s">
        <v>203</v>
      </c>
      <c r="D329" s="87">
        <v>15</v>
      </c>
      <c r="E329" s="21">
        <v>1.5672343537769999E-3</v>
      </c>
    </row>
    <row r="330" spans="2:5" ht="14.5" customHeight="1">
      <c r="B330" s="111"/>
      <c r="C330" s="23" t="s">
        <v>204</v>
      </c>
      <c r="D330" s="87">
        <v>65</v>
      </c>
      <c r="E330" s="21">
        <v>6.7913488663669998E-3</v>
      </c>
    </row>
    <row r="331" spans="2:5" ht="14.5" customHeight="1">
      <c r="B331" s="111"/>
      <c r="C331" s="23" t="s">
        <v>215</v>
      </c>
      <c r="D331" s="87">
        <v>1</v>
      </c>
      <c r="E331" s="21">
        <v>1.04482290252E-4</v>
      </c>
    </row>
    <row r="332" spans="2:5" ht="14.5" customHeight="1">
      <c r="B332" s="111"/>
      <c r="C332" s="23" t="s">
        <v>219</v>
      </c>
      <c r="D332" s="87">
        <v>7</v>
      </c>
      <c r="E332" s="21">
        <v>7.3137603176300005E-4</v>
      </c>
    </row>
    <row r="333" spans="2:5" ht="14.5" customHeight="1">
      <c r="B333" s="111"/>
      <c r="C333" s="23" t="s">
        <v>206</v>
      </c>
      <c r="D333" s="87">
        <v>6</v>
      </c>
      <c r="E333" s="21">
        <v>6.2689374151099996E-4</v>
      </c>
    </row>
    <row r="334" spans="2:5" ht="14.5" customHeight="1">
      <c r="B334" s="111"/>
      <c r="C334" s="23" t="s">
        <v>207</v>
      </c>
      <c r="D334" s="87">
        <v>43</v>
      </c>
      <c r="E334" s="21">
        <v>4.4927384808280003E-3</v>
      </c>
    </row>
    <row r="335" spans="2:5" ht="14.5" customHeight="1">
      <c r="B335" s="111"/>
      <c r="C335" s="23" t="s">
        <v>216</v>
      </c>
      <c r="D335" s="87">
        <v>100</v>
      </c>
      <c r="E335" s="21">
        <v>1.044822902518E-2</v>
      </c>
    </row>
    <row r="336" spans="2:5" ht="14.5" customHeight="1">
      <c r="B336" s="111"/>
      <c r="C336" s="23" t="s">
        <v>217</v>
      </c>
      <c r="D336" s="87">
        <v>2</v>
      </c>
      <c r="E336" s="21">
        <v>2.08964580504E-4</v>
      </c>
    </row>
    <row r="337" spans="2:5" ht="14.5" customHeight="1">
      <c r="B337" s="111"/>
      <c r="C337" s="23" t="s">
        <v>208</v>
      </c>
      <c r="D337" s="87">
        <v>47</v>
      </c>
      <c r="E337" s="21">
        <v>4.9106676418349997E-3</v>
      </c>
    </row>
    <row r="338" spans="2:5" ht="14.5" customHeight="1">
      <c r="B338" s="111"/>
      <c r="C338" s="23" t="s">
        <v>209</v>
      </c>
      <c r="D338" s="87">
        <v>30</v>
      </c>
      <c r="E338" s="21">
        <v>3.1344687075539998E-3</v>
      </c>
    </row>
    <row r="339" spans="2:5" ht="14.5" customHeight="1">
      <c r="B339" s="111"/>
      <c r="C339" s="23" t="s">
        <v>210</v>
      </c>
      <c r="D339" s="87">
        <v>2</v>
      </c>
      <c r="E339" s="21">
        <v>2.08964580504E-4</v>
      </c>
    </row>
    <row r="340" spans="2:5" ht="14.5" customHeight="1">
      <c r="B340" s="111"/>
      <c r="C340" s="23" t="s">
        <v>211</v>
      </c>
      <c r="D340" s="87">
        <v>16</v>
      </c>
      <c r="E340" s="21">
        <v>1.671716644029E-3</v>
      </c>
    </row>
    <row r="341" spans="2:5" ht="14.5" customHeight="1">
      <c r="B341" s="111"/>
      <c r="C341" s="23" t="s">
        <v>212</v>
      </c>
      <c r="D341" s="87">
        <v>16</v>
      </c>
      <c r="E341" s="21">
        <v>1.671716644029E-3</v>
      </c>
    </row>
    <row r="342" spans="2:5" ht="14.5" customHeight="1">
      <c r="B342" s="111"/>
      <c r="C342" s="23" t="s">
        <v>213</v>
      </c>
      <c r="D342" s="87">
        <v>1</v>
      </c>
      <c r="E342" s="21">
        <v>1.04482290252E-4</v>
      </c>
    </row>
    <row r="343" spans="2:5" ht="14.5" customHeight="1">
      <c r="B343" s="112"/>
      <c r="C343" s="88" t="s">
        <v>29</v>
      </c>
      <c r="D343" s="89">
        <v>351</v>
      </c>
      <c r="E343" s="90">
        <v>3.6673283878382999E-2</v>
      </c>
    </row>
    <row r="344" spans="2:5" ht="14.5" customHeight="1">
      <c r="B344" s="110" t="s">
        <v>73</v>
      </c>
      <c r="C344" s="23" t="s">
        <v>202</v>
      </c>
      <c r="D344" s="87">
        <v>51</v>
      </c>
      <c r="E344" s="21">
        <v>5.328596802842E-3</v>
      </c>
    </row>
    <row r="345" spans="2:5" ht="14.5" customHeight="1">
      <c r="B345" s="111"/>
      <c r="C345" s="23" t="s">
        <v>204</v>
      </c>
      <c r="D345" s="87">
        <v>2</v>
      </c>
      <c r="E345" s="21">
        <v>2.08964580504E-4</v>
      </c>
    </row>
    <row r="346" spans="2:5" ht="14.5" customHeight="1">
      <c r="B346" s="111"/>
      <c r="C346" s="23" t="s">
        <v>214</v>
      </c>
      <c r="D346" s="87">
        <v>1</v>
      </c>
      <c r="E346" s="21">
        <v>1.04482290252E-4</v>
      </c>
    </row>
    <row r="347" spans="2:5" ht="14.5" customHeight="1">
      <c r="B347" s="111"/>
      <c r="C347" s="23" t="s">
        <v>215</v>
      </c>
      <c r="D347" s="87">
        <v>1</v>
      </c>
      <c r="E347" s="21">
        <v>1.04482290252E-4</v>
      </c>
    </row>
    <row r="348" spans="2:5" ht="14.5" customHeight="1">
      <c r="B348" s="111"/>
      <c r="C348" s="23" t="s">
        <v>206</v>
      </c>
      <c r="D348" s="87">
        <v>1</v>
      </c>
      <c r="E348" s="21">
        <v>1.04482290252E-4</v>
      </c>
    </row>
    <row r="349" spans="2:5" ht="14.5" customHeight="1">
      <c r="B349" s="111"/>
      <c r="C349" s="23" t="s">
        <v>207</v>
      </c>
      <c r="D349" s="87">
        <v>1</v>
      </c>
      <c r="E349" s="21">
        <v>1.04482290252E-4</v>
      </c>
    </row>
    <row r="350" spans="2:5" ht="14.5" customHeight="1">
      <c r="B350" s="111"/>
      <c r="C350" s="23" t="s">
        <v>216</v>
      </c>
      <c r="D350" s="87">
        <v>5</v>
      </c>
      <c r="E350" s="21">
        <v>5.2241145125899997E-4</v>
      </c>
    </row>
    <row r="351" spans="2:5" ht="14.5" customHeight="1">
      <c r="B351" s="111"/>
      <c r="C351" s="23" t="s">
        <v>217</v>
      </c>
      <c r="D351" s="87">
        <v>1</v>
      </c>
      <c r="E351" s="21">
        <v>1.04482290252E-4</v>
      </c>
    </row>
    <row r="352" spans="2:5" ht="14.5" customHeight="1">
      <c r="B352" s="111"/>
      <c r="C352" s="23" t="s">
        <v>218</v>
      </c>
      <c r="D352" s="87">
        <v>2</v>
      </c>
      <c r="E352" s="21">
        <v>2.08964580504E-4</v>
      </c>
    </row>
    <row r="353" spans="2:5" ht="14.5" customHeight="1">
      <c r="B353" s="111"/>
      <c r="C353" s="23" t="s">
        <v>209</v>
      </c>
      <c r="D353" s="87">
        <v>14</v>
      </c>
      <c r="E353" s="21">
        <v>1.462752063525E-3</v>
      </c>
    </row>
    <row r="354" spans="2:5" ht="14.5" customHeight="1">
      <c r="B354" s="111"/>
      <c r="C354" s="23" t="s">
        <v>210</v>
      </c>
      <c r="D354" s="87">
        <v>2</v>
      </c>
      <c r="E354" s="21">
        <v>2.08964580504E-4</v>
      </c>
    </row>
    <row r="355" spans="2:5" ht="14.5" customHeight="1">
      <c r="B355" s="111"/>
      <c r="C355" s="23" t="s">
        <v>211</v>
      </c>
      <c r="D355" s="87">
        <v>6</v>
      </c>
      <c r="E355" s="21">
        <v>6.2689374151099996E-4</v>
      </c>
    </row>
    <row r="356" spans="2:5" ht="14.5" customHeight="1">
      <c r="B356" s="111"/>
      <c r="C356" s="23" t="s">
        <v>212</v>
      </c>
      <c r="D356" s="87">
        <v>9</v>
      </c>
      <c r="E356" s="21">
        <v>9.4034061226599996E-4</v>
      </c>
    </row>
    <row r="357" spans="2:5" ht="14.5" customHeight="1">
      <c r="B357" s="112"/>
      <c r="C357" s="88" t="s">
        <v>29</v>
      </c>
      <c r="D357" s="89">
        <v>96</v>
      </c>
      <c r="E357" s="90">
        <v>1.0030299864173E-2</v>
      </c>
    </row>
    <row r="358" spans="2:5" ht="14.5" customHeight="1">
      <c r="B358" s="110" t="s">
        <v>98</v>
      </c>
      <c r="C358" s="23" t="s">
        <v>203</v>
      </c>
      <c r="D358" s="87">
        <v>1</v>
      </c>
      <c r="E358" s="21">
        <v>1.04482290252E-4</v>
      </c>
    </row>
    <row r="359" spans="2:5" ht="14.5" customHeight="1">
      <c r="B359" s="112"/>
      <c r="C359" s="88" t="s">
        <v>29</v>
      </c>
      <c r="D359" s="89">
        <v>1</v>
      </c>
      <c r="E359" s="90">
        <v>1.04482290252E-4</v>
      </c>
    </row>
    <row r="360" spans="2:5" ht="14.5" customHeight="1">
      <c r="B360" s="110" t="s">
        <v>63</v>
      </c>
      <c r="C360" s="23" t="s">
        <v>202</v>
      </c>
      <c r="D360" s="87">
        <v>8</v>
      </c>
      <c r="E360" s="21">
        <v>8.3585832201399997E-4</v>
      </c>
    </row>
    <row r="361" spans="2:5" ht="14.5" customHeight="1">
      <c r="B361" s="111"/>
      <c r="C361" s="23" t="s">
        <v>203</v>
      </c>
      <c r="D361" s="87">
        <v>20</v>
      </c>
      <c r="E361" s="21">
        <v>2.0896458050359999E-3</v>
      </c>
    </row>
    <row r="362" spans="2:5" ht="14.5" customHeight="1">
      <c r="B362" s="111"/>
      <c r="C362" s="23" t="s">
        <v>204</v>
      </c>
      <c r="D362" s="87">
        <v>10</v>
      </c>
      <c r="E362" s="21">
        <v>1.0448229025179999E-3</v>
      </c>
    </row>
    <row r="363" spans="2:5" ht="14.5" customHeight="1">
      <c r="B363" s="111"/>
      <c r="C363" s="23" t="s">
        <v>214</v>
      </c>
      <c r="D363" s="87">
        <v>2</v>
      </c>
      <c r="E363" s="21">
        <v>2.08964580504E-4</v>
      </c>
    </row>
    <row r="364" spans="2:5" ht="14.5" customHeight="1">
      <c r="B364" s="111"/>
      <c r="C364" s="23" t="s">
        <v>205</v>
      </c>
      <c r="D364" s="87">
        <v>7</v>
      </c>
      <c r="E364" s="21">
        <v>7.3137603176300005E-4</v>
      </c>
    </row>
    <row r="365" spans="2:5" ht="14.5" customHeight="1">
      <c r="B365" s="111"/>
      <c r="C365" s="23" t="s">
        <v>215</v>
      </c>
      <c r="D365" s="87">
        <v>3</v>
      </c>
      <c r="E365" s="21">
        <v>3.13446870755E-4</v>
      </c>
    </row>
    <row r="366" spans="2:5" ht="14.5" customHeight="1">
      <c r="B366" s="111"/>
      <c r="C366" s="23" t="s">
        <v>219</v>
      </c>
      <c r="D366" s="87">
        <v>1</v>
      </c>
      <c r="E366" s="21">
        <v>1.04482290252E-4</v>
      </c>
    </row>
    <row r="367" spans="2:5" ht="14.5" customHeight="1">
      <c r="B367" s="111"/>
      <c r="C367" s="23" t="s">
        <v>206</v>
      </c>
      <c r="D367" s="87">
        <v>28</v>
      </c>
      <c r="E367" s="21">
        <v>2.9255041270500001E-3</v>
      </c>
    </row>
    <row r="368" spans="2:5" ht="14.5" customHeight="1">
      <c r="B368" s="111"/>
      <c r="C368" s="23" t="s">
        <v>207</v>
      </c>
      <c r="D368" s="87">
        <v>23</v>
      </c>
      <c r="E368" s="21">
        <v>2.4030926757909999E-3</v>
      </c>
    </row>
    <row r="369" spans="2:5" ht="14.5" customHeight="1">
      <c r="B369" s="111"/>
      <c r="C369" s="23" t="s">
        <v>216</v>
      </c>
      <c r="D369" s="87">
        <v>4</v>
      </c>
      <c r="E369" s="21">
        <v>4.1792916100699999E-4</v>
      </c>
    </row>
    <row r="370" spans="2:5" ht="14.5" customHeight="1">
      <c r="B370" s="111"/>
      <c r="C370" s="23" t="s">
        <v>217</v>
      </c>
      <c r="D370" s="87">
        <v>2</v>
      </c>
      <c r="E370" s="21">
        <v>2.08964580504E-4</v>
      </c>
    </row>
    <row r="371" spans="2:5" ht="14.5" customHeight="1">
      <c r="B371" s="111"/>
      <c r="C371" s="23" t="s">
        <v>218</v>
      </c>
      <c r="D371" s="87">
        <v>2</v>
      </c>
      <c r="E371" s="21">
        <v>2.08964580504E-4</v>
      </c>
    </row>
    <row r="372" spans="2:5" ht="14.5" customHeight="1">
      <c r="B372" s="111"/>
      <c r="C372" s="23" t="s">
        <v>208</v>
      </c>
      <c r="D372" s="87">
        <v>8</v>
      </c>
      <c r="E372" s="21">
        <v>8.3585832201399997E-4</v>
      </c>
    </row>
    <row r="373" spans="2:5" ht="14.5" customHeight="1">
      <c r="B373" s="111"/>
      <c r="C373" s="23" t="s">
        <v>209</v>
      </c>
      <c r="D373" s="87">
        <v>54</v>
      </c>
      <c r="E373" s="21">
        <v>5.6420436735969996E-3</v>
      </c>
    </row>
    <row r="374" spans="2:5" ht="14.5" customHeight="1">
      <c r="B374" s="111"/>
      <c r="C374" s="23" t="s">
        <v>210</v>
      </c>
      <c r="D374" s="87">
        <v>6</v>
      </c>
      <c r="E374" s="21">
        <v>6.2689374151099996E-4</v>
      </c>
    </row>
    <row r="375" spans="2:5" ht="14.5" customHeight="1">
      <c r="B375" s="111"/>
      <c r="C375" s="23" t="s">
        <v>211</v>
      </c>
      <c r="D375" s="87">
        <v>16</v>
      </c>
      <c r="E375" s="21">
        <v>1.671716644029E-3</v>
      </c>
    </row>
    <row r="376" spans="2:5" ht="14.5" customHeight="1">
      <c r="B376" s="112"/>
      <c r="C376" s="88" t="s">
        <v>29</v>
      </c>
      <c r="D376" s="89">
        <v>194</v>
      </c>
      <c r="E376" s="90">
        <v>2.0269564308850001E-2</v>
      </c>
    </row>
    <row r="377" spans="2:5" ht="14.5" customHeight="1">
      <c r="B377" s="110" t="s">
        <v>82</v>
      </c>
      <c r="C377" s="23" t="s">
        <v>202</v>
      </c>
      <c r="D377" s="87">
        <v>4</v>
      </c>
      <c r="E377" s="21">
        <v>4.1792916100699999E-4</v>
      </c>
    </row>
    <row r="378" spans="2:5" ht="14.5" customHeight="1">
      <c r="B378" s="111"/>
      <c r="C378" s="23" t="s">
        <v>203</v>
      </c>
      <c r="D378" s="87">
        <v>3</v>
      </c>
      <c r="E378" s="21">
        <v>3.13446870755E-4</v>
      </c>
    </row>
    <row r="379" spans="2:5" ht="14.5" customHeight="1">
      <c r="B379" s="111"/>
      <c r="C379" s="23" t="s">
        <v>204</v>
      </c>
      <c r="D379" s="87">
        <v>10</v>
      </c>
      <c r="E379" s="21">
        <v>1.0448229025179999E-3</v>
      </c>
    </row>
    <row r="380" spans="2:5" ht="14.5" customHeight="1">
      <c r="B380" s="111"/>
      <c r="C380" s="23" t="s">
        <v>214</v>
      </c>
      <c r="D380" s="87">
        <v>2</v>
      </c>
      <c r="E380" s="21">
        <v>2.08964580504E-4</v>
      </c>
    </row>
    <row r="381" spans="2:5" ht="14.5" customHeight="1">
      <c r="B381" s="111"/>
      <c r="C381" s="23" t="s">
        <v>215</v>
      </c>
      <c r="D381" s="87">
        <v>1</v>
      </c>
      <c r="E381" s="21">
        <v>1.04482290252E-4</v>
      </c>
    </row>
    <row r="382" spans="2:5" ht="14.5" customHeight="1">
      <c r="B382" s="111"/>
      <c r="C382" s="23" t="s">
        <v>219</v>
      </c>
      <c r="D382" s="87">
        <v>1</v>
      </c>
      <c r="E382" s="21">
        <v>1.04482290252E-4</v>
      </c>
    </row>
    <row r="383" spans="2:5" ht="14.5" customHeight="1">
      <c r="B383" s="111"/>
      <c r="C383" s="23" t="s">
        <v>207</v>
      </c>
      <c r="D383" s="87">
        <v>2</v>
      </c>
      <c r="E383" s="21">
        <v>2.08964580504E-4</v>
      </c>
    </row>
    <row r="384" spans="2:5" ht="14.5" customHeight="1">
      <c r="B384" s="111"/>
      <c r="C384" s="23" t="s">
        <v>216</v>
      </c>
      <c r="D384" s="87">
        <v>1</v>
      </c>
      <c r="E384" s="21">
        <v>1.04482290252E-4</v>
      </c>
    </row>
    <row r="385" spans="2:5" ht="14.5" customHeight="1">
      <c r="B385" s="111"/>
      <c r="C385" s="23" t="s">
        <v>217</v>
      </c>
      <c r="D385" s="87">
        <v>1</v>
      </c>
      <c r="E385" s="21">
        <v>1.04482290252E-4</v>
      </c>
    </row>
    <row r="386" spans="2:5" ht="14.5" customHeight="1">
      <c r="B386" s="111"/>
      <c r="C386" s="23" t="s">
        <v>218</v>
      </c>
      <c r="D386" s="87">
        <v>1</v>
      </c>
      <c r="E386" s="21">
        <v>1.04482290252E-4</v>
      </c>
    </row>
    <row r="387" spans="2:5" ht="14.5" customHeight="1">
      <c r="B387" s="111"/>
      <c r="C387" s="23" t="s">
        <v>208</v>
      </c>
      <c r="D387" s="87">
        <v>5</v>
      </c>
      <c r="E387" s="21">
        <v>5.2241145125899997E-4</v>
      </c>
    </row>
    <row r="388" spans="2:5" ht="14.5" customHeight="1">
      <c r="B388" s="111"/>
      <c r="C388" s="23" t="s">
        <v>209</v>
      </c>
      <c r="D388" s="87">
        <v>17</v>
      </c>
      <c r="E388" s="21">
        <v>1.7761989342810001E-3</v>
      </c>
    </row>
    <row r="389" spans="2:5" ht="14.5" customHeight="1">
      <c r="B389" s="111"/>
      <c r="C389" s="23" t="s">
        <v>210</v>
      </c>
      <c r="D389" s="87">
        <v>2</v>
      </c>
      <c r="E389" s="21">
        <v>2.08964580504E-4</v>
      </c>
    </row>
    <row r="390" spans="2:5" ht="14.5" customHeight="1">
      <c r="B390" s="111"/>
      <c r="C390" s="23" t="s">
        <v>211</v>
      </c>
      <c r="D390" s="87">
        <v>16</v>
      </c>
      <c r="E390" s="21">
        <v>1.671716644029E-3</v>
      </c>
    </row>
    <row r="391" spans="2:5" ht="14.5" customHeight="1">
      <c r="B391" s="111"/>
      <c r="C391" s="23" t="s">
        <v>212</v>
      </c>
      <c r="D391" s="87">
        <v>9</v>
      </c>
      <c r="E391" s="21">
        <v>9.4034061226599996E-4</v>
      </c>
    </row>
    <row r="392" spans="2:5" ht="14.5" customHeight="1">
      <c r="B392" s="111"/>
      <c r="C392" s="23" t="s">
        <v>213</v>
      </c>
      <c r="D392" s="87">
        <v>1</v>
      </c>
      <c r="E392" s="21">
        <v>1.04482290252E-4</v>
      </c>
    </row>
    <row r="393" spans="2:5" ht="14.5" customHeight="1">
      <c r="B393" s="112"/>
      <c r="C393" s="88" t="s">
        <v>29</v>
      </c>
      <c r="D393" s="89">
        <v>76</v>
      </c>
      <c r="E393" s="90">
        <v>7.9406540591369992E-3</v>
      </c>
    </row>
    <row r="394" spans="2:5" ht="14.5" customHeight="1">
      <c r="B394" s="110" t="s">
        <v>66</v>
      </c>
      <c r="C394" s="23" t="s">
        <v>202</v>
      </c>
      <c r="D394" s="87">
        <v>8</v>
      </c>
      <c r="E394" s="21">
        <v>8.3585832201399997E-4</v>
      </c>
    </row>
    <row r="395" spans="2:5" ht="14.5" customHeight="1">
      <c r="B395" s="111"/>
      <c r="C395" s="23" t="s">
        <v>203</v>
      </c>
      <c r="D395" s="87">
        <v>11</v>
      </c>
      <c r="E395" s="21">
        <v>1.14930519277E-3</v>
      </c>
    </row>
    <row r="396" spans="2:5" ht="14.5" customHeight="1">
      <c r="B396" s="111"/>
      <c r="C396" s="23" t="s">
        <v>204</v>
      </c>
      <c r="D396" s="87">
        <v>12</v>
      </c>
      <c r="E396" s="21">
        <v>1.2537874830219999E-3</v>
      </c>
    </row>
    <row r="397" spans="2:5" ht="14.5" customHeight="1">
      <c r="B397" s="111"/>
      <c r="C397" s="23" t="s">
        <v>215</v>
      </c>
      <c r="D397" s="87">
        <v>3</v>
      </c>
      <c r="E397" s="21">
        <v>3.13446870755E-4</v>
      </c>
    </row>
    <row r="398" spans="2:5" ht="14.5" customHeight="1">
      <c r="B398" s="111"/>
      <c r="C398" s="23" t="s">
        <v>219</v>
      </c>
      <c r="D398" s="87">
        <v>3</v>
      </c>
      <c r="E398" s="21">
        <v>3.13446870755E-4</v>
      </c>
    </row>
    <row r="399" spans="2:5" ht="14.5" customHeight="1">
      <c r="B399" s="111"/>
      <c r="C399" s="23" t="s">
        <v>206</v>
      </c>
      <c r="D399" s="87">
        <v>6</v>
      </c>
      <c r="E399" s="21">
        <v>6.2689374151099996E-4</v>
      </c>
    </row>
    <row r="400" spans="2:5" ht="14.5" customHeight="1">
      <c r="B400" s="111"/>
      <c r="C400" s="23" t="s">
        <v>207</v>
      </c>
      <c r="D400" s="87">
        <v>31</v>
      </c>
      <c r="E400" s="21">
        <v>3.2389509978060001E-3</v>
      </c>
    </row>
    <row r="401" spans="2:5" ht="14.5" customHeight="1">
      <c r="B401" s="111"/>
      <c r="C401" s="23" t="s">
        <v>216</v>
      </c>
      <c r="D401" s="87">
        <v>6</v>
      </c>
      <c r="E401" s="21">
        <v>6.2689374151099996E-4</v>
      </c>
    </row>
    <row r="402" spans="2:5" ht="14.5" customHeight="1">
      <c r="B402" s="111"/>
      <c r="C402" s="23" t="s">
        <v>220</v>
      </c>
      <c r="D402" s="87">
        <v>1</v>
      </c>
      <c r="E402" s="21">
        <v>1.04482290252E-4</v>
      </c>
    </row>
    <row r="403" spans="2:5" ht="14.5" customHeight="1">
      <c r="B403" s="111"/>
      <c r="C403" s="23" t="s">
        <v>218</v>
      </c>
      <c r="D403" s="87">
        <v>1</v>
      </c>
      <c r="E403" s="21">
        <v>1.04482290252E-4</v>
      </c>
    </row>
    <row r="404" spans="2:5" ht="14.5" customHeight="1">
      <c r="B404" s="111"/>
      <c r="C404" s="23" t="s">
        <v>208</v>
      </c>
      <c r="D404" s="87">
        <v>1</v>
      </c>
      <c r="E404" s="21">
        <v>1.04482290252E-4</v>
      </c>
    </row>
    <row r="405" spans="2:5" ht="14.5" customHeight="1">
      <c r="B405" s="111"/>
      <c r="C405" s="23" t="s">
        <v>209</v>
      </c>
      <c r="D405" s="87">
        <v>35</v>
      </c>
      <c r="E405" s="21">
        <v>3.656880158813E-3</v>
      </c>
    </row>
    <row r="406" spans="2:5" ht="14.5" customHeight="1">
      <c r="B406" s="111"/>
      <c r="C406" s="23" t="s">
        <v>210</v>
      </c>
      <c r="D406" s="87">
        <v>4</v>
      </c>
      <c r="E406" s="21">
        <v>4.1792916100699999E-4</v>
      </c>
    </row>
    <row r="407" spans="2:5" ht="14.5" customHeight="1">
      <c r="B407" s="111"/>
      <c r="C407" s="23" t="s">
        <v>211</v>
      </c>
      <c r="D407" s="87">
        <v>16</v>
      </c>
      <c r="E407" s="21">
        <v>1.671716644029E-3</v>
      </c>
    </row>
    <row r="408" spans="2:5" ht="14.5" customHeight="1">
      <c r="B408" s="111"/>
      <c r="C408" s="23" t="s">
        <v>212</v>
      </c>
      <c r="D408" s="87">
        <v>5</v>
      </c>
      <c r="E408" s="21">
        <v>5.2241145125899997E-4</v>
      </c>
    </row>
    <row r="409" spans="2:5" ht="14.5" customHeight="1">
      <c r="B409" s="111"/>
      <c r="C409" s="23" t="s">
        <v>213</v>
      </c>
      <c r="D409" s="87">
        <v>1</v>
      </c>
      <c r="E409" s="21">
        <v>1.04482290252E-4</v>
      </c>
    </row>
    <row r="410" spans="2:5" ht="14.5" customHeight="1">
      <c r="B410" s="112"/>
      <c r="C410" s="88" t="s">
        <v>29</v>
      </c>
      <c r="D410" s="89">
        <v>144</v>
      </c>
      <c r="E410" s="90">
        <v>1.504544979626E-2</v>
      </c>
    </row>
    <row r="411" spans="2:5" ht="14.5" customHeight="1">
      <c r="B411" s="110" t="s">
        <v>69</v>
      </c>
      <c r="C411" s="23" t="s">
        <v>202</v>
      </c>
      <c r="D411" s="87">
        <v>57</v>
      </c>
      <c r="E411" s="21">
        <v>5.9554905443530001E-3</v>
      </c>
    </row>
    <row r="412" spans="2:5" ht="14.5" customHeight="1">
      <c r="B412" s="111"/>
      <c r="C412" s="23" t="s">
        <v>204</v>
      </c>
      <c r="D412" s="87">
        <v>3</v>
      </c>
      <c r="E412" s="21">
        <v>3.13446870755E-4</v>
      </c>
    </row>
    <row r="413" spans="2:5" ht="14.5" customHeight="1">
      <c r="B413" s="111"/>
      <c r="C413" s="23" t="s">
        <v>205</v>
      </c>
      <c r="D413" s="87">
        <v>1</v>
      </c>
      <c r="E413" s="21">
        <v>1.04482290252E-4</v>
      </c>
    </row>
    <row r="414" spans="2:5" ht="14.5" customHeight="1">
      <c r="B414" s="111"/>
      <c r="C414" s="23" t="s">
        <v>215</v>
      </c>
      <c r="D414" s="87">
        <v>2</v>
      </c>
      <c r="E414" s="21">
        <v>2.08964580504E-4</v>
      </c>
    </row>
    <row r="415" spans="2:5" ht="14.5" customHeight="1">
      <c r="B415" s="111"/>
      <c r="C415" s="23" t="s">
        <v>219</v>
      </c>
      <c r="D415" s="87">
        <v>1</v>
      </c>
      <c r="E415" s="21">
        <v>1.04482290252E-4</v>
      </c>
    </row>
    <row r="416" spans="2:5" ht="14.5" customHeight="1">
      <c r="B416" s="111"/>
      <c r="C416" s="23" t="s">
        <v>206</v>
      </c>
      <c r="D416" s="87">
        <v>1</v>
      </c>
      <c r="E416" s="21">
        <v>1.04482290252E-4</v>
      </c>
    </row>
    <row r="417" spans="2:5" ht="14.5" customHeight="1">
      <c r="B417" s="111"/>
      <c r="C417" s="23" t="s">
        <v>207</v>
      </c>
      <c r="D417" s="87">
        <v>2</v>
      </c>
      <c r="E417" s="21">
        <v>2.08964580504E-4</v>
      </c>
    </row>
    <row r="418" spans="2:5" ht="14.5" customHeight="1">
      <c r="B418" s="111"/>
      <c r="C418" s="23" t="s">
        <v>217</v>
      </c>
      <c r="D418" s="87">
        <v>2</v>
      </c>
      <c r="E418" s="21">
        <v>2.08964580504E-4</v>
      </c>
    </row>
    <row r="419" spans="2:5" ht="14.5" customHeight="1">
      <c r="B419" s="111"/>
      <c r="C419" s="23" t="s">
        <v>208</v>
      </c>
      <c r="D419" s="87">
        <v>1</v>
      </c>
      <c r="E419" s="21">
        <v>1.04482290252E-4</v>
      </c>
    </row>
    <row r="420" spans="2:5" ht="14.5" customHeight="1">
      <c r="B420" s="111"/>
      <c r="C420" s="23" t="s">
        <v>209</v>
      </c>
      <c r="D420" s="87">
        <v>33</v>
      </c>
      <c r="E420" s="21">
        <v>3.4479155783089998E-3</v>
      </c>
    </row>
    <row r="421" spans="2:5" ht="14.5" customHeight="1">
      <c r="B421" s="111"/>
      <c r="C421" s="23" t="s">
        <v>211</v>
      </c>
      <c r="D421" s="87">
        <v>15</v>
      </c>
      <c r="E421" s="21">
        <v>1.5672343537769999E-3</v>
      </c>
    </row>
    <row r="422" spans="2:5" ht="14.5" customHeight="1">
      <c r="B422" s="111"/>
      <c r="C422" s="23" t="s">
        <v>212</v>
      </c>
      <c r="D422" s="87">
        <v>4</v>
      </c>
      <c r="E422" s="21">
        <v>4.1792916100699999E-4</v>
      </c>
    </row>
    <row r="423" spans="2:5" ht="14.5" customHeight="1">
      <c r="B423" s="111"/>
      <c r="C423" s="23" t="s">
        <v>213</v>
      </c>
      <c r="D423" s="87">
        <v>1</v>
      </c>
      <c r="E423" s="21">
        <v>1.04482290252E-4</v>
      </c>
    </row>
    <row r="424" spans="2:5" ht="14.5" customHeight="1">
      <c r="B424" s="112"/>
      <c r="C424" s="88" t="s">
        <v>29</v>
      </c>
      <c r="D424" s="89">
        <v>123</v>
      </c>
      <c r="E424" s="90">
        <v>1.2851321700972E-2</v>
      </c>
    </row>
    <row r="425" spans="2:5" ht="14.5" customHeight="1">
      <c r="B425" s="110" t="s">
        <v>55</v>
      </c>
      <c r="C425" s="23" t="s">
        <v>202</v>
      </c>
      <c r="D425" s="87">
        <v>6</v>
      </c>
      <c r="E425" s="21">
        <v>6.2689374151099996E-4</v>
      </c>
    </row>
    <row r="426" spans="2:5" ht="14.5" customHeight="1">
      <c r="B426" s="111"/>
      <c r="C426" s="23" t="s">
        <v>203</v>
      </c>
      <c r="D426" s="87">
        <v>7</v>
      </c>
      <c r="E426" s="21">
        <v>7.3137603176300005E-4</v>
      </c>
    </row>
    <row r="427" spans="2:5" ht="14.5" customHeight="1">
      <c r="B427" s="111"/>
      <c r="C427" s="23" t="s">
        <v>204</v>
      </c>
      <c r="D427" s="87">
        <v>52</v>
      </c>
      <c r="E427" s="21">
        <v>5.4330790930939999E-3</v>
      </c>
    </row>
    <row r="428" spans="2:5" ht="14.5" customHeight="1">
      <c r="B428" s="111"/>
      <c r="C428" s="23" t="s">
        <v>214</v>
      </c>
      <c r="D428" s="87">
        <v>35</v>
      </c>
      <c r="E428" s="21">
        <v>3.656880158813E-3</v>
      </c>
    </row>
    <row r="429" spans="2:5" ht="14.5" customHeight="1">
      <c r="B429" s="111"/>
      <c r="C429" s="23" t="s">
        <v>205</v>
      </c>
      <c r="D429" s="87">
        <v>7</v>
      </c>
      <c r="E429" s="21">
        <v>7.3137603176300005E-4</v>
      </c>
    </row>
    <row r="430" spans="2:5" ht="14.5" customHeight="1">
      <c r="B430" s="111"/>
      <c r="C430" s="23" t="s">
        <v>215</v>
      </c>
      <c r="D430" s="87">
        <v>4</v>
      </c>
      <c r="E430" s="21">
        <v>4.1792916100699999E-4</v>
      </c>
    </row>
    <row r="431" spans="2:5" ht="14.5" customHeight="1">
      <c r="B431" s="111"/>
      <c r="C431" s="23" t="s">
        <v>219</v>
      </c>
      <c r="D431" s="87">
        <v>4</v>
      </c>
      <c r="E431" s="21">
        <v>4.1792916100699999E-4</v>
      </c>
    </row>
    <row r="432" spans="2:5" ht="14.5" customHeight="1">
      <c r="B432" s="111"/>
      <c r="C432" s="23" t="s">
        <v>206</v>
      </c>
      <c r="D432" s="87">
        <v>2</v>
      </c>
      <c r="E432" s="21">
        <v>2.08964580504E-4</v>
      </c>
    </row>
    <row r="433" spans="2:5" ht="14.5" customHeight="1">
      <c r="B433" s="111"/>
      <c r="C433" s="23" t="s">
        <v>207</v>
      </c>
      <c r="D433" s="87">
        <v>24</v>
      </c>
      <c r="E433" s="21">
        <v>2.5075749660430002E-3</v>
      </c>
    </row>
    <row r="434" spans="2:5" ht="14.5" customHeight="1">
      <c r="B434" s="111"/>
      <c r="C434" s="23" t="s">
        <v>216</v>
      </c>
      <c r="D434" s="87">
        <v>13</v>
      </c>
      <c r="E434" s="21">
        <v>1.3582697732729999E-3</v>
      </c>
    </row>
    <row r="435" spans="2:5" ht="14.5" customHeight="1">
      <c r="B435" s="111"/>
      <c r="C435" s="23" t="s">
        <v>217</v>
      </c>
      <c r="D435" s="87">
        <v>2</v>
      </c>
      <c r="E435" s="21">
        <v>2.08964580504E-4</v>
      </c>
    </row>
    <row r="436" spans="2:5" ht="14.5" customHeight="1">
      <c r="B436" s="111"/>
      <c r="C436" s="23" t="s">
        <v>218</v>
      </c>
      <c r="D436" s="87">
        <v>3</v>
      </c>
      <c r="E436" s="21">
        <v>3.13446870755E-4</v>
      </c>
    </row>
    <row r="437" spans="2:5" ht="14.5" customHeight="1">
      <c r="B437" s="111"/>
      <c r="C437" s="23" t="s">
        <v>208</v>
      </c>
      <c r="D437" s="87">
        <v>49</v>
      </c>
      <c r="E437" s="21">
        <v>5.1196322223380003E-3</v>
      </c>
    </row>
    <row r="438" spans="2:5" ht="14.5" customHeight="1">
      <c r="B438" s="111"/>
      <c r="C438" s="23" t="s">
        <v>209</v>
      </c>
      <c r="D438" s="87">
        <v>128</v>
      </c>
      <c r="E438" s="21">
        <v>1.3373733152230999E-2</v>
      </c>
    </row>
    <row r="439" spans="2:5" ht="14.5" customHeight="1">
      <c r="B439" s="111"/>
      <c r="C439" s="23" t="s">
        <v>210</v>
      </c>
      <c r="D439" s="87">
        <v>9</v>
      </c>
      <c r="E439" s="21">
        <v>9.4034061226599996E-4</v>
      </c>
    </row>
    <row r="440" spans="2:5" ht="14.5" customHeight="1">
      <c r="B440" s="111"/>
      <c r="C440" s="23" t="s">
        <v>211</v>
      </c>
      <c r="D440" s="87">
        <v>38</v>
      </c>
      <c r="E440" s="21">
        <v>3.970327029568E-3</v>
      </c>
    </row>
    <row r="441" spans="2:5" ht="14.5" customHeight="1">
      <c r="B441" s="111"/>
      <c r="C441" s="23" t="s">
        <v>212</v>
      </c>
      <c r="D441" s="87">
        <v>10</v>
      </c>
      <c r="E441" s="21">
        <v>1.0448229025179999E-3</v>
      </c>
    </row>
    <row r="442" spans="2:5" ht="14.5" customHeight="1">
      <c r="B442" s="111"/>
      <c r="C442" s="23" t="s">
        <v>213</v>
      </c>
      <c r="D442" s="87">
        <v>1</v>
      </c>
      <c r="E442" s="21">
        <v>1.04482290252E-4</v>
      </c>
    </row>
    <row r="443" spans="2:5" ht="14.5" customHeight="1">
      <c r="B443" s="112"/>
      <c r="C443" s="88" t="s">
        <v>29</v>
      </c>
      <c r="D443" s="89">
        <v>394</v>
      </c>
      <c r="E443" s="90">
        <v>4.1166022359209999E-2</v>
      </c>
    </row>
    <row r="444" spans="2:5" ht="14.5" customHeight="1">
      <c r="B444" s="110" t="s">
        <v>91</v>
      </c>
      <c r="C444" s="23" t="s">
        <v>202</v>
      </c>
      <c r="D444" s="87">
        <v>2</v>
      </c>
      <c r="E444" s="21">
        <v>2.08964580504E-4</v>
      </c>
    </row>
    <row r="445" spans="2:5" ht="14.5" customHeight="1">
      <c r="B445" s="111"/>
      <c r="C445" s="23" t="s">
        <v>203</v>
      </c>
      <c r="D445" s="87">
        <v>1</v>
      </c>
      <c r="E445" s="21">
        <v>1.04482290252E-4</v>
      </c>
    </row>
    <row r="446" spans="2:5" ht="14.5" customHeight="1">
      <c r="B446" s="111"/>
      <c r="C446" s="23" t="s">
        <v>204</v>
      </c>
      <c r="D446" s="87">
        <v>1</v>
      </c>
      <c r="E446" s="21">
        <v>1.04482290252E-4</v>
      </c>
    </row>
    <row r="447" spans="2:5" ht="14.5" customHeight="1">
      <c r="B447" s="111"/>
      <c r="C447" s="23" t="s">
        <v>219</v>
      </c>
      <c r="D447" s="87">
        <v>2</v>
      </c>
      <c r="E447" s="21">
        <v>2.08964580504E-4</v>
      </c>
    </row>
    <row r="448" spans="2:5" ht="14.5" customHeight="1">
      <c r="B448" s="111"/>
      <c r="C448" s="23" t="s">
        <v>217</v>
      </c>
      <c r="D448" s="87">
        <v>3</v>
      </c>
      <c r="E448" s="21">
        <v>3.13446870755E-4</v>
      </c>
    </row>
    <row r="449" spans="2:5" ht="14.5" customHeight="1">
      <c r="B449" s="111"/>
      <c r="C449" s="23" t="s">
        <v>209</v>
      </c>
      <c r="D449" s="87">
        <v>3</v>
      </c>
      <c r="E449" s="21">
        <v>3.13446870755E-4</v>
      </c>
    </row>
    <row r="450" spans="2:5" ht="14.5" customHeight="1">
      <c r="B450" s="111"/>
      <c r="C450" s="23" t="s">
        <v>211</v>
      </c>
      <c r="D450" s="87">
        <v>10</v>
      </c>
      <c r="E450" s="21">
        <v>1.0448229025179999E-3</v>
      </c>
    </row>
    <row r="451" spans="2:5" ht="14.5" customHeight="1">
      <c r="B451" s="111"/>
      <c r="C451" s="23" t="s">
        <v>212</v>
      </c>
      <c r="D451" s="87">
        <v>5</v>
      </c>
      <c r="E451" s="21">
        <v>5.2241145125899997E-4</v>
      </c>
    </row>
    <row r="452" spans="2:5" ht="14.5" customHeight="1">
      <c r="B452" s="111"/>
      <c r="C452" s="23" t="s">
        <v>213</v>
      </c>
      <c r="D452" s="87">
        <v>2</v>
      </c>
      <c r="E452" s="21">
        <v>2.08964580504E-4</v>
      </c>
    </row>
    <row r="453" spans="2:5" ht="14.5" customHeight="1">
      <c r="B453" s="112"/>
      <c r="C453" s="88" t="s">
        <v>29</v>
      </c>
      <c r="D453" s="89">
        <v>29</v>
      </c>
      <c r="E453" s="90">
        <v>3.029986417302E-3</v>
      </c>
    </row>
    <row r="454" spans="2:5" ht="14.5" customHeight="1">
      <c r="B454" s="110" t="s">
        <v>79</v>
      </c>
      <c r="C454" s="23" t="s">
        <v>202</v>
      </c>
      <c r="D454" s="87">
        <v>5</v>
      </c>
      <c r="E454" s="21">
        <v>5.2241145125899997E-4</v>
      </c>
    </row>
    <row r="455" spans="2:5" ht="14.5" customHeight="1">
      <c r="B455" s="111"/>
      <c r="C455" s="23" t="s">
        <v>204</v>
      </c>
      <c r="D455" s="87">
        <v>7</v>
      </c>
      <c r="E455" s="21">
        <v>7.3137603176300005E-4</v>
      </c>
    </row>
    <row r="456" spans="2:5" ht="14.5" customHeight="1">
      <c r="B456" s="111"/>
      <c r="C456" s="23" t="s">
        <v>214</v>
      </c>
      <c r="D456" s="87">
        <v>3</v>
      </c>
      <c r="E456" s="21">
        <v>3.13446870755E-4</v>
      </c>
    </row>
    <row r="457" spans="2:5" ht="14.5" customHeight="1">
      <c r="B457" s="111"/>
      <c r="C457" s="23" t="s">
        <v>205</v>
      </c>
      <c r="D457" s="87">
        <v>1</v>
      </c>
      <c r="E457" s="21">
        <v>1.04482290252E-4</v>
      </c>
    </row>
    <row r="458" spans="2:5" ht="14.5" customHeight="1">
      <c r="B458" s="111"/>
      <c r="C458" s="23" t="s">
        <v>215</v>
      </c>
      <c r="D458" s="87">
        <v>3</v>
      </c>
      <c r="E458" s="21">
        <v>3.13446870755E-4</v>
      </c>
    </row>
    <row r="459" spans="2:5" ht="14.5" customHeight="1">
      <c r="B459" s="111"/>
      <c r="C459" s="23" t="s">
        <v>207</v>
      </c>
      <c r="D459" s="87">
        <v>4</v>
      </c>
      <c r="E459" s="21">
        <v>4.1792916100699999E-4</v>
      </c>
    </row>
    <row r="460" spans="2:5" ht="14.5" customHeight="1">
      <c r="B460" s="111"/>
      <c r="C460" s="23" t="s">
        <v>216</v>
      </c>
      <c r="D460" s="87">
        <v>5</v>
      </c>
      <c r="E460" s="21">
        <v>5.2241145125899997E-4</v>
      </c>
    </row>
    <row r="461" spans="2:5" ht="14.5" customHeight="1">
      <c r="B461" s="111"/>
      <c r="C461" s="23" t="s">
        <v>217</v>
      </c>
      <c r="D461" s="87">
        <v>2</v>
      </c>
      <c r="E461" s="21">
        <v>2.08964580504E-4</v>
      </c>
    </row>
    <row r="462" spans="2:5" ht="14.5" customHeight="1">
      <c r="B462" s="111"/>
      <c r="C462" s="23" t="s">
        <v>218</v>
      </c>
      <c r="D462" s="87">
        <v>1</v>
      </c>
      <c r="E462" s="21">
        <v>1.04482290252E-4</v>
      </c>
    </row>
    <row r="463" spans="2:5" ht="14.5" customHeight="1">
      <c r="B463" s="111"/>
      <c r="C463" s="23" t="s">
        <v>208</v>
      </c>
      <c r="D463" s="87">
        <v>7</v>
      </c>
      <c r="E463" s="21">
        <v>7.3137603176300005E-4</v>
      </c>
    </row>
    <row r="464" spans="2:5" ht="14.5" customHeight="1">
      <c r="B464" s="111"/>
      <c r="C464" s="23" t="s">
        <v>209</v>
      </c>
      <c r="D464" s="87">
        <v>26</v>
      </c>
      <c r="E464" s="21">
        <v>2.716539546547E-3</v>
      </c>
    </row>
    <row r="465" spans="2:5" ht="14.5" customHeight="1">
      <c r="B465" s="111"/>
      <c r="C465" s="23" t="s">
        <v>210</v>
      </c>
      <c r="D465" s="87">
        <v>2</v>
      </c>
      <c r="E465" s="21">
        <v>2.08964580504E-4</v>
      </c>
    </row>
    <row r="466" spans="2:5" ht="14.5" customHeight="1">
      <c r="B466" s="111"/>
      <c r="C466" s="23" t="s">
        <v>211</v>
      </c>
      <c r="D466" s="87">
        <v>9</v>
      </c>
      <c r="E466" s="21">
        <v>9.4034061226599996E-4</v>
      </c>
    </row>
    <row r="467" spans="2:5" ht="14.5" customHeight="1">
      <c r="B467" s="111"/>
      <c r="C467" s="23" t="s">
        <v>212</v>
      </c>
      <c r="D467" s="87">
        <v>6</v>
      </c>
      <c r="E467" s="21">
        <v>6.2689374151099996E-4</v>
      </c>
    </row>
    <row r="468" spans="2:5" ht="14.5" customHeight="1">
      <c r="B468" s="112"/>
      <c r="C468" s="88" t="s">
        <v>29</v>
      </c>
      <c r="D468" s="89">
        <v>81</v>
      </c>
      <c r="E468" s="90">
        <v>8.4630655103960003E-3</v>
      </c>
    </row>
    <row r="469" spans="2:5" ht="14.5" customHeight="1">
      <c r="B469" s="110" t="s">
        <v>87</v>
      </c>
      <c r="C469" s="23" t="s">
        <v>202</v>
      </c>
      <c r="D469" s="87">
        <v>2</v>
      </c>
      <c r="E469" s="21">
        <v>2.08964580504E-4</v>
      </c>
    </row>
    <row r="470" spans="2:5" ht="14.5" customHeight="1">
      <c r="B470" s="111"/>
      <c r="C470" s="23" t="s">
        <v>204</v>
      </c>
      <c r="D470" s="87">
        <v>12</v>
      </c>
      <c r="E470" s="21">
        <v>1.2537874830219999E-3</v>
      </c>
    </row>
    <row r="471" spans="2:5" ht="14.5" customHeight="1">
      <c r="B471" s="111"/>
      <c r="C471" s="23" t="s">
        <v>214</v>
      </c>
      <c r="D471" s="87">
        <v>3</v>
      </c>
      <c r="E471" s="21">
        <v>3.13446870755E-4</v>
      </c>
    </row>
    <row r="472" spans="2:5" ht="14.5" customHeight="1">
      <c r="B472" s="111"/>
      <c r="C472" s="23" t="s">
        <v>205</v>
      </c>
      <c r="D472" s="87">
        <v>1</v>
      </c>
      <c r="E472" s="21">
        <v>1.04482290252E-4</v>
      </c>
    </row>
    <row r="473" spans="2:5" ht="14.5" customHeight="1">
      <c r="B473" s="111"/>
      <c r="C473" s="23" t="s">
        <v>219</v>
      </c>
      <c r="D473" s="87">
        <v>6</v>
      </c>
      <c r="E473" s="21">
        <v>6.2689374151099996E-4</v>
      </c>
    </row>
    <row r="474" spans="2:5" ht="14.5" customHeight="1">
      <c r="B474" s="111"/>
      <c r="C474" s="23" t="s">
        <v>217</v>
      </c>
      <c r="D474" s="87">
        <v>1</v>
      </c>
      <c r="E474" s="21">
        <v>1.04482290252E-4</v>
      </c>
    </row>
    <row r="475" spans="2:5" ht="14.5" customHeight="1">
      <c r="B475" s="111"/>
      <c r="C475" s="23" t="s">
        <v>218</v>
      </c>
      <c r="D475" s="87">
        <v>1</v>
      </c>
      <c r="E475" s="21">
        <v>1.04482290252E-4</v>
      </c>
    </row>
    <row r="476" spans="2:5" ht="14.5" customHeight="1">
      <c r="B476" s="111"/>
      <c r="C476" s="23" t="s">
        <v>209</v>
      </c>
      <c r="D476" s="87">
        <v>8</v>
      </c>
      <c r="E476" s="21">
        <v>8.3585832201399997E-4</v>
      </c>
    </row>
    <row r="477" spans="2:5" ht="14.5" customHeight="1">
      <c r="B477" s="111"/>
      <c r="C477" s="23" t="s">
        <v>210</v>
      </c>
      <c r="D477" s="87">
        <v>1</v>
      </c>
      <c r="E477" s="21">
        <v>1.04482290252E-4</v>
      </c>
    </row>
    <row r="478" spans="2:5" ht="14.5" customHeight="1">
      <c r="B478" s="111"/>
      <c r="C478" s="23" t="s">
        <v>211</v>
      </c>
      <c r="D478" s="87">
        <v>8</v>
      </c>
      <c r="E478" s="21">
        <v>8.3585832201399997E-4</v>
      </c>
    </row>
    <row r="479" spans="2:5" ht="14.5" customHeight="1">
      <c r="B479" s="111"/>
      <c r="C479" s="23" t="s">
        <v>212</v>
      </c>
      <c r="D479" s="87">
        <v>1</v>
      </c>
      <c r="E479" s="21">
        <v>1.04482290252E-4</v>
      </c>
    </row>
    <row r="480" spans="2:5" ht="14.5" customHeight="1">
      <c r="B480" s="111"/>
      <c r="C480" s="23" t="s">
        <v>213</v>
      </c>
      <c r="D480" s="87">
        <v>3</v>
      </c>
      <c r="E480" s="21">
        <v>3.13446870755E-4</v>
      </c>
    </row>
    <row r="481" spans="2:5" ht="14.5" customHeight="1">
      <c r="B481" s="112"/>
      <c r="C481" s="88" t="s">
        <v>29</v>
      </c>
      <c r="D481" s="89">
        <v>47</v>
      </c>
      <c r="E481" s="90">
        <v>4.9106676418349997E-3</v>
      </c>
    </row>
    <row r="482" spans="2:5" ht="14.5" customHeight="1">
      <c r="B482" s="110" t="s">
        <v>92</v>
      </c>
      <c r="C482" s="23" t="s">
        <v>202</v>
      </c>
      <c r="D482" s="87">
        <v>2</v>
      </c>
      <c r="E482" s="21">
        <v>2.08964580504E-4</v>
      </c>
    </row>
    <row r="483" spans="2:5" ht="14.5" customHeight="1">
      <c r="B483" s="111"/>
      <c r="C483" s="23" t="s">
        <v>203</v>
      </c>
      <c r="D483" s="87">
        <v>1</v>
      </c>
      <c r="E483" s="21">
        <v>1.04482290252E-4</v>
      </c>
    </row>
    <row r="484" spans="2:5" ht="14.5" customHeight="1">
      <c r="B484" s="111"/>
      <c r="C484" s="23" t="s">
        <v>204</v>
      </c>
      <c r="D484" s="87">
        <v>4</v>
      </c>
      <c r="E484" s="21">
        <v>4.1792916100699999E-4</v>
      </c>
    </row>
    <row r="485" spans="2:5" ht="14.5" customHeight="1">
      <c r="B485" s="111"/>
      <c r="C485" s="23" t="s">
        <v>205</v>
      </c>
      <c r="D485" s="87">
        <v>2</v>
      </c>
      <c r="E485" s="21">
        <v>2.08964580504E-4</v>
      </c>
    </row>
    <row r="486" spans="2:5" ht="14.5" customHeight="1">
      <c r="B486" s="111"/>
      <c r="C486" s="23" t="s">
        <v>216</v>
      </c>
      <c r="D486" s="87">
        <v>2</v>
      </c>
      <c r="E486" s="21">
        <v>2.08964580504E-4</v>
      </c>
    </row>
    <row r="487" spans="2:5" ht="14.5" customHeight="1">
      <c r="B487" s="111"/>
      <c r="C487" s="23" t="s">
        <v>208</v>
      </c>
      <c r="D487" s="87">
        <v>1</v>
      </c>
      <c r="E487" s="21">
        <v>1.04482290252E-4</v>
      </c>
    </row>
    <row r="488" spans="2:5" ht="14.5" customHeight="1">
      <c r="B488" s="111"/>
      <c r="C488" s="23" t="s">
        <v>209</v>
      </c>
      <c r="D488" s="87">
        <v>8</v>
      </c>
      <c r="E488" s="21">
        <v>8.3585832201399997E-4</v>
      </c>
    </row>
    <row r="489" spans="2:5" ht="14.5" customHeight="1">
      <c r="B489" s="111"/>
      <c r="C489" s="23" t="s">
        <v>210</v>
      </c>
      <c r="D489" s="87">
        <v>1</v>
      </c>
      <c r="E489" s="21">
        <v>1.04482290252E-4</v>
      </c>
    </row>
    <row r="490" spans="2:5" ht="14.5" customHeight="1">
      <c r="B490" s="111"/>
      <c r="C490" s="23" t="s">
        <v>211</v>
      </c>
      <c r="D490" s="87">
        <v>6</v>
      </c>
      <c r="E490" s="21">
        <v>6.2689374151099996E-4</v>
      </c>
    </row>
    <row r="491" spans="2:5" ht="14.5" customHeight="1">
      <c r="B491" s="111"/>
      <c r="C491" s="23" t="s">
        <v>213</v>
      </c>
      <c r="D491" s="87">
        <v>1</v>
      </c>
      <c r="E491" s="21">
        <v>1.04482290252E-4</v>
      </c>
    </row>
    <row r="492" spans="2:5" ht="14.5" customHeight="1">
      <c r="B492" s="112"/>
      <c r="C492" s="88" t="s">
        <v>29</v>
      </c>
      <c r="D492" s="89">
        <v>28</v>
      </c>
      <c r="E492" s="90">
        <v>2.9255041270500001E-3</v>
      </c>
    </row>
    <row r="493" spans="2:5" ht="14.5" customHeight="1">
      <c r="B493" s="110" t="s">
        <v>52</v>
      </c>
      <c r="C493" s="23" t="s">
        <v>202</v>
      </c>
      <c r="D493" s="87">
        <v>29</v>
      </c>
      <c r="E493" s="21">
        <v>3.029986417302E-3</v>
      </c>
    </row>
    <row r="494" spans="2:5" ht="14.5" customHeight="1">
      <c r="B494" s="111"/>
      <c r="C494" s="23" t="s">
        <v>203</v>
      </c>
      <c r="D494" s="87">
        <v>14</v>
      </c>
      <c r="E494" s="21">
        <v>1.462752063525E-3</v>
      </c>
    </row>
    <row r="495" spans="2:5" ht="14.5" customHeight="1">
      <c r="B495" s="111"/>
      <c r="C495" s="23" t="s">
        <v>204</v>
      </c>
      <c r="D495" s="87">
        <v>55</v>
      </c>
      <c r="E495" s="21">
        <v>5.7465259638490003E-3</v>
      </c>
    </row>
    <row r="496" spans="2:5" ht="14.5" customHeight="1">
      <c r="B496" s="111"/>
      <c r="C496" s="23" t="s">
        <v>214</v>
      </c>
      <c r="D496" s="87">
        <v>2</v>
      </c>
      <c r="E496" s="21">
        <v>2.08964580504E-4</v>
      </c>
    </row>
    <row r="497" spans="2:5" ht="14.5" customHeight="1">
      <c r="B497" s="111"/>
      <c r="C497" s="23" t="s">
        <v>205</v>
      </c>
      <c r="D497" s="87">
        <v>14</v>
      </c>
      <c r="E497" s="21">
        <v>1.462752063525E-3</v>
      </c>
    </row>
    <row r="498" spans="2:5" ht="14.5" customHeight="1">
      <c r="B498" s="111"/>
      <c r="C498" s="23" t="s">
        <v>215</v>
      </c>
      <c r="D498" s="87">
        <v>14</v>
      </c>
      <c r="E498" s="21">
        <v>1.462752063525E-3</v>
      </c>
    </row>
    <row r="499" spans="2:5" ht="14.5" customHeight="1">
      <c r="B499" s="111"/>
      <c r="C499" s="23" t="s">
        <v>219</v>
      </c>
      <c r="D499" s="87">
        <v>5</v>
      </c>
      <c r="E499" s="21">
        <v>5.2241145125899997E-4</v>
      </c>
    </row>
    <row r="500" spans="2:5" ht="14.5" customHeight="1">
      <c r="B500" s="111"/>
      <c r="C500" s="23" t="s">
        <v>206</v>
      </c>
      <c r="D500" s="87">
        <v>33</v>
      </c>
      <c r="E500" s="21">
        <v>3.4479155783089998E-3</v>
      </c>
    </row>
    <row r="501" spans="2:5" ht="14.5" customHeight="1">
      <c r="B501" s="111"/>
      <c r="C501" s="23" t="s">
        <v>207</v>
      </c>
      <c r="D501" s="87">
        <v>47</v>
      </c>
      <c r="E501" s="21">
        <v>4.9106676418349997E-3</v>
      </c>
    </row>
    <row r="502" spans="2:5" ht="14.5" customHeight="1">
      <c r="B502" s="111"/>
      <c r="C502" s="23" t="s">
        <v>216</v>
      </c>
      <c r="D502" s="87">
        <v>36</v>
      </c>
      <c r="E502" s="21">
        <v>3.7613624490649999E-3</v>
      </c>
    </row>
    <row r="503" spans="2:5" ht="14.5" customHeight="1">
      <c r="B503" s="111"/>
      <c r="C503" s="23" t="s">
        <v>217</v>
      </c>
      <c r="D503" s="87">
        <v>32</v>
      </c>
      <c r="E503" s="21">
        <v>3.343433288058E-3</v>
      </c>
    </row>
    <row r="504" spans="2:5" ht="14.5" customHeight="1">
      <c r="B504" s="111"/>
      <c r="C504" s="23" t="s">
        <v>218</v>
      </c>
      <c r="D504" s="87">
        <v>27</v>
      </c>
      <c r="E504" s="21">
        <v>2.8210218367989998E-3</v>
      </c>
    </row>
    <row r="505" spans="2:5" ht="14.5" customHeight="1">
      <c r="B505" s="111"/>
      <c r="C505" s="23" t="s">
        <v>208</v>
      </c>
      <c r="D505" s="87">
        <v>68</v>
      </c>
      <c r="E505" s="21">
        <v>7.1047957371230003E-3</v>
      </c>
    </row>
    <row r="506" spans="2:5" ht="14.5" customHeight="1">
      <c r="B506" s="111"/>
      <c r="C506" s="23" t="s">
        <v>209</v>
      </c>
      <c r="D506" s="87">
        <v>187</v>
      </c>
      <c r="E506" s="21">
        <v>1.9538188277087001E-2</v>
      </c>
    </row>
    <row r="507" spans="2:5" ht="14.5" customHeight="1">
      <c r="B507" s="111"/>
      <c r="C507" s="23" t="s">
        <v>210</v>
      </c>
      <c r="D507" s="87">
        <v>1</v>
      </c>
      <c r="E507" s="21">
        <v>1.04482290252E-4</v>
      </c>
    </row>
    <row r="508" spans="2:5" ht="14.5" customHeight="1">
      <c r="B508" s="111"/>
      <c r="C508" s="23" t="s">
        <v>211</v>
      </c>
      <c r="D508" s="87">
        <v>80</v>
      </c>
      <c r="E508" s="21">
        <v>8.3585832201439995E-3</v>
      </c>
    </row>
    <row r="509" spans="2:5" ht="14.5" customHeight="1">
      <c r="B509" s="111"/>
      <c r="C509" s="23" t="s">
        <v>212</v>
      </c>
      <c r="D509" s="87">
        <v>11</v>
      </c>
      <c r="E509" s="21">
        <v>1.14930519277E-3</v>
      </c>
    </row>
    <row r="510" spans="2:5" ht="14.5" customHeight="1">
      <c r="B510" s="111"/>
      <c r="C510" s="23" t="s">
        <v>213</v>
      </c>
      <c r="D510" s="87">
        <v>14</v>
      </c>
      <c r="E510" s="21">
        <v>1.462752063525E-3</v>
      </c>
    </row>
    <row r="511" spans="2:5" ht="14.5" customHeight="1">
      <c r="B511" s="112"/>
      <c r="C511" s="88" t="s">
        <v>29</v>
      </c>
      <c r="D511" s="89">
        <v>669</v>
      </c>
      <c r="E511" s="90">
        <v>6.9898652178456006E-2</v>
      </c>
    </row>
    <row r="512" spans="2:5" ht="14.5" customHeight="1">
      <c r="B512" s="110" t="s">
        <v>72</v>
      </c>
      <c r="C512" s="23" t="s">
        <v>202</v>
      </c>
      <c r="D512" s="87">
        <v>22</v>
      </c>
      <c r="E512" s="21">
        <v>2.2986103855400001E-3</v>
      </c>
    </row>
    <row r="513" spans="2:5" ht="14.5" customHeight="1">
      <c r="B513" s="111"/>
      <c r="C513" s="23" t="s">
        <v>203</v>
      </c>
      <c r="D513" s="87">
        <v>1</v>
      </c>
      <c r="E513" s="21">
        <v>1.04482290252E-4</v>
      </c>
    </row>
    <row r="514" spans="2:5" ht="14.5" customHeight="1">
      <c r="B514" s="111"/>
      <c r="C514" s="23" t="s">
        <v>204</v>
      </c>
      <c r="D514" s="87">
        <v>5</v>
      </c>
      <c r="E514" s="21">
        <v>5.2241145125899997E-4</v>
      </c>
    </row>
    <row r="515" spans="2:5" ht="14.5" customHeight="1">
      <c r="B515" s="111"/>
      <c r="C515" s="23" t="s">
        <v>214</v>
      </c>
      <c r="D515" s="87">
        <v>2</v>
      </c>
      <c r="E515" s="21">
        <v>2.08964580504E-4</v>
      </c>
    </row>
    <row r="516" spans="2:5" ht="14.5" customHeight="1">
      <c r="B516" s="111"/>
      <c r="C516" s="23" t="s">
        <v>215</v>
      </c>
      <c r="D516" s="87">
        <v>8</v>
      </c>
      <c r="E516" s="21">
        <v>8.3585832201399997E-4</v>
      </c>
    </row>
    <row r="517" spans="2:5" ht="14.5" customHeight="1">
      <c r="B517" s="111"/>
      <c r="C517" s="23" t="s">
        <v>219</v>
      </c>
      <c r="D517" s="87">
        <v>2</v>
      </c>
      <c r="E517" s="21">
        <v>2.08964580504E-4</v>
      </c>
    </row>
    <row r="518" spans="2:5" ht="14.5" customHeight="1">
      <c r="B518" s="111"/>
      <c r="C518" s="23" t="s">
        <v>217</v>
      </c>
      <c r="D518" s="87">
        <v>2</v>
      </c>
      <c r="E518" s="21">
        <v>2.08964580504E-4</v>
      </c>
    </row>
    <row r="519" spans="2:5" ht="14.5" customHeight="1">
      <c r="B519" s="111"/>
      <c r="C519" s="23" t="s">
        <v>218</v>
      </c>
      <c r="D519" s="87">
        <v>2</v>
      </c>
      <c r="E519" s="21">
        <v>2.08964580504E-4</v>
      </c>
    </row>
    <row r="520" spans="2:5" ht="14.5" customHeight="1">
      <c r="B520" s="111"/>
      <c r="C520" s="23" t="s">
        <v>208</v>
      </c>
      <c r="D520" s="87">
        <v>1</v>
      </c>
      <c r="E520" s="21">
        <v>1.04482290252E-4</v>
      </c>
    </row>
    <row r="521" spans="2:5" ht="14.5" customHeight="1">
      <c r="B521" s="111"/>
      <c r="C521" s="23" t="s">
        <v>209</v>
      </c>
      <c r="D521" s="87">
        <v>31</v>
      </c>
      <c r="E521" s="21">
        <v>3.2389509978060001E-3</v>
      </c>
    </row>
    <row r="522" spans="2:5" ht="14.5" customHeight="1">
      <c r="B522" s="111"/>
      <c r="C522" s="23" t="s">
        <v>211</v>
      </c>
      <c r="D522" s="87">
        <v>18</v>
      </c>
      <c r="E522" s="21">
        <v>1.8806812245319999E-3</v>
      </c>
    </row>
    <row r="523" spans="2:5" ht="14.5" customHeight="1">
      <c r="B523" s="111"/>
      <c r="C523" s="23" t="s">
        <v>212</v>
      </c>
      <c r="D523" s="87">
        <v>4</v>
      </c>
      <c r="E523" s="21">
        <v>4.1792916100699999E-4</v>
      </c>
    </row>
    <row r="524" spans="2:5" ht="14.5" customHeight="1">
      <c r="B524" s="111"/>
      <c r="C524" s="23" t="s">
        <v>213</v>
      </c>
      <c r="D524" s="87">
        <v>1</v>
      </c>
      <c r="E524" s="21">
        <v>1.04482290252E-4</v>
      </c>
    </row>
    <row r="525" spans="2:5" ht="14.5" customHeight="1">
      <c r="B525" s="112"/>
      <c r="C525" s="88" t="s">
        <v>29</v>
      </c>
      <c r="D525" s="89">
        <v>99</v>
      </c>
      <c r="E525" s="90">
        <v>1.0343746734928E-2</v>
      </c>
    </row>
    <row r="526" spans="2:5" ht="14.5" customHeight="1">
      <c r="B526" s="110" t="s">
        <v>76</v>
      </c>
      <c r="C526" s="23" t="s">
        <v>202</v>
      </c>
      <c r="D526" s="87">
        <v>7</v>
      </c>
      <c r="E526" s="21">
        <v>7.3137603176300005E-4</v>
      </c>
    </row>
    <row r="527" spans="2:5" ht="14.5" customHeight="1">
      <c r="B527" s="111"/>
      <c r="C527" s="23" t="s">
        <v>203</v>
      </c>
      <c r="D527" s="87">
        <v>1</v>
      </c>
      <c r="E527" s="21">
        <v>1.04482290252E-4</v>
      </c>
    </row>
    <row r="528" spans="2:5" ht="14.5" customHeight="1">
      <c r="B528" s="111"/>
      <c r="C528" s="23" t="s">
        <v>204</v>
      </c>
      <c r="D528" s="87">
        <v>5</v>
      </c>
      <c r="E528" s="21">
        <v>5.2241145125899997E-4</v>
      </c>
    </row>
    <row r="529" spans="2:5" ht="14.5" customHeight="1">
      <c r="B529" s="111"/>
      <c r="C529" s="23" t="s">
        <v>214</v>
      </c>
      <c r="D529" s="87">
        <v>3</v>
      </c>
      <c r="E529" s="21">
        <v>3.13446870755E-4</v>
      </c>
    </row>
    <row r="530" spans="2:5" ht="14.5" customHeight="1">
      <c r="B530" s="111"/>
      <c r="C530" s="23" t="s">
        <v>215</v>
      </c>
      <c r="D530" s="87">
        <v>2</v>
      </c>
      <c r="E530" s="21">
        <v>2.08964580504E-4</v>
      </c>
    </row>
    <row r="531" spans="2:5" ht="14.5" customHeight="1">
      <c r="B531" s="111"/>
      <c r="C531" s="23" t="s">
        <v>206</v>
      </c>
      <c r="D531" s="87">
        <v>2</v>
      </c>
      <c r="E531" s="21">
        <v>2.08964580504E-4</v>
      </c>
    </row>
    <row r="532" spans="2:5" ht="14.5" customHeight="1">
      <c r="B532" s="111"/>
      <c r="C532" s="23" t="s">
        <v>207</v>
      </c>
      <c r="D532" s="87">
        <v>1</v>
      </c>
      <c r="E532" s="21">
        <v>1.04482290252E-4</v>
      </c>
    </row>
    <row r="533" spans="2:5" ht="14.5" customHeight="1">
      <c r="B533" s="111"/>
      <c r="C533" s="23" t="s">
        <v>216</v>
      </c>
      <c r="D533" s="87">
        <v>3</v>
      </c>
      <c r="E533" s="21">
        <v>3.13446870755E-4</v>
      </c>
    </row>
    <row r="534" spans="2:5" ht="14.5" customHeight="1">
      <c r="B534" s="111"/>
      <c r="C534" s="23" t="s">
        <v>217</v>
      </c>
      <c r="D534" s="87">
        <v>2</v>
      </c>
      <c r="E534" s="21">
        <v>2.08964580504E-4</v>
      </c>
    </row>
    <row r="535" spans="2:5" ht="14.5" customHeight="1">
      <c r="B535" s="111"/>
      <c r="C535" s="23" t="s">
        <v>218</v>
      </c>
      <c r="D535" s="87">
        <v>1</v>
      </c>
      <c r="E535" s="21">
        <v>1.04482290252E-4</v>
      </c>
    </row>
    <row r="536" spans="2:5" ht="14.5" customHeight="1">
      <c r="B536" s="111"/>
      <c r="C536" s="23" t="s">
        <v>209</v>
      </c>
      <c r="D536" s="87">
        <v>35</v>
      </c>
      <c r="E536" s="21">
        <v>3.656880158813E-3</v>
      </c>
    </row>
    <row r="537" spans="2:5" ht="14.5" customHeight="1">
      <c r="B537" s="111"/>
      <c r="C537" s="23" t="s">
        <v>210</v>
      </c>
      <c r="D537" s="87">
        <v>3</v>
      </c>
      <c r="E537" s="21">
        <v>3.13446870755E-4</v>
      </c>
    </row>
    <row r="538" spans="2:5" ht="14.5" customHeight="1">
      <c r="B538" s="111"/>
      <c r="C538" s="23" t="s">
        <v>211</v>
      </c>
      <c r="D538" s="87">
        <v>20</v>
      </c>
      <c r="E538" s="21">
        <v>2.0896458050359999E-3</v>
      </c>
    </row>
    <row r="539" spans="2:5" ht="14.5" customHeight="1">
      <c r="B539" s="111"/>
      <c r="C539" s="23" t="s">
        <v>212</v>
      </c>
      <c r="D539" s="87">
        <v>2</v>
      </c>
      <c r="E539" s="21">
        <v>2.08964580504E-4</v>
      </c>
    </row>
    <row r="540" spans="2:5" ht="14.5" customHeight="1">
      <c r="B540" s="111"/>
      <c r="C540" s="23" t="s">
        <v>213</v>
      </c>
      <c r="D540" s="87">
        <v>3</v>
      </c>
      <c r="E540" s="21">
        <v>3.13446870755E-4</v>
      </c>
    </row>
    <row r="541" spans="2:5" ht="14.5" customHeight="1">
      <c r="B541" s="112"/>
      <c r="C541" s="88" t="s">
        <v>29</v>
      </c>
      <c r="D541" s="89">
        <v>90</v>
      </c>
      <c r="E541" s="90">
        <v>9.4034061226619999E-3</v>
      </c>
    </row>
    <row r="542" spans="2:5" ht="14.5" customHeight="1">
      <c r="B542" s="110" t="s">
        <v>88</v>
      </c>
      <c r="C542" s="23" t="s">
        <v>202</v>
      </c>
      <c r="D542" s="87">
        <v>17</v>
      </c>
      <c r="E542" s="21">
        <v>1.7761989342810001E-3</v>
      </c>
    </row>
    <row r="543" spans="2:5" ht="14.5" customHeight="1">
      <c r="B543" s="111"/>
      <c r="C543" s="23" t="s">
        <v>204</v>
      </c>
      <c r="D543" s="87">
        <v>2</v>
      </c>
      <c r="E543" s="21">
        <v>2.08964580504E-4</v>
      </c>
    </row>
    <row r="544" spans="2:5" ht="14.5" customHeight="1">
      <c r="B544" s="111"/>
      <c r="C544" s="23" t="s">
        <v>205</v>
      </c>
      <c r="D544" s="87">
        <v>1</v>
      </c>
      <c r="E544" s="21">
        <v>1.04482290252E-4</v>
      </c>
    </row>
    <row r="545" spans="2:5" ht="14.5" customHeight="1">
      <c r="B545" s="111"/>
      <c r="C545" s="23" t="s">
        <v>209</v>
      </c>
      <c r="D545" s="87">
        <v>8</v>
      </c>
      <c r="E545" s="21">
        <v>8.3585832201399997E-4</v>
      </c>
    </row>
    <row r="546" spans="2:5" ht="14.5" customHeight="1">
      <c r="B546" s="111"/>
      <c r="C546" s="23" t="s">
        <v>211</v>
      </c>
      <c r="D546" s="87">
        <v>11</v>
      </c>
      <c r="E546" s="21">
        <v>1.14930519277E-3</v>
      </c>
    </row>
    <row r="547" spans="2:5" ht="14.5" customHeight="1">
      <c r="B547" s="111"/>
      <c r="C547" s="23" t="s">
        <v>212</v>
      </c>
      <c r="D547" s="87">
        <v>4</v>
      </c>
      <c r="E547" s="21">
        <v>4.1792916100699999E-4</v>
      </c>
    </row>
    <row r="548" spans="2:5" ht="14.5" customHeight="1">
      <c r="B548" s="112"/>
      <c r="C548" s="88" t="s">
        <v>29</v>
      </c>
      <c r="D548" s="89">
        <v>43</v>
      </c>
      <c r="E548" s="90">
        <v>4.4927384808280003E-3</v>
      </c>
    </row>
    <row r="549" spans="2:5" ht="14.5" customHeight="1">
      <c r="B549" s="110" t="s">
        <v>64</v>
      </c>
      <c r="C549" s="23" t="s">
        <v>202</v>
      </c>
      <c r="D549" s="87">
        <v>4</v>
      </c>
      <c r="E549" s="21">
        <v>4.1792916100699999E-4</v>
      </c>
    </row>
    <row r="550" spans="2:5" ht="14.5" customHeight="1">
      <c r="B550" s="111"/>
      <c r="C550" s="23" t="s">
        <v>203</v>
      </c>
      <c r="D550" s="87">
        <v>12</v>
      </c>
      <c r="E550" s="21">
        <v>1.2537874830219999E-3</v>
      </c>
    </row>
    <row r="551" spans="2:5" ht="14.5" customHeight="1">
      <c r="B551" s="111"/>
      <c r="C551" s="23" t="s">
        <v>204</v>
      </c>
      <c r="D551" s="87">
        <v>6</v>
      </c>
      <c r="E551" s="21">
        <v>6.2689374151099996E-4</v>
      </c>
    </row>
    <row r="552" spans="2:5" ht="14.5" customHeight="1">
      <c r="B552" s="111"/>
      <c r="C552" s="23" t="s">
        <v>205</v>
      </c>
      <c r="D552" s="87">
        <v>5</v>
      </c>
      <c r="E552" s="21">
        <v>5.2241145125899997E-4</v>
      </c>
    </row>
    <row r="553" spans="2:5" ht="14.5" customHeight="1">
      <c r="B553" s="111"/>
      <c r="C553" s="23" t="s">
        <v>215</v>
      </c>
      <c r="D553" s="87">
        <v>4</v>
      </c>
      <c r="E553" s="21">
        <v>4.1792916100699999E-4</v>
      </c>
    </row>
    <row r="554" spans="2:5" ht="14.5" customHeight="1">
      <c r="B554" s="111"/>
      <c r="C554" s="23" t="s">
        <v>219</v>
      </c>
      <c r="D554" s="87">
        <v>1</v>
      </c>
      <c r="E554" s="21">
        <v>1.04482290252E-4</v>
      </c>
    </row>
    <row r="555" spans="2:5" ht="14.5" customHeight="1">
      <c r="B555" s="111"/>
      <c r="C555" s="23" t="s">
        <v>206</v>
      </c>
      <c r="D555" s="87">
        <v>10</v>
      </c>
      <c r="E555" s="21">
        <v>1.0448229025179999E-3</v>
      </c>
    </row>
    <row r="556" spans="2:5" ht="14.5" customHeight="1">
      <c r="B556" s="111"/>
      <c r="C556" s="23" t="s">
        <v>207</v>
      </c>
      <c r="D556" s="87">
        <v>21</v>
      </c>
      <c r="E556" s="21">
        <v>2.1941280952880002E-3</v>
      </c>
    </row>
    <row r="557" spans="2:5" ht="14.5" customHeight="1">
      <c r="B557" s="111"/>
      <c r="C557" s="23" t="s">
        <v>216</v>
      </c>
      <c r="D557" s="87">
        <v>6</v>
      </c>
      <c r="E557" s="21">
        <v>6.2689374151099996E-4</v>
      </c>
    </row>
    <row r="558" spans="2:5" ht="14.5" customHeight="1">
      <c r="B558" s="111"/>
      <c r="C558" s="23" t="s">
        <v>217</v>
      </c>
      <c r="D558" s="87">
        <v>8</v>
      </c>
      <c r="E558" s="21">
        <v>8.3585832201399997E-4</v>
      </c>
    </row>
    <row r="559" spans="2:5" ht="14.5" customHeight="1">
      <c r="B559" s="111"/>
      <c r="C559" s="23" t="s">
        <v>218</v>
      </c>
      <c r="D559" s="87">
        <v>4</v>
      </c>
      <c r="E559" s="21">
        <v>4.1792916100699999E-4</v>
      </c>
    </row>
    <row r="560" spans="2:5" ht="14.5" customHeight="1">
      <c r="B560" s="111"/>
      <c r="C560" s="23" t="s">
        <v>208</v>
      </c>
      <c r="D560" s="87">
        <v>6</v>
      </c>
      <c r="E560" s="21">
        <v>6.2689374151099996E-4</v>
      </c>
    </row>
    <row r="561" spans="2:5" ht="14.5" customHeight="1">
      <c r="B561" s="111"/>
      <c r="C561" s="23" t="s">
        <v>209</v>
      </c>
      <c r="D561" s="87">
        <v>96</v>
      </c>
      <c r="E561" s="21">
        <v>1.0030299864173E-2</v>
      </c>
    </row>
    <row r="562" spans="2:5" ht="14.5" customHeight="1">
      <c r="B562" s="111"/>
      <c r="C562" s="23" t="s">
        <v>210</v>
      </c>
      <c r="D562" s="87">
        <v>3</v>
      </c>
      <c r="E562" s="21">
        <v>3.13446870755E-4</v>
      </c>
    </row>
    <row r="563" spans="2:5" ht="14.5" customHeight="1">
      <c r="B563" s="111"/>
      <c r="C563" s="23" t="s">
        <v>211</v>
      </c>
      <c r="D563" s="87">
        <v>6</v>
      </c>
      <c r="E563" s="21">
        <v>6.2689374151099996E-4</v>
      </c>
    </row>
    <row r="564" spans="2:5" ht="14.5" customHeight="1">
      <c r="B564" s="111"/>
      <c r="C564" s="23" t="s">
        <v>212</v>
      </c>
      <c r="D564" s="87">
        <v>1</v>
      </c>
      <c r="E564" s="21">
        <v>1.04482290252E-4</v>
      </c>
    </row>
    <row r="565" spans="2:5" ht="14.5" customHeight="1">
      <c r="B565" s="112"/>
      <c r="C565" s="88" t="s">
        <v>29</v>
      </c>
      <c r="D565" s="89">
        <v>193</v>
      </c>
      <c r="E565" s="90">
        <v>2.0165082018597999E-2</v>
      </c>
    </row>
    <row r="566" spans="2:5" ht="14.5" customHeight="1">
      <c r="B566" s="110" t="s">
        <v>62</v>
      </c>
      <c r="C566" s="23" t="s">
        <v>202</v>
      </c>
      <c r="D566" s="87">
        <v>38</v>
      </c>
      <c r="E566" s="21">
        <v>3.970327029568E-3</v>
      </c>
    </row>
    <row r="567" spans="2:5" ht="14.5" customHeight="1">
      <c r="B567" s="111"/>
      <c r="C567" s="23" t="s">
        <v>204</v>
      </c>
      <c r="D567" s="87">
        <v>7</v>
      </c>
      <c r="E567" s="21">
        <v>7.3137603176300005E-4</v>
      </c>
    </row>
    <row r="568" spans="2:5" ht="14.5" customHeight="1">
      <c r="B568" s="111"/>
      <c r="C568" s="23" t="s">
        <v>214</v>
      </c>
      <c r="D568" s="87">
        <v>2</v>
      </c>
      <c r="E568" s="21">
        <v>2.08964580504E-4</v>
      </c>
    </row>
    <row r="569" spans="2:5" ht="14.5" customHeight="1">
      <c r="B569" s="111"/>
      <c r="C569" s="23" t="s">
        <v>205</v>
      </c>
      <c r="D569" s="87">
        <v>2</v>
      </c>
      <c r="E569" s="21">
        <v>2.08964580504E-4</v>
      </c>
    </row>
    <row r="570" spans="2:5" ht="14.5" customHeight="1">
      <c r="B570" s="111"/>
      <c r="C570" s="23" t="s">
        <v>215</v>
      </c>
      <c r="D570" s="87">
        <v>1</v>
      </c>
      <c r="E570" s="21">
        <v>1.04482290252E-4</v>
      </c>
    </row>
    <row r="571" spans="2:5" ht="14.5" customHeight="1">
      <c r="B571" s="111"/>
      <c r="C571" s="23" t="s">
        <v>219</v>
      </c>
      <c r="D571" s="87">
        <v>10</v>
      </c>
      <c r="E571" s="21">
        <v>1.0448229025179999E-3</v>
      </c>
    </row>
    <row r="572" spans="2:5" ht="14.5" customHeight="1">
      <c r="B572" s="111"/>
      <c r="C572" s="23" t="s">
        <v>206</v>
      </c>
      <c r="D572" s="87">
        <v>2</v>
      </c>
      <c r="E572" s="21">
        <v>2.08964580504E-4</v>
      </c>
    </row>
    <row r="573" spans="2:5" ht="14.5" customHeight="1">
      <c r="B573" s="111"/>
      <c r="C573" s="23" t="s">
        <v>207</v>
      </c>
      <c r="D573" s="87">
        <v>1</v>
      </c>
      <c r="E573" s="21">
        <v>1.04482290252E-4</v>
      </c>
    </row>
    <row r="574" spans="2:5" ht="14.5" customHeight="1">
      <c r="B574" s="111"/>
      <c r="C574" s="23" t="s">
        <v>216</v>
      </c>
      <c r="D574" s="87">
        <v>2</v>
      </c>
      <c r="E574" s="21">
        <v>2.08964580504E-4</v>
      </c>
    </row>
    <row r="575" spans="2:5" ht="14.5" customHeight="1">
      <c r="B575" s="111"/>
      <c r="C575" s="23" t="s">
        <v>220</v>
      </c>
      <c r="D575" s="87">
        <v>1</v>
      </c>
      <c r="E575" s="21">
        <v>1.04482290252E-4</v>
      </c>
    </row>
    <row r="576" spans="2:5" ht="14.5" customHeight="1">
      <c r="B576" s="111"/>
      <c r="C576" s="23" t="s">
        <v>217</v>
      </c>
      <c r="D576" s="87">
        <v>1</v>
      </c>
      <c r="E576" s="21">
        <v>1.04482290252E-4</v>
      </c>
    </row>
    <row r="577" spans="2:5" ht="14.5" customHeight="1">
      <c r="B577" s="111"/>
      <c r="C577" s="23" t="s">
        <v>218</v>
      </c>
      <c r="D577" s="87">
        <v>3</v>
      </c>
      <c r="E577" s="21">
        <v>3.13446870755E-4</v>
      </c>
    </row>
    <row r="578" spans="2:5" ht="14.5" customHeight="1">
      <c r="B578" s="111"/>
      <c r="C578" s="23" t="s">
        <v>208</v>
      </c>
      <c r="D578" s="87">
        <v>2</v>
      </c>
      <c r="E578" s="21">
        <v>2.08964580504E-4</v>
      </c>
    </row>
    <row r="579" spans="2:5" ht="14.5" customHeight="1">
      <c r="B579" s="111"/>
      <c r="C579" s="23" t="s">
        <v>209</v>
      </c>
      <c r="D579" s="87">
        <v>37</v>
      </c>
      <c r="E579" s="21">
        <v>3.8658447393170002E-3</v>
      </c>
    </row>
    <row r="580" spans="2:5" ht="14.5" customHeight="1">
      <c r="B580" s="111"/>
      <c r="C580" s="23" t="s">
        <v>210</v>
      </c>
      <c r="D580" s="87">
        <v>2</v>
      </c>
      <c r="E580" s="21">
        <v>2.08964580504E-4</v>
      </c>
    </row>
    <row r="581" spans="2:5" ht="14.5" customHeight="1">
      <c r="B581" s="111"/>
      <c r="C581" s="23" t="s">
        <v>211</v>
      </c>
      <c r="D581" s="87">
        <v>115</v>
      </c>
      <c r="E581" s="21">
        <v>1.2015463378957E-2</v>
      </c>
    </row>
    <row r="582" spans="2:5" ht="14.5" customHeight="1">
      <c r="B582" s="111"/>
      <c r="C582" s="23" t="s">
        <v>212</v>
      </c>
      <c r="D582" s="87">
        <v>5</v>
      </c>
      <c r="E582" s="21">
        <v>5.2241145125899997E-4</v>
      </c>
    </row>
    <row r="583" spans="2:5" ht="14.5" customHeight="1">
      <c r="B583" s="111"/>
      <c r="C583" s="23" t="s">
        <v>213</v>
      </c>
      <c r="D583" s="87">
        <v>6</v>
      </c>
      <c r="E583" s="21">
        <v>6.2689374151099996E-4</v>
      </c>
    </row>
    <row r="584" spans="2:5" ht="14.5" customHeight="1">
      <c r="B584" s="112"/>
      <c r="C584" s="88" t="s">
        <v>29</v>
      </c>
      <c r="D584" s="89">
        <v>237</v>
      </c>
      <c r="E584" s="90">
        <v>2.4762302789677001E-2</v>
      </c>
    </row>
    <row r="585" spans="2:5" ht="14.5" customHeight="1">
      <c r="B585" s="110" t="s">
        <v>61</v>
      </c>
      <c r="C585" s="23" t="s">
        <v>202</v>
      </c>
      <c r="D585" s="87">
        <v>29</v>
      </c>
      <c r="E585" s="21">
        <v>3.029986417302E-3</v>
      </c>
    </row>
    <row r="586" spans="2:5" ht="14.5" customHeight="1">
      <c r="B586" s="111"/>
      <c r="C586" s="23" t="s">
        <v>203</v>
      </c>
      <c r="D586" s="87">
        <v>8</v>
      </c>
      <c r="E586" s="21">
        <v>8.3585832201399997E-4</v>
      </c>
    </row>
    <row r="587" spans="2:5" ht="14.5" customHeight="1">
      <c r="B587" s="111"/>
      <c r="C587" s="23" t="s">
        <v>204</v>
      </c>
      <c r="D587" s="87">
        <v>39</v>
      </c>
      <c r="E587" s="21">
        <v>4.0748093198199999E-3</v>
      </c>
    </row>
    <row r="588" spans="2:5" ht="14.5" customHeight="1">
      <c r="B588" s="111"/>
      <c r="C588" s="23" t="s">
        <v>214</v>
      </c>
      <c r="D588" s="87">
        <v>6</v>
      </c>
      <c r="E588" s="21">
        <v>6.2689374151099996E-4</v>
      </c>
    </row>
    <row r="589" spans="2:5" ht="14.5" customHeight="1">
      <c r="B589" s="111"/>
      <c r="C589" s="23" t="s">
        <v>205</v>
      </c>
      <c r="D589" s="87">
        <v>2</v>
      </c>
      <c r="E589" s="21">
        <v>2.08964580504E-4</v>
      </c>
    </row>
    <row r="590" spans="2:5" ht="14.5" customHeight="1">
      <c r="B590" s="111"/>
      <c r="C590" s="23" t="s">
        <v>215</v>
      </c>
      <c r="D590" s="87">
        <v>2</v>
      </c>
      <c r="E590" s="21">
        <v>2.08964580504E-4</v>
      </c>
    </row>
    <row r="591" spans="2:5" ht="14.5" customHeight="1">
      <c r="B591" s="111"/>
      <c r="C591" s="23" t="s">
        <v>219</v>
      </c>
      <c r="D591" s="87">
        <v>1</v>
      </c>
      <c r="E591" s="21">
        <v>1.04482290252E-4</v>
      </c>
    </row>
    <row r="592" spans="2:5" ht="14.5" customHeight="1">
      <c r="B592" s="111"/>
      <c r="C592" s="23" t="s">
        <v>206</v>
      </c>
      <c r="D592" s="87">
        <v>10</v>
      </c>
      <c r="E592" s="21">
        <v>1.0448229025179999E-3</v>
      </c>
    </row>
    <row r="593" spans="2:5" ht="14.5" customHeight="1">
      <c r="B593" s="111"/>
      <c r="C593" s="23" t="s">
        <v>207</v>
      </c>
      <c r="D593" s="87">
        <v>8</v>
      </c>
      <c r="E593" s="21">
        <v>8.3585832201399997E-4</v>
      </c>
    </row>
    <row r="594" spans="2:5" ht="14.5" customHeight="1">
      <c r="B594" s="111"/>
      <c r="C594" s="23" t="s">
        <v>218</v>
      </c>
      <c r="D594" s="87">
        <v>31</v>
      </c>
      <c r="E594" s="21">
        <v>3.2389509978060001E-3</v>
      </c>
    </row>
    <row r="595" spans="2:5" ht="14.5" customHeight="1">
      <c r="B595" s="111"/>
      <c r="C595" s="23" t="s">
        <v>208</v>
      </c>
      <c r="D595" s="87">
        <v>60</v>
      </c>
      <c r="E595" s="21">
        <v>6.2689374151079997E-3</v>
      </c>
    </row>
    <row r="596" spans="2:5" ht="14.5" customHeight="1">
      <c r="B596" s="111"/>
      <c r="C596" s="23" t="s">
        <v>209</v>
      </c>
      <c r="D596" s="87">
        <v>21</v>
      </c>
      <c r="E596" s="21">
        <v>2.1941280952880002E-3</v>
      </c>
    </row>
    <row r="597" spans="2:5" ht="14.5" customHeight="1">
      <c r="B597" s="111"/>
      <c r="C597" s="23" t="s">
        <v>210</v>
      </c>
      <c r="D597" s="87">
        <v>50</v>
      </c>
      <c r="E597" s="21">
        <v>5.2241145125900001E-3</v>
      </c>
    </row>
    <row r="598" spans="2:5" ht="14.5" customHeight="1">
      <c r="B598" s="111"/>
      <c r="C598" s="23" t="s">
        <v>211</v>
      </c>
      <c r="D598" s="87">
        <v>25</v>
      </c>
      <c r="E598" s="21">
        <v>2.6120572562950001E-3</v>
      </c>
    </row>
    <row r="599" spans="2:5" ht="14.5" customHeight="1">
      <c r="B599" s="111"/>
      <c r="C599" s="23" t="s">
        <v>213</v>
      </c>
      <c r="D599" s="87">
        <v>3</v>
      </c>
      <c r="E599" s="21">
        <v>3.13446870755E-4</v>
      </c>
    </row>
    <row r="600" spans="2:5" ht="14.5" customHeight="1">
      <c r="B600" s="112"/>
      <c r="C600" s="88" t="s">
        <v>29</v>
      </c>
      <c r="D600" s="89">
        <v>295</v>
      </c>
      <c r="E600" s="90">
        <v>3.0822275624282001E-2</v>
      </c>
    </row>
    <row r="601" spans="2:5" ht="14.5" customHeight="1">
      <c r="B601" s="110" t="s">
        <v>83</v>
      </c>
      <c r="C601" s="23" t="s">
        <v>202</v>
      </c>
      <c r="D601" s="87">
        <v>18</v>
      </c>
      <c r="E601" s="21">
        <v>1.8806812245319999E-3</v>
      </c>
    </row>
    <row r="602" spans="2:5" ht="14.5" customHeight="1">
      <c r="B602" s="111"/>
      <c r="C602" s="23" t="s">
        <v>204</v>
      </c>
      <c r="D602" s="87">
        <v>7</v>
      </c>
      <c r="E602" s="21">
        <v>7.3137603176300005E-4</v>
      </c>
    </row>
    <row r="603" spans="2:5" ht="14.5" customHeight="1">
      <c r="B603" s="111"/>
      <c r="C603" s="23" t="s">
        <v>215</v>
      </c>
      <c r="D603" s="87">
        <v>1</v>
      </c>
      <c r="E603" s="21">
        <v>1.04482290252E-4</v>
      </c>
    </row>
    <row r="604" spans="2:5" ht="14.5" customHeight="1">
      <c r="B604" s="111"/>
      <c r="C604" s="23" t="s">
        <v>219</v>
      </c>
      <c r="D604" s="87">
        <v>1</v>
      </c>
      <c r="E604" s="21">
        <v>1.04482290252E-4</v>
      </c>
    </row>
    <row r="605" spans="2:5" ht="14.5" customHeight="1">
      <c r="B605" s="111"/>
      <c r="C605" s="23" t="s">
        <v>218</v>
      </c>
      <c r="D605" s="87">
        <v>3</v>
      </c>
      <c r="E605" s="21">
        <v>3.13446870755E-4</v>
      </c>
    </row>
    <row r="606" spans="2:5" ht="14.5" customHeight="1">
      <c r="B606" s="111"/>
      <c r="C606" s="23" t="s">
        <v>209</v>
      </c>
      <c r="D606" s="87">
        <v>13</v>
      </c>
      <c r="E606" s="21">
        <v>1.3582697732729999E-3</v>
      </c>
    </row>
    <row r="607" spans="2:5" ht="14.5" customHeight="1">
      <c r="B607" s="111"/>
      <c r="C607" s="23" t="s">
        <v>210</v>
      </c>
      <c r="D607" s="87">
        <v>1</v>
      </c>
      <c r="E607" s="21">
        <v>1.04482290252E-4</v>
      </c>
    </row>
    <row r="608" spans="2:5" ht="14.5" customHeight="1">
      <c r="B608" s="111"/>
      <c r="C608" s="23" t="s">
        <v>211</v>
      </c>
      <c r="D608" s="87">
        <v>25</v>
      </c>
      <c r="E608" s="21">
        <v>2.6120572562950001E-3</v>
      </c>
    </row>
    <row r="609" spans="2:5" ht="14.5" customHeight="1">
      <c r="B609" s="112"/>
      <c r="C609" s="88" t="s">
        <v>29</v>
      </c>
      <c r="D609" s="89">
        <v>69</v>
      </c>
      <c r="E609" s="90">
        <v>7.2092780273740002E-3</v>
      </c>
    </row>
    <row r="610" spans="2:5" ht="14.5" customHeight="1">
      <c r="B610" s="110" t="s">
        <v>78</v>
      </c>
      <c r="C610" s="23" t="s">
        <v>202</v>
      </c>
      <c r="D610" s="87">
        <v>7</v>
      </c>
      <c r="E610" s="21">
        <v>7.3137603176300005E-4</v>
      </c>
    </row>
    <row r="611" spans="2:5" ht="14.5" customHeight="1">
      <c r="B611" s="111"/>
      <c r="C611" s="23" t="s">
        <v>203</v>
      </c>
      <c r="D611" s="87">
        <v>1</v>
      </c>
      <c r="E611" s="21">
        <v>1.04482290252E-4</v>
      </c>
    </row>
    <row r="612" spans="2:5" ht="14.5" customHeight="1">
      <c r="B612" s="111"/>
      <c r="C612" s="23" t="s">
        <v>204</v>
      </c>
      <c r="D612" s="87">
        <v>11</v>
      </c>
      <c r="E612" s="21">
        <v>1.14930519277E-3</v>
      </c>
    </row>
    <row r="613" spans="2:5" ht="14.5" customHeight="1">
      <c r="B613" s="111"/>
      <c r="C613" s="23" t="s">
        <v>214</v>
      </c>
      <c r="D613" s="87">
        <v>3</v>
      </c>
      <c r="E613" s="21">
        <v>3.13446870755E-4</v>
      </c>
    </row>
    <row r="614" spans="2:5" ht="14.5" customHeight="1">
      <c r="B614" s="111"/>
      <c r="C614" s="23" t="s">
        <v>215</v>
      </c>
      <c r="D614" s="87">
        <v>1</v>
      </c>
      <c r="E614" s="21">
        <v>1.04482290252E-4</v>
      </c>
    </row>
    <row r="615" spans="2:5" ht="14.5" customHeight="1">
      <c r="B615" s="111"/>
      <c r="C615" s="23" t="s">
        <v>219</v>
      </c>
      <c r="D615" s="87">
        <v>8</v>
      </c>
      <c r="E615" s="21">
        <v>8.3585832201399997E-4</v>
      </c>
    </row>
    <row r="616" spans="2:5" ht="14.5" customHeight="1">
      <c r="B616" s="111"/>
      <c r="C616" s="23" t="s">
        <v>217</v>
      </c>
      <c r="D616" s="87">
        <v>1</v>
      </c>
      <c r="E616" s="21">
        <v>1.04482290252E-4</v>
      </c>
    </row>
    <row r="617" spans="2:5" ht="14.5" customHeight="1">
      <c r="B617" s="111"/>
      <c r="C617" s="23" t="s">
        <v>218</v>
      </c>
      <c r="D617" s="87">
        <v>9</v>
      </c>
      <c r="E617" s="21">
        <v>9.4034061226599996E-4</v>
      </c>
    </row>
    <row r="618" spans="2:5" ht="14.5" customHeight="1">
      <c r="B618" s="111"/>
      <c r="C618" s="23" t="s">
        <v>208</v>
      </c>
      <c r="D618" s="87">
        <v>6</v>
      </c>
      <c r="E618" s="21">
        <v>6.2689374151099996E-4</v>
      </c>
    </row>
    <row r="619" spans="2:5" ht="14.5" customHeight="1">
      <c r="B619" s="111"/>
      <c r="C619" s="23" t="s">
        <v>209</v>
      </c>
      <c r="D619" s="87">
        <v>20</v>
      </c>
      <c r="E619" s="21">
        <v>2.0896458050359999E-3</v>
      </c>
    </row>
    <row r="620" spans="2:5" ht="14.5" customHeight="1">
      <c r="B620" s="111"/>
      <c r="C620" s="23" t="s">
        <v>211</v>
      </c>
      <c r="D620" s="87">
        <v>11</v>
      </c>
      <c r="E620" s="21">
        <v>1.14930519277E-3</v>
      </c>
    </row>
    <row r="621" spans="2:5" ht="14.5" customHeight="1">
      <c r="B621" s="111"/>
      <c r="C621" s="23" t="s">
        <v>212</v>
      </c>
      <c r="D621" s="87">
        <v>6</v>
      </c>
      <c r="E621" s="21">
        <v>6.2689374151099996E-4</v>
      </c>
    </row>
    <row r="622" spans="2:5" ht="14.5" customHeight="1">
      <c r="B622" s="111"/>
      <c r="C622" s="23" t="s">
        <v>213</v>
      </c>
      <c r="D622" s="87">
        <v>2</v>
      </c>
      <c r="E622" s="21">
        <v>2.08964580504E-4</v>
      </c>
    </row>
    <row r="623" spans="2:5" ht="14.5" customHeight="1">
      <c r="B623" s="112"/>
      <c r="C623" s="88" t="s">
        <v>29</v>
      </c>
      <c r="D623" s="89">
        <v>86</v>
      </c>
      <c r="E623" s="90">
        <v>8.9854769616549996E-3</v>
      </c>
    </row>
    <row r="624" spans="2:5" ht="14.5" customHeight="1">
      <c r="B624" s="110" t="s">
        <v>58</v>
      </c>
      <c r="C624" s="23" t="s">
        <v>202</v>
      </c>
      <c r="D624" s="87">
        <v>10</v>
      </c>
      <c r="E624" s="21">
        <v>1.0448229025179999E-3</v>
      </c>
    </row>
    <row r="625" spans="2:5" ht="14.5" customHeight="1">
      <c r="B625" s="111"/>
      <c r="C625" s="23" t="s">
        <v>204</v>
      </c>
      <c r="D625" s="87">
        <v>68</v>
      </c>
      <c r="E625" s="21">
        <v>7.1047957371230003E-3</v>
      </c>
    </row>
    <row r="626" spans="2:5" ht="14.5" customHeight="1">
      <c r="B626" s="111"/>
      <c r="C626" s="23" t="s">
        <v>214</v>
      </c>
      <c r="D626" s="87">
        <v>20</v>
      </c>
      <c r="E626" s="21">
        <v>2.0896458050359999E-3</v>
      </c>
    </row>
    <row r="627" spans="2:5" ht="14.5" customHeight="1">
      <c r="B627" s="111"/>
      <c r="C627" s="23" t="s">
        <v>205</v>
      </c>
      <c r="D627" s="87">
        <v>2</v>
      </c>
      <c r="E627" s="21">
        <v>2.08964580504E-4</v>
      </c>
    </row>
    <row r="628" spans="2:5" ht="14.5" customHeight="1">
      <c r="B628" s="111"/>
      <c r="C628" s="23" t="s">
        <v>219</v>
      </c>
      <c r="D628" s="87">
        <v>73</v>
      </c>
      <c r="E628" s="21">
        <v>7.6272071883819997E-3</v>
      </c>
    </row>
    <row r="629" spans="2:5" ht="14.5" customHeight="1">
      <c r="B629" s="111"/>
      <c r="C629" s="23" t="s">
        <v>207</v>
      </c>
      <c r="D629" s="87">
        <v>1</v>
      </c>
      <c r="E629" s="21">
        <v>1.04482290252E-4</v>
      </c>
    </row>
    <row r="630" spans="2:5" ht="14.5" customHeight="1">
      <c r="B630" s="111"/>
      <c r="C630" s="23" t="s">
        <v>216</v>
      </c>
      <c r="D630" s="87">
        <v>2</v>
      </c>
      <c r="E630" s="21">
        <v>2.08964580504E-4</v>
      </c>
    </row>
    <row r="631" spans="2:5" ht="14.5" customHeight="1">
      <c r="B631" s="111"/>
      <c r="C631" s="23" t="s">
        <v>217</v>
      </c>
      <c r="D631" s="87">
        <v>1</v>
      </c>
      <c r="E631" s="21">
        <v>1.04482290252E-4</v>
      </c>
    </row>
    <row r="632" spans="2:5" ht="14.5" customHeight="1">
      <c r="B632" s="111"/>
      <c r="C632" s="23" t="s">
        <v>218</v>
      </c>
      <c r="D632" s="87">
        <v>9</v>
      </c>
      <c r="E632" s="21">
        <v>9.4034061226599996E-4</v>
      </c>
    </row>
    <row r="633" spans="2:5" ht="14.5" customHeight="1">
      <c r="B633" s="111"/>
      <c r="C633" s="23" t="s">
        <v>208</v>
      </c>
      <c r="D633" s="87">
        <v>2</v>
      </c>
      <c r="E633" s="21">
        <v>2.08964580504E-4</v>
      </c>
    </row>
    <row r="634" spans="2:5" ht="14.5" customHeight="1">
      <c r="B634" s="111"/>
      <c r="C634" s="23" t="s">
        <v>209</v>
      </c>
      <c r="D634" s="87">
        <v>31</v>
      </c>
      <c r="E634" s="21">
        <v>3.2389509978060001E-3</v>
      </c>
    </row>
    <row r="635" spans="2:5" ht="14.5" customHeight="1">
      <c r="B635" s="111"/>
      <c r="C635" s="23" t="s">
        <v>211</v>
      </c>
      <c r="D635" s="87">
        <v>131</v>
      </c>
      <c r="E635" s="21">
        <v>1.3687180022986E-2</v>
      </c>
    </row>
    <row r="636" spans="2:5" ht="14.5" customHeight="1">
      <c r="B636" s="111"/>
      <c r="C636" s="23" t="s">
        <v>212</v>
      </c>
      <c r="D636" s="87">
        <v>19</v>
      </c>
      <c r="E636" s="21">
        <v>1.985163514784E-3</v>
      </c>
    </row>
    <row r="637" spans="2:5" ht="14.5" customHeight="1">
      <c r="B637" s="111"/>
      <c r="C637" s="23" t="s">
        <v>213</v>
      </c>
      <c r="D637" s="87">
        <v>1</v>
      </c>
      <c r="E637" s="21">
        <v>1.04482290252E-4</v>
      </c>
    </row>
    <row r="638" spans="2:5" ht="14.5" customHeight="1">
      <c r="B638" s="112"/>
      <c r="C638" s="88" t="s">
        <v>29</v>
      </c>
      <c r="D638" s="89">
        <v>370</v>
      </c>
      <c r="E638" s="90">
        <v>3.8658447393166998E-2</v>
      </c>
    </row>
    <row r="639" spans="2:5" ht="14.5" customHeight="1">
      <c r="B639" s="110" t="s">
        <v>86</v>
      </c>
      <c r="C639" s="23" t="s">
        <v>202</v>
      </c>
      <c r="D639" s="87">
        <v>3</v>
      </c>
      <c r="E639" s="21">
        <v>3.13446870755E-4</v>
      </c>
    </row>
    <row r="640" spans="2:5" ht="14.5" customHeight="1">
      <c r="B640" s="111"/>
      <c r="C640" s="23" t="s">
        <v>204</v>
      </c>
      <c r="D640" s="87">
        <v>2</v>
      </c>
      <c r="E640" s="21">
        <v>2.08964580504E-4</v>
      </c>
    </row>
    <row r="641" spans="2:5" ht="14.5" customHeight="1">
      <c r="B641" s="111"/>
      <c r="C641" s="23" t="s">
        <v>214</v>
      </c>
      <c r="D641" s="87">
        <v>1</v>
      </c>
      <c r="E641" s="21">
        <v>1.04482290252E-4</v>
      </c>
    </row>
    <row r="642" spans="2:5" ht="14.5" customHeight="1">
      <c r="B642" s="111"/>
      <c r="C642" s="23" t="s">
        <v>205</v>
      </c>
      <c r="D642" s="87">
        <v>2</v>
      </c>
      <c r="E642" s="21">
        <v>2.08964580504E-4</v>
      </c>
    </row>
    <row r="643" spans="2:5" ht="14.5" customHeight="1">
      <c r="B643" s="111"/>
      <c r="C643" s="23" t="s">
        <v>215</v>
      </c>
      <c r="D643" s="87">
        <v>8</v>
      </c>
      <c r="E643" s="21">
        <v>8.3585832201399997E-4</v>
      </c>
    </row>
    <row r="644" spans="2:5" ht="14.5" customHeight="1">
      <c r="B644" s="111"/>
      <c r="C644" s="23" t="s">
        <v>219</v>
      </c>
      <c r="D644" s="87">
        <v>1</v>
      </c>
      <c r="E644" s="21">
        <v>1.04482290252E-4</v>
      </c>
    </row>
    <row r="645" spans="2:5" ht="14.5" customHeight="1">
      <c r="B645" s="111"/>
      <c r="C645" s="23" t="s">
        <v>206</v>
      </c>
      <c r="D645" s="87">
        <v>1</v>
      </c>
      <c r="E645" s="21">
        <v>1.04482290252E-4</v>
      </c>
    </row>
    <row r="646" spans="2:5" ht="14.5" customHeight="1">
      <c r="B646" s="111"/>
      <c r="C646" s="23" t="s">
        <v>207</v>
      </c>
      <c r="D646" s="87">
        <v>1</v>
      </c>
      <c r="E646" s="21">
        <v>1.04482290252E-4</v>
      </c>
    </row>
    <row r="647" spans="2:5" ht="14.5" customHeight="1">
      <c r="B647" s="111"/>
      <c r="C647" s="23" t="s">
        <v>208</v>
      </c>
      <c r="D647" s="87">
        <v>3</v>
      </c>
      <c r="E647" s="21">
        <v>3.13446870755E-4</v>
      </c>
    </row>
    <row r="648" spans="2:5" ht="14.5" customHeight="1">
      <c r="B648" s="111"/>
      <c r="C648" s="23" t="s">
        <v>209</v>
      </c>
      <c r="D648" s="87">
        <v>19</v>
      </c>
      <c r="E648" s="21">
        <v>1.985163514784E-3</v>
      </c>
    </row>
    <row r="649" spans="2:5" ht="14.5" customHeight="1">
      <c r="B649" s="111"/>
      <c r="C649" s="23" t="s">
        <v>211</v>
      </c>
      <c r="D649" s="87">
        <v>9</v>
      </c>
      <c r="E649" s="21">
        <v>9.4034061226599996E-4</v>
      </c>
    </row>
    <row r="650" spans="2:5" ht="14.5" customHeight="1">
      <c r="B650" s="111"/>
      <c r="C650" s="23" t="s">
        <v>212</v>
      </c>
      <c r="D650" s="87">
        <v>1</v>
      </c>
      <c r="E650" s="21">
        <v>1.04482290252E-4</v>
      </c>
    </row>
    <row r="651" spans="2:5" ht="14.5" customHeight="1">
      <c r="B651" s="111"/>
      <c r="C651" s="23" t="s">
        <v>213</v>
      </c>
      <c r="D651" s="87">
        <v>1</v>
      </c>
      <c r="E651" s="21">
        <v>1.04482290252E-4</v>
      </c>
    </row>
    <row r="652" spans="2:5" ht="14.5" customHeight="1">
      <c r="B652" s="112"/>
      <c r="C652" s="88" t="s">
        <v>29</v>
      </c>
      <c r="D652" s="89">
        <v>52</v>
      </c>
      <c r="E652" s="90">
        <v>5.4330790930939999E-3</v>
      </c>
    </row>
    <row r="653" spans="2:5" ht="14.5" customHeight="1">
      <c r="B653" s="110" t="s">
        <v>95</v>
      </c>
      <c r="C653" s="23" t="s">
        <v>209</v>
      </c>
      <c r="D653" s="87">
        <v>4</v>
      </c>
      <c r="E653" s="21">
        <v>4.1792916100699999E-4</v>
      </c>
    </row>
    <row r="654" spans="2:5" ht="14.5" customHeight="1">
      <c r="B654" s="112"/>
      <c r="C654" s="88" t="s">
        <v>29</v>
      </c>
      <c r="D654" s="89">
        <v>4</v>
      </c>
      <c r="E654" s="90">
        <v>4.1792916100699999E-4</v>
      </c>
    </row>
    <row r="655" spans="2:5" ht="14.5" customHeight="1">
      <c r="B655" s="110" t="s">
        <v>74</v>
      </c>
      <c r="C655" s="23" t="s">
        <v>202</v>
      </c>
      <c r="D655" s="87">
        <v>7</v>
      </c>
      <c r="E655" s="21">
        <v>7.3137603176300005E-4</v>
      </c>
    </row>
    <row r="656" spans="2:5" ht="14.5" customHeight="1">
      <c r="B656" s="111"/>
      <c r="C656" s="23" t="s">
        <v>203</v>
      </c>
      <c r="D656" s="87">
        <v>2</v>
      </c>
      <c r="E656" s="21">
        <v>2.08964580504E-4</v>
      </c>
    </row>
    <row r="657" spans="2:5" ht="14.5" customHeight="1">
      <c r="B657" s="111"/>
      <c r="C657" s="23" t="s">
        <v>204</v>
      </c>
      <c r="D657" s="87">
        <v>7</v>
      </c>
      <c r="E657" s="21">
        <v>7.3137603176300005E-4</v>
      </c>
    </row>
    <row r="658" spans="2:5" ht="14.5" customHeight="1">
      <c r="B658" s="111"/>
      <c r="C658" s="23" t="s">
        <v>214</v>
      </c>
      <c r="D658" s="87">
        <v>3</v>
      </c>
      <c r="E658" s="21">
        <v>3.13446870755E-4</v>
      </c>
    </row>
    <row r="659" spans="2:5" ht="14.5" customHeight="1">
      <c r="B659" s="111"/>
      <c r="C659" s="23" t="s">
        <v>215</v>
      </c>
      <c r="D659" s="87">
        <v>2</v>
      </c>
      <c r="E659" s="21">
        <v>2.08964580504E-4</v>
      </c>
    </row>
    <row r="660" spans="2:5" ht="14.5" customHeight="1">
      <c r="B660" s="111"/>
      <c r="C660" s="23" t="s">
        <v>206</v>
      </c>
      <c r="D660" s="87">
        <v>2</v>
      </c>
      <c r="E660" s="21">
        <v>2.08964580504E-4</v>
      </c>
    </row>
    <row r="661" spans="2:5" ht="14.5" customHeight="1">
      <c r="B661" s="111"/>
      <c r="C661" s="23" t="s">
        <v>207</v>
      </c>
      <c r="D661" s="87">
        <v>12</v>
      </c>
      <c r="E661" s="21">
        <v>1.2537874830219999E-3</v>
      </c>
    </row>
    <row r="662" spans="2:5" ht="14.5" customHeight="1">
      <c r="B662" s="111"/>
      <c r="C662" s="23" t="s">
        <v>216</v>
      </c>
      <c r="D662" s="87">
        <v>6</v>
      </c>
      <c r="E662" s="21">
        <v>6.2689374151099996E-4</v>
      </c>
    </row>
    <row r="663" spans="2:5" ht="14.5" customHeight="1">
      <c r="B663" s="111"/>
      <c r="C663" s="23" t="s">
        <v>217</v>
      </c>
      <c r="D663" s="87">
        <v>3</v>
      </c>
      <c r="E663" s="21">
        <v>3.13446870755E-4</v>
      </c>
    </row>
    <row r="664" spans="2:5" ht="14.5" customHeight="1">
      <c r="B664" s="111"/>
      <c r="C664" s="23" t="s">
        <v>218</v>
      </c>
      <c r="D664" s="87">
        <v>1</v>
      </c>
      <c r="E664" s="21">
        <v>1.04482290252E-4</v>
      </c>
    </row>
    <row r="665" spans="2:5" ht="14.5" customHeight="1">
      <c r="B665" s="111"/>
      <c r="C665" s="23" t="s">
        <v>208</v>
      </c>
      <c r="D665" s="87">
        <v>17</v>
      </c>
      <c r="E665" s="21">
        <v>1.7761989342810001E-3</v>
      </c>
    </row>
    <row r="666" spans="2:5" ht="14.5" customHeight="1">
      <c r="B666" s="111"/>
      <c r="C666" s="23" t="s">
        <v>209</v>
      </c>
      <c r="D666" s="87">
        <v>14</v>
      </c>
      <c r="E666" s="21">
        <v>1.462752063525E-3</v>
      </c>
    </row>
    <row r="667" spans="2:5" ht="14.5" customHeight="1">
      <c r="B667" s="111"/>
      <c r="C667" s="23" t="s">
        <v>210</v>
      </c>
      <c r="D667" s="87">
        <v>1</v>
      </c>
      <c r="E667" s="21">
        <v>1.04482290252E-4</v>
      </c>
    </row>
    <row r="668" spans="2:5" ht="14.5" customHeight="1">
      <c r="B668" s="111"/>
      <c r="C668" s="23" t="s">
        <v>211</v>
      </c>
      <c r="D668" s="87">
        <v>16</v>
      </c>
      <c r="E668" s="21">
        <v>1.671716644029E-3</v>
      </c>
    </row>
    <row r="669" spans="2:5" ht="14.5" customHeight="1">
      <c r="B669" s="111"/>
      <c r="C669" s="23" t="s">
        <v>212</v>
      </c>
      <c r="D669" s="87">
        <v>2</v>
      </c>
      <c r="E669" s="21">
        <v>2.08964580504E-4</v>
      </c>
    </row>
    <row r="670" spans="2:5" ht="14.5" customHeight="1">
      <c r="B670" s="111"/>
      <c r="C670" s="23" t="s">
        <v>213</v>
      </c>
      <c r="D670" s="87">
        <v>1</v>
      </c>
      <c r="E670" s="21">
        <v>1.04482290252E-4</v>
      </c>
    </row>
    <row r="671" spans="2:5" ht="14.5" customHeight="1">
      <c r="B671" s="112"/>
      <c r="C671" s="88" t="s">
        <v>29</v>
      </c>
      <c r="D671" s="89">
        <v>96</v>
      </c>
      <c r="E671" s="90">
        <v>1.0030299864173E-2</v>
      </c>
    </row>
    <row r="672" spans="2:5" ht="14.5" customHeight="1">
      <c r="B672" s="69" t="s">
        <v>29</v>
      </c>
      <c r="C672" s="70"/>
      <c r="D672" s="91">
        <v>9571</v>
      </c>
      <c r="E672" s="92">
        <v>1</v>
      </c>
    </row>
    <row r="673" spans="2:2" ht="14.5" customHeight="1"/>
    <row r="674" spans="2:2" ht="14.5" customHeight="1">
      <c r="B674" s="15" t="s">
        <v>47</v>
      </c>
    </row>
    <row r="675" spans="2:2" ht="14.5" customHeight="1">
      <c r="B675" s="17" t="s">
        <v>18</v>
      </c>
    </row>
    <row r="676" spans="2:2" ht="14.5" customHeight="1">
      <c r="B676" s="16" t="s">
        <v>48</v>
      </c>
    </row>
    <row r="677" spans="2:2" ht="14.5" customHeight="1">
      <c r="B677" s="15" t="s">
        <v>17</v>
      </c>
    </row>
    <row r="678" spans="2:2" ht="14.5" customHeight="1">
      <c r="B678" s="15" t="s">
        <v>49</v>
      </c>
    </row>
  </sheetData>
  <mergeCells count="50">
    <mergeCell ref="B655:B671"/>
    <mergeCell ref="B601:B609"/>
    <mergeCell ref="B610:B623"/>
    <mergeCell ref="B624:B638"/>
    <mergeCell ref="B639:B652"/>
    <mergeCell ref="B653:B654"/>
    <mergeCell ref="B425:B443"/>
    <mergeCell ref="B444:B453"/>
    <mergeCell ref="B454:B468"/>
    <mergeCell ref="B469:B481"/>
    <mergeCell ref="B482:B492"/>
    <mergeCell ref="B358:B359"/>
    <mergeCell ref="B360:B376"/>
    <mergeCell ref="B377:B393"/>
    <mergeCell ref="B394:B410"/>
    <mergeCell ref="B411:B424"/>
    <mergeCell ref="B493:B511"/>
    <mergeCell ref="B512:B525"/>
    <mergeCell ref="B526:B541"/>
    <mergeCell ref="B542:B548"/>
    <mergeCell ref="B549:B565"/>
    <mergeCell ref="B566:B584"/>
    <mergeCell ref="B585:B600"/>
    <mergeCell ref="B7:E8"/>
    <mergeCell ref="B10:B20"/>
    <mergeCell ref="B21:B40"/>
    <mergeCell ref="B41:B59"/>
    <mergeCell ref="B60:B73"/>
    <mergeCell ref="B74:B84"/>
    <mergeCell ref="B85:B91"/>
    <mergeCell ref="B92:B93"/>
    <mergeCell ref="B94:B110"/>
    <mergeCell ref="B111:B129"/>
    <mergeCell ref="B130:B135"/>
    <mergeCell ref="B136:B152"/>
    <mergeCell ref="B153:B165"/>
    <mergeCell ref="B166:B167"/>
    <mergeCell ref="B168:B176"/>
    <mergeCell ref="B177:B191"/>
    <mergeCell ref="B192:B206"/>
    <mergeCell ref="B207:B228"/>
    <mergeCell ref="B229:B243"/>
    <mergeCell ref="B314:B328"/>
    <mergeCell ref="B329:B343"/>
    <mergeCell ref="B344:B357"/>
    <mergeCell ref="B244:B257"/>
    <mergeCell ref="B258:B265"/>
    <mergeCell ref="B266:B278"/>
    <mergeCell ref="B279:B294"/>
    <mergeCell ref="B295:B3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E70"/>
  <sheetViews>
    <sheetView showGridLines="0" view="pageBreakPreview" topLeftCell="A27" zoomScale="115" zoomScaleNormal="100" zoomScaleSheetLayoutView="115" workbookViewId="0">
      <selection activeCell="D11" sqref="D11"/>
    </sheetView>
  </sheetViews>
  <sheetFormatPr baseColWidth="10" defaultColWidth="11.453125" defaultRowHeight="14.5"/>
  <cols>
    <col min="1" max="1" width="9.26953125" style="13" customWidth="1"/>
    <col min="2" max="2" width="36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106" t="s">
        <v>39</v>
      </c>
      <c r="C7" s="106"/>
      <c r="D7" s="106"/>
    </row>
    <row r="8" spans="2:5" s="25" customFormat="1" ht="15" customHeight="1">
      <c r="B8" s="106"/>
      <c r="C8" s="106"/>
      <c r="D8" s="106"/>
    </row>
    <row r="9" spans="2:5" s="25" customFormat="1" ht="33" customHeight="1">
      <c r="B9" s="106"/>
      <c r="C9" s="106"/>
      <c r="D9" s="106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27</v>
      </c>
      <c r="C11" s="27" t="s">
        <v>26</v>
      </c>
      <c r="D11" s="26" t="s">
        <v>19</v>
      </c>
    </row>
    <row r="12" spans="2:5" ht="14.5" customHeight="1">
      <c r="B12" s="66" t="s">
        <v>223</v>
      </c>
      <c r="C12" s="67">
        <v>102</v>
      </c>
      <c r="D12" s="68">
        <v>1.0657193605684E-2</v>
      </c>
    </row>
    <row r="13" spans="2:5" ht="14.5" customHeight="1">
      <c r="B13" s="66" t="s">
        <v>224</v>
      </c>
      <c r="C13" s="67">
        <v>40</v>
      </c>
      <c r="D13" s="68">
        <v>4.1792916100719998E-3</v>
      </c>
    </row>
    <row r="14" spans="2:5" ht="14.5" customHeight="1">
      <c r="B14" s="66" t="s">
        <v>225</v>
      </c>
      <c r="C14" s="67">
        <v>56</v>
      </c>
      <c r="D14" s="68">
        <v>5.8510082541010002E-3</v>
      </c>
      <c r="E14" s="24"/>
    </row>
    <row r="15" spans="2:5" ht="14.5" customHeight="1">
      <c r="B15" s="66" t="s">
        <v>226</v>
      </c>
      <c r="C15" s="67">
        <v>135</v>
      </c>
      <c r="D15" s="68">
        <v>1.4105109183993001E-2</v>
      </c>
      <c r="E15" s="24"/>
    </row>
    <row r="16" spans="2:5" ht="14.5" customHeight="1">
      <c r="B16" s="66" t="s">
        <v>227</v>
      </c>
      <c r="C16" s="67">
        <v>88</v>
      </c>
      <c r="D16" s="68">
        <v>9.1944415421589994E-3</v>
      </c>
    </row>
    <row r="17" spans="2:4" ht="14.5" customHeight="1">
      <c r="B17" s="66" t="s">
        <v>228</v>
      </c>
      <c r="C17" s="67">
        <v>118</v>
      </c>
      <c r="D17" s="68">
        <v>1.2328910249713E-2</v>
      </c>
    </row>
    <row r="18" spans="2:4" ht="14.5" customHeight="1">
      <c r="B18" s="66" t="s">
        <v>229</v>
      </c>
      <c r="C18" s="67">
        <v>839</v>
      </c>
      <c r="D18" s="68">
        <v>8.7660641521262003E-2</v>
      </c>
    </row>
    <row r="19" spans="2:4" ht="14.5" customHeight="1">
      <c r="B19" s="66" t="s">
        <v>230</v>
      </c>
      <c r="C19" s="67">
        <v>1590</v>
      </c>
      <c r="D19" s="68">
        <v>0.166126841500366</v>
      </c>
    </row>
    <row r="20" spans="2:4" ht="14.5" customHeight="1">
      <c r="B20" s="66" t="s">
        <v>231</v>
      </c>
      <c r="C20" s="67">
        <v>86</v>
      </c>
      <c r="D20" s="68">
        <v>8.9854769616549996E-3</v>
      </c>
    </row>
    <row r="21" spans="2:4" ht="14.5" customHeight="1">
      <c r="B21" s="66" t="s">
        <v>232</v>
      </c>
      <c r="C21" s="67">
        <v>187</v>
      </c>
      <c r="D21" s="68">
        <v>1.9538188277087001E-2</v>
      </c>
    </row>
    <row r="22" spans="2:4" ht="14.5" customHeight="1">
      <c r="B22" s="66" t="s">
        <v>233</v>
      </c>
      <c r="C22" s="67">
        <v>591</v>
      </c>
      <c r="D22" s="68">
        <v>6.1749033538815001E-2</v>
      </c>
    </row>
    <row r="23" spans="2:4" ht="14.5" customHeight="1">
      <c r="B23" s="66" t="s">
        <v>234</v>
      </c>
      <c r="C23" s="67">
        <v>3553</v>
      </c>
      <c r="D23" s="68">
        <v>0.37122557726465399</v>
      </c>
    </row>
    <row r="24" spans="2:4" ht="14.5" customHeight="1">
      <c r="B24" s="66" t="s">
        <v>235</v>
      </c>
      <c r="C24" s="67">
        <v>59</v>
      </c>
      <c r="D24" s="68">
        <v>6.1644551248559998E-3</v>
      </c>
    </row>
    <row r="25" spans="2:4" ht="14.5" customHeight="1">
      <c r="B25" s="66" t="s">
        <v>236</v>
      </c>
      <c r="C25" s="67">
        <v>363</v>
      </c>
      <c r="D25" s="68">
        <v>3.7927071361403997E-2</v>
      </c>
    </row>
    <row r="26" spans="2:4" ht="14.5" customHeight="1">
      <c r="B26" s="66" t="s">
        <v>237</v>
      </c>
      <c r="C26" s="67">
        <v>1468</v>
      </c>
      <c r="D26" s="68">
        <v>0.153380002089646</v>
      </c>
    </row>
    <row r="27" spans="2:4" ht="14.5" customHeight="1">
      <c r="B27" s="66" t="s">
        <v>238</v>
      </c>
      <c r="C27" s="67">
        <v>14</v>
      </c>
      <c r="D27" s="68">
        <v>1.462752063525E-3</v>
      </c>
    </row>
    <row r="28" spans="2:4" ht="14.5" customHeight="1">
      <c r="B28" s="66" t="s">
        <v>239</v>
      </c>
      <c r="C28" s="67">
        <v>22</v>
      </c>
      <c r="D28" s="68">
        <v>2.2986103855400001E-3</v>
      </c>
    </row>
    <row r="29" spans="2:4" ht="14.5" customHeight="1">
      <c r="B29" s="66" t="s">
        <v>240</v>
      </c>
      <c r="C29" s="67">
        <v>8</v>
      </c>
      <c r="D29" s="68">
        <v>8.3585832201399997E-4</v>
      </c>
    </row>
    <row r="30" spans="2:4" ht="14.5" customHeight="1">
      <c r="B30" s="66" t="s">
        <v>241</v>
      </c>
      <c r="C30" s="67">
        <v>8</v>
      </c>
      <c r="D30" s="68">
        <v>8.3585832201399997E-4</v>
      </c>
    </row>
    <row r="31" spans="2:4" ht="14.5" customHeight="1">
      <c r="B31" s="66" t="s">
        <v>242</v>
      </c>
      <c r="C31" s="67">
        <v>60</v>
      </c>
      <c r="D31" s="68">
        <v>6.2689374151079997E-3</v>
      </c>
    </row>
    <row r="32" spans="2:4" ht="14.5" customHeight="1">
      <c r="B32" s="66" t="s">
        <v>243</v>
      </c>
      <c r="C32" s="67">
        <v>168</v>
      </c>
      <c r="D32" s="68">
        <v>1.7553024762302999E-2</v>
      </c>
    </row>
    <row r="33" spans="2:4" ht="14.5" customHeight="1">
      <c r="B33" s="66" t="s">
        <v>244</v>
      </c>
      <c r="C33" s="67">
        <v>2</v>
      </c>
      <c r="D33" s="68">
        <v>2.08964580504E-4</v>
      </c>
    </row>
    <row r="34" spans="2:4" ht="14.5" customHeight="1">
      <c r="B34" s="66" t="s">
        <v>245</v>
      </c>
      <c r="C34" s="67">
        <v>12</v>
      </c>
      <c r="D34" s="68">
        <v>1.2537874830219999E-3</v>
      </c>
    </row>
    <row r="35" spans="2:4" ht="14.5" customHeight="1">
      <c r="B35" s="66" t="s">
        <v>246</v>
      </c>
      <c r="C35" s="67">
        <v>1</v>
      </c>
      <c r="D35" s="68">
        <v>1.04482290252E-4</v>
      </c>
    </row>
    <row r="36" spans="2:4" ht="14.5" customHeight="1">
      <c r="B36" s="66" t="s">
        <v>247</v>
      </c>
      <c r="C36" s="67">
        <v>1</v>
      </c>
      <c r="D36" s="68">
        <v>1.04482290252E-4</v>
      </c>
    </row>
    <row r="37" spans="2:4" ht="14.5" customHeight="1">
      <c r="B37" s="71" t="s">
        <v>29</v>
      </c>
      <c r="C37" s="72">
        <v>9571</v>
      </c>
      <c r="D37" s="73">
        <v>1</v>
      </c>
    </row>
    <row r="38" spans="2:4" ht="14.5" customHeight="1">
      <c r="B38" s="54"/>
    </row>
    <row r="39" spans="2:4" ht="14.5" customHeight="1">
      <c r="B39" s="15" t="s">
        <v>47</v>
      </c>
    </row>
    <row r="40" spans="2:4" ht="14.5" customHeight="1">
      <c r="B40" s="17" t="s">
        <v>18</v>
      </c>
    </row>
    <row r="41" spans="2:4" ht="14.5" customHeight="1">
      <c r="B41" s="16" t="s">
        <v>48</v>
      </c>
    </row>
    <row r="42" spans="2:4" ht="14.5" customHeight="1">
      <c r="B42" s="15" t="s">
        <v>17</v>
      </c>
    </row>
    <row r="43" spans="2:4" ht="14.5" customHeight="1">
      <c r="B43" s="15" t="s">
        <v>49</v>
      </c>
    </row>
    <row r="45" spans="2:4">
      <c r="C45" s="13"/>
    </row>
    <row r="46" spans="2:4">
      <c r="C46" s="13"/>
    </row>
    <row r="47" spans="2:4">
      <c r="C47" s="13"/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577"/>
  <sheetViews>
    <sheetView showGridLines="0" view="pageBreakPreview" topLeftCell="A555" zoomScale="85" zoomScaleNormal="100" zoomScaleSheetLayoutView="85" workbookViewId="0">
      <selection activeCell="E14" sqref="E14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108"/>
      <c r="C7" s="108"/>
      <c r="D7" s="108"/>
      <c r="E7" s="108"/>
    </row>
    <row r="8" spans="1:5" s="41" customFormat="1" ht="33" customHeight="1">
      <c r="A8" s="42"/>
      <c r="B8" s="108"/>
      <c r="C8" s="108"/>
      <c r="D8" s="108"/>
      <c r="E8" s="108"/>
    </row>
    <row r="9" spans="1:5" s="25" customFormat="1" ht="40.5" customHeight="1">
      <c r="B9" s="38" t="s">
        <v>28</v>
      </c>
      <c r="C9" s="40" t="s">
        <v>25</v>
      </c>
      <c r="D9" s="39" t="s">
        <v>20</v>
      </c>
      <c r="E9" s="38" t="s">
        <v>19</v>
      </c>
    </row>
    <row r="10" spans="1:5" ht="15" customHeight="1">
      <c r="B10" s="110" t="s">
        <v>223</v>
      </c>
      <c r="C10" s="66" t="s">
        <v>99</v>
      </c>
      <c r="D10" s="67">
        <v>5</v>
      </c>
      <c r="E10" s="68">
        <v>5.2241145125899997E-4</v>
      </c>
    </row>
    <row r="11" spans="1:5" ht="15" customHeight="1">
      <c r="B11" s="111"/>
      <c r="C11" s="66" t="s">
        <v>101</v>
      </c>
      <c r="D11" s="67">
        <v>1</v>
      </c>
      <c r="E11" s="68">
        <v>1.04482290252E-4</v>
      </c>
    </row>
    <row r="12" spans="1:5" ht="15" customHeight="1">
      <c r="B12" s="111"/>
      <c r="C12" s="66" t="s">
        <v>102</v>
      </c>
      <c r="D12" s="67">
        <v>3</v>
      </c>
      <c r="E12" s="68">
        <v>3.13446870755E-4</v>
      </c>
    </row>
    <row r="13" spans="1:5" ht="15" customHeight="1">
      <c r="B13" s="111"/>
      <c r="C13" s="66" t="s">
        <v>103</v>
      </c>
      <c r="D13" s="67">
        <v>30</v>
      </c>
      <c r="E13" s="68">
        <v>3.1344687075539998E-3</v>
      </c>
    </row>
    <row r="14" spans="1:5" ht="15" customHeight="1">
      <c r="B14" s="111"/>
      <c r="C14" s="66" t="s">
        <v>104</v>
      </c>
      <c r="D14" s="67">
        <v>2</v>
      </c>
      <c r="E14" s="68">
        <v>2.08964580504E-4</v>
      </c>
    </row>
    <row r="15" spans="1:5" ht="15" customHeight="1">
      <c r="B15" s="111"/>
      <c r="C15" s="66" t="s">
        <v>108</v>
      </c>
      <c r="D15" s="67">
        <v>3</v>
      </c>
      <c r="E15" s="68">
        <v>3.13446870755E-4</v>
      </c>
    </row>
    <row r="16" spans="1:5" ht="15" customHeight="1">
      <c r="B16" s="111"/>
      <c r="C16" s="66" t="s">
        <v>109</v>
      </c>
      <c r="D16" s="67">
        <v>1</v>
      </c>
      <c r="E16" s="68">
        <v>1.04482290252E-4</v>
      </c>
    </row>
    <row r="17" spans="2:5" ht="15" customHeight="1">
      <c r="B17" s="111"/>
      <c r="C17" s="66" t="s">
        <v>111</v>
      </c>
      <c r="D17" s="67">
        <v>2</v>
      </c>
      <c r="E17" s="68">
        <v>2.08964580504E-4</v>
      </c>
    </row>
    <row r="18" spans="2:5" ht="15" customHeight="1">
      <c r="B18" s="111"/>
      <c r="C18" s="66" t="s">
        <v>113</v>
      </c>
      <c r="D18" s="67">
        <v>2</v>
      </c>
      <c r="E18" s="68">
        <v>2.08964580504E-4</v>
      </c>
    </row>
    <row r="19" spans="2:5" ht="15" customHeight="1">
      <c r="B19" s="111"/>
      <c r="C19" s="66" t="s">
        <v>117</v>
      </c>
      <c r="D19" s="67">
        <v>1</v>
      </c>
      <c r="E19" s="68">
        <v>1.04482290252E-4</v>
      </c>
    </row>
    <row r="20" spans="2:5" ht="15" customHeight="1">
      <c r="B20" s="111"/>
      <c r="C20" s="66" t="s">
        <v>119</v>
      </c>
      <c r="D20" s="67">
        <v>2</v>
      </c>
      <c r="E20" s="68">
        <v>2.08964580504E-4</v>
      </c>
    </row>
    <row r="21" spans="2:5" ht="15" customHeight="1">
      <c r="B21" s="111"/>
      <c r="C21" s="66" t="s">
        <v>123</v>
      </c>
      <c r="D21" s="67">
        <v>2</v>
      </c>
      <c r="E21" s="68">
        <v>2.08964580504E-4</v>
      </c>
    </row>
    <row r="22" spans="2:5" ht="15" customHeight="1">
      <c r="B22" s="111"/>
      <c r="C22" s="66" t="s">
        <v>130</v>
      </c>
      <c r="D22" s="67">
        <v>1</v>
      </c>
      <c r="E22" s="68">
        <v>1.04482290252E-4</v>
      </c>
    </row>
    <row r="23" spans="2:5" ht="15" customHeight="1">
      <c r="B23" s="111"/>
      <c r="C23" s="66" t="s">
        <v>132</v>
      </c>
      <c r="D23" s="67">
        <v>6</v>
      </c>
      <c r="E23" s="68">
        <v>6.2689374151099996E-4</v>
      </c>
    </row>
    <row r="24" spans="2:5" ht="15" customHeight="1">
      <c r="B24" s="111"/>
      <c r="C24" s="66" t="s">
        <v>134</v>
      </c>
      <c r="D24" s="67">
        <v>1</v>
      </c>
      <c r="E24" s="68">
        <v>1.04482290252E-4</v>
      </c>
    </row>
    <row r="25" spans="2:5" ht="15" customHeight="1">
      <c r="B25" s="111"/>
      <c r="C25" s="66" t="s">
        <v>135</v>
      </c>
      <c r="D25" s="67">
        <v>1</v>
      </c>
      <c r="E25" s="68">
        <v>1.04482290252E-4</v>
      </c>
    </row>
    <row r="26" spans="2:5" ht="15" customHeight="1">
      <c r="B26" s="111"/>
      <c r="C26" s="66" t="s">
        <v>137</v>
      </c>
      <c r="D26" s="67">
        <v>1</v>
      </c>
      <c r="E26" s="68">
        <v>1.04482290252E-4</v>
      </c>
    </row>
    <row r="27" spans="2:5" ht="15" customHeight="1">
      <c r="B27" s="111"/>
      <c r="C27" s="66" t="s">
        <v>139</v>
      </c>
      <c r="D27" s="67">
        <v>2</v>
      </c>
      <c r="E27" s="68">
        <v>2.08964580504E-4</v>
      </c>
    </row>
    <row r="28" spans="2:5" ht="15" customHeight="1">
      <c r="B28" s="111"/>
      <c r="C28" s="66" t="s">
        <v>141</v>
      </c>
      <c r="D28" s="67">
        <v>2</v>
      </c>
      <c r="E28" s="68">
        <v>2.08964580504E-4</v>
      </c>
    </row>
    <row r="29" spans="2:5" ht="15" customHeight="1">
      <c r="B29" s="111"/>
      <c r="C29" s="66" t="s">
        <v>142</v>
      </c>
      <c r="D29" s="67">
        <v>29</v>
      </c>
      <c r="E29" s="68">
        <v>3.029986417302E-3</v>
      </c>
    </row>
    <row r="30" spans="2:5" ht="15" customHeight="1">
      <c r="B30" s="111"/>
      <c r="C30" s="66" t="s">
        <v>145</v>
      </c>
      <c r="D30" s="67">
        <v>2</v>
      </c>
      <c r="E30" s="68">
        <v>2.08964580504E-4</v>
      </c>
    </row>
    <row r="31" spans="2:5" ht="15" customHeight="1">
      <c r="B31" s="111"/>
      <c r="C31" s="66" t="s">
        <v>147</v>
      </c>
      <c r="D31" s="67">
        <v>3</v>
      </c>
      <c r="E31" s="68">
        <v>3.13446870755E-4</v>
      </c>
    </row>
    <row r="32" spans="2:5" ht="15" customHeight="1">
      <c r="B32" s="112"/>
      <c r="C32" s="36" t="s">
        <v>29</v>
      </c>
      <c r="D32" s="35">
        <v>102</v>
      </c>
      <c r="E32" s="34">
        <v>1.0657193605684E-2</v>
      </c>
    </row>
    <row r="33" spans="2:5" ht="15" customHeight="1">
      <c r="B33" s="110" t="s">
        <v>224</v>
      </c>
      <c r="C33" s="66" t="s">
        <v>102</v>
      </c>
      <c r="D33" s="67">
        <v>2</v>
      </c>
      <c r="E33" s="68">
        <v>2.08964580504E-4</v>
      </c>
    </row>
    <row r="34" spans="2:5" ht="15" customHeight="1">
      <c r="B34" s="111"/>
      <c r="C34" s="66" t="s">
        <v>103</v>
      </c>
      <c r="D34" s="67">
        <v>9</v>
      </c>
      <c r="E34" s="68">
        <v>9.4034061226599996E-4</v>
      </c>
    </row>
    <row r="35" spans="2:5" ht="15" customHeight="1">
      <c r="B35" s="111"/>
      <c r="C35" s="66" t="s">
        <v>104</v>
      </c>
      <c r="D35" s="67">
        <v>1</v>
      </c>
      <c r="E35" s="68">
        <v>1.04482290252E-4</v>
      </c>
    </row>
    <row r="36" spans="2:5" ht="15" customHeight="1">
      <c r="B36" s="111"/>
      <c r="C36" s="66" t="s">
        <v>108</v>
      </c>
      <c r="D36" s="67">
        <v>7</v>
      </c>
      <c r="E36" s="68">
        <v>7.3137603176300005E-4</v>
      </c>
    </row>
    <row r="37" spans="2:5" ht="15" customHeight="1">
      <c r="B37" s="111"/>
      <c r="C37" s="66" t="s">
        <v>109</v>
      </c>
      <c r="D37" s="67">
        <v>2</v>
      </c>
      <c r="E37" s="68">
        <v>2.08964580504E-4</v>
      </c>
    </row>
    <row r="38" spans="2:5" ht="15" customHeight="1">
      <c r="B38" s="111"/>
      <c r="C38" s="66" t="s">
        <v>112</v>
      </c>
      <c r="D38" s="67">
        <v>1</v>
      </c>
      <c r="E38" s="68">
        <v>1.04482290252E-4</v>
      </c>
    </row>
    <row r="39" spans="2:5" ht="15" customHeight="1">
      <c r="B39" s="111"/>
      <c r="C39" s="66" t="s">
        <v>123</v>
      </c>
      <c r="D39" s="67">
        <v>1</v>
      </c>
      <c r="E39" s="68">
        <v>1.04482290252E-4</v>
      </c>
    </row>
    <row r="40" spans="2:5" ht="15" customHeight="1">
      <c r="B40" s="111"/>
      <c r="C40" s="66" t="s">
        <v>129</v>
      </c>
      <c r="D40" s="67">
        <v>1</v>
      </c>
      <c r="E40" s="68">
        <v>1.04482290252E-4</v>
      </c>
    </row>
    <row r="41" spans="2:5" ht="15" customHeight="1">
      <c r="B41" s="111"/>
      <c r="C41" s="66" t="s">
        <v>132</v>
      </c>
      <c r="D41" s="67">
        <v>1</v>
      </c>
      <c r="E41" s="68">
        <v>1.04482290252E-4</v>
      </c>
    </row>
    <row r="42" spans="2:5" ht="15" customHeight="1">
      <c r="B42" s="111"/>
      <c r="C42" s="66" t="s">
        <v>136</v>
      </c>
      <c r="D42" s="67">
        <v>1</v>
      </c>
      <c r="E42" s="68">
        <v>1.04482290252E-4</v>
      </c>
    </row>
    <row r="43" spans="2:5" ht="15" customHeight="1">
      <c r="B43" s="111"/>
      <c r="C43" s="66" t="s">
        <v>142</v>
      </c>
      <c r="D43" s="67">
        <v>14</v>
      </c>
      <c r="E43" s="68">
        <v>1.462752063525E-3</v>
      </c>
    </row>
    <row r="44" spans="2:5" ht="15" customHeight="1">
      <c r="B44" s="112"/>
      <c r="C44" s="36" t="s">
        <v>29</v>
      </c>
      <c r="D44" s="35">
        <v>40</v>
      </c>
      <c r="E44" s="34">
        <v>4.1792916100719998E-3</v>
      </c>
    </row>
    <row r="45" spans="2:5" ht="15" customHeight="1">
      <c r="B45" s="110" t="s">
        <v>225</v>
      </c>
      <c r="C45" s="66" t="s">
        <v>102</v>
      </c>
      <c r="D45" s="67">
        <v>1</v>
      </c>
      <c r="E45" s="68">
        <v>1.04482290252E-4</v>
      </c>
    </row>
    <row r="46" spans="2:5" ht="15" customHeight="1">
      <c r="B46" s="111"/>
      <c r="C46" s="66" t="s">
        <v>103</v>
      </c>
      <c r="D46" s="67">
        <v>22</v>
      </c>
      <c r="E46" s="68">
        <v>2.2986103855400001E-3</v>
      </c>
    </row>
    <row r="47" spans="2:5" ht="15" customHeight="1">
      <c r="B47" s="111"/>
      <c r="C47" s="66" t="s">
        <v>108</v>
      </c>
      <c r="D47" s="67">
        <v>5</v>
      </c>
      <c r="E47" s="68">
        <v>5.2241145125899997E-4</v>
      </c>
    </row>
    <row r="48" spans="2:5" ht="15" customHeight="1">
      <c r="B48" s="111"/>
      <c r="C48" s="66" t="s">
        <v>109</v>
      </c>
      <c r="D48" s="67">
        <v>1</v>
      </c>
      <c r="E48" s="68">
        <v>1.04482290252E-4</v>
      </c>
    </row>
    <row r="49" spans="2:5" ht="15" customHeight="1">
      <c r="B49" s="111"/>
      <c r="C49" s="66" t="s">
        <v>111</v>
      </c>
      <c r="D49" s="67">
        <v>1</v>
      </c>
      <c r="E49" s="68">
        <v>1.04482290252E-4</v>
      </c>
    </row>
    <row r="50" spans="2:5" ht="15" customHeight="1">
      <c r="B50" s="111"/>
      <c r="C50" s="66" t="s">
        <v>112</v>
      </c>
      <c r="D50" s="67">
        <v>2</v>
      </c>
      <c r="E50" s="68">
        <v>2.08964580504E-4</v>
      </c>
    </row>
    <row r="51" spans="2:5" ht="15" customHeight="1">
      <c r="B51" s="111"/>
      <c r="C51" s="66" t="s">
        <v>117</v>
      </c>
      <c r="D51" s="67">
        <v>3</v>
      </c>
      <c r="E51" s="68">
        <v>3.13446870755E-4</v>
      </c>
    </row>
    <row r="52" spans="2:5" ht="15" customHeight="1">
      <c r="B52" s="111"/>
      <c r="C52" s="66" t="s">
        <v>122</v>
      </c>
      <c r="D52" s="67">
        <v>1</v>
      </c>
      <c r="E52" s="68">
        <v>1.04482290252E-4</v>
      </c>
    </row>
    <row r="53" spans="2:5" ht="15" customHeight="1">
      <c r="B53" s="111"/>
      <c r="C53" s="66" t="s">
        <v>132</v>
      </c>
      <c r="D53" s="67">
        <v>1</v>
      </c>
      <c r="E53" s="68">
        <v>1.04482290252E-4</v>
      </c>
    </row>
    <row r="54" spans="2:5" ht="15" customHeight="1">
      <c r="B54" s="111"/>
      <c r="C54" s="66" t="s">
        <v>139</v>
      </c>
      <c r="D54" s="67">
        <v>2</v>
      </c>
      <c r="E54" s="68">
        <v>2.08964580504E-4</v>
      </c>
    </row>
    <row r="55" spans="2:5" ht="15" customHeight="1">
      <c r="B55" s="111"/>
      <c r="C55" s="66" t="s">
        <v>141</v>
      </c>
      <c r="D55" s="67">
        <v>1</v>
      </c>
      <c r="E55" s="68">
        <v>1.04482290252E-4</v>
      </c>
    </row>
    <row r="56" spans="2:5" ht="15" customHeight="1">
      <c r="B56" s="111"/>
      <c r="C56" s="66" t="s">
        <v>142</v>
      </c>
      <c r="D56" s="67">
        <v>12</v>
      </c>
      <c r="E56" s="68">
        <v>1.2537874830219999E-3</v>
      </c>
    </row>
    <row r="57" spans="2:5" ht="15" customHeight="1">
      <c r="B57" s="111"/>
      <c r="C57" s="66" t="s">
        <v>145</v>
      </c>
      <c r="D57" s="67">
        <v>3</v>
      </c>
      <c r="E57" s="68">
        <v>3.13446870755E-4</v>
      </c>
    </row>
    <row r="58" spans="2:5" ht="15" customHeight="1">
      <c r="B58" s="111"/>
      <c r="C58" s="66" t="s">
        <v>147</v>
      </c>
      <c r="D58" s="67">
        <v>1</v>
      </c>
      <c r="E58" s="68">
        <v>1.04482290252E-4</v>
      </c>
    </row>
    <row r="59" spans="2:5" ht="15" customHeight="1">
      <c r="B59" s="112"/>
      <c r="C59" s="36" t="s">
        <v>29</v>
      </c>
      <c r="D59" s="35">
        <v>56</v>
      </c>
      <c r="E59" s="34">
        <v>5.8510082541010002E-3</v>
      </c>
    </row>
    <row r="60" spans="2:5" ht="15" customHeight="1">
      <c r="B60" s="110" t="s">
        <v>226</v>
      </c>
      <c r="C60" s="66" t="s">
        <v>99</v>
      </c>
      <c r="D60" s="67">
        <v>1</v>
      </c>
      <c r="E60" s="68">
        <v>1.04482290252E-4</v>
      </c>
    </row>
    <row r="61" spans="2:5" ht="15" customHeight="1">
      <c r="B61" s="111"/>
      <c r="C61" s="66" t="s">
        <v>101</v>
      </c>
      <c r="D61" s="67">
        <v>1</v>
      </c>
      <c r="E61" s="68">
        <v>1.04482290252E-4</v>
      </c>
    </row>
    <row r="62" spans="2:5" ht="15" customHeight="1">
      <c r="B62" s="111"/>
      <c r="C62" s="66" t="s">
        <v>102</v>
      </c>
      <c r="D62" s="67">
        <v>5</v>
      </c>
      <c r="E62" s="68">
        <v>5.2241145125899997E-4</v>
      </c>
    </row>
    <row r="63" spans="2:5" ht="15" customHeight="1">
      <c r="B63" s="111"/>
      <c r="C63" s="66" t="s">
        <v>103</v>
      </c>
      <c r="D63" s="67">
        <v>22</v>
      </c>
      <c r="E63" s="68">
        <v>2.2986103855400001E-3</v>
      </c>
    </row>
    <row r="64" spans="2:5" ht="15" customHeight="1">
      <c r="B64" s="111"/>
      <c r="C64" s="66" t="s">
        <v>104</v>
      </c>
      <c r="D64" s="67">
        <v>2</v>
      </c>
      <c r="E64" s="68">
        <v>2.08964580504E-4</v>
      </c>
    </row>
    <row r="65" spans="2:5" ht="15" customHeight="1">
      <c r="B65" s="111"/>
      <c r="C65" s="66" t="s">
        <v>108</v>
      </c>
      <c r="D65" s="67">
        <v>13</v>
      </c>
      <c r="E65" s="68">
        <v>1.3582697732729999E-3</v>
      </c>
    </row>
    <row r="66" spans="2:5" ht="15" customHeight="1">
      <c r="B66" s="111"/>
      <c r="C66" s="66" t="s">
        <v>109</v>
      </c>
      <c r="D66" s="67">
        <v>6</v>
      </c>
      <c r="E66" s="68">
        <v>6.2689374151099996E-4</v>
      </c>
    </row>
    <row r="67" spans="2:5" ht="15" customHeight="1">
      <c r="B67" s="111"/>
      <c r="C67" s="66" t="s">
        <v>111</v>
      </c>
      <c r="D67" s="67">
        <v>1</v>
      </c>
      <c r="E67" s="68">
        <v>1.04482290252E-4</v>
      </c>
    </row>
    <row r="68" spans="2:5" ht="15" customHeight="1">
      <c r="B68" s="111"/>
      <c r="C68" s="66" t="s">
        <v>112</v>
      </c>
      <c r="D68" s="67">
        <v>3</v>
      </c>
      <c r="E68" s="68">
        <v>3.13446870755E-4</v>
      </c>
    </row>
    <row r="69" spans="2:5" ht="15" customHeight="1">
      <c r="B69" s="111"/>
      <c r="C69" s="66" t="s">
        <v>113</v>
      </c>
      <c r="D69" s="67">
        <v>3</v>
      </c>
      <c r="E69" s="68">
        <v>3.13446870755E-4</v>
      </c>
    </row>
    <row r="70" spans="2:5" ht="15" customHeight="1">
      <c r="B70" s="111"/>
      <c r="C70" s="66" t="s">
        <v>115</v>
      </c>
      <c r="D70" s="67">
        <v>2</v>
      </c>
      <c r="E70" s="68">
        <v>2.08964580504E-4</v>
      </c>
    </row>
    <row r="71" spans="2:5" ht="15" customHeight="1">
      <c r="B71" s="111"/>
      <c r="C71" s="66" t="s">
        <v>117</v>
      </c>
      <c r="D71" s="67">
        <v>1</v>
      </c>
      <c r="E71" s="68">
        <v>1.04482290252E-4</v>
      </c>
    </row>
    <row r="72" spans="2:5" ht="15" customHeight="1">
      <c r="B72" s="111"/>
      <c r="C72" s="66" t="s">
        <v>121</v>
      </c>
      <c r="D72" s="67">
        <v>1</v>
      </c>
      <c r="E72" s="68">
        <v>1.04482290252E-4</v>
      </c>
    </row>
    <row r="73" spans="2:5" ht="15" customHeight="1">
      <c r="B73" s="111"/>
      <c r="C73" s="66" t="s">
        <v>123</v>
      </c>
      <c r="D73" s="67">
        <v>1</v>
      </c>
      <c r="E73" s="68">
        <v>1.04482290252E-4</v>
      </c>
    </row>
    <row r="74" spans="2:5" ht="15" customHeight="1">
      <c r="B74" s="111"/>
      <c r="C74" s="66" t="s">
        <v>126</v>
      </c>
      <c r="D74" s="67">
        <v>1</v>
      </c>
      <c r="E74" s="68">
        <v>1.04482290252E-4</v>
      </c>
    </row>
    <row r="75" spans="2:5" ht="15" customHeight="1">
      <c r="B75" s="111"/>
      <c r="C75" s="66" t="s">
        <v>127</v>
      </c>
      <c r="D75" s="67">
        <v>2</v>
      </c>
      <c r="E75" s="68">
        <v>2.08964580504E-4</v>
      </c>
    </row>
    <row r="76" spans="2:5" ht="15" customHeight="1">
      <c r="B76" s="111"/>
      <c r="C76" s="66" t="s">
        <v>131</v>
      </c>
      <c r="D76" s="67">
        <v>1</v>
      </c>
      <c r="E76" s="68">
        <v>1.04482290252E-4</v>
      </c>
    </row>
    <row r="77" spans="2:5" ht="15" customHeight="1">
      <c r="B77" s="111"/>
      <c r="C77" s="66" t="s">
        <v>132</v>
      </c>
      <c r="D77" s="67">
        <v>5</v>
      </c>
      <c r="E77" s="68">
        <v>5.2241145125899997E-4</v>
      </c>
    </row>
    <row r="78" spans="2:5" ht="15" customHeight="1">
      <c r="B78" s="111"/>
      <c r="C78" s="66" t="s">
        <v>134</v>
      </c>
      <c r="D78" s="67">
        <v>1</v>
      </c>
      <c r="E78" s="68">
        <v>1.04482290252E-4</v>
      </c>
    </row>
    <row r="79" spans="2:5" ht="15" customHeight="1">
      <c r="B79" s="111"/>
      <c r="C79" s="66" t="s">
        <v>135</v>
      </c>
      <c r="D79" s="67">
        <v>4</v>
      </c>
      <c r="E79" s="68">
        <v>4.1792916100699999E-4</v>
      </c>
    </row>
    <row r="80" spans="2:5" ht="15" customHeight="1">
      <c r="B80" s="111"/>
      <c r="C80" s="66" t="s">
        <v>136</v>
      </c>
      <c r="D80" s="67">
        <v>1</v>
      </c>
      <c r="E80" s="68">
        <v>1.04482290252E-4</v>
      </c>
    </row>
    <row r="81" spans="2:5" ht="15" customHeight="1">
      <c r="B81" s="111"/>
      <c r="C81" s="66" t="s">
        <v>139</v>
      </c>
      <c r="D81" s="67">
        <v>4</v>
      </c>
      <c r="E81" s="68">
        <v>4.1792916100699999E-4</v>
      </c>
    </row>
    <row r="82" spans="2:5" ht="15" customHeight="1">
      <c r="B82" s="111"/>
      <c r="C82" s="66" t="s">
        <v>141</v>
      </c>
      <c r="D82" s="67">
        <v>3</v>
      </c>
      <c r="E82" s="68">
        <v>3.13446870755E-4</v>
      </c>
    </row>
    <row r="83" spans="2:5" ht="15" customHeight="1">
      <c r="B83" s="111"/>
      <c r="C83" s="66" t="s">
        <v>142</v>
      </c>
      <c r="D83" s="67">
        <v>47</v>
      </c>
      <c r="E83" s="68">
        <v>4.9106676418349997E-3</v>
      </c>
    </row>
    <row r="84" spans="2:5" ht="15" customHeight="1">
      <c r="B84" s="111"/>
      <c r="C84" s="66" t="s">
        <v>143</v>
      </c>
      <c r="D84" s="67">
        <v>1</v>
      </c>
      <c r="E84" s="68">
        <v>1.04482290252E-4</v>
      </c>
    </row>
    <row r="85" spans="2:5" ht="15" customHeight="1">
      <c r="B85" s="111"/>
      <c r="C85" s="66" t="s">
        <v>145</v>
      </c>
      <c r="D85" s="67">
        <v>1</v>
      </c>
      <c r="E85" s="68">
        <v>1.04482290252E-4</v>
      </c>
    </row>
    <row r="86" spans="2:5" ht="15" customHeight="1">
      <c r="B86" s="111"/>
      <c r="C86" s="66" t="s">
        <v>74</v>
      </c>
      <c r="D86" s="67">
        <v>1</v>
      </c>
      <c r="E86" s="68">
        <v>1.04482290252E-4</v>
      </c>
    </row>
    <row r="87" spans="2:5" ht="15" customHeight="1">
      <c r="B87" s="111"/>
      <c r="C87" s="66" t="s">
        <v>147</v>
      </c>
      <c r="D87" s="67">
        <v>1</v>
      </c>
      <c r="E87" s="68">
        <v>1.04482290252E-4</v>
      </c>
    </row>
    <row r="88" spans="2:5" ht="15" customHeight="1">
      <c r="B88" s="112"/>
      <c r="C88" s="36" t="s">
        <v>29</v>
      </c>
      <c r="D88" s="35">
        <v>135</v>
      </c>
      <c r="E88" s="34">
        <v>1.4105109183993001E-2</v>
      </c>
    </row>
    <row r="89" spans="2:5" ht="15" customHeight="1">
      <c r="B89" s="110" t="s">
        <v>227</v>
      </c>
      <c r="C89" s="66" t="s">
        <v>99</v>
      </c>
      <c r="D89" s="67">
        <v>1</v>
      </c>
      <c r="E89" s="68">
        <v>1.04482290252E-4</v>
      </c>
    </row>
    <row r="90" spans="2:5" ht="15" customHeight="1">
      <c r="B90" s="111"/>
      <c r="C90" s="66" t="s">
        <v>101</v>
      </c>
      <c r="D90" s="67">
        <v>2</v>
      </c>
      <c r="E90" s="68">
        <v>2.08964580504E-4</v>
      </c>
    </row>
    <row r="91" spans="2:5" ht="15" customHeight="1">
      <c r="B91" s="111"/>
      <c r="C91" s="66" t="s">
        <v>102</v>
      </c>
      <c r="D91" s="67">
        <v>2</v>
      </c>
      <c r="E91" s="68">
        <v>2.08964580504E-4</v>
      </c>
    </row>
    <row r="92" spans="2:5" ht="15" customHeight="1">
      <c r="B92" s="111"/>
      <c r="C92" s="66" t="s">
        <v>103</v>
      </c>
      <c r="D92" s="67">
        <v>22</v>
      </c>
      <c r="E92" s="68">
        <v>2.2986103855400001E-3</v>
      </c>
    </row>
    <row r="93" spans="2:5" ht="15" customHeight="1">
      <c r="B93" s="111"/>
      <c r="C93" s="66" t="s">
        <v>104</v>
      </c>
      <c r="D93" s="67">
        <v>1</v>
      </c>
      <c r="E93" s="68">
        <v>1.04482290252E-4</v>
      </c>
    </row>
    <row r="94" spans="2:5" ht="15" customHeight="1">
      <c r="B94" s="111"/>
      <c r="C94" s="66" t="s">
        <v>108</v>
      </c>
      <c r="D94" s="67">
        <v>7</v>
      </c>
      <c r="E94" s="68">
        <v>7.3137603176300005E-4</v>
      </c>
    </row>
    <row r="95" spans="2:5" ht="15" customHeight="1">
      <c r="B95" s="111"/>
      <c r="C95" s="66" t="s">
        <v>109</v>
      </c>
      <c r="D95" s="67">
        <v>3</v>
      </c>
      <c r="E95" s="68">
        <v>3.13446870755E-4</v>
      </c>
    </row>
    <row r="96" spans="2:5" ht="15" customHeight="1">
      <c r="B96" s="111"/>
      <c r="C96" s="66" t="s">
        <v>113</v>
      </c>
      <c r="D96" s="67">
        <v>3</v>
      </c>
      <c r="E96" s="68">
        <v>3.13446870755E-4</v>
      </c>
    </row>
    <row r="97" spans="2:5" ht="15" customHeight="1">
      <c r="B97" s="111"/>
      <c r="C97" s="66" t="s">
        <v>121</v>
      </c>
      <c r="D97" s="67">
        <v>1</v>
      </c>
      <c r="E97" s="68">
        <v>1.04482290252E-4</v>
      </c>
    </row>
    <row r="98" spans="2:5" ht="15" customHeight="1">
      <c r="B98" s="111"/>
      <c r="C98" s="66" t="s">
        <v>123</v>
      </c>
      <c r="D98" s="67">
        <v>1</v>
      </c>
      <c r="E98" s="68">
        <v>1.04482290252E-4</v>
      </c>
    </row>
    <row r="99" spans="2:5" ht="15" customHeight="1">
      <c r="B99" s="111"/>
      <c r="C99" s="66" t="s">
        <v>127</v>
      </c>
      <c r="D99" s="67">
        <v>1</v>
      </c>
      <c r="E99" s="68">
        <v>1.04482290252E-4</v>
      </c>
    </row>
    <row r="100" spans="2:5" ht="15" customHeight="1">
      <c r="B100" s="111"/>
      <c r="C100" s="66" t="s">
        <v>132</v>
      </c>
      <c r="D100" s="67">
        <v>4</v>
      </c>
      <c r="E100" s="68">
        <v>4.1792916100699999E-4</v>
      </c>
    </row>
    <row r="101" spans="2:5" ht="15" customHeight="1">
      <c r="B101" s="111"/>
      <c r="C101" s="66" t="s">
        <v>134</v>
      </c>
      <c r="D101" s="67">
        <v>1</v>
      </c>
      <c r="E101" s="68">
        <v>1.04482290252E-4</v>
      </c>
    </row>
    <row r="102" spans="2:5" ht="15" customHeight="1">
      <c r="B102" s="111"/>
      <c r="C102" s="66" t="s">
        <v>137</v>
      </c>
      <c r="D102" s="67">
        <v>1</v>
      </c>
      <c r="E102" s="68">
        <v>1.04482290252E-4</v>
      </c>
    </row>
    <row r="103" spans="2:5" ht="15" customHeight="1">
      <c r="B103" s="111"/>
      <c r="C103" s="66" t="s">
        <v>139</v>
      </c>
      <c r="D103" s="67">
        <v>2</v>
      </c>
      <c r="E103" s="68">
        <v>2.08964580504E-4</v>
      </c>
    </row>
    <row r="104" spans="2:5" ht="15" customHeight="1">
      <c r="B104" s="111"/>
      <c r="C104" s="66" t="s">
        <v>142</v>
      </c>
      <c r="D104" s="67">
        <v>30</v>
      </c>
      <c r="E104" s="68">
        <v>3.1344687075539998E-3</v>
      </c>
    </row>
    <row r="105" spans="2:5" ht="15" customHeight="1">
      <c r="B105" s="111"/>
      <c r="C105" s="66" t="s">
        <v>145</v>
      </c>
      <c r="D105" s="67">
        <v>1</v>
      </c>
      <c r="E105" s="68">
        <v>1.04482290252E-4</v>
      </c>
    </row>
    <row r="106" spans="2:5" ht="15" customHeight="1">
      <c r="B106" s="111"/>
      <c r="C106" s="66" t="s">
        <v>74</v>
      </c>
      <c r="D106" s="67">
        <v>1</v>
      </c>
      <c r="E106" s="68">
        <v>1.04482290252E-4</v>
      </c>
    </row>
    <row r="107" spans="2:5" ht="15" customHeight="1">
      <c r="B107" s="111"/>
      <c r="C107" s="66" t="s">
        <v>147</v>
      </c>
      <c r="D107" s="67">
        <v>4</v>
      </c>
      <c r="E107" s="68">
        <v>4.1792916100699999E-4</v>
      </c>
    </row>
    <row r="108" spans="2:5" ht="15" customHeight="1">
      <c r="B108" s="112"/>
      <c r="C108" s="36" t="s">
        <v>29</v>
      </c>
      <c r="D108" s="35">
        <v>88</v>
      </c>
      <c r="E108" s="34">
        <v>9.1944415421589994E-3</v>
      </c>
    </row>
    <row r="109" spans="2:5" ht="15" customHeight="1">
      <c r="B109" s="110" t="s">
        <v>228</v>
      </c>
      <c r="C109" s="66" t="s">
        <v>99</v>
      </c>
      <c r="D109" s="67">
        <v>3</v>
      </c>
      <c r="E109" s="68">
        <v>3.13446870755E-4</v>
      </c>
    </row>
    <row r="110" spans="2:5" ht="15" customHeight="1">
      <c r="B110" s="111"/>
      <c r="C110" s="66" t="s">
        <v>101</v>
      </c>
      <c r="D110" s="67">
        <v>1</v>
      </c>
      <c r="E110" s="68">
        <v>1.04482290252E-4</v>
      </c>
    </row>
    <row r="111" spans="2:5" ht="15" customHeight="1">
      <c r="B111" s="111"/>
      <c r="C111" s="66" t="s">
        <v>102</v>
      </c>
      <c r="D111" s="67">
        <v>2</v>
      </c>
      <c r="E111" s="68">
        <v>2.08964580504E-4</v>
      </c>
    </row>
    <row r="112" spans="2:5" ht="15" customHeight="1">
      <c r="B112" s="111"/>
      <c r="C112" s="66" t="s">
        <v>103</v>
      </c>
      <c r="D112" s="67">
        <v>21</v>
      </c>
      <c r="E112" s="68">
        <v>2.1941280952880002E-3</v>
      </c>
    </row>
    <row r="113" spans="2:5" ht="15" customHeight="1">
      <c r="B113" s="111"/>
      <c r="C113" s="66" t="s">
        <v>104</v>
      </c>
      <c r="D113" s="67">
        <v>2</v>
      </c>
      <c r="E113" s="68">
        <v>2.08964580504E-4</v>
      </c>
    </row>
    <row r="114" spans="2:5" ht="15" customHeight="1">
      <c r="B114" s="111"/>
      <c r="C114" s="66" t="s">
        <v>108</v>
      </c>
      <c r="D114" s="67">
        <v>11</v>
      </c>
      <c r="E114" s="68">
        <v>1.14930519277E-3</v>
      </c>
    </row>
    <row r="115" spans="2:5" ht="15" customHeight="1">
      <c r="B115" s="111"/>
      <c r="C115" s="66" t="s">
        <v>109</v>
      </c>
      <c r="D115" s="67">
        <v>4</v>
      </c>
      <c r="E115" s="68">
        <v>4.1792916100699999E-4</v>
      </c>
    </row>
    <row r="116" spans="2:5" ht="15" customHeight="1">
      <c r="B116" s="111"/>
      <c r="C116" s="66" t="s">
        <v>111</v>
      </c>
      <c r="D116" s="67">
        <v>3</v>
      </c>
      <c r="E116" s="68">
        <v>3.13446870755E-4</v>
      </c>
    </row>
    <row r="117" spans="2:5" ht="15" customHeight="1">
      <c r="B117" s="111"/>
      <c r="C117" s="66" t="s">
        <v>112</v>
      </c>
      <c r="D117" s="67">
        <v>1</v>
      </c>
      <c r="E117" s="68">
        <v>1.04482290252E-4</v>
      </c>
    </row>
    <row r="118" spans="2:5" ht="15" customHeight="1">
      <c r="B118" s="111"/>
      <c r="C118" s="66" t="s">
        <v>113</v>
      </c>
      <c r="D118" s="67">
        <v>1</v>
      </c>
      <c r="E118" s="68">
        <v>1.04482290252E-4</v>
      </c>
    </row>
    <row r="119" spans="2:5" ht="15" customHeight="1">
      <c r="B119" s="111"/>
      <c r="C119" s="66" t="s">
        <v>114</v>
      </c>
      <c r="D119" s="67">
        <v>1</v>
      </c>
      <c r="E119" s="68">
        <v>1.04482290252E-4</v>
      </c>
    </row>
    <row r="120" spans="2:5" ht="15" customHeight="1">
      <c r="B120" s="111"/>
      <c r="C120" s="66" t="s">
        <v>123</v>
      </c>
      <c r="D120" s="67">
        <v>2</v>
      </c>
      <c r="E120" s="68">
        <v>2.08964580504E-4</v>
      </c>
    </row>
    <row r="121" spans="2:5" ht="15" customHeight="1">
      <c r="B121" s="111"/>
      <c r="C121" s="66" t="s">
        <v>126</v>
      </c>
      <c r="D121" s="67">
        <v>1</v>
      </c>
      <c r="E121" s="68">
        <v>1.04482290252E-4</v>
      </c>
    </row>
    <row r="122" spans="2:5" ht="15" customHeight="1">
      <c r="B122" s="111"/>
      <c r="C122" s="66" t="s">
        <v>127</v>
      </c>
      <c r="D122" s="67">
        <v>2</v>
      </c>
      <c r="E122" s="68">
        <v>2.08964580504E-4</v>
      </c>
    </row>
    <row r="123" spans="2:5" ht="15" customHeight="1">
      <c r="B123" s="111"/>
      <c r="C123" s="66" t="s">
        <v>129</v>
      </c>
      <c r="D123" s="67">
        <v>1</v>
      </c>
      <c r="E123" s="68">
        <v>1.04482290252E-4</v>
      </c>
    </row>
    <row r="124" spans="2:5" ht="15" customHeight="1">
      <c r="B124" s="111"/>
      <c r="C124" s="66" t="s">
        <v>132</v>
      </c>
      <c r="D124" s="67">
        <v>7</v>
      </c>
      <c r="E124" s="68">
        <v>7.3137603176300005E-4</v>
      </c>
    </row>
    <row r="125" spans="2:5" ht="15" customHeight="1">
      <c r="B125" s="111"/>
      <c r="C125" s="66" t="s">
        <v>134</v>
      </c>
      <c r="D125" s="67">
        <v>1</v>
      </c>
      <c r="E125" s="68">
        <v>1.04482290252E-4</v>
      </c>
    </row>
    <row r="126" spans="2:5" ht="15" customHeight="1">
      <c r="B126" s="111"/>
      <c r="C126" s="66" t="s">
        <v>135</v>
      </c>
      <c r="D126" s="67">
        <v>5</v>
      </c>
      <c r="E126" s="68">
        <v>5.2241145125899997E-4</v>
      </c>
    </row>
    <row r="127" spans="2:5" ht="15" customHeight="1">
      <c r="B127" s="111"/>
      <c r="C127" s="66" t="s">
        <v>142</v>
      </c>
      <c r="D127" s="67">
        <v>44</v>
      </c>
      <c r="E127" s="68">
        <v>4.5972207710790001E-3</v>
      </c>
    </row>
    <row r="128" spans="2:5" ht="15" customHeight="1">
      <c r="B128" s="111"/>
      <c r="C128" s="66" t="s">
        <v>143</v>
      </c>
      <c r="D128" s="67">
        <v>1</v>
      </c>
      <c r="E128" s="68">
        <v>1.04482290252E-4</v>
      </c>
    </row>
    <row r="129" spans="2:5" ht="15" customHeight="1">
      <c r="B129" s="111"/>
      <c r="C129" s="66" t="s">
        <v>145</v>
      </c>
      <c r="D129" s="67">
        <v>2</v>
      </c>
      <c r="E129" s="68">
        <v>2.08964580504E-4</v>
      </c>
    </row>
    <row r="130" spans="2:5" ht="15" customHeight="1">
      <c r="B130" s="111"/>
      <c r="C130" s="66" t="s">
        <v>147</v>
      </c>
      <c r="D130" s="67">
        <v>2</v>
      </c>
      <c r="E130" s="68">
        <v>2.08964580504E-4</v>
      </c>
    </row>
    <row r="131" spans="2:5" ht="15" customHeight="1">
      <c r="B131" s="112"/>
      <c r="C131" s="36" t="s">
        <v>29</v>
      </c>
      <c r="D131" s="35">
        <v>118</v>
      </c>
      <c r="E131" s="34">
        <v>1.2328910249713E-2</v>
      </c>
    </row>
    <row r="132" spans="2:5" ht="15" customHeight="1">
      <c r="B132" s="110" t="s">
        <v>229</v>
      </c>
      <c r="C132" s="66" t="s">
        <v>99</v>
      </c>
      <c r="D132" s="67">
        <v>10</v>
      </c>
      <c r="E132" s="68">
        <v>1.0448229025179999E-3</v>
      </c>
    </row>
    <row r="133" spans="2:5" ht="15" customHeight="1">
      <c r="B133" s="111"/>
      <c r="C133" s="66" t="s">
        <v>101</v>
      </c>
      <c r="D133" s="67">
        <v>3</v>
      </c>
      <c r="E133" s="68">
        <v>3.13446870755E-4</v>
      </c>
    </row>
    <row r="134" spans="2:5" ht="15" customHeight="1">
      <c r="B134" s="111"/>
      <c r="C134" s="66" t="s">
        <v>102</v>
      </c>
      <c r="D134" s="67">
        <v>20</v>
      </c>
      <c r="E134" s="68">
        <v>2.0896458050359999E-3</v>
      </c>
    </row>
    <row r="135" spans="2:5" ht="15" customHeight="1">
      <c r="B135" s="111"/>
      <c r="C135" s="66" t="s">
        <v>103</v>
      </c>
      <c r="D135" s="67">
        <v>166</v>
      </c>
      <c r="E135" s="68">
        <v>1.7344060181799001E-2</v>
      </c>
    </row>
    <row r="136" spans="2:5" ht="15" customHeight="1">
      <c r="B136" s="111"/>
      <c r="C136" s="66" t="s">
        <v>104</v>
      </c>
      <c r="D136" s="67">
        <v>6</v>
      </c>
      <c r="E136" s="68">
        <v>6.2689374151099996E-4</v>
      </c>
    </row>
    <row r="137" spans="2:5" ht="15" customHeight="1">
      <c r="B137" s="111"/>
      <c r="C137" s="66" t="s">
        <v>108</v>
      </c>
      <c r="D137" s="67">
        <v>74</v>
      </c>
      <c r="E137" s="68">
        <v>7.7316894786330003E-3</v>
      </c>
    </row>
    <row r="138" spans="2:5" ht="15" customHeight="1">
      <c r="B138" s="111"/>
      <c r="C138" s="66" t="s">
        <v>109</v>
      </c>
      <c r="D138" s="67">
        <v>14</v>
      </c>
      <c r="E138" s="68">
        <v>1.462752063525E-3</v>
      </c>
    </row>
    <row r="139" spans="2:5" ht="15" customHeight="1">
      <c r="B139" s="111"/>
      <c r="C139" s="66" t="s">
        <v>111</v>
      </c>
      <c r="D139" s="67">
        <v>8</v>
      </c>
      <c r="E139" s="68">
        <v>8.3585832201399997E-4</v>
      </c>
    </row>
    <row r="140" spans="2:5" ht="15" customHeight="1">
      <c r="B140" s="111"/>
      <c r="C140" s="66" t="s">
        <v>112</v>
      </c>
      <c r="D140" s="67">
        <v>13</v>
      </c>
      <c r="E140" s="68">
        <v>1.3582697732729999E-3</v>
      </c>
    </row>
    <row r="141" spans="2:5" ht="15" customHeight="1">
      <c r="B141" s="111"/>
      <c r="C141" s="66" t="s">
        <v>113</v>
      </c>
      <c r="D141" s="67">
        <v>16</v>
      </c>
      <c r="E141" s="68">
        <v>1.671716644029E-3</v>
      </c>
    </row>
    <row r="142" spans="2:5" ht="15" customHeight="1">
      <c r="B142" s="111"/>
      <c r="C142" s="66" t="s">
        <v>115</v>
      </c>
      <c r="D142" s="67">
        <v>2</v>
      </c>
      <c r="E142" s="68">
        <v>2.08964580504E-4</v>
      </c>
    </row>
    <row r="143" spans="2:5" ht="15" customHeight="1">
      <c r="B143" s="111"/>
      <c r="C143" s="66" t="s">
        <v>116</v>
      </c>
      <c r="D143" s="67">
        <v>4</v>
      </c>
      <c r="E143" s="68">
        <v>4.1792916100699999E-4</v>
      </c>
    </row>
    <row r="144" spans="2:5" ht="15" customHeight="1">
      <c r="B144" s="111"/>
      <c r="C144" s="66" t="s">
        <v>117</v>
      </c>
      <c r="D144" s="67">
        <v>6</v>
      </c>
      <c r="E144" s="68">
        <v>6.2689374151099996E-4</v>
      </c>
    </row>
    <row r="145" spans="2:5" ht="15" customHeight="1">
      <c r="B145" s="111"/>
      <c r="C145" s="66" t="s">
        <v>119</v>
      </c>
      <c r="D145" s="67">
        <v>1</v>
      </c>
      <c r="E145" s="68">
        <v>1.04482290252E-4</v>
      </c>
    </row>
    <row r="146" spans="2:5" ht="15" customHeight="1">
      <c r="B146" s="111"/>
      <c r="C146" s="66" t="s">
        <v>120</v>
      </c>
      <c r="D146" s="67">
        <v>1</v>
      </c>
      <c r="E146" s="68">
        <v>1.04482290252E-4</v>
      </c>
    </row>
    <row r="147" spans="2:5" ht="15" customHeight="1">
      <c r="B147" s="111"/>
      <c r="C147" s="66" t="s">
        <v>121</v>
      </c>
      <c r="D147" s="67">
        <v>5</v>
      </c>
      <c r="E147" s="68">
        <v>5.2241145125899997E-4</v>
      </c>
    </row>
    <row r="148" spans="2:5" ht="15" customHeight="1">
      <c r="B148" s="111"/>
      <c r="C148" s="66" t="s">
        <v>122</v>
      </c>
      <c r="D148" s="67">
        <v>4</v>
      </c>
      <c r="E148" s="68">
        <v>4.1792916100699999E-4</v>
      </c>
    </row>
    <row r="149" spans="2:5" ht="15" customHeight="1">
      <c r="B149" s="111"/>
      <c r="C149" s="66" t="s">
        <v>123</v>
      </c>
      <c r="D149" s="67">
        <v>9</v>
      </c>
      <c r="E149" s="68">
        <v>9.4034061226599996E-4</v>
      </c>
    </row>
    <row r="150" spans="2:5" ht="15" customHeight="1">
      <c r="B150" s="111"/>
      <c r="C150" s="66" t="s">
        <v>124</v>
      </c>
      <c r="D150" s="67">
        <v>3</v>
      </c>
      <c r="E150" s="68">
        <v>3.13446870755E-4</v>
      </c>
    </row>
    <row r="151" spans="2:5" ht="15" customHeight="1">
      <c r="B151" s="111"/>
      <c r="C151" s="66" t="s">
        <v>125</v>
      </c>
      <c r="D151" s="67">
        <v>2</v>
      </c>
      <c r="E151" s="68">
        <v>2.08964580504E-4</v>
      </c>
    </row>
    <row r="152" spans="2:5" ht="15" customHeight="1">
      <c r="B152" s="111"/>
      <c r="C152" s="66" t="s">
        <v>126</v>
      </c>
      <c r="D152" s="67">
        <v>3</v>
      </c>
      <c r="E152" s="68">
        <v>3.13446870755E-4</v>
      </c>
    </row>
    <row r="153" spans="2:5" ht="15" customHeight="1">
      <c r="B153" s="111"/>
      <c r="C153" s="66" t="s">
        <v>127</v>
      </c>
      <c r="D153" s="67">
        <v>20</v>
      </c>
      <c r="E153" s="68">
        <v>2.0896458050359999E-3</v>
      </c>
    </row>
    <row r="154" spans="2:5" ht="15" customHeight="1">
      <c r="B154" s="111"/>
      <c r="C154" s="66" t="s">
        <v>128</v>
      </c>
      <c r="D154" s="67">
        <v>2</v>
      </c>
      <c r="E154" s="68">
        <v>2.08964580504E-4</v>
      </c>
    </row>
    <row r="155" spans="2:5" ht="15" customHeight="1">
      <c r="B155" s="111"/>
      <c r="C155" s="66" t="s">
        <v>129</v>
      </c>
      <c r="D155" s="67">
        <v>3</v>
      </c>
      <c r="E155" s="68">
        <v>3.13446870755E-4</v>
      </c>
    </row>
    <row r="156" spans="2:5" ht="15" customHeight="1">
      <c r="B156" s="111"/>
      <c r="C156" s="66" t="s">
        <v>130</v>
      </c>
      <c r="D156" s="67">
        <v>4</v>
      </c>
      <c r="E156" s="68">
        <v>4.1792916100699999E-4</v>
      </c>
    </row>
    <row r="157" spans="2:5" ht="15" customHeight="1">
      <c r="B157" s="111"/>
      <c r="C157" s="66" t="s">
        <v>131</v>
      </c>
      <c r="D157" s="67">
        <v>4</v>
      </c>
      <c r="E157" s="68">
        <v>4.1792916100699999E-4</v>
      </c>
    </row>
    <row r="158" spans="2:5" ht="15" customHeight="1">
      <c r="B158" s="111"/>
      <c r="C158" s="66" t="s">
        <v>132</v>
      </c>
      <c r="D158" s="67">
        <v>27</v>
      </c>
      <c r="E158" s="68">
        <v>2.8210218367989998E-3</v>
      </c>
    </row>
    <row r="159" spans="2:5" ht="15" customHeight="1">
      <c r="B159" s="111"/>
      <c r="C159" s="66" t="s">
        <v>133</v>
      </c>
      <c r="D159" s="67">
        <v>1</v>
      </c>
      <c r="E159" s="68">
        <v>1.04482290252E-4</v>
      </c>
    </row>
    <row r="160" spans="2:5" ht="15" customHeight="1">
      <c r="B160" s="111"/>
      <c r="C160" s="66" t="s">
        <v>134</v>
      </c>
      <c r="D160" s="67">
        <v>5</v>
      </c>
      <c r="E160" s="68">
        <v>5.2241145125899997E-4</v>
      </c>
    </row>
    <row r="161" spans="2:5" ht="15" customHeight="1">
      <c r="B161" s="111"/>
      <c r="C161" s="66" t="s">
        <v>135</v>
      </c>
      <c r="D161" s="67">
        <v>15</v>
      </c>
      <c r="E161" s="68">
        <v>1.5672343537769999E-3</v>
      </c>
    </row>
    <row r="162" spans="2:5" ht="15" customHeight="1">
      <c r="B162" s="111"/>
      <c r="C162" s="66" t="s">
        <v>136</v>
      </c>
      <c r="D162" s="67">
        <v>5</v>
      </c>
      <c r="E162" s="68">
        <v>5.2241145125899997E-4</v>
      </c>
    </row>
    <row r="163" spans="2:5" ht="15" customHeight="1">
      <c r="B163" s="111"/>
      <c r="C163" s="66" t="s">
        <v>137</v>
      </c>
      <c r="D163" s="67">
        <v>6</v>
      </c>
      <c r="E163" s="68">
        <v>6.2689374151099996E-4</v>
      </c>
    </row>
    <row r="164" spans="2:5" ht="15" customHeight="1">
      <c r="B164" s="111"/>
      <c r="C164" s="66" t="s">
        <v>139</v>
      </c>
      <c r="D164" s="67">
        <v>20</v>
      </c>
      <c r="E164" s="68">
        <v>2.0896458050359999E-3</v>
      </c>
    </row>
    <row r="165" spans="2:5" ht="15" customHeight="1">
      <c r="B165" s="111"/>
      <c r="C165" s="66" t="s">
        <v>141</v>
      </c>
      <c r="D165" s="67">
        <v>21</v>
      </c>
      <c r="E165" s="68">
        <v>2.1941280952880002E-3</v>
      </c>
    </row>
    <row r="166" spans="2:5" ht="15" customHeight="1">
      <c r="B166" s="111"/>
      <c r="C166" s="66" t="s">
        <v>142</v>
      </c>
      <c r="D166" s="67">
        <v>318</v>
      </c>
      <c r="E166" s="68">
        <v>3.3225368300072999E-2</v>
      </c>
    </row>
    <row r="167" spans="2:5" ht="15" customHeight="1">
      <c r="B167" s="111"/>
      <c r="C167" s="66" t="s">
        <v>143</v>
      </c>
      <c r="D167" s="67">
        <v>3</v>
      </c>
      <c r="E167" s="68">
        <v>3.13446870755E-4</v>
      </c>
    </row>
    <row r="168" spans="2:5" ht="15" customHeight="1">
      <c r="B168" s="111"/>
      <c r="C168" s="66" t="s">
        <v>145</v>
      </c>
      <c r="D168" s="67">
        <v>5</v>
      </c>
      <c r="E168" s="68">
        <v>5.2241145125899997E-4</v>
      </c>
    </row>
    <row r="169" spans="2:5" ht="15" customHeight="1">
      <c r="B169" s="111"/>
      <c r="C169" s="66" t="s">
        <v>74</v>
      </c>
      <c r="D169" s="67">
        <v>6</v>
      </c>
      <c r="E169" s="68">
        <v>6.2689374151099996E-4</v>
      </c>
    </row>
    <row r="170" spans="2:5" ht="15" customHeight="1">
      <c r="B170" s="111"/>
      <c r="C170" s="66" t="s">
        <v>146</v>
      </c>
      <c r="D170" s="67">
        <v>1</v>
      </c>
      <c r="E170" s="68">
        <v>1.04482290252E-4</v>
      </c>
    </row>
    <row r="171" spans="2:5" ht="15" customHeight="1">
      <c r="B171" s="111"/>
      <c r="C171" s="66" t="s">
        <v>147</v>
      </c>
      <c r="D171" s="67">
        <v>3</v>
      </c>
      <c r="E171" s="68">
        <v>3.13446870755E-4</v>
      </c>
    </row>
    <row r="172" spans="2:5" ht="15" customHeight="1">
      <c r="B172" s="112"/>
      <c r="C172" s="36" t="s">
        <v>29</v>
      </c>
      <c r="D172" s="35">
        <v>839</v>
      </c>
      <c r="E172" s="34">
        <v>8.7660641521262003E-2</v>
      </c>
    </row>
    <row r="173" spans="2:5" ht="15" customHeight="1">
      <c r="B173" s="110" t="s">
        <v>230</v>
      </c>
      <c r="C173" s="66" t="s">
        <v>99</v>
      </c>
      <c r="D173" s="67">
        <v>15</v>
      </c>
      <c r="E173" s="68">
        <v>1.5672343537769999E-3</v>
      </c>
    </row>
    <row r="174" spans="2:5" ht="15" customHeight="1">
      <c r="B174" s="111"/>
      <c r="C174" s="66" t="s">
        <v>101</v>
      </c>
      <c r="D174" s="67">
        <v>13</v>
      </c>
      <c r="E174" s="68">
        <v>1.3582697732729999E-3</v>
      </c>
    </row>
    <row r="175" spans="2:5" ht="15" customHeight="1">
      <c r="B175" s="111"/>
      <c r="C175" s="66" t="s">
        <v>102</v>
      </c>
      <c r="D175" s="67">
        <v>44</v>
      </c>
      <c r="E175" s="68">
        <v>4.5972207710790001E-3</v>
      </c>
    </row>
    <row r="176" spans="2:5" ht="15" customHeight="1">
      <c r="B176" s="111"/>
      <c r="C176" s="66" t="s">
        <v>103</v>
      </c>
      <c r="D176" s="67">
        <v>279</v>
      </c>
      <c r="E176" s="68">
        <v>2.9150558980253E-2</v>
      </c>
    </row>
    <row r="177" spans="2:5" ht="15" customHeight="1">
      <c r="B177" s="111"/>
      <c r="C177" s="66" t="s">
        <v>104</v>
      </c>
      <c r="D177" s="67">
        <v>18</v>
      </c>
      <c r="E177" s="68">
        <v>1.8806812245319999E-3</v>
      </c>
    </row>
    <row r="178" spans="2:5" ht="15" customHeight="1">
      <c r="B178" s="111"/>
      <c r="C178" s="66" t="s">
        <v>105</v>
      </c>
      <c r="D178" s="67">
        <v>2</v>
      </c>
      <c r="E178" s="68">
        <v>2.08964580504E-4</v>
      </c>
    </row>
    <row r="179" spans="2:5" ht="15" customHeight="1">
      <c r="B179" s="111"/>
      <c r="C179" s="66" t="s">
        <v>108</v>
      </c>
      <c r="D179" s="67">
        <v>171</v>
      </c>
      <c r="E179" s="68">
        <v>1.7866471633058E-2</v>
      </c>
    </row>
    <row r="180" spans="2:5" ht="15" customHeight="1">
      <c r="B180" s="111"/>
      <c r="C180" s="66" t="s">
        <v>109</v>
      </c>
      <c r="D180" s="67">
        <v>60</v>
      </c>
      <c r="E180" s="68">
        <v>6.2689374151079997E-3</v>
      </c>
    </row>
    <row r="181" spans="2:5" ht="15" customHeight="1">
      <c r="B181" s="111"/>
      <c r="C181" s="66" t="s">
        <v>110</v>
      </c>
      <c r="D181" s="67">
        <v>1</v>
      </c>
      <c r="E181" s="68">
        <v>1.04482290252E-4</v>
      </c>
    </row>
    <row r="182" spans="2:5" ht="15" customHeight="1">
      <c r="B182" s="111"/>
      <c r="C182" s="66" t="s">
        <v>111</v>
      </c>
      <c r="D182" s="67">
        <v>15</v>
      </c>
      <c r="E182" s="68">
        <v>1.5672343537769999E-3</v>
      </c>
    </row>
    <row r="183" spans="2:5" ht="15" customHeight="1">
      <c r="B183" s="111"/>
      <c r="C183" s="66" t="s">
        <v>112</v>
      </c>
      <c r="D183" s="67">
        <v>37</v>
      </c>
      <c r="E183" s="68">
        <v>3.8658447393170002E-3</v>
      </c>
    </row>
    <row r="184" spans="2:5" ht="15" customHeight="1">
      <c r="B184" s="111"/>
      <c r="C184" s="66" t="s">
        <v>113</v>
      </c>
      <c r="D184" s="67">
        <v>17</v>
      </c>
      <c r="E184" s="68">
        <v>1.7761989342810001E-3</v>
      </c>
    </row>
    <row r="185" spans="2:5" ht="15" customHeight="1">
      <c r="B185" s="111"/>
      <c r="C185" s="66" t="s">
        <v>114</v>
      </c>
      <c r="D185" s="67">
        <v>4</v>
      </c>
      <c r="E185" s="68">
        <v>4.1792916100699999E-4</v>
      </c>
    </row>
    <row r="186" spans="2:5" ht="15" customHeight="1">
      <c r="B186" s="111"/>
      <c r="C186" s="66" t="s">
        <v>115</v>
      </c>
      <c r="D186" s="67">
        <v>6</v>
      </c>
      <c r="E186" s="68">
        <v>6.2689374151099996E-4</v>
      </c>
    </row>
    <row r="187" spans="2:5" ht="15" customHeight="1">
      <c r="B187" s="111"/>
      <c r="C187" s="66" t="s">
        <v>116</v>
      </c>
      <c r="D187" s="67">
        <v>12</v>
      </c>
      <c r="E187" s="68">
        <v>1.2537874830219999E-3</v>
      </c>
    </row>
    <row r="188" spans="2:5" ht="15" customHeight="1">
      <c r="B188" s="111"/>
      <c r="C188" s="66" t="s">
        <v>117</v>
      </c>
      <c r="D188" s="67">
        <v>22</v>
      </c>
      <c r="E188" s="68">
        <v>2.2986103855400001E-3</v>
      </c>
    </row>
    <row r="189" spans="2:5" ht="15" customHeight="1">
      <c r="B189" s="111"/>
      <c r="C189" s="66" t="s">
        <v>118</v>
      </c>
      <c r="D189" s="67">
        <v>4</v>
      </c>
      <c r="E189" s="68">
        <v>4.1792916100699999E-4</v>
      </c>
    </row>
    <row r="190" spans="2:5" ht="15" customHeight="1">
      <c r="B190" s="111"/>
      <c r="C190" s="66" t="s">
        <v>119</v>
      </c>
      <c r="D190" s="67">
        <v>2</v>
      </c>
      <c r="E190" s="68">
        <v>2.08964580504E-4</v>
      </c>
    </row>
    <row r="191" spans="2:5" ht="15" customHeight="1">
      <c r="B191" s="111"/>
      <c r="C191" s="66" t="s">
        <v>120</v>
      </c>
      <c r="D191" s="67">
        <v>4</v>
      </c>
      <c r="E191" s="68">
        <v>4.1792916100699999E-4</v>
      </c>
    </row>
    <row r="192" spans="2:5" ht="15" customHeight="1">
      <c r="B192" s="111"/>
      <c r="C192" s="66" t="s">
        <v>121</v>
      </c>
      <c r="D192" s="67">
        <v>5</v>
      </c>
      <c r="E192" s="68">
        <v>5.2241145125899997E-4</v>
      </c>
    </row>
    <row r="193" spans="2:5" ht="15" customHeight="1">
      <c r="B193" s="111"/>
      <c r="C193" s="66" t="s">
        <v>122</v>
      </c>
      <c r="D193" s="67">
        <v>9</v>
      </c>
      <c r="E193" s="68">
        <v>9.4034061226599996E-4</v>
      </c>
    </row>
    <row r="194" spans="2:5" ht="15" customHeight="1">
      <c r="B194" s="111"/>
      <c r="C194" s="66" t="s">
        <v>123</v>
      </c>
      <c r="D194" s="67">
        <v>13</v>
      </c>
      <c r="E194" s="68">
        <v>1.3582697732729999E-3</v>
      </c>
    </row>
    <row r="195" spans="2:5" ht="15" customHeight="1">
      <c r="B195" s="111"/>
      <c r="C195" s="66" t="s">
        <v>124</v>
      </c>
      <c r="D195" s="67">
        <v>10</v>
      </c>
      <c r="E195" s="68">
        <v>1.0448229025179999E-3</v>
      </c>
    </row>
    <row r="196" spans="2:5" ht="15" customHeight="1">
      <c r="B196" s="111"/>
      <c r="C196" s="66" t="s">
        <v>126</v>
      </c>
      <c r="D196" s="67">
        <v>14</v>
      </c>
      <c r="E196" s="68">
        <v>1.462752063525E-3</v>
      </c>
    </row>
    <row r="197" spans="2:5" ht="15" customHeight="1">
      <c r="B197" s="111"/>
      <c r="C197" s="66" t="s">
        <v>127</v>
      </c>
      <c r="D197" s="67">
        <v>22</v>
      </c>
      <c r="E197" s="68">
        <v>2.2986103855400001E-3</v>
      </c>
    </row>
    <row r="198" spans="2:5" ht="15" customHeight="1">
      <c r="B198" s="111"/>
      <c r="C198" s="66" t="s">
        <v>129</v>
      </c>
      <c r="D198" s="67">
        <v>14</v>
      </c>
      <c r="E198" s="68">
        <v>1.462752063525E-3</v>
      </c>
    </row>
    <row r="199" spans="2:5" ht="15" customHeight="1">
      <c r="B199" s="111"/>
      <c r="C199" s="66" t="s">
        <v>130</v>
      </c>
      <c r="D199" s="67">
        <v>8</v>
      </c>
      <c r="E199" s="68">
        <v>8.3585832201399997E-4</v>
      </c>
    </row>
    <row r="200" spans="2:5" ht="15" customHeight="1">
      <c r="B200" s="111"/>
      <c r="C200" s="66" t="s">
        <v>131</v>
      </c>
      <c r="D200" s="67">
        <v>5</v>
      </c>
      <c r="E200" s="68">
        <v>5.2241145125899997E-4</v>
      </c>
    </row>
    <row r="201" spans="2:5" ht="15" customHeight="1">
      <c r="B201" s="111"/>
      <c r="C201" s="66" t="s">
        <v>132</v>
      </c>
      <c r="D201" s="67">
        <v>81</v>
      </c>
      <c r="E201" s="68">
        <v>8.4630655103960003E-3</v>
      </c>
    </row>
    <row r="202" spans="2:5" ht="15" customHeight="1">
      <c r="B202" s="111"/>
      <c r="C202" s="66" t="s">
        <v>134</v>
      </c>
      <c r="D202" s="67">
        <v>8</v>
      </c>
      <c r="E202" s="68">
        <v>8.3585832201399997E-4</v>
      </c>
    </row>
    <row r="203" spans="2:5" ht="15" customHeight="1">
      <c r="B203" s="111"/>
      <c r="C203" s="66" t="s">
        <v>135</v>
      </c>
      <c r="D203" s="67">
        <v>45</v>
      </c>
      <c r="E203" s="68">
        <v>4.701703061331E-3</v>
      </c>
    </row>
    <row r="204" spans="2:5" ht="15" customHeight="1">
      <c r="B204" s="111"/>
      <c r="C204" s="66" t="s">
        <v>136</v>
      </c>
      <c r="D204" s="67">
        <v>4</v>
      </c>
      <c r="E204" s="68">
        <v>4.1792916100699999E-4</v>
      </c>
    </row>
    <row r="205" spans="2:5" ht="15" customHeight="1">
      <c r="B205" s="111"/>
      <c r="C205" s="66" t="s">
        <v>137</v>
      </c>
      <c r="D205" s="67">
        <v>13</v>
      </c>
      <c r="E205" s="68">
        <v>1.3582697732729999E-3</v>
      </c>
    </row>
    <row r="206" spans="2:5" ht="15" customHeight="1">
      <c r="B206" s="111"/>
      <c r="C206" s="66" t="s">
        <v>138</v>
      </c>
      <c r="D206" s="67">
        <v>1</v>
      </c>
      <c r="E206" s="68">
        <v>1.04482290252E-4</v>
      </c>
    </row>
    <row r="207" spans="2:5" ht="15" customHeight="1">
      <c r="B207" s="111"/>
      <c r="C207" s="66" t="s">
        <v>139</v>
      </c>
      <c r="D207" s="67">
        <v>47</v>
      </c>
      <c r="E207" s="68">
        <v>4.9106676418349997E-3</v>
      </c>
    </row>
    <row r="208" spans="2:5" ht="15" customHeight="1">
      <c r="B208" s="111"/>
      <c r="C208" s="66" t="s">
        <v>140</v>
      </c>
      <c r="D208" s="67">
        <v>1</v>
      </c>
      <c r="E208" s="68">
        <v>1.04482290252E-4</v>
      </c>
    </row>
    <row r="209" spans="2:5" ht="15" customHeight="1">
      <c r="B209" s="111"/>
      <c r="C209" s="66" t="s">
        <v>141</v>
      </c>
      <c r="D209" s="67">
        <v>30</v>
      </c>
      <c r="E209" s="68">
        <v>3.1344687075539998E-3</v>
      </c>
    </row>
    <row r="210" spans="2:5" ht="15" customHeight="1">
      <c r="B210" s="111"/>
      <c r="C210" s="66" t="s">
        <v>142</v>
      </c>
      <c r="D210" s="67">
        <v>472</v>
      </c>
      <c r="E210" s="68">
        <v>4.9315640998851003E-2</v>
      </c>
    </row>
    <row r="211" spans="2:5" ht="15" customHeight="1">
      <c r="B211" s="111"/>
      <c r="C211" s="66" t="s">
        <v>143</v>
      </c>
      <c r="D211" s="67">
        <v>9</v>
      </c>
      <c r="E211" s="68">
        <v>9.4034061226599996E-4</v>
      </c>
    </row>
    <row r="212" spans="2:5" ht="15" customHeight="1">
      <c r="B212" s="111"/>
      <c r="C212" s="66" t="s">
        <v>144</v>
      </c>
      <c r="D212" s="67">
        <v>1</v>
      </c>
      <c r="E212" s="68">
        <v>1.04482290252E-4</v>
      </c>
    </row>
    <row r="213" spans="2:5" ht="15" customHeight="1">
      <c r="B213" s="111"/>
      <c r="C213" s="66" t="s">
        <v>145</v>
      </c>
      <c r="D213" s="67">
        <v>16</v>
      </c>
      <c r="E213" s="68">
        <v>1.671716644029E-3</v>
      </c>
    </row>
    <row r="214" spans="2:5" ht="15" customHeight="1">
      <c r="B214" s="111"/>
      <c r="C214" s="66" t="s">
        <v>74</v>
      </c>
      <c r="D214" s="67">
        <v>9</v>
      </c>
      <c r="E214" s="68">
        <v>9.4034061226599996E-4</v>
      </c>
    </row>
    <row r="215" spans="2:5" ht="15" customHeight="1">
      <c r="B215" s="111"/>
      <c r="C215" s="66" t="s">
        <v>147</v>
      </c>
      <c r="D215" s="67">
        <v>25</v>
      </c>
      <c r="E215" s="68">
        <v>2.6120572562950001E-3</v>
      </c>
    </row>
    <row r="216" spans="2:5" ht="15" customHeight="1">
      <c r="B216" s="111"/>
      <c r="C216" s="66" t="s">
        <v>148</v>
      </c>
      <c r="D216" s="67">
        <v>2</v>
      </c>
      <c r="E216" s="68">
        <v>2.08964580504E-4</v>
      </c>
    </row>
    <row r="217" spans="2:5" ht="15" customHeight="1">
      <c r="B217" s="112"/>
      <c r="C217" s="36" t="s">
        <v>29</v>
      </c>
      <c r="D217" s="35">
        <v>1590</v>
      </c>
      <c r="E217" s="34">
        <v>0.166126841500366</v>
      </c>
    </row>
    <row r="218" spans="2:5" ht="15" customHeight="1">
      <c r="B218" s="110" t="s">
        <v>231</v>
      </c>
      <c r="C218" s="66" t="s">
        <v>99</v>
      </c>
      <c r="D218" s="67">
        <v>2</v>
      </c>
      <c r="E218" s="68">
        <v>2.08964580504E-4</v>
      </c>
    </row>
    <row r="219" spans="2:5" ht="15" customHeight="1">
      <c r="B219" s="111"/>
      <c r="C219" s="66" t="s">
        <v>102</v>
      </c>
      <c r="D219" s="67">
        <v>3</v>
      </c>
      <c r="E219" s="68">
        <v>3.13446870755E-4</v>
      </c>
    </row>
    <row r="220" spans="2:5" ht="15" customHeight="1">
      <c r="B220" s="111"/>
      <c r="C220" s="66" t="s">
        <v>103</v>
      </c>
      <c r="D220" s="67">
        <v>16</v>
      </c>
      <c r="E220" s="68">
        <v>1.671716644029E-3</v>
      </c>
    </row>
    <row r="221" spans="2:5" ht="15" customHeight="1">
      <c r="B221" s="111"/>
      <c r="C221" s="66" t="s">
        <v>108</v>
      </c>
      <c r="D221" s="67">
        <v>9</v>
      </c>
      <c r="E221" s="68">
        <v>9.4034061226599996E-4</v>
      </c>
    </row>
    <row r="222" spans="2:5" ht="15" customHeight="1">
      <c r="B222" s="111"/>
      <c r="C222" s="66" t="s">
        <v>109</v>
      </c>
      <c r="D222" s="67">
        <v>3</v>
      </c>
      <c r="E222" s="68">
        <v>3.13446870755E-4</v>
      </c>
    </row>
    <row r="223" spans="2:5" ht="15" customHeight="1">
      <c r="B223" s="111"/>
      <c r="C223" s="66" t="s">
        <v>111</v>
      </c>
      <c r="D223" s="67">
        <v>2</v>
      </c>
      <c r="E223" s="68">
        <v>2.08964580504E-4</v>
      </c>
    </row>
    <row r="224" spans="2:5" ht="15" customHeight="1">
      <c r="B224" s="111"/>
      <c r="C224" s="66" t="s">
        <v>112</v>
      </c>
      <c r="D224" s="67">
        <v>2</v>
      </c>
      <c r="E224" s="68">
        <v>2.08964580504E-4</v>
      </c>
    </row>
    <row r="225" spans="2:5" ht="15" customHeight="1">
      <c r="B225" s="111"/>
      <c r="C225" s="66" t="s">
        <v>114</v>
      </c>
      <c r="D225" s="67">
        <v>1</v>
      </c>
      <c r="E225" s="68">
        <v>1.04482290252E-4</v>
      </c>
    </row>
    <row r="226" spans="2:5" ht="15" customHeight="1">
      <c r="B226" s="111"/>
      <c r="C226" s="66" t="s">
        <v>115</v>
      </c>
      <c r="D226" s="67">
        <v>2</v>
      </c>
      <c r="E226" s="68">
        <v>2.08964580504E-4</v>
      </c>
    </row>
    <row r="227" spans="2:5" ht="15" customHeight="1">
      <c r="B227" s="111"/>
      <c r="C227" s="66" t="s">
        <v>117</v>
      </c>
      <c r="D227" s="67">
        <v>2</v>
      </c>
      <c r="E227" s="68">
        <v>2.08964580504E-4</v>
      </c>
    </row>
    <row r="228" spans="2:5" ht="15" customHeight="1">
      <c r="B228" s="111"/>
      <c r="C228" s="66" t="s">
        <v>124</v>
      </c>
      <c r="D228" s="67">
        <v>1</v>
      </c>
      <c r="E228" s="68">
        <v>1.04482290252E-4</v>
      </c>
    </row>
    <row r="229" spans="2:5" ht="15" customHeight="1">
      <c r="B229" s="111"/>
      <c r="C229" s="66" t="s">
        <v>127</v>
      </c>
      <c r="D229" s="67">
        <v>1</v>
      </c>
      <c r="E229" s="68">
        <v>1.04482290252E-4</v>
      </c>
    </row>
    <row r="230" spans="2:5" ht="15" customHeight="1">
      <c r="B230" s="111"/>
      <c r="C230" s="66" t="s">
        <v>130</v>
      </c>
      <c r="D230" s="67">
        <v>1</v>
      </c>
      <c r="E230" s="68">
        <v>1.04482290252E-4</v>
      </c>
    </row>
    <row r="231" spans="2:5" ht="15" customHeight="1">
      <c r="B231" s="111"/>
      <c r="C231" s="66" t="s">
        <v>131</v>
      </c>
      <c r="D231" s="67">
        <v>1</v>
      </c>
      <c r="E231" s="68">
        <v>1.04482290252E-4</v>
      </c>
    </row>
    <row r="232" spans="2:5" ht="15" customHeight="1">
      <c r="B232" s="111"/>
      <c r="C232" s="66" t="s">
        <v>132</v>
      </c>
      <c r="D232" s="67">
        <v>5</v>
      </c>
      <c r="E232" s="68">
        <v>5.2241145125899997E-4</v>
      </c>
    </row>
    <row r="233" spans="2:5" ht="15" customHeight="1">
      <c r="B233" s="111"/>
      <c r="C233" s="66" t="s">
        <v>135</v>
      </c>
      <c r="D233" s="67">
        <v>3</v>
      </c>
      <c r="E233" s="68">
        <v>3.13446870755E-4</v>
      </c>
    </row>
    <row r="234" spans="2:5" ht="15" customHeight="1">
      <c r="B234" s="111"/>
      <c r="C234" s="66" t="s">
        <v>137</v>
      </c>
      <c r="D234" s="67">
        <v>1</v>
      </c>
      <c r="E234" s="68">
        <v>1.04482290252E-4</v>
      </c>
    </row>
    <row r="235" spans="2:5" ht="15" customHeight="1">
      <c r="B235" s="111"/>
      <c r="C235" s="66" t="s">
        <v>139</v>
      </c>
      <c r="D235" s="67">
        <v>1</v>
      </c>
      <c r="E235" s="68">
        <v>1.04482290252E-4</v>
      </c>
    </row>
    <row r="236" spans="2:5" ht="15" customHeight="1">
      <c r="B236" s="111"/>
      <c r="C236" s="66" t="s">
        <v>141</v>
      </c>
      <c r="D236" s="67">
        <v>3</v>
      </c>
      <c r="E236" s="68">
        <v>3.13446870755E-4</v>
      </c>
    </row>
    <row r="237" spans="2:5" ht="15" customHeight="1">
      <c r="B237" s="111"/>
      <c r="C237" s="66" t="s">
        <v>142</v>
      </c>
      <c r="D237" s="67">
        <v>27</v>
      </c>
      <c r="E237" s="68">
        <v>2.8210218367989998E-3</v>
      </c>
    </row>
    <row r="238" spans="2:5" ht="15" customHeight="1">
      <c r="B238" s="112"/>
      <c r="C238" s="36" t="s">
        <v>29</v>
      </c>
      <c r="D238" s="35">
        <v>86</v>
      </c>
      <c r="E238" s="34">
        <v>8.9854769616549996E-3</v>
      </c>
    </row>
    <row r="239" spans="2:5" ht="15" customHeight="1">
      <c r="B239" s="110" t="s">
        <v>232</v>
      </c>
      <c r="C239" s="66" t="s">
        <v>99</v>
      </c>
      <c r="D239" s="67">
        <v>1</v>
      </c>
      <c r="E239" s="68">
        <v>1.04482290252E-4</v>
      </c>
    </row>
    <row r="240" spans="2:5" ht="15" customHeight="1">
      <c r="B240" s="111"/>
      <c r="C240" s="66" t="s">
        <v>101</v>
      </c>
      <c r="D240" s="67">
        <v>1</v>
      </c>
      <c r="E240" s="68">
        <v>1.04482290252E-4</v>
      </c>
    </row>
    <row r="241" spans="2:5" ht="15" customHeight="1">
      <c r="B241" s="111"/>
      <c r="C241" s="66" t="s">
        <v>102</v>
      </c>
      <c r="D241" s="67">
        <v>3</v>
      </c>
      <c r="E241" s="68">
        <v>3.13446870755E-4</v>
      </c>
    </row>
    <row r="242" spans="2:5" ht="15" customHeight="1">
      <c r="B242" s="111"/>
      <c r="C242" s="66" t="s">
        <v>103</v>
      </c>
      <c r="D242" s="67">
        <v>22</v>
      </c>
      <c r="E242" s="68">
        <v>2.2986103855400001E-3</v>
      </c>
    </row>
    <row r="243" spans="2:5" ht="15" customHeight="1">
      <c r="B243" s="111"/>
      <c r="C243" s="66" t="s">
        <v>104</v>
      </c>
      <c r="D243" s="67">
        <v>4</v>
      </c>
      <c r="E243" s="68">
        <v>4.1792916100699999E-4</v>
      </c>
    </row>
    <row r="244" spans="2:5" ht="15" customHeight="1">
      <c r="B244" s="111"/>
      <c r="C244" s="66" t="s">
        <v>108</v>
      </c>
      <c r="D244" s="67">
        <v>19</v>
      </c>
      <c r="E244" s="68">
        <v>1.985163514784E-3</v>
      </c>
    </row>
    <row r="245" spans="2:5" ht="15" customHeight="1">
      <c r="B245" s="111"/>
      <c r="C245" s="66" t="s">
        <v>109</v>
      </c>
      <c r="D245" s="67">
        <v>14</v>
      </c>
      <c r="E245" s="68">
        <v>1.462752063525E-3</v>
      </c>
    </row>
    <row r="246" spans="2:5" ht="15" customHeight="1">
      <c r="B246" s="111"/>
      <c r="C246" s="66" t="s">
        <v>111</v>
      </c>
      <c r="D246" s="67">
        <v>1</v>
      </c>
      <c r="E246" s="68">
        <v>1.04482290252E-4</v>
      </c>
    </row>
    <row r="247" spans="2:5" ht="15" customHeight="1">
      <c r="B247" s="111"/>
      <c r="C247" s="66" t="s">
        <v>112</v>
      </c>
      <c r="D247" s="67">
        <v>2</v>
      </c>
      <c r="E247" s="68">
        <v>2.08964580504E-4</v>
      </c>
    </row>
    <row r="248" spans="2:5" ht="15" customHeight="1">
      <c r="B248" s="111"/>
      <c r="C248" s="66" t="s">
        <v>113</v>
      </c>
      <c r="D248" s="67">
        <v>3</v>
      </c>
      <c r="E248" s="68">
        <v>3.13446870755E-4</v>
      </c>
    </row>
    <row r="249" spans="2:5" ht="15" customHeight="1">
      <c r="B249" s="111"/>
      <c r="C249" s="66" t="s">
        <v>114</v>
      </c>
      <c r="D249" s="67">
        <v>1</v>
      </c>
      <c r="E249" s="68">
        <v>1.04482290252E-4</v>
      </c>
    </row>
    <row r="250" spans="2:5" ht="15" customHeight="1">
      <c r="B250" s="111"/>
      <c r="C250" s="66" t="s">
        <v>115</v>
      </c>
      <c r="D250" s="67">
        <v>1</v>
      </c>
      <c r="E250" s="68">
        <v>1.04482290252E-4</v>
      </c>
    </row>
    <row r="251" spans="2:5" ht="15" customHeight="1">
      <c r="B251" s="111"/>
      <c r="C251" s="66" t="s">
        <v>116</v>
      </c>
      <c r="D251" s="67">
        <v>3</v>
      </c>
      <c r="E251" s="68">
        <v>3.13446870755E-4</v>
      </c>
    </row>
    <row r="252" spans="2:5" ht="15" customHeight="1">
      <c r="B252" s="111"/>
      <c r="C252" s="66" t="s">
        <v>117</v>
      </c>
      <c r="D252" s="67">
        <v>2</v>
      </c>
      <c r="E252" s="68">
        <v>2.08964580504E-4</v>
      </c>
    </row>
    <row r="253" spans="2:5" ht="15" customHeight="1">
      <c r="B253" s="111"/>
      <c r="C253" s="66" t="s">
        <v>121</v>
      </c>
      <c r="D253" s="67">
        <v>2</v>
      </c>
      <c r="E253" s="68">
        <v>2.08964580504E-4</v>
      </c>
    </row>
    <row r="254" spans="2:5" ht="15" customHeight="1">
      <c r="B254" s="111"/>
      <c r="C254" s="66" t="s">
        <v>123</v>
      </c>
      <c r="D254" s="67">
        <v>3</v>
      </c>
      <c r="E254" s="68">
        <v>3.13446870755E-4</v>
      </c>
    </row>
    <row r="255" spans="2:5" ht="15" customHeight="1">
      <c r="B255" s="111"/>
      <c r="C255" s="66" t="s">
        <v>124</v>
      </c>
      <c r="D255" s="67">
        <v>3</v>
      </c>
      <c r="E255" s="68">
        <v>3.13446870755E-4</v>
      </c>
    </row>
    <row r="256" spans="2:5" ht="15" customHeight="1">
      <c r="B256" s="111"/>
      <c r="C256" s="66" t="s">
        <v>125</v>
      </c>
      <c r="D256" s="67">
        <v>1</v>
      </c>
      <c r="E256" s="68">
        <v>1.04482290252E-4</v>
      </c>
    </row>
    <row r="257" spans="2:5" ht="15" customHeight="1">
      <c r="B257" s="111"/>
      <c r="C257" s="66" t="s">
        <v>126</v>
      </c>
      <c r="D257" s="67">
        <v>3</v>
      </c>
      <c r="E257" s="68">
        <v>3.13446870755E-4</v>
      </c>
    </row>
    <row r="258" spans="2:5" ht="15" customHeight="1">
      <c r="B258" s="111"/>
      <c r="C258" s="66" t="s">
        <v>127</v>
      </c>
      <c r="D258" s="67">
        <v>3</v>
      </c>
      <c r="E258" s="68">
        <v>3.13446870755E-4</v>
      </c>
    </row>
    <row r="259" spans="2:5" ht="15" customHeight="1">
      <c r="B259" s="111"/>
      <c r="C259" s="66" t="s">
        <v>129</v>
      </c>
      <c r="D259" s="67">
        <v>2</v>
      </c>
      <c r="E259" s="68">
        <v>2.08964580504E-4</v>
      </c>
    </row>
    <row r="260" spans="2:5" ht="15" customHeight="1">
      <c r="B260" s="111"/>
      <c r="C260" s="66" t="s">
        <v>132</v>
      </c>
      <c r="D260" s="67">
        <v>5</v>
      </c>
      <c r="E260" s="68">
        <v>5.2241145125899997E-4</v>
      </c>
    </row>
    <row r="261" spans="2:5" ht="15" customHeight="1">
      <c r="B261" s="111"/>
      <c r="C261" s="66" t="s">
        <v>134</v>
      </c>
      <c r="D261" s="67">
        <v>2</v>
      </c>
      <c r="E261" s="68">
        <v>2.08964580504E-4</v>
      </c>
    </row>
    <row r="262" spans="2:5" ht="15" customHeight="1">
      <c r="B262" s="111"/>
      <c r="C262" s="66" t="s">
        <v>135</v>
      </c>
      <c r="D262" s="67">
        <v>6</v>
      </c>
      <c r="E262" s="68">
        <v>6.2689374151099996E-4</v>
      </c>
    </row>
    <row r="263" spans="2:5" ht="15" customHeight="1">
      <c r="B263" s="111"/>
      <c r="C263" s="66" t="s">
        <v>136</v>
      </c>
      <c r="D263" s="67">
        <v>1</v>
      </c>
      <c r="E263" s="68">
        <v>1.04482290252E-4</v>
      </c>
    </row>
    <row r="264" spans="2:5" ht="15" customHeight="1">
      <c r="B264" s="111"/>
      <c r="C264" s="66" t="s">
        <v>138</v>
      </c>
      <c r="D264" s="67">
        <v>1</v>
      </c>
      <c r="E264" s="68">
        <v>1.04482290252E-4</v>
      </c>
    </row>
    <row r="265" spans="2:5" ht="15" customHeight="1">
      <c r="B265" s="111"/>
      <c r="C265" s="66" t="s">
        <v>139</v>
      </c>
      <c r="D265" s="67">
        <v>5</v>
      </c>
      <c r="E265" s="68">
        <v>5.2241145125899997E-4</v>
      </c>
    </row>
    <row r="266" spans="2:5" ht="15" customHeight="1">
      <c r="B266" s="111"/>
      <c r="C266" s="66" t="s">
        <v>140</v>
      </c>
      <c r="D266" s="67">
        <v>1</v>
      </c>
      <c r="E266" s="68">
        <v>1.04482290252E-4</v>
      </c>
    </row>
    <row r="267" spans="2:5" ht="15" customHeight="1">
      <c r="B267" s="111"/>
      <c r="C267" s="66" t="s">
        <v>141</v>
      </c>
      <c r="D267" s="67">
        <v>2</v>
      </c>
      <c r="E267" s="68">
        <v>2.08964580504E-4</v>
      </c>
    </row>
    <row r="268" spans="2:5" ht="15" customHeight="1">
      <c r="B268" s="111"/>
      <c r="C268" s="66" t="s">
        <v>142</v>
      </c>
      <c r="D268" s="67">
        <v>62</v>
      </c>
      <c r="E268" s="68">
        <v>6.4779019956120003E-3</v>
      </c>
    </row>
    <row r="269" spans="2:5" ht="15" customHeight="1">
      <c r="B269" s="111"/>
      <c r="C269" s="66" t="s">
        <v>143</v>
      </c>
      <c r="D269" s="67">
        <v>2</v>
      </c>
      <c r="E269" s="68">
        <v>2.08964580504E-4</v>
      </c>
    </row>
    <row r="270" spans="2:5" ht="15" customHeight="1">
      <c r="B270" s="111"/>
      <c r="C270" s="66" t="s">
        <v>145</v>
      </c>
      <c r="D270" s="67">
        <v>3</v>
      </c>
      <c r="E270" s="68">
        <v>3.13446870755E-4</v>
      </c>
    </row>
    <row r="271" spans="2:5" ht="15" customHeight="1">
      <c r="B271" s="111"/>
      <c r="C271" s="66" t="s">
        <v>74</v>
      </c>
      <c r="D271" s="67">
        <v>1</v>
      </c>
      <c r="E271" s="68">
        <v>1.04482290252E-4</v>
      </c>
    </row>
    <row r="272" spans="2:5" ht="15" customHeight="1">
      <c r="B272" s="111"/>
      <c r="C272" s="66" t="s">
        <v>147</v>
      </c>
      <c r="D272" s="67">
        <v>2</v>
      </c>
      <c r="E272" s="68">
        <v>2.08964580504E-4</v>
      </c>
    </row>
    <row r="273" spans="2:5" ht="15" customHeight="1">
      <c r="B273" s="112"/>
      <c r="C273" s="36" t="s">
        <v>29</v>
      </c>
      <c r="D273" s="35">
        <v>187</v>
      </c>
      <c r="E273" s="34">
        <v>1.9538188277087001E-2</v>
      </c>
    </row>
    <row r="274" spans="2:5" ht="15" customHeight="1">
      <c r="B274" s="110" t="s">
        <v>233</v>
      </c>
      <c r="C274" s="66" t="s">
        <v>99</v>
      </c>
      <c r="D274" s="67">
        <v>4</v>
      </c>
      <c r="E274" s="68">
        <v>4.1792916100699999E-4</v>
      </c>
    </row>
    <row r="275" spans="2:5" ht="15" customHeight="1">
      <c r="B275" s="111"/>
      <c r="C275" s="66" t="s">
        <v>101</v>
      </c>
      <c r="D275" s="67">
        <v>5</v>
      </c>
      <c r="E275" s="68">
        <v>5.2241145125899997E-4</v>
      </c>
    </row>
    <row r="276" spans="2:5" ht="15" customHeight="1">
      <c r="B276" s="111"/>
      <c r="C276" s="66" t="s">
        <v>102</v>
      </c>
      <c r="D276" s="67">
        <v>16</v>
      </c>
      <c r="E276" s="68">
        <v>1.671716644029E-3</v>
      </c>
    </row>
    <row r="277" spans="2:5" ht="15" customHeight="1">
      <c r="B277" s="111"/>
      <c r="C277" s="66" t="s">
        <v>103</v>
      </c>
      <c r="D277" s="67">
        <v>101</v>
      </c>
      <c r="E277" s="68">
        <v>1.0552711315431999E-2</v>
      </c>
    </row>
    <row r="278" spans="2:5" ht="15" customHeight="1">
      <c r="B278" s="111"/>
      <c r="C278" s="66" t="s">
        <v>104</v>
      </c>
      <c r="D278" s="67">
        <v>10</v>
      </c>
      <c r="E278" s="68">
        <v>1.0448229025179999E-3</v>
      </c>
    </row>
    <row r="279" spans="2:5" ht="15" customHeight="1">
      <c r="B279" s="111"/>
      <c r="C279" s="66" t="s">
        <v>105</v>
      </c>
      <c r="D279" s="67">
        <v>1</v>
      </c>
      <c r="E279" s="68">
        <v>1.04482290252E-4</v>
      </c>
    </row>
    <row r="280" spans="2:5" ht="15" customHeight="1">
      <c r="B280" s="111"/>
      <c r="C280" s="66" t="s">
        <v>108</v>
      </c>
      <c r="D280" s="67">
        <v>40</v>
      </c>
      <c r="E280" s="68">
        <v>4.1792916100719998E-3</v>
      </c>
    </row>
    <row r="281" spans="2:5" ht="15" customHeight="1">
      <c r="B281" s="111"/>
      <c r="C281" s="66" t="s">
        <v>109</v>
      </c>
      <c r="D281" s="67">
        <v>12</v>
      </c>
      <c r="E281" s="68">
        <v>1.2537874830219999E-3</v>
      </c>
    </row>
    <row r="282" spans="2:5" ht="15" customHeight="1">
      <c r="B282" s="111"/>
      <c r="C282" s="66" t="s">
        <v>111</v>
      </c>
      <c r="D282" s="67">
        <v>3</v>
      </c>
      <c r="E282" s="68">
        <v>3.13446870755E-4</v>
      </c>
    </row>
    <row r="283" spans="2:5" ht="15" customHeight="1">
      <c r="B283" s="111"/>
      <c r="C283" s="66" t="s">
        <v>112</v>
      </c>
      <c r="D283" s="67">
        <v>13</v>
      </c>
      <c r="E283" s="68">
        <v>1.3582697732729999E-3</v>
      </c>
    </row>
    <row r="284" spans="2:5" ht="15" customHeight="1">
      <c r="B284" s="111"/>
      <c r="C284" s="66" t="s">
        <v>113</v>
      </c>
      <c r="D284" s="67">
        <v>16</v>
      </c>
      <c r="E284" s="68">
        <v>1.671716644029E-3</v>
      </c>
    </row>
    <row r="285" spans="2:5" ht="15" customHeight="1">
      <c r="B285" s="111"/>
      <c r="C285" s="66" t="s">
        <v>114</v>
      </c>
      <c r="D285" s="67">
        <v>2</v>
      </c>
      <c r="E285" s="68">
        <v>2.08964580504E-4</v>
      </c>
    </row>
    <row r="286" spans="2:5" ht="15" customHeight="1">
      <c r="B286" s="111"/>
      <c r="C286" s="66" t="s">
        <v>115</v>
      </c>
      <c r="D286" s="67">
        <v>5</v>
      </c>
      <c r="E286" s="68">
        <v>5.2241145125899997E-4</v>
      </c>
    </row>
    <row r="287" spans="2:5" ht="15" customHeight="1">
      <c r="B287" s="111"/>
      <c r="C287" s="66" t="s">
        <v>116</v>
      </c>
      <c r="D287" s="67">
        <v>1</v>
      </c>
      <c r="E287" s="68">
        <v>1.04482290252E-4</v>
      </c>
    </row>
    <row r="288" spans="2:5" ht="15" customHeight="1">
      <c r="B288" s="111"/>
      <c r="C288" s="66" t="s">
        <v>117</v>
      </c>
      <c r="D288" s="67">
        <v>3</v>
      </c>
      <c r="E288" s="68">
        <v>3.13446870755E-4</v>
      </c>
    </row>
    <row r="289" spans="2:5" ht="15" customHeight="1">
      <c r="B289" s="111"/>
      <c r="C289" s="66" t="s">
        <v>120</v>
      </c>
      <c r="D289" s="67">
        <v>1</v>
      </c>
      <c r="E289" s="68">
        <v>1.04482290252E-4</v>
      </c>
    </row>
    <row r="290" spans="2:5" ht="15" customHeight="1">
      <c r="B290" s="111"/>
      <c r="C290" s="66" t="s">
        <v>121</v>
      </c>
      <c r="D290" s="67">
        <v>4</v>
      </c>
      <c r="E290" s="68">
        <v>4.1792916100699999E-4</v>
      </c>
    </row>
    <row r="291" spans="2:5" ht="15" customHeight="1">
      <c r="B291" s="111"/>
      <c r="C291" s="66" t="s">
        <v>122</v>
      </c>
      <c r="D291" s="67">
        <v>3</v>
      </c>
      <c r="E291" s="68">
        <v>3.13446870755E-4</v>
      </c>
    </row>
    <row r="292" spans="2:5" ht="15" customHeight="1">
      <c r="B292" s="111"/>
      <c r="C292" s="66" t="s">
        <v>123</v>
      </c>
      <c r="D292" s="67">
        <v>6</v>
      </c>
      <c r="E292" s="68">
        <v>6.2689374151099996E-4</v>
      </c>
    </row>
    <row r="293" spans="2:5" ht="15" customHeight="1">
      <c r="B293" s="111"/>
      <c r="C293" s="66" t="s">
        <v>124</v>
      </c>
      <c r="D293" s="67">
        <v>4</v>
      </c>
      <c r="E293" s="68">
        <v>4.1792916100699999E-4</v>
      </c>
    </row>
    <row r="294" spans="2:5" ht="15" customHeight="1">
      <c r="B294" s="111"/>
      <c r="C294" s="66" t="s">
        <v>126</v>
      </c>
      <c r="D294" s="67">
        <v>8</v>
      </c>
      <c r="E294" s="68">
        <v>8.3585832201399997E-4</v>
      </c>
    </row>
    <row r="295" spans="2:5" ht="15" customHeight="1">
      <c r="B295" s="111"/>
      <c r="C295" s="66" t="s">
        <v>127</v>
      </c>
      <c r="D295" s="67">
        <v>11</v>
      </c>
      <c r="E295" s="68">
        <v>1.14930519277E-3</v>
      </c>
    </row>
    <row r="296" spans="2:5" ht="15" customHeight="1">
      <c r="B296" s="111"/>
      <c r="C296" s="66" t="s">
        <v>130</v>
      </c>
      <c r="D296" s="67">
        <v>1</v>
      </c>
      <c r="E296" s="68">
        <v>1.04482290252E-4</v>
      </c>
    </row>
    <row r="297" spans="2:5" ht="15" customHeight="1">
      <c r="B297" s="111"/>
      <c r="C297" s="66" t="s">
        <v>131</v>
      </c>
      <c r="D297" s="67">
        <v>2</v>
      </c>
      <c r="E297" s="68">
        <v>2.08964580504E-4</v>
      </c>
    </row>
    <row r="298" spans="2:5" ht="15" customHeight="1">
      <c r="B298" s="111"/>
      <c r="C298" s="66" t="s">
        <v>132</v>
      </c>
      <c r="D298" s="67">
        <v>16</v>
      </c>
      <c r="E298" s="68">
        <v>1.671716644029E-3</v>
      </c>
    </row>
    <row r="299" spans="2:5" ht="15" customHeight="1">
      <c r="B299" s="111"/>
      <c r="C299" s="66" t="s">
        <v>133</v>
      </c>
      <c r="D299" s="67">
        <v>1</v>
      </c>
      <c r="E299" s="68">
        <v>1.04482290252E-4</v>
      </c>
    </row>
    <row r="300" spans="2:5" ht="15" customHeight="1">
      <c r="B300" s="111"/>
      <c r="C300" s="66" t="s">
        <v>134</v>
      </c>
      <c r="D300" s="67">
        <v>2</v>
      </c>
      <c r="E300" s="68">
        <v>2.08964580504E-4</v>
      </c>
    </row>
    <row r="301" spans="2:5" ht="15" customHeight="1">
      <c r="B301" s="111"/>
      <c r="C301" s="66" t="s">
        <v>135</v>
      </c>
      <c r="D301" s="67">
        <v>4</v>
      </c>
      <c r="E301" s="68">
        <v>4.1792916100699999E-4</v>
      </c>
    </row>
    <row r="302" spans="2:5" ht="15" customHeight="1">
      <c r="B302" s="111"/>
      <c r="C302" s="66" t="s">
        <v>136</v>
      </c>
      <c r="D302" s="67">
        <v>1</v>
      </c>
      <c r="E302" s="68">
        <v>1.04482290252E-4</v>
      </c>
    </row>
    <row r="303" spans="2:5" ht="15" customHeight="1">
      <c r="B303" s="111"/>
      <c r="C303" s="66" t="s">
        <v>137</v>
      </c>
      <c r="D303" s="67">
        <v>4</v>
      </c>
      <c r="E303" s="68">
        <v>4.1792916100699999E-4</v>
      </c>
    </row>
    <row r="304" spans="2:5" ht="15" customHeight="1">
      <c r="B304" s="111"/>
      <c r="C304" s="66" t="s">
        <v>139</v>
      </c>
      <c r="D304" s="67">
        <v>17</v>
      </c>
      <c r="E304" s="68">
        <v>1.7761989342810001E-3</v>
      </c>
    </row>
    <row r="305" spans="2:5" ht="15" customHeight="1">
      <c r="B305" s="111"/>
      <c r="C305" s="66" t="s">
        <v>140</v>
      </c>
      <c r="D305" s="67">
        <v>1</v>
      </c>
      <c r="E305" s="68">
        <v>1.04482290252E-4</v>
      </c>
    </row>
    <row r="306" spans="2:5" ht="15" customHeight="1">
      <c r="B306" s="111"/>
      <c r="C306" s="66" t="s">
        <v>141</v>
      </c>
      <c r="D306" s="67">
        <v>10</v>
      </c>
      <c r="E306" s="68">
        <v>1.0448229025179999E-3</v>
      </c>
    </row>
    <row r="307" spans="2:5" ht="15" customHeight="1">
      <c r="B307" s="111"/>
      <c r="C307" s="66" t="s">
        <v>142</v>
      </c>
      <c r="D307" s="67">
        <v>238</v>
      </c>
      <c r="E307" s="68">
        <v>2.4866785079929E-2</v>
      </c>
    </row>
    <row r="308" spans="2:5" ht="15" customHeight="1">
      <c r="B308" s="111"/>
      <c r="C308" s="66" t="s">
        <v>143</v>
      </c>
      <c r="D308" s="67">
        <v>5</v>
      </c>
      <c r="E308" s="68">
        <v>5.2241145125899997E-4</v>
      </c>
    </row>
    <row r="309" spans="2:5" ht="15" customHeight="1">
      <c r="B309" s="111"/>
      <c r="C309" s="66" t="s">
        <v>145</v>
      </c>
      <c r="D309" s="67">
        <v>9</v>
      </c>
      <c r="E309" s="68">
        <v>9.4034061226599996E-4</v>
      </c>
    </row>
    <row r="310" spans="2:5" ht="15" customHeight="1">
      <c r="B310" s="111"/>
      <c r="C310" s="66" t="s">
        <v>74</v>
      </c>
      <c r="D310" s="67">
        <v>7</v>
      </c>
      <c r="E310" s="68">
        <v>7.3137603176300005E-4</v>
      </c>
    </row>
    <row r="311" spans="2:5" ht="15" customHeight="1">
      <c r="B311" s="111"/>
      <c r="C311" s="66" t="s">
        <v>147</v>
      </c>
      <c r="D311" s="67">
        <v>4</v>
      </c>
      <c r="E311" s="68">
        <v>4.1792916100699999E-4</v>
      </c>
    </row>
    <row r="312" spans="2:5" ht="15" customHeight="1">
      <c r="B312" s="112"/>
      <c r="C312" s="36" t="s">
        <v>29</v>
      </c>
      <c r="D312" s="35">
        <v>591</v>
      </c>
      <c r="E312" s="34">
        <v>6.1749033538815001E-2</v>
      </c>
    </row>
    <row r="313" spans="2:5" ht="15" customHeight="1">
      <c r="B313" s="110" t="s">
        <v>234</v>
      </c>
      <c r="C313" s="66" t="s">
        <v>99</v>
      </c>
      <c r="D313" s="67">
        <v>33</v>
      </c>
      <c r="E313" s="68">
        <v>3.4479155783089998E-3</v>
      </c>
    </row>
    <row r="314" spans="2:5" ht="15" customHeight="1">
      <c r="B314" s="111"/>
      <c r="C314" s="66" t="s">
        <v>101</v>
      </c>
      <c r="D314" s="67">
        <v>28</v>
      </c>
      <c r="E314" s="68">
        <v>2.9255041270500001E-3</v>
      </c>
    </row>
    <row r="315" spans="2:5" ht="15" customHeight="1">
      <c r="B315" s="111"/>
      <c r="C315" s="66" t="s">
        <v>102</v>
      </c>
      <c r="D315" s="67">
        <v>58</v>
      </c>
      <c r="E315" s="68">
        <v>6.059972834605E-3</v>
      </c>
    </row>
    <row r="316" spans="2:5" ht="15" customHeight="1">
      <c r="B316" s="111"/>
      <c r="C316" s="66" t="s">
        <v>103</v>
      </c>
      <c r="D316" s="67">
        <v>569</v>
      </c>
      <c r="E316" s="68">
        <v>5.9450423153275998E-2</v>
      </c>
    </row>
    <row r="317" spans="2:5" ht="15" customHeight="1">
      <c r="B317" s="111"/>
      <c r="C317" s="66" t="s">
        <v>104</v>
      </c>
      <c r="D317" s="67">
        <v>57</v>
      </c>
      <c r="E317" s="68">
        <v>5.9554905443530001E-3</v>
      </c>
    </row>
    <row r="318" spans="2:5" ht="15" customHeight="1">
      <c r="B318" s="111"/>
      <c r="C318" s="66" t="s">
        <v>105</v>
      </c>
      <c r="D318" s="67">
        <v>4</v>
      </c>
      <c r="E318" s="68">
        <v>4.1792916100699999E-4</v>
      </c>
    </row>
    <row r="319" spans="2:5" ht="15" customHeight="1">
      <c r="B319" s="111"/>
      <c r="C319" s="66" t="s">
        <v>106</v>
      </c>
      <c r="D319" s="67">
        <v>3</v>
      </c>
      <c r="E319" s="68">
        <v>3.13446870755E-4</v>
      </c>
    </row>
    <row r="320" spans="2:5" ht="15" customHeight="1">
      <c r="B320" s="111"/>
      <c r="C320" s="66" t="s">
        <v>107</v>
      </c>
      <c r="D320" s="67">
        <v>1</v>
      </c>
      <c r="E320" s="68">
        <v>1.04482290252E-4</v>
      </c>
    </row>
    <row r="321" spans="2:5" ht="15" customHeight="1">
      <c r="B321" s="111"/>
      <c r="C321" s="66" t="s">
        <v>108</v>
      </c>
      <c r="D321" s="67">
        <v>251</v>
      </c>
      <c r="E321" s="68">
        <v>2.6225054853202E-2</v>
      </c>
    </row>
    <row r="322" spans="2:5" ht="15" customHeight="1">
      <c r="B322" s="111"/>
      <c r="C322" s="66" t="s">
        <v>109</v>
      </c>
      <c r="D322" s="67">
        <v>153</v>
      </c>
      <c r="E322" s="68">
        <v>1.5985790408526001E-2</v>
      </c>
    </row>
    <row r="323" spans="2:5" ht="15" customHeight="1">
      <c r="B323" s="111"/>
      <c r="C323" s="66" t="s">
        <v>111</v>
      </c>
      <c r="D323" s="67">
        <v>18</v>
      </c>
      <c r="E323" s="68">
        <v>1.8806812245319999E-3</v>
      </c>
    </row>
    <row r="324" spans="2:5" ht="15" customHeight="1">
      <c r="B324" s="111"/>
      <c r="C324" s="66" t="s">
        <v>112</v>
      </c>
      <c r="D324" s="67">
        <v>104</v>
      </c>
      <c r="E324" s="68">
        <v>1.0866158186187001E-2</v>
      </c>
    </row>
    <row r="325" spans="2:5" ht="15" customHeight="1">
      <c r="B325" s="111"/>
      <c r="C325" s="66" t="s">
        <v>113</v>
      </c>
      <c r="D325" s="67">
        <v>61</v>
      </c>
      <c r="E325" s="68">
        <v>6.3734197053600004E-3</v>
      </c>
    </row>
    <row r="326" spans="2:5" ht="15" customHeight="1">
      <c r="B326" s="111"/>
      <c r="C326" s="66" t="s">
        <v>114</v>
      </c>
      <c r="D326" s="67">
        <v>8</v>
      </c>
      <c r="E326" s="68">
        <v>8.3585832201399997E-4</v>
      </c>
    </row>
    <row r="327" spans="2:5" ht="15" customHeight="1">
      <c r="B327" s="111"/>
      <c r="C327" s="66" t="s">
        <v>115</v>
      </c>
      <c r="D327" s="67">
        <v>19</v>
      </c>
      <c r="E327" s="68">
        <v>1.985163514784E-3</v>
      </c>
    </row>
    <row r="328" spans="2:5" ht="15" customHeight="1">
      <c r="B328" s="111"/>
      <c r="C328" s="66" t="s">
        <v>116</v>
      </c>
      <c r="D328" s="67">
        <v>20</v>
      </c>
      <c r="E328" s="68">
        <v>2.0896458050359999E-3</v>
      </c>
    </row>
    <row r="329" spans="2:5" ht="15" customHeight="1">
      <c r="B329" s="111"/>
      <c r="C329" s="66" t="s">
        <v>117</v>
      </c>
      <c r="D329" s="67">
        <v>39</v>
      </c>
      <c r="E329" s="68">
        <v>4.0748093198199999E-3</v>
      </c>
    </row>
    <row r="330" spans="2:5" ht="15" customHeight="1">
      <c r="B330" s="111"/>
      <c r="C330" s="66" t="s">
        <v>118</v>
      </c>
      <c r="D330" s="67">
        <v>4</v>
      </c>
      <c r="E330" s="68">
        <v>4.1792916100699999E-4</v>
      </c>
    </row>
    <row r="331" spans="2:5" ht="15" customHeight="1">
      <c r="B331" s="111"/>
      <c r="C331" s="66" t="s">
        <v>119</v>
      </c>
      <c r="D331" s="67">
        <v>1</v>
      </c>
      <c r="E331" s="68">
        <v>1.04482290252E-4</v>
      </c>
    </row>
    <row r="332" spans="2:5" ht="15" customHeight="1">
      <c r="B332" s="111"/>
      <c r="C332" s="66" t="s">
        <v>120</v>
      </c>
      <c r="D332" s="67">
        <v>16</v>
      </c>
      <c r="E332" s="68">
        <v>1.671716644029E-3</v>
      </c>
    </row>
    <row r="333" spans="2:5" ht="15" customHeight="1">
      <c r="B333" s="111"/>
      <c r="C333" s="66" t="s">
        <v>121</v>
      </c>
      <c r="D333" s="67">
        <v>16</v>
      </c>
      <c r="E333" s="68">
        <v>1.671716644029E-3</v>
      </c>
    </row>
    <row r="334" spans="2:5" ht="15" customHeight="1">
      <c r="B334" s="111"/>
      <c r="C334" s="66" t="s">
        <v>122</v>
      </c>
      <c r="D334" s="67">
        <v>31</v>
      </c>
      <c r="E334" s="68">
        <v>3.2389509978060001E-3</v>
      </c>
    </row>
    <row r="335" spans="2:5" ht="15" customHeight="1">
      <c r="B335" s="111"/>
      <c r="C335" s="66" t="s">
        <v>123</v>
      </c>
      <c r="D335" s="67">
        <v>29</v>
      </c>
      <c r="E335" s="68">
        <v>3.029986417302E-3</v>
      </c>
    </row>
    <row r="336" spans="2:5" ht="15" customHeight="1">
      <c r="B336" s="111"/>
      <c r="C336" s="66" t="s">
        <v>124</v>
      </c>
      <c r="D336" s="67">
        <v>27</v>
      </c>
      <c r="E336" s="68">
        <v>2.8210218367989998E-3</v>
      </c>
    </row>
    <row r="337" spans="2:5" ht="15" customHeight="1">
      <c r="B337" s="111"/>
      <c r="C337" s="66" t="s">
        <v>125</v>
      </c>
      <c r="D337" s="67">
        <v>2</v>
      </c>
      <c r="E337" s="68">
        <v>2.08964580504E-4</v>
      </c>
    </row>
    <row r="338" spans="2:5" ht="15" customHeight="1">
      <c r="B338" s="111"/>
      <c r="C338" s="66" t="s">
        <v>126</v>
      </c>
      <c r="D338" s="67">
        <v>39</v>
      </c>
      <c r="E338" s="68">
        <v>4.0748093198199999E-3</v>
      </c>
    </row>
    <row r="339" spans="2:5" ht="15" customHeight="1">
      <c r="B339" s="111"/>
      <c r="C339" s="66" t="s">
        <v>127</v>
      </c>
      <c r="D339" s="67">
        <v>54</v>
      </c>
      <c r="E339" s="68">
        <v>5.6420436735969996E-3</v>
      </c>
    </row>
    <row r="340" spans="2:5" ht="15" customHeight="1">
      <c r="B340" s="111"/>
      <c r="C340" s="66" t="s">
        <v>128</v>
      </c>
      <c r="D340" s="67">
        <v>5</v>
      </c>
      <c r="E340" s="68">
        <v>5.2241145125899997E-4</v>
      </c>
    </row>
    <row r="341" spans="2:5" ht="15" customHeight="1">
      <c r="B341" s="111"/>
      <c r="C341" s="66" t="s">
        <v>129</v>
      </c>
      <c r="D341" s="67">
        <v>13</v>
      </c>
      <c r="E341" s="68">
        <v>1.3582697732729999E-3</v>
      </c>
    </row>
    <row r="342" spans="2:5" ht="15" customHeight="1">
      <c r="B342" s="111"/>
      <c r="C342" s="66" t="s">
        <v>130</v>
      </c>
      <c r="D342" s="67">
        <v>5</v>
      </c>
      <c r="E342" s="68">
        <v>5.2241145125899997E-4</v>
      </c>
    </row>
    <row r="343" spans="2:5" ht="15" customHeight="1">
      <c r="B343" s="111"/>
      <c r="C343" s="66" t="s">
        <v>131</v>
      </c>
      <c r="D343" s="67">
        <v>18</v>
      </c>
      <c r="E343" s="68">
        <v>1.8806812245319999E-3</v>
      </c>
    </row>
    <row r="344" spans="2:5" ht="15" customHeight="1">
      <c r="B344" s="111"/>
      <c r="C344" s="66" t="s">
        <v>132</v>
      </c>
      <c r="D344" s="67">
        <v>173</v>
      </c>
      <c r="E344" s="68">
        <v>1.8075436213562002E-2</v>
      </c>
    </row>
    <row r="345" spans="2:5" ht="15" customHeight="1">
      <c r="B345" s="111"/>
      <c r="C345" s="66" t="s">
        <v>133</v>
      </c>
      <c r="D345" s="67">
        <v>8</v>
      </c>
      <c r="E345" s="68">
        <v>8.3585832201399997E-4</v>
      </c>
    </row>
    <row r="346" spans="2:5" ht="15" customHeight="1">
      <c r="B346" s="111"/>
      <c r="C346" s="66" t="s">
        <v>134</v>
      </c>
      <c r="D346" s="67">
        <v>19</v>
      </c>
      <c r="E346" s="68">
        <v>1.985163514784E-3</v>
      </c>
    </row>
    <row r="347" spans="2:5" ht="15" customHeight="1">
      <c r="B347" s="111"/>
      <c r="C347" s="66" t="s">
        <v>135</v>
      </c>
      <c r="D347" s="67">
        <v>70</v>
      </c>
      <c r="E347" s="68">
        <v>7.313760317626E-3</v>
      </c>
    </row>
    <row r="348" spans="2:5" ht="15" customHeight="1">
      <c r="B348" s="111"/>
      <c r="C348" s="66" t="s">
        <v>136</v>
      </c>
      <c r="D348" s="67">
        <v>12</v>
      </c>
      <c r="E348" s="68">
        <v>1.2537874830219999E-3</v>
      </c>
    </row>
    <row r="349" spans="2:5" ht="15" customHeight="1">
      <c r="B349" s="111"/>
      <c r="C349" s="66" t="s">
        <v>137</v>
      </c>
      <c r="D349" s="67">
        <v>36</v>
      </c>
      <c r="E349" s="68">
        <v>3.7613624490649999E-3</v>
      </c>
    </row>
    <row r="350" spans="2:5" ht="15" customHeight="1">
      <c r="B350" s="111"/>
      <c r="C350" s="66" t="s">
        <v>138</v>
      </c>
      <c r="D350" s="67">
        <v>1</v>
      </c>
      <c r="E350" s="68">
        <v>1.04482290252E-4</v>
      </c>
    </row>
    <row r="351" spans="2:5" ht="15" customHeight="1">
      <c r="B351" s="111"/>
      <c r="C351" s="66" t="s">
        <v>139</v>
      </c>
      <c r="D351" s="67">
        <v>98</v>
      </c>
      <c r="E351" s="68">
        <v>1.0239264444677E-2</v>
      </c>
    </row>
    <row r="352" spans="2:5" ht="15" customHeight="1">
      <c r="B352" s="111"/>
      <c r="C352" s="66" t="s">
        <v>141</v>
      </c>
      <c r="D352" s="67">
        <v>100</v>
      </c>
      <c r="E352" s="68">
        <v>1.044822902518E-2</v>
      </c>
    </row>
    <row r="353" spans="2:5" ht="15" customHeight="1">
      <c r="B353" s="111"/>
      <c r="C353" s="66" t="s">
        <v>142</v>
      </c>
      <c r="D353" s="67">
        <v>1235</v>
      </c>
      <c r="E353" s="68">
        <v>0.12903562846097599</v>
      </c>
    </row>
    <row r="354" spans="2:5" ht="15" customHeight="1">
      <c r="B354" s="111"/>
      <c r="C354" s="66" t="s">
        <v>143</v>
      </c>
      <c r="D354" s="67">
        <v>18</v>
      </c>
      <c r="E354" s="68">
        <v>1.8806812245319999E-3</v>
      </c>
    </row>
    <row r="355" spans="2:5" ht="15" customHeight="1">
      <c r="B355" s="111"/>
      <c r="C355" s="66" t="s">
        <v>145</v>
      </c>
      <c r="D355" s="67">
        <v>39</v>
      </c>
      <c r="E355" s="68">
        <v>4.0748093198199999E-3</v>
      </c>
    </row>
    <row r="356" spans="2:5" ht="15" customHeight="1">
      <c r="B356" s="111"/>
      <c r="C356" s="66" t="s">
        <v>74</v>
      </c>
      <c r="D356" s="67">
        <v>28</v>
      </c>
      <c r="E356" s="68">
        <v>2.9255041270500001E-3</v>
      </c>
    </row>
    <row r="357" spans="2:5" ht="15" customHeight="1">
      <c r="B357" s="111"/>
      <c r="C357" s="66" t="s">
        <v>147</v>
      </c>
      <c r="D357" s="67">
        <v>30</v>
      </c>
      <c r="E357" s="68">
        <v>3.1344687075539998E-3</v>
      </c>
    </row>
    <row r="358" spans="2:5" ht="15" customHeight="1">
      <c r="B358" s="112"/>
      <c r="C358" s="36" t="s">
        <v>29</v>
      </c>
      <c r="D358" s="35">
        <v>3553</v>
      </c>
      <c r="E358" s="34">
        <v>0.37122557726465399</v>
      </c>
    </row>
    <row r="359" spans="2:5" ht="15" customHeight="1">
      <c r="B359" s="110" t="s">
        <v>235</v>
      </c>
      <c r="C359" s="66" t="s">
        <v>101</v>
      </c>
      <c r="D359" s="67">
        <v>2</v>
      </c>
      <c r="E359" s="68">
        <v>2.08964580504E-4</v>
      </c>
    </row>
    <row r="360" spans="2:5" ht="15" customHeight="1">
      <c r="B360" s="111"/>
      <c r="C360" s="66" t="s">
        <v>102</v>
      </c>
      <c r="D360" s="67">
        <v>1</v>
      </c>
      <c r="E360" s="68">
        <v>1.04482290252E-4</v>
      </c>
    </row>
    <row r="361" spans="2:5" ht="15" customHeight="1">
      <c r="B361" s="111"/>
      <c r="C361" s="66" t="s">
        <v>103</v>
      </c>
      <c r="D361" s="67">
        <v>15</v>
      </c>
      <c r="E361" s="68">
        <v>1.5672343537769999E-3</v>
      </c>
    </row>
    <row r="362" spans="2:5" ht="15" customHeight="1">
      <c r="B362" s="111"/>
      <c r="C362" s="66" t="s">
        <v>104</v>
      </c>
      <c r="D362" s="67">
        <v>1</v>
      </c>
      <c r="E362" s="68">
        <v>1.04482290252E-4</v>
      </c>
    </row>
    <row r="363" spans="2:5" ht="15" customHeight="1">
      <c r="B363" s="111"/>
      <c r="C363" s="66" t="s">
        <v>105</v>
      </c>
      <c r="D363" s="67">
        <v>1</v>
      </c>
      <c r="E363" s="68">
        <v>1.04482290252E-4</v>
      </c>
    </row>
    <row r="364" spans="2:5" ht="15" customHeight="1">
      <c r="B364" s="111"/>
      <c r="C364" s="66" t="s">
        <v>108</v>
      </c>
      <c r="D364" s="67">
        <v>4</v>
      </c>
      <c r="E364" s="68">
        <v>4.1792916100699999E-4</v>
      </c>
    </row>
    <row r="365" spans="2:5" ht="15" customHeight="1">
      <c r="B365" s="111"/>
      <c r="C365" s="66" t="s">
        <v>109</v>
      </c>
      <c r="D365" s="67">
        <v>2</v>
      </c>
      <c r="E365" s="68">
        <v>2.08964580504E-4</v>
      </c>
    </row>
    <row r="366" spans="2:5" ht="15" customHeight="1">
      <c r="B366" s="111"/>
      <c r="C366" s="66" t="s">
        <v>112</v>
      </c>
      <c r="D366" s="67">
        <v>1</v>
      </c>
      <c r="E366" s="68">
        <v>1.04482290252E-4</v>
      </c>
    </row>
    <row r="367" spans="2:5" ht="15" customHeight="1">
      <c r="B367" s="111"/>
      <c r="C367" s="66" t="s">
        <v>113</v>
      </c>
      <c r="D367" s="67">
        <v>2</v>
      </c>
      <c r="E367" s="68">
        <v>2.08964580504E-4</v>
      </c>
    </row>
    <row r="368" spans="2:5" ht="15" customHeight="1">
      <c r="B368" s="111"/>
      <c r="C368" s="66" t="s">
        <v>114</v>
      </c>
      <c r="D368" s="67">
        <v>1</v>
      </c>
      <c r="E368" s="68">
        <v>1.04482290252E-4</v>
      </c>
    </row>
    <row r="369" spans="2:5" ht="15" customHeight="1">
      <c r="B369" s="111"/>
      <c r="C369" s="66" t="s">
        <v>115</v>
      </c>
      <c r="D369" s="67">
        <v>1</v>
      </c>
      <c r="E369" s="68">
        <v>1.04482290252E-4</v>
      </c>
    </row>
    <row r="370" spans="2:5" ht="15" customHeight="1">
      <c r="B370" s="111"/>
      <c r="C370" s="66" t="s">
        <v>117</v>
      </c>
      <c r="D370" s="67">
        <v>1</v>
      </c>
      <c r="E370" s="68">
        <v>1.04482290252E-4</v>
      </c>
    </row>
    <row r="371" spans="2:5" ht="15" customHeight="1">
      <c r="B371" s="111"/>
      <c r="C371" s="66" t="s">
        <v>122</v>
      </c>
      <c r="D371" s="67">
        <v>1</v>
      </c>
      <c r="E371" s="68">
        <v>1.04482290252E-4</v>
      </c>
    </row>
    <row r="372" spans="2:5" ht="15" customHeight="1">
      <c r="B372" s="111"/>
      <c r="C372" s="66" t="s">
        <v>126</v>
      </c>
      <c r="D372" s="67">
        <v>1</v>
      </c>
      <c r="E372" s="68">
        <v>1.04482290252E-4</v>
      </c>
    </row>
    <row r="373" spans="2:5" ht="15" customHeight="1">
      <c r="B373" s="111"/>
      <c r="C373" s="66" t="s">
        <v>132</v>
      </c>
      <c r="D373" s="67">
        <v>2</v>
      </c>
      <c r="E373" s="68">
        <v>2.08964580504E-4</v>
      </c>
    </row>
    <row r="374" spans="2:5" ht="15" customHeight="1">
      <c r="B374" s="111"/>
      <c r="C374" s="66" t="s">
        <v>135</v>
      </c>
      <c r="D374" s="67">
        <v>1</v>
      </c>
      <c r="E374" s="68">
        <v>1.04482290252E-4</v>
      </c>
    </row>
    <row r="375" spans="2:5" ht="15" customHeight="1">
      <c r="B375" s="111"/>
      <c r="C375" s="66" t="s">
        <v>137</v>
      </c>
      <c r="D375" s="67">
        <v>1</v>
      </c>
      <c r="E375" s="68">
        <v>1.04482290252E-4</v>
      </c>
    </row>
    <row r="376" spans="2:5" ht="15" customHeight="1">
      <c r="B376" s="111"/>
      <c r="C376" s="66" t="s">
        <v>140</v>
      </c>
      <c r="D376" s="67">
        <v>1</v>
      </c>
      <c r="E376" s="68">
        <v>1.04482290252E-4</v>
      </c>
    </row>
    <row r="377" spans="2:5" ht="15" customHeight="1">
      <c r="B377" s="111"/>
      <c r="C377" s="66" t="s">
        <v>142</v>
      </c>
      <c r="D377" s="67">
        <v>18</v>
      </c>
      <c r="E377" s="68">
        <v>1.8806812245319999E-3</v>
      </c>
    </row>
    <row r="378" spans="2:5" ht="15" customHeight="1">
      <c r="B378" s="111"/>
      <c r="C378" s="66" t="s">
        <v>74</v>
      </c>
      <c r="D378" s="67">
        <v>2</v>
      </c>
      <c r="E378" s="68">
        <v>2.08964580504E-4</v>
      </c>
    </row>
    <row r="379" spans="2:5" ht="15" customHeight="1">
      <c r="B379" s="112"/>
      <c r="C379" s="36" t="s">
        <v>29</v>
      </c>
      <c r="D379" s="35">
        <v>59</v>
      </c>
      <c r="E379" s="34">
        <v>6.1644551248559998E-3</v>
      </c>
    </row>
    <row r="380" spans="2:5" ht="15" customHeight="1">
      <c r="B380" s="110" t="s">
        <v>236</v>
      </c>
      <c r="C380" s="66" t="s">
        <v>99</v>
      </c>
      <c r="D380" s="67">
        <v>2</v>
      </c>
      <c r="E380" s="68">
        <v>2.08964580504E-4</v>
      </c>
    </row>
    <row r="381" spans="2:5" ht="15" customHeight="1">
      <c r="B381" s="111"/>
      <c r="C381" s="66" t="s">
        <v>101</v>
      </c>
      <c r="D381" s="67">
        <v>5</v>
      </c>
      <c r="E381" s="68">
        <v>5.2241145125899997E-4</v>
      </c>
    </row>
    <row r="382" spans="2:5" ht="15" customHeight="1">
      <c r="B382" s="111"/>
      <c r="C382" s="66" t="s">
        <v>102</v>
      </c>
      <c r="D382" s="67">
        <v>4</v>
      </c>
      <c r="E382" s="68">
        <v>4.1792916100699999E-4</v>
      </c>
    </row>
    <row r="383" spans="2:5" ht="15" customHeight="1">
      <c r="B383" s="111"/>
      <c r="C383" s="66" t="s">
        <v>103</v>
      </c>
      <c r="D383" s="67">
        <v>55</v>
      </c>
      <c r="E383" s="68">
        <v>5.7465259638490003E-3</v>
      </c>
    </row>
    <row r="384" spans="2:5" ht="15" customHeight="1">
      <c r="B384" s="111"/>
      <c r="C384" s="66" t="s">
        <v>104</v>
      </c>
      <c r="D384" s="67">
        <v>5</v>
      </c>
      <c r="E384" s="68">
        <v>5.2241145125899997E-4</v>
      </c>
    </row>
    <row r="385" spans="2:5" ht="15" customHeight="1">
      <c r="B385" s="111"/>
      <c r="C385" s="66" t="s">
        <v>105</v>
      </c>
      <c r="D385" s="67">
        <v>2</v>
      </c>
      <c r="E385" s="68">
        <v>2.08964580504E-4</v>
      </c>
    </row>
    <row r="386" spans="2:5" ht="15" customHeight="1">
      <c r="B386" s="111"/>
      <c r="C386" s="66" t="s">
        <v>106</v>
      </c>
      <c r="D386" s="67">
        <v>1</v>
      </c>
      <c r="E386" s="68">
        <v>1.04482290252E-4</v>
      </c>
    </row>
    <row r="387" spans="2:5" ht="15" customHeight="1">
      <c r="B387" s="111"/>
      <c r="C387" s="66" t="s">
        <v>108</v>
      </c>
      <c r="D387" s="67">
        <v>27</v>
      </c>
      <c r="E387" s="68">
        <v>2.8210218367989998E-3</v>
      </c>
    </row>
    <row r="388" spans="2:5" ht="15" customHeight="1">
      <c r="B388" s="111"/>
      <c r="C388" s="66" t="s">
        <v>109</v>
      </c>
      <c r="D388" s="67">
        <v>13</v>
      </c>
      <c r="E388" s="68">
        <v>1.3582697732729999E-3</v>
      </c>
    </row>
    <row r="389" spans="2:5" ht="15" customHeight="1">
      <c r="B389" s="111"/>
      <c r="C389" s="66" t="s">
        <v>110</v>
      </c>
      <c r="D389" s="67">
        <v>1</v>
      </c>
      <c r="E389" s="68">
        <v>1.04482290252E-4</v>
      </c>
    </row>
    <row r="390" spans="2:5" ht="15" customHeight="1">
      <c r="B390" s="111"/>
      <c r="C390" s="66" t="s">
        <v>111</v>
      </c>
      <c r="D390" s="67">
        <v>2</v>
      </c>
      <c r="E390" s="68">
        <v>2.08964580504E-4</v>
      </c>
    </row>
    <row r="391" spans="2:5" ht="15" customHeight="1">
      <c r="B391" s="111"/>
      <c r="C391" s="66" t="s">
        <v>112</v>
      </c>
      <c r="D391" s="67">
        <v>10</v>
      </c>
      <c r="E391" s="68">
        <v>1.0448229025179999E-3</v>
      </c>
    </row>
    <row r="392" spans="2:5" ht="15" customHeight="1">
      <c r="B392" s="111"/>
      <c r="C392" s="66" t="s">
        <v>113</v>
      </c>
      <c r="D392" s="67">
        <v>9</v>
      </c>
      <c r="E392" s="68">
        <v>9.4034061226599996E-4</v>
      </c>
    </row>
    <row r="393" spans="2:5" ht="15" customHeight="1">
      <c r="B393" s="111"/>
      <c r="C393" s="66" t="s">
        <v>114</v>
      </c>
      <c r="D393" s="67">
        <v>1</v>
      </c>
      <c r="E393" s="68">
        <v>1.04482290252E-4</v>
      </c>
    </row>
    <row r="394" spans="2:5" ht="15" customHeight="1">
      <c r="B394" s="111"/>
      <c r="C394" s="66" t="s">
        <v>115</v>
      </c>
      <c r="D394" s="67">
        <v>5</v>
      </c>
      <c r="E394" s="68">
        <v>5.2241145125899997E-4</v>
      </c>
    </row>
    <row r="395" spans="2:5" ht="15" customHeight="1">
      <c r="B395" s="111"/>
      <c r="C395" s="66" t="s">
        <v>116</v>
      </c>
      <c r="D395" s="67">
        <v>1</v>
      </c>
      <c r="E395" s="68">
        <v>1.04482290252E-4</v>
      </c>
    </row>
    <row r="396" spans="2:5" ht="15" customHeight="1">
      <c r="B396" s="111"/>
      <c r="C396" s="66" t="s">
        <v>117</v>
      </c>
      <c r="D396" s="67">
        <v>4</v>
      </c>
      <c r="E396" s="68">
        <v>4.1792916100699999E-4</v>
      </c>
    </row>
    <row r="397" spans="2:5" ht="15" customHeight="1">
      <c r="B397" s="111"/>
      <c r="C397" s="66" t="s">
        <v>121</v>
      </c>
      <c r="D397" s="67">
        <v>1</v>
      </c>
      <c r="E397" s="68">
        <v>1.04482290252E-4</v>
      </c>
    </row>
    <row r="398" spans="2:5" ht="15" customHeight="1">
      <c r="B398" s="111"/>
      <c r="C398" s="66" t="s">
        <v>122</v>
      </c>
      <c r="D398" s="67">
        <v>1</v>
      </c>
      <c r="E398" s="68">
        <v>1.04482290252E-4</v>
      </c>
    </row>
    <row r="399" spans="2:5" ht="15" customHeight="1">
      <c r="B399" s="111"/>
      <c r="C399" s="66" t="s">
        <v>123</v>
      </c>
      <c r="D399" s="67">
        <v>3</v>
      </c>
      <c r="E399" s="68">
        <v>3.13446870755E-4</v>
      </c>
    </row>
    <row r="400" spans="2:5" ht="15" customHeight="1">
      <c r="B400" s="111"/>
      <c r="C400" s="66" t="s">
        <v>124</v>
      </c>
      <c r="D400" s="67">
        <v>6</v>
      </c>
      <c r="E400" s="68">
        <v>6.2689374151099996E-4</v>
      </c>
    </row>
    <row r="401" spans="2:5" ht="15" customHeight="1">
      <c r="B401" s="111"/>
      <c r="C401" s="66" t="s">
        <v>126</v>
      </c>
      <c r="D401" s="67">
        <v>5</v>
      </c>
      <c r="E401" s="68">
        <v>5.2241145125899997E-4</v>
      </c>
    </row>
    <row r="402" spans="2:5" ht="15" customHeight="1">
      <c r="B402" s="111"/>
      <c r="C402" s="66" t="s">
        <v>127</v>
      </c>
      <c r="D402" s="67">
        <v>2</v>
      </c>
      <c r="E402" s="68">
        <v>2.08964580504E-4</v>
      </c>
    </row>
    <row r="403" spans="2:5" ht="15" customHeight="1">
      <c r="B403" s="111"/>
      <c r="C403" s="66" t="s">
        <v>129</v>
      </c>
      <c r="D403" s="67">
        <v>1</v>
      </c>
      <c r="E403" s="68">
        <v>1.04482290252E-4</v>
      </c>
    </row>
    <row r="404" spans="2:5" ht="15" customHeight="1">
      <c r="B404" s="111"/>
      <c r="C404" s="66" t="s">
        <v>131</v>
      </c>
      <c r="D404" s="67">
        <v>1</v>
      </c>
      <c r="E404" s="68">
        <v>1.04482290252E-4</v>
      </c>
    </row>
    <row r="405" spans="2:5" ht="15" customHeight="1">
      <c r="B405" s="111"/>
      <c r="C405" s="66" t="s">
        <v>132</v>
      </c>
      <c r="D405" s="67">
        <v>10</v>
      </c>
      <c r="E405" s="68">
        <v>1.0448229025179999E-3</v>
      </c>
    </row>
    <row r="406" spans="2:5" ht="15" customHeight="1">
      <c r="B406" s="111"/>
      <c r="C406" s="66" t="s">
        <v>134</v>
      </c>
      <c r="D406" s="67">
        <v>2</v>
      </c>
      <c r="E406" s="68">
        <v>2.08964580504E-4</v>
      </c>
    </row>
    <row r="407" spans="2:5" ht="15" customHeight="1">
      <c r="B407" s="111"/>
      <c r="C407" s="66" t="s">
        <v>135</v>
      </c>
      <c r="D407" s="67">
        <v>5</v>
      </c>
      <c r="E407" s="68">
        <v>5.2241145125899997E-4</v>
      </c>
    </row>
    <row r="408" spans="2:5" ht="15" customHeight="1">
      <c r="B408" s="111"/>
      <c r="C408" s="66" t="s">
        <v>136</v>
      </c>
      <c r="D408" s="67">
        <v>1</v>
      </c>
      <c r="E408" s="68">
        <v>1.04482290252E-4</v>
      </c>
    </row>
    <row r="409" spans="2:5" ht="15" customHeight="1">
      <c r="B409" s="111"/>
      <c r="C409" s="66" t="s">
        <v>137</v>
      </c>
      <c r="D409" s="67">
        <v>4</v>
      </c>
      <c r="E409" s="68">
        <v>4.1792916100699999E-4</v>
      </c>
    </row>
    <row r="410" spans="2:5" ht="15" customHeight="1">
      <c r="B410" s="111"/>
      <c r="C410" s="66" t="s">
        <v>139</v>
      </c>
      <c r="D410" s="67">
        <v>9</v>
      </c>
      <c r="E410" s="68">
        <v>9.4034061226599996E-4</v>
      </c>
    </row>
    <row r="411" spans="2:5" ht="15" customHeight="1">
      <c r="B411" s="111"/>
      <c r="C411" s="66" t="s">
        <v>141</v>
      </c>
      <c r="D411" s="67">
        <v>11</v>
      </c>
      <c r="E411" s="68">
        <v>1.14930519277E-3</v>
      </c>
    </row>
    <row r="412" spans="2:5" ht="15" customHeight="1">
      <c r="B412" s="111"/>
      <c r="C412" s="66" t="s">
        <v>142</v>
      </c>
      <c r="D412" s="67">
        <v>144</v>
      </c>
      <c r="E412" s="68">
        <v>1.504544979626E-2</v>
      </c>
    </row>
    <row r="413" spans="2:5" ht="15" customHeight="1">
      <c r="B413" s="111"/>
      <c r="C413" s="66" t="s">
        <v>144</v>
      </c>
      <c r="D413" s="67">
        <v>1</v>
      </c>
      <c r="E413" s="68">
        <v>1.04482290252E-4</v>
      </c>
    </row>
    <row r="414" spans="2:5" ht="15" customHeight="1">
      <c r="B414" s="111"/>
      <c r="C414" s="66" t="s">
        <v>145</v>
      </c>
      <c r="D414" s="67">
        <v>4</v>
      </c>
      <c r="E414" s="68">
        <v>4.1792916100699999E-4</v>
      </c>
    </row>
    <row r="415" spans="2:5" ht="15" customHeight="1">
      <c r="B415" s="111"/>
      <c r="C415" s="66" t="s">
        <v>74</v>
      </c>
      <c r="D415" s="67">
        <v>1</v>
      </c>
      <c r="E415" s="68">
        <v>1.04482290252E-4</v>
      </c>
    </row>
    <row r="416" spans="2:5" ht="15" customHeight="1">
      <c r="B416" s="111"/>
      <c r="C416" s="66" t="s">
        <v>146</v>
      </c>
      <c r="D416" s="67">
        <v>1</v>
      </c>
      <c r="E416" s="68">
        <v>1.04482290252E-4</v>
      </c>
    </row>
    <row r="417" spans="2:5" ht="15" customHeight="1">
      <c r="B417" s="111"/>
      <c r="C417" s="66" t="s">
        <v>147</v>
      </c>
      <c r="D417" s="67">
        <v>3</v>
      </c>
      <c r="E417" s="68">
        <v>3.13446870755E-4</v>
      </c>
    </row>
    <row r="418" spans="2:5" ht="15" customHeight="1">
      <c r="B418" s="112"/>
      <c r="C418" s="36" t="s">
        <v>29</v>
      </c>
      <c r="D418" s="35">
        <v>363</v>
      </c>
      <c r="E418" s="34">
        <v>3.7927071361403997E-2</v>
      </c>
    </row>
    <row r="419" spans="2:5" ht="15" customHeight="1">
      <c r="B419" s="110" t="s">
        <v>237</v>
      </c>
      <c r="C419" s="66" t="s">
        <v>99</v>
      </c>
      <c r="D419" s="67">
        <v>13</v>
      </c>
      <c r="E419" s="68">
        <v>1.3582697732729999E-3</v>
      </c>
    </row>
    <row r="420" spans="2:5" ht="15" customHeight="1">
      <c r="B420" s="111"/>
      <c r="C420" s="66" t="s">
        <v>101</v>
      </c>
      <c r="D420" s="67">
        <v>17</v>
      </c>
      <c r="E420" s="68">
        <v>1.7761989342810001E-3</v>
      </c>
    </row>
    <row r="421" spans="2:5" ht="15" customHeight="1">
      <c r="B421" s="111"/>
      <c r="C421" s="66" t="s">
        <v>102</v>
      </c>
      <c r="D421" s="67">
        <v>30</v>
      </c>
      <c r="E421" s="68">
        <v>3.1344687075539998E-3</v>
      </c>
    </row>
    <row r="422" spans="2:5" ht="15" customHeight="1">
      <c r="B422" s="111"/>
      <c r="C422" s="66" t="s">
        <v>103</v>
      </c>
      <c r="D422" s="67">
        <v>234</v>
      </c>
      <c r="E422" s="68">
        <v>2.4448855918921999E-2</v>
      </c>
    </row>
    <row r="423" spans="2:5" ht="15" customHeight="1">
      <c r="B423" s="111"/>
      <c r="C423" s="66" t="s">
        <v>104</v>
      </c>
      <c r="D423" s="67">
        <v>22</v>
      </c>
      <c r="E423" s="68">
        <v>2.2986103855400001E-3</v>
      </c>
    </row>
    <row r="424" spans="2:5" ht="15" customHeight="1">
      <c r="B424" s="111"/>
      <c r="C424" s="66" t="s">
        <v>105</v>
      </c>
      <c r="D424" s="67">
        <v>4</v>
      </c>
      <c r="E424" s="68">
        <v>4.1792916100699999E-4</v>
      </c>
    </row>
    <row r="425" spans="2:5" ht="15" customHeight="1">
      <c r="B425" s="111"/>
      <c r="C425" s="66" t="s">
        <v>108</v>
      </c>
      <c r="D425" s="67">
        <v>82</v>
      </c>
      <c r="E425" s="68">
        <v>8.5675478006479993E-3</v>
      </c>
    </row>
    <row r="426" spans="2:5" ht="15" customHeight="1">
      <c r="B426" s="111"/>
      <c r="C426" s="66" t="s">
        <v>109</v>
      </c>
      <c r="D426" s="67">
        <v>56</v>
      </c>
      <c r="E426" s="68">
        <v>5.8510082541010002E-3</v>
      </c>
    </row>
    <row r="427" spans="2:5" ht="15" customHeight="1">
      <c r="B427" s="111"/>
      <c r="C427" s="66" t="s">
        <v>111</v>
      </c>
      <c r="D427" s="67">
        <v>7</v>
      </c>
      <c r="E427" s="68">
        <v>7.3137603176300005E-4</v>
      </c>
    </row>
    <row r="428" spans="2:5" ht="15" customHeight="1">
      <c r="B428" s="111"/>
      <c r="C428" s="66" t="s">
        <v>112</v>
      </c>
      <c r="D428" s="67">
        <v>40</v>
      </c>
      <c r="E428" s="68">
        <v>4.1792916100719998E-3</v>
      </c>
    </row>
    <row r="429" spans="2:5" ht="15" customHeight="1">
      <c r="B429" s="111"/>
      <c r="C429" s="66" t="s">
        <v>113</v>
      </c>
      <c r="D429" s="67">
        <v>33</v>
      </c>
      <c r="E429" s="68">
        <v>3.4479155783089998E-3</v>
      </c>
    </row>
    <row r="430" spans="2:5" ht="15" customHeight="1">
      <c r="B430" s="111"/>
      <c r="C430" s="66" t="s">
        <v>114</v>
      </c>
      <c r="D430" s="67">
        <v>6</v>
      </c>
      <c r="E430" s="68">
        <v>6.2689374151099996E-4</v>
      </c>
    </row>
    <row r="431" spans="2:5" ht="15" customHeight="1">
      <c r="B431" s="111"/>
      <c r="C431" s="66" t="s">
        <v>115</v>
      </c>
      <c r="D431" s="67">
        <v>7</v>
      </c>
      <c r="E431" s="68">
        <v>7.3137603176300005E-4</v>
      </c>
    </row>
    <row r="432" spans="2:5" ht="15" customHeight="1">
      <c r="B432" s="111"/>
      <c r="C432" s="66" t="s">
        <v>116</v>
      </c>
      <c r="D432" s="67">
        <v>3</v>
      </c>
      <c r="E432" s="68">
        <v>3.13446870755E-4</v>
      </c>
    </row>
    <row r="433" spans="2:5" ht="15" customHeight="1">
      <c r="B433" s="111"/>
      <c r="C433" s="66" t="s">
        <v>117</v>
      </c>
      <c r="D433" s="67">
        <v>16</v>
      </c>
      <c r="E433" s="68">
        <v>1.671716644029E-3</v>
      </c>
    </row>
    <row r="434" spans="2:5" ht="15" customHeight="1">
      <c r="B434" s="111"/>
      <c r="C434" s="66" t="s">
        <v>118</v>
      </c>
      <c r="D434" s="67">
        <v>2</v>
      </c>
      <c r="E434" s="68">
        <v>2.08964580504E-4</v>
      </c>
    </row>
    <row r="435" spans="2:5" ht="15" customHeight="1">
      <c r="B435" s="111"/>
      <c r="C435" s="66" t="s">
        <v>119</v>
      </c>
      <c r="D435" s="67">
        <v>2</v>
      </c>
      <c r="E435" s="68">
        <v>2.08964580504E-4</v>
      </c>
    </row>
    <row r="436" spans="2:5" ht="15" customHeight="1">
      <c r="B436" s="111"/>
      <c r="C436" s="66" t="s">
        <v>120</v>
      </c>
      <c r="D436" s="67">
        <v>3</v>
      </c>
      <c r="E436" s="68">
        <v>3.13446870755E-4</v>
      </c>
    </row>
    <row r="437" spans="2:5" ht="15" customHeight="1">
      <c r="B437" s="111"/>
      <c r="C437" s="66" t="s">
        <v>121</v>
      </c>
      <c r="D437" s="67">
        <v>9</v>
      </c>
      <c r="E437" s="68">
        <v>9.4034061226599996E-4</v>
      </c>
    </row>
    <row r="438" spans="2:5" ht="15" customHeight="1">
      <c r="B438" s="111"/>
      <c r="C438" s="66" t="s">
        <v>122</v>
      </c>
      <c r="D438" s="67">
        <v>14</v>
      </c>
      <c r="E438" s="68">
        <v>1.462752063525E-3</v>
      </c>
    </row>
    <row r="439" spans="2:5" ht="15" customHeight="1">
      <c r="B439" s="111"/>
      <c r="C439" s="66" t="s">
        <v>123</v>
      </c>
      <c r="D439" s="67">
        <v>13</v>
      </c>
      <c r="E439" s="68">
        <v>1.3582697732729999E-3</v>
      </c>
    </row>
    <row r="440" spans="2:5" ht="15" customHeight="1">
      <c r="B440" s="111"/>
      <c r="C440" s="66" t="s">
        <v>124</v>
      </c>
      <c r="D440" s="67">
        <v>11</v>
      </c>
      <c r="E440" s="68">
        <v>1.14930519277E-3</v>
      </c>
    </row>
    <row r="441" spans="2:5" ht="15" customHeight="1">
      <c r="B441" s="111"/>
      <c r="C441" s="66" t="s">
        <v>125</v>
      </c>
      <c r="D441" s="67">
        <v>2</v>
      </c>
      <c r="E441" s="68">
        <v>2.08964580504E-4</v>
      </c>
    </row>
    <row r="442" spans="2:5" ht="15" customHeight="1">
      <c r="B442" s="111"/>
      <c r="C442" s="66" t="s">
        <v>126</v>
      </c>
      <c r="D442" s="67">
        <v>18</v>
      </c>
      <c r="E442" s="68">
        <v>1.8806812245319999E-3</v>
      </c>
    </row>
    <row r="443" spans="2:5" ht="15" customHeight="1">
      <c r="B443" s="111"/>
      <c r="C443" s="66" t="s">
        <v>127</v>
      </c>
      <c r="D443" s="67">
        <v>32</v>
      </c>
      <c r="E443" s="68">
        <v>3.343433288058E-3</v>
      </c>
    </row>
    <row r="444" spans="2:5" ht="15" customHeight="1">
      <c r="B444" s="111"/>
      <c r="C444" s="66" t="s">
        <v>128</v>
      </c>
      <c r="D444" s="67">
        <v>3</v>
      </c>
      <c r="E444" s="68">
        <v>3.13446870755E-4</v>
      </c>
    </row>
    <row r="445" spans="2:5" ht="15" customHeight="1">
      <c r="B445" s="111"/>
      <c r="C445" s="66" t="s">
        <v>129</v>
      </c>
      <c r="D445" s="67">
        <v>2</v>
      </c>
      <c r="E445" s="68">
        <v>2.08964580504E-4</v>
      </c>
    </row>
    <row r="446" spans="2:5" ht="15" customHeight="1">
      <c r="B446" s="111"/>
      <c r="C446" s="66" t="s">
        <v>130</v>
      </c>
      <c r="D446" s="67">
        <v>7</v>
      </c>
      <c r="E446" s="68">
        <v>7.3137603176300005E-4</v>
      </c>
    </row>
    <row r="447" spans="2:5" ht="15" customHeight="1">
      <c r="B447" s="111"/>
      <c r="C447" s="66" t="s">
        <v>131</v>
      </c>
      <c r="D447" s="67">
        <v>8</v>
      </c>
      <c r="E447" s="68">
        <v>8.3585832201399997E-4</v>
      </c>
    </row>
    <row r="448" spans="2:5" ht="15" customHeight="1">
      <c r="B448" s="111"/>
      <c r="C448" s="66" t="s">
        <v>132</v>
      </c>
      <c r="D448" s="67">
        <v>53</v>
      </c>
      <c r="E448" s="68">
        <v>5.5375613833459998E-3</v>
      </c>
    </row>
    <row r="449" spans="2:5" ht="15" customHeight="1">
      <c r="B449" s="111"/>
      <c r="C449" s="66" t="s">
        <v>133</v>
      </c>
      <c r="D449" s="67">
        <v>3</v>
      </c>
      <c r="E449" s="68">
        <v>3.13446870755E-4</v>
      </c>
    </row>
    <row r="450" spans="2:5" ht="15" customHeight="1">
      <c r="B450" s="111"/>
      <c r="C450" s="66" t="s">
        <v>134</v>
      </c>
      <c r="D450" s="67">
        <v>8</v>
      </c>
      <c r="E450" s="68">
        <v>8.3585832201399997E-4</v>
      </c>
    </row>
    <row r="451" spans="2:5" ht="15" customHeight="1">
      <c r="B451" s="111"/>
      <c r="C451" s="66" t="s">
        <v>135</v>
      </c>
      <c r="D451" s="67">
        <v>24</v>
      </c>
      <c r="E451" s="68">
        <v>2.5075749660430002E-3</v>
      </c>
    </row>
    <row r="452" spans="2:5" ht="15" customHeight="1">
      <c r="B452" s="111"/>
      <c r="C452" s="66" t="s">
        <v>136</v>
      </c>
      <c r="D452" s="67">
        <v>4</v>
      </c>
      <c r="E452" s="68">
        <v>4.1792916100699999E-4</v>
      </c>
    </row>
    <row r="453" spans="2:5" ht="15" customHeight="1">
      <c r="B453" s="111"/>
      <c r="C453" s="66" t="s">
        <v>137</v>
      </c>
      <c r="D453" s="67">
        <v>15</v>
      </c>
      <c r="E453" s="68">
        <v>1.5672343537769999E-3</v>
      </c>
    </row>
    <row r="454" spans="2:5" ht="15" customHeight="1">
      <c r="B454" s="111"/>
      <c r="C454" s="66" t="s">
        <v>139</v>
      </c>
      <c r="D454" s="67">
        <v>27</v>
      </c>
      <c r="E454" s="68">
        <v>2.8210218367989998E-3</v>
      </c>
    </row>
    <row r="455" spans="2:5" ht="15" customHeight="1">
      <c r="B455" s="111"/>
      <c r="C455" s="66" t="s">
        <v>141</v>
      </c>
      <c r="D455" s="67">
        <v>44</v>
      </c>
      <c r="E455" s="68">
        <v>4.5972207710790001E-3</v>
      </c>
    </row>
    <row r="456" spans="2:5" ht="15" customHeight="1">
      <c r="B456" s="111"/>
      <c r="C456" s="66" t="s">
        <v>142</v>
      </c>
      <c r="D456" s="67">
        <v>540</v>
      </c>
      <c r="E456" s="68">
        <v>5.6420436735973002E-2</v>
      </c>
    </row>
    <row r="457" spans="2:5" ht="15" customHeight="1">
      <c r="B457" s="111"/>
      <c r="C457" s="66" t="s">
        <v>143</v>
      </c>
      <c r="D457" s="67">
        <v>6</v>
      </c>
      <c r="E457" s="68">
        <v>6.2689374151099996E-4</v>
      </c>
    </row>
    <row r="458" spans="2:5" ht="15" customHeight="1">
      <c r="B458" s="111"/>
      <c r="C458" s="66" t="s">
        <v>145</v>
      </c>
      <c r="D458" s="67">
        <v>10</v>
      </c>
      <c r="E458" s="68">
        <v>1.0448229025179999E-3</v>
      </c>
    </row>
    <row r="459" spans="2:5" ht="15" customHeight="1">
      <c r="B459" s="111"/>
      <c r="C459" s="66" t="s">
        <v>74</v>
      </c>
      <c r="D459" s="67">
        <v>13</v>
      </c>
      <c r="E459" s="68">
        <v>1.3582697732729999E-3</v>
      </c>
    </row>
    <row r="460" spans="2:5" ht="15" customHeight="1">
      <c r="B460" s="111"/>
      <c r="C460" s="66" t="s">
        <v>146</v>
      </c>
      <c r="D460" s="67">
        <v>1</v>
      </c>
      <c r="E460" s="68">
        <v>1.04482290252E-4</v>
      </c>
    </row>
    <row r="461" spans="2:5" ht="15" customHeight="1">
      <c r="B461" s="111"/>
      <c r="C461" s="66" t="s">
        <v>147</v>
      </c>
      <c r="D461" s="67">
        <v>23</v>
      </c>
      <c r="E461" s="68">
        <v>2.4030926757909999E-3</v>
      </c>
    </row>
    <row r="462" spans="2:5" ht="15" customHeight="1">
      <c r="B462" s="111"/>
      <c r="C462" s="66" t="s">
        <v>148</v>
      </c>
      <c r="D462" s="67">
        <v>1</v>
      </c>
      <c r="E462" s="68">
        <v>1.04482290252E-4</v>
      </c>
    </row>
    <row r="463" spans="2:5" ht="15" customHeight="1">
      <c r="B463" s="112"/>
      <c r="C463" s="36" t="s">
        <v>29</v>
      </c>
      <c r="D463" s="35">
        <v>1468</v>
      </c>
      <c r="E463" s="34">
        <v>0.153380002089646</v>
      </c>
    </row>
    <row r="464" spans="2:5" ht="15" customHeight="1">
      <c r="B464" s="110" t="s">
        <v>238</v>
      </c>
      <c r="C464" s="66" t="s">
        <v>103</v>
      </c>
      <c r="D464" s="67">
        <v>3</v>
      </c>
      <c r="E464" s="68">
        <v>3.13446870755E-4</v>
      </c>
    </row>
    <row r="465" spans="2:5" ht="15" customHeight="1">
      <c r="B465" s="111"/>
      <c r="C465" s="66" t="s">
        <v>104</v>
      </c>
      <c r="D465" s="67">
        <v>1</v>
      </c>
      <c r="E465" s="68">
        <v>1.04482290252E-4</v>
      </c>
    </row>
    <row r="466" spans="2:5" ht="15" customHeight="1">
      <c r="B466" s="111"/>
      <c r="C466" s="66" t="s">
        <v>109</v>
      </c>
      <c r="D466" s="67">
        <v>2</v>
      </c>
      <c r="E466" s="68">
        <v>2.08964580504E-4</v>
      </c>
    </row>
    <row r="467" spans="2:5" ht="15" customHeight="1">
      <c r="B467" s="111"/>
      <c r="C467" s="66" t="s">
        <v>129</v>
      </c>
      <c r="D467" s="67">
        <v>1</v>
      </c>
      <c r="E467" s="68">
        <v>1.04482290252E-4</v>
      </c>
    </row>
    <row r="468" spans="2:5" ht="15" customHeight="1">
      <c r="B468" s="111"/>
      <c r="C468" s="66" t="s">
        <v>135</v>
      </c>
      <c r="D468" s="67">
        <v>1</v>
      </c>
      <c r="E468" s="68">
        <v>1.04482290252E-4</v>
      </c>
    </row>
    <row r="469" spans="2:5" ht="15" customHeight="1">
      <c r="B469" s="111"/>
      <c r="C469" s="66" t="s">
        <v>141</v>
      </c>
      <c r="D469" s="67">
        <v>1</v>
      </c>
      <c r="E469" s="68">
        <v>1.04482290252E-4</v>
      </c>
    </row>
    <row r="470" spans="2:5" ht="15" customHeight="1">
      <c r="B470" s="111"/>
      <c r="C470" s="66" t="s">
        <v>142</v>
      </c>
      <c r="D470" s="67">
        <v>5</v>
      </c>
      <c r="E470" s="68">
        <v>5.2241145125899997E-4</v>
      </c>
    </row>
    <row r="471" spans="2:5" ht="15" customHeight="1">
      <c r="B471" s="112"/>
      <c r="C471" s="36" t="s">
        <v>29</v>
      </c>
      <c r="D471" s="35">
        <v>14</v>
      </c>
      <c r="E471" s="34">
        <v>1.462752063525E-3</v>
      </c>
    </row>
    <row r="472" spans="2:5" ht="15" customHeight="1">
      <c r="B472" s="110" t="s">
        <v>239</v>
      </c>
      <c r="C472" s="66" t="s">
        <v>101</v>
      </c>
      <c r="D472" s="67">
        <v>1</v>
      </c>
      <c r="E472" s="68">
        <v>1.04482290252E-4</v>
      </c>
    </row>
    <row r="473" spans="2:5" ht="15" customHeight="1">
      <c r="B473" s="111"/>
      <c r="C473" s="66" t="s">
        <v>103</v>
      </c>
      <c r="D473" s="67">
        <v>4</v>
      </c>
      <c r="E473" s="68">
        <v>4.1792916100699999E-4</v>
      </c>
    </row>
    <row r="474" spans="2:5" ht="15" customHeight="1">
      <c r="B474" s="111"/>
      <c r="C474" s="66" t="s">
        <v>108</v>
      </c>
      <c r="D474" s="67">
        <v>1</v>
      </c>
      <c r="E474" s="68">
        <v>1.04482290252E-4</v>
      </c>
    </row>
    <row r="475" spans="2:5" ht="15" customHeight="1">
      <c r="B475" s="111"/>
      <c r="C475" s="66" t="s">
        <v>109</v>
      </c>
      <c r="D475" s="67">
        <v>1</v>
      </c>
      <c r="E475" s="68">
        <v>1.04482290252E-4</v>
      </c>
    </row>
    <row r="476" spans="2:5" ht="15" customHeight="1">
      <c r="B476" s="111"/>
      <c r="C476" s="66" t="s">
        <v>114</v>
      </c>
      <c r="D476" s="67">
        <v>1</v>
      </c>
      <c r="E476" s="68">
        <v>1.04482290252E-4</v>
      </c>
    </row>
    <row r="477" spans="2:5" ht="15" customHeight="1">
      <c r="B477" s="111"/>
      <c r="C477" s="66" t="s">
        <v>126</v>
      </c>
      <c r="D477" s="67">
        <v>1</v>
      </c>
      <c r="E477" s="68">
        <v>1.04482290252E-4</v>
      </c>
    </row>
    <row r="478" spans="2:5" ht="15" customHeight="1">
      <c r="B478" s="111"/>
      <c r="C478" s="66" t="s">
        <v>127</v>
      </c>
      <c r="D478" s="67">
        <v>2</v>
      </c>
      <c r="E478" s="68">
        <v>2.08964580504E-4</v>
      </c>
    </row>
    <row r="479" spans="2:5" ht="15" customHeight="1">
      <c r="B479" s="111"/>
      <c r="C479" s="66" t="s">
        <v>131</v>
      </c>
      <c r="D479" s="67">
        <v>1</v>
      </c>
      <c r="E479" s="68">
        <v>1.04482290252E-4</v>
      </c>
    </row>
    <row r="480" spans="2:5" ht="15" customHeight="1">
      <c r="B480" s="111"/>
      <c r="C480" s="66" t="s">
        <v>141</v>
      </c>
      <c r="D480" s="67">
        <v>1</v>
      </c>
      <c r="E480" s="68">
        <v>1.04482290252E-4</v>
      </c>
    </row>
    <row r="481" spans="2:5" ht="15" customHeight="1">
      <c r="B481" s="111"/>
      <c r="C481" s="66" t="s">
        <v>142</v>
      </c>
      <c r="D481" s="67">
        <v>6</v>
      </c>
      <c r="E481" s="68">
        <v>6.2689374151099996E-4</v>
      </c>
    </row>
    <row r="482" spans="2:5" ht="15" customHeight="1">
      <c r="B482" s="111"/>
      <c r="C482" s="66" t="s">
        <v>74</v>
      </c>
      <c r="D482" s="67">
        <v>2</v>
      </c>
      <c r="E482" s="68">
        <v>2.08964580504E-4</v>
      </c>
    </row>
    <row r="483" spans="2:5" ht="15" customHeight="1">
      <c r="B483" s="111"/>
      <c r="C483" s="66" t="s">
        <v>147</v>
      </c>
      <c r="D483" s="67">
        <v>1</v>
      </c>
      <c r="E483" s="68">
        <v>1.04482290252E-4</v>
      </c>
    </row>
    <row r="484" spans="2:5" ht="15" customHeight="1">
      <c r="B484" s="112"/>
      <c r="C484" s="36" t="s">
        <v>29</v>
      </c>
      <c r="D484" s="35">
        <v>22</v>
      </c>
      <c r="E484" s="34">
        <v>2.2986103855400001E-3</v>
      </c>
    </row>
    <row r="485" spans="2:5" ht="15" customHeight="1">
      <c r="B485" s="110" t="s">
        <v>240</v>
      </c>
      <c r="C485" s="66" t="s">
        <v>102</v>
      </c>
      <c r="D485" s="67">
        <v>1</v>
      </c>
      <c r="E485" s="68">
        <v>1.04482290252E-4</v>
      </c>
    </row>
    <row r="486" spans="2:5" ht="15" customHeight="1">
      <c r="B486" s="111"/>
      <c r="C486" s="66" t="s">
        <v>103</v>
      </c>
      <c r="D486" s="67">
        <v>3</v>
      </c>
      <c r="E486" s="68">
        <v>3.13446870755E-4</v>
      </c>
    </row>
    <row r="487" spans="2:5" ht="15" customHeight="1">
      <c r="B487" s="111"/>
      <c r="C487" s="66" t="s">
        <v>131</v>
      </c>
      <c r="D487" s="67">
        <v>1</v>
      </c>
      <c r="E487" s="68">
        <v>1.04482290252E-4</v>
      </c>
    </row>
    <row r="488" spans="2:5" ht="15" customHeight="1">
      <c r="B488" s="111"/>
      <c r="C488" s="66" t="s">
        <v>142</v>
      </c>
      <c r="D488" s="67">
        <v>3</v>
      </c>
      <c r="E488" s="68">
        <v>3.13446870755E-4</v>
      </c>
    </row>
    <row r="489" spans="2:5" ht="15" customHeight="1">
      <c r="B489" s="112"/>
      <c r="C489" s="36" t="s">
        <v>29</v>
      </c>
      <c r="D489" s="35">
        <v>8</v>
      </c>
      <c r="E489" s="34">
        <v>8.3585832201399997E-4</v>
      </c>
    </row>
    <row r="490" spans="2:5" ht="15" customHeight="1">
      <c r="B490" s="110" t="s">
        <v>241</v>
      </c>
      <c r="C490" s="66" t="s">
        <v>103</v>
      </c>
      <c r="D490" s="67">
        <v>1</v>
      </c>
      <c r="E490" s="68">
        <v>1.04482290252E-4</v>
      </c>
    </row>
    <row r="491" spans="2:5" ht="15" customHeight="1">
      <c r="B491" s="111"/>
      <c r="C491" s="66" t="s">
        <v>108</v>
      </c>
      <c r="D491" s="67">
        <v>1</v>
      </c>
      <c r="E491" s="68">
        <v>1.04482290252E-4</v>
      </c>
    </row>
    <row r="492" spans="2:5" ht="15" customHeight="1">
      <c r="B492" s="111"/>
      <c r="C492" s="66" t="s">
        <v>120</v>
      </c>
      <c r="D492" s="67">
        <v>1</v>
      </c>
      <c r="E492" s="68">
        <v>1.04482290252E-4</v>
      </c>
    </row>
    <row r="493" spans="2:5" ht="15" customHeight="1">
      <c r="B493" s="111"/>
      <c r="C493" s="66" t="s">
        <v>123</v>
      </c>
      <c r="D493" s="67">
        <v>1</v>
      </c>
      <c r="E493" s="68">
        <v>1.04482290252E-4</v>
      </c>
    </row>
    <row r="494" spans="2:5" ht="15" customHeight="1">
      <c r="B494" s="111"/>
      <c r="C494" s="66" t="s">
        <v>137</v>
      </c>
      <c r="D494" s="67">
        <v>1</v>
      </c>
      <c r="E494" s="68">
        <v>1.04482290252E-4</v>
      </c>
    </row>
    <row r="495" spans="2:5" ht="15" customHeight="1">
      <c r="B495" s="111"/>
      <c r="C495" s="66" t="s">
        <v>142</v>
      </c>
      <c r="D495" s="67">
        <v>3</v>
      </c>
      <c r="E495" s="68">
        <v>3.13446870755E-4</v>
      </c>
    </row>
    <row r="496" spans="2:5" ht="15" customHeight="1">
      <c r="B496" s="112"/>
      <c r="C496" s="36" t="s">
        <v>29</v>
      </c>
      <c r="D496" s="35">
        <v>8</v>
      </c>
      <c r="E496" s="34">
        <v>8.3585832201399997E-4</v>
      </c>
    </row>
    <row r="497" spans="2:5" ht="15" customHeight="1">
      <c r="B497" s="110" t="s">
        <v>242</v>
      </c>
      <c r="C497" s="66" t="s">
        <v>99</v>
      </c>
      <c r="D497" s="67">
        <v>1</v>
      </c>
      <c r="E497" s="68">
        <v>1.04482290252E-4</v>
      </c>
    </row>
    <row r="498" spans="2:5" ht="15" customHeight="1">
      <c r="B498" s="111"/>
      <c r="C498" s="66" t="s">
        <v>102</v>
      </c>
      <c r="D498" s="67">
        <v>1</v>
      </c>
      <c r="E498" s="68">
        <v>1.04482290252E-4</v>
      </c>
    </row>
    <row r="499" spans="2:5" ht="15" customHeight="1">
      <c r="B499" s="111"/>
      <c r="C499" s="66" t="s">
        <v>103</v>
      </c>
      <c r="D499" s="67">
        <v>11</v>
      </c>
      <c r="E499" s="68">
        <v>1.14930519277E-3</v>
      </c>
    </row>
    <row r="500" spans="2:5" ht="15" customHeight="1">
      <c r="B500" s="111"/>
      <c r="C500" s="66" t="s">
        <v>104</v>
      </c>
      <c r="D500" s="67">
        <v>1</v>
      </c>
      <c r="E500" s="68">
        <v>1.04482290252E-4</v>
      </c>
    </row>
    <row r="501" spans="2:5" ht="15" customHeight="1">
      <c r="B501" s="111"/>
      <c r="C501" s="66" t="s">
        <v>105</v>
      </c>
      <c r="D501" s="67">
        <v>1</v>
      </c>
      <c r="E501" s="68">
        <v>1.04482290252E-4</v>
      </c>
    </row>
    <row r="502" spans="2:5" ht="15" customHeight="1">
      <c r="B502" s="111"/>
      <c r="C502" s="66" t="s">
        <v>108</v>
      </c>
      <c r="D502" s="67">
        <v>3</v>
      </c>
      <c r="E502" s="68">
        <v>3.13446870755E-4</v>
      </c>
    </row>
    <row r="503" spans="2:5" ht="15" customHeight="1">
      <c r="B503" s="111"/>
      <c r="C503" s="66" t="s">
        <v>109</v>
      </c>
      <c r="D503" s="67">
        <v>5</v>
      </c>
      <c r="E503" s="68">
        <v>5.2241145125899997E-4</v>
      </c>
    </row>
    <row r="504" spans="2:5" ht="15" customHeight="1">
      <c r="B504" s="111"/>
      <c r="C504" s="66" t="s">
        <v>111</v>
      </c>
      <c r="D504" s="67">
        <v>1</v>
      </c>
      <c r="E504" s="68">
        <v>1.04482290252E-4</v>
      </c>
    </row>
    <row r="505" spans="2:5" ht="15" customHeight="1">
      <c r="B505" s="111"/>
      <c r="C505" s="66" t="s">
        <v>112</v>
      </c>
      <c r="D505" s="67">
        <v>2</v>
      </c>
      <c r="E505" s="68">
        <v>2.08964580504E-4</v>
      </c>
    </row>
    <row r="506" spans="2:5" ht="15" customHeight="1">
      <c r="B506" s="111"/>
      <c r="C506" s="66" t="s">
        <v>113</v>
      </c>
      <c r="D506" s="67">
        <v>1</v>
      </c>
      <c r="E506" s="68">
        <v>1.04482290252E-4</v>
      </c>
    </row>
    <row r="507" spans="2:5" ht="15" customHeight="1">
      <c r="B507" s="111"/>
      <c r="C507" s="66" t="s">
        <v>117</v>
      </c>
      <c r="D507" s="67">
        <v>2</v>
      </c>
      <c r="E507" s="68">
        <v>2.08964580504E-4</v>
      </c>
    </row>
    <row r="508" spans="2:5" ht="15" customHeight="1">
      <c r="B508" s="111"/>
      <c r="C508" s="66" t="s">
        <v>123</v>
      </c>
      <c r="D508" s="67">
        <v>1</v>
      </c>
      <c r="E508" s="68">
        <v>1.04482290252E-4</v>
      </c>
    </row>
    <row r="509" spans="2:5" ht="15" customHeight="1">
      <c r="B509" s="111"/>
      <c r="C509" s="66" t="s">
        <v>124</v>
      </c>
      <c r="D509" s="67">
        <v>2</v>
      </c>
      <c r="E509" s="68">
        <v>2.08964580504E-4</v>
      </c>
    </row>
    <row r="510" spans="2:5" ht="15" customHeight="1">
      <c r="B510" s="111"/>
      <c r="C510" s="66" t="s">
        <v>126</v>
      </c>
      <c r="D510" s="67">
        <v>2</v>
      </c>
      <c r="E510" s="68">
        <v>2.08964580504E-4</v>
      </c>
    </row>
    <row r="511" spans="2:5" ht="15" customHeight="1">
      <c r="B511" s="111"/>
      <c r="C511" s="66" t="s">
        <v>129</v>
      </c>
      <c r="D511" s="67">
        <v>1</v>
      </c>
      <c r="E511" s="68">
        <v>1.04482290252E-4</v>
      </c>
    </row>
    <row r="512" spans="2:5" ht="15" customHeight="1">
      <c r="B512" s="111"/>
      <c r="C512" s="66" t="s">
        <v>130</v>
      </c>
      <c r="D512" s="67">
        <v>1</v>
      </c>
      <c r="E512" s="68">
        <v>1.04482290252E-4</v>
      </c>
    </row>
    <row r="513" spans="2:5" ht="15" customHeight="1">
      <c r="B513" s="111"/>
      <c r="C513" s="66" t="s">
        <v>135</v>
      </c>
      <c r="D513" s="67">
        <v>2</v>
      </c>
      <c r="E513" s="68">
        <v>2.08964580504E-4</v>
      </c>
    </row>
    <row r="514" spans="2:5" ht="15" customHeight="1">
      <c r="B514" s="111"/>
      <c r="C514" s="66" t="s">
        <v>141</v>
      </c>
      <c r="D514" s="67">
        <v>2</v>
      </c>
      <c r="E514" s="68">
        <v>2.08964580504E-4</v>
      </c>
    </row>
    <row r="515" spans="2:5" ht="15" customHeight="1">
      <c r="B515" s="111"/>
      <c r="C515" s="66" t="s">
        <v>142</v>
      </c>
      <c r="D515" s="67">
        <v>17</v>
      </c>
      <c r="E515" s="68">
        <v>1.7761989342810001E-3</v>
      </c>
    </row>
    <row r="516" spans="2:5" ht="15" customHeight="1">
      <c r="B516" s="111"/>
      <c r="C516" s="66" t="s">
        <v>74</v>
      </c>
      <c r="D516" s="67">
        <v>2</v>
      </c>
      <c r="E516" s="68">
        <v>2.08964580504E-4</v>
      </c>
    </row>
    <row r="517" spans="2:5" ht="15" customHeight="1">
      <c r="B517" s="111"/>
      <c r="C517" s="66" t="s">
        <v>147</v>
      </c>
      <c r="D517" s="67">
        <v>1</v>
      </c>
      <c r="E517" s="68">
        <v>1.04482290252E-4</v>
      </c>
    </row>
    <row r="518" spans="2:5" ht="15" customHeight="1">
      <c r="B518" s="112"/>
      <c r="C518" s="36" t="s">
        <v>29</v>
      </c>
      <c r="D518" s="35">
        <v>60</v>
      </c>
      <c r="E518" s="34">
        <v>6.2689374151079997E-3</v>
      </c>
    </row>
    <row r="519" spans="2:5" ht="15" customHeight="1">
      <c r="B519" s="110" t="s">
        <v>243</v>
      </c>
      <c r="C519" s="66" t="s">
        <v>100</v>
      </c>
      <c r="D519" s="67">
        <v>1</v>
      </c>
      <c r="E519" s="68">
        <v>1.04482290252E-4</v>
      </c>
    </row>
    <row r="520" spans="2:5" ht="15" customHeight="1">
      <c r="B520" s="111"/>
      <c r="C520" s="66" t="s">
        <v>101</v>
      </c>
      <c r="D520" s="67">
        <v>1</v>
      </c>
      <c r="E520" s="68">
        <v>1.04482290252E-4</v>
      </c>
    </row>
    <row r="521" spans="2:5" ht="15" customHeight="1">
      <c r="B521" s="111"/>
      <c r="C521" s="66" t="s">
        <v>102</v>
      </c>
      <c r="D521" s="67">
        <v>2</v>
      </c>
      <c r="E521" s="68">
        <v>2.08964580504E-4</v>
      </c>
    </row>
    <row r="522" spans="2:5" ht="15" customHeight="1">
      <c r="B522" s="111"/>
      <c r="C522" s="66" t="s">
        <v>103</v>
      </c>
      <c r="D522" s="67">
        <v>22</v>
      </c>
      <c r="E522" s="68">
        <v>2.2986103855400001E-3</v>
      </c>
    </row>
    <row r="523" spans="2:5" ht="15" customHeight="1">
      <c r="B523" s="111"/>
      <c r="C523" s="66" t="s">
        <v>104</v>
      </c>
      <c r="D523" s="67">
        <v>1</v>
      </c>
      <c r="E523" s="68">
        <v>1.04482290252E-4</v>
      </c>
    </row>
    <row r="524" spans="2:5" ht="15" customHeight="1">
      <c r="B524" s="111"/>
      <c r="C524" s="66" t="s">
        <v>105</v>
      </c>
      <c r="D524" s="67">
        <v>1</v>
      </c>
      <c r="E524" s="68">
        <v>1.04482290252E-4</v>
      </c>
    </row>
    <row r="525" spans="2:5" ht="15" customHeight="1">
      <c r="B525" s="111"/>
      <c r="C525" s="66" t="s">
        <v>106</v>
      </c>
      <c r="D525" s="67">
        <v>1</v>
      </c>
      <c r="E525" s="68">
        <v>1.04482290252E-4</v>
      </c>
    </row>
    <row r="526" spans="2:5" ht="15" customHeight="1">
      <c r="B526" s="111"/>
      <c r="C526" s="66" t="s">
        <v>108</v>
      </c>
      <c r="D526" s="67">
        <v>9</v>
      </c>
      <c r="E526" s="68">
        <v>9.4034061226599996E-4</v>
      </c>
    </row>
    <row r="527" spans="2:5" ht="15" customHeight="1">
      <c r="B527" s="111"/>
      <c r="C527" s="66" t="s">
        <v>109</v>
      </c>
      <c r="D527" s="67">
        <v>1</v>
      </c>
      <c r="E527" s="68">
        <v>1.04482290252E-4</v>
      </c>
    </row>
    <row r="528" spans="2:5" ht="15" customHeight="1">
      <c r="B528" s="111"/>
      <c r="C528" s="66" t="s">
        <v>110</v>
      </c>
      <c r="D528" s="67">
        <v>1</v>
      </c>
      <c r="E528" s="68">
        <v>1.04482290252E-4</v>
      </c>
    </row>
    <row r="529" spans="2:5" ht="15" customHeight="1">
      <c r="B529" s="111"/>
      <c r="C529" s="66" t="s">
        <v>111</v>
      </c>
      <c r="D529" s="67">
        <v>1</v>
      </c>
      <c r="E529" s="68">
        <v>1.04482290252E-4</v>
      </c>
    </row>
    <row r="530" spans="2:5" ht="15" customHeight="1">
      <c r="B530" s="111"/>
      <c r="C530" s="66" t="s">
        <v>112</v>
      </c>
      <c r="D530" s="67">
        <v>15</v>
      </c>
      <c r="E530" s="68">
        <v>1.5672343537769999E-3</v>
      </c>
    </row>
    <row r="531" spans="2:5" ht="15" customHeight="1">
      <c r="B531" s="111"/>
      <c r="C531" s="66" t="s">
        <v>113</v>
      </c>
      <c r="D531" s="67">
        <v>3</v>
      </c>
      <c r="E531" s="68">
        <v>3.13446870755E-4</v>
      </c>
    </row>
    <row r="532" spans="2:5" ht="15" customHeight="1">
      <c r="B532" s="111"/>
      <c r="C532" s="66" t="s">
        <v>114</v>
      </c>
      <c r="D532" s="67">
        <v>1</v>
      </c>
      <c r="E532" s="68">
        <v>1.04482290252E-4</v>
      </c>
    </row>
    <row r="533" spans="2:5" ht="15" customHeight="1">
      <c r="B533" s="111"/>
      <c r="C533" s="66" t="s">
        <v>115</v>
      </c>
      <c r="D533" s="67">
        <v>1</v>
      </c>
      <c r="E533" s="68">
        <v>1.04482290252E-4</v>
      </c>
    </row>
    <row r="534" spans="2:5" ht="15" customHeight="1">
      <c r="B534" s="111"/>
      <c r="C534" s="66" t="s">
        <v>117</v>
      </c>
      <c r="D534" s="67">
        <v>3</v>
      </c>
      <c r="E534" s="68">
        <v>3.13446870755E-4</v>
      </c>
    </row>
    <row r="535" spans="2:5" ht="15" customHeight="1">
      <c r="B535" s="111"/>
      <c r="C535" s="66" t="s">
        <v>120</v>
      </c>
      <c r="D535" s="67">
        <v>1</v>
      </c>
      <c r="E535" s="68">
        <v>1.04482290252E-4</v>
      </c>
    </row>
    <row r="536" spans="2:5" ht="15" customHeight="1">
      <c r="B536" s="111"/>
      <c r="C536" s="66" t="s">
        <v>121</v>
      </c>
      <c r="D536" s="67">
        <v>2</v>
      </c>
      <c r="E536" s="68">
        <v>2.08964580504E-4</v>
      </c>
    </row>
    <row r="537" spans="2:5" ht="15" customHeight="1">
      <c r="B537" s="111"/>
      <c r="C537" s="66" t="s">
        <v>122</v>
      </c>
      <c r="D537" s="67">
        <v>6</v>
      </c>
      <c r="E537" s="68">
        <v>6.2689374151099996E-4</v>
      </c>
    </row>
    <row r="538" spans="2:5" ht="15" customHeight="1">
      <c r="B538" s="111"/>
      <c r="C538" s="66" t="s">
        <v>123</v>
      </c>
      <c r="D538" s="67">
        <v>1</v>
      </c>
      <c r="E538" s="68">
        <v>1.04482290252E-4</v>
      </c>
    </row>
    <row r="539" spans="2:5" ht="15" customHeight="1">
      <c r="B539" s="111"/>
      <c r="C539" s="66" t="s">
        <v>124</v>
      </c>
      <c r="D539" s="67">
        <v>3</v>
      </c>
      <c r="E539" s="68">
        <v>3.13446870755E-4</v>
      </c>
    </row>
    <row r="540" spans="2:5" ht="15" customHeight="1">
      <c r="B540" s="111"/>
      <c r="C540" s="66" t="s">
        <v>125</v>
      </c>
      <c r="D540" s="67">
        <v>2</v>
      </c>
      <c r="E540" s="68">
        <v>2.08964580504E-4</v>
      </c>
    </row>
    <row r="541" spans="2:5" ht="15" customHeight="1">
      <c r="B541" s="111"/>
      <c r="C541" s="66" t="s">
        <v>126</v>
      </c>
      <c r="D541" s="67">
        <v>3</v>
      </c>
      <c r="E541" s="68">
        <v>3.13446870755E-4</v>
      </c>
    </row>
    <row r="542" spans="2:5" ht="15" customHeight="1">
      <c r="B542" s="111"/>
      <c r="C542" s="66" t="s">
        <v>127</v>
      </c>
      <c r="D542" s="67">
        <v>1</v>
      </c>
      <c r="E542" s="68">
        <v>1.04482290252E-4</v>
      </c>
    </row>
    <row r="543" spans="2:5" ht="15" customHeight="1">
      <c r="B543" s="111"/>
      <c r="C543" s="66" t="s">
        <v>129</v>
      </c>
      <c r="D543" s="67">
        <v>1</v>
      </c>
      <c r="E543" s="68">
        <v>1.04482290252E-4</v>
      </c>
    </row>
    <row r="544" spans="2:5" ht="15" customHeight="1">
      <c r="B544" s="111"/>
      <c r="C544" s="66" t="s">
        <v>132</v>
      </c>
      <c r="D544" s="67">
        <v>4</v>
      </c>
      <c r="E544" s="68">
        <v>4.1792916100699999E-4</v>
      </c>
    </row>
    <row r="545" spans="2:5" ht="15" customHeight="1">
      <c r="B545" s="111"/>
      <c r="C545" s="66" t="s">
        <v>134</v>
      </c>
      <c r="D545" s="67">
        <v>1</v>
      </c>
      <c r="E545" s="68">
        <v>1.04482290252E-4</v>
      </c>
    </row>
    <row r="546" spans="2:5" ht="15" customHeight="1">
      <c r="B546" s="111"/>
      <c r="C546" s="66" t="s">
        <v>135</v>
      </c>
      <c r="D546" s="67">
        <v>3</v>
      </c>
      <c r="E546" s="68">
        <v>3.13446870755E-4</v>
      </c>
    </row>
    <row r="547" spans="2:5" ht="15" customHeight="1">
      <c r="B547" s="111"/>
      <c r="C547" s="66" t="s">
        <v>136</v>
      </c>
      <c r="D547" s="67">
        <v>1</v>
      </c>
      <c r="E547" s="68">
        <v>1.04482290252E-4</v>
      </c>
    </row>
    <row r="548" spans="2:5" ht="15" customHeight="1">
      <c r="B548" s="111"/>
      <c r="C548" s="66" t="s">
        <v>137</v>
      </c>
      <c r="D548" s="67">
        <v>1</v>
      </c>
      <c r="E548" s="68">
        <v>1.04482290252E-4</v>
      </c>
    </row>
    <row r="549" spans="2:5" ht="15" customHeight="1">
      <c r="B549" s="111"/>
      <c r="C549" s="66" t="s">
        <v>139</v>
      </c>
      <c r="D549" s="67">
        <v>2</v>
      </c>
      <c r="E549" s="68">
        <v>2.08964580504E-4</v>
      </c>
    </row>
    <row r="550" spans="2:5" ht="15" customHeight="1">
      <c r="B550" s="111"/>
      <c r="C550" s="66" t="s">
        <v>140</v>
      </c>
      <c r="D550" s="67">
        <v>1</v>
      </c>
      <c r="E550" s="68">
        <v>1.04482290252E-4</v>
      </c>
    </row>
    <row r="551" spans="2:5" ht="15" customHeight="1">
      <c r="B551" s="111"/>
      <c r="C551" s="66" t="s">
        <v>141</v>
      </c>
      <c r="D551" s="67">
        <v>2</v>
      </c>
      <c r="E551" s="68">
        <v>2.08964580504E-4</v>
      </c>
    </row>
    <row r="552" spans="2:5" ht="15" customHeight="1">
      <c r="B552" s="111"/>
      <c r="C552" s="66" t="s">
        <v>142</v>
      </c>
      <c r="D552" s="67">
        <v>62</v>
      </c>
      <c r="E552" s="68">
        <v>6.4779019956120003E-3</v>
      </c>
    </row>
    <row r="553" spans="2:5" ht="15" customHeight="1">
      <c r="B553" s="111"/>
      <c r="C553" s="66" t="s">
        <v>74</v>
      </c>
      <c r="D553" s="67">
        <v>2</v>
      </c>
      <c r="E553" s="68">
        <v>2.08964580504E-4</v>
      </c>
    </row>
    <row r="554" spans="2:5" ht="15" customHeight="1">
      <c r="B554" s="111"/>
      <c r="C554" s="66" t="s">
        <v>146</v>
      </c>
      <c r="D554" s="67">
        <v>1</v>
      </c>
      <c r="E554" s="68">
        <v>1.04482290252E-4</v>
      </c>
    </row>
    <row r="555" spans="2:5" ht="15" customHeight="1">
      <c r="B555" s="111"/>
      <c r="C555" s="66" t="s">
        <v>147</v>
      </c>
      <c r="D555" s="67">
        <v>3</v>
      </c>
      <c r="E555" s="68">
        <v>3.13446870755E-4</v>
      </c>
    </row>
    <row r="556" spans="2:5" ht="15" customHeight="1">
      <c r="B556" s="111"/>
      <c r="C556" s="66" t="s">
        <v>148</v>
      </c>
      <c r="D556" s="67">
        <v>1</v>
      </c>
      <c r="E556" s="68">
        <v>1.04482290252E-4</v>
      </c>
    </row>
    <row r="557" spans="2:5" ht="15" customHeight="1">
      <c r="B557" s="112"/>
      <c r="C557" s="36" t="s">
        <v>29</v>
      </c>
      <c r="D557" s="35">
        <v>168</v>
      </c>
      <c r="E557" s="34">
        <v>1.7553024762302999E-2</v>
      </c>
    </row>
    <row r="558" spans="2:5" ht="15" customHeight="1">
      <c r="B558" s="110" t="s">
        <v>244</v>
      </c>
      <c r="C558" s="66" t="s">
        <v>108</v>
      </c>
      <c r="D558" s="67">
        <v>1</v>
      </c>
      <c r="E558" s="68">
        <v>1.04482290252E-4</v>
      </c>
    </row>
    <row r="559" spans="2:5" ht="15" customHeight="1">
      <c r="B559" s="111"/>
      <c r="C559" s="66" t="s">
        <v>142</v>
      </c>
      <c r="D559" s="67">
        <v>1</v>
      </c>
      <c r="E559" s="68">
        <v>1.04482290252E-4</v>
      </c>
    </row>
    <row r="560" spans="2:5" ht="15" customHeight="1">
      <c r="B560" s="112"/>
      <c r="C560" s="36" t="s">
        <v>29</v>
      </c>
      <c r="D560" s="35">
        <v>2</v>
      </c>
      <c r="E560" s="34">
        <v>2.08964580504E-4</v>
      </c>
    </row>
    <row r="561" spans="2:5" ht="15" customHeight="1">
      <c r="B561" s="110" t="s">
        <v>245</v>
      </c>
      <c r="C561" s="66" t="s">
        <v>103</v>
      </c>
      <c r="D561" s="67">
        <v>3</v>
      </c>
      <c r="E561" s="68">
        <v>3.13446870755E-4</v>
      </c>
    </row>
    <row r="562" spans="2:5" ht="15" customHeight="1">
      <c r="B562" s="111"/>
      <c r="C562" s="66" t="s">
        <v>108</v>
      </c>
      <c r="D562" s="67">
        <v>2</v>
      </c>
      <c r="E562" s="68">
        <v>2.08964580504E-4</v>
      </c>
    </row>
    <row r="563" spans="2:5" ht="15" customHeight="1">
      <c r="B563" s="111"/>
      <c r="C563" s="66" t="s">
        <v>112</v>
      </c>
      <c r="D563" s="67">
        <v>1</v>
      </c>
      <c r="E563" s="68">
        <v>1.04482290252E-4</v>
      </c>
    </row>
    <row r="564" spans="2:5" ht="15" customHeight="1">
      <c r="B564" s="111"/>
      <c r="C564" s="66" t="s">
        <v>132</v>
      </c>
      <c r="D564" s="67">
        <v>1</v>
      </c>
      <c r="E564" s="68">
        <v>1.04482290252E-4</v>
      </c>
    </row>
    <row r="565" spans="2:5" ht="15" customHeight="1">
      <c r="B565" s="111"/>
      <c r="C565" s="66" t="s">
        <v>142</v>
      </c>
      <c r="D565" s="67">
        <v>5</v>
      </c>
      <c r="E565" s="68">
        <v>5.2241145125899997E-4</v>
      </c>
    </row>
    <row r="566" spans="2:5" ht="15" customHeight="1">
      <c r="B566" s="112"/>
      <c r="C566" s="36" t="s">
        <v>29</v>
      </c>
      <c r="D566" s="35">
        <v>12</v>
      </c>
      <c r="E566" s="34">
        <v>1.2537874830219999E-3</v>
      </c>
    </row>
    <row r="567" spans="2:5" ht="15" customHeight="1">
      <c r="B567" s="110" t="s">
        <v>246</v>
      </c>
      <c r="C567" s="66" t="s">
        <v>142</v>
      </c>
      <c r="D567" s="67">
        <v>1</v>
      </c>
      <c r="E567" s="68">
        <v>1.04482290252E-4</v>
      </c>
    </row>
    <row r="568" spans="2:5" ht="15" customHeight="1">
      <c r="B568" s="112"/>
      <c r="C568" s="36" t="s">
        <v>29</v>
      </c>
      <c r="D568" s="35">
        <v>1</v>
      </c>
      <c r="E568" s="34">
        <v>1.04482290252E-4</v>
      </c>
    </row>
    <row r="569" spans="2:5" ht="15" customHeight="1">
      <c r="B569" s="110" t="s">
        <v>247</v>
      </c>
      <c r="C569" s="66" t="s">
        <v>139</v>
      </c>
      <c r="D569" s="67">
        <v>1</v>
      </c>
      <c r="E569" s="68">
        <v>1.04482290252E-4</v>
      </c>
    </row>
    <row r="570" spans="2:5" ht="15" customHeight="1">
      <c r="B570" s="112" t="s">
        <v>248</v>
      </c>
      <c r="C570" s="36" t="s">
        <v>29</v>
      </c>
      <c r="D570" s="35">
        <v>1</v>
      </c>
      <c r="E570" s="34">
        <v>1.04482290252E-4</v>
      </c>
    </row>
    <row r="571" spans="2:5" ht="15" customHeight="1">
      <c r="B571" s="113" t="s">
        <v>29</v>
      </c>
      <c r="C571" s="114"/>
      <c r="D571" s="64">
        <v>9571</v>
      </c>
      <c r="E571" s="65">
        <v>1</v>
      </c>
    </row>
    <row r="573" spans="2:5" ht="15" customHeight="1">
      <c r="B573" s="15" t="s">
        <v>47</v>
      </c>
    </row>
    <row r="574" spans="2:5" ht="15" customHeight="1">
      <c r="B574" s="17" t="s">
        <v>18</v>
      </c>
    </row>
    <row r="575" spans="2:5" ht="15" customHeight="1">
      <c r="B575" s="16" t="s">
        <v>48</v>
      </c>
    </row>
    <row r="576" spans="2:5" ht="15" customHeight="1">
      <c r="B576" s="15" t="s">
        <v>17</v>
      </c>
    </row>
    <row r="577" spans="2:2" ht="15" customHeight="1">
      <c r="B577" s="15" t="s">
        <v>49</v>
      </c>
    </row>
  </sheetData>
  <mergeCells count="27">
    <mergeCell ref="B571:C571"/>
    <mergeCell ref="B519:B557"/>
    <mergeCell ref="B558:B560"/>
    <mergeCell ref="B561:B566"/>
    <mergeCell ref="B567:B568"/>
    <mergeCell ref="B569:B570"/>
    <mergeCell ref="B464:B471"/>
    <mergeCell ref="B472:B484"/>
    <mergeCell ref="B485:B489"/>
    <mergeCell ref="B490:B496"/>
    <mergeCell ref="B497:B518"/>
    <mergeCell ref="B419:B463"/>
    <mergeCell ref="B7:E8"/>
    <mergeCell ref="B10:B32"/>
    <mergeCell ref="B33:B44"/>
    <mergeCell ref="B45:B59"/>
    <mergeCell ref="B60:B88"/>
    <mergeCell ref="B89:B108"/>
    <mergeCell ref="B109:B131"/>
    <mergeCell ref="B132:B172"/>
    <mergeCell ref="B173:B217"/>
    <mergeCell ref="B218:B238"/>
    <mergeCell ref="B239:B273"/>
    <mergeCell ref="B274:B312"/>
    <mergeCell ref="B313:B358"/>
    <mergeCell ref="B359:B379"/>
    <mergeCell ref="B380:B41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723"/>
  <sheetViews>
    <sheetView showGridLines="0" view="pageBreakPreview" topLeftCell="A700" zoomScale="85" zoomScaleNormal="100" zoomScaleSheetLayoutView="85" workbookViewId="0">
      <selection activeCell="D723" sqref="D723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9.269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108"/>
      <c r="C7" s="108"/>
      <c r="D7" s="108"/>
      <c r="E7" s="108"/>
    </row>
    <row r="8" spans="1:5" s="41" customFormat="1" ht="33" customHeight="1">
      <c r="A8" s="42"/>
      <c r="B8" s="108"/>
      <c r="C8" s="108"/>
      <c r="D8" s="108"/>
      <c r="E8" s="108"/>
    </row>
    <row r="9" spans="1:5" s="93" customFormat="1" ht="40.5" customHeight="1">
      <c r="B9" s="38" t="s">
        <v>22</v>
      </c>
      <c r="C9" s="40" t="s">
        <v>27</v>
      </c>
      <c r="D9" s="39" t="s">
        <v>20</v>
      </c>
      <c r="E9" s="38" t="s">
        <v>19</v>
      </c>
    </row>
    <row r="10" spans="1:5" s="83" customFormat="1" ht="14.5" customHeight="1">
      <c r="B10" s="110" t="s">
        <v>89</v>
      </c>
      <c r="C10" s="66" t="s">
        <v>229</v>
      </c>
      <c r="D10" s="67">
        <v>4</v>
      </c>
      <c r="E10" s="68">
        <v>4.1792916100699999E-4</v>
      </c>
    </row>
    <row r="11" spans="1:5" s="83" customFormat="1" ht="14.5" customHeight="1">
      <c r="B11" s="111"/>
      <c r="C11" s="66" t="s">
        <v>230</v>
      </c>
      <c r="D11" s="67">
        <v>7</v>
      </c>
      <c r="E11" s="68">
        <v>7.3137603176300005E-4</v>
      </c>
    </row>
    <row r="12" spans="1:5" s="83" customFormat="1" ht="14.5" customHeight="1">
      <c r="B12" s="111"/>
      <c r="C12" s="66" t="s">
        <v>233</v>
      </c>
      <c r="D12" s="67">
        <v>1</v>
      </c>
      <c r="E12" s="68">
        <v>1.04482290252E-4</v>
      </c>
    </row>
    <row r="13" spans="1:5" s="83" customFormat="1" ht="14.5" customHeight="1">
      <c r="B13" s="111"/>
      <c r="C13" s="66" t="s">
        <v>234</v>
      </c>
      <c r="D13" s="67">
        <v>16</v>
      </c>
      <c r="E13" s="68">
        <v>1.671716644029E-3</v>
      </c>
    </row>
    <row r="14" spans="1:5" s="83" customFormat="1" ht="14.5" customHeight="1">
      <c r="B14" s="111"/>
      <c r="C14" s="66" t="s">
        <v>235</v>
      </c>
      <c r="D14" s="67">
        <v>1</v>
      </c>
      <c r="E14" s="68">
        <v>1.04482290252E-4</v>
      </c>
    </row>
    <row r="15" spans="1:5" s="83" customFormat="1" ht="14.5" customHeight="1">
      <c r="B15" s="111"/>
      <c r="C15" s="66" t="s">
        <v>236</v>
      </c>
      <c r="D15" s="67">
        <v>1</v>
      </c>
      <c r="E15" s="68">
        <v>1.04482290252E-4</v>
      </c>
    </row>
    <row r="16" spans="1:5" s="83" customFormat="1" ht="14.5" customHeight="1">
      <c r="B16" s="111"/>
      <c r="C16" s="66" t="s">
        <v>237</v>
      </c>
      <c r="D16" s="67">
        <v>9</v>
      </c>
      <c r="E16" s="68">
        <v>9.4034061226599996E-4</v>
      </c>
    </row>
    <row r="17" spans="2:5" s="83" customFormat="1" ht="14.5" customHeight="1">
      <c r="B17" s="111"/>
      <c r="C17" s="66" t="s">
        <v>242</v>
      </c>
      <c r="D17" s="67">
        <v>2</v>
      </c>
      <c r="E17" s="68">
        <v>2.08964580504E-4</v>
      </c>
    </row>
    <row r="18" spans="2:5" s="83" customFormat="1" ht="14.5" customHeight="1">
      <c r="B18" s="112"/>
      <c r="C18" s="36" t="s">
        <v>29</v>
      </c>
      <c r="D18" s="35">
        <v>41</v>
      </c>
      <c r="E18" s="34">
        <v>4.2837739003239996E-3</v>
      </c>
    </row>
    <row r="19" spans="2:5" s="83" customFormat="1" ht="14.5" customHeight="1">
      <c r="B19" s="110" t="s">
        <v>54</v>
      </c>
      <c r="C19" s="66" t="s">
        <v>223</v>
      </c>
      <c r="D19" s="67">
        <v>6</v>
      </c>
      <c r="E19" s="68">
        <v>6.2689374151099996E-4</v>
      </c>
    </row>
    <row r="20" spans="2:5" s="83" customFormat="1" ht="14.5" customHeight="1">
      <c r="B20" s="111"/>
      <c r="C20" s="66" t="s">
        <v>224</v>
      </c>
      <c r="D20" s="67">
        <v>2</v>
      </c>
      <c r="E20" s="68">
        <v>2.08964580504E-4</v>
      </c>
    </row>
    <row r="21" spans="2:5" s="83" customFormat="1" ht="14.5" customHeight="1">
      <c r="B21" s="111"/>
      <c r="C21" s="66" t="s">
        <v>225</v>
      </c>
      <c r="D21" s="67">
        <v>1</v>
      </c>
      <c r="E21" s="68">
        <v>1.04482290252E-4</v>
      </c>
    </row>
    <row r="22" spans="2:5" s="83" customFormat="1" ht="14.5" customHeight="1">
      <c r="B22" s="111"/>
      <c r="C22" s="66" t="s">
        <v>226</v>
      </c>
      <c r="D22" s="67">
        <v>10</v>
      </c>
      <c r="E22" s="68">
        <v>1.0448229025179999E-3</v>
      </c>
    </row>
    <row r="23" spans="2:5" s="83" customFormat="1" ht="14.5" customHeight="1">
      <c r="B23" s="111"/>
      <c r="C23" s="66" t="s">
        <v>227</v>
      </c>
      <c r="D23" s="67">
        <v>4</v>
      </c>
      <c r="E23" s="68">
        <v>4.1792916100699999E-4</v>
      </c>
    </row>
    <row r="24" spans="2:5" s="83" customFormat="1" ht="14.5" customHeight="1">
      <c r="B24" s="111"/>
      <c r="C24" s="66" t="s">
        <v>228</v>
      </c>
      <c r="D24" s="67">
        <v>7</v>
      </c>
      <c r="E24" s="68">
        <v>7.3137603176300005E-4</v>
      </c>
    </row>
    <row r="25" spans="2:5" s="83" customFormat="1" ht="14.5" customHeight="1">
      <c r="B25" s="111"/>
      <c r="C25" s="66" t="s">
        <v>229</v>
      </c>
      <c r="D25" s="67">
        <v>29</v>
      </c>
      <c r="E25" s="68">
        <v>3.029986417302E-3</v>
      </c>
    </row>
    <row r="26" spans="2:5" s="83" customFormat="1" ht="14.5" customHeight="1">
      <c r="B26" s="111"/>
      <c r="C26" s="66" t="s">
        <v>230</v>
      </c>
      <c r="D26" s="67">
        <v>87</v>
      </c>
      <c r="E26" s="68">
        <v>9.0899592519070004E-3</v>
      </c>
    </row>
    <row r="27" spans="2:5" s="83" customFormat="1" ht="14.5" customHeight="1">
      <c r="B27" s="111"/>
      <c r="C27" s="66" t="s">
        <v>231</v>
      </c>
      <c r="D27" s="67">
        <v>7</v>
      </c>
      <c r="E27" s="68">
        <v>7.3137603176300005E-4</v>
      </c>
    </row>
    <row r="28" spans="2:5" s="83" customFormat="1" ht="14.5" customHeight="1">
      <c r="B28" s="111"/>
      <c r="C28" s="66" t="s">
        <v>232</v>
      </c>
      <c r="D28" s="67">
        <v>16</v>
      </c>
      <c r="E28" s="68">
        <v>1.671716644029E-3</v>
      </c>
    </row>
    <row r="29" spans="2:5" s="83" customFormat="1" ht="14.5" customHeight="1">
      <c r="B29" s="111"/>
      <c r="C29" s="66" t="s">
        <v>233</v>
      </c>
      <c r="D29" s="67">
        <v>18</v>
      </c>
      <c r="E29" s="68">
        <v>1.8806812245319999E-3</v>
      </c>
    </row>
    <row r="30" spans="2:5" s="83" customFormat="1" ht="14.5" customHeight="1">
      <c r="B30" s="111"/>
      <c r="C30" s="66" t="s">
        <v>234</v>
      </c>
      <c r="D30" s="67">
        <v>231</v>
      </c>
      <c r="E30" s="68">
        <v>2.4135409048165999E-2</v>
      </c>
    </row>
    <row r="31" spans="2:5" s="83" customFormat="1" ht="14.5" customHeight="1">
      <c r="B31" s="111"/>
      <c r="C31" s="66" t="s">
        <v>235</v>
      </c>
      <c r="D31" s="67">
        <v>2</v>
      </c>
      <c r="E31" s="68">
        <v>2.08964580504E-4</v>
      </c>
    </row>
    <row r="32" spans="2:5" s="83" customFormat="1" ht="14.5" customHeight="1">
      <c r="B32" s="111"/>
      <c r="C32" s="66" t="s">
        <v>236</v>
      </c>
      <c r="D32" s="67">
        <v>20</v>
      </c>
      <c r="E32" s="68">
        <v>2.0896458050359999E-3</v>
      </c>
    </row>
    <row r="33" spans="2:5" s="83" customFormat="1" ht="14.5" customHeight="1">
      <c r="B33" s="111"/>
      <c r="C33" s="66" t="s">
        <v>237</v>
      </c>
      <c r="D33" s="67">
        <v>83</v>
      </c>
      <c r="E33" s="68">
        <v>8.6720300909E-3</v>
      </c>
    </row>
    <row r="34" spans="2:5" s="83" customFormat="1" ht="14.5" customHeight="1">
      <c r="B34" s="111"/>
      <c r="C34" s="66" t="s">
        <v>238</v>
      </c>
      <c r="D34" s="67">
        <v>2</v>
      </c>
      <c r="E34" s="68">
        <v>2.08964580504E-4</v>
      </c>
    </row>
    <row r="35" spans="2:5" s="83" customFormat="1" ht="14.5" customHeight="1">
      <c r="B35" s="111"/>
      <c r="C35" s="66" t="s">
        <v>239</v>
      </c>
      <c r="D35" s="67">
        <v>1</v>
      </c>
      <c r="E35" s="68">
        <v>1.04482290252E-4</v>
      </c>
    </row>
    <row r="36" spans="2:5" s="83" customFormat="1" ht="14.5" customHeight="1">
      <c r="B36" s="111"/>
      <c r="C36" s="66" t="s">
        <v>242</v>
      </c>
      <c r="D36" s="67">
        <v>6</v>
      </c>
      <c r="E36" s="68">
        <v>6.2689374151099996E-4</v>
      </c>
    </row>
    <row r="37" spans="2:5" s="83" customFormat="1" ht="14.5" customHeight="1">
      <c r="B37" s="111"/>
      <c r="C37" s="66" t="s">
        <v>243</v>
      </c>
      <c r="D37" s="67">
        <v>2</v>
      </c>
      <c r="E37" s="68">
        <v>2.08964580504E-4</v>
      </c>
    </row>
    <row r="38" spans="2:5" s="83" customFormat="1" ht="14.5" customHeight="1">
      <c r="B38" s="112"/>
      <c r="C38" s="36" t="s">
        <v>29</v>
      </c>
      <c r="D38" s="35">
        <v>534</v>
      </c>
      <c r="E38" s="34">
        <v>5.5793542994462E-2</v>
      </c>
    </row>
    <row r="39" spans="2:5" s="83" customFormat="1" ht="14.5" customHeight="1">
      <c r="B39" s="110" t="s">
        <v>53</v>
      </c>
      <c r="C39" s="66" t="s">
        <v>223</v>
      </c>
      <c r="D39" s="67">
        <v>2</v>
      </c>
      <c r="E39" s="68">
        <v>2.08964580504E-4</v>
      </c>
    </row>
    <row r="40" spans="2:5" s="83" customFormat="1" ht="14.5" customHeight="1">
      <c r="B40" s="111"/>
      <c r="C40" s="66" t="s">
        <v>224</v>
      </c>
      <c r="D40" s="67">
        <v>1</v>
      </c>
      <c r="E40" s="68">
        <v>1.04482290252E-4</v>
      </c>
    </row>
    <row r="41" spans="2:5" s="83" customFormat="1" ht="14.5" customHeight="1">
      <c r="B41" s="111"/>
      <c r="C41" s="66" t="s">
        <v>225</v>
      </c>
      <c r="D41" s="67">
        <v>4</v>
      </c>
      <c r="E41" s="68">
        <v>4.1792916100699999E-4</v>
      </c>
    </row>
    <row r="42" spans="2:5" s="83" customFormat="1" ht="14.5" customHeight="1">
      <c r="B42" s="111"/>
      <c r="C42" s="66" t="s">
        <v>226</v>
      </c>
      <c r="D42" s="67">
        <v>8</v>
      </c>
      <c r="E42" s="68">
        <v>8.3585832201399997E-4</v>
      </c>
    </row>
    <row r="43" spans="2:5" s="83" customFormat="1" ht="14.5" customHeight="1">
      <c r="B43" s="111"/>
      <c r="C43" s="66" t="s">
        <v>227</v>
      </c>
      <c r="D43" s="67">
        <v>5</v>
      </c>
      <c r="E43" s="68">
        <v>5.2241145125899997E-4</v>
      </c>
    </row>
    <row r="44" spans="2:5" s="83" customFormat="1" ht="14.5" customHeight="1">
      <c r="B44" s="111"/>
      <c r="C44" s="66" t="s">
        <v>228</v>
      </c>
      <c r="D44" s="67">
        <v>7</v>
      </c>
      <c r="E44" s="68">
        <v>7.3137603176300005E-4</v>
      </c>
    </row>
    <row r="45" spans="2:5" s="83" customFormat="1" ht="14.5" customHeight="1">
      <c r="B45" s="111"/>
      <c r="C45" s="66" t="s">
        <v>229</v>
      </c>
      <c r="D45" s="67">
        <v>47</v>
      </c>
      <c r="E45" s="68">
        <v>4.9106676418349997E-3</v>
      </c>
    </row>
    <row r="46" spans="2:5" s="83" customFormat="1" ht="14.5" customHeight="1">
      <c r="B46" s="111"/>
      <c r="C46" s="66" t="s">
        <v>230</v>
      </c>
      <c r="D46" s="67">
        <v>96</v>
      </c>
      <c r="E46" s="68">
        <v>1.0030299864173E-2</v>
      </c>
    </row>
    <row r="47" spans="2:5" s="83" customFormat="1" ht="14.5" customHeight="1">
      <c r="B47" s="111"/>
      <c r="C47" s="66" t="s">
        <v>231</v>
      </c>
      <c r="D47" s="67">
        <v>2</v>
      </c>
      <c r="E47" s="68">
        <v>2.08964580504E-4</v>
      </c>
    </row>
    <row r="48" spans="2:5" s="83" customFormat="1" ht="14.5" customHeight="1">
      <c r="B48" s="111"/>
      <c r="C48" s="66" t="s">
        <v>232</v>
      </c>
      <c r="D48" s="67">
        <v>15</v>
      </c>
      <c r="E48" s="68">
        <v>1.5672343537769999E-3</v>
      </c>
    </row>
    <row r="49" spans="2:5" s="83" customFormat="1" ht="14.5" customHeight="1">
      <c r="B49" s="111"/>
      <c r="C49" s="66" t="s">
        <v>233</v>
      </c>
      <c r="D49" s="67">
        <v>56</v>
      </c>
      <c r="E49" s="68">
        <v>5.8510082541010002E-3</v>
      </c>
    </row>
    <row r="50" spans="2:5" s="83" customFormat="1" ht="14.5" customHeight="1">
      <c r="B50" s="111"/>
      <c r="C50" s="66" t="s">
        <v>234</v>
      </c>
      <c r="D50" s="67">
        <v>189</v>
      </c>
      <c r="E50" s="68">
        <v>1.9747152857590999E-2</v>
      </c>
    </row>
    <row r="51" spans="2:5" s="83" customFormat="1" ht="14.5" customHeight="1">
      <c r="B51" s="111"/>
      <c r="C51" s="66" t="s">
        <v>235</v>
      </c>
      <c r="D51" s="67">
        <v>1</v>
      </c>
      <c r="E51" s="68">
        <v>1.04482290252E-4</v>
      </c>
    </row>
    <row r="52" spans="2:5" s="83" customFormat="1" ht="14.5" customHeight="1">
      <c r="B52" s="111"/>
      <c r="C52" s="66" t="s">
        <v>236</v>
      </c>
      <c r="D52" s="67">
        <v>21</v>
      </c>
      <c r="E52" s="68">
        <v>2.1941280952880002E-3</v>
      </c>
    </row>
    <row r="53" spans="2:5" s="83" customFormat="1" ht="14.5" customHeight="1">
      <c r="B53" s="111"/>
      <c r="C53" s="66" t="s">
        <v>237</v>
      </c>
      <c r="D53" s="67">
        <v>74</v>
      </c>
      <c r="E53" s="68">
        <v>7.7316894786330003E-3</v>
      </c>
    </row>
    <row r="54" spans="2:5" s="83" customFormat="1" ht="14.5" customHeight="1">
      <c r="B54" s="111"/>
      <c r="C54" s="66" t="s">
        <v>242</v>
      </c>
      <c r="D54" s="67">
        <v>3</v>
      </c>
      <c r="E54" s="68">
        <v>3.13446870755E-4</v>
      </c>
    </row>
    <row r="55" spans="2:5" s="83" customFormat="1" ht="14.5" customHeight="1">
      <c r="B55" s="111"/>
      <c r="C55" s="66" t="s">
        <v>243</v>
      </c>
      <c r="D55" s="67">
        <v>9</v>
      </c>
      <c r="E55" s="68">
        <v>9.4034061226599996E-4</v>
      </c>
    </row>
    <row r="56" spans="2:5" s="83" customFormat="1" ht="14.5" customHeight="1">
      <c r="B56" s="111"/>
      <c r="C56" s="66" t="s">
        <v>245</v>
      </c>
      <c r="D56" s="67">
        <v>1</v>
      </c>
      <c r="E56" s="68">
        <v>1.04482290252E-4</v>
      </c>
    </row>
    <row r="57" spans="2:5" s="83" customFormat="1" ht="14.5" customHeight="1">
      <c r="B57" s="112"/>
      <c r="C57" s="36" t="s">
        <v>29</v>
      </c>
      <c r="D57" s="35">
        <v>541</v>
      </c>
      <c r="E57" s="34">
        <v>5.6524919026225001E-2</v>
      </c>
    </row>
    <row r="58" spans="2:5" s="83" customFormat="1" ht="14.5" customHeight="1">
      <c r="B58" s="110" t="s">
        <v>80</v>
      </c>
      <c r="C58" s="66" t="s">
        <v>223</v>
      </c>
      <c r="D58" s="67">
        <v>2</v>
      </c>
      <c r="E58" s="68">
        <v>2.08964580504E-4</v>
      </c>
    </row>
    <row r="59" spans="2:5" s="83" customFormat="1" ht="14.5" customHeight="1">
      <c r="B59" s="111"/>
      <c r="C59" s="66" t="s">
        <v>225</v>
      </c>
      <c r="D59" s="67">
        <v>1</v>
      </c>
      <c r="E59" s="68">
        <v>1.04482290252E-4</v>
      </c>
    </row>
    <row r="60" spans="2:5" s="83" customFormat="1" ht="14.5" customHeight="1">
      <c r="B60" s="111"/>
      <c r="C60" s="66" t="s">
        <v>226</v>
      </c>
      <c r="D60" s="67">
        <v>1</v>
      </c>
      <c r="E60" s="68">
        <v>1.04482290252E-4</v>
      </c>
    </row>
    <row r="61" spans="2:5" s="83" customFormat="1" ht="14.5" customHeight="1">
      <c r="B61" s="111"/>
      <c r="C61" s="66" t="s">
        <v>228</v>
      </c>
      <c r="D61" s="67">
        <v>3</v>
      </c>
      <c r="E61" s="68">
        <v>3.13446870755E-4</v>
      </c>
    </row>
    <row r="62" spans="2:5" s="83" customFormat="1" ht="14.5" customHeight="1">
      <c r="B62" s="111"/>
      <c r="C62" s="66" t="s">
        <v>229</v>
      </c>
      <c r="D62" s="67">
        <v>10</v>
      </c>
      <c r="E62" s="68">
        <v>1.0448229025179999E-3</v>
      </c>
    </row>
    <row r="63" spans="2:5" s="83" customFormat="1" ht="14.5" customHeight="1">
      <c r="B63" s="111"/>
      <c r="C63" s="66" t="s">
        <v>230</v>
      </c>
      <c r="D63" s="67">
        <v>15</v>
      </c>
      <c r="E63" s="68">
        <v>1.5672343537769999E-3</v>
      </c>
    </row>
    <row r="64" spans="2:5" s="83" customFormat="1" ht="14.5" customHeight="1">
      <c r="B64" s="111"/>
      <c r="C64" s="66" t="s">
        <v>231</v>
      </c>
      <c r="D64" s="67">
        <v>2</v>
      </c>
      <c r="E64" s="68">
        <v>2.08964580504E-4</v>
      </c>
    </row>
    <row r="65" spans="2:5" s="83" customFormat="1" ht="14.5" customHeight="1">
      <c r="B65" s="111"/>
      <c r="C65" s="66" t="s">
        <v>232</v>
      </c>
      <c r="D65" s="67">
        <v>3</v>
      </c>
      <c r="E65" s="68">
        <v>3.13446870755E-4</v>
      </c>
    </row>
    <row r="66" spans="2:5" s="83" customFormat="1" ht="14.5" customHeight="1">
      <c r="B66" s="111"/>
      <c r="C66" s="66" t="s">
        <v>233</v>
      </c>
      <c r="D66" s="67">
        <v>5</v>
      </c>
      <c r="E66" s="68">
        <v>5.2241145125899997E-4</v>
      </c>
    </row>
    <row r="67" spans="2:5" s="83" customFormat="1" ht="14.5" customHeight="1">
      <c r="B67" s="111"/>
      <c r="C67" s="66" t="s">
        <v>234</v>
      </c>
      <c r="D67" s="67">
        <v>20</v>
      </c>
      <c r="E67" s="68">
        <v>2.0896458050359999E-3</v>
      </c>
    </row>
    <row r="68" spans="2:5" s="83" customFormat="1" ht="14.5" customHeight="1">
      <c r="B68" s="111"/>
      <c r="C68" s="66" t="s">
        <v>236</v>
      </c>
      <c r="D68" s="67">
        <v>2</v>
      </c>
      <c r="E68" s="68">
        <v>2.08964580504E-4</v>
      </c>
    </row>
    <row r="69" spans="2:5" s="83" customFormat="1" ht="14.5" customHeight="1">
      <c r="B69" s="111"/>
      <c r="C69" s="66" t="s">
        <v>237</v>
      </c>
      <c r="D69" s="67">
        <v>9</v>
      </c>
      <c r="E69" s="68">
        <v>9.4034061226599996E-4</v>
      </c>
    </row>
    <row r="70" spans="2:5" s="83" customFormat="1" ht="14.5" customHeight="1">
      <c r="B70" s="111"/>
      <c r="C70" s="66" t="s">
        <v>239</v>
      </c>
      <c r="D70" s="67">
        <v>1</v>
      </c>
      <c r="E70" s="68">
        <v>1.04482290252E-4</v>
      </c>
    </row>
    <row r="71" spans="2:5" s="83" customFormat="1" ht="14.5" customHeight="1">
      <c r="B71" s="111"/>
      <c r="C71" s="66" t="s">
        <v>242</v>
      </c>
      <c r="D71" s="67">
        <v>1</v>
      </c>
      <c r="E71" s="68">
        <v>1.04482290252E-4</v>
      </c>
    </row>
    <row r="72" spans="2:5" s="83" customFormat="1" ht="14.5" customHeight="1">
      <c r="B72" s="111"/>
      <c r="C72" s="66" t="s">
        <v>243</v>
      </c>
      <c r="D72" s="67">
        <v>3</v>
      </c>
      <c r="E72" s="68">
        <v>3.13446870755E-4</v>
      </c>
    </row>
    <row r="73" spans="2:5" s="83" customFormat="1" ht="14.5" customHeight="1">
      <c r="B73" s="112"/>
      <c r="C73" s="36" t="s">
        <v>29</v>
      </c>
      <c r="D73" s="35">
        <v>78</v>
      </c>
      <c r="E73" s="34">
        <v>8.1496186396410007E-3</v>
      </c>
    </row>
    <row r="74" spans="2:5" s="83" customFormat="1" ht="14.5" customHeight="1">
      <c r="B74" s="110" t="s">
        <v>84</v>
      </c>
      <c r="C74" s="66" t="s">
        <v>229</v>
      </c>
      <c r="D74" s="67">
        <v>3</v>
      </c>
      <c r="E74" s="68">
        <v>3.13446870755E-4</v>
      </c>
    </row>
    <row r="75" spans="2:5" s="83" customFormat="1" ht="14.5" customHeight="1">
      <c r="B75" s="111"/>
      <c r="C75" s="66" t="s">
        <v>230</v>
      </c>
      <c r="D75" s="67">
        <v>10</v>
      </c>
      <c r="E75" s="68">
        <v>1.0448229025179999E-3</v>
      </c>
    </row>
    <row r="76" spans="2:5" s="83" customFormat="1" ht="14.5" customHeight="1">
      <c r="B76" s="111"/>
      <c r="C76" s="66" t="s">
        <v>232</v>
      </c>
      <c r="D76" s="67">
        <v>1</v>
      </c>
      <c r="E76" s="68">
        <v>1.04482290252E-4</v>
      </c>
    </row>
    <row r="77" spans="2:5" s="83" customFormat="1" ht="14.5" customHeight="1">
      <c r="B77" s="111"/>
      <c r="C77" s="66" t="s">
        <v>233</v>
      </c>
      <c r="D77" s="67">
        <v>1</v>
      </c>
      <c r="E77" s="68">
        <v>1.04482290252E-4</v>
      </c>
    </row>
    <row r="78" spans="2:5" s="83" customFormat="1" ht="14.5" customHeight="1">
      <c r="B78" s="111"/>
      <c r="C78" s="66" t="s">
        <v>234</v>
      </c>
      <c r="D78" s="67">
        <v>30</v>
      </c>
      <c r="E78" s="68">
        <v>3.1344687075539998E-3</v>
      </c>
    </row>
    <row r="79" spans="2:5" s="83" customFormat="1" ht="14.5" customHeight="1">
      <c r="B79" s="111"/>
      <c r="C79" s="66" t="s">
        <v>236</v>
      </c>
      <c r="D79" s="67">
        <v>2</v>
      </c>
      <c r="E79" s="68">
        <v>2.08964580504E-4</v>
      </c>
    </row>
    <row r="80" spans="2:5" s="83" customFormat="1" ht="14.5" customHeight="1">
      <c r="B80" s="111"/>
      <c r="C80" s="66" t="s">
        <v>237</v>
      </c>
      <c r="D80" s="67">
        <v>9</v>
      </c>
      <c r="E80" s="68">
        <v>9.4034061226599996E-4</v>
      </c>
    </row>
    <row r="81" spans="2:5" s="83" customFormat="1" ht="14.5" customHeight="1">
      <c r="B81" s="111"/>
      <c r="C81" s="66" t="s">
        <v>241</v>
      </c>
      <c r="D81" s="67">
        <v>1</v>
      </c>
      <c r="E81" s="68">
        <v>1.04482290252E-4</v>
      </c>
    </row>
    <row r="82" spans="2:5" s="83" customFormat="1" ht="14.5" customHeight="1">
      <c r="B82" s="111"/>
      <c r="C82" s="66" t="s">
        <v>242</v>
      </c>
      <c r="D82" s="67">
        <v>1</v>
      </c>
      <c r="E82" s="68">
        <v>1.04482290252E-4</v>
      </c>
    </row>
    <row r="83" spans="2:5" s="83" customFormat="1" ht="14.5" customHeight="1">
      <c r="B83" s="111"/>
      <c r="C83" s="66" t="s">
        <v>243</v>
      </c>
      <c r="D83" s="67">
        <v>2</v>
      </c>
      <c r="E83" s="68">
        <v>2.08964580504E-4</v>
      </c>
    </row>
    <row r="84" spans="2:5" s="83" customFormat="1" ht="14.5" customHeight="1">
      <c r="B84" s="112"/>
      <c r="C84" s="36" t="s">
        <v>29</v>
      </c>
      <c r="D84" s="35">
        <v>60</v>
      </c>
      <c r="E84" s="34">
        <v>6.2689374151079997E-3</v>
      </c>
    </row>
    <row r="85" spans="2:5" s="83" customFormat="1" ht="14.5" customHeight="1">
      <c r="B85" s="110" t="s">
        <v>85</v>
      </c>
      <c r="C85" s="66" t="s">
        <v>223</v>
      </c>
      <c r="D85" s="67">
        <v>4</v>
      </c>
      <c r="E85" s="68">
        <v>4.1792916100699999E-4</v>
      </c>
    </row>
    <row r="86" spans="2:5" s="83" customFormat="1" ht="14.5" customHeight="1">
      <c r="B86" s="111"/>
      <c r="C86" s="66" t="s">
        <v>224</v>
      </c>
      <c r="D86" s="67">
        <v>2</v>
      </c>
      <c r="E86" s="68">
        <v>2.08964580504E-4</v>
      </c>
    </row>
    <row r="87" spans="2:5" s="83" customFormat="1" ht="14.5" customHeight="1">
      <c r="B87" s="111"/>
      <c r="C87" s="66" t="s">
        <v>226</v>
      </c>
      <c r="D87" s="67">
        <v>5</v>
      </c>
      <c r="E87" s="68">
        <v>5.2241145125899997E-4</v>
      </c>
    </row>
    <row r="88" spans="2:5" s="83" customFormat="1" ht="14.5" customHeight="1">
      <c r="B88" s="111"/>
      <c r="C88" s="66" t="s">
        <v>227</v>
      </c>
      <c r="D88" s="67">
        <v>2</v>
      </c>
      <c r="E88" s="68">
        <v>2.08964580504E-4</v>
      </c>
    </row>
    <row r="89" spans="2:5" s="83" customFormat="1" ht="14.5" customHeight="1">
      <c r="B89" s="111"/>
      <c r="C89" s="66" t="s">
        <v>228</v>
      </c>
      <c r="D89" s="67">
        <v>2</v>
      </c>
      <c r="E89" s="68">
        <v>2.08964580504E-4</v>
      </c>
    </row>
    <row r="90" spans="2:5" s="83" customFormat="1" ht="14.5" customHeight="1">
      <c r="B90" s="111"/>
      <c r="C90" s="66" t="s">
        <v>229</v>
      </c>
      <c r="D90" s="67">
        <v>9</v>
      </c>
      <c r="E90" s="68">
        <v>9.4034061226599996E-4</v>
      </c>
    </row>
    <row r="91" spans="2:5" s="83" customFormat="1" ht="14.5" customHeight="1">
      <c r="B91" s="111"/>
      <c r="C91" s="66" t="s">
        <v>230</v>
      </c>
      <c r="D91" s="67">
        <v>7</v>
      </c>
      <c r="E91" s="68">
        <v>7.3137603176300005E-4</v>
      </c>
    </row>
    <row r="92" spans="2:5" s="83" customFormat="1" ht="14.5" customHeight="1">
      <c r="B92" s="111"/>
      <c r="C92" s="66" t="s">
        <v>231</v>
      </c>
      <c r="D92" s="67">
        <v>4</v>
      </c>
      <c r="E92" s="68">
        <v>4.1792916100699999E-4</v>
      </c>
    </row>
    <row r="93" spans="2:5" s="83" customFormat="1" ht="14.5" customHeight="1">
      <c r="B93" s="111"/>
      <c r="C93" s="66" t="s">
        <v>233</v>
      </c>
      <c r="D93" s="67">
        <v>1</v>
      </c>
      <c r="E93" s="68">
        <v>1.04482290252E-4</v>
      </c>
    </row>
    <row r="94" spans="2:5" s="83" customFormat="1" ht="14.5" customHeight="1">
      <c r="B94" s="111"/>
      <c r="C94" s="66" t="s">
        <v>234</v>
      </c>
      <c r="D94" s="67">
        <v>9</v>
      </c>
      <c r="E94" s="68">
        <v>9.4034061226599996E-4</v>
      </c>
    </row>
    <row r="95" spans="2:5" s="83" customFormat="1" ht="14.5" customHeight="1">
      <c r="B95" s="111"/>
      <c r="C95" s="66" t="s">
        <v>236</v>
      </c>
      <c r="D95" s="67">
        <v>3</v>
      </c>
      <c r="E95" s="68">
        <v>3.13446870755E-4</v>
      </c>
    </row>
    <row r="96" spans="2:5" s="83" customFormat="1" ht="14.5" customHeight="1">
      <c r="B96" s="111"/>
      <c r="C96" s="66" t="s">
        <v>237</v>
      </c>
      <c r="D96" s="67">
        <v>10</v>
      </c>
      <c r="E96" s="68">
        <v>1.0448229025179999E-3</v>
      </c>
    </row>
    <row r="97" spans="2:5" s="83" customFormat="1" ht="14.5" customHeight="1">
      <c r="B97" s="111"/>
      <c r="C97" s="66" t="s">
        <v>238</v>
      </c>
      <c r="D97" s="67">
        <v>1</v>
      </c>
      <c r="E97" s="68">
        <v>1.04482290252E-4</v>
      </c>
    </row>
    <row r="98" spans="2:5" s="83" customFormat="1" ht="14.5" customHeight="1">
      <c r="B98" s="111"/>
      <c r="C98" s="66" t="s">
        <v>243</v>
      </c>
      <c r="D98" s="67">
        <v>1</v>
      </c>
      <c r="E98" s="68">
        <v>1.04482290252E-4</v>
      </c>
    </row>
    <row r="99" spans="2:5" s="83" customFormat="1" ht="14.5" customHeight="1">
      <c r="B99" s="112"/>
      <c r="C99" s="36" t="s">
        <v>29</v>
      </c>
      <c r="D99" s="35">
        <v>60</v>
      </c>
      <c r="E99" s="34">
        <v>6.2689374151079997E-3</v>
      </c>
    </row>
    <row r="100" spans="2:5" s="83" customFormat="1" ht="14.5" customHeight="1">
      <c r="B100" s="110" t="s">
        <v>96</v>
      </c>
      <c r="C100" s="66" t="s">
        <v>229</v>
      </c>
      <c r="D100" s="67">
        <v>1</v>
      </c>
      <c r="E100" s="68">
        <v>1.04482290252E-4</v>
      </c>
    </row>
    <row r="101" spans="2:5" s="83" customFormat="1" ht="14.5" customHeight="1">
      <c r="B101" s="112"/>
      <c r="C101" s="36" t="s">
        <v>29</v>
      </c>
      <c r="D101" s="35">
        <v>1</v>
      </c>
      <c r="E101" s="34">
        <v>1.04482290252E-4</v>
      </c>
    </row>
    <row r="102" spans="2:5" s="83" customFormat="1" ht="14.5" customHeight="1">
      <c r="B102" s="110" t="s">
        <v>59</v>
      </c>
      <c r="C102" s="66" t="s">
        <v>223</v>
      </c>
      <c r="D102" s="67">
        <v>1</v>
      </c>
      <c r="E102" s="68">
        <v>1.04482290252E-4</v>
      </c>
    </row>
    <row r="103" spans="2:5" s="83" customFormat="1" ht="14.5" customHeight="1">
      <c r="B103" s="111"/>
      <c r="C103" s="66" t="s">
        <v>224</v>
      </c>
      <c r="D103" s="67">
        <v>1</v>
      </c>
      <c r="E103" s="68">
        <v>1.04482290252E-4</v>
      </c>
    </row>
    <row r="104" spans="2:5" s="83" customFormat="1" ht="14.5" customHeight="1">
      <c r="B104" s="111"/>
      <c r="C104" s="66" t="s">
        <v>225</v>
      </c>
      <c r="D104" s="67">
        <v>2</v>
      </c>
      <c r="E104" s="68">
        <v>2.08964580504E-4</v>
      </c>
    </row>
    <row r="105" spans="2:5" s="83" customFormat="1" ht="14.5" customHeight="1">
      <c r="B105" s="111"/>
      <c r="C105" s="66" t="s">
        <v>226</v>
      </c>
      <c r="D105" s="67">
        <v>4</v>
      </c>
      <c r="E105" s="68">
        <v>4.1792916100699999E-4</v>
      </c>
    </row>
    <row r="106" spans="2:5" s="83" customFormat="1" ht="14.5" customHeight="1">
      <c r="B106" s="111"/>
      <c r="C106" s="66" t="s">
        <v>227</v>
      </c>
      <c r="D106" s="67">
        <v>1</v>
      </c>
      <c r="E106" s="68">
        <v>1.04482290252E-4</v>
      </c>
    </row>
    <row r="107" spans="2:5" s="83" customFormat="1" ht="14.5" customHeight="1">
      <c r="B107" s="111"/>
      <c r="C107" s="66" t="s">
        <v>228</v>
      </c>
      <c r="D107" s="67">
        <v>1</v>
      </c>
      <c r="E107" s="68">
        <v>1.04482290252E-4</v>
      </c>
    </row>
    <row r="108" spans="2:5" s="83" customFormat="1" ht="14.5" customHeight="1">
      <c r="B108" s="111"/>
      <c r="C108" s="66" t="s">
        <v>229</v>
      </c>
      <c r="D108" s="67">
        <v>22</v>
      </c>
      <c r="E108" s="68">
        <v>2.2986103855400001E-3</v>
      </c>
    </row>
    <row r="109" spans="2:5" s="83" customFormat="1" ht="14.5" customHeight="1">
      <c r="B109" s="111"/>
      <c r="C109" s="66" t="s">
        <v>230</v>
      </c>
      <c r="D109" s="67">
        <v>50</v>
      </c>
      <c r="E109" s="68">
        <v>5.2241145125900001E-3</v>
      </c>
    </row>
    <row r="110" spans="2:5" s="83" customFormat="1" ht="14.5" customHeight="1">
      <c r="B110" s="111"/>
      <c r="C110" s="66" t="s">
        <v>231</v>
      </c>
      <c r="D110" s="67">
        <v>2</v>
      </c>
      <c r="E110" s="68">
        <v>2.08964580504E-4</v>
      </c>
    </row>
    <row r="111" spans="2:5" s="83" customFormat="1" ht="14.5" customHeight="1">
      <c r="B111" s="111"/>
      <c r="C111" s="66" t="s">
        <v>232</v>
      </c>
      <c r="D111" s="67">
        <v>6</v>
      </c>
      <c r="E111" s="68">
        <v>6.2689374151099996E-4</v>
      </c>
    </row>
    <row r="112" spans="2:5" s="83" customFormat="1" ht="14.5" customHeight="1">
      <c r="B112" s="111"/>
      <c r="C112" s="66" t="s">
        <v>233</v>
      </c>
      <c r="D112" s="67">
        <v>19</v>
      </c>
      <c r="E112" s="68">
        <v>1.985163514784E-3</v>
      </c>
    </row>
    <row r="113" spans="2:5" s="83" customFormat="1" ht="14.5" customHeight="1">
      <c r="B113" s="111"/>
      <c r="C113" s="66" t="s">
        <v>234</v>
      </c>
      <c r="D113" s="67">
        <v>154</v>
      </c>
      <c r="E113" s="68">
        <v>1.6090272698778E-2</v>
      </c>
    </row>
    <row r="114" spans="2:5" s="83" customFormat="1" ht="14.5" customHeight="1">
      <c r="B114" s="111"/>
      <c r="C114" s="66" t="s">
        <v>235</v>
      </c>
      <c r="D114" s="67">
        <v>2</v>
      </c>
      <c r="E114" s="68">
        <v>2.08964580504E-4</v>
      </c>
    </row>
    <row r="115" spans="2:5" s="83" customFormat="1" ht="14.5" customHeight="1">
      <c r="B115" s="111"/>
      <c r="C115" s="66" t="s">
        <v>236</v>
      </c>
      <c r="D115" s="67">
        <v>15</v>
      </c>
      <c r="E115" s="68">
        <v>1.5672343537769999E-3</v>
      </c>
    </row>
    <row r="116" spans="2:5" s="83" customFormat="1" ht="14.5" customHeight="1">
      <c r="B116" s="111"/>
      <c r="C116" s="66" t="s">
        <v>237</v>
      </c>
      <c r="D116" s="67">
        <v>60</v>
      </c>
      <c r="E116" s="68">
        <v>6.2689374151079997E-3</v>
      </c>
    </row>
    <row r="117" spans="2:5" s="83" customFormat="1" ht="14.5" customHeight="1">
      <c r="B117" s="111"/>
      <c r="C117" s="66" t="s">
        <v>239</v>
      </c>
      <c r="D117" s="67">
        <v>1</v>
      </c>
      <c r="E117" s="68">
        <v>1.04482290252E-4</v>
      </c>
    </row>
    <row r="118" spans="2:5" s="83" customFormat="1" ht="14.5" customHeight="1">
      <c r="B118" s="111"/>
      <c r="C118" s="66" t="s">
        <v>242</v>
      </c>
      <c r="D118" s="67">
        <v>2</v>
      </c>
      <c r="E118" s="68">
        <v>2.08964580504E-4</v>
      </c>
    </row>
    <row r="119" spans="2:5" s="83" customFormat="1" ht="14.5" customHeight="1">
      <c r="B119" s="111"/>
      <c r="C119" s="66" t="s">
        <v>243</v>
      </c>
      <c r="D119" s="67">
        <v>20</v>
      </c>
      <c r="E119" s="68">
        <v>2.0896458050359999E-3</v>
      </c>
    </row>
    <row r="120" spans="2:5" s="83" customFormat="1" ht="14.5" customHeight="1">
      <c r="B120" s="111"/>
      <c r="C120" s="66" t="s">
        <v>245</v>
      </c>
      <c r="D120" s="67">
        <v>1</v>
      </c>
      <c r="E120" s="68">
        <v>1.04482290252E-4</v>
      </c>
    </row>
    <row r="121" spans="2:5" s="83" customFormat="1" ht="14.5" customHeight="1">
      <c r="B121" s="112"/>
      <c r="C121" s="36" t="s">
        <v>29</v>
      </c>
      <c r="D121" s="35">
        <v>364</v>
      </c>
      <c r="E121" s="34">
        <v>3.8031553651656003E-2</v>
      </c>
    </row>
    <row r="122" spans="2:5" s="83" customFormat="1" ht="14.5" customHeight="1">
      <c r="B122" s="110" t="s">
        <v>50</v>
      </c>
      <c r="C122" s="66" t="s">
        <v>223</v>
      </c>
      <c r="D122" s="67">
        <v>7</v>
      </c>
      <c r="E122" s="68">
        <v>7.3137603176300005E-4</v>
      </c>
    </row>
    <row r="123" spans="2:5" s="83" customFormat="1" ht="14.5" customHeight="1">
      <c r="B123" s="111"/>
      <c r="C123" s="66" t="s">
        <v>224</v>
      </c>
      <c r="D123" s="67">
        <v>4</v>
      </c>
      <c r="E123" s="68">
        <v>4.1792916100699999E-4</v>
      </c>
    </row>
    <row r="124" spans="2:5" s="83" customFormat="1" ht="14.5" customHeight="1">
      <c r="B124" s="111"/>
      <c r="C124" s="66" t="s">
        <v>225</v>
      </c>
      <c r="D124" s="67">
        <v>3</v>
      </c>
      <c r="E124" s="68">
        <v>3.13446870755E-4</v>
      </c>
    </row>
    <row r="125" spans="2:5" s="83" customFormat="1" ht="14.5" customHeight="1">
      <c r="B125" s="111"/>
      <c r="C125" s="66" t="s">
        <v>226</v>
      </c>
      <c r="D125" s="67">
        <v>15</v>
      </c>
      <c r="E125" s="68">
        <v>1.5672343537769999E-3</v>
      </c>
    </row>
    <row r="126" spans="2:5" s="83" customFormat="1" ht="14.5" customHeight="1">
      <c r="B126" s="111"/>
      <c r="C126" s="66" t="s">
        <v>227</v>
      </c>
      <c r="D126" s="67">
        <v>4</v>
      </c>
      <c r="E126" s="68">
        <v>4.1792916100699999E-4</v>
      </c>
    </row>
    <row r="127" spans="2:5" s="83" customFormat="1" ht="14.5" customHeight="1">
      <c r="B127" s="111"/>
      <c r="C127" s="66" t="s">
        <v>228</v>
      </c>
      <c r="D127" s="67">
        <v>15</v>
      </c>
      <c r="E127" s="68">
        <v>1.5672343537769999E-3</v>
      </c>
    </row>
    <row r="128" spans="2:5" s="83" customFormat="1" ht="14.5" customHeight="1">
      <c r="B128" s="111"/>
      <c r="C128" s="66" t="s">
        <v>229</v>
      </c>
      <c r="D128" s="67">
        <v>135</v>
      </c>
      <c r="E128" s="68">
        <v>1.4105109183993001E-2</v>
      </c>
    </row>
    <row r="129" spans="2:5" s="83" customFormat="1" ht="14.5" customHeight="1">
      <c r="B129" s="111"/>
      <c r="C129" s="66" t="s">
        <v>230</v>
      </c>
      <c r="D129" s="67">
        <v>188</v>
      </c>
      <c r="E129" s="68">
        <v>1.9642670567339E-2</v>
      </c>
    </row>
    <row r="130" spans="2:5" s="83" customFormat="1" ht="14.5" customHeight="1">
      <c r="B130" s="111"/>
      <c r="C130" s="66" t="s">
        <v>231</v>
      </c>
      <c r="D130" s="67">
        <v>7</v>
      </c>
      <c r="E130" s="68">
        <v>7.3137603176300005E-4</v>
      </c>
    </row>
    <row r="131" spans="2:5" s="83" customFormat="1" ht="14.5" customHeight="1">
      <c r="B131" s="111"/>
      <c r="C131" s="66" t="s">
        <v>232</v>
      </c>
      <c r="D131" s="67">
        <v>22</v>
      </c>
      <c r="E131" s="68">
        <v>2.2986103855400001E-3</v>
      </c>
    </row>
    <row r="132" spans="2:5" s="83" customFormat="1" ht="14.5" customHeight="1">
      <c r="B132" s="111"/>
      <c r="C132" s="66" t="s">
        <v>233</v>
      </c>
      <c r="D132" s="67">
        <v>98</v>
      </c>
      <c r="E132" s="68">
        <v>1.0239264444677E-2</v>
      </c>
    </row>
    <row r="133" spans="2:5" s="83" customFormat="1" ht="14.5" customHeight="1">
      <c r="B133" s="111"/>
      <c r="C133" s="66" t="s">
        <v>234</v>
      </c>
      <c r="D133" s="67">
        <v>588</v>
      </c>
      <c r="E133" s="68">
        <v>6.1435586668059997E-2</v>
      </c>
    </row>
    <row r="134" spans="2:5" s="83" customFormat="1" ht="14.5" customHeight="1">
      <c r="B134" s="111"/>
      <c r="C134" s="66" t="s">
        <v>235</v>
      </c>
      <c r="D134" s="67">
        <v>8</v>
      </c>
      <c r="E134" s="68">
        <v>8.3585832201399997E-4</v>
      </c>
    </row>
    <row r="135" spans="2:5" s="83" customFormat="1" ht="14.5" customHeight="1">
      <c r="B135" s="111"/>
      <c r="C135" s="66" t="s">
        <v>236</v>
      </c>
      <c r="D135" s="67">
        <v>51</v>
      </c>
      <c r="E135" s="68">
        <v>5.328596802842E-3</v>
      </c>
    </row>
    <row r="136" spans="2:5" s="83" customFormat="1" ht="14.5" customHeight="1">
      <c r="B136" s="111"/>
      <c r="C136" s="66" t="s">
        <v>237</v>
      </c>
      <c r="D136" s="67">
        <v>236</v>
      </c>
      <c r="E136" s="68">
        <v>2.4657820499424998E-2</v>
      </c>
    </row>
    <row r="137" spans="2:5" s="83" customFormat="1" ht="14.5" customHeight="1">
      <c r="B137" s="111"/>
      <c r="C137" s="66" t="s">
        <v>238</v>
      </c>
      <c r="D137" s="67">
        <v>2</v>
      </c>
      <c r="E137" s="68">
        <v>2.08964580504E-4</v>
      </c>
    </row>
    <row r="138" spans="2:5" s="83" customFormat="1" ht="14.5" customHeight="1">
      <c r="B138" s="111"/>
      <c r="C138" s="66" t="s">
        <v>239</v>
      </c>
      <c r="D138" s="67">
        <v>4</v>
      </c>
      <c r="E138" s="68">
        <v>4.1792916100699999E-4</v>
      </c>
    </row>
    <row r="139" spans="2:5" s="83" customFormat="1" ht="14.5" customHeight="1">
      <c r="B139" s="111"/>
      <c r="C139" s="66" t="s">
        <v>240</v>
      </c>
      <c r="D139" s="67">
        <v>1</v>
      </c>
      <c r="E139" s="68">
        <v>1.04482290252E-4</v>
      </c>
    </row>
    <row r="140" spans="2:5" s="83" customFormat="1" ht="14.5" customHeight="1">
      <c r="B140" s="111"/>
      <c r="C140" s="66" t="s">
        <v>241</v>
      </c>
      <c r="D140" s="67">
        <v>1</v>
      </c>
      <c r="E140" s="68">
        <v>1.04482290252E-4</v>
      </c>
    </row>
    <row r="141" spans="2:5" s="83" customFormat="1" ht="14.5" customHeight="1">
      <c r="B141" s="111"/>
      <c r="C141" s="66" t="s">
        <v>242</v>
      </c>
      <c r="D141" s="67">
        <v>9</v>
      </c>
      <c r="E141" s="68">
        <v>9.4034061226599996E-4</v>
      </c>
    </row>
    <row r="142" spans="2:5" s="83" customFormat="1" ht="14.5" customHeight="1">
      <c r="B142" s="111"/>
      <c r="C142" s="66" t="s">
        <v>243</v>
      </c>
      <c r="D142" s="67">
        <v>24</v>
      </c>
      <c r="E142" s="68">
        <v>2.5075749660430002E-3</v>
      </c>
    </row>
    <row r="143" spans="2:5" s="83" customFormat="1" ht="14.5" customHeight="1">
      <c r="B143" s="111"/>
      <c r="C143" s="66" t="s">
        <v>244</v>
      </c>
      <c r="D143" s="67">
        <v>1</v>
      </c>
      <c r="E143" s="68">
        <v>1.04482290252E-4</v>
      </c>
    </row>
    <row r="144" spans="2:5" s="83" customFormat="1" ht="14.5" customHeight="1">
      <c r="B144" s="111"/>
      <c r="C144" s="66" t="s">
        <v>245</v>
      </c>
      <c r="D144" s="67">
        <v>1</v>
      </c>
      <c r="E144" s="68">
        <v>1.04482290252E-4</v>
      </c>
    </row>
    <row r="145" spans="2:5" s="83" customFormat="1" ht="14.5" customHeight="1">
      <c r="B145" s="111"/>
      <c r="C145" s="66" t="s">
        <v>246</v>
      </c>
      <c r="D145" s="67">
        <v>1</v>
      </c>
      <c r="E145" s="68">
        <v>1.04482290252E-4</v>
      </c>
    </row>
    <row r="146" spans="2:5" s="83" customFormat="1" ht="14.5" customHeight="1">
      <c r="B146" s="112"/>
      <c r="C146" s="36" t="s">
        <v>29</v>
      </c>
      <c r="D146" s="35">
        <v>1425</v>
      </c>
      <c r="E146" s="34">
        <v>0.14888726360881799</v>
      </c>
    </row>
    <row r="147" spans="2:5" s="83" customFormat="1" ht="14.5" customHeight="1">
      <c r="B147" s="110" t="s">
        <v>94</v>
      </c>
      <c r="C147" s="66" t="s">
        <v>229</v>
      </c>
      <c r="D147" s="67">
        <v>1</v>
      </c>
      <c r="E147" s="68">
        <v>1.04482290252E-4</v>
      </c>
    </row>
    <row r="148" spans="2:5" s="83" customFormat="1" ht="14.5" customHeight="1">
      <c r="B148" s="111"/>
      <c r="C148" s="66" t="s">
        <v>230</v>
      </c>
      <c r="D148" s="67">
        <v>1</v>
      </c>
      <c r="E148" s="68">
        <v>1.04482290252E-4</v>
      </c>
    </row>
    <row r="149" spans="2:5" s="83" customFormat="1" ht="14.5" customHeight="1">
      <c r="B149" s="111"/>
      <c r="C149" s="66" t="s">
        <v>234</v>
      </c>
      <c r="D149" s="67">
        <v>8</v>
      </c>
      <c r="E149" s="68">
        <v>8.3585832201399997E-4</v>
      </c>
    </row>
    <row r="150" spans="2:5" s="83" customFormat="1" ht="14.5" customHeight="1">
      <c r="B150" s="112"/>
      <c r="C150" s="36" t="s">
        <v>29</v>
      </c>
      <c r="D150" s="35">
        <v>10</v>
      </c>
      <c r="E150" s="34">
        <v>1.0448229025179999E-3</v>
      </c>
    </row>
    <row r="151" spans="2:5" s="83" customFormat="1" ht="14.5" customHeight="1">
      <c r="B151" s="110" t="s">
        <v>67</v>
      </c>
      <c r="C151" s="66" t="s">
        <v>223</v>
      </c>
      <c r="D151" s="67">
        <v>2</v>
      </c>
      <c r="E151" s="68">
        <v>2.08964580504E-4</v>
      </c>
    </row>
    <row r="152" spans="2:5" s="83" customFormat="1" ht="14.5" customHeight="1">
      <c r="B152" s="111"/>
      <c r="C152" s="66" t="s">
        <v>224</v>
      </c>
      <c r="D152" s="67">
        <v>1</v>
      </c>
      <c r="E152" s="68">
        <v>1.04482290252E-4</v>
      </c>
    </row>
    <row r="153" spans="2:5" s="83" customFormat="1" ht="14.5" customHeight="1">
      <c r="B153" s="111"/>
      <c r="C153" s="66" t="s">
        <v>226</v>
      </c>
      <c r="D153" s="67">
        <v>2</v>
      </c>
      <c r="E153" s="68">
        <v>2.08964580504E-4</v>
      </c>
    </row>
    <row r="154" spans="2:5" s="83" customFormat="1" ht="14.5" customHeight="1">
      <c r="B154" s="111"/>
      <c r="C154" s="66" t="s">
        <v>227</v>
      </c>
      <c r="D154" s="67">
        <v>1</v>
      </c>
      <c r="E154" s="68">
        <v>1.04482290252E-4</v>
      </c>
    </row>
    <row r="155" spans="2:5" s="83" customFormat="1" ht="14.5" customHeight="1">
      <c r="B155" s="111"/>
      <c r="C155" s="66" t="s">
        <v>228</v>
      </c>
      <c r="D155" s="67">
        <v>2</v>
      </c>
      <c r="E155" s="68">
        <v>2.08964580504E-4</v>
      </c>
    </row>
    <row r="156" spans="2:5" s="83" customFormat="1" ht="14.5" customHeight="1">
      <c r="B156" s="111"/>
      <c r="C156" s="66" t="s">
        <v>229</v>
      </c>
      <c r="D156" s="67">
        <v>6</v>
      </c>
      <c r="E156" s="68">
        <v>6.2689374151099996E-4</v>
      </c>
    </row>
    <row r="157" spans="2:5" s="83" customFormat="1" ht="14.5" customHeight="1">
      <c r="B157" s="111"/>
      <c r="C157" s="66" t="s">
        <v>230</v>
      </c>
      <c r="D157" s="67">
        <v>21</v>
      </c>
      <c r="E157" s="68">
        <v>2.1941280952880002E-3</v>
      </c>
    </row>
    <row r="158" spans="2:5" s="83" customFormat="1" ht="14.5" customHeight="1">
      <c r="B158" s="111"/>
      <c r="C158" s="66" t="s">
        <v>232</v>
      </c>
      <c r="D158" s="67">
        <v>5</v>
      </c>
      <c r="E158" s="68">
        <v>5.2241145125899997E-4</v>
      </c>
    </row>
    <row r="159" spans="2:5" s="83" customFormat="1" ht="14.5" customHeight="1">
      <c r="B159" s="111"/>
      <c r="C159" s="66" t="s">
        <v>233</v>
      </c>
      <c r="D159" s="67">
        <v>9</v>
      </c>
      <c r="E159" s="68">
        <v>9.4034061226599996E-4</v>
      </c>
    </row>
    <row r="160" spans="2:5" s="83" customFormat="1" ht="14.5" customHeight="1">
      <c r="B160" s="111"/>
      <c r="C160" s="66" t="s">
        <v>234</v>
      </c>
      <c r="D160" s="67">
        <v>59</v>
      </c>
      <c r="E160" s="68">
        <v>6.1644551248559998E-3</v>
      </c>
    </row>
    <row r="161" spans="2:5" s="83" customFormat="1" ht="14.5" customHeight="1">
      <c r="B161" s="111"/>
      <c r="C161" s="66" t="s">
        <v>235</v>
      </c>
      <c r="D161" s="67">
        <v>1</v>
      </c>
      <c r="E161" s="68">
        <v>1.04482290252E-4</v>
      </c>
    </row>
    <row r="162" spans="2:5" s="83" customFormat="1" ht="14.5" customHeight="1">
      <c r="B162" s="111"/>
      <c r="C162" s="66" t="s">
        <v>236</v>
      </c>
      <c r="D162" s="67">
        <v>4</v>
      </c>
      <c r="E162" s="68">
        <v>4.1792916100699999E-4</v>
      </c>
    </row>
    <row r="163" spans="2:5" s="83" customFormat="1" ht="14.5" customHeight="1">
      <c r="B163" s="111"/>
      <c r="C163" s="66" t="s">
        <v>237</v>
      </c>
      <c r="D163" s="67">
        <v>23</v>
      </c>
      <c r="E163" s="68">
        <v>2.4030926757909999E-3</v>
      </c>
    </row>
    <row r="164" spans="2:5" s="83" customFormat="1" ht="14.5" customHeight="1">
      <c r="B164" s="111"/>
      <c r="C164" s="66" t="s">
        <v>238</v>
      </c>
      <c r="D164" s="67">
        <v>1</v>
      </c>
      <c r="E164" s="68">
        <v>1.04482290252E-4</v>
      </c>
    </row>
    <row r="165" spans="2:5" s="83" customFormat="1" ht="14.5" customHeight="1">
      <c r="B165" s="111"/>
      <c r="C165" s="66" t="s">
        <v>242</v>
      </c>
      <c r="D165" s="67">
        <v>1</v>
      </c>
      <c r="E165" s="68">
        <v>1.04482290252E-4</v>
      </c>
    </row>
    <row r="166" spans="2:5" s="83" customFormat="1" ht="14.5" customHeight="1">
      <c r="B166" s="111"/>
      <c r="C166" s="66" t="s">
        <v>243</v>
      </c>
      <c r="D166" s="67">
        <v>2</v>
      </c>
      <c r="E166" s="68">
        <v>2.08964580504E-4</v>
      </c>
    </row>
    <row r="167" spans="2:5" s="83" customFormat="1" ht="14.5" customHeight="1">
      <c r="B167" s="112"/>
      <c r="C167" s="36" t="s">
        <v>29</v>
      </c>
      <c r="D167" s="35">
        <v>140</v>
      </c>
      <c r="E167" s="34">
        <v>1.4627520635252E-2</v>
      </c>
    </row>
    <row r="168" spans="2:5" s="83" customFormat="1" ht="14.5" customHeight="1">
      <c r="B168" s="110" t="s">
        <v>77</v>
      </c>
      <c r="C168" s="66" t="s">
        <v>223</v>
      </c>
      <c r="D168" s="67">
        <v>1</v>
      </c>
      <c r="E168" s="68">
        <v>1.04482290252E-4</v>
      </c>
    </row>
    <row r="169" spans="2:5" s="83" customFormat="1" ht="14.5" customHeight="1">
      <c r="B169" s="111"/>
      <c r="C169" s="66" t="s">
        <v>224</v>
      </c>
      <c r="D169" s="67">
        <v>1</v>
      </c>
      <c r="E169" s="68">
        <v>1.04482290252E-4</v>
      </c>
    </row>
    <row r="170" spans="2:5" s="83" customFormat="1" ht="14.5" customHeight="1">
      <c r="B170" s="111"/>
      <c r="C170" s="66" t="s">
        <v>226</v>
      </c>
      <c r="D170" s="67">
        <v>1</v>
      </c>
      <c r="E170" s="68">
        <v>1.04482290252E-4</v>
      </c>
    </row>
    <row r="171" spans="2:5" s="83" customFormat="1" ht="14.5" customHeight="1">
      <c r="B171" s="111"/>
      <c r="C171" s="66" t="s">
        <v>227</v>
      </c>
      <c r="D171" s="67">
        <v>1</v>
      </c>
      <c r="E171" s="68">
        <v>1.04482290252E-4</v>
      </c>
    </row>
    <row r="172" spans="2:5" s="83" customFormat="1" ht="14.5" customHeight="1">
      <c r="B172" s="111"/>
      <c r="C172" s="66" t="s">
        <v>228</v>
      </c>
      <c r="D172" s="67">
        <v>1</v>
      </c>
      <c r="E172" s="68">
        <v>1.04482290252E-4</v>
      </c>
    </row>
    <row r="173" spans="2:5" s="83" customFormat="1" ht="14.5" customHeight="1">
      <c r="B173" s="111"/>
      <c r="C173" s="66" t="s">
        <v>229</v>
      </c>
      <c r="D173" s="67">
        <v>10</v>
      </c>
      <c r="E173" s="68">
        <v>1.0448229025179999E-3</v>
      </c>
    </row>
    <row r="174" spans="2:5" s="83" customFormat="1" ht="14.5" customHeight="1">
      <c r="B174" s="111"/>
      <c r="C174" s="66" t="s">
        <v>230</v>
      </c>
      <c r="D174" s="67">
        <v>9</v>
      </c>
      <c r="E174" s="68">
        <v>9.4034061226599996E-4</v>
      </c>
    </row>
    <row r="175" spans="2:5" s="83" customFormat="1" ht="14.5" customHeight="1">
      <c r="B175" s="111"/>
      <c r="C175" s="66" t="s">
        <v>232</v>
      </c>
      <c r="D175" s="67">
        <v>3</v>
      </c>
      <c r="E175" s="68">
        <v>3.13446870755E-4</v>
      </c>
    </row>
    <row r="176" spans="2:5" s="83" customFormat="1" ht="14.5" customHeight="1">
      <c r="B176" s="111"/>
      <c r="C176" s="66" t="s">
        <v>233</v>
      </c>
      <c r="D176" s="67">
        <v>7</v>
      </c>
      <c r="E176" s="68">
        <v>7.3137603176300005E-4</v>
      </c>
    </row>
    <row r="177" spans="2:5" s="83" customFormat="1" ht="14.5" customHeight="1">
      <c r="B177" s="111"/>
      <c r="C177" s="66" t="s">
        <v>234</v>
      </c>
      <c r="D177" s="67">
        <v>30</v>
      </c>
      <c r="E177" s="68">
        <v>3.1344687075539998E-3</v>
      </c>
    </row>
    <row r="178" spans="2:5" s="83" customFormat="1" ht="14.5" customHeight="1">
      <c r="B178" s="111"/>
      <c r="C178" s="66" t="s">
        <v>236</v>
      </c>
      <c r="D178" s="67">
        <v>1</v>
      </c>
      <c r="E178" s="68">
        <v>1.04482290252E-4</v>
      </c>
    </row>
    <row r="179" spans="2:5" s="83" customFormat="1" ht="14.5" customHeight="1">
      <c r="B179" s="111"/>
      <c r="C179" s="66" t="s">
        <v>237</v>
      </c>
      <c r="D179" s="67">
        <v>17</v>
      </c>
      <c r="E179" s="68">
        <v>1.7761989342810001E-3</v>
      </c>
    </row>
    <row r="180" spans="2:5" s="83" customFormat="1" ht="14.5" customHeight="1">
      <c r="B180" s="111"/>
      <c r="C180" s="66" t="s">
        <v>243</v>
      </c>
      <c r="D180" s="67">
        <v>4</v>
      </c>
      <c r="E180" s="68">
        <v>4.1792916100699999E-4</v>
      </c>
    </row>
    <row r="181" spans="2:5" s="83" customFormat="1" ht="14.5" customHeight="1">
      <c r="B181" s="112"/>
      <c r="C181" s="36" t="s">
        <v>29</v>
      </c>
      <c r="D181" s="35">
        <v>86</v>
      </c>
      <c r="E181" s="34">
        <v>8.9854769616549996E-3</v>
      </c>
    </row>
    <row r="182" spans="2:5" s="83" customFormat="1" ht="14.5" customHeight="1">
      <c r="B182" s="110" t="s">
        <v>97</v>
      </c>
      <c r="C182" s="66" t="s">
        <v>234</v>
      </c>
      <c r="D182" s="67">
        <v>1</v>
      </c>
      <c r="E182" s="68">
        <v>1.04482290252E-4</v>
      </c>
    </row>
    <row r="183" spans="2:5" s="83" customFormat="1" ht="14.5" customHeight="1">
      <c r="B183" s="112"/>
      <c r="C183" s="36" t="s">
        <v>29</v>
      </c>
      <c r="D183" s="35">
        <v>1</v>
      </c>
      <c r="E183" s="34">
        <v>1.04482290252E-4</v>
      </c>
    </row>
    <row r="184" spans="2:5" s="83" customFormat="1" ht="14.5" customHeight="1">
      <c r="B184" s="110" t="s">
        <v>90</v>
      </c>
      <c r="C184" s="66" t="s">
        <v>223</v>
      </c>
      <c r="D184" s="67">
        <v>1</v>
      </c>
      <c r="E184" s="68">
        <v>1.04482290252E-4</v>
      </c>
    </row>
    <row r="185" spans="2:5" s="83" customFormat="1" ht="14.5" customHeight="1">
      <c r="B185" s="111"/>
      <c r="C185" s="66" t="s">
        <v>229</v>
      </c>
      <c r="D185" s="67">
        <v>2</v>
      </c>
      <c r="E185" s="68">
        <v>2.08964580504E-4</v>
      </c>
    </row>
    <row r="186" spans="2:5" s="83" customFormat="1" ht="14.5" customHeight="1">
      <c r="B186" s="111"/>
      <c r="C186" s="66" t="s">
        <v>230</v>
      </c>
      <c r="D186" s="67">
        <v>1</v>
      </c>
      <c r="E186" s="68">
        <v>1.04482290252E-4</v>
      </c>
    </row>
    <row r="187" spans="2:5" s="83" customFormat="1" ht="14.5" customHeight="1">
      <c r="B187" s="111"/>
      <c r="C187" s="66" t="s">
        <v>232</v>
      </c>
      <c r="D187" s="67">
        <v>1</v>
      </c>
      <c r="E187" s="68">
        <v>1.04482290252E-4</v>
      </c>
    </row>
    <row r="188" spans="2:5" s="83" customFormat="1" ht="14.5" customHeight="1">
      <c r="B188" s="111"/>
      <c r="C188" s="66" t="s">
        <v>233</v>
      </c>
      <c r="D188" s="67">
        <v>3</v>
      </c>
      <c r="E188" s="68">
        <v>3.13446870755E-4</v>
      </c>
    </row>
    <row r="189" spans="2:5" s="83" customFormat="1" ht="14.5" customHeight="1">
      <c r="B189" s="111"/>
      <c r="C189" s="66" t="s">
        <v>234</v>
      </c>
      <c r="D189" s="67">
        <v>14</v>
      </c>
      <c r="E189" s="68">
        <v>1.462752063525E-3</v>
      </c>
    </row>
    <row r="190" spans="2:5" s="83" customFormat="1" ht="14.5" customHeight="1">
      <c r="B190" s="111"/>
      <c r="C190" s="66" t="s">
        <v>237</v>
      </c>
      <c r="D190" s="67">
        <v>8</v>
      </c>
      <c r="E190" s="68">
        <v>8.3585832201399997E-4</v>
      </c>
    </row>
    <row r="191" spans="2:5" s="83" customFormat="1" ht="14.5" customHeight="1">
      <c r="B191" s="112"/>
      <c r="C191" s="36" t="s">
        <v>29</v>
      </c>
      <c r="D191" s="35">
        <v>30</v>
      </c>
      <c r="E191" s="34">
        <v>3.1344687075539998E-3</v>
      </c>
    </row>
    <row r="192" spans="2:5" s="83" customFormat="1" ht="14.5" customHeight="1">
      <c r="B192" s="110" t="s">
        <v>71</v>
      </c>
      <c r="C192" s="66" t="s">
        <v>223</v>
      </c>
      <c r="D192" s="67">
        <v>1</v>
      </c>
      <c r="E192" s="68">
        <v>1.04482290252E-4</v>
      </c>
    </row>
    <row r="193" spans="2:5" s="83" customFormat="1" ht="14.5" customHeight="1">
      <c r="B193" s="111"/>
      <c r="C193" s="66" t="s">
        <v>227</v>
      </c>
      <c r="D193" s="67">
        <v>1</v>
      </c>
      <c r="E193" s="68">
        <v>1.04482290252E-4</v>
      </c>
    </row>
    <row r="194" spans="2:5" s="83" customFormat="1" ht="14.5" customHeight="1">
      <c r="B194" s="111"/>
      <c r="C194" s="66" t="s">
        <v>228</v>
      </c>
      <c r="D194" s="67">
        <v>1</v>
      </c>
      <c r="E194" s="68">
        <v>1.04482290252E-4</v>
      </c>
    </row>
    <row r="195" spans="2:5" s="83" customFormat="1" ht="14.5" customHeight="1">
      <c r="B195" s="111"/>
      <c r="C195" s="66" t="s">
        <v>229</v>
      </c>
      <c r="D195" s="67">
        <v>8</v>
      </c>
      <c r="E195" s="68">
        <v>8.3585832201399997E-4</v>
      </c>
    </row>
    <row r="196" spans="2:5" s="83" customFormat="1" ht="14.5" customHeight="1">
      <c r="B196" s="111"/>
      <c r="C196" s="66" t="s">
        <v>230</v>
      </c>
      <c r="D196" s="67">
        <v>20</v>
      </c>
      <c r="E196" s="68">
        <v>2.0896458050359999E-3</v>
      </c>
    </row>
    <row r="197" spans="2:5" s="83" customFormat="1" ht="14.5" customHeight="1">
      <c r="B197" s="111"/>
      <c r="C197" s="66" t="s">
        <v>231</v>
      </c>
      <c r="D197" s="67">
        <v>1</v>
      </c>
      <c r="E197" s="68">
        <v>1.04482290252E-4</v>
      </c>
    </row>
    <row r="198" spans="2:5" s="83" customFormat="1" ht="14.5" customHeight="1">
      <c r="B198" s="111"/>
      <c r="C198" s="66" t="s">
        <v>232</v>
      </c>
      <c r="D198" s="67">
        <v>1</v>
      </c>
      <c r="E198" s="68">
        <v>1.04482290252E-4</v>
      </c>
    </row>
    <row r="199" spans="2:5" s="83" customFormat="1" ht="14.5" customHeight="1">
      <c r="B199" s="111"/>
      <c r="C199" s="66" t="s">
        <v>233</v>
      </c>
      <c r="D199" s="67">
        <v>4</v>
      </c>
      <c r="E199" s="68">
        <v>4.1792916100699999E-4</v>
      </c>
    </row>
    <row r="200" spans="2:5" s="83" customFormat="1" ht="14.5" customHeight="1">
      <c r="B200" s="111"/>
      <c r="C200" s="66" t="s">
        <v>234</v>
      </c>
      <c r="D200" s="67">
        <v>46</v>
      </c>
      <c r="E200" s="68">
        <v>4.8061853515829998E-3</v>
      </c>
    </row>
    <row r="201" spans="2:5" s="83" customFormat="1" ht="14.5" customHeight="1">
      <c r="B201" s="111"/>
      <c r="C201" s="66" t="s">
        <v>235</v>
      </c>
      <c r="D201" s="67">
        <v>1</v>
      </c>
      <c r="E201" s="68">
        <v>1.04482290252E-4</v>
      </c>
    </row>
    <row r="202" spans="2:5" s="83" customFormat="1" ht="14.5" customHeight="1">
      <c r="B202" s="111"/>
      <c r="C202" s="66" t="s">
        <v>236</v>
      </c>
      <c r="D202" s="67">
        <v>5</v>
      </c>
      <c r="E202" s="68">
        <v>5.2241145125899997E-4</v>
      </c>
    </row>
    <row r="203" spans="2:5" s="83" customFormat="1" ht="14.5" customHeight="1">
      <c r="B203" s="111"/>
      <c r="C203" s="66" t="s">
        <v>237</v>
      </c>
      <c r="D203" s="67">
        <v>16</v>
      </c>
      <c r="E203" s="68">
        <v>1.671716644029E-3</v>
      </c>
    </row>
    <row r="204" spans="2:5" s="83" customFormat="1" ht="14.5" customHeight="1">
      <c r="B204" s="111"/>
      <c r="C204" s="66" t="s">
        <v>241</v>
      </c>
      <c r="D204" s="67">
        <v>1</v>
      </c>
      <c r="E204" s="68">
        <v>1.04482290252E-4</v>
      </c>
    </row>
    <row r="205" spans="2:5" s="83" customFormat="1" ht="14.5" customHeight="1">
      <c r="B205" s="111"/>
      <c r="C205" s="66" t="s">
        <v>243</v>
      </c>
      <c r="D205" s="67">
        <v>3</v>
      </c>
      <c r="E205" s="68">
        <v>3.13446870755E-4</v>
      </c>
    </row>
    <row r="206" spans="2:5" s="83" customFormat="1" ht="14.5" customHeight="1">
      <c r="B206" s="112"/>
      <c r="C206" s="36" t="s">
        <v>29</v>
      </c>
      <c r="D206" s="35">
        <v>109</v>
      </c>
      <c r="E206" s="34">
        <v>1.1388569637446E-2</v>
      </c>
    </row>
    <row r="207" spans="2:5" s="83" customFormat="1" ht="14.5" customHeight="1">
      <c r="B207" s="110" t="s">
        <v>81</v>
      </c>
      <c r="C207" s="66" t="s">
        <v>223</v>
      </c>
      <c r="D207" s="67">
        <v>2</v>
      </c>
      <c r="E207" s="68">
        <v>2.08964580504E-4</v>
      </c>
    </row>
    <row r="208" spans="2:5" s="83" customFormat="1" ht="14.5" customHeight="1">
      <c r="B208" s="111"/>
      <c r="C208" s="66" t="s">
        <v>224</v>
      </c>
      <c r="D208" s="67">
        <v>1</v>
      </c>
      <c r="E208" s="68">
        <v>1.04482290252E-4</v>
      </c>
    </row>
    <row r="209" spans="2:5" s="83" customFormat="1" ht="14.5" customHeight="1">
      <c r="B209" s="111"/>
      <c r="C209" s="66" t="s">
        <v>225</v>
      </c>
      <c r="D209" s="67">
        <v>5</v>
      </c>
      <c r="E209" s="68">
        <v>5.2241145125899997E-4</v>
      </c>
    </row>
    <row r="210" spans="2:5" s="83" customFormat="1" ht="14.5" customHeight="1">
      <c r="B210" s="111"/>
      <c r="C210" s="66" t="s">
        <v>226</v>
      </c>
      <c r="D210" s="67">
        <v>3</v>
      </c>
      <c r="E210" s="68">
        <v>3.13446870755E-4</v>
      </c>
    </row>
    <row r="211" spans="2:5" s="83" customFormat="1" ht="14.5" customHeight="1">
      <c r="B211" s="111"/>
      <c r="C211" s="66" t="s">
        <v>227</v>
      </c>
      <c r="D211" s="67">
        <v>1</v>
      </c>
      <c r="E211" s="68">
        <v>1.04482290252E-4</v>
      </c>
    </row>
    <row r="212" spans="2:5" s="83" customFormat="1" ht="14.5" customHeight="1">
      <c r="B212" s="111"/>
      <c r="C212" s="66" t="s">
        <v>228</v>
      </c>
      <c r="D212" s="67">
        <v>3</v>
      </c>
      <c r="E212" s="68">
        <v>3.13446870755E-4</v>
      </c>
    </row>
    <row r="213" spans="2:5" s="83" customFormat="1" ht="14.5" customHeight="1">
      <c r="B213" s="111"/>
      <c r="C213" s="66" t="s">
        <v>229</v>
      </c>
      <c r="D213" s="67">
        <v>10</v>
      </c>
      <c r="E213" s="68">
        <v>1.0448229025179999E-3</v>
      </c>
    </row>
    <row r="214" spans="2:5" s="83" customFormat="1" ht="14.5" customHeight="1">
      <c r="B214" s="111"/>
      <c r="C214" s="66" t="s">
        <v>230</v>
      </c>
      <c r="D214" s="67">
        <v>9</v>
      </c>
      <c r="E214" s="68">
        <v>9.4034061226599996E-4</v>
      </c>
    </row>
    <row r="215" spans="2:5" s="83" customFormat="1" ht="14.5" customHeight="1">
      <c r="B215" s="111"/>
      <c r="C215" s="66" t="s">
        <v>231</v>
      </c>
      <c r="D215" s="67">
        <v>2</v>
      </c>
      <c r="E215" s="68">
        <v>2.08964580504E-4</v>
      </c>
    </row>
    <row r="216" spans="2:5" s="83" customFormat="1" ht="14.5" customHeight="1">
      <c r="B216" s="111"/>
      <c r="C216" s="66" t="s">
        <v>232</v>
      </c>
      <c r="D216" s="67">
        <v>3</v>
      </c>
      <c r="E216" s="68">
        <v>3.13446870755E-4</v>
      </c>
    </row>
    <row r="217" spans="2:5" s="83" customFormat="1" ht="14.5" customHeight="1">
      <c r="B217" s="111"/>
      <c r="C217" s="66" t="s">
        <v>233</v>
      </c>
      <c r="D217" s="67">
        <v>5</v>
      </c>
      <c r="E217" s="68">
        <v>5.2241145125899997E-4</v>
      </c>
    </row>
    <row r="218" spans="2:5" s="83" customFormat="1" ht="14.5" customHeight="1">
      <c r="B218" s="111"/>
      <c r="C218" s="66" t="s">
        <v>234</v>
      </c>
      <c r="D218" s="67">
        <v>21</v>
      </c>
      <c r="E218" s="68">
        <v>2.1941280952880002E-3</v>
      </c>
    </row>
    <row r="219" spans="2:5" s="83" customFormat="1" ht="14.5" customHeight="1">
      <c r="B219" s="111"/>
      <c r="C219" s="66" t="s">
        <v>236</v>
      </c>
      <c r="D219" s="67">
        <v>2</v>
      </c>
      <c r="E219" s="68">
        <v>2.08964580504E-4</v>
      </c>
    </row>
    <row r="220" spans="2:5" s="83" customFormat="1" ht="14.5" customHeight="1">
      <c r="B220" s="111"/>
      <c r="C220" s="66" t="s">
        <v>237</v>
      </c>
      <c r="D220" s="67">
        <v>6</v>
      </c>
      <c r="E220" s="68">
        <v>6.2689374151099996E-4</v>
      </c>
    </row>
    <row r="221" spans="2:5" s="83" customFormat="1" ht="14.5" customHeight="1">
      <c r="B221" s="111"/>
      <c r="C221" s="66" t="s">
        <v>238</v>
      </c>
      <c r="D221" s="67">
        <v>1</v>
      </c>
      <c r="E221" s="68">
        <v>1.04482290252E-4</v>
      </c>
    </row>
    <row r="222" spans="2:5" s="83" customFormat="1" ht="14.5" customHeight="1">
      <c r="B222" s="111"/>
      <c r="C222" s="66" t="s">
        <v>243</v>
      </c>
      <c r="D222" s="67">
        <v>2</v>
      </c>
      <c r="E222" s="68">
        <v>2.08964580504E-4</v>
      </c>
    </row>
    <row r="223" spans="2:5" s="83" customFormat="1" ht="14.5" customHeight="1">
      <c r="B223" s="112"/>
      <c r="C223" s="36" t="s">
        <v>29</v>
      </c>
      <c r="D223" s="35">
        <v>76</v>
      </c>
      <c r="E223" s="34">
        <v>7.9406540591369992E-3</v>
      </c>
    </row>
    <row r="224" spans="2:5" s="83" customFormat="1" ht="14.5" customHeight="1">
      <c r="B224" s="110" t="s">
        <v>51</v>
      </c>
      <c r="C224" s="66" t="s">
        <v>223</v>
      </c>
      <c r="D224" s="67">
        <v>11</v>
      </c>
      <c r="E224" s="68">
        <v>1.14930519277E-3</v>
      </c>
    </row>
    <row r="225" spans="2:5" s="83" customFormat="1" ht="14.5" customHeight="1">
      <c r="B225" s="111"/>
      <c r="C225" s="66" t="s">
        <v>224</v>
      </c>
      <c r="D225" s="67">
        <v>3</v>
      </c>
      <c r="E225" s="68">
        <v>3.13446870755E-4</v>
      </c>
    </row>
    <row r="226" spans="2:5" s="83" customFormat="1" ht="14.5" customHeight="1">
      <c r="B226" s="111"/>
      <c r="C226" s="66" t="s">
        <v>225</v>
      </c>
      <c r="D226" s="67">
        <v>1</v>
      </c>
      <c r="E226" s="68">
        <v>1.04482290252E-4</v>
      </c>
    </row>
    <row r="227" spans="2:5" s="83" customFormat="1" ht="14.5" customHeight="1">
      <c r="B227" s="111"/>
      <c r="C227" s="66" t="s">
        <v>226</v>
      </c>
      <c r="D227" s="67">
        <v>11</v>
      </c>
      <c r="E227" s="68">
        <v>1.14930519277E-3</v>
      </c>
    </row>
    <row r="228" spans="2:5" s="83" customFormat="1" ht="14.5" customHeight="1">
      <c r="B228" s="111"/>
      <c r="C228" s="66" t="s">
        <v>227</v>
      </c>
      <c r="D228" s="67">
        <v>16</v>
      </c>
      <c r="E228" s="68">
        <v>1.671716644029E-3</v>
      </c>
    </row>
    <row r="229" spans="2:5" s="83" customFormat="1" ht="14.5" customHeight="1">
      <c r="B229" s="111"/>
      <c r="C229" s="66" t="s">
        <v>228</v>
      </c>
      <c r="D229" s="67">
        <v>15</v>
      </c>
      <c r="E229" s="68">
        <v>1.5672343537769999E-3</v>
      </c>
    </row>
    <row r="230" spans="2:5" s="83" customFormat="1" ht="14.5" customHeight="1">
      <c r="B230" s="111"/>
      <c r="C230" s="66" t="s">
        <v>229</v>
      </c>
      <c r="D230" s="67">
        <v>86</v>
      </c>
      <c r="E230" s="68">
        <v>8.9854769616549996E-3</v>
      </c>
    </row>
    <row r="231" spans="2:5" s="83" customFormat="1" ht="14.5" customHeight="1">
      <c r="B231" s="111"/>
      <c r="C231" s="66" t="s">
        <v>230</v>
      </c>
      <c r="D231" s="67">
        <v>142</v>
      </c>
      <c r="E231" s="68">
        <v>1.4836485215756E-2</v>
      </c>
    </row>
    <row r="232" spans="2:5" s="83" customFormat="1" ht="14.5" customHeight="1">
      <c r="B232" s="111"/>
      <c r="C232" s="66" t="s">
        <v>231</v>
      </c>
      <c r="D232" s="67">
        <v>7</v>
      </c>
      <c r="E232" s="68">
        <v>7.3137603176300005E-4</v>
      </c>
    </row>
    <row r="233" spans="2:5" s="83" customFormat="1" ht="14.5" customHeight="1">
      <c r="B233" s="111"/>
      <c r="C233" s="66" t="s">
        <v>232</v>
      </c>
      <c r="D233" s="67">
        <v>18</v>
      </c>
      <c r="E233" s="68">
        <v>1.8806812245319999E-3</v>
      </c>
    </row>
    <row r="234" spans="2:5" s="83" customFormat="1" ht="14.5" customHeight="1">
      <c r="B234" s="111"/>
      <c r="C234" s="66" t="s">
        <v>233</v>
      </c>
      <c r="D234" s="67">
        <v>57</v>
      </c>
      <c r="E234" s="68">
        <v>5.9554905443530001E-3</v>
      </c>
    </row>
    <row r="235" spans="2:5" s="83" customFormat="1" ht="14.5" customHeight="1">
      <c r="B235" s="111"/>
      <c r="C235" s="66" t="s">
        <v>234</v>
      </c>
      <c r="D235" s="67">
        <v>307</v>
      </c>
      <c r="E235" s="68">
        <v>3.2076063107303002E-2</v>
      </c>
    </row>
    <row r="236" spans="2:5" s="83" customFormat="1" ht="14.5" customHeight="1">
      <c r="B236" s="111"/>
      <c r="C236" s="66" t="s">
        <v>235</v>
      </c>
      <c r="D236" s="67">
        <v>5</v>
      </c>
      <c r="E236" s="68">
        <v>5.2241145125899997E-4</v>
      </c>
    </row>
    <row r="237" spans="2:5" s="83" customFormat="1" ht="14.5" customHeight="1">
      <c r="B237" s="111"/>
      <c r="C237" s="66" t="s">
        <v>236</v>
      </c>
      <c r="D237" s="67">
        <v>49</v>
      </c>
      <c r="E237" s="68">
        <v>5.1196322223380003E-3</v>
      </c>
    </row>
    <row r="238" spans="2:5" s="83" customFormat="1" ht="14.5" customHeight="1">
      <c r="B238" s="111"/>
      <c r="C238" s="66" t="s">
        <v>237</v>
      </c>
      <c r="D238" s="67">
        <v>147</v>
      </c>
      <c r="E238" s="68">
        <v>1.5358896667014999E-2</v>
      </c>
    </row>
    <row r="239" spans="2:5" s="83" customFormat="1" ht="14.5" customHeight="1">
      <c r="B239" s="111"/>
      <c r="C239" s="66" t="s">
        <v>240</v>
      </c>
      <c r="D239" s="67">
        <v>1</v>
      </c>
      <c r="E239" s="68">
        <v>1.04482290252E-4</v>
      </c>
    </row>
    <row r="240" spans="2:5" s="83" customFormat="1" ht="14.5" customHeight="1">
      <c r="B240" s="111"/>
      <c r="C240" s="66" t="s">
        <v>241</v>
      </c>
      <c r="D240" s="67">
        <v>2</v>
      </c>
      <c r="E240" s="68">
        <v>2.08964580504E-4</v>
      </c>
    </row>
    <row r="241" spans="2:5" s="83" customFormat="1" ht="14.5" customHeight="1">
      <c r="B241" s="111"/>
      <c r="C241" s="66" t="s">
        <v>242</v>
      </c>
      <c r="D241" s="67">
        <v>3</v>
      </c>
      <c r="E241" s="68">
        <v>3.13446870755E-4</v>
      </c>
    </row>
    <row r="242" spans="2:5" s="83" customFormat="1" ht="14.5" customHeight="1">
      <c r="B242" s="111"/>
      <c r="C242" s="66" t="s">
        <v>243</v>
      </c>
      <c r="D242" s="67">
        <v>14</v>
      </c>
      <c r="E242" s="68">
        <v>1.462752063525E-3</v>
      </c>
    </row>
    <row r="243" spans="2:5" s="83" customFormat="1" ht="14.5" customHeight="1">
      <c r="B243" s="111"/>
      <c r="C243" s="66" t="s">
        <v>245</v>
      </c>
      <c r="D243" s="67">
        <v>2</v>
      </c>
      <c r="E243" s="68">
        <v>2.08964580504E-4</v>
      </c>
    </row>
    <row r="244" spans="2:5" s="83" customFormat="1" ht="14.5" customHeight="1">
      <c r="B244" s="112"/>
      <c r="C244" s="36" t="s">
        <v>29</v>
      </c>
      <c r="D244" s="35">
        <v>897</v>
      </c>
      <c r="E244" s="34">
        <v>9.3720614355866996E-2</v>
      </c>
    </row>
    <row r="245" spans="2:5" s="83" customFormat="1" ht="14.5" customHeight="1">
      <c r="B245" s="110" t="s">
        <v>68</v>
      </c>
      <c r="C245" s="66" t="s">
        <v>223</v>
      </c>
      <c r="D245" s="67">
        <v>1</v>
      </c>
      <c r="E245" s="68">
        <v>1.04482290252E-4</v>
      </c>
    </row>
    <row r="246" spans="2:5" s="83" customFormat="1" ht="14.5" customHeight="1">
      <c r="B246" s="111"/>
      <c r="C246" s="66" t="s">
        <v>226</v>
      </c>
      <c r="D246" s="67">
        <v>3</v>
      </c>
      <c r="E246" s="68">
        <v>3.13446870755E-4</v>
      </c>
    </row>
    <row r="247" spans="2:5" s="83" customFormat="1" ht="14.5" customHeight="1">
      <c r="B247" s="111"/>
      <c r="C247" s="66" t="s">
        <v>227</v>
      </c>
      <c r="D247" s="67">
        <v>3</v>
      </c>
      <c r="E247" s="68">
        <v>3.13446870755E-4</v>
      </c>
    </row>
    <row r="248" spans="2:5" s="83" customFormat="1" ht="14.5" customHeight="1">
      <c r="B248" s="111"/>
      <c r="C248" s="66" t="s">
        <v>228</v>
      </c>
      <c r="D248" s="67">
        <v>1</v>
      </c>
      <c r="E248" s="68">
        <v>1.04482290252E-4</v>
      </c>
    </row>
    <row r="249" spans="2:5" s="83" customFormat="1" ht="14.5" customHeight="1">
      <c r="B249" s="111"/>
      <c r="C249" s="66" t="s">
        <v>229</v>
      </c>
      <c r="D249" s="67">
        <v>10</v>
      </c>
      <c r="E249" s="68">
        <v>1.0448229025179999E-3</v>
      </c>
    </row>
    <row r="250" spans="2:5" s="83" customFormat="1" ht="14.5" customHeight="1">
      <c r="B250" s="111"/>
      <c r="C250" s="66" t="s">
        <v>230</v>
      </c>
      <c r="D250" s="67">
        <v>21</v>
      </c>
      <c r="E250" s="68">
        <v>2.1941280952880002E-3</v>
      </c>
    </row>
    <row r="251" spans="2:5" s="83" customFormat="1" ht="14.5" customHeight="1">
      <c r="B251" s="111"/>
      <c r="C251" s="66" t="s">
        <v>232</v>
      </c>
      <c r="D251" s="67">
        <v>2</v>
      </c>
      <c r="E251" s="68">
        <v>2.08964580504E-4</v>
      </c>
    </row>
    <row r="252" spans="2:5" s="83" customFormat="1" ht="14.5" customHeight="1">
      <c r="B252" s="111"/>
      <c r="C252" s="66" t="s">
        <v>233</v>
      </c>
      <c r="D252" s="67">
        <v>12</v>
      </c>
      <c r="E252" s="68">
        <v>1.2537874830219999E-3</v>
      </c>
    </row>
    <row r="253" spans="2:5" s="83" customFormat="1" ht="14.5" customHeight="1">
      <c r="B253" s="111"/>
      <c r="C253" s="66" t="s">
        <v>234</v>
      </c>
      <c r="D253" s="67">
        <v>44</v>
      </c>
      <c r="E253" s="68">
        <v>4.5972207710790001E-3</v>
      </c>
    </row>
    <row r="254" spans="2:5" s="83" customFormat="1" ht="14.5" customHeight="1">
      <c r="B254" s="111"/>
      <c r="C254" s="66" t="s">
        <v>235</v>
      </c>
      <c r="D254" s="67">
        <v>1</v>
      </c>
      <c r="E254" s="68">
        <v>1.04482290252E-4</v>
      </c>
    </row>
    <row r="255" spans="2:5" s="83" customFormat="1" ht="14.5" customHeight="1">
      <c r="B255" s="111"/>
      <c r="C255" s="66" t="s">
        <v>236</v>
      </c>
      <c r="D255" s="67">
        <v>8</v>
      </c>
      <c r="E255" s="68">
        <v>8.3585832201399997E-4</v>
      </c>
    </row>
    <row r="256" spans="2:5" s="83" customFormat="1" ht="14.5" customHeight="1">
      <c r="B256" s="111"/>
      <c r="C256" s="66" t="s">
        <v>237</v>
      </c>
      <c r="D256" s="67">
        <v>18</v>
      </c>
      <c r="E256" s="68">
        <v>1.8806812245319999E-3</v>
      </c>
    </row>
    <row r="257" spans="2:5" s="83" customFormat="1" ht="14.5" customHeight="1">
      <c r="B257" s="111"/>
      <c r="C257" s="66" t="s">
        <v>242</v>
      </c>
      <c r="D257" s="67">
        <v>1</v>
      </c>
      <c r="E257" s="68">
        <v>1.04482290252E-4</v>
      </c>
    </row>
    <row r="258" spans="2:5" s="83" customFormat="1" ht="14.5" customHeight="1">
      <c r="B258" s="112"/>
      <c r="C258" s="36" t="s">
        <v>29</v>
      </c>
      <c r="D258" s="35">
        <v>125</v>
      </c>
      <c r="E258" s="34">
        <v>1.3060286281475E-2</v>
      </c>
    </row>
    <row r="259" spans="2:5" s="83" customFormat="1" ht="14.5" customHeight="1">
      <c r="B259" s="110" t="s">
        <v>70</v>
      </c>
      <c r="C259" s="66" t="s">
        <v>226</v>
      </c>
      <c r="D259" s="67">
        <v>2</v>
      </c>
      <c r="E259" s="68">
        <v>2.08964580504E-4</v>
      </c>
    </row>
    <row r="260" spans="2:5" s="83" customFormat="1" ht="14.5" customHeight="1">
      <c r="B260" s="111"/>
      <c r="C260" s="66" t="s">
        <v>229</v>
      </c>
      <c r="D260" s="67">
        <v>5</v>
      </c>
      <c r="E260" s="68">
        <v>5.2241145125899997E-4</v>
      </c>
    </row>
    <row r="261" spans="2:5" s="83" customFormat="1" ht="14.5" customHeight="1">
      <c r="B261" s="111"/>
      <c r="C261" s="66" t="s">
        <v>230</v>
      </c>
      <c r="D261" s="67">
        <v>17</v>
      </c>
      <c r="E261" s="68">
        <v>1.7761989342810001E-3</v>
      </c>
    </row>
    <row r="262" spans="2:5" s="83" customFormat="1" ht="14.5" customHeight="1">
      <c r="B262" s="111"/>
      <c r="C262" s="66" t="s">
        <v>231</v>
      </c>
      <c r="D262" s="67">
        <v>3</v>
      </c>
      <c r="E262" s="68">
        <v>3.13446870755E-4</v>
      </c>
    </row>
    <row r="263" spans="2:5" s="83" customFormat="1" ht="14.5" customHeight="1">
      <c r="B263" s="111"/>
      <c r="C263" s="66" t="s">
        <v>232</v>
      </c>
      <c r="D263" s="67">
        <v>4</v>
      </c>
      <c r="E263" s="68">
        <v>4.1792916100699999E-4</v>
      </c>
    </row>
    <row r="264" spans="2:5" s="83" customFormat="1" ht="14.5" customHeight="1">
      <c r="B264" s="111"/>
      <c r="C264" s="66" t="s">
        <v>233</v>
      </c>
      <c r="D264" s="67">
        <v>9</v>
      </c>
      <c r="E264" s="68">
        <v>9.4034061226599996E-4</v>
      </c>
    </row>
    <row r="265" spans="2:5" s="83" customFormat="1" ht="14.5" customHeight="1">
      <c r="B265" s="111"/>
      <c r="C265" s="66" t="s">
        <v>234</v>
      </c>
      <c r="D265" s="67">
        <v>41</v>
      </c>
      <c r="E265" s="68">
        <v>4.2837739003239996E-3</v>
      </c>
    </row>
    <row r="266" spans="2:5" s="83" customFormat="1" ht="14.5" customHeight="1">
      <c r="B266" s="111"/>
      <c r="C266" s="66" t="s">
        <v>235</v>
      </c>
      <c r="D266" s="67">
        <v>1</v>
      </c>
      <c r="E266" s="68">
        <v>1.04482290252E-4</v>
      </c>
    </row>
    <row r="267" spans="2:5" s="83" customFormat="1" ht="14.5" customHeight="1">
      <c r="B267" s="111"/>
      <c r="C267" s="66" t="s">
        <v>236</v>
      </c>
      <c r="D267" s="67">
        <v>8</v>
      </c>
      <c r="E267" s="68">
        <v>8.3585832201399997E-4</v>
      </c>
    </row>
    <row r="268" spans="2:5" s="83" customFormat="1" ht="14.5" customHeight="1">
      <c r="B268" s="111"/>
      <c r="C268" s="66" t="s">
        <v>237</v>
      </c>
      <c r="D268" s="67">
        <v>16</v>
      </c>
      <c r="E268" s="68">
        <v>1.671716644029E-3</v>
      </c>
    </row>
    <row r="269" spans="2:5" s="83" customFormat="1" ht="14.5" customHeight="1">
      <c r="B269" s="111"/>
      <c r="C269" s="66" t="s">
        <v>242</v>
      </c>
      <c r="D269" s="67">
        <v>3</v>
      </c>
      <c r="E269" s="68">
        <v>3.13446870755E-4</v>
      </c>
    </row>
    <row r="270" spans="2:5" s="83" customFormat="1" ht="14.5" customHeight="1">
      <c r="B270" s="111"/>
      <c r="C270" s="66" t="s">
        <v>243</v>
      </c>
      <c r="D270" s="67">
        <v>5</v>
      </c>
      <c r="E270" s="68">
        <v>5.2241145125899997E-4</v>
      </c>
    </row>
    <row r="271" spans="2:5" s="83" customFormat="1" ht="14.5" customHeight="1">
      <c r="B271" s="112"/>
      <c r="C271" s="36" t="s">
        <v>29</v>
      </c>
      <c r="D271" s="35">
        <v>114</v>
      </c>
      <c r="E271" s="34">
        <v>1.1910981088704999E-2</v>
      </c>
    </row>
    <row r="272" spans="2:5" s="83" customFormat="1" ht="14.5" customHeight="1">
      <c r="B272" s="110" t="s">
        <v>93</v>
      </c>
      <c r="C272" s="66" t="s">
        <v>229</v>
      </c>
      <c r="D272" s="67">
        <v>2</v>
      </c>
      <c r="E272" s="68">
        <v>2.08964580504E-4</v>
      </c>
    </row>
    <row r="273" spans="2:5" s="83" customFormat="1" ht="14.5" customHeight="1">
      <c r="B273" s="111"/>
      <c r="C273" s="66" t="s">
        <v>230</v>
      </c>
      <c r="D273" s="67">
        <v>1</v>
      </c>
      <c r="E273" s="68">
        <v>1.04482290252E-4</v>
      </c>
    </row>
    <row r="274" spans="2:5" s="83" customFormat="1" ht="14.5" customHeight="1">
      <c r="B274" s="111"/>
      <c r="C274" s="66" t="s">
        <v>231</v>
      </c>
      <c r="D274" s="67">
        <v>2</v>
      </c>
      <c r="E274" s="68">
        <v>2.08964580504E-4</v>
      </c>
    </row>
    <row r="275" spans="2:5" s="83" customFormat="1" ht="14.5" customHeight="1">
      <c r="B275" s="111"/>
      <c r="C275" s="66" t="s">
        <v>233</v>
      </c>
      <c r="D275" s="67">
        <v>1</v>
      </c>
      <c r="E275" s="68">
        <v>1.04482290252E-4</v>
      </c>
    </row>
    <row r="276" spans="2:5" s="83" customFormat="1" ht="14.5" customHeight="1">
      <c r="B276" s="111"/>
      <c r="C276" s="66" t="s">
        <v>234</v>
      </c>
      <c r="D276" s="67">
        <v>2</v>
      </c>
      <c r="E276" s="68">
        <v>2.08964580504E-4</v>
      </c>
    </row>
    <row r="277" spans="2:5" s="83" customFormat="1" ht="14.5" customHeight="1">
      <c r="B277" s="111"/>
      <c r="C277" s="66" t="s">
        <v>237</v>
      </c>
      <c r="D277" s="67">
        <v>4</v>
      </c>
      <c r="E277" s="68">
        <v>4.1792916100699999E-4</v>
      </c>
    </row>
    <row r="278" spans="2:5" s="83" customFormat="1" ht="14.5" customHeight="1">
      <c r="B278" s="111"/>
      <c r="C278" s="66" t="s">
        <v>242</v>
      </c>
      <c r="D278" s="67">
        <v>1</v>
      </c>
      <c r="E278" s="68">
        <v>1.04482290252E-4</v>
      </c>
    </row>
    <row r="279" spans="2:5" s="83" customFormat="1" ht="14.5" customHeight="1">
      <c r="B279" s="111"/>
      <c r="C279" s="66" t="s">
        <v>243</v>
      </c>
      <c r="D279" s="67">
        <v>2</v>
      </c>
      <c r="E279" s="68">
        <v>2.08964580504E-4</v>
      </c>
    </row>
    <row r="280" spans="2:5" s="83" customFormat="1" ht="14.5" customHeight="1">
      <c r="B280" s="111"/>
      <c r="C280" s="66" t="s">
        <v>245</v>
      </c>
      <c r="D280" s="67">
        <v>1</v>
      </c>
      <c r="E280" s="68">
        <v>1.04482290252E-4</v>
      </c>
    </row>
    <row r="281" spans="2:5" s="83" customFormat="1" ht="14.5" customHeight="1">
      <c r="B281" s="112"/>
      <c r="C281" s="36" t="s">
        <v>29</v>
      </c>
      <c r="D281" s="35">
        <v>16</v>
      </c>
      <c r="E281" s="34">
        <v>1.671716644029E-3</v>
      </c>
    </row>
    <row r="282" spans="2:5" s="83" customFormat="1" ht="14.5" customHeight="1">
      <c r="B282" s="110" t="s">
        <v>65</v>
      </c>
      <c r="C282" s="66" t="s">
        <v>226</v>
      </c>
      <c r="D282" s="67">
        <v>2</v>
      </c>
      <c r="E282" s="68">
        <v>2.08964580504E-4</v>
      </c>
    </row>
    <row r="283" spans="2:5" s="83" customFormat="1" ht="14.5" customHeight="1">
      <c r="B283" s="111"/>
      <c r="C283" s="66" t="s">
        <v>227</v>
      </c>
      <c r="D283" s="67">
        <v>1</v>
      </c>
      <c r="E283" s="68">
        <v>1.04482290252E-4</v>
      </c>
    </row>
    <row r="284" spans="2:5" s="83" customFormat="1" ht="14.5" customHeight="1">
      <c r="B284" s="111"/>
      <c r="C284" s="66" t="s">
        <v>228</v>
      </c>
      <c r="D284" s="67">
        <v>2</v>
      </c>
      <c r="E284" s="68">
        <v>2.08964580504E-4</v>
      </c>
    </row>
    <row r="285" spans="2:5" s="83" customFormat="1" ht="14.5" customHeight="1">
      <c r="B285" s="111"/>
      <c r="C285" s="66" t="s">
        <v>229</v>
      </c>
      <c r="D285" s="67">
        <v>19</v>
      </c>
      <c r="E285" s="68">
        <v>1.985163514784E-3</v>
      </c>
    </row>
    <row r="286" spans="2:5" s="83" customFormat="1" ht="14.5" customHeight="1">
      <c r="B286" s="111"/>
      <c r="C286" s="66" t="s">
        <v>230</v>
      </c>
      <c r="D286" s="67">
        <v>21</v>
      </c>
      <c r="E286" s="68">
        <v>2.1941280952880002E-3</v>
      </c>
    </row>
    <row r="287" spans="2:5" s="83" customFormat="1" ht="14.5" customHeight="1">
      <c r="B287" s="111"/>
      <c r="C287" s="66" t="s">
        <v>231</v>
      </c>
      <c r="D287" s="67">
        <v>1</v>
      </c>
      <c r="E287" s="68">
        <v>1.04482290252E-4</v>
      </c>
    </row>
    <row r="288" spans="2:5" s="83" customFormat="1" ht="14.5" customHeight="1">
      <c r="B288" s="111"/>
      <c r="C288" s="66" t="s">
        <v>232</v>
      </c>
      <c r="D288" s="67">
        <v>3</v>
      </c>
      <c r="E288" s="68">
        <v>3.13446870755E-4</v>
      </c>
    </row>
    <row r="289" spans="2:5" s="83" customFormat="1" ht="14.5" customHeight="1">
      <c r="B289" s="111"/>
      <c r="C289" s="66" t="s">
        <v>233</v>
      </c>
      <c r="D289" s="67">
        <v>11</v>
      </c>
      <c r="E289" s="68">
        <v>1.14930519277E-3</v>
      </c>
    </row>
    <row r="290" spans="2:5" s="83" customFormat="1" ht="14.5" customHeight="1">
      <c r="B290" s="111"/>
      <c r="C290" s="66" t="s">
        <v>234</v>
      </c>
      <c r="D290" s="67">
        <v>52</v>
      </c>
      <c r="E290" s="68">
        <v>5.4330790930939999E-3</v>
      </c>
    </row>
    <row r="291" spans="2:5" s="83" customFormat="1" ht="14.5" customHeight="1">
      <c r="B291" s="111"/>
      <c r="C291" s="66" t="s">
        <v>236</v>
      </c>
      <c r="D291" s="67">
        <v>2</v>
      </c>
      <c r="E291" s="68">
        <v>2.08964580504E-4</v>
      </c>
    </row>
    <row r="292" spans="2:5" s="83" customFormat="1" ht="14.5" customHeight="1">
      <c r="B292" s="111"/>
      <c r="C292" s="66" t="s">
        <v>237</v>
      </c>
      <c r="D292" s="67">
        <v>32</v>
      </c>
      <c r="E292" s="68">
        <v>3.343433288058E-3</v>
      </c>
    </row>
    <row r="293" spans="2:5" s="83" customFormat="1" ht="14.5" customHeight="1">
      <c r="B293" s="111"/>
      <c r="C293" s="66" t="s">
        <v>239</v>
      </c>
      <c r="D293" s="67">
        <v>1</v>
      </c>
      <c r="E293" s="68">
        <v>1.04482290252E-4</v>
      </c>
    </row>
    <row r="294" spans="2:5" s="83" customFormat="1" ht="14.5" customHeight="1">
      <c r="B294" s="111"/>
      <c r="C294" s="66" t="s">
        <v>243</v>
      </c>
      <c r="D294" s="67">
        <v>1</v>
      </c>
      <c r="E294" s="68">
        <v>1.04482290252E-4</v>
      </c>
    </row>
    <row r="295" spans="2:5" s="83" customFormat="1" ht="14.5" customHeight="1">
      <c r="B295" s="112"/>
      <c r="C295" s="36" t="s">
        <v>29</v>
      </c>
      <c r="D295" s="35">
        <v>148</v>
      </c>
      <c r="E295" s="34">
        <v>1.5463378957267E-2</v>
      </c>
    </row>
    <row r="296" spans="2:5" s="83" customFormat="1" ht="14.5" customHeight="1">
      <c r="B296" s="110" t="s">
        <v>56</v>
      </c>
      <c r="C296" s="66" t="s">
        <v>223</v>
      </c>
      <c r="D296" s="67">
        <v>4</v>
      </c>
      <c r="E296" s="68">
        <v>4.1792916100699999E-4</v>
      </c>
    </row>
    <row r="297" spans="2:5" s="83" customFormat="1" ht="14.5" customHeight="1">
      <c r="B297" s="111"/>
      <c r="C297" s="66" t="s">
        <v>224</v>
      </c>
      <c r="D297" s="67">
        <v>2</v>
      </c>
      <c r="E297" s="68">
        <v>2.08964580504E-4</v>
      </c>
    </row>
    <row r="298" spans="2:5" s="83" customFormat="1" ht="14.5" customHeight="1">
      <c r="B298" s="111"/>
      <c r="C298" s="66" t="s">
        <v>225</v>
      </c>
      <c r="D298" s="67">
        <v>1</v>
      </c>
      <c r="E298" s="68">
        <v>1.04482290252E-4</v>
      </c>
    </row>
    <row r="299" spans="2:5" s="83" customFormat="1" ht="14.5" customHeight="1">
      <c r="B299" s="111"/>
      <c r="C299" s="66" t="s">
        <v>226</v>
      </c>
      <c r="D299" s="67">
        <v>8</v>
      </c>
      <c r="E299" s="68">
        <v>8.3585832201399997E-4</v>
      </c>
    </row>
    <row r="300" spans="2:5" s="83" customFormat="1" ht="14.5" customHeight="1">
      <c r="B300" s="111"/>
      <c r="C300" s="66" t="s">
        <v>227</v>
      </c>
      <c r="D300" s="67">
        <v>2</v>
      </c>
      <c r="E300" s="68">
        <v>2.08964580504E-4</v>
      </c>
    </row>
    <row r="301" spans="2:5" s="83" customFormat="1" ht="14.5" customHeight="1">
      <c r="B301" s="111"/>
      <c r="C301" s="66" t="s">
        <v>228</v>
      </c>
      <c r="D301" s="67">
        <v>5</v>
      </c>
      <c r="E301" s="68">
        <v>5.2241145125899997E-4</v>
      </c>
    </row>
    <row r="302" spans="2:5" s="83" customFormat="1" ht="14.5" customHeight="1">
      <c r="B302" s="111"/>
      <c r="C302" s="66" t="s">
        <v>229</v>
      </c>
      <c r="D302" s="67">
        <v>41</v>
      </c>
      <c r="E302" s="68">
        <v>4.2837739003239996E-3</v>
      </c>
    </row>
    <row r="303" spans="2:5" s="83" customFormat="1" ht="14.5" customHeight="1">
      <c r="B303" s="111"/>
      <c r="C303" s="66" t="s">
        <v>230</v>
      </c>
      <c r="D303" s="67">
        <v>75</v>
      </c>
      <c r="E303" s="68">
        <v>7.8361717688850002E-3</v>
      </c>
    </row>
    <row r="304" spans="2:5" s="83" customFormat="1" ht="14.5" customHeight="1">
      <c r="B304" s="111"/>
      <c r="C304" s="66" t="s">
        <v>231</v>
      </c>
      <c r="D304" s="67">
        <v>4</v>
      </c>
      <c r="E304" s="68">
        <v>4.1792916100699999E-4</v>
      </c>
    </row>
    <row r="305" spans="2:5" s="83" customFormat="1" ht="14.5" customHeight="1">
      <c r="B305" s="111"/>
      <c r="C305" s="66" t="s">
        <v>232</v>
      </c>
      <c r="D305" s="67">
        <v>7</v>
      </c>
      <c r="E305" s="68">
        <v>7.3137603176300005E-4</v>
      </c>
    </row>
    <row r="306" spans="2:5" s="83" customFormat="1" ht="14.5" customHeight="1">
      <c r="B306" s="111"/>
      <c r="C306" s="66" t="s">
        <v>233</v>
      </c>
      <c r="D306" s="67">
        <v>26</v>
      </c>
      <c r="E306" s="68">
        <v>2.716539546547E-3</v>
      </c>
    </row>
    <row r="307" spans="2:5" s="83" customFormat="1" ht="14.5" customHeight="1">
      <c r="B307" s="111"/>
      <c r="C307" s="66" t="s">
        <v>234</v>
      </c>
      <c r="D307" s="67">
        <v>123</v>
      </c>
      <c r="E307" s="68">
        <v>1.2851321700972E-2</v>
      </c>
    </row>
    <row r="308" spans="2:5" s="83" customFormat="1" ht="14.5" customHeight="1">
      <c r="B308" s="111"/>
      <c r="C308" s="66" t="s">
        <v>235</v>
      </c>
      <c r="D308" s="67">
        <v>1</v>
      </c>
      <c r="E308" s="68">
        <v>1.04482290252E-4</v>
      </c>
    </row>
    <row r="309" spans="2:5" s="83" customFormat="1" ht="14.5" customHeight="1">
      <c r="B309" s="111"/>
      <c r="C309" s="66" t="s">
        <v>236</v>
      </c>
      <c r="D309" s="67">
        <v>10</v>
      </c>
      <c r="E309" s="68">
        <v>1.0448229025179999E-3</v>
      </c>
    </row>
    <row r="310" spans="2:5" s="83" customFormat="1" ht="14.5" customHeight="1">
      <c r="B310" s="111"/>
      <c r="C310" s="66" t="s">
        <v>237</v>
      </c>
      <c r="D310" s="67">
        <v>63</v>
      </c>
      <c r="E310" s="68">
        <v>6.5823842858640002E-3</v>
      </c>
    </row>
    <row r="311" spans="2:5" s="83" customFormat="1" ht="14.5" customHeight="1">
      <c r="B311" s="111"/>
      <c r="C311" s="66" t="s">
        <v>239</v>
      </c>
      <c r="D311" s="67">
        <v>2</v>
      </c>
      <c r="E311" s="68">
        <v>2.08964580504E-4</v>
      </c>
    </row>
    <row r="312" spans="2:5" s="83" customFormat="1" ht="14.5" customHeight="1">
      <c r="B312" s="111"/>
      <c r="C312" s="66" t="s">
        <v>240</v>
      </c>
      <c r="D312" s="67">
        <v>1</v>
      </c>
      <c r="E312" s="68">
        <v>1.04482290252E-4</v>
      </c>
    </row>
    <row r="313" spans="2:5" s="83" customFormat="1" ht="14.5" customHeight="1">
      <c r="B313" s="111"/>
      <c r="C313" s="66" t="s">
        <v>242</v>
      </c>
      <c r="D313" s="67">
        <v>1</v>
      </c>
      <c r="E313" s="68">
        <v>1.04482290252E-4</v>
      </c>
    </row>
    <row r="314" spans="2:5" s="83" customFormat="1" ht="14.5" customHeight="1">
      <c r="B314" s="111"/>
      <c r="C314" s="66" t="s">
        <v>243</v>
      </c>
      <c r="D314" s="67">
        <v>3</v>
      </c>
      <c r="E314" s="68">
        <v>3.13446870755E-4</v>
      </c>
    </row>
    <row r="315" spans="2:5" s="83" customFormat="1" ht="14.5" customHeight="1">
      <c r="B315" s="112"/>
      <c r="C315" s="36" t="s">
        <v>29</v>
      </c>
      <c r="D315" s="35">
        <v>379</v>
      </c>
      <c r="E315" s="34">
        <v>3.9598788005432997E-2</v>
      </c>
    </row>
    <row r="316" spans="2:5" s="83" customFormat="1" ht="14.5" customHeight="1">
      <c r="B316" s="110" t="s">
        <v>57</v>
      </c>
      <c r="C316" s="66" t="s">
        <v>223</v>
      </c>
      <c r="D316" s="67">
        <v>4</v>
      </c>
      <c r="E316" s="68">
        <v>4.1792916100699999E-4</v>
      </c>
    </row>
    <row r="317" spans="2:5" s="83" customFormat="1" ht="14.5" customHeight="1">
      <c r="B317" s="111"/>
      <c r="C317" s="66" t="s">
        <v>224</v>
      </c>
      <c r="D317" s="67">
        <v>3</v>
      </c>
      <c r="E317" s="68">
        <v>3.13446870755E-4</v>
      </c>
    </row>
    <row r="318" spans="2:5" s="83" customFormat="1" ht="14.5" customHeight="1">
      <c r="B318" s="111"/>
      <c r="C318" s="66" t="s">
        <v>225</v>
      </c>
      <c r="D318" s="67">
        <v>5</v>
      </c>
      <c r="E318" s="68">
        <v>5.2241145125899997E-4</v>
      </c>
    </row>
    <row r="319" spans="2:5" s="83" customFormat="1" ht="14.5" customHeight="1">
      <c r="B319" s="111"/>
      <c r="C319" s="66" t="s">
        <v>226</v>
      </c>
      <c r="D319" s="67">
        <v>4</v>
      </c>
      <c r="E319" s="68">
        <v>4.1792916100699999E-4</v>
      </c>
    </row>
    <row r="320" spans="2:5" s="83" customFormat="1" ht="14.5" customHeight="1">
      <c r="B320" s="111"/>
      <c r="C320" s="66" t="s">
        <v>227</v>
      </c>
      <c r="D320" s="67">
        <v>4</v>
      </c>
      <c r="E320" s="68">
        <v>4.1792916100699999E-4</v>
      </c>
    </row>
    <row r="321" spans="2:5" s="83" customFormat="1" ht="14.5" customHeight="1">
      <c r="B321" s="111"/>
      <c r="C321" s="66" t="s">
        <v>228</v>
      </c>
      <c r="D321" s="67">
        <v>1</v>
      </c>
      <c r="E321" s="68">
        <v>1.04482290252E-4</v>
      </c>
    </row>
    <row r="322" spans="2:5" s="83" customFormat="1" ht="14.5" customHeight="1">
      <c r="B322" s="111"/>
      <c r="C322" s="66" t="s">
        <v>229</v>
      </c>
      <c r="D322" s="67">
        <v>32</v>
      </c>
      <c r="E322" s="68">
        <v>3.343433288058E-3</v>
      </c>
    </row>
    <row r="323" spans="2:5" s="83" customFormat="1" ht="14.5" customHeight="1">
      <c r="B323" s="111"/>
      <c r="C323" s="66" t="s">
        <v>230</v>
      </c>
      <c r="D323" s="67">
        <v>60</v>
      </c>
      <c r="E323" s="68">
        <v>6.2689374151079997E-3</v>
      </c>
    </row>
    <row r="324" spans="2:5" s="83" customFormat="1" ht="14.5" customHeight="1">
      <c r="B324" s="111"/>
      <c r="C324" s="66" t="s">
        <v>231</v>
      </c>
      <c r="D324" s="67">
        <v>2</v>
      </c>
      <c r="E324" s="68">
        <v>2.08964580504E-4</v>
      </c>
    </row>
    <row r="325" spans="2:5" s="83" customFormat="1" ht="14.5" customHeight="1">
      <c r="B325" s="111"/>
      <c r="C325" s="66" t="s">
        <v>232</v>
      </c>
      <c r="D325" s="67">
        <v>3</v>
      </c>
      <c r="E325" s="68">
        <v>3.13446870755E-4</v>
      </c>
    </row>
    <row r="326" spans="2:5" s="83" customFormat="1" ht="14.5" customHeight="1">
      <c r="B326" s="111"/>
      <c r="C326" s="66" t="s">
        <v>233</v>
      </c>
      <c r="D326" s="67">
        <v>24</v>
      </c>
      <c r="E326" s="68">
        <v>2.5075749660430002E-3</v>
      </c>
    </row>
    <row r="327" spans="2:5" s="83" customFormat="1" ht="14.5" customHeight="1">
      <c r="B327" s="111"/>
      <c r="C327" s="66" t="s">
        <v>234</v>
      </c>
      <c r="D327" s="67">
        <v>138</v>
      </c>
      <c r="E327" s="68">
        <v>1.4418556054749E-2</v>
      </c>
    </row>
    <row r="328" spans="2:5" s="83" customFormat="1" ht="14.5" customHeight="1">
      <c r="B328" s="111"/>
      <c r="C328" s="66" t="s">
        <v>235</v>
      </c>
      <c r="D328" s="67">
        <v>4</v>
      </c>
      <c r="E328" s="68">
        <v>4.1792916100699999E-4</v>
      </c>
    </row>
    <row r="329" spans="2:5" s="83" customFormat="1" ht="14.5" customHeight="1">
      <c r="B329" s="111"/>
      <c r="C329" s="66" t="s">
        <v>236</v>
      </c>
      <c r="D329" s="67">
        <v>14</v>
      </c>
      <c r="E329" s="68">
        <v>1.462752063525E-3</v>
      </c>
    </row>
    <row r="330" spans="2:5" s="83" customFormat="1" ht="14.5" customHeight="1">
      <c r="B330" s="111"/>
      <c r="C330" s="66" t="s">
        <v>237</v>
      </c>
      <c r="D330" s="67">
        <v>59</v>
      </c>
      <c r="E330" s="68">
        <v>6.1644551248559998E-3</v>
      </c>
    </row>
    <row r="331" spans="2:5" s="83" customFormat="1" ht="14.5" customHeight="1">
      <c r="B331" s="111"/>
      <c r="C331" s="66" t="s">
        <v>238</v>
      </c>
      <c r="D331" s="67">
        <v>1</v>
      </c>
      <c r="E331" s="68">
        <v>1.04482290252E-4</v>
      </c>
    </row>
    <row r="332" spans="2:5" s="83" customFormat="1" ht="14.5" customHeight="1">
      <c r="B332" s="111"/>
      <c r="C332" s="66" t="s">
        <v>239</v>
      </c>
      <c r="D332" s="67">
        <v>3</v>
      </c>
      <c r="E332" s="68">
        <v>3.13446870755E-4</v>
      </c>
    </row>
    <row r="333" spans="2:5" s="83" customFormat="1" ht="14.5" customHeight="1">
      <c r="B333" s="111"/>
      <c r="C333" s="66" t="s">
        <v>240</v>
      </c>
      <c r="D333" s="67">
        <v>2</v>
      </c>
      <c r="E333" s="68">
        <v>2.08964580504E-4</v>
      </c>
    </row>
    <row r="334" spans="2:5" s="83" customFormat="1" ht="14.5" customHeight="1">
      <c r="B334" s="111"/>
      <c r="C334" s="66" t="s">
        <v>241</v>
      </c>
      <c r="D334" s="67">
        <v>1</v>
      </c>
      <c r="E334" s="68">
        <v>1.04482290252E-4</v>
      </c>
    </row>
    <row r="335" spans="2:5" s="83" customFormat="1" ht="14.5" customHeight="1">
      <c r="B335" s="111"/>
      <c r="C335" s="66" t="s">
        <v>242</v>
      </c>
      <c r="D335" s="67">
        <v>4</v>
      </c>
      <c r="E335" s="68">
        <v>4.1792916100699999E-4</v>
      </c>
    </row>
    <row r="336" spans="2:5" s="83" customFormat="1" ht="14.5" customHeight="1">
      <c r="B336" s="111"/>
      <c r="C336" s="66" t="s">
        <v>243</v>
      </c>
      <c r="D336" s="67">
        <v>9</v>
      </c>
      <c r="E336" s="68">
        <v>9.4034061226599996E-4</v>
      </c>
    </row>
    <row r="337" spans="2:5" s="83" customFormat="1" ht="14.5" customHeight="1">
      <c r="B337" s="111"/>
      <c r="C337" s="66" t="s">
        <v>245</v>
      </c>
      <c r="D337" s="67">
        <v>1</v>
      </c>
      <c r="E337" s="68">
        <v>1.04482290252E-4</v>
      </c>
    </row>
    <row r="338" spans="2:5" s="83" customFormat="1" ht="14.5" customHeight="1">
      <c r="B338" s="112"/>
      <c r="C338" s="36" t="s">
        <v>29</v>
      </c>
      <c r="D338" s="35">
        <v>378</v>
      </c>
      <c r="E338" s="34">
        <v>3.9494305715180998E-2</v>
      </c>
    </row>
    <row r="339" spans="2:5" s="83" customFormat="1" ht="14.5" customHeight="1">
      <c r="B339" s="110" t="s">
        <v>75</v>
      </c>
      <c r="C339" s="66" t="s">
        <v>223</v>
      </c>
      <c r="D339" s="67">
        <v>3</v>
      </c>
      <c r="E339" s="68">
        <v>3.13446870755E-4</v>
      </c>
    </row>
    <row r="340" spans="2:5" s="83" customFormat="1" ht="14.5" customHeight="1">
      <c r="B340" s="111"/>
      <c r="C340" s="66" t="s">
        <v>224</v>
      </c>
      <c r="D340" s="67">
        <v>3</v>
      </c>
      <c r="E340" s="68">
        <v>3.13446870755E-4</v>
      </c>
    </row>
    <row r="341" spans="2:5" s="83" customFormat="1" ht="14.5" customHeight="1">
      <c r="B341" s="111"/>
      <c r="C341" s="66" t="s">
        <v>225</v>
      </c>
      <c r="D341" s="67">
        <v>2</v>
      </c>
      <c r="E341" s="68">
        <v>2.08964580504E-4</v>
      </c>
    </row>
    <row r="342" spans="2:5" s="83" customFormat="1" ht="14.5" customHeight="1">
      <c r="B342" s="111"/>
      <c r="C342" s="66" t="s">
        <v>226</v>
      </c>
      <c r="D342" s="67">
        <v>3</v>
      </c>
      <c r="E342" s="68">
        <v>3.13446870755E-4</v>
      </c>
    </row>
    <row r="343" spans="2:5" s="83" customFormat="1" ht="14.5" customHeight="1">
      <c r="B343" s="111"/>
      <c r="C343" s="66" t="s">
        <v>227</v>
      </c>
      <c r="D343" s="67">
        <v>1</v>
      </c>
      <c r="E343" s="68">
        <v>1.04482290252E-4</v>
      </c>
    </row>
    <row r="344" spans="2:5" s="83" customFormat="1" ht="14.5" customHeight="1">
      <c r="B344" s="111"/>
      <c r="C344" s="66" t="s">
        <v>228</v>
      </c>
      <c r="D344" s="67">
        <v>2</v>
      </c>
      <c r="E344" s="68">
        <v>2.08964580504E-4</v>
      </c>
    </row>
    <row r="345" spans="2:5" s="83" customFormat="1" ht="14.5" customHeight="1">
      <c r="B345" s="111"/>
      <c r="C345" s="66" t="s">
        <v>229</v>
      </c>
      <c r="D345" s="67">
        <v>8</v>
      </c>
      <c r="E345" s="68">
        <v>8.3585832201399997E-4</v>
      </c>
    </row>
    <row r="346" spans="2:5" s="83" customFormat="1" ht="14.5" customHeight="1">
      <c r="B346" s="111"/>
      <c r="C346" s="66" t="s">
        <v>230</v>
      </c>
      <c r="D346" s="67">
        <v>11</v>
      </c>
      <c r="E346" s="68">
        <v>1.14930519277E-3</v>
      </c>
    </row>
    <row r="347" spans="2:5" s="83" customFormat="1" ht="14.5" customHeight="1">
      <c r="B347" s="111"/>
      <c r="C347" s="66" t="s">
        <v>231</v>
      </c>
      <c r="D347" s="67">
        <v>1</v>
      </c>
      <c r="E347" s="68">
        <v>1.04482290252E-4</v>
      </c>
    </row>
    <row r="348" spans="2:5" s="83" customFormat="1" ht="14.5" customHeight="1">
      <c r="B348" s="111"/>
      <c r="C348" s="66" t="s">
        <v>232</v>
      </c>
      <c r="D348" s="67">
        <v>1</v>
      </c>
      <c r="E348" s="68">
        <v>1.04482290252E-4</v>
      </c>
    </row>
    <row r="349" spans="2:5" s="83" customFormat="1" ht="14.5" customHeight="1">
      <c r="B349" s="111"/>
      <c r="C349" s="66" t="s">
        <v>233</v>
      </c>
      <c r="D349" s="67">
        <v>7</v>
      </c>
      <c r="E349" s="68">
        <v>7.3137603176300005E-4</v>
      </c>
    </row>
    <row r="350" spans="2:5" s="83" customFormat="1" ht="14.5" customHeight="1">
      <c r="B350" s="111"/>
      <c r="C350" s="66" t="s">
        <v>234</v>
      </c>
      <c r="D350" s="67">
        <v>17</v>
      </c>
      <c r="E350" s="68">
        <v>1.7761989342810001E-3</v>
      </c>
    </row>
    <row r="351" spans="2:5" s="83" customFormat="1" ht="14.5" customHeight="1">
      <c r="B351" s="111"/>
      <c r="C351" s="66" t="s">
        <v>235</v>
      </c>
      <c r="D351" s="67">
        <v>2</v>
      </c>
      <c r="E351" s="68">
        <v>2.08964580504E-4</v>
      </c>
    </row>
    <row r="352" spans="2:5" s="83" customFormat="1" ht="14.5" customHeight="1">
      <c r="B352" s="111"/>
      <c r="C352" s="66" t="s">
        <v>236</v>
      </c>
      <c r="D352" s="67">
        <v>7</v>
      </c>
      <c r="E352" s="68">
        <v>7.3137603176300005E-4</v>
      </c>
    </row>
    <row r="353" spans="2:5" s="83" customFormat="1" ht="14.5" customHeight="1">
      <c r="B353" s="111"/>
      <c r="C353" s="66" t="s">
        <v>237</v>
      </c>
      <c r="D353" s="67">
        <v>16</v>
      </c>
      <c r="E353" s="68">
        <v>1.671716644029E-3</v>
      </c>
    </row>
    <row r="354" spans="2:5" s="83" customFormat="1" ht="14.5" customHeight="1">
      <c r="B354" s="111"/>
      <c r="C354" s="66" t="s">
        <v>238</v>
      </c>
      <c r="D354" s="67">
        <v>1</v>
      </c>
      <c r="E354" s="68">
        <v>1.04482290252E-4</v>
      </c>
    </row>
    <row r="355" spans="2:5" s="83" customFormat="1" ht="14.5" customHeight="1">
      <c r="B355" s="111"/>
      <c r="C355" s="66" t="s">
        <v>239</v>
      </c>
      <c r="D355" s="67">
        <v>1</v>
      </c>
      <c r="E355" s="68">
        <v>1.04482290252E-4</v>
      </c>
    </row>
    <row r="356" spans="2:5" s="83" customFormat="1" ht="14.5" customHeight="1">
      <c r="B356" s="111"/>
      <c r="C356" s="66" t="s">
        <v>243</v>
      </c>
      <c r="D356" s="67">
        <v>5</v>
      </c>
      <c r="E356" s="68">
        <v>5.2241145125899997E-4</v>
      </c>
    </row>
    <row r="357" spans="2:5" s="83" customFormat="1" ht="14.5" customHeight="1">
      <c r="B357" s="112"/>
      <c r="C357" s="36" t="s">
        <v>29</v>
      </c>
      <c r="D357" s="35">
        <v>91</v>
      </c>
      <c r="E357" s="34">
        <v>9.5078884129140007E-3</v>
      </c>
    </row>
    <row r="358" spans="2:5" s="83" customFormat="1" ht="14.5" customHeight="1">
      <c r="B358" s="110" t="s">
        <v>60</v>
      </c>
      <c r="C358" s="66" t="s">
        <v>223</v>
      </c>
      <c r="D358" s="67">
        <v>1</v>
      </c>
      <c r="E358" s="68">
        <v>1.04482290252E-4</v>
      </c>
    </row>
    <row r="359" spans="2:5" s="83" customFormat="1" ht="14.5" customHeight="1">
      <c r="B359" s="111"/>
      <c r="C359" s="66" t="s">
        <v>224</v>
      </c>
      <c r="D359" s="67">
        <v>3</v>
      </c>
      <c r="E359" s="68">
        <v>3.13446870755E-4</v>
      </c>
    </row>
    <row r="360" spans="2:5" s="83" customFormat="1" ht="14.5" customHeight="1">
      <c r="B360" s="111"/>
      <c r="C360" s="66" t="s">
        <v>225</v>
      </c>
      <c r="D360" s="67">
        <v>2</v>
      </c>
      <c r="E360" s="68">
        <v>2.08964580504E-4</v>
      </c>
    </row>
    <row r="361" spans="2:5" s="83" customFormat="1" ht="14.5" customHeight="1">
      <c r="B361" s="111"/>
      <c r="C361" s="66" t="s">
        <v>226</v>
      </c>
      <c r="D361" s="67">
        <v>10</v>
      </c>
      <c r="E361" s="68">
        <v>1.0448229025179999E-3</v>
      </c>
    </row>
    <row r="362" spans="2:5" s="83" customFormat="1" ht="14.5" customHeight="1">
      <c r="B362" s="111"/>
      <c r="C362" s="66" t="s">
        <v>227</v>
      </c>
      <c r="D362" s="67">
        <v>3</v>
      </c>
      <c r="E362" s="68">
        <v>3.13446870755E-4</v>
      </c>
    </row>
    <row r="363" spans="2:5" s="83" customFormat="1" ht="14.5" customHeight="1">
      <c r="B363" s="111"/>
      <c r="C363" s="66" t="s">
        <v>228</v>
      </c>
      <c r="D363" s="67">
        <v>6</v>
      </c>
      <c r="E363" s="68">
        <v>6.2689374151099996E-4</v>
      </c>
    </row>
    <row r="364" spans="2:5" s="83" customFormat="1" ht="14.5" customHeight="1">
      <c r="B364" s="111"/>
      <c r="C364" s="66" t="s">
        <v>229</v>
      </c>
      <c r="D364" s="67">
        <v>49</v>
      </c>
      <c r="E364" s="68">
        <v>5.1196322223380003E-3</v>
      </c>
    </row>
    <row r="365" spans="2:5" s="83" customFormat="1" ht="14.5" customHeight="1">
      <c r="B365" s="111"/>
      <c r="C365" s="66" t="s">
        <v>230</v>
      </c>
      <c r="D365" s="67">
        <v>84</v>
      </c>
      <c r="E365" s="68">
        <v>8.7765123811509999E-3</v>
      </c>
    </row>
    <row r="366" spans="2:5" s="83" customFormat="1" ht="14.5" customHeight="1">
      <c r="B366" s="111"/>
      <c r="C366" s="66" t="s">
        <v>231</v>
      </c>
      <c r="D366" s="67">
        <v>4</v>
      </c>
      <c r="E366" s="68">
        <v>4.1792916100699999E-4</v>
      </c>
    </row>
    <row r="367" spans="2:5" s="83" customFormat="1" ht="14.5" customHeight="1">
      <c r="B367" s="111"/>
      <c r="C367" s="66" t="s">
        <v>232</v>
      </c>
      <c r="D367" s="67">
        <v>8</v>
      </c>
      <c r="E367" s="68">
        <v>8.3585832201399997E-4</v>
      </c>
    </row>
    <row r="368" spans="2:5" s="83" customFormat="1" ht="14.5" customHeight="1">
      <c r="B368" s="111"/>
      <c r="C368" s="66" t="s">
        <v>233</v>
      </c>
      <c r="D368" s="67">
        <v>19</v>
      </c>
      <c r="E368" s="68">
        <v>1.985163514784E-3</v>
      </c>
    </row>
    <row r="369" spans="2:5" s="83" customFormat="1" ht="14.5" customHeight="1">
      <c r="B369" s="111"/>
      <c r="C369" s="66" t="s">
        <v>234</v>
      </c>
      <c r="D369" s="67">
        <v>108</v>
      </c>
      <c r="E369" s="68">
        <v>1.1284087347195E-2</v>
      </c>
    </row>
    <row r="370" spans="2:5" s="83" customFormat="1" ht="14.5" customHeight="1">
      <c r="B370" s="111"/>
      <c r="C370" s="66" t="s">
        <v>235</v>
      </c>
      <c r="D370" s="67">
        <v>1</v>
      </c>
      <c r="E370" s="68">
        <v>1.04482290252E-4</v>
      </c>
    </row>
    <row r="371" spans="2:5" s="83" customFormat="1" ht="14.5" customHeight="1">
      <c r="B371" s="111"/>
      <c r="C371" s="66" t="s">
        <v>236</v>
      </c>
      <c r="D371" s="67">
        <v>9</v>
      </c>
      <c r="E371" s="68">
        <v>9.4034061226599996E-4</v>
      </c>
    </row>
    <row r="372" spans="2:5" s="83" customFormat="1" ht="14.5" customHeight="1">
      <c r="B372" s="111"/>
      <c r="C372" s="66" t="s">
        <v>237</v>
      </c>
      <c r="D372" s="67">
        <v>35</v>
      </c>
      <c r="E372" s="68">
        <v>3.656880158813E-3</v>
      </c>
    </row>
    <row r="373" spans="2:5" s="83" customFormat="1" ht="14.5" customHeight="1">
      <c r="B373" s="111"/>
      <c r="C373" s="66" t="s">
        <v>239</v>
      </c>
      <c r="D373" s="67">
        <v>1</v>
      </c>
      <c r="E373" s="68">
        <v>1.04482290252E-4</v>
      </c>
    </row>
    <row r="374" spans="2:5" s="83" customFormat="1" ht="14.5" customHeight="1">
      <c r="B374" s="111"/>
      <c r="C374" s="66" t="s">
        <v>241</v>
      </c>
      <c r="D374" s="67">
        <v>1</v>
      </c>
      <c r="E374" s="68">
        <v>1.04482290252E-4</v>
      </c>
    </row>
    <row r="375" spans="2:5" s="83" customFormat="1" ht="14.5" customHeight="1">
      <c r="B375" s="111"/>
      <c r="C375" s="66" t="s">
        <v>242</v>
      </c>
      <c r="D375" s="67">
        <v>2</v>
      </c>
      <c r="E375" s="68">
        <v>2.08964580504E-4</v>
      </c>
    </row>
    <row r="376" spans="2:5" s="83" customFormat="1" ht="14.5" customHeight="1">
      <c r="B376" s="111"/>
      <c r="C376" s="66" t="s">
        <v>243</v>
      </c>
      <c r="D376" s="67">
        <v>4</v>
      </c>
      <c r="E376" s="68">
        <v>4.1792916100699999E-4</v>
      </c>
    </row>
    <row r="377" spans="2:5" s="83" customFormat="1" ht="14.5" customHeight="1">
      <c r="B377" s="111"/>
      <c r="C377" s="66" t="s">
        <v>245</v>
      </c>
      <c r="D377" s="67">
        <v>1</v>
      </c>
      <c r="E377" s="68">
        <v>1.04482290252E-4</v>
      </c>
    </row>
    <row r="378" spans="2:5" s="83" customFormat="1" ht="14.5" customHeight="1">
      <c r="B378" s="112"/>
      <c r="C378" s="36" t="s">
        <v>29</v>
      </c>
      <c r="D378" s="35">
        <v>351</v>
      </c>
      <c r="E378" s="34">
        <v>3.6673283878382999E-2</v>
      </c>
    </row>
    <row r="379" spans="2:5" s="83" customFormat="1" ht="14.5" customHeight="1">
      <c r="B379" s="110" t="s">
        <v>73</v>
      </c>
      <c r="C379" s="66" t="s">
        <v>223</v>
      </c>
      <c r="D379" s="67">
        <v>3</v>
      </c>
      <c r="E379" s="68">
        <v>3.13446870755E-4</v>
      </c>
    </row>
    <row r="380" spans="2:5" s="83" customFormat="1" ht="14.5" customHeight="1">
      <c r="B380" s="111"/>
      <c r="C380" s="66" t="s">
        <v>225</v>
      </c>
      <c r="D380" s="67">
        <v>1</v>
      </c>
      <c r="E380" s="68">
        <v>1.04482290252E-4</v>
      </c>
    </row>
    <row r="381" spans="2:5" s="83" customFormat="1" ht="14.5" customHeight="1">
      <c r="B381" s="111"/>
      <c r="C381" s="66" t="s">
        <v>226</v>
      </c>
      <c r="D381" s="67">
        <v>1</v>
      </c>
      <c r="E381" s="68">
        <v>1.04482290252E-4</v>
      </c>
    </row>
    <row r="382" spans="2:5" s="83" customFormat="1" ht="14.5" customHeight="1">
      <c r="B382" s="111"/>
      <c r="C382" s="66" t="s">
        <v>227</v>
      </c>
      <c r="D382" s="67">
        <v>4</v>
      </c>
      <c r="E382" s="68">
        <v>4.1792916100699999E-4</v>
      </c>
    </row>
    <row r="383" spans="2:5" s="83" customFormat="1" ht="14.5" customHeight="1">
      <c r="B383" s="111"/>
      <c r="C383" s="66" t="s">
        <v>228</v>
      </c>
      <c r="D383" s="67">
        <v>2</v>
      </c>
      <c r="E383" s="68">
        <v>2.08964580504E-4</v>
      </c>
    </row>
    <row r="384" spans="2:5" s="83" customFormat="1" ht="14.5" customHeight="1">
      <c r="B384" s="111"/>
      <c r="C384" s="66" t="s">
        <v>229</v>
      </c>
      <c r="D384" s="67">
        <v>3</v>
      </c>
      <c r="E384" s="68">
        <v>3.13446870755E-4</v>
      </c>
    </row>
    <row r="385" spans="2:5" s="83" customFormat="1" ht="14.5" customHeight="1">
      <c r="B385" s="111"/>
      <c r="C385" s="66" t="s">
        <v>230</v>
      </c>
      <c r="D385" s="67">
        <v>24</v>
      </c>
      <c r="E385" s="68">
        <v>2.5075749660430002E-3</v>
      </c>
    </row>
    <row r="386" spans="2:5" s="83" customFormat="1" ht="14.5" customHeight="1">
      <c r="B386" s="111"/>
      <c r="C386" s="66" t="s">
        <v>232</v>
      </c>
      <c r="D386" s="67">
        <v>2</v>
      </c>
      <c r="E386" s="68">
        <v>2.08964580504E-4</v>
      </c>
    </row>
    <row r="387" spans="2:5" s="83" customFormat="1" ht="14.5" customHeight="1">
      <c r="B387" s="111"/>
      <c r="C387" s="66" t="s">
        <v>233</v>
      </c>
      <c r="D387" s="67">
        <v>4</v>
      </c>
      <c r="E387" s="68">
        <v>4.1792916100699999E-4</v>
      </c>
    </row>
    <row r="388" spans="2:5" s="83" customFormat="1" ht="14.5" customHeight="1">
      <c r="B388" s="111"/>
      <c r="C388" s="66" t="s">
        <v>234</v>
      </c>
      <c r="D388" s="67">
        <v>27</v>
      </c>
      <c r="E388" s="68">
        <v>2.8210218367989998E-3</v>
      </c>
    </row>
    <row r="389" spans="2:5" s="83" customFormat="1" ht="14.5" customHeight="1">
      <c r="B389" s="111"/>
      <c r="C389" s="66" t="s">
        <v>236</v>
      </c>
      <c r="D389" s="67">
        <v>2</v>
      </c>
      <c r="E389" s="68">
        <v>2.08964580504E-4</v>
      </c>
    </row>
    <row r="390" spans="2:5" s="83" customFormat="1" ht="14.5" customHeight="1">
      <c r="B390" s="111"/>
      <c r="C390" s="66" t="s">
        <v>237</v>
      </c>
      <c r="D390" s="67">
        <v>19</v>
      </c>
      <c r="E390" s="68">
        <v>1.985163514784E-3</v>
      </c>
    </row>
    <row r="391" spans="2:5" s="83" customFormat="1" ht="14.5" customHeight="1">
      <c r="B391" s="111"/>
      <c r="C391" s="66" t="s">
        <v>239</v>
      </c>
      <c r="D391" s="67">
        <v>1</v>
      </c>
      <c r="E391" s="68">
        <v>1.04482290252E-4</v>
      </c>
    </row>
    <row r="392" spans="2:5" s="83" customFormat="1" ht="14.5" customHeight="1">
      <c r="B392" s="111"/>
      <c r="C392" s="66" t="s">
        <v>242</v>
      </c>
      <c r="D392" s="67">
        <v>1</v>
      </c>
      <c r="E392" s="68">
        <v>1.04482290252E-4</v>
      </c>
    </row>
    <row r="393" spans="2:5" s="83" customFormat="1" ht="14.5" customHeight="1">
      <c r="B393" s="111"/>
      <c r="C393" s="66" t="s">
        <v>243</v>
      </c>
      <c r="D393" s="67">
        <v>2</v>
      </c>
      <c r="E393" s="68">
        <v>2.08964580504E-4</v>
      </c>
    </row>
    <row r="394" spans="2:5" s="83" customFormat="1" ht="14.5" customHeight="1">
      <c r="B394" s="112"/>
      <c r="C394" s="36" t="s">
        <v>29</v>
      </c>
      <c r="D394" s="35">
        <v>96</v>
      </c>
      <c r="E394" s="34">
        <v>1.0030299864173E-2</v>
      </c>
    </row>
    <row r="395" spans="2:5" s="83" customFormat="1" ht="14.5" customHeight="1">
      <c r="B395" s="110" t="s">
        <v>98</v>
      </c>
      <c r="C395" s="66" t="s">
        <v>234</v>
      </c>
      <c r="D395" s="67">
        <v>1</v>
      </c>
      <c r="E395" s="68">
        <v>1.04482290252E-4</v>
      </c>
    </row>
    <row r="396" spans="2:5" s="83" customFormat="1" ht="14.5" customHeight="1">
      <c r="B396" s="112"/>
      <c r="C396" s="36" t="s">
        <v>29</v>
      </c>
      <c r="D396" s="35">
        <v>1</v>
      </c>
      <c r="E396" s="34">
        <v>1.04482290252E-4</v>
      </c>
    </row>
    <row r="397" spans="2:5" s="83" customFormat="1" ht="14.5" customHeight="1">
      <c r="B397" s="110" t="s">
        <v>63</v>
      </c>
      <c r="C397" s="66" t="s">
        <v>223</v>
      </c>
      <c r="D397" s="67">
        <v>4</v>
      </c>
      <c r="E397" s="68">
        <v>4.1792916100699999E-4</v>
      </c>
    </row>
    <row r="398" spans="2:5" s="83" customFormat="1" ht="14.5" customHeight="1">
      <c r="B398" s="111"/>
      <c r="C398" s="66" t="s">
        <v>224</v>
      </c>
      <c r="D398" s="67">
        <v>1</v>
      </c>
      <c r="E398" s="68">
        <v>1.04482290252E-4</v>
      </c>
    </row>
    <row r="399" spans="2:5" s="83" customFormat="1" ht="14.5" customHeight="1">
      <c r="B399" s="111"/>
      <c r="C399" s="66" t="s">
        <v>225</v>
      </c>
      <c r="D399" s="67">
        <v>3</v>
      </c>
      <c r="E399" s="68">
        <v>3.13446870755E-4</v>
      </c>
    </row>
    <row r="400" spans="2:5" s="83" customFormat="1" ht="14.5" customHeight="1">
      <c r="B400" s="111"/>
      <c r="C400" s="66" t="s">
        <v>226</v>
      </c>
      <c r="D400" s="67">
        <v>1</v>
      </c>
      <c r="E400" s="68">
        <v>1.04482290252E-4</v>
      </c>
    </row>
    <row r="401" spans="2:5" s="83" customFormat="1" ht="14.5" customHeight="1">
      <c r="B401" s="111"/>
      <c r="C401" s="66" t="s">
        <v>227</v>
      </c>
      <c r="D401" s="67">
        <v>1</v>
      </c>
      <c r="E401" s="68">
        <v>1.04482290252E-4</v>
      </c>
    </row>
    <row r="402" spans="2:5" s="83" customFormat="1" ht="14.5" customHeight="1">
      <c r="B402" s="111"/>
      <c r="C402" s="66" t="s">
        <v>228</v>
      </c>
      <c r="D402" s="67">
        <v>2</v>
      </c>
      <c r="E402" s="68">
        <v>2.08964580504E-4</v>
      </c>
    </row>
    <row r="403" spans="2:5" s="83" customFormat="1" ht="14.5" customHeight="1">
      <c r="B403" s="111"/>
      <c r="C403" s="66" t="s">
        <v>229</v>
      </c>
      <c r="D403" s="67">
        <v>14</v>
      </c>
      <c r="E403" s="68">
        <v>1.462752063525E-3</v>
      </c>
    </row>
    <row r="404" spans="2:5" s="83" customFormat="1" ht="14.5" customHeight="1">
      <c r="B404" s="111"/>
      <c r="C404" s="66" t="s">
        <v>230</v>
      </c>
      <c r="D404" s="67">
        <v>39</v>
      </c>
      <c r="E404" s="68">
        <v>4.0748093198199999E-3</v>
      </c>
    </row>
    <row r="405" spans="2:5" s="83" customFormat="1" ht="14.5" customHeight="1">
      <c r="B405" s="111"/>
      <c r="C405" s="66" t="s">
        <v>231</v>
      </c>
      <c r="D405" s="67">
        <v>2</v>
      </c>
      <c r="E405" s="68">
        <v>2.08964580504E-4</v>
      </c>
    </row>
    <row r="406" spans="2:5" s="83" customFormat="1" ht="14.5" customHeight="1">
      <c r="B406" s="111"/>
      <c r="C406" s="66" t="s">
        <v>232</v>
      </c>
      <c r="D406" s="67">
        <v>5</v>
      </c>
      <c r="E406" s="68">
        <v>5.2241145125899997E-4</v>
      </c>
    </row>
    <row r="407" spans="2:5" s="83" customFormat="1" ht="14.5" customHeight="1">
      <c r="B407" s="111"/>
      <c r="C407" s="66" t="s">
        <v>233</v>
      </c>
      <c r="D407" s="67">
        <v>6</v>
      </c>
      <c r="E407" s="68">
        <v>6.2689374151099996E-4</v>
      </c>
    </row>
    <row r="408" spans="2:5" s="83" customFormat="1" ht="14.5" customHeight="1">
      <c r="B408" s="111"/>
      <c r="C408" s="66" t="s">
        <v>234</v>
      </c>
      <c r="D408" s="67">
        <v>66</v>
      </c>
      <c r="E408" s="68">
        <v>6.8958311566189997E-3</v>
      </c>
    </row>
    <row r="409" spans="2:5" s="83" customFormat="1" ht="14.5" customHeight="1">
      <c r="B409" s="111"/>
      <c r="C409" s="66" t="s">
        <v>235</v>
      </c>
      <c r="D409" s="67">
        <v>1</v>
      </c>
      <c r="E409" s="68">
        <v>1.04482290252E-4</v>
      </c>
    </row>
    <row r="410" spans="2:5" s="83" customFormat="1" ht="14.5" customHeight="1">
      <c r="B410" s="111"/>
      <c r="C410" s="66" t="s">
        <v>236</v>
      </c>
      <c r="D410" s="67">
        <v>8</v>
      </c>
      <c r="E410" s="68">
        <v>8.3585832201399997E-4</v>
      </c>
    </row>
    <row r="411" spans="2:5" s="83" customFormat="1" ht="14.5" customHeight="1">
      <c r="B411" s="111"/>
      <c r="C411" s="66" t="s">
        <v>237</v>
      </c>
      <c r="D411" s="67">
        <v>32</v>
      </c>
      <c r="E411" s="68">
        <v>3.343433288058E-3</v>
      </c>
    </row>
    <row r="412" spans="2:5" s="83" customFormat="1" ht="14.5" customHeight="1">
      <c r="B412" s="111"/>
      <c r="C412" s="66" t="s">
        <v>241</v>
      </c>
      <c r="D412" s="67">
        <v>1</v>
      </c>
      <c r="E412" s="68">
        <v>1.04482290252E-4</v>
      </c>
    </row>
    <row r="413" spans="2:5" s="83" customFormat="1" ht="14.5" customHeight="1">
      <c r="B413" s="111"/>
      <c r="C413" s="66" t="s">
        <v>242</v>
      </c>
      <c r="D413" s="67">
        <v>3</v>
      </c>
      <c r="E413" s="68">
        <v>3.13446870755E-4</v>
      </c>
    </row>
    <row r="414" spans="2:5" s="83" customFormat="1" ht="14.5" customHeight="1">
      <c r="B414" s="111"/>
      <c r="C414" s="66" t="s">
        <v>243</v>
      </c>
      <c r="D414" s="67">
        <v>5</v>
      </c>
      <c r="E414" s="68">
        <v>5.2241145125899997E-4</v>
      </c>
    </row>
    <row r="415" spans="2:5" s="83" customFormat="1" ht="14.5" customHeight="1">
      <c r="B415" s="112"/>
      <c r="C415" s="36" t="s">
        <v>29</v>
      </c>
      <c r="D415" s="35">
        <v>194</v>
      </c>
      <c r="E415" s="34">
        <v>2.0269564308850001E-2</v>
      </c>
    </row>
    <row r="416" spans="2:5" s="83" customFormat="1" ht="14.5" customHeight="1">
      <c r="B416" s="110" t="s">
        <v>82</v>
      </c>
      <c r="C416" s="66" t="s">
        <v>224</v>
      </c>
      <c r="D416" s="67">
        <v>1</v>
      </c>
      <c r="E416" s="68">
        <v>1.04482290252E-4</v>
      </c>
    </row>
    <row r="417" spans="2:5" s="83" customFormat="1" ht="14.5" customHeight="1">
      <c r="B417" s="111"/>
      <c r="C417" s="66" t="s">
        <v>226</v>
      </c>
      <c r="D417" s="67">
        <v>1</v>
      </c>
      <c r="E417" s="68">
        <v>1.04482290252E-4</v>
      </c>
    </row>
    <row r="418" spans="2:5" s="83" customFormat="1" ht="14.5" customHeight="1">
      <c r="B418" s="111"/>
      <c r="C418" s="66" t="s">
        <v>229</v>
      </c>
      <c r="D418" s="67">
        <v>5</v>
      </c>
      <c r="E418" s="68">
        <v>5.2241145125899997E-4</v>
      </c>
    </row>
    <row r="419" spans="2:5" s="83" customFormat="1" ht="14.5" customHeight="1">
      <c r="B419" s="111"/>
      <c r="C419" s="66" t="s">
        <v>230</v>
      </c>
      <c r="D419" s="67">
        <v>15</v>
      </c>
      <c r="E419" s="68">
        <v>1.5672343537769999E-3</v>
      </c>
    </row>
    <row r="420" spans="2:5" s="83" customFormat="1" ht="14.5" customHeight="1">
      <c r="B420" s="111"/>
      <c r="C420" s="66" t="s">
        <v>231</v>
      </c>
      <c r="D420" s="67">
        <v>2</v>
      </c>
      <c r="E420" s="68">
        <v>2.08964580504E-4</v>
      </c>
    </row>
    <row r="421" spans="2:5" s="83" customFormat="1" ht="14.5" customHeight="1">
      <c r="B421" s="111"/>
      <c r="C421" s="66" t="s">
        <v>232</v>
      </c>
      <c r="D421" s="67">
        <v>2</v>
      </c>
      <c r="E421" s="68">
        <v>2.08964580504E-4</v>
      </c>
    </row>
    <row r="422" spans="2:5" s="83" customFormat="1" ht="14.5" customHeight="1">
      <c r="B422" s="111"/>
      <c r="C422" s="66" t="s">
        <v>233</v>
      </c>
      <c r="D422" s="67">
        <v>4</v>
      </c>
      <c r="E422" s="68">
        <v>4.1792916100699999E-4</v>
      </c>
    </row>
    <row r="423" spans="2:5" s="83" customFormat="1" ht="14.5" customHeight="1">
      <c r="B423" s="111"/>
      <c r="C423" s="66" t="s">
        <v>234</v>
      </c>
      <c r="D423" s="67">
        <v>25</v>
      </c>
      <c r="E423" s="68">
        <v>2.6120572562950001E-3</v>
      </c>
    </row>
    <row r="424" spans="2:5" s="83" customFormat="1" ht="14.5" customHeight="1">
      <c r="B424" s="111"/>
      <c r="C424" s="66" t="s">
        <v>235</v>
      </c>
      <c r="D424" s="67">
        <v>1</v>
      </c>
      <c r="E424" s="68">
        <v>1.04482290252E-4</v>
      </c>
    </row>
    <row r="425" spans="2:5" s="83" customFormat="1" ht="14.5" customHeight="1">
      <c r="B425" s="111"/>
      <c r="C425" s="66" t="s">
        <v>236</v>
      </c>
      <c r="D425" s="67">
        <v>3</v>
      </c>
      <c r="E425" s="68">
        <v>3.13446870755E-4</v>
      </c>
    </row>
    <row r="426" spans="2:5" s="83" customFormat="1" ht="14.5" customHeight="1">
      <c r="B426" s="111"/>
      <c r="C426" s="66" t="s">
        <v>237</v>
      </c>
      <c r="D426" s="67">
        <v>12</v>
      </c>
      <c r="E426" s="68">
        <v>1.2537874830219999E-3</v>
      </c>
    </row>
    <row r="427" spans="2:5" s="83" customFormat="1" ht="14.5" customHeight="1">
      <c r="B427" s="111"/>
      <c r="C427" s="66" t="s">
        <v>238</v>
      </c>
      <c r="D427" s="67">
        <v>2</v>
      </c>
      <c r="E427" s="68">
        <v>2.08964580504E-4</v>
      </c>
    </row>
    <row r="428" spans="2:5" s="83" customFormat="1" ht="14.5" customHeight="1">
      <c r="B428" s="111"/>
      <c r="C428" s="66" t="s">
        <v>239</v>
      </c>
      <c r="D428" s="67">
        <v>1</v>
      </c>
      <c r="E428" s="68">
        <v>1.04482290252E-4</v>
      </c>
    </row>
    <row r="429" spans="2:5" s="83" customFormat="1" ht="14.5" customHeight="1">
      <c r="B429" s="111"/>
      <c r="C429" s="66" t="s">
        <v>240</v>
      </c>
      <c r="D429" s="67">
        <v>1</v>
      </c>
      <c r="E429" s="68">
        <v>1.04482290252E-4</v>
      </c>
    </row>
    <row r="430" spans="2:5" s="83" customFormat="1" ht="14.5" customHeight="1">
      <c r="B430" s="111"/>
      <c r="C430" s="66" t="s">
        <v>242</v>
      </c>
      <c r="D430" s="67">
        <v>1</v>
      </c>
      <c r="E430" s="68">
        <v>1.04482290252E-4</v>
      </c>
    </row>
    <row r="431" spans="2:5" s="83" customFormat="1" ht="14.5" customHeight="1">
      <c r="B431" s="112"/>
      <c r="C431" s="36" t="s">
        <v>29</v>
      </c>
      <c r="D431" s="35">
        <v>76</v>
      </c>
      <c r="E431" s="34">
        <v>7.9406540591369992E-3</v>
      </c>
    </row>
    <row r="432" spans="2:5" s="83" customFormat="1" ht="14.5" customHeight="1">
      <c r="B432" s="110" t="s">
        <v>66</v>
      </c>
      <c r="C432" s="66" t="s">
        <v>226</v>
      </c>
      <c r="D432" s="67">
        <v>3</v>
      </c>
      <c r="E432" s="68">
        <v>3.13446870755E-4</v>
      </c>
    </row>
    <row r="433" spans="2:5" s="83" customFormat="1" ht="14.5" customHeight="1">
      <c r="B433" s="111"/>
      <c r="C433" s="66" t="s">
        <v>228</v>
      </c>
      <c r="D433" s="67">
        <v>2</v>
      </c>
      <c r="E433" s="68">
        <v>2.08964580504E-4</v>
      </c>
    </row>
    <row r="434" spans="2:5" s="83" customFormat="1" ht="14.5" customHeight="1">
      <c r="B434" s="111"/>
      <c r="C434" s="66" t="s">
        <v>229</v>
      </c>
      <c r="D434" s="67">
        <v>9</v>
      </c>
      <c r="E434" s="68">
        <v>9.4034061226599996E-4</v>
      </c>
    </row>
    <row r="435" spans="2:5" s="83" customFormat="1" ht="14.5" customHeight="1">
      <c r="B435" s="111"/>
      <c r="C435" s="66" t="s">
        <v>230</v>
      </c>
      <c r="D435" s="67">
        <v>28</v>
      </c>
      <c r="E435" s="68">
        <v>2.9255041270500001E-3</v>
      </c>
    </row>
    <row r="436" spans="2:5" s="83" customFormat="1" ht="14.5" customHeight="1">
      <c r="B436" s="111"/>
      <c r="C436" s="66" t="s">
        <v>231</v>
      </c>
      <c r="D436" s="67">
        <v>3</v>
      </c>
      <c r="E436" s="68">
        <v>3.13446870755E-4</v>
      </c>
    </row>
    <row r="437" spans="2:5" s="83" customFormat="1" ht="14.5" customHeight="1">
      <c r="B437" s="111"/>
      <c r="C437" s="66" t="s">
        <v>232</v>
      </c>
      <c r="D437" s="67">
        <v>4</v>
      </c>
      <c r="E437" s="68">
        <v>4.1792916100699999E-4</v>
      </c>
    </row>
    <row r="438" spans="2:5" s="83" customFormat="1" ht="14.5" customHeight="1">
      <c r="B438" s="111"/>
      <c r="C438" s="66" t="s">
        <v>233</v>
      </c>
      <c r="D438" s="67">
        <v>2</v>
      </c>
      <c r="E438" s="68">
        <v>2.08964580504E-4</v>
      </c>
    </row>
    <row r="439" spans="2:5" s="83" customFormat="1" ht="14.5" customHeight="1">
      <c r="B439" s="111"/>
      <c r="C439" s="66" t="s">
        <v>234</v>
      </c>
      <c r="D439" s="67">
        <v>63</v>
      </c>
      <c r="E439" s="68">
        <v>6.5823842858640002E-3</v>
      </c>
    </row>
    <row r="440" spans="2:5" s="83" customFormat="1" ht="14.5" customHeight="1">
      <c r="B440" s="111"/>
      <c r="C440" s="66" t="s">
        <v>235</v>
      </c>
      <c r="D440" s="67">
        <v>1</v>
      </c>
      <c r="E440" s="68">
        <v>1.04482290252E-4</v>
      </c>
    </row>
    <row r="441" spans="2:5" s="83" customFormat="1" ht="14.5" customHeight="1">
      <c r="B441" s="111"/>
      <c r="C441" s="66" t="s">
        <v>236</v>
      </c>
      <c r="D441" s="67">
        <v>5</v>
      </c>
      <c r="E441" s="68">
        <v>5.2241145125899997E-4</v>
      </c>
    </row>
    <row r="442" spans="2:5" s="83" customFormat="1" ht="14.5" customHeight="1">
      <c r="B442" s="111"/>
      <c r="C442" s="66" t="s">
        <v>237</v>
      </c>
      <c r="D442" s="67">
        <v>18</v>
      </c>
      <c r="E442" s="68">
        <v>1.8806812245319999E-3</v>
      </c>
    </row>
    <row r="443" spans="2:5" s="83" customFormat="1" ht="14.5" customHeight="1">
      <c r="B443" s="111"/>
      <c r="C443" s="66" t="s">
        <v>238</v>
      </c>
      <c r="D443" s="67">
        <v>1</v>
      </c>
      <c r="E443" s="68">
        <v>1.04482290252E-4</v>
      </c>
    </row>
    <row r="444" spans="2:5" s="83" customFormat="1" ht="14.5" customHeight="1">
      <c r="B444" s="111"/>
      <c r="C444" s="66" t="s">
        <v>242</v>
      </c>
      <c r="D444" s="67">
        <v>2</v>
      </c>
      <c r="E444" s="68">
        <v>2.08964580504E-4</v>
      </c>
    </row>
    <row r="445" spans="2:5" s="83" customFormat="1" ht="14.5" customHeight="1">
      <c r="B445" s="111"/>
      <c r="C445" s="66" t="s">
        <v>243</v>
      </c>
      <c r="D445" s="67">
        <v>3</v>
      </c>
      <c r="E445" s="68">
        <v>3.13446870755E-4</v>
      </c>
    </row>
    <row r="446" spans="2:5" s="83" customFormat="1" ht="14.5" customHeight="1">
      <c r="B446" s="112"/>
      <c r="C446" s="36" t="s">
        <v>29</v>
      </c>
      <c r="D446" s="35">
        <v>144</v>
      </c>
      <c r="E446" s="34">
        <v>1.504544979626E-2</v>
      </c>
    </row>
    <row r="447" spans="2:5" s="83" customFormat="1" ht="14.5" customHeight="1">
      <c r="B447" s="110" t="s">
        <v>69</v>
      </c>
      <c r="C447" s="66" t="s">
        <v>226</v>
      </c>
      <c r="D447" s="67">
        <v>1</v>
      </c>
      <c r="E447" s="68">
        <v>1.04482290252E-4</v>
      </c>
    </row>
    <row r="448" spans="2:5" s="83" customFormat="1" ht="14.5" customHeight="1">
      <c r="B448" s="111"/>
      <c r="C448" s="66" t="s">
        <v>228</v>
      </c>
      <c r="D448" s="67">
        <v>2</v>
      </c>
      <c r="E448" s="68">
        <v>2.08964580504E-4</v>
      </c>
    </row>
    <row r="449" spans="2:5" s="83" customFormat="1" ht="14.5" customHeight="1">
      <c r="B449" s="111"/>
      <c r="C449" s="66" t="s">
        <v>229</v>
      </c>
      <c r="D449" s="67">
        <v>3</v>
      </c>
      <c r="E449" s="68">
        <v>3.13446870755E-4</v>
      </c>
    </row>
    <row r="450" spans="2:5" s="83" customFormat="1" ht="14.5" customHeight="1">
      <c r="B450" s="111"/>
      <c r="C450" s="66" t="s">
        <v>230</v>
      </c>
      <c r="D450" s="67">
        <v>16</v>
      </c>
      <c r="E450" s="68">
        <v>1.671716644029E-3</v>
      </c>
    </row>
    <row r="451" spans="2:5" s="83" customFormat="1" ht="14.5" customHeight="1">
      <c r="B451" s="111"/>
      <c r="C451" s="66" t="s">
        <v>231</v>
      </c>
      <c r="D451" s="67">
        <v>1</v>
      </c>
      <c r="E451" s="68">
        <v>1.04482290252E-4</v>
      </c>
    </row>
    <row r="452" spans="2:5" s="83" customFormat="1" ht="14.5" customHeight="1">
      <c r="B452" s="111"/>
      <c r="C452" s="66" t="s">
        <v>232</v>
      </c>
      <c r="D452" s="67">
        <v>4</v>
      </c>
      <c r="E452" s="68">
        <v>4.1792916100699999E-4</v>
      </c>
    </row>
    <row r="453" spans="2:5" s="83" customFormat="1" ht="14.5" customHeight="1">
      <c r="B453" s="111"/>
      <c r="C453" s="66" t="s">
        <v>233</v>
      </c>
      <c r="D453" s="67">
        <v>9</v>
      </c>
      <c r="E453" s="68">
        <v>9.4034061226599996E-4</v>
      </c>
    </row>
    <row r="454" spans="2:5" s="83" customFormat="1" ht="14.5" customHeight="1">
      <c r="B454" s="111"/>
      <c r="C454" s="66" t="s">
        <v>234</v>
      </c>
      <c r="D454" s="67">
        <v>45</v>
      </c>
      <c r="E454" s="68">
        <v>4.701703061331E-3</v>
      </c>
    </row>
    <row r="455" spans="2:5" s="83" customFormat="1" ht="14.5" customHeight="1">
      <c r="B455" s="111"/>
      <c r="C455" s="66" t="s">
        <v>235</v>
      </c>
      <c r="D455" s="67">
        <v>3</v>
      </c>
      <c r="E455" s="68">
        <v>3.13446870755E-4</v>
      </c>
    </row>
    <row r="456" spans="2:5" s="83" customFormat="1" ht="14.5" customHeight="1">
      <c r="B456" s="111"/>
      <c r="C456" s="66" t="s">
        <v>236</v>
      </c>
      <c r="D456" s="67">
        <v>8</v>
      </c>
      <c r="E456" s="68">
        <v>8.3585832201399997E-4</v>
      </c>
    </row>
    <row r="457" spans="2:5" s="83" customFormat="1" ht="14.5" customHeight="1">
      <c r="B457" s="111"/>
      <c r="C457" s="66" t="s">
        <v>237</v>
      </c>
      <c r="D457" s="67">
        <v>25</v>
      </c>
      <c r="E457" s="68">
        <v>2.6120572562950001E-3</v>
      </c>
    </row>
    <row r="458" spans="2:5" s="83" customFormat="1" ht="14.5" customHeight="1">
      <c r="B458" s="111"/>
      <c r="C458" s="66" t="s">
        <v>239</v>
      </c>
      <c r="D458" s="67">
        <v>1</v>
      </c>
      <c r="E458" s="68">
        <v>1.04482290252E-4</v>
      </c>
    </row>
    <row r="459" spans="2:5" s="83" customFormat="1" ht="14.5" customHeight="1">
      <c r="B459" s="111"/>
      <c r="C459" s="66" t="s">
        <v>242</v>
      </c>
      <c r="D459" s="67">
        <v>1</v>
      </c>
      <c r="E459" s="68">
        <v>1.04482290252E-4</v>
      </c>
    </row>
    <row r="460" spans="2:5" s="83" customFormat="1" ht="14.5" customHeight="1">
      <c r="B460" s="111"/>
      <c r="C460" s="66" t="s">
        <v>243</v>
      </c>
      <c r="D460" s="67">
        <v>4</v>
      </c>
      <c r="E460" s="68">
        <v>4.1792916100699999E-4</v>
      </c>
    </row>
    <row r="461" spans="2:5" s="83" customFormat="1" ht="14.5" customHeight="1">
      <c r="B461" s="112"/>
      <c r="C461" s="36" t="s">
        <v>29</v>
      </c>
      <c r="D461" s="35">
        <v>123</v>
      </c>
      <c r="E461" s="34">
        <v>1.2851321700972E-2</v>
      </c>
    </row>
    <row r="462" spans="2:5" s="83" customFormat="1" ht="14.5" customHeight="1">
      <c r="B462" s="110" t="s">
        <v>55</v>
      </c>
      <c r="C462" s="66" t="s">
        <v>223</v>
      </c>
      <c r="D462" s="67">
        <v>2</v>
      </c>
      <c r="E462" s="68">
        <v>2.08964580504E-4</v>
      </c>
    </row>
    <row r="463" spans="2:5" s="83" customFormat="1" ht="14.5" customHeight="1">
      <c r="B463" s="111"/>
      <c r="C463" s="66" t="s">
        <v>224</v>
      </c>
      <c r="D463" s="67">
        <v>3</v>
      </c>
      <c r="E463" s="68">
        <v>3.13446870755E-4</v>
      </c>
    </row>
    <row r="464" spans="2:5" s="83" customFormat="1" ht="14.5" customHeight="1">
      <c r="B464" s="111"/>
      <c r="C464" s="66" t="s">
        <v>225</v>
      </c>
      <c r="D464" s="67">
        <v>3</v>
      </c>
      <c r="E464" s="68">
        <v>3.13446870755E-4</v>
      </c>
    </row>
    <row r="465" spans="2:5" s="83" customFormat="1" ht="14.5" customHeight="1">
      <c r="B465" s="111"/>
      <c r="C465" s="66" t="s">
        <v>226</v>
      </c>
      <c r="D465" s="67">
        <v>3</v>
      </c>
      <c r="E465" s="68">
        <v>3.13446870755E-4</v>
      </c>
    </row>
    <row r="466" spans="2:5" s="83" customFormat="1" ht="14.5" customHeight="1">
      <c r="B466" s="111"/>
      <c r="C466" s="66" t="s">
        <v>227</v>
      </c>
      <c r="D466" s="67">
        <v>4</v>
      </c>
      <c r="E466" s="68">
        <v>4.1792916100699999E-4</v>
      </c>
    </row>
    <row r="467" spans="2:5" s="83" customFormat="1" ht="14.5" customHeight="1">
      <c r="B467" s="111"/>
      <c r="C467" s="66" t="s">
        <v>228</v>
      </c>
      <c r="D467" s="67">
        <v>5</v>
      </c>
      <c r="E467" s="68">
        <v>5.2241145125899997E-4</v>
      </c>
    </row>
    <row r="468" spans="2:5" s="83" customFormat="1" ht="14.5" customHeight="1">
      <c r="B468" s="111"/>
      <c r="C468" s="66" t="s">
        <v>229</v>
      </c>
      <c r="D468" s="67">
        <v>28</v>
      </c>
      <c r="E468" s="68">
        <v>2.9255041270500001E-3</v>
      </c>
    </row>
    <row r="469" spans="2:5" s="83" customFormat="1" ht="14.5" customHeight="1">
      <c r="B469" s="111"/>
      <c r="C469" s="66" t="s">
        <v>230</v>
      </c>
      <c r="D469" s="67">
        <v>83</v>
      </c>
      <c r="E469" s="68">
        <v>8.6720300909E-3</v>
      </c>
    </row>
    <row r="470" spans="2:5" s="83" customFormat="1" ht="14.5" customHeight="1">
      <c r="B470" s="111"/>
      <c r="C470" s="66" t="s">
        <v>231</v>
      </c>
      <c r="D470" s="67">
        <v>5</v>
      </c>
      <c r="E470" s="68">
        <v>5.2241145125899997E-4</v>
      </c>
    </row>
    <row r="471" spans="2:5" s="83" customFormat="1" ht="14.5" customHeight="1">
      <c r="B471" s="111"/>
      <c r="C471" s="66" t="s">
        <v>232</v>
      </c>
      <c r="D471" s="67">
        <v>11</v>
      </c>
      <c r="E471" s="68">
        <v>1.14930519277E-3</v>
      </c>
    </row>
    <row r="472" spans="2:5" s="83" customFormat="1" ht="14.5" customHeight="1">
      <c r="B472" s="111"/>
      <c r="C472" s="66" t="s">
        <v>233</v>
      </c>
      <c r="D472" s="67">
        <v>20</v>
      </c>
      <c r="E472" s="68">
        <v>2.0896458050359999E-3</v>
      </c>
    </row>
    <row r="473" spans="2:5" s="83" customFormat="1" ht="14.5" customHeight="1">
      <c r="B473" s="111"/>
      <c r="C473" s="66" t="s">
        <v>234</v>
      </c>
      <c r="D473" s="67">
        <v>144</v>
      </c>
      <c r="E473" s="68">
        <v>1.504544979626E-2</v>
      </c>
    </row>
    <row r="474" spans="2:5" s="83" customFormat="1" ht="14.5" customHeight="1">
      <c r="B474" s="111"/>
      <c r="C474" s="66" t="s">
        <v>235</v>
      </c>
      <c r="D474" s="67">
        <v>3</v>
      </c>
      <c r="E474" s="68">
        <v>3.13446870755E-4</v>
      </c>
    </row>
    <row r="475" spans="2:5" s="83" customFormat="1" ht="14.5" customHeight="1">
      <c r="B475" s="111"/>
      <c r="C475" s="66" t="s">
        <v>236</v>
      </c>
      <c r="D475" s="67">
        <v>19</v>
      </c>
      <c r="E475" s="68">
        <v>1.985163514784E-3</v>
      </c>
    </row>
    <row r="476" spans="2:5" s="83" customFormat="1" ht="14.5" customHeight="1">
      <c r="B476" s="111"/>
      <c r="C476" s="66" t="s">
        <v>237</v>
      </c>
      <c r="D476" s="67">
        <v>52</v>
      </c>
      <c r="E476" s="68">
        <v>5.4330790930939999E-3</v>
      </c>
    </row>
    <row r="477" spans="2:5" s="83" customFormat="1" ht="14.5" customHeight="1">
      <c r="B477" s="111"/>
      <c r="C477" s="66" t="s">
        <v>242</v>
      </c>
      <c r="D477" s="67">
        <v>2</v>
      </c>
      <c r="E477" s="68">
        <v>2.08964580504E-4</v>
      </c>
    </row>
    <row r="478" spans="2:5" s="83" customFormat="1" ht="14.5" customHeight="1">
      <c r="B478" s="111"/>
      <c r="C478" s="66" t="s">
        <v>243</v>
      </c>
      <c r="D478" s="67">
        <v>5</v>
      </c>
      <c r="E478" s="68">
        <v>5.2241145125899997E-4</v>
      </c>
    </row>
    <row r="479" spans="2:5" s="83" customFormat="1" ht="14.5" customHeight="1">
      <c r="B479" s="111"/>
      <c r="C479" s="66" t="s">
        <v>244</v>
      </c>
      <c r="D479" s="67">
        <v>1</v>
      </c>
      <c r="E479" s="68">
        <v>1.04482290252E-4</v>
      </c>
    </row>
    <row r="480" spans="2:5" s="83" customFormat="1" ht="14.5" customHeight="1">
      <c r="B480" s="111"/>
      <c r="C480" s="66" t="s">
        <v>245</v>
      </c>
      <c r="D480" s="67">
        <v>1</v>
      </c>
      <c r="E480" s="68">
        <v>1.04482290252E-4</v>
      </c>
    </row>
    <row r="481" spans="2:5" s="83" customFormat="1" ht="14.5" customHeight="1">
      <c r="B481" s="112"/>
      <c r="C481" s="36" t="s">
        <v>29</v>
      </c>
      <c r="D481" s="35">
        <v>394</v>
      </c>
      <c r="E481" s="34">
        <v>4.1166022359209999E-2</v>
      </c>
    </row>
    <row r="482" spans="2:5" s="83" customFormat="1" ht="14.5" customHeight="1">
      <c r="B482" s="110" t="s">
        <v>91</v>
      </c>
      <c r="C482" s="66" t="s">
        <v>227</v>
      </c>
      <c r="D482" s="67">
        <v>1</v>
      </c>
      <c r="E482" s="68">
        <v>1.04482290252E-4</v>
      </c>
    </row>
    <row r="483" spans="2:5" s="83" customFormat="1" ht="14.5" customHeight="1">
      <c r="B483" s="111"/>
      <c r="C483" s="66" t="s">
        <v>228</v>
      </c>
      <c r="D483" s="67">
        <v>1</v>
      </c>
      <c r="E483" s="68">
        <v>1.04482290252E-4</v>
      </c>
    </row>
    <row r="484" spans="2:5" s="83" customFormat="1" ht="14.5" customHeight="1">
      <c r="B484" s="111"/>
      <c r="C484" s="66" t="s">
        <v>229</v>
      </c>
      <c r="D484" s="67">
        <v>2</v>
      </c>
      <c r="E484" s="68">
        <v>2.08964580504E-4</v>
      </c>
    </row>
    <row r="485" spans="2:5" s="83" customFormat="1" ht="14.5" customHeight="1">
      <c r="B485" s="111"/>
      <c r="C485" s="66" t="s">
        <v>230</v>
      </c>
      <c r="D485" s="67">
        <v>4</v>
      </c>
      <c r="E485" s="68">
        <v>4.1792916100699999E-4</v>
      </c>
    </row>
    <row r="486" spans="2:5" s="83" customFormat="1" ht="14.5" customHeight="1">
      <c r="B486" s="111"/>
      <c r="C486" s="66" t="s">
        <v>233</v>
      </c>
      <c r="D486" s="67">
        <v>5</v>
      </c>
      <c r="E486" s="68">
        <v>5.2241145125899997E-4</v>
      </c>
    </row>
    <row r="487" spans="2:5" s="83" customFormat="1" ht="14.5" customHeight="1">
      <c r="B487" s="111"/>
      <c r="C487" s="66" t="s">
        <v>234</v>
      </c>
      <c r="D487" s="67">
        <v>11</v>
      </c>
      <c r="E487" s="68">
        <v>1.14930519277E-3</v>
      </c>
    </row>
    <row r="488" spans="2:5" s="83" customFormat="1" ht="14.5" customHeight="1">
      <c r="B488" s="111"/>
      <c r="C488" s="66" t="s">
        <v>236</v>
      </c>
      <c r="D488" s="67">
        <v>1</v>
      </c>
      <c r="E488" s="68">
        <v>1.04482290252E-4</v>
      </c>
    </row>
    <row r="489" spans="2:5" s="83" customFormat="1" ht="14.5" customHeight="1">
      <c r="B489" s="111"/>
      <c r="C489" s="66" t="s">
        <v>237</v>
      </c>
      <c r="D489" s="67">
        <v>3</v>
      </c>
      <c r="E489" s="68">
        <v>3.13446870755E-4</v>
      </c>
    </row>
    <row r="490" spans="2:5" s="83" customFormat="1" ht="14.5" customHeight="1">
      <c r="B490" s="111"/>
      <c r="C490" s="66" t="s">
        <v>242</v>
      </c>
      <c r="D490" s="67">
        <v>1</v>
      </c>
      <c r="E490" s="68">
        <v>1.04482290252E-4</v>
      </c>
    </row>
    <row r="491" spans="2:5" s="83" customFormat="1" ht="14.5" customHeight="1">
      <c r="B491" s="112"/>
      <c r="C491" s="36" t="s">
        <v>29</v>
      </c>
      <c r="D491" s="35">
        <v>29</v>
      </c>
      <c r="E491" s="34">
        <v>3.029986417302E-3</v>
      </c>
    </row>
    <row r="492" spans="2:5" s="83" customFormat="1" ht="14.5" customHeight="1">
      <c r="B492" s="110" t="s">
        <v>79</v>
      </c>
      <c r="C492" s="66" t="s">
        <v>223</v>
      </c>
      <c r="D492" s="67">
        <v>1</v>
      </c>
      <c r="E492" s="68">
        <v>1.04482290252E-4</v>
      </c>
    </row>
    <row r="493" spans="2:5" s="83" customFormat="1" ht="14.5" customHeight="1">
      <c r="B493" s="111"/>
      <c r="C493" s="66" t="s">
        <v>226</v>
      </c>
      <c r="D493" s="67">
        <v>1</v>
      </c>
      <c r="E493" s="68">
        <v>1.04482290252E-4</v>
      </c>
    </row>
    <row r="494" spans="2:5" s="83" customFormat="1" ht="14.5" customHeight="1">
      <c r="B494" s="111"/>
      <c r="C494" s="66" t="s">
        <v>227</v>
      </c>
      <c r="D494" s="67">
        <v>2</v>
      </c>
      <c r="E494" s="68">
        <v>2.08964580504E-4</v>
      </c>
    </row>
    <row r="495" spans="2:5" s="83" customFormat="1" ht="14.5" customHeight="1">
      <c r="B495" s="111"/>
      <c r="C495" s="66" t="s">
        <v>228</v>
      </c>
      <c r="D495" s="67">
        <v>1</v>
      </c>
      <c r="E495" s="68">
        <v>1.04482290252E-4</v>
      </c>
    </row>
    <row r="496" spans="2:5" s="83" customFormat="1" ht="14.5" customHeight="1">
      <c r="B496" s="111"/>
      <c r="C496" s="66" t="s">
        <v>229</v>
      </c>
      <c r="D496" s="67">
        <v>3</v>
      </c>
      <c r="E496" s="68">
        <v>3.13446870755E-4</v>
      </c>
    </row>
    <row r="497" spans="2:5" s="83" customFormat="1" ht="14.5" customHeight="1">
      <c r="B497" s="111"/>
      <c r="C497" s="66" t="s">
        <v>230</v>
      </c>
      <c r="D497" s="67">
        <v>13</v>
      </c>
      <c r="E497" s="68">
        <v>1.3582697732729999E-3</v>
      </c>
    </row>
    <row r="498" spans="2:5" s="83" customFormat="1" ht="14.5" customHeight="1">
      <c r="B498" s="111"/>
      <c r="C498" s="66" t="s">
        <v>232</v>
      </c>
      <c r="D498" s="67">
        <v>1</v>
      </c>
      <c r="E498" s="68">
        <v>1.04482290252E-4</v>
      </c>
    </row>
    <row r="499" spans="2:5" s="83" customFormat="1" ht="14.5" customHeight="1">
      <c r="B499" s="111"/>
      <c r="C499" s="66" t="s">
        <v>233</v>
      </c>
      <c r="D499" s="67">
        <v>4</v>
      </c>
      <c r="E499" s="68">
        <v>4.1792916100699999E-4</v>
      </c>
    </row>
    <row r="500" spans="2:5" s="83" customFormat="1" ht="14.5" customHeight="1">
      <c r="B500" s="111"/>
      <c r="C500" s="66" t="s">
        <v>234</v>
      </c>
      <c r="D500" s="67">
        <v>28</v>
      </c>
      <c r="E500" s="68">
        <v>2.9255041270500001E-3</v>
      </c>
    </row>
    <row r="501" spans="2:5" s="83" customFormat="1" ht="14.5" customHeight="1">
      <c r="B501" s="111"/>
      <c r="C501" s="66" t="s">
        <v>235</v>
      </c>
      <c r="D501" s="67">
        <v>2</v>
      </c>
      <c r="E501" s="68">
        <v>2.08964580504E-4</v>
      </c>
    </row>
    <row r="502" spans="2:5" s="83" customFormat="1" ht="14.5" customHeight="1">
      <c r="B502" s="111"/>
      <c r="C502" s="66" t="s">
        <v>236</v>
      </c>
      <c r="D502" s="67">
        <v>5</v>
      </c>
      <c r="E502" s="68">
        <v>5.2241145125899997E-4</v>
      </c>
    </row>
    <row r="503" spans="2:5" s="83" customFormat="1" ht="14.5" customHeight="1">
      <c r="B503" s="111"/>
      <c r="C503" s="66" t="s">
        <v>237</v>
      </c>
      <c r="D503" s="67">
        <v>18</v>
      </c>
      <c r="E503" s="68">
        <v>1.8806812245319999E-3</v>
      </c>
    </row>
    <row r="504" spans="2:5" s="83" customFormat="1" ht="14.5" customHeight="1">
      <c r="B504" s="111"/>
      <c r="C504" s="66" t="s">
        <v>239</v>
      </c>
      <c r="D504" s="67">
        <v>1</v>
      </c>
      <c r="E504" s="68">
        <v>1.04482290252E-4</v>
      </c>
    </row>
    <row r="505" spans="2:5" s="83" customFormat="1" ht="14.5" customHeight="1">
      <c r="B505" s="111"/>
      <c r="C505" s="66" t="s">
        <v>243</v>
      </c>
      <c r="D505" s="67">
        <v>1</v>
      </c>
      <c r="E505" s="68">
        <v>1.04482290252E-4</v>
      </c>
    </row>
    <row r="506" spans="2:5" s="83" customFormat="1" ht="14.5" customHeight="1">
      <c r="B506" s="112"/>
      <c r="C506" s="36" t="s">
        <v>29</v>
      </c>
      <c r="D506" s="35">
        <v>81</v>
      </c>
      <c r="E506" s="34">
        <v>8.4630655103960003E-3</v>
      </c>
    </row>
    <row r="507" spans="2:5" s="83" customFormat="1" ht="14.5" customHeight="1">
      <c r="B507" s="110" t="s">
        <v>87</v>
      </c>
      <c r="C507" s="66" t="s">
        <v>224</v>
      </c>
      <c r="D507" s="67">
        <v>1</v>
      </c>
      <c r="E507" s="68">
        <v>1.04482290252E-4</v>
      </c>
    </row>
    <row r="508" spans="2:5" s="83" customFormat="1" ht="14.5" customHeight="1">
      <c r="B508" s="111"/>
      <c r="C508" s="66" t="s">
        <v>226</v>
      </c>
      <c r="D508" s="67">
        <v>1</v>
      </c>
      <c r="E508" s="68">
        <v>1.04482290252E-4</v>
      </c>
    </row>
    <row r="509" spans="2:5" s="83" customFormat="1" ht="14.5" customHeight="1">
      <c r="B509" s="111"/>
      <c r="C509" s="66" t="s">
        <v>229</v>
      </c>
      <c r="D509" s="67">
        <v>7</v>
      </c>
      <c r="E509" s="68">
        <v>7.3137603176300005E-4</v>
      </c>
    </row>
    <row r="510" spans="2:5" s="83" customFormat="1" ht="14.5" customHeight="1">
      <c r="B510" s="111"/>
      <c r="C510" s="66" t="s">
        <v>230</v>
      </c>
      <c r="D510" s="67">
        <v>6</v>
      </c>
      <c r="E510" s="68">
        <v>6.2689374151099996E-4</v>
      </c>
    </row>
    <row r="511" spans="2:5" s="83" customFormat="1" ht="14.5" customHeight="1">
      <c r="B511" s="111"/>
      <c r="C511" s="66" t="s">
        <v>232</v>
      </c>
      <c r="D511" s="67">
        <v>1</v>
      </c>
      <c r="E511" s="68">
        <v>1.04482290252E-4</v>
      </c>
    </row>
    <row r="512" spans="2:5" s="83" customFormat="1" ht="14.5" customHeight="1">
      <c r="B512" s="111"/>
      <c r="C512" s="66" t="s">
        <v>233</v>
      </c>
      <c r="D512" s="67">
        <v>1</v>
      </c>
      <c r="E512" s="68">
        <v>1.04482290252E-4</v>
      </c>
    </row>
    <row r="513" spans="2:5" s="83" customFormat="1" ht="14.5" customHeight="1">
      <c r="B513" s="111"/>
      <c r="C513" s="66" t="s">
        <v>234</v>
      </c>
      <c r="D513" s="67">
        <v>20</v>
      </c>
      <c r="E513" s="68">
        <v>2.0896458050359999E-3</v>
      </c>
    </row>
    <row r="514" spans="2:5" s="83" customFormat="1" ht="14.5" customHeight="1">
      <c r="B514" s="111"/>
      <c r="C514" s="66" t="s">
        <v>236</v>
      </c>
      <c r="D514" s="67">
        <v>2</v>
      </c>
      <c r="E514" s="68">
        <v>2.08964580504E-4</v>
      </c>
    </row>
    <row r="515" spans="2:5" s="83" customFormat="1" ht="14.5" customHeight="1">
      <c r="B515" s="111"/>
      <c r="C515" s="66" t="s">
        <v>237</v>
      </c>
      <c r="D515" s="67">
        <v>7</v>
      </c>
      <c r="E515" s="68">
        <v>7.3137603176300005E-4</v>
      </c>
    </row>
    <row r="516" spans="2:5" s="83" customFormat="1" ht="14.5" customHeight="1">
      <c r="B516" s="111"/>
      <c r="C516" s="66" t="s">
        <v>243</v>
      </c>
      <c r="D516" s="67">
        <v>1</v>
      </c>
      <c r="E516" s="68">
        <v>1.04482290252E-4</v>
      </c>
    </row>
    <row r="517" spans="2:5" s="83" customFormat="1" ht="14.5" customHeight="1">
      <c r="B517" s="112"/>
      <c r="C517" s="36" t="s">
        <v>29</v>
      </c>
      <c r="D517" s="35">
        <v>47</v>
      </c>
      <c r="E517" s="34">
        <v>4.9106676418349997E-3</v>
      </c>
    </row>
    <row r="518" spans="2:5" s="83" customFormat="1" ht="14.5" customHeight="1">
      <c r="B518" s="110" t="s">
        <v>92</v>
      </c>
      <c r="C518" s="66" t="s">
        <v>223</v>
      </c>
      <c r="D518" s="67">
        <v>1</v>
      </c>
      <c r="E518" s="68">
        <v>1.04482290252E-4</v>
      </c>
    </row>
    <row r="519" spans="2:5" s="83" customFormat="1" ht="14.5" customHeight="1">
      <c r="B519" s="111"/>
      <c r="C519" s="66" t="s">
        <v>225</v>
      </c>
      <c r="D519" s="67">
        <v>1</v>
      </c>
      <c r="E519" s="68">
        <v>1.04482290252E-4</v>
      </c>
    </row>
    <row r="520" spans="2:5" s="83" customFormat="1" ht="14.5" customHeight="1">
      <c r="B520" s="111"/>
      <c r="C520" s="66" t="s">
        <v>229</v>
      </c>
      <c r="D520" s="67">
        <v>3</v>
      </c>
      <c r="E520" s="68">
        <v>3.13446870755E-4</v>
      </c>
    </row>
    <row r="521" spans="2:5" s="83" customFormat="1" ht="14.5" customHeight="1">
      <c r="B521" s="111"/>
      <c r="C521" s="66" t="s">
        <v>230</v>
      </c>
      <c r="D521" s="67">
        <v>3</v>
      </c>
      <c r="E521" s="68">
        <v>3.13446870755E-4</v>
      </c>
    </row>
    <row r="522" spans="2:5" s="83" customFormat="1" ht="14.5" customHeight="1">
      <c r="B522" s="111"/>
      <c r="C522" s="66" t="s">
        <v>233</v>
      </c>
      <c r="D522" s="67">
        <v>1</v>
      </c>
      <c r="E522" s="68">
        <v>1.04482290252E-4</v>
      </c>
    </row>
    <row r="523" spans="2:5" s="83" customFormat="1" ht="14.5" customHeight="1">
      <c r="B523" s="111"/>
      <c r="C523" s="66" t="s">
        <v>234</v>
      </c>
      <c r="D523" s="67">
        <v>11</v>
      </c>
      <c r="E523" s="68">
        <v>1.14930519277E-3</v>
      </c>
    </row>
    <row r="524" spans="2:5" s="83" customFormat="1" ht="14.5" customHeight="1">
      <c r="B524" s="111"/>
      <c r="C524" s="66" t="s">
        <v>236</v>
      </c>
      <c r="D524" s="67">
        <v>1</v>
      </c>
      <c r="E524" s="68">
        <v>1.04482290252E-4</v>
      </c>
    </row>
    <row r="525" spans="2:5" s="83" customFormat="1" ht="14.5" customHeight="1">
      <c r="B525" s="111"/>
      <c r="C525" s="66" t="s">
        <v>237</v>
      </c>
      <c r="D525" s="67">
        <v>6</v>
      </c>
      <c r="E525" s="68">
        <v>6.2689374151099996E-4</v>
      </c>
    </row>
    <row r="526" spans="2:5" s="83" customFormat="1" ht="14.5" customHeight="1">
      <c r="B526" s="111"/>
      <c r="C526" s="66" t="s">
        <v>242</v>
      </c>
      <c r="D526" s="67">
        <v>1</v>
      </c>
      <c r="E526" s="68">
        <v>1.04482290252E-4</v>
      </c>
    </row>
    <row r="527" spans="2:5" s="83" customFormat="1" ht="14.5" customHeight="1">
      <c r="B527" s="112"/>
      <c r="C527" s="36" t="s">
        <v>29</v>
      </c>
      <c r="D527" s="35">
        <v>28</v>
      </c>
      <c r="E527" s="34">
        <v>2.9255041270500001E-3</v>
      </c>
    </row>
    <row r="528" spans="2:5" s="83" customFormat="1" ht="14.5" customHeight="1">
      <c r="B528" s="110" t="s">
        <v>52</v>
      </c>
      <c r="C528" s="66" t="s">
        <v>223</v>
      </c>
      <c r="D528" s="67">
        <v>8</v>
      </c>
      <c r="E528" s="68">
        <v>8.3585832201399997E-4</v>
      </c>
    </row>
    <row r="529" spans="2:5" s="83" customFormat="1" ht="14.5" customHeight="1">
      <c r="B529" s="111"/>
      <c r="C529" s="66" t="s">
        <v>224</v>
      </c>
      <c r="D529" s="67">
        <v>1</v>
      </c>
      <c r="E529" s="68">
        <v>1.04482290252E-4</v>
      </c>
    </row>
    <row r="530" spans="2:5" s="83" customFormat="1" ht="14.5" customHeight="1">
      <c r="B530" s="111"/>
      <c r="C530" s="66" t="s">
        <v>225</v>
      </c>
      <c r="D530" s="67">
        <v>5</v>
      </c>
      <c r="E530" s="68">
        <v>5.2241145125899997E-4</v>
      </c>
    </row>
    <row r="531" spans="2:5" s="83" customFormat="1" ht="14.5" customHeight="1">
      <c r="B531" s="111"/>
      <c r="C531" s="66" t="s">
        <v>226</v>
      </c>
      <c r="D531" s="67">
        <v>9</v>
      </c>
      <c r="E531" s="68">
        <v>9.4034061226599996E-4</v>
      </c>
    </row>
    <row r="532" spans="2:5" s="83" customFormat="1" ht="14.5" customHeight="1">
      <c r="B532" s="111"/>
      <c r="C532" s="66" t="s">
        <v>227</v>
      </c>
      <c r="D532" s="67">
        <v>6</v>
      </c>
      <c r="E532" s="68">
        <v>6.2689374151099996E-4</v>
      </c>
    </row>
    <row r="533" spans="2:5" s="83" customFormat="1" ht="14.5" customHeight="1">
      <c r="B533" s="111"/>
      <c r="C533" s="66" t="s">
        <v>228</v>
      </c>
      <c r="D533" s="67">
        <v>7</v>
      </c>
      <c r="E533" s="68">
        <v>7.3137603176300005E-4</v>
      </c>
    </row>
    <row r="534" spans="2:5" s="83" customFormat="1" ht="14.5" customHeight="1">
      <c r="B534" s="111"/>
      <c r="C534" s="66" t="s">
        <v>229</v>
      </c>
      <c r="D534" s="67">
        <v>49</v>
      </c>
      <c r="E534" s="68">
        <v>5.1196322223380003E-3</v>
      </c>
    </row>
    <row r="535" spans="2:5" s="83" customFormat="1" ht="14.5" customHeight="1">
      <c r="B535" s="111"/>
      <c r="C535" s="66" t="s">
        <v>230</v>
      </c>
      <c r="D535" s="67">
        <v>135</v>
      </c>
      <c r="E535" s="68">
        <v>1.4105109183993001E-2</v>
      </c>
    </row>
    <row r="536" spans="2:5" s="83" customFormat="1" ht="14.5" customHeight="1">
      <c r="B536" s="111"/>
      <c r="C536" s="66" t="s">
        <v>231</v>
      </c>
      <c r="D536" s="67">
        <v>6</v>
      </c>
      <c r="E536" s="68">
        <v>6.2689374151099996E-4</v>
      </c>
    </row>
    <row r="537" spans="2:5" s="83" customFormat="1" ht="14.5" customHeight="1">
      <c r="B537" s="111"/>
      <c r="C537" s="66" t="s">
        <v>232</v>
      </c>
      <c r="D537" s="67">
        <v>10</v>
      </c>
      <c r="E537" s="68">
        <v>1.0448229025179999E-3</v>
      </c>
    </row>
    <row r="538" spans="2:5" s="83" customFormat="1" ht="14.5" customHeight="1">
      <c r="B538" s="111"/>
      <c r="C538" s="66" t="s">
        <v>233</v>
      </c>
      <c r="D538" s="67">
        <v>37</v>
      </c>
      <c r="E538" s="68">
        <v>3.8658447393170002E-3</v>
      </c>
    </row>
    <row r="539" spans="2:5" s="83" customFormat="1" ht="14.5" customHeight="1">
      <c r="B539" s="111"/>
      <c r="C539" s="66" t="s">
        <v>234</v>
      </c>
      <c r="D539" s="67">
        <v>283</v>
      </c>
      <c r="E539" s="68">
        <v>2.9568488141260001E-2</v>
      </c>
    </row>
    <row r="540" spans="2:5" s="83" customFormat="1" ht="14.5" customHeight="1">
      <c r="B540" s="111"/>
      <c r="C540" s="66" t="s">
        <v>235</v>
      </c>
      <c r="D540" s="67">
        <v>2</v>
      </c>
      <c r="E540" s="68">
        <v>2.08964580504E-4</v>
      </c>
    </row>
    <row r="541" spans="2:5" s="83" customFormat="1" ht="14.5" customHeight="1">
      <c r="B541" s="111"/>
      <c r="C541" s="66" t="s">
        <v>236</v>
      </c>
      <c r="D541" s="67">
        <v>20</v>
      </c>
      <c r="E541" s="68">
        <v>2.0896458050359999E-3</v>
      </c>
    </row>
    <row r="542" spans="2:5" s="83" customFormat="1" ht="14.5" customHeight="1">
      <c r="B542" s="111"/>
      <c r="C542" s="66" t="s">
        <v>237</v>
      </c>
      <c r="D542" s="67">
        <v>82</v>
      </c>
      <c r="E542" s="68">
        <v>8.5675478006479993E-3</v>
      </c>
    </row>
    <row r="543" spans="2:5" s="83" customFormat="1" ht="14.5" customHeight="1">
      <c r="B543" s="111"/>
      <c r="C543" s="66" t="s">
        <v>242</v>
      </c>
      <c r="D543" s="67">
        <v>1</v>
      </c>
      <c r="E543" s="68">
        <v>1.04482290252E-4</v>
      </c>
    </row>
    <row r="544" spans="2:5" s="83" customFormat="1" ht="14.5" customHeight="1">
      <c r="B544" s="111"/>
      <c r="C544" s="66" t="s">
        <v>243</v>
      </c>
      <c r="D544" s="67">
        <v>6</v>
      </c>
      <c r="E544" s="68">
        <v>6.2689374151099996E-4</v>
      </c>
    </row>
    <row r="545" spans="2:5" s="83" customFormat="1" ht="14.5" customHeight="1">
      <c r="B545" s="111"/>
      <c r="C545" s="66" t="s">
        <v>245</v>
      </c>
      <c r="D545" s="67">
        <v>1</v>
      </c>
      <c r="E545" s="68">
        <v>1.04482290252E-4</v>
      </c>
    </row>
    <row r="546" spans="2:5" s="83" customFormat="1" ht="14.5" customHeight="1">
      <c r="B546" s="111"/>
      <c r="C546" s="66" t="s">
        <v>247</v>
      </c>
      <c r="D546" s="67">
        <v>1</v>
      </c>
      <c r="E546" s="68">
        <v>1.04482290252E-4</v>
      </c>
    </row>
    <row r="547" spans="2:5" s="83" customFormat="1" ht="14.5" customHeight="1">
      <c r="B547" s="112"/>
      <c r="C547" s="36" t="s">
        <v>29</v>
      </c>
      <c r="D547" s="35">
        <v>669</v>
      </c>
      <c r="E547" s="34">
        <v>6.9898652178456006E-2</v>
      </c>
    </row>
    <row r="548" spans="2:5" s="83" customFormat="1" ht="14.5" customHeight="1">
      <c r="B548" s="110" t="s">
        <v>72</v>
      </c>
      <c r="C548" s="66" t="s">
        <v>223</v>
      </c>
      <c r="D548" s="67">
        <v>2</v>
      </c>
      <c r="E548" s="68">
        <v>2.08964580504E-4</v>
      </c>
    </row>
    <row r="549" spans="2:5" s="83" customFormat="1" ht="14.5" customHeight="1">
      <c r="B549" s="111"/>
      <c r="C549" s="66" t="s">
        <v>227</v>
      </c>
      <c r="D549" s="67">
        <v>1</v>
      </c>
      <c r="E549" s="68">
        <v>1.04482290252E-4</v>
      </c>
    </row>
    <row r="550" spans="2:5" s="83" customFormat="1" ht="14.5" customHeight="1">
      <c r="B550" s="111"/>
      <c r="C550" s="66" t="s">
        <v>229</v>
      </c>
      <c r="D550" s="67">
        <v>6</v>
      </c>
      <c r="E550" s="68">
        <v>6.2689374151099996E-4</v>
      </c>
    </row>
    <row r="551" spans="2:5" s="83" customFormat="1" ht="14.5" customHeight="1">
      <c r="B551" s="111"/>
      <c r="C551" s="66" t="s">
        <v>230</v>
      </c>
      <c r="D551" s="67">
        <v>20</v>
      </c>
      <c r="E551" s="68">
        <v>2.0896458050359999E-3</v>
      </c>
    </row>
    <row r="552" spans="2:5" s="83" customFormat="1" ht="14.5" customHeight="1">
      <c r="B552" s="111"/>
      <c r="C552" s="66" t="s">
        <v>231</v>
      </c>
      <c r="D552" s="67">
        <v>1</v>
      </c>
      <c r="E552" s="68">
        <v>1.04482290252E-4</v>
      </c>
    </row>
    <row r="553" spans="2:5" s="83" customFormat="1" ht="14.5" customHeight="1">
      <c r="B553" s="111"/>
      <c r="C553" s="66" t="s">
        <v>233</v>
      </c>
      <c r="D553" s="67">
        <v>7</v>
      </c>
      <c r="E553" s="68">
        <v>7.3137603176300005E-4</v>
      </c>
    </row>
    <row r="554" spans="2:5" s="83" customFormat="1" ht="14.5" customHeight="1">
      <c r="B554" s="111"/>
      <c r="C554" s="66" t="s">
        <v>234</v>
      </c>
      <c r="D554" s="67">
        <v>38</v>
      </c>
      <c r="E554" s="68">
        <v>3.970327029568E-3</v>
      </c>
    </row>
    <row r="555" spans="2:5" s="83" customFormat="1" ht="14.5" customHeight="1">
      <c r="B555" s="111"/>
      <c r="C555" s="66" t="s">
        <v>235</v>
      </c>
      <c r="D555" s="67">
        <v>1</v>
      </c>
      <c r="E555" s="68">
        <v>1.04482290252E-4</v>
      </c>
    </row>
    <row r="556" spans="2:5" s="83" customFormat="1" ht="14.5" customHeight="1">
      <c r="B556" s="111"/>
      <c r="C556" s="66" t="s">
        <v>236</v>
      </c>
      <c r="D556" s="67">
        <v>2</v>
      </c>
      <c r="E556" s="68">
        <v>2.08964580504E-4</v>
      </c>
    </row>
    <row r="557" spans="2:5" s="83" customFormat="1" ht="14.5" customHeight="1">
      <c r="B557" s="111"/>
      <c r="C557" s="66" t="s">
        <v>237</v>
      </c>
      <c r="D557" s="67">
        <v>18</v>
      </c>
      <c r="E557" s="68">
        <v>1.8806812245319999E-3</v>
      </c>
    </row>
    <row r="558" spans="2:5" s="83" customFormat="1" ht="14.5" customHeight="1">
      <c r="B558" s="111"/>
      <c r="C558" s="66" t="s">
        <v>239</v>
      </c>
      <c r="D558" s="67">
        <v>1</v>
      </c>
      <c r="E558" s="68">
        <v>1.04482290252E-4</v>
      </c>
    </row>
    <row r="559" spans="2:5" s="83" customFormat="1" ht="14.5" customHeight="1">
      <c r="B559" s="111"/>
      <c r="C559" s="66" t="s">
        <v>242</v>
      </c>
      <c r="D559" s="67">
        <v>1</v>
      </c>
      <c r="E559" s="68">
        <v>1.04482290252E-4</v>
      </c>
    </row>
    <row r="560" spans="2:5" s="83" customFormat="1" ht="14.5" customHeight="1">
      <c r="B560" s="111"/>
      <c r="C560" s="66" t="s">
        <v>243</v>
      </c>
      <c r="D560" s="67">
        <v>1</v>
      </c>
      <c r="E560" s="68">
        <v>1.04482290252E-4</v>
      </c>
    </row>
    <row r="561" spans="2:5" s="83" customFormat="1" ht="14.5" customHeight="1">
      <c r="B561" s="112"/>
      <c r="C561" s="36" t="s">
        <v>29</v>
      </c>
      <c r="D561" s="35">
        <v>99</v>
      </c>
      <c r="E561" s="34">
        <v>1.0343746734928E-2</v>
      </c>
    </row>
    <row r="562" spans="2:5" s="83" customFormat="1" ht="14.5" customHeight="1">
      <c r="B562" s="110" t="s">
        <v>76</v>
      </c>
      <c r="C562" s="66" t="s">
        <v>223</v>
      </c>
      <c r="D562" s="67">
        <v>1</v>
      </c>
      <c r="E562" s="68">
        <v>1.04482290252E-4</v>
      </c>
    </row>
    <row r="563" spans="2:5" s="83" customFormat="1" ht="14.5" customHeight="1">
      <c r="B563" s="111"/>
      <c r="C563" s="66" t="s">
        <v>225</v>
      </c>
      <c r="D563" s="67">
        <v>1</v>
      </c>
      <c r="E563" s="68">
        <v>1.04482290252E-4</v>
      </c>
    </row>
    <row r="564" spans="2:5" s="83" customFormat="1" ht="14.5" customHeight="1">
      <c r="B564" s="111"/>
      <c r="C564" s="66" t="s">
        <v>229</v>
      </c>
      <c r="D564" s="67">
        <v>5</v>
      </c>
      <c r="E564" s="68">
        <v>5.2241145125899997E-4</v>
      </c>
    </row>
    <row r="565" spans="2:5" s="83" customFormat="1" ht="14.5" customHeight="1">
      <c r="B565" s="111"/>
      <c r="C565" s="66" t="s">
        <v>230</v>
      </c>
      <c r="D565" s="67">
        <v>14</v>
      </c>
      <c r="E565" s="68">
        <v>1.462752063525E-3</v>
      </c>
    </row>
    <row r="566" spans="2:5" s="83" customFormat="1" ht="14.5" customHeight="1">
      <c r="B566" s="111"/>
      <c r="C566" s="66" t="s">
        <v>233</v>
      </c>
      <c r="D566" s="67">
        <v>6</v>
      </c>
      <c r="E566" s="68">
        <v>6.2689374151099996E-4</v>
      </c>
    </row>
    <row r="567" spans="2:5" s="83" customFormat="1" ht="14.5" customHeight="1">
      <c r="B567" s="111"/>
      <c r="C567" s="66" t="s">
        <v>234</v>
      </c>
      <c r="D567" s="67">
        <v>39</v>
      </c>
      <c r="E567" s="68">
        <v>4.0748093198199999E-3</v>
      </c>
    </row>
    <row r="568" spans="2:5" s="83" customFormat="1" ht="14.5" customHeight="1">
      <c r="B568" s="111"/>
      <c r="C568" s="66" t="s">
        <v>235</v>
      </c>
      <c r="D568" s="67">
        <v>1</v>
      </c>
      <c r="E568" s="68">
        <v>1.04482290252E-4</v>
      </c>
    </row>
    <row r="569" spans="2:5" s="83" customFormat="1" ht="14.5" customHeight="1">
      <c r="B569" s="111"/>
      <c r="C569" s="66" t="s">
        <v>236</v>
      </c>
      <c r="D569" s="67">
        <v>1</v>
      </c>
      <c r="E569" s="68">
        <v>1.04482290252E-4</v>
      </c>
    </row>
    <row r="570" spans="2:5" s="83" customFormat="1" ht="14.5" customHeight="1">
      <c r="B570" s="111"/>
      <c r="C570" s="66" t="s">
        <v>237</v>
      </c>
      <c r="D570" s="67">
        <v>18</v>
      </c>
      <c r="E570" s="68">
        <v>1.8806812245319999E-3</v>
      </c>
    </row>
    <row r="571" spans="2:5" s="83" customFormat="1" ht="14.5" customHeight="1">
      <c r="B571" s="111"/>
      <c r="C571" s="66" t="s">
        <v>243</v>
      </c>
      <c r="D571" s="67">
        <v>4</v>
      </c>
      <c r="E571" s="68">
        <v>4.1792916100699999E-4</v>
      </c>
    </row>
    <row r="572" spans="2:5" s="83" customFormat="1" ht="14.5" customHeight="1">
      <c r="B572" s="112"/>
      <c r="C572" s="36" t="s">
        <v>29</v>
      </c>
      <c r="D572" s="35">
        <v>90</v>
      </c>
      <c r="E572" s="34">
        <v>9.4034061226619999E-3</v>
      </c>
    </row>
    <row r="573" spans="2:5" s="83" customFormat="1" ht="14.5" customHeight="1">
      <c r="B573" s="110" t="s">
        <v>88</v>
      </c>
      <c r="C573" s="66" t="s">
        <v>226</v>
      </c>
      <c r="D573" s="67">
        <v>1</v>
      </c>
      <c r="E573" s="68">
        <v>1.04482290252E-4</v>
      </c>
    </row>
    <row r="574" spans="2:5" s="83" customFormat="1" ht="14.5" customHeight="1">
      <c r="B574" s="111"/>
      <c r="C574" s="66" t="s">
        <v>228</v>
      </c>
      <c r="D574" s="67">
        <v>1</v>
      </c>
      <c r="E574" s="68">
        <v>1.04482290252E-4</v>
      </c>
    </row>
    <row r="575" spans="2:5" s="83" customFormat="1" ht="14.5" customHeight="1">
      <c r="B575" s="111"/>
      <c r="C575" s="66" t="s">
        <v>229</v>
      </c>
      <c r="D575" s="67">
        <v>3</v>
      </c>
      <c r="E575" s="68">
        <v>3.13446870755E-4</v>
      </c>
    </row>
    <row r="576" spans="2:5" s="83" customFormat="1" ht="14.5" customHeight="1">
      <c r="B576" s="111"/>
      <c r="C576" s="66" t="s">
        <v>230</v>
      </c>
      <c r="D576" s="67">
        <v>8</v>
      </c>
      <c r="E576" s="68">
        <v>8.3585832201399997E-4</v>
      </c>
    </row>
    <row r="577" spans="2:5" s="83" customFormat="1" ht="14.5" customHeight="1">
      <c r="B577" s="111"/>
      <c r="C577" s="66" t="s">
        <v>232</v>
      </c>
      <c r="D577" s="67">
        <v>2</v>
      </c>
      <c r="E577" s="68">
        <v>2.08964580504E-4</v>
      </c>
    </row>
    <row r="578" spans="2:5" s="83" customFormat="1" ht="14.5" customHeight="1">
      <c r="B578" s="111"/>
      <c r="C578" s="66" t="s">
        <v>233</v>
      </c>
      <c r="D578" s="67">
        <v>5</v>
      </c>
      <c r="E578" s="68">
        <v>5.2241145125899997E-4</v>
      </c>
    </row>
    <row r="579" spans="2:5" s="83" customFormat="1" ht="14.5" customHeight="1">
      <c r="B579" s="111"/>
      <c r="C579" s="66" t="s">
        <v>234</v>
      </c>
      <c r="D579" s="67">
        <v>17</v>
      </c>
      <c r="E579" s="68">
        <v>1.7761989342810001E-3</v>
      </c>
    </row>
    <row r="580" spans="2:5" s="83" customFormat="1" ht="14.5" customHeight="1">
      <c r="B580" s="111"/>
      <c r="C580" s="66" t="s">
        <v>237</v>
      </c>
      <c r="D580" s="67">
        <v>6</v>
      </c>
      <c r="E580" s="68">
        <v>6.2689374151099996E-4</v>
      </c>
    </row>
    <row r="581" spans="2:5" s="83" customFormat="1" ht="14.5" customHeight="1">
      <c r="B581" s="112"/>
      <c r="C581" s="36" t="s">
        <v>29</v>
      </c>
      <c r="D581" s="35">
        <v>43</v>
      </c>
      <c r="E581" s="34">
        <v>4.4927384808280003E-3</v>
      </c>
    </row>
    <row r="582" spans="2:5" s="83" customFormat="1" ht="14.5" customHeight="1">
      <c r="B582" s="110" t="s">
        <v>64</v>
      </c>
      <c r="C582" s="66" t="s">
        <v>223</v>
      </c>
      <c r="D582" s="67">
        <v>1</v>
      </c>
      <c r="E582" s="68">
        <v>1.04482290252E-4</v>
      </c>
    </row>
    <row r="583" spans="2:5" s="83" customFormat="1" ht="14.5" customHeight="1">
      <c r="B583" s="111"/>
      <c r="C583" s="66" t="s">
        <v>224</v>
      </c>
      <c r="D583" s="67">
        <v>1</v>
      </c>
      <c r="E583" s="68">
        <v>1.04482290252E-4</v>
      </c>
    </row>
    <row r="584" spans="2:5" s="83" customFormat="1" ht="14.5" customHeight="1">
      <c r="B584" s="111"/>
      <c r="C584" s="66" t="s">
        <v>225</v>
      </c>
      <c r="D584" s="67">
        <v>1</v>
      </c>
      <c r="E584" s="68">
        <v>1.04482290252E-4</v>
      </c>
    </row>
    <row r="585" spans="2:5" s="83" customFormat="1" ht="14.5" customHeight="1">
      <c r="B585" s="111"/>
      <c r="C585" s="66" t="s">
        <v>226</v>
      </c>
      <c r="D585" s="67">
        <v>4</v>
      </c>
      <c r="E585" s="68">
        <v>4.1792916100699999E-4</v>
      </c>
    </row>
    <row r="586" spans="2:5" s="83" customFormat="1" ht="14.5" customHeight="1">
      <c r="B586" s="111"/>
      <c r="C586" s="66" t="s">
        <v>227</v>
      </c>
      <c r="D586" s="67">
        <v>2</v>
      </c>
      <c r="E586" s="68">
        <v>2.08964580504E-4</v>
      </c>
    </row>
    <row r="587" spans="2:5" s="83" customFormat="1" ht="14.5" customHeight="1">
      <c r="B587" s="111"/>
      <c r="C587" s="66" t="s">
        <v>228</v>
      </c>
      <c r="D587" s="67">
        <v>3</v>
      </c>
      <c r="E587" s="68">
        <v>3.13446870755E-4</v>
      </c>
    </row>
    <row r="588" spans="2:5" s="83" customFormat="1" ht="14.5" customHeight="1">
      <c r="B588" s="111"/>
      <c r="C588" s="66" t="s">
        <v>229</v>
      </c>
      <c r="D588" s="67">
        <v>24</v>
      </c>
      <c r="E588" s="68">
        <v>2.5075749660430002E-3</v>
      </c>
    </row>
    <row r="589" spans="2:5" s="83" customFormat="1" ht="14.5" customHeight="1">
      <c r="B589" s="111"/>
      <c r="C589" s="66" t="s">
        <v>230</v>
      </c>
      <c r="D589" s="67">
        <v>18</v>
      </c>
      <c r="E589" s="68">
        <v>1.8806812245319999E-3</v>
      </c>
    </row>
    <row r="590" spans="2:5" s="83" customFormat="1" ht="14.5" customHeight="1">
      <c r="B590" s="111"/>
      <c r="C590" s="66" t="s">
        <v>231</v>
      </c>
      <c r="D590" s="67">
        <v>4</v>
      </c>
      <c r="E590" s="68">
        <v>4.1792916100699999E-4</v>
      </c>
    </row>
    <row r="591" spans="2:5" s="83" customFormat="1" ht="14.5" customHeight="1">
      <c r="B591" s="111"/>
      <c r="C591" s="66" t="s">
        <v>232</v>
      </c>
      <c r="D591" s="67">
        <v>4</v>
      </c>
      <c r="E591" s="68">
        <v>4.1792916100699999E-4</v>
      </c>
    </row>
    <row r="592" spans="2:5" s="83" customFormat="1" ht="14.5" customHeight="1">
      <c r="B592" s="111"/>
      <c r="C592" s="66" t="s">
        <v>233</v>
      </c>
      <c r="D592" s="67">
        <v>13</v>
      </c>
      <c r="E592" s="68">
        <v>1.3582697732729999E-3</v>
      </c>
    </row>
    <row r="593" spans="2:5" s="83" customFormat="1" ht="14.5" customHeight="1">
      <c r="B593" s="111"/>
      <c r="C593" s="66" t="s">
        <v>234</v>
      </c>
      <c r="D593" s="67">
        <v>68</v>
      </c>
      <c r="E593" s="68">
        <v>7.1047957371230003E-3</v>
      </c>
    </row>
    <row r="594" spans="2:5" s="83" customFormat="1" ht="14.5" customHeight="1">
      <c r="B594" s="111"/>
      <c r="C594" s="66" t="s">
        <v>235</v>
      </c>
      <c r="D594" s="67">
        <v>1</v>
      </c>
      <c r="E594" s="68">
        <v>1.04482290252E-4</v>
      </c>
    </row>
    <row r="595" spans="2:5" s="83" customFormat="1" ht="14.5" customHeight="1">
      <c r="B595" s="111"/>
      <c r="C595" s="66" t="s">
        <v>236</v>
      </c>
      <c r="D595" s="67">
        <v>10</v>
      </c>
      <c r="E595" s="68">
        <v>1.0448229025179999E-3</v>
      </c>
    </row>
    <row r="596" spans="2:5" s="83" customFormat="1" ht="14.5" customHeight="1">
      <c r="B596" s="111"/>
      <c r="C596" s="66" t="s">
        <v>237</v>
      </c>
      <c r="D596" s="67">
        <v>32</v>
      </c>
      <c r="E596" s="68">
        <v>3.343433288058E-3</v>
      </c>
    </row>
    <row r="597" spans="2:5" s="83" customFormat="1" ht="14.5" customHeight="1">
      <c r="B597" s="111"/>
      <c r="C597" s="66" t="s">
        <v>238</v>
      </c>
      <c r="D597" s="67">
        <v>1</v>
      </c>
      <c r="E597" s="68">
        <v>1.04482290252E-4</v>
      </c>
    </row>
    <row r="598" spans="2:5" s="83" customFormat="1" ht="14.5" customHeight="1">
      <c r="B598" s="111"/>
      <c r="C598" s="66" t="s">
        <v>240</v>
      </c>
      <c r="D598" s="67">
        <v>1</v>
      </c>
      <c r="E598" s="68">
        <v>1.04482290252E-4</v>
      </c>
    </row>
    <row r="599" spans="2:5" s="83" customFormat="1" ht="14.5" customHeight="1">
      <c r="B599" s="111"/>
      <c r="C599" s="66" t="s">
        <v>243</v>
      </c>
      <c r="D599" s="67">
        <v>5</v>
      </c>
      <c r="E599" s="68">
        <v>5.2241145125899997E-4</v>
      </c>
    </row>
    <row r="600" spans="2:5" s="83" customFormat="1" ht="14.5" customHeight="1">
      <c r="B600" s="112"/>
      <c r="C600" s="36" t="s">
        <v>29</v>
      </c>
      <c r="D600" s="35">
        <v>193</v>
      </c>
      <c r="E600" s="34">
        <v>2.0165082018597999E-2</v>
      </c>
    </row>
    <row r="601" spans="2:5" s="83" customFormat="1" ht="14.5" customHeight="1">
      <c r="B601" s="110" t="s">
        <v>62</v>
      </c>
      <c r="C601" s="66" t="s">
        <v>223</v>
      </c>
      <c r="D601" s="67">
        <v>3</v>
      </c>
      <c r="E601" s="68">
        <v>3.13446870755E-4</v>
      </c>
    </row>
    <row r="602" spans="2:5" s="83" customFormat="1" ht="14.5" customHeight="1">
      <c r="B602" s="111"/>
      <c r="C602" s="66" t="s">
        <v>224</v>
      </c>
      <c r="D602" s="67">
        <v>2</v>
      </c>
      <c r="E602" s="68">
        <v>2.08964580504E-4</v>
      </c>
    </row>
    <row r="603" spans="2:5" s="83" customFormat="1" ht="14.5" customHeight="1">
      <c r="B603" s="111"/>
      <c r="C603" s="66" t="s">
        <v>225</v>
      </c>
      <c r="D603" s="67">
        <v>1</v>
      </c>
      <c r="E603" s="68">
        <v>1.04482290252E-4</v>
      </c>
    </row>
    <row r="604" spans="2:5" s="83" customFormat="1" ht="14.5" customHeight="1">
      <c r="B604" s="111"/>
      <c r="C604" s="66" t="s">
        <v>226</v>
      </c>
      <c r="D604" s="67">
        <v>2</v>
      </c>
      <c r="E604" s="68">
        <v>2.08964580504E-4</v>
      </c>
    </row>
    <row r="605" spans="2:5" s="83" customFormat="1" ht="14.5" customHeight="1">
      <c r="B605" s="111"/>
      <c r="C605" s="66" t="s">
        <v>227</v>
      </c>
      <c r="D605" s="67">
        <v>3</v>
      </c>
      <c r="E605" s="68">
        <v>3.13446870755E-4</v>
      </c>
    </row>
    <row r="606" spans="2:5" s="83" customFormat="1" ht="14.5" customHeight="1">
      <c r="B606" s="111"/>
      <c r="C606" s="66" t="s">
        <v>228</v>
      </c>
      <c r="D606" s="67">
        <v>4</v>
      </c>
      <c r="E606" s="68">
        <v>4.1792916100699999E-4</v>
      </c>
    </row>
    <row r="607" spans="2:5" s="83" customFormat="1" ht="14.5" customHeight="1">
      <c r="B607" s="111"/>
      <c r="C607" s="66" t="s">
        <v>229</v>
      </c>
      <c r="D607" s="67">
        <v>35</v>
      </c>
      <c r="E607" s="68">
        <v>3.656880158813E-3</v>
      </c>
    </row>
    <row r="608" spans="2:5" s="83" customFormat="1" ht="14.5" customHeight="1">
      <c r="B608" s="111"/>
      <c r="C608" s="66" t="s">
        <v>230</v>
      </c>
      <c r="D608" s="67">
        <v>26</v>
      </c>
      <c r="E608" s="68">
        <v>2.716539546547E-3</v>
      </c>
    </row>
    <row r="609" spans="2:5" s="83" customFormat="1" ht="14.5" customHeight="1">
      <c r="B609" s="111"/>
      <c r="C609" s="66" t="s">
        <v>231</v>
      </c>
      <c r="D609" s="67">
        <v>2</v>
      </c>
      <c r="E609" s="68">
        <v>2.08964580504E-4</v>
      </c>
    </row>
    <row r="610" spans="2:5" s="83" customFormat="1" ht="14.5" customHeight="1">
      <c r="B610" s="111"/>
      <c r="C610" s="66" t="s">
        <v>232</v>
      </c>
      <c r="D610" s="67">
        <v>4</v>
      </c>
      <c r="E610" s="68">
        <v>4.1792916100699999E-4</v>
      </c>
    </row>
    <row r="611" spans="2:5" s="83" customFormat="1" ht="14.5" customHeight="1">
      <c r="B611" s="111"/>
      <c r="C611" s="66" t="s">
        <v>233</v>
      </c>
      <c r="D611" s="67">
        <v>25</v>
      </c>
      <c r="E611" s="68">
        <v>2.6120572562950001E-3</v>
      </c>
    </row>
    <row r="612" spans="2:5" s="83" customFormat="1" ht="14.5" customHeight="1">
      <c r="B612" s="111"/>
      <c r="C612" s="66" t="s">
        <v>234</v>
      </c>
      <c r="D612" s="67">
        <v>68</v>
      </c>
      <c r="E612" s="68">
        <v>7.1047957371230003E-3</v>
      </c>
    </row>
    <row r="613" spans="2:5" s="83" customFormat="1" ht="14.5" customHeight="1">
      <c r="B613" s="111"/>
      <c r="C613" s="66" t="s">
        <v>235</v>
      </c>
      <c r="D613" s="67">
        <v>4</v>
      </c>
      <c r="E613" s="68">
        <v>4.1792916100699999E-4</v>
      </c>
    </row>
    <row r="614" spans="2:5" s="83" customFormat="1" ht="14.5" customHeight="1">
      <c r="B614" s="111"/>
      <c r="C614" s="66" t="s">
        <v>236</v>
      </c>
      <c r="D614" s="67">
        <v>8</v>
      </c>
      <c r="E614" s="68">
        <v>8.3585832201399997E-4</v>
      </c>
    </row>
    <row r="615" spans="2:5" s="83" customFormat="1" ht="14.5" customHeight="1">
      <c r="B615" s="111"/>
      <c r="C615" s="66" t="s">
        <v>237</v>
      </c>
      <c r="D615" s="67">
        <v>47</v>
      </c>
      <c r="E615" s="68">
        <v>4.9106676418349997E-3</v>
      </c>
    </row>
    <row r="616" spans="2:5" s="83" customFormat="1" ht="14.5" customHeight="1">
      <c r="B616" s="111"/>
      <c r="C616" s="66" t="s">
        <v>242</v>
      </c>
      <c r="D616" s="67">
        <v>2</v>
      </c>
      <c r="E616" s="68">
        <v>2.08964580504E-4</v>
      </c>
    </row>
    <row r="617" spans="2:5" s="83" customFormat="1" ht="14.5" customHeight="1">
      <c r="B617" s="111"/>
      <c r="C617" s="66" t="s">
        <v>243</v>
      </c>
      <c r="D617" s="67">
        <v>1</v>
      </c>
      <c r="E617" s="68">
        <v>1.04482290252E-4</v>
      </c>
    </row>
    <row r="618" spans="2:5" s="83" customFormat="1" ht="14.5" customHeight="1">
      <c r="B618" s="112"/>
      <c r="C618" s="36" t="s">
        <v>29</v>
      </c>
      <c r="D618" s="35">
        <v>237</v>
      </c>
      <c r="E618" s="34">
        <v>2.4762302789677001E-2</v>
      </c>
    </row>
    <row r="619" spans="2:5" s="83" customFormat="1" ht="14.5" customHeight="1">
      <c r="B619" s="110" t="s">
        <v>61</v>
      </c>
      <c r="C619" s="66" t="s">
        <v>223</v>
      </c>
      <c r="D619" s="67">
        <v>11</v>
      </c>
      <c r="E619" s="68">
        <v>1.14930519277E-3</v>
      </c>
    </row>
    <row r="620" spans="2:5" s="83" customFormat="1" ht="14.5" customHeight="1">
      <c r="B620" s="111"/>
      <c r="C620" s="66" t="s">
        <v>224</v>
      </c>
      <c r="D620" s="67">
        <v>1</v>
      </c>
      <c r="E620" s="68">
        <v>1.04482290252E-4</v>
      </c>
    </row>
    <row r="621" spans="2:5" s="83" customFormat="1" ht="14.5" customHeight="1">
      <c r="B621" s="111"/>
      <c r="C621" s="66" t="s">
        <v>225</v>
      </c>
      <c r="D621" s="67">
        <v>5</v>
      </c>
      <c r="E621" s="68">
        <v>5.2241145125899997E-4</v>
      </c>
    </row>
    <row r="622" spans="2:5" s="83" customFormat="1" ht="14.5" customHeight="1">
      <c r="B622" s="111"/>
      <c r="C622" s="66" t="s">
        <v>226</v>
      </c>
      <c r="D622" s="67">
        <v>8</v>
      </c>
      <c r="E622" s="68">
        <v>8.3585832201399997E-4</v>
      </c>
    </row>
    <row r="623" spans="2:5" s="83" customFormat="1" ht="14.5" customHeight="1">
      <c r="B623" s="111"/>
      <c r="C623" s="66" t="s">
        <v>227</v>
      </c>
      <c r="D623" s="67">
        <v>4</v>
      </c>
      <c r="E623" s="68">
        <v>4.1792916100699999E-4</v>
      </c>
    </row>
    <row r="624" spans="2:5" s="83" customFormat="1" ht="14.5" customHeight="1">
      <c r="B624" s="111"/>
      <c r="C624" s="66" t="s">
        <v>228</v>
      </c>
      <c r="D624" s="67">
        <v>4</v>
      </c>
      <c r="E624" s="68">
        <v>4.1792916100699999E-4</v>
      </c>
    </row>
    <row r="625" spans="2:5" s="83" customFormat="1" ht="14.5" customHeight="1">
      <c r="B625" s="111"/>
      <c r="C625" s="66" t="s">
        <v>229</v>
      </c>
      <c r="D625" s="67">
        <v>24</v>
      </c>
      <c r="E625" s="68">
        <v>2.5075749660430002E-3</v>
      </c>
    </row>
    <row r="626" spans="2:5" s="83" customFormat="1" ht="14.5" customHeight="1">
      <c r="B626" s="111"/>
      <c r="C626" s="66" t="s">
        <v>230</v>
      </c>
      <c r="D626" s="67">
        <v>72</v>
      </c>
      <c r="E626" s="68">
        <v>7.5227248981299998E-3</v>
      </c>
    </row>
    <row r="627" spans="2:5" s="83" customFormat="1" ht="14.5" customHeight="1">
      <c r="B627" s="111"/>
      <c r="C627" s="66" t="s">
        <v>231</v>
      </c>
      <c r="D627" s="67">
        <v>3</v>
      </c>
      <c r="E627" s="68">
        <v>3.13446870755E-4</v>
      </c>
    </row>
    <row r="628" spans="2:5" s="83" customFormat="1" ht="14.5" customHeight="1">
      <c r="B628" s="111"/>
      <c r="C628" s="66" t="s">
        <v>232</v>
      </c>
      <c r="D628" s="67">
        <v>6</v>
      </c>
      <c r="E628" s="68">
        <v>6.2689374151099996E-4</v>
      </c>
    </row>
    <row r="629" spans="2:5" s="83" customFormat="1" ht="14.5" customHeight="1">
      <c r="B629" s="111"/>
      <c r="C629" s="66" t="s">
        <v>233</v>
      </c>
      <c r="D629" s="67">
        <v>11</v>
      </c>
      <c r="E629" s="68">
        <v>1.14930519277E-3</v>
      </c>
    </row>
    <row r="630" spans="2:5" s="83" customFormat="1" ht="14.5" customHeight="1">
      <c r="B630" s="111"/>
      <c r="C630" s="66" t="s">
        <v>234</v>
      </c>
      <c r="D630" s="67">
        <v>96</v>
      </c>
      <c r="E630" s="68">
        <v>1.0030299864173E-2</v>
      </c>
    </row>
    <row r="631" spans="2:5" s="83" customFormat="1" ht="14.5" customHeight="1">
      <c r="B631" s="111"/>
      <c r="C631" s="66" t="s">
        <v>235</v>
      </c>
      <c r="D631" s="67">
        <v>3</v>
      </c>
      <c r="E631" s="68">
        <v>3.13446870755E-4</v>
      </c>
    </row>
    <row r="632" spans="2:5" s="83" customFormat="1" ht="14.5" customHeight="1">
      <c r="B632" s="111"/>
      <c r="C632" s="66" t="s">
        <v>236</v>
      </c>
      <c r="D632" s="67">
        <v>11</v>
      </c>
      <c r="E632" s="68">
        <v>1.14930519277E-3</v>
      </c>
    </row>
    <row r="633" spans="2:5" s="83" customFormat="1" ht="14.5" customHeight="1">
      <c r="B633" s="111"/>
      <c r="C633" s="66" t="s">
        <v>237</v>
      </c>
      <c r="D633" s="67">
        <v>32</v>
      </c>
      <c r="E633" s="68">
        <v>3.343433288058E-3</v>
      </c>
    </row>
    <row r="634" spans="2:5" s="83" customFormat="1" ht="14.5" customHeight="1">
      <c r="B634" s="111"/>
      <c r="C634" s="66" t="s">
        <v>239</v>
      </c>
      <c r="D634" s="67">
        <v>1</v>
      </c>
      <c r="E634" s="68">
        <v>1.04482290252E-4</v>
      </c>
    </row>
    <row r="635" spans="2:5" s="83" customFormat="1" ht="14.5" customHeight="1">
      <c r="B635" s="111"/>
      <c r="C635" s="66" t="s">
        <v>240</v>
      </c>
      <c r="D635" s="67">
        <v>1</v>
      </c>
      <c r="E635" s="68">
        <v>1.04482290252E-4</v>
      </c>
    </row>
    <row r="636" spans="2:5" s="83" customFormat="1" ht="14.5" customHeight="1">
      <c r="B636" s="111"/>
      <c r="C636" s="66" t="s">
        <v>243</v>
      </c>
      <c r="D636" s="67">
        <v>2</v>
      </c>
      <c r="E636" s="68">
        <v>2.08964580504E-4</v>
      </c>
    </row>
    <row r="637" spans="2:5" s="83" customFormat="1" ht="14.5" customHeight="1">
      <c r="B637" s="112"/>
      <c r="C637" s="36" t="s">
        <v>29</v>
      </c>
      <c r="D637" s="35">
        <v>295</v>
      </c>
      <c r="E637" s="34">
        <v>3.0822275624282001E-2</v>
      </c>
    </row>
    <row r="638" spans="2:5" s="83" customFormat="1" ht="14.5" customHeight="1">
      <c r="B638" s="110" t="s">
        <v>83</v>
      </c>
      <c r="C638" s="66" t="s">
        <v>223</v>
      </c>
      <c r="D638" s="67">
        <v>1</v>
      </c>
      <c r="E638" s="68">
        <v>1.04482290252E-4</v>
      </c>
    </row>
    <row r="639" spans="2:5" s="83" customFormat="1" ht="14.5" customHeight="1">
      <c r="B639" s="111"/>
      <c r="C639" s="66" t="s">
        <v>226</v>
      </c>
      <c r="D639" s="67">
        <v>2</v>
      </c>
      <c r="E639" s="68">
        <v>2.08964580504E-4</v>
      </c>
    </row>
    <row r="640" spans="2:5" s="83" customFormat="1" ht="14.5" customHeight="1">
      <c r="B640" s="111"/>
      <c r="C640" s="66" t="s">
        <v>227</v>
      </c>
      <c r="D640" s="67">
        <v>1</v>
      </c>
      <c r="E640" s="68">
        <v>1.04482290252E-4</v>
      </c>
    </row>
    <row r="641" spans="2:5" s="83" customFormat="1" ht="14.5" customHeight="1">
      <c r="B641" s="111"/>
      <c r="C641" s="66" t="s">
        <v>229</v>
      </c>
      <c r="D641" s="67">
        <v>9</v>
      </c>
      <c r="E641" s="68">
        <v>9.4034061226599996E-4</v>
      </c>
    </row>
    <row r="642" spans="2:5" s="83" customFormat="1" ht="14.5" customHeight="1">
      <c r="B642" s="111"/>
      <c r="C642" s="66" t="s">
        <v>230</v>
      </c>
      <c r="D642" s="67">
        <v>9</v>
      </c>
      <c r="E642" s="68">
        <v>9.4034061226599996E-4</v>
      </c>
    </row>
    <row r="643" spans="2:5" s="83" customFormat="1" ht="14.5" customHeight="1">
      <c r="B643" s="111"/>
      <c r="C643" s="66" t="s">
        <v>231</v>
      </c>
      <c r="D643" s="67">
        <v>1</v>
      </c>
      <c r="E643" s="68">
        <v>1.04482290252E-4</v>
      </c>
    </row>
    <row r="644" spans="2:5" s="83" customFormat="1" ht="14.5" customHeight="1">
      <c r="B644" s="111"/>
      <c r="C644" s="66" t="s">
        <v>232</v>
      </c>
      <c r="D644" s="67">
        <v>1</v>
      </c>
      <c r="E644" s="68">
        <v>1.04482290252E-4</v>
      </c>
    </row>
    <row r="645" spans="2:5" s="83" customFormat="1" ht="14.5" customHeight="1">
      <c r="B645" s="111"/>
      <c r="C645" s="66" t="s">
        <v>233</v>
      </c>
      <c r="D645" s="67">
        <v>8</v>
      </c>
      <c r="E645" s="68">
        <v>8.3585832201399997E-4</v>
      </c>
    </row>
    <row r="646" spans="2:5" s="83" customFormat="1" ht="14.5" customHeight="1">
      <c r="B646" s="111"/>
      <c r="C646" s="66" t="s">
        <v>234</v>
      </c>
      <c r="D646" s="67">
        <v>20</v>
      </c>
      <c r="E646" s="68">
        <v>2.0896458050359999E-3</v>
      </c>
    </row>
    <row r="647" spans="2:5" s="83" customFormat="1" ht="14.5" customHeight="1">
      <c r="B647" s="111"/>
      <c r="C647" s="66" t="s">
        <v>236</v>
      </c>
      <c r="D647" s="67">
        <v>2</v>
      </c>
      <c r="E647" s="68">
        <v>2.08964580504E-4</v>
      </c>
    </row>
    <row r="648" spans="2:5" s="83" customFormat="1" ht="14.5" customHeight="1">
      <c r="B648" s="111"/>
      <c r="C648" s="66" t="s">
        <v>237</v>
      </c>
      <c r="D648" s="67">
        <v>13</v>
      </c>
      <c r="E648" s="68">
        <v>1.3582697732729999E-3</v>
      </c>
    </row>
    <row r="649" spans="2:5" s="83" customFormat="1" ht="14.5" customHeight="1">
      <c r="B649" s="111"/>
      <c r="C649" s="66" t="s">
        <v>243</v>
      </c>
      <c r="D649" s="67">
        <v>1</v>
      </c>
      <c r="E649" s="68">
        <v>1.04482290252E-4</v>
      </c>
    </row>
    <row r="650" spans="2:5" s="83" customFormat="1" ht="14.5" customHeight="1">
      <c r="B650" s="111"/>
      <c r="C650" s="66" t="s">
        <v>245</v>
      </c>
      <c r="D650" s="67">
        <v>1</v>
      </c>
      <c r="E650" s="68">
        <v>1.04482290252E-4</v>
      </c>
    </row>
    <row r="651" spans="2:5" s="83" customFormat="1" ht="14.5" customHeight="1">
      <c r="B651" s="112"/>
      <c r="C651" s="36" t="s">
        <v>29</v>
      </c>
      <c r="D651" s="35">
        <v>69</v>
      </c>
      <c r="E651" s="34">
        <v>7.2092780273740002E-3</v>
      </c>
    </row>
    <row r="652" spans="2:5" s="83" customFormat="1" ht="14.5" customHeight="1">
      <c r="B652" s="110" t="s">
        <v>78</v>
      </c>
      <c r="C652" s="66" t="s">
        <v>225</v>
      </c>
      <c r="D652" s="67">
        <v>1</v>
      </c>
      <c r="E652" s="68">
        <v>1.04482290252E-4</v>
      </c>
    </row>
    <row r="653" spans="2:5" s="83" customFormat="1" ht="14.5" customHeight="1">
      <c r="B653" s="111"/>
      <c r="C653" s="66" t="s">
        <v>226</v>
      </c>
      <c r="D653" s="67">
        <v>1</v>
      </c>
      <c r="E653" s="68">
        <v>1.04482290252E-4</v>
      </c>
    </row>
    <row r="654" spans="2:5" s="83" customFormat="1" ht="14.5" customHeight="1">
      <c r="B654" s="111"/>
      <c r="C654" s="66" t="s">
        <v>227</v>
      </c>
      <c r="D654" s="67">
        <v>1</v>
      </c>
      <c r="E654" s="68">
        <v>1.04482290252E-4</v>
      </c>
    </row>
    <row r="655" spans="2:5" s="83" customFormat="1" ht="14.5" customHeight="1">
      <c r="B655" s="111"/>
      <c r="C655" s="66" t="s">
        <v>228</v>
      </c>
      <c r="D655" s="67">
        <v>2</v>
      </c>
      <c r="E655" s="68">
        <v>2.08964580504E-4</v>
      </c>
    </row>
    <row r="656" spans="2:5" s="83" customFormat="1" ht="14.5" customHeight="1">
      <c r="B656" s="111"/>
      <c r="C656" s="66" t="s">
        <v>229</v>
      </c>
      <c r="D656" s="67">
        <v>10</v>
      </c>
      <c r="E656" s="68">
        <v>1.0448229025179999E-3</v>
      </c>
    </row>
    <row r="657" spans="2:5" s="83" customFormat="1" ht="14.5" customHeight="1">
      <c r="B657" s="111"/>
      <c r="C657" s="66" t="s">
        <v>230</v>
      </c>
      <c r="D657" s="67">
        <v>13</v>
      </c>
      <c r="E657" s="68">
        <v>1.3582697732729999E-3</v>
      </c>
    </row>
    <row r="658" spans="2:5" s="83" customFormat="1" ht="14.5" customHeight="1">
      <c r="B658" s="111"/>
      <c r="C658" s="66" t="s">
        <v>232</v>
      </c>
      <c r="D658" s="67">
        <v>3</v>
      </c>
      <c r="E658" s="68">
        <v>3.13446870755E-4</v>
      </c>
    </row>
    <row r="659" spans="2:5" s="83" customFormat="1" ht="14.5" customHeight="1">
      <c r="B659" s="111"/>
      <c r="C659" s="66" t="s">
        <v>233</v>
      </c>
      <c r="D659" s="67">
        <v>7</v>
      </c>
      <c r="E659" s="68">
        <v>7.3137603176300005E-4</v>
      </c>
    </row>
    <row r="660" spans="2:5" s="83" customFormat="1" ht="14.5" customHeight="1">
      <c r="B660" s="111"/>
      <c r="C660" s="66" t="s">
        <v>234</v>
      </c>
      <c r="D660" s="67">
        <v>33</v>
      </c>
      <c r="E660" s="68">
        <v>3.4479155783089998E-3</v>
      </c>
    </row>
    <row r="661" spans="2:5" s="83" customFormat="1" ht="14.5" customHeight="1">
      <c r="B661" s="111"/>
      <c r="C661" s="66" t="s">
        <v>235</v>
      </c>
      <c r="D661" s="67">
        <v>1</v>
      </c>
      <c r="E661" s="68">
        <v>1.04482290252E-4</v>
      </c>
    </row>
    <row r="662" spans="2:5" s="83" customFormat="1" ht="14.5" customHeight="1">
      <c r="B662" s="111"/>
      <c r="C662" s="66" t="s">
        <v>236</v>
      </c>
      <c r="D662" s="67">
        <v>3</v>
      </c>
      <c r="E662" s="68">
        <v>3.13446870755E-4</v>
      </c>
    </row>
    <row r="663" spans="2:5" s="83" customFormat="1" ht="14.5" customHeight="1">
      <c r="B663" s="111"/>
      <c r="C663" s="66" t="s">
        <v>237</v>
      </c>
      <c r="D663" s="67">
        <v>10</v>
      </c>
      <c r="E663" s="68">
        <v>1.0448229025179999E-3</v>
      </c>
    </row>
    <row r="664" spans="2:5" s="83" customFormat="1" ht="14.5" customHeight="1">
      <c r="B664" s="111"/>
      <c r="C664" s="66" t="s">
        <v>242</v>
      </c>
      <c r="D664" s="67">
        <v>1</v>
      </c>
      <c r="E664" s="68">
        <v>1.04482290252E-4</v>
      </c>
    </row>
    <row r="665" spans="2:5" s="83" customFormat="1" ht="14.5" customHeight="1">
      <c r="B665" s="112"/>
      <c r="C665" s="36" t="s">
        <v>29</v>
      </c>
      <c r="D665" s="35">
        <v>86</v>
      </c>
      <c r="E665" s="34">
        <v>8.9854769616549996E-3</v>
      </c>
    </row>
    <row r="666" spans="2:5" s="83" customFormat="1" ht="14.5" customHeight="1">
      <c r="B666" s="110" t="s">
        <v>58</v>
      </c>
      <c r="C666" s="66" t="s">
        <v>223</v>
      </c>
      <c r="D666" s="67">
        <v>7</v>
      </c>
      <c r="E666" s="68">
        <v>7.3137603176300005E-4</v>
      </c>
    </row>
    <row r="667" spans="2:5" s="83" customFormat="1" ht="14.5" customHeight="1">
      <c r="B667" s="111"/>
      <c r="C667" s="66" t="s">
        <v>224</v>
      </c>
      <c r="D667" s="67">
        <v>2</v>
      </c>
      <c r="E667" s="68">
        <v>2.08964580504E-4</v>
      </c>
    </row>
    <row r="668" spans="2:5" s="83" customFormat="1" ht="14.5" customHeight="1">
      <c r="B668" s="111"/>
      <c r="C668" s="66" t="s">
        <v>225</v>
      </c>
      <c r="D668" s="67">
        <v>5</v>
      </c>
      <c r="E668" s="68">
        <v>5.2241145125899997E-4</v>
      </c>
    </row>
    <row r="669" spans="2:5" s="83" customFormat="1" ht="14.5" customHeight="1">
      <c r="B669" s="111"/>
      <c r="C669" s="66" t="s">
        <v>226</v>
      </c>
      <c r="D669" s="67">
        <v>2</v>
      </c>
      <c r="E669" s="68">
        <v>2.08964580504E-4</v>
      </c>
    </row>
    <row r="670" spans="2:5" s="83" customFormat="1" ht="14.5" customHeight="1">
      <c r="B670" s="111"/>
      <c r="C670" s="66" t="s">
        <v>227</v>
      </c>
      <c r="D670" s="67">
        <v>6</v>
      </c>
      <c r="E670" s="68">
        <v>6.2689374151099996E-4</v>
      </c>
    </row>
    <row r="671" spans="2:5" s="83" customFormat="1" ht="14.5" customHeight="1">
      <c r="B671" s="111"/>
      <c r="C671" s="66" t="s">
        <v>228</v>
      </c>
      <c r="D671" s="67">
        <v>6</v>
      </c>
      <c r="E671" s="68">
        <v>6.2689374151099996E-4</v>
      </c>
    </row>
    <row r="672" spans="2:5" s="83" customFormat="1" ht="14.5" customHeight="1">
      <c r="B672" s="111"/>
      <c r="C672" s="66" t="s">
        <v>229</v>
      </c>
      <c r="D672" s="67">
        <v>38</v>
      </c>
      <c r="E672" s="68">
        <v>3.970327029568E-3</v>
      </c>
    </row>
    <row r="673" spans="2:5" s="83" customFormat="1" ht="14.5" customHeight="1">
      <c r="B673" s="111"/>
      <c r="C673" s="66" t="s">
        <v>230</v>
      </c>
      <c r="D673" s="67">
        <v>68</v>
      </c>
      <c r="E673" s="68">
        <v>7.1047957371230003E-3</v>
      </c>
    </row>
    <row r="674" spans="2:5" s="83" customFormat="1" ht="14.5" customHeight="1">
      <c r="B674" s="111"/>
      <c r="C674" s="66" t="s">
        <v>231</v>
      </c>
      <c r="D674" s="67">
        <v>5</v>
      </c>
      <c r="E674" s="68">
        <v>5.2241145125899997E-4</v>
      </c>
    </row>
    <row r="675" spans="2:5" s="83" customFormat="1" ht="14.5" customHeight="1">
      <c r="B675" s="111"/>
      <c r="C675" s="66" t="s">
        <v>232</v>
      </c>
      <c r="D675" s="67">
        <v>2</v>
      </c>
      <c r="E675" s="68">
        <v>2.08964580504E-4</v>
      </c>
    </row>
    <row r="676" spans="2:5" s="83" customFormat="1" ht="14.5" customHeight="1">
      <c r="B676" s="111"/>
      <c r="C676" s="66" t="s">
        <v>233</v>
      </c>
      <c r="D676" s="67">
        <v>10</v>
      </c>
      <c r="E676" s="68">
        <v>1.0448229025179999E-3</v>
      </c>
    </row>
    <row r="677" spans="2:5" s="83" customFormat="1" ht="14.5" customHeight="1">
      <c r="B677" s="111"/>
      <c r="C677" s="66" t="s">
        <v>234</v>
      </c>
      <c r="D677" s="67">
        <v>144</v>
      </c>
      <c r="E677" s="68">
        <v>1.504544979626E-2</v>
      </c>
    </row>
    <row r="678" spans="2:5" s="83" customFormat="1" ht="14.5" customHeight="1">
      <c r="B678" s="111"/>
      <c r="C678" s="66" t="s">
        <v>235</v>
      </c>
      <c r="D678" s="67">
        <v>2</v>
      </c>
      <c r="E678" s="68">
        <v>2.08964580504E-4</v>
      </c>
    </row>
    <row r="679" spans="2:5" s="83" customFormat="1" ht="14.5" customHeight="1">
      <c r="B679" s="111"/>
      <c r="C679" s="66" t="s">
        <v>236</v>
      </c>
      <c r="D679" s="67">
        <v>13</v>
      </c>
      <c r="E679" s="68">
        <v>1.3582697732729999E-3</v>
      </c>
    </row>
    <row r="680" spans="2:5" s="83" customFormat="1" ht="14.5" customHeight="1">
      <c r="B680" s="111"/>
      <c r="C680" s="66" t="s">
        <v>237</v>
      </c>
      <c r="D680" s="67">
        <v>48</v>
      </c>
      <c r="E680" s="68">
        <v>5.0151499320869996E-3</v>
      </c>
    </row>
    <row r="681" spans="2:5" s="83" customFormat="1" ht="14.5" customHeight="1">
      <c r="B681" s="111"/>
      <c r="C681" s="66" t="s">
        <v>238</v>
      </c>
      <c r="D681" s="67">
        <v>1</v>
      </c>
      <c r="E681" s="68">
        <v>1.04482290252E-4</v>
      </c>
    </row>
    <row r="682" spans="2:5" s="83" customFormat="1" ht="14.5" customHeight="1">
      <c r="B682" s="111"/>
      <c r="C682" s="66" t="s">
        <v>239</v>
      </c>
      <c r="D682" s="67">
        <v>1</v>
      </c>
      <c r="E682" s="68">
        <v>1.04482290252E-4</v>
      </c>
    </row>
    <row r="683" spans="2:5" s="83" customFormat="1" ht="14.5" customHeight="1">
      <c r="B683" s="111"/>
      <c r="C683" s="66" t="s">
        <v>242</v>
      </c>
      <c r="D683" s="67">
        <v>1</v>
      </c>
      <c r="E683" s="68">
        <v>1.04482290252E-4</v>
      </c>
    </row>
    <row r="684" spans="2:5" s="83" customFormat="1" ht="14.5" customHeight="1">
      <c r="B684" s="111"/>
      <c r="C684" s="66" t="s">
        <v>243</v>
      </c>
      <c r="D684" s="67">
        <v>8</v>
      </c>
      <c r="E684" s="68">
        <v>8.3585832201399997E-4</v>
      </c>
    </row>
    <row r="685" spans="2:5" s="83" customFormat="1" ht="14.5" customHeight="1">
      <c r="B685" s="111"/>
      <c r="C685" s="66" t="s">
        <v>245</v>
      </c>
      <c r="D685" s="67">
        <v>1</v>
      </c>
      <c r="E685" s="68">
        <v>1.04482290252E-4</v>
      </c>
    </row>
    <row r="686" spans="2:5" s="83" customFormat="1" ht="14.5" customHeight="1">
      <c r="B686" s="112"/>
      <c r="C686" s="36" t="s">
        <v>29</v>
      </c>
      <c r="D686" s="35">
        <v>370</v>
      </c>
      <c r="E686" s="34">
        <v>3.8658447393166998E-2</v>
      </c>
    </row>
    <row r="687" spans="2:5" s="83" customFormat="1" ht="14.5" customHeight="1">
      <c r="B687" s="110" t="s">
        <v>86</v>
      </c>
      <c r="C687" s="66" t="s">
        <v>226</v>
      </c>
      <c r="D687" s="67">
        <v>1</v>
      </c>
      <c r="E687" s="68">
        <v>1.04482290252E-4</v>
      </c>
    </row>
    <row r="688" spans="2:5" s="83" customFormat="1" ht="14.5" customHeight="1">
      <c r="B688" s="111"/>
      <c r="C688" s="66" t="s">
        <v>227</v>
      </c>
      <c r="D688" s="67">
        <v>1</v>
      </c>
      <c r="E688" s="68">
        <v>1.04482290252E-4</v>
      </c>
    </row>
    <row r="689" spans="2:5" s="83" customFormat="1" ht="14.5" customHeight="1">
      <c r="B689" s="111"/>
      <c r="C689" s="66" t="s">
        <v>229</v>
      </c>
      <c r="D689" s="67">
        <v>4</v>
      </c>
      <c r="E689" s="68">
        <v>4.1792916100699999E-4</v>
      </c>
    </row>
    <row r="690" spans="2:5" s="83" customFormat="1" ht="14.5" customHeight="1">
      <c r="B690" s="111"/>
      <c r="C690" s="66" t="s">
        <v>230</v>
      </c>
      <c r="D690" s="67">
        <v>6</v>
      </c>
      <c r="E690" s="68">
        <v>6.2689374151099996E-4</v>
      </c>
    </row>
    <row r="691" spans="2:5" s="83" customFormat="1" ht="14.5" customHeight="1">
      <c r="B691" s="111"/>
      <c r="C691" s="66" t="s">
        <v>233</v>
      </c>
      <c r="D691" s="67">
        <v>5</v>
      </c>
      <c r="E691" s="68">
        <v>5.2241145125899997E-4</v>
      </c>
    </row>
    <row r="692" spans="2:5" s="83" customFormat="1" ht="14.5" customHeight="1">
      <c r="B692" s="111"/>
      <c r="C692" s="66" t="s">
        <v>234</v>
      </c>
      <c r="D692" s="67">
        <v>20</v>
      </c>
      <c r="E692" s="68">
        <v>2.0896458050359999E-3</v>
      </c>
    </row>
    <row r="693" spans="2:5" s="83" customFormat="1" ht="14.5" customHeight="1">
      <c r="B693" s="111"/>
      <c r="C693" s="66" t="s">
        <v>235</v>
      </c>
      <c r="D693" s="67">
        <v>2</v>
      </c>
      <c r="E693" s="68">
        <v>2.08964580504E-4</v>
      </c>
    </row>
    <row r="694" spans="2:5" s="83" customFormat="1" ht="14.5" customHeight="1">
      <c r="B694" s="111"/>
      <c r="C694" s="66" t="s">
        <v>237</v>
      </c>
      <c r="D694" s="67">
        <v>8</v>
      </c>
      <c r="E694" s="68">
        <v>8.3585832201399997E-4</v>
      </c>
    </row>
    <row r="695" spans="2:5" s="83" customFormat="1" ht="14.5" customHeight="1">
      <c r="B695" s="111"/>
      <c r="C695" s="66" t="s">
        <v>242</v>
      </c>
      <c r="D695" s="67">
        <v>2</v>
      </c>
      <c r="E695" s="68">
        <v>2.08964580504E-4</v>
      </c>
    </row>
    <row r="696" spans="2:5" s="83" customFormat="1" ht="14.5" customHeight="1">
      <c r="B696" s="111"/>
      <c r="C696" s="66" t="s">
        <v>243</v>
      </c>
      <c r="D696" s="67">
        <v>3</v>
      </c>
      <c r="E696" s="68">
        <v>3.13446870755E-4</v>
      </c>
    </row>
    <row r="697" spans="2:5" s="83" customFormat="1" ht="14.5" customHeight="1">
      <c r="B697" s="112"/>
      <c r="C697" s="36" t="s">
        <v>29</v>
      </c>
      <c r="D697" s="35">
        <v>52</v>
      </c>
      <c r="E697" s="34">
        <v>5.4330790930939999E-3</v>
      </c>
    </row>
    <row r="698" spans="2:5" s="83" customFormat="1" ht="14.5" customHeight="1">
      <c r="B698" s="110" t="s">
        <v>95</v>
      </c>
      <c r="C698" s="66" t="s">
        <v>230</v>
      </c>
      <c r="D698" s="67">
        <v>1</v>
      </c>
      <c r="E698" s="68">
        <v>1.04482290252E-4</v>
      </c>
    </row>
    <row r="699" spans="2:5" s="83" customFormat="1" ht="14.5" customHeight="1">
      <c r="B699" s="111"/>
      <c r="C699" s="66" t="s">
        <v>233</v>
      </c>
      <c r="D699" s="67">
        <v>1</v>
      </c>
      <c r="E699" s="68">
        <v>1.04482290252E-4</v>
      </c>
    </row>
    <row r="700" spans="2:5" s="83" customFormat="1" ht="14.5" customHeight="1">
      <c r="B700" s="111"/>
      <c r="C700" s="66" t="s">
        <v>234</v>
      </c>
      <c r="D700" s="67">
        <v>1</v>
      </c>
      <c r="E700" s="68">
        <v>1.04482290252E-4</v>
      </c>
    </row>
    <row r="701" spans="2:5" s="83" customFormat="1" ht="14.5" customHeight="1">
      <c r="B701" s="111"/>
      <c r="C701" s="66" t="s">
        <v>237</v>
      </c>
      <c r="D701" s="67">
        <v>1</v>
      </c>
      <c r="E701" s="68">
        <v>1.04482290252E-4</v>
      </c>
    </row>
    <row r="702" spans="2:5" s="83" customFormat="1" ht="14.5" customHeight="1">
      <c r="B702" s="112"/>
      <c r="C702" s="36" t="s">
        <v>29</v>
      </c>
      <c r="D702" s="35">
        <v>4</v>
      </c>
      <c r="E702" s="34">
        <v>4.1792916100699999E-4</v>
      </c>
    </row>
    <row r="703" spans="2:5" s="83" customFormat="1" ht="14.5" customHeight="1">
      <c r="B703" s="110" t="s">
        <v>74</v>
      </c>
      <c r="C703" s="66" t="s">
        <v>223</v>
      </c>
      <c r="D703" s="67">
        <v>4</v>
      </c>
      <c r="E703" s="68">
        <v>4.1792916100699999E-4</v>
      </c>
    </row>
    <row r="704" spans="2:5" s="83" customFormat="1" ht="14.5" customHeight="1">
      <c r="B704" s="111"/>
      <c r="C704" s="66" t="s">
        <v>225</v>
      </c>
      <c r="D704" s="67">
        <v>2</v>
      </c>
      <c r="E704" s="68">
        <v>2.08964580504E-4</v>
      </c>
    </row>
    <row r="705" spans="2:5" s="83" customFormat="1" ht="14.5" customHeight="1">
      <c r="B705" s="111"/>
      <c r="C705" s="66" t="s">
        <v>226</v>
      </c>
      <c r="D705" s="67">
        <v>1</v>
      </c>
      <c r="E705" s="68">
        <v>1.04482290252E-4</v>
      </c>
    </row>
    <row r="706" spans="2:5" s="83" customFormat="1" ht="14.5" customHeight="1">
      <c r="B706" s="111"/>
      <c r="C706" s="66" t="s">
        <v>227</v>
      </c>
      <c r="D706" s="67">
        <v>1</v>
      </c>
      <c r="E706" s="68">
        <v>1.04482290252E-4</v>
      </c>
    </row>
    <row r="707" spans="2:5" s="83" customFormat="1" ht="14.5" customHeight="1">
      <c r="B707" s="111"/>
      <c r="C707" s="66" t="s">
        <v>228</v>
      </c>
      <c r="D707" s="67">
        <v>2</v>
      </c>
      <c r="E707" s="68">
        <v>2.08964580504E-4</v>
      </c>
    </row>
    <row r="708" spans="2:5" s="83" customFormat="1" ht="14.5" customHeight="1">
      <c r="B708" s="111"/>
      <c r="C708" s="66" t="s">
        <v>229</v>
      </c>
      <c r="D708" s="67">
        <v>6</v>
      </c>
      <c r="E708" s="68">
        <v>6.2689374151099996E-4</v>
      </c>
    </row>
    <row r="709" spans="2:5" s="83" customFormat="1" ht="14.5" customHeight="1">
      <c r="B709" s="111"/>
      <c r="C709" s="66" t="s">
        <v>230</v>
      </c>
      <c r="D709" s="67">
        <v>16</v>
      </c>
      <c r="E709" s="68">
        <v>1.671716644029E-3</v>
      </c>
    </row>
    <row r="710" spans="2:5" s="83" customFormat="1" ht="14.5" customHeight="1">
      <c r="B710" s="111"/>
      <c r="C710" s="66" t="s">
        <v>232</v>
      </c>
      <c r="D710" s="67">
        <v>3</v>
      </c>
      <c r="E710" s="68">
        <v>3.13446870755E-4</v>
      </c>
    </row>
    <row r="711" spans="2:5" s="83" customFormat="1" ht="14.5" customHeight="1">
      <c r="B711" s="111"/>
      <c r="C711" s="66" t="s">
        <v>233</v>
      </c>
      <c r="D711" s="67">
        <v>7</v>
      </c>
      <c r="E711" s="68">
        <v>7.3137603176300005E-4</v>
      </c>
    </row>
    <row r="712" spans="2:5" s="83" customFormat="1" ht="14.5" customHeight="1">
      <c r="B712" s="111"/>
      <c r="C712" s="66" t="s">
        <v>234</v>
      </c>
      <c r="D712" s="67">
        <v>37</v>
      </c>
      <c r="E712" s="68">
        <v>3.8658447393170002E-3</v>
      </c>
    </row>
    <row r="713" spans="2:5" s="83" customFormat="1" ht="14.5" customHeight="1">
      <c r="B713" s="111"/>
      <c r="C713" s="66" t="s">
        <v>236</v>
      </c>
      <c r="D713" s="67">
        <v>5</v>
      </c>
      <c r="E713" s="68">
        <v>5.2241145125899997E-4</v>
      </c>
    </row>
    <row r="714" spans="2:5" s="83" customFormat="1" ht="14.5" customHeight="1">
      <c r="B714" s="111"/>
      <c r="C714" s="66" t="s">
        <v>237</v>
      </c>
      <c r="D714" s="67">
        <v>11</v>
      </c>
      <c r="E714" s="68">
        <v>1.14930519277E-3</v>
      </c>
    </row>
    <row r="715" spans="2:5" s="83" customFormat="1" ht="14.5" customHeight="1">
      <c r="B715" s="111"/>
      <c r="C715" s="66" t="s">
        <v>243</v>
      </c>
      <c r="D715" s="67">
        <v>1</v>
      </c>
      <c r="E715" s="68">
        <v>1.04482290252E-4</v>
      </c>
    </row>
    <row r="716" spans="2:5" s="83" customFormat="1" ht="14.5" customHeight="1">
      <c r="B716" s="112"/>
      <c r="C716" s="36" t="s">
        <v>29</v>
      </c>
      <c r="D716" s="35">
        <v>96</v>
      </c>
      <c r="E716" s="34">
        <v>1.0030299864173E-2</v>
      </c>
    </row>
    <row r="717" spans="2:5" s="83" customFormat="1" ht="14.5" customHeight="1">
      <c r="B717" s="113" t="s">
        <v>29</v>
      </c>
      <c r="C717" s="114"/>
      <c r="D717" s="64">
        <v>9571</v>
      </c>
      <c r="E717" s="65">
        <v>1</v>
      </c>
    </row>
    <row r="718" spans="2:5" s="83" customFormat="1" ht="14.5" customHeight="1"/>
    <row r="719" spans="2:5" s="83" customFormat="1" ht="14.5" customHeight="1">
      <c r="B719" s="15" t="s">
        <v>47</v>
      </c>
    </row>
    <row r="720" spans="2:5" s="83" customFormat="1" ht="14.5" customHeight="1">
      <c r="B720" s="17" t="s">
        <v>18</v>
      </c>
    </row>
    <row r="721" spans="2:2" s="83" customFormat="1" ht="14.5" customHeight="1">
      <c r="B721" s="16" t="s">
        <v>48</v>
      </c>
    </row>
    <row r="722" spans="2:2" s="83" customFormat="1" ht="14.5" customHeight="1">
      <c r="B722" s="15" t="s">
        <v>17</v>
      </c>
    </row>
    <row r="723" spans="2:2" s="83" customFormat="1" ht="14.5" customHeight="1">
      <c r="B723" s="15" t="s">
        <v>49</v>
      </c>
    </row>
  </sheetData>
  <mergeCells count="51">
    <mergeCell ref="B207:B223"/>
    <mergeCell ref="B192:B206"/>
    <mergeCell ref="B703:B716"/>
    <mergeCell ref="B717:C717"/>
    <mergeCell ref="B638:B651"/>
    <mergeCell ref="B652:B665"/>
    <mergeCell ref="B666:B686"/>
    <mergeCell ref="B687:B697"/>
    <mergeCell ref="B698:B702"/>
    <mergeCell ref="B619:B637"/>
    <mergeCell ref="B462:B481"/>
    <mergeCell ref="B482:B491"/>
    <mergeCell ref="B492:B506"/>
    <mergeCell ref="B507:B517"/>
    <mergeCell ref="B518:B527"/>
    <mergeCell ref="B528:B547"/>
    <mergeCell ref="B548:B561"/>
    <mergeCell ref="B562:B572"/>
    <mergeCell ref="B573:B581"/>
    <mergeCell ref="B582:B600"/>
    <mergeCell ref="B601:B618"/>
    <mergeCell ref="B397:B415"/>
    <mergeCell ref="B416:B431"/>
    <mergeCell ref="B432:B446"/>
    <mergeCell ref="B447:B461"/>
    <mergeCell ref="B224:B244"/>
    <mergeCell ref="B245:B258"/>
    <mergeCell ref="B259:B271"/>
    <mergeCell ref="B272:B281"/>
    <mergeCell ref="B282:B295"/>
    <mergeCell ref="B296:B315"/>
    <mergeCell ref="B395:B396"/>
    <mergeCell ref="B316:B338"/>
    <mergeCell ref="B339:B357"/>
    <mergeCell ref="B358:B378"/>
    <mergeCell ref="B379:B394"/>
    <mergeCell ref="B7:E8"/>
    <mergeCell ref="B151:B167"/>
    <mergeCell ref="B168:B181"/>
    <mergeCell ref="B182:B183"/>
    <mergeCell ref="B184:B191"/>
    <mergeCell ref="B10:B18"/>
    <mergeCell ref="B19:B38"/>
    <mergeCell ref="B39:B57"/>
    <mergeCell ref="B58:B73"/>
    <mergeCell ref="B74:B84"/>
    <mergeCell ref="B85:B99"/>
    <mergeCell ref="B100:B101"/>
    <mergeCell ref="B102:B121"/>
    <mergeCell ref="B122:B146"/>
    <mergeCell ref="B147:B15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0"/>
  <sheetViews>
    <sheetView showGridLines="0" view="pageBreakPreview" zoomScale="115" zoomScaleNormal="100" zoomScaleSheetLayoutView="115" workbookViewId="0">
      <selection activeCell="D14" sqref="B12:D14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179687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106" t="s">
        <v>38</v>
      </c>
      <c r="C7" s="106"/>
      <c r="D7" s="106"/>
    </row>
    <row r="8" spans="2:5" s="25" customFormat="1" ht="15" customHeight="1">
      <c r="B8" s="106"/>
      <c r="C8" s="106"/>
      <c r="D8" s="106"/>
    </row>
    <row r="9" spans="2:5" s="25" customFormat="1" ht="33" customHeight="1">
      <c r="B9" s="106"/>
      <c r="C9" s="106"/>
      <c r="D9" s="106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30</v>
      </c>
      <c r="C11" s="27" t="s">
        <v>20</v>
      </c>
      <c r="D11" s="26" t="s">
        <v>19</v>
      </c>
    </row>
    <row r="12" spans="2:5">
      <c r="B12" s="23" t="s">
        <v>149</v>
      </c>
      <c r="C12" s="22">
        <v>2407</v>
      </c>
      <c r="D12" s="21">
        <v>0.25148887263608799</v>
      </c>
    </row>
    <row r="13" spans="2:5">
      <c r="B13" s="23" t="s">
        <v>150</v>
      </c>
      <c r="C13" s="22">
        <v>7164</v>
      </c>
      <c r="D13" s="21">
        <v>0.74851112736391201</v>
      </c>
    </row>
    <row r="14" spans="2:5">
      <c r="B14" s="20" t="s">
        <v>29</v>
      </c>
      <c r="C14" s="19">
        <v>9571</v>
      </c>
      <c r="D14" s="18">
        <v>1</v>
      </c>
    </row>
    <row r="15" spans="2:5">
      <c r="B15" s="24"/>
      <c r="C15" s="48"/>
      <c r="D15" s="48"/>
      <c r="E15" s="24"/>
    </row>
    <row r="16" spans="2:5">
      <c r="B16" s="15" t="s">
        <v>47</v>
      </c>
      <c r="C16" s="48"/>
      <c r="D16" s="48"/>
      <c r="E16" s="24"/>
    </row>
    <row r="17" spans="2:4">
      <c r="B17" s="17" t="s">
        <v>18</v>
      </c>
      <c r="C17" s="47"/>
      <c r="D17" s="47"/>
    </row>
    <row r="18" spans="2:4">
      <c r="B18" s="16" t="s">
        <v>48</v>
      </c>
      <c r="C18" s="46"/>
      <c r="D18" s="46"/>
    </row>
    <row r="19" spans="2:4">
      <c r="B19" s="15" t="s">
        <v>17</v>
      </c>
    </row>
    <row r="20" spans="2:4">
      <c r="B2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3"/>
  <sheetViews>
    <sheetView showGridLines="0" view="pageBreakPreview" topLeftCell="A4" zoomScaleNormal="100" zoomScaleSheetLayoutView="100" workbookViewId="0">
      <selection activeCell="D156" sqref="D156"/>
    </sheetView>
  </sheetViews>
  <sheetFormatPr baseColWidth="10" defaultColWidth="11.453125" defaultRowHeight="10"/>
  <cols>
    <col min="1" max="1" width="5.7265625" style="25" customWidth="1"/>
    <col min="2" max="3" width="25.7265625" style="41" customWidth="1"/>
    <col min="4" max="4" width="15.7265625" style="44" customWidth="1"/>
    <col min="5" max="5" width="15.7265625" style="41" customWidth="1"/>
    <col min="6" max="6" width="5.2695312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106" t="s">
        <v>40</v>
      </c>
      <c r="C8" s="106"/>
      <c r="D8" s="106"/>
      <c r="E8" s="106"/>
    </row>
    <row r="9" spans="2:6" s="13" customFormat="1" ht="15" customHeight="1">
      <c r="B9" s="106"/>
      <c r="C9" s="106"/>
      <c r="D9" s="106"/>
      <c r="E9" s="106"/>
      <c r="F9" s="49"/>
    </row>
    <row r="10" spans="2:6" s="13" customFormat="1" ht="15" customHeight="1">
      <c r="B10" s="106"/>
      <c r="C10" s="106"/>
      <c r="D10" s="106"/>
      <c r="E10" s="106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5" t="s">
        <v>22</v>
      </c>
      <c r="C12" s="55" t="s">
        <v>30</v>
      </c>
      <c r="D12" s="55" t="s">
        <v>20</v>
      </c>
      <c r="E12" s="55" t="s">
        <v>19</v>
      </c>
    </row>
    <row r="13" spans="2:6" ht="14.5" customHeight="1">
      <c r="B13" s="115" t="s">
        <v>89</v>
      </c>
      <c r="C13" s="56" t="s">
        <v>149</v>
      </c>
      <c r="D13" s="57">
        <v>9</v>
      </c>
      <c r="E13" s="58">
        <v>9.4034061226599996E-4</v>
      </c>
    </row>
    <row r="14" spans="2:6" ht="14.5" customHeight="1">
      <c r="B14" s="115"/>
      <c r="C14" s="56" t="s">
        <v>150</v>
      </c>
      <c r="D14" s="57">
        <v>32</v>
      </c>
      <c r="E14" s="58">
        <v>3.343433288058E-3</v>
      </c>
    </row>
    <row r="15" spans="2:6" ht="14.5" customHeight="1">
      <c r="B15" s="115"/>
      <c r="C15" s="96" t="s">
        <v>29</v>
      </c>
      <c r="D15" s="74">
        <v>41</v>
      </c>
      <c r="E15" s="75">
        <v>4.2837739003239996E-3</v>
      </c>
    </row>
    <row r="16" spans="2:6" ht="14.5" customHeight="1">
      <c r="B16" s="115" t="s">
        <v>54</v>
      </c>
      <c r="C16" s="56" t="s">
        <v>149</v>
      </c>
      <c r="D16" s="57">
        <v>124</v>
      </c>
      <c r="E16" s="58">
        <v>1.2955803991223E-2</v>
      </c>
    </row>
    <row r="17" spans="2:5" ht="14.5" customHeight="1">
      <c r="B17" s="115"/>
      <c r="C17" s="56" t="s">
        <v>150</v>
      </c>
      <c r="D17" s="57">
        <v>410</v>
      </c>
      <c r="E17" s="58">
        <v>4.2837739003238999E-2</v>
      </c>
    </row>
    <row r="18" spans="2:5" ht="14.5" customHeight="1">
      <c r="B18" s="115" t="s">
        <v>298</v>
      </c>
      <c r="C18" s="96" t="s">
        <v>29</v>
      </c>
      <c r="D18" s="74">
        <v>534</v>
      </c>
      <c r="E18" s="75">
        <v>5.5793542994462E-2</v>
      </c>
    </row>
    <row r="19" spans="2:5" ht="14.5" customHeight="1">
      <c r="B19" s="115" t="s">
        <v>53</v>
      </c>
      <c r="C19" s="56" t="s">
        <v>149</v>
      </c>
      <c r="D19" s="57">
        <v>91</v>
      </c>
      <c r="E19" s="58">
        <v>9.5078884129140007E-3</v>
      </c>
    </row>
    <row r="20" spans="2:5" ht="14.5" customHeight="1">
      <c r="B20" s="115"/>
      <c r="C20" s="56" t="s">
        <v>150</v>
      </c>
      <c r="D20" s="57">
        <v>450</v>
      </c>
      <c r="E20" s="58">
        <v>4.7017030613311001E-2</v>
      </c>
    </row>
    <row r="21" spans="2:5" ht="14.5" customHeight="1">
      <c r="B21" s="115" t="s">
        <v>299</v>
      </c>
      <c r="C21" s="96" t="s">
        <v>29</v>
      </c>
      <c r="D21" s="74">
        <v>541</v>
      </c>
      <c r="E21" s="75">
        <v>5.6524919026225001E-2</v>
      </c>
    </row>
    <row r="22" spans="2:5" ht="14.5" customHeight="1">
      <c r="B22" s="115" t="s">
        <v>80</v>
      </c>
      <c r="C22" s="56" t="s">
        <v>149</v>
      </c>
      <c r="D22" s="57">
        <v>14</v>
      </c>
      <c r="E22" s="58">
        <v>1.462752063525E-3</v>
      </c>
    </row>
    <row r="23" spans="2:5" ht="14.5" customHeight="1">
      <c r="B23" s="115"/>
      <c r="C23" s="56" t="s">
        <v>150</v>
      </c>
      <c r="D23" s="57">
        <v>64</v>
      </c>
      <c r="E23" s="58">
        <v>6.686866576115E-3</v>
      </c>
    </row>
    <row r="24" spans="2:5" ht="14.5" customHeight="1">
      <c r="B24" s="115" t="s">
        <v>300</v>
      </c>
      <c r="C24" s="96" t="s">
        <v>29</v>
      </c>
      <c r="D24" s="74">
        <v>78</v>
      </c>
      <c r="E24" s="75">
        <v>8.1496186396410007E-3</v>
      </c>
    </row>
    <row r="25" spans="2:5" ht="14.5" customHeight="1">
      <c r="B25" s="115" t="s">
        <v>84</v>
      </c>
      <c r="C25" s="56" t="s">
        <v>149</v>
      </c>
      <c r="D25" s="57">
        <v>5</v>
      </c>
      <c r="E25" s="58">
        <v>5.2241145125899997E-4</v>
      </c>
    </row>
    <row r="26" spans="2:5" ht="14.5" customHeight="1">
      <c r="B26" s="115"/>
      <c r="C26" s="56" t="s">
        <v>150</v>
      </c>
      <c r="D26" s="57">
        <v>55</v>
      </c>
      <c r="E26" s="58">
        <v>5.7465259638490003E-3</v>
      </c>
    </row>
    <row r="27" spans="2:5" ht="14.5" customHeight="1">
      <c r="B27" s="115" t="s">
        <v>301</v>
      </c>
      <c r="C27" s="96" t="s">
        <v>29</v>
      </c>
      <c r="D27" s="74">
        <v>60</v>
      </c>
      <c r="E27" s="75">
        <v>6.2689374151079997E-3</v>
      </c>
    </row>
    <row r="28" spans="2:5" ht="14.5" customHeight="1">
      <c r="B28" s="115" t="s">
        <v>85</v>
      </c>
      <c r="C28" s="56" t="s">
        <v>149</v>
      </c>
      <c r="D28" s="57">
        <v>40</v>
      </c>
      <c r="E28" s="58">
        <v>4.1792916100719998E-3</v>
      </c>
    </row>
    <row r="29" spans="2:5" ht="14.5" customHeight="1">
      <c r="B29" s="115"/>
      <c r="C29" s="56" t="s">
        <v>150</v>
      </c>
      <c r="D29" s="57">
        <v>20</v>
      </c>
      <c r="E29" s="58">
        <v>2.0896458050359999E-3</v>
      </c>
    </row>
    <row r="30" spans="2:5" ht="14.5" customHeight="1">
      <c r="B30" s="115" t="s">
        <v>302</v>
      </c>
      <c r="C30" s="96" t="s">
        <v>29</v>
      </c>
      <c r="D30" s="74">
        <v>60</v>
      </c>
      <c r="E30" s="75">
        <v>6.2689374151079997E-3</v>
      </c>
    </row>
    <row r="31" spans="2:5" ht="14.5" customHeight="1">
      <c r="B31" s="107" t="s">
        <v>96</v>
      </c>
      <c r="C31" s="56" t="s">
        <v>150</v>
      </c>
      <c r="D31" s="57">
        <v>1</v>
      </c>
      <c r="E31" s="58">
        <v>1.04482290252E-4</v>
      </c>
    </row>
    <row r="32" spans="2:5" ht="14.5" customHeight="1">
      <c r="B32" s="107" t="s">
        <v>303</v>
      </c>
      <c r="C32" s="96" t="s">
        <v>29</v>
      </c>
      <c r="D32" s="74">
        <v>1</v>
      </c>
      <c r="E32" s="75">
        <v>1.04482290252E-4</v>
      </c>
    </row>
    <row r="33" spans="2:5" ht="14.5" customHeight="1">
      <c r="B33" s="115" t="s">
        <v>59</v>
      </c>
      <c r="C33" s="56" t="s">
        <v>149</v>
      </c>
      <c r="D33" s="57">
        <v>112</v>
      </c>
      <c r="E33" s="58">
        <v>1.1702016508202E-2</v>
      </c>
    </row>
    <row r="34" spans="2:5" ht="14.5" customHeight="1">
      <c r="B34" s="115"/>
      <c r="C34" s="56" t="s">
        <v>150</v>
      </c>
      <c r="D34" s="57">
        <v>252</v>
      </c>
      <c r="E34" s="58">
        <v>2.6329537143453999E-2</v>
      </c>
    </row>
    <row r="35" spans="2:5" ht="14.5" customHeight="1">
      <c r="B35" s="115" t="s">
        <v>304</v>
      </c>
      <c r="C35" s="96" t="s">
        <v>29</v>
      </c>
      <c r="D35" s="74">
        <v>364</v>
      </c>
      <c r="E35" s="75">
        <v>3.8031553651656003E-2</v>
      </c>
    </row>
    <row r="36" spans="2:5" ht="14.5" customHeight="1">
      <c r="B36" s="115" t="s">
        <v>50</v>
      </c>
      <c r="C36" s="56" t="s">
        <v>149</v>
      </c>
      <c r="D36" s="57">
        <v>343</v>
      </c>
      <c r="E36" s="58">
        <v>3.5837425556367999E-2</v>
      </c>
    </row>
    <row r="37" spans="2:5" ht="14.5" customHeight="1">
      <c r="B37" s="115"/>
      <c r="C37" s="56" t="s">
        <v>150</v>
      </c>
      <c r="D37" s="57">
        <v>1082</v>
      </c>
      <c r="E37" s="58">
        <v>0.11304983805245</v>
      </c>
    </row>
    <row r="38" spans="2:5" ht="14.5" customHeight="1">
      <c r="B38" s="115" t="s">
        <v>305</v>
      </c>
      <c r="C38" s="96" t="s">
        <v>29</v>
      </c>
      <c r="D38" s="74">
        <v>1425</v>
      </c>
      <c r="E38" s="75">
        <v>0.14888726360881799</v>
      </c>
    </row>
    <row r="39" spans="2:5" ht="14.5" customHeight="1">
      <c r="B39" s="115" t="s">
        <v>94</v>
      </c>
      <c r="C39" s="56" t="s">
        <v>149</v>
      </c>
      <c r="D39" s="57">
        <v>2</v>
      </c>
      <c r="E39" s="58">
        <v>2.08964580504E-4</v>
      </c>
    </row>
    <row r="40" spans="2:5" ht="14.5" customHeight="1">
      <c r="B40" s="115"/>
      <c r="C40" s="56" t="s">
        <v>150</v>
      </c>
      <c r="D40" s="57">
        <v>8</v>
      </c>
      <c r="E40" s="58">
        <v>8.3585832201399997E-4</v>
      </c>
    </row>
    <row r="41" spans="2:5" ht="14.5" customHeight="1">
      <c r="B41" s="115" t="s">
        <v>306</v>
      </c>
      <c r="C41" s="96" t="s">
        <v>29</v>
      </c>
      <c r="D41" s="74">
        <v>10</v>
      </c>
      <c r="E41" s="75">
        <v>1.0448229025179999E-3</v>
      </c>
    </row>
    <row r="42" spans="2:5" ht="14.5" customHeight="1">
      <c r="B42" s="115" t="s">
        <v>67</v>
      </c>
      <c r="C42" s="56" t="s">
        <v>149</v>
      </c>
      <c r="D42" s="57">
        <v>15</v>
      </c>
      <c r="E42" s="58">
        <v>1.5672343537769999E-3</v>
      </c>
    </row>
    <row r="43" spans="2:5" ht="14.5" customHeight="1">
      <c r="B43" s="115"/>
      <c r="C43" s="56" t="s">
        <v>150</v>
      </c>
      <c r="D43" s="57">
        <v>125</v>
      </c>
      <c r="E43" s="58">
        <v>1.3060286281475E-2</v>
      </c>
    </row>
    <row r="44" spans="2:5" ht="14.5" customHeight="1">
      <c r="B44" s="115" t="s">
        <v>307</v>
      </c>
      <c r="C44" s="96" t="s">
        <v>29</v>
      </c>
      <c r="D44" s="74">
        <v>140</v>
      </c>
      <c r="E44" s="75">
        <v>1.4627520635252E-2</v>
      </c>
    </row>
    <row r="45" spans="2:5" ht="14.5" customHeight="1">
      <c r="B45" s="115" t="s">
        <v>77</v>
      </c>
      <c r="C45" s="56" t="s">
        <v>149</v>
      </c>
      <c r="D45" s="57">
        <v>18</v>
      </c>
      <c r="E45" s="58">
        <v>1.8806812245319999E-3</v>
      </c>
    </row>
    <row r="46" spans="2:5" ht="14.5" customHeight="1">
      <c r="B46" s="115"/>
      <c r="C46" s="56" t="s">
        <v>150</v>
      </c>
      <c r="D46" s="57">
        <v>68</v>
      </c>
      <c r="E46" s="58">
        <v>7.1047957371230003E-3</v>
      </c>
    </row>
    <row r="47" spans="2:5" ht="14.5" customHeight="1">
      <c r="B47" s="115" t="s">
        <v>308</v>
      </c>
      <c r="C47" s="96" t="s">
        <v>29</v>
      </c>
      <c r="D47" s="74">
        <v>86</v>
      </c>
      <c r="E47" s="75">
        <v>8.9854769616549996E-3</v>
      </c>
    </row>
    <row r="48" spans="2:5" ht="14.5" customHeight="1">
      <c r="B48" s="107" t="s">
        <v>97</v>
      </c>
      <c r="C48" s="56" t="s">
        <v>150</v>
      </c>
      <c r="D48" s="57">
        <v>1</v>
      </c>
      <c r="E48" s="58">
        <v>1.04482290252E-4</v>
      </c>
    </row>
    <row r="49" spans="2:5" ht="14.5" customHeight="1">
      <c r="B49" s="107" t="s">
        <v>309</v>
      </c>
      <c r="C49" s="96" t="s">
        <v>29</v>
      </c>
      <c r="D49" s="74">
        <v>1</v>
      </c>
      <c r="E49" s="75">
        <v>1.04482290252E-4</v>
      </c>
    </row>
    <row r="50" spans="2:5" ht="14.5" customHeight="1">
      <c r="B50" s="115" t="s">
        <v>90</v>
      </c>
      <c r="C50" s="56" t="s">
        <v>149</v>
      </c>
      <c r="D50" s="57">
        <v>6</v>
      </c>
      <c r="E50" s="58">
        <v>6.2689374151099996E-4</v>
      </c>
    </row>
    <row r="51" spans="2:5" ht="14.5" customHeight="1">
      <c r="B51" s="115"/>
      <c r="C51" s="56" t="s">
        <v>150</v>
      </c>
      <c r="D51" s="57">
        <v>24</v>
      </c>
      <c r="E51" s="58">
        <v>2.5075749660430002E-3</v>
      </c>
    </row>
    <row r="52" spans="2:5" ht="14.5" customHeight="1">
      <c r="B52" s="115" t="s">
        <v>310</v>
      </c>
      <c r="C52" s="96" t="s">
        <v>29</v>
      </c>
      <c r="D52" s="74">
        <v>30</v>
      </c>
      <c r="E52" s="75">
        <v>3.1344687075539998E-3</v>
      </c>
    </row>
    <row r="53" spans="2:5" ht="14.5" customHeight="1">
      <c r="B53" s="115" t="s">
        <v>71</v>
      </c>
      <c r="C53" s="56" t="s">
        <v>149</v>
      </c>
      <c r="D53" s="57">
        <v>30</v>
      </c>
      <c r="E53" s="58">
        <v>3.1344687075539998E-3</v>
      </c>
    </row>
    <row r="54" spans="2:5" ht="14.5" customHeight="1">
      <c r="B54" s="115"/>
      <c r="C54" s="56" t="s">
        <v>150</v>
      </c>
      <c r="D54" s="57">
        <v>79</v>
      </c>
      <c r="E54" s="58">
        <v>8.2541009298920005E-3</v>
      </c>
    </row>
    <row r="55" spans="2:5" ht="14.5" customHeight="1">
      <c r="B55" s="115" t="s">
        <v>311</v>
      </c>
      <c r="C55" s="96" t="s">
        <v>29</v>
      </c>
      <c r="D55" s="74">
        <v>109</v>
      </c>
      <c r="E55" s="75">
        <v>1.1388569637446E-2</v>
      </c>
    </row>
    <row r="56" spans="2:5" ht="14.5" customHeight="1">
      <c r="B56" s="115" t="s">
        <v>81</v>
      </c>
      <c r="C56" s="56" t="s">
        <v>149</v>
      </c>
      <c r="D56" s="57">
        <v>28</v>
      </c>
      <c r="E56" s="58">
        <v>2.9255041270500001E-3</v>
      </c>
    </row>
    <row r="57" spans="2:5" ht="14.5" customHeight="1">
      <c r="B57" s="115"/>
      <c r="C57" s="56" t="s">
        <v>150</v>
      </c>
      <c r="D57" s="57">
        <v>48</v>
      </c>
      <c r="E57" s="58">
        <v>5.0151499320869996E-3</v>
      </c>
    </row>
    <row r="58" spans="2:5" ht="14.5" customHeight="1">
      <c r="B58" s="115" t="s">
        <v>312</v>
      </c>
      <c r="C58" s="96" t="s">
        <v>29</v>
      </c>
      <c r="D58" s="74">
        <v>76</v>
      </c>
      <c r="E58" s="75">
        <v>7.9406540591369992E-3</v>
      </c>
    </row>
    <row r="59" spans="2:5" ht="14.5" customHeight="1">
      <c r="B59" s="115" t="s">
        <v>51</v>
      </c>
      <c r="C59" s="56" t="s">
        <v>149</v>
      </c>
      <c r="D59" s="57">
        <v>242</v>
      </c>
      <c r="E59" s="58">
        <v>2.5284714240936E-2</v>
      </c>
    </row>
    <row r="60" spans="2:5" ht="14.5" customHeight="1">
      <c r="B60" s="115"/>
      <c r="C60" s="56" t="s">
        <v>150</v>
      </c>
      <c r="D60" s="57">
        <v>655</v>
      </c>
      <c r="E60" s="58">
        <v>6.8435900114931003E-2</v>
      </c>
    </row>
    <row r="61" spans="2:5" ht="14.5" customHeight="1">
      <c r="B61" s="115" t="s">
        <v>313</v>
      </c>
      <c r="C61" s="96" t="s">
        <v>29</v>
      </c>
      <c r="D61" s="74">
        <v>897</v>
      </c>
      <c r="E61" s="75">
        <v>9.3720614355866996E-2</v>
      </c>
    </row>
    <row r="62" spans="2:5" ht="14.5" customHeight="1">
      <c r="B62" s="115" t="s">
        <v>68</v>
      </c>
      <c r="C62" s="56" t="s">
        <v>149</v>
      </c>
      <c r="D62" s="57">
        <v>31</v>
      </c>
      <c r="E62" s="58">
        <v>3.2389509978060001E-3</v>
      </c>
    </row>
    <row r="63" spans="2:5" ht="14.5" customHeight="1">
      <c r="B63" s="115"/>
      <c r="C63" s="56" t="s">
        <v>150</v>
      </c>
      <c r="D63" s="57">
        <v>94</v>
      </c>
      <c r="E63" s="58">
        <v>9.8213352836690002E-3</v>
      </c>
    </row>
    <row r="64" spans="2:5" ht="14.5" customHeight="1">
      <c r="B64" s="115" t="s">
        <v>314</v>
      </c>
      <c r="C64" s="96" t="s">
        <v>29</v>
      </c>
      <c r="D64" s="74">
        <v>125</v>
      </c>
      <c r="E64" s="75">
        <v>1.3060286281475E-2</v>
      </c>
    </row>
    <row r="65" spans="2:5" ht="14.5" customHeight="1">
      <c r="B65" s="115" t="s">
        <v>70</v>
      </c>
      <c r="C65" s="56" t="s">
        <v>149</v>
      </c>
      <c r="D65" s="57">
        <v>25</v>
      </c>
      <c r="E65" s="58">
        <v>2.6120572562950001E-3</v>
      </c>
    </row>
    <row r="66" spans="2:5" ht="14.5" customHeight="1">
      <c r="B66" s="115"/>
      <c r="C66" s="56" t="s">
        <v>150</v>
      </c>
      <c r="D66" s="57">
        <v>89</v>
      </c>
      <c r="E66" s="58">
        <v>9.2989238324099992E-3</v>
      </c>
    </row>
    <row r="67" spans="2:5" ht="14.5" customHeight="1">
      <c r="B67" s="115" t="s">
        <v>315</v>
      </c>
      <c r="C67" s="96" t="s">
        <v>29</v>
      </c>
      <c r="D67" s="74">
        <v>114</v>
      </c>
      <c r="E67" s="75">
        <v>1.1910981088704999E-2</v>
      </c>
    </row>
    <row r="68" spans="2:5" ht="14.5" customHeight="1">
      <c r="B68" s="115" t="s">
        <v>93</v>
      </c>
      <c r="C68" s="56" t="s">
        <v>149</v>
      </c>
      <c r="D68" s="57">
        <v>8</v>
      </c>
      <c r="E68" s="58">
        <v>8.3585832201399997E-4</v>
      </c>
    </row>
    <row r="69" spans="2:5" ht="14.5" customHeight="1">
      <c r="B69" s="115"/>
      <c r="C69" s="56" t="s">
        <v>150</v>
      </c>
      <c r="D69" s="57">
        <v>8</v>
      </c>
      <c r="E69" s="58">
        <v>8.3585832201399997E-4</v>
      </c>
    </row>
    <row r="70" spans="2:5" ht="14.5" customHeight="1">
      <c r="B70" s="115" t="s">
        <v>316</v>
      </c>
      <c r="C70" s="96" t="s">
        <v>29</v>
      </c>
      <c r="D70" s="74">
        <v>16</v>
      </c>
      <c r="E70" s="75">
        <v>1.671716644029E-3</v>
      </c>
    </row>
    <row r="71" spans="2:5" ht="14.5" customHeight="1">
      <c r="B71" s="115" t="s">
        <v>65</v>
      </c>
      <c r="C71" s="56" t="s">
        <v>149</v>
      </c>
      <c r="D71" s="57">
        <v>37</v>
      </c>
      <c r="E71" s="58">
        <v>3.8658447393170002E-3</v>
      </c>
    </row>
    <row r="72" spans="2:5" ht="14.5" customHeight="1">
      <c r="B72" s="115"/>
      <c r="C72" s="56" t="s">
        <v>150</v>
      </c>
      <c r="D72" s="57">
        <v>111</v>
      </c>
      <c r="E72" s="58">
        <v>1.159753421795E-2</v>
      </c>
    </row>
    <row r="73" spans="2:5" ht="14.5" customHeight="1">
      <c r="B73" s="115" t="s">
        <v>317</v>
      </c>
      <c r="C73" s="96" t="s">
        <v>29</v>
      </c>
      <c r="D73" s="74">
        <v>148</v>
      </c>
      <c r="E73" s="75">
        <v>1.5463378957267E-2</v>
      </c>
    </row>
    <row r="74" spans="2:5" ht="14.5" customHeight="1">
      <c r="B74" s="115" t="s">
        <v>56</v>
      </c>
      <c r="C74" s="56" t="s">
        <v>149</v>
      </c>
      <c r="D74" s="57">
        <v>103</v>
      </c>
      <c r="E74" s="58">
        <v>1.0761675895936001E-2</v>
      </c>
    </row>
    <row r="75" spans="2:5" ht="14.5" customHeight="1">
      <c r="B75" s="115"/>
      <c r="C75" s="56" t="s">
        <v>150</v>
      </c>
      <c r="D75" s="57">
        <v>276</v>
      </c>
      <c r="E75" s="58">
        <v>2.8837112109497E-2</v>
      </c>
    </row>
    <row r="76" spans="2:5" ht="14.5" customHeight="1">
      <c r="B76" s="115" t="s">
        <v>318</v>
      </c>
      <c r="C76" s="96" t="s">
        <v>29</v>
      </c>
      <c r="D76" s="74">
        <v>379</v>
      </c>
      <c r="E76" s="75">
        <v>3.9598788005432997E-2</v>
      </c>
    </row>
    <row r="77" spans="2:5" ht="14.5" customHeight="1">
      <c r="B77" s="115" t="s">
        <v>57</v>
      </c>
      <c r="C77" s="56" t="s">
        <v>149</v>
      </c>
      <c r="D77" s="57">
        <v>118</v>
      </c>
      <c r="E77" s="58">
        <v>1.2328910249713E-2</v>
      </c>
    </row>
    <row r="78" spans="2:5" ht="14.5" customHeight="1">
      <c r="B78" s="115"/>
      <c r="C78" s="56" t="s">
        <v>150</v>
      </c>
      <c r="D78" s="57">
        <v>260</v>
      </c>
      <c r="E78" s="58">
        <v>2.7165395465468999E-2</v>
      </c>
    </row>
    <row r="79" spans="2:5" ht="14.5" customHeight="1">
      <c r="B79" s="115" t="s">
        <v>319</v>
      </c>
      <c r="C79" s="96" t="s">
        <v>29</v>
      </c>
      <c r="D79" s="74">
        <v>378</v>
      </c>
      <c r="E79" s="75">
        <v>3.9494305715180998E-2</v>
      </c>
    </row>
    <row r="80" spans="2:5" ht="14.5" customHeight="1">
      <c r="B80" s="115" t="s">
        <v>75</v>
      </c>
      <c r="C80" s="56" t="s">
        <v>149</v>
      </c>
      <c r="D80" s="57">
        <v>41</v>
      </c>
      <c r="E80" s="58">
        <v>4.2837739003239996E-3</v>
      </c>
    </row>
    <row r="81" spans="2:5" ht="14.5" customHeight="1">
      <c r="B81" s="115"/>
      <c r="C81" s="56" t="s">
        <v>150</v>
      </c>
      <c r="D81" s="57">
        <v>50</v>
      </c>
      <c r="E81" s="58">
        <v>5.2241145125900001E-3</v>
      </c>
    </row>
    <row r="82" spans="2:5" ht="14.5" customHeight="1">
      <c r="B82" s="115" t="s">
        <v>320</v>
      </c>
      <c r="C82" s="96" t="s">
        <v>29</v>
      </c>
      <c r="D82" s="74">
        <v>91</v>
      </c>
      <c r="E82" s="75">
        <v>9.5078884129140007E-3</v>
      </c>
    </row>
    <row r="83" spans="2:5" ht="14.5" customHeight="1">
      <c r="B83" s="115" t="s">
        <v>60</v>
      </c>
      <c r="C83" s="56" t="s">
        <v>149</v>
      </c>
      <c r="D83" s="57">
        <v>102</v>
      </c>
      <c r="E83" s="58">
        <v>1.0657193605684E-2</v>
      </c>
    </row>
    <row r="84" spans="2:5" ht="14.5" customHeight="1">
      <c r="B84" s="115"/>
      <c r="C84" s="56" t="s">
        <v>150</v>
      </c>
      <c r="D84" s="57">
        <v>249</v>
      </c>
      <c r="E84" s="58">
        <v>2.6016090272699001E-2</v>
      </c>
    </row>
    <row r="85" spans="2:5" ht="14.5" customHeight="1">
      <c r="B85" s="115" t="s">
        <v>321</v>
      </c>
      <c r="C85" s="96" t="s">
        <v>29</v>
      </c>
      <c r="D85" s="74">
        <v>351</v>
      </c>
      <c r="E85" s="75">
        <v>3.6673283878382999E-2</v>
      </c>
    </row>
    <row r="86" spans="2:5" ht="14.5" customHeight="1">
      <c r="B86" s="115" t="s">
        <v>73</v>
      </c>
      <c r="C86" s="56" t="s">
        <v>149</v>
      </c>
      <c r="D86" s="57">
        <v>21</v>
      </c>
      <c r="E86" s="58">
        <v>2.1941280952880002E-3</v>
      </c>
    </row>
    <row r="87" spans="2:5" ht="14.5" customHeight="1">
      <c r="B87" s="115"/>
      <c r="C87" s="56" t="s">
        <v>150</v>
      </c>
      <c r="D87" s="57">
        <v>75</v>
      </c>
      <c r="E87" s="58">
        <v>7.8361717688850002E-3</v>
      </c>
    </row>
    <row r="88" spans="2:5" ht="14.5" customHeight="1">
      <c r="B88" s="115" t="s">
        <v>322</v>
      </c>
      <c r="C88" s="96" t="s">
        <v>29</v>
      </c>
      <c r="D88" s="74">
        <v>96</v>
      </c>
      <c r="E88" s="75">
        <v>1.0030299864173E-2</v>
      </c>
    </row>
    <row r="89" spans="2:5" ht="14.5" customHeight="1">
      <c r="B89" s="107" t="s">
        <v>98</v>
      </c>
      <c r="C89" s="56" t="s">
        <v>149</v>
      </c>
      <c r="D89" s="57">
        <v>1</v>
      </c>
      <c r="E89" s="58">
        <v>1.04482290252E-4</v>
      </c>
    </row>
    <row r="90" spans="2:5" ht="14.5" customHeight="1">
      <c r="B90" s="107"/>
      <c r="C90" s="96" t="s">
        <v>29</v>
      </c>
      <c r="D90" s="74">
        <v>1</v>
      </c>
      <c r="E90" s="75">
        <v>1.04482290252E-4</v>
      </c>
    </row>
    <row r="91" spans="2:5" ht="14.5" customHeight="1">
      <c r="B91" s="115" t="s">
        <v>63</v>
      </c>
      <c r="C91" s="56" t="s">
        <v>149</v>
      </c>
      <c r="D91" s="57">
        <v>33</v>
      </c>
      <c r="E91" s="58">
        <v>3.4479155783089998E-3</v>
      </c>
    </row>
    <row r="92" spans="2:5" ht="14.5" customHeight="1">
      <c r="B92" s="115"/>
      <c r="C92" s="56" t="s">
        <v>150</v>
      </c>
      <c r="D92" s="57">
        <v>161</v>
      </c>
      <c r="E92" s="58">
        <v>1.6821648730540002E-2</v>
      </c>
    </row>
    <row r="93" spans="2:5" ht="14.5" customHeight="1">
      <c r="B93" s="115" t="s">
        <v>323</v>
      </c>
      <c r="C93" s="96" t="s">
        <v>29</v>
      </c>
      <c r="D93" s="74">
        <v>194</v>
      </c>
      <c r="E93" s="75">
        <v>2.0269564308850001E-2</v>
      </c>
    </row>
    <row r="94" spans="2:5" ht="14.5" customHeight="1">
      <c r="B94" s="115" t="s">
        <v>82</v>
      </c>
      <c r="C94" s="56" t="s">
        <v>149</v>
      </c>
      <c r="D94" s="57">
        <v>21</v>
      </c>
      <c r="E94" s="58">
        <v>2.1941280952880002E-3</v>
      </c>
    </row>
    <row r="95" spans="2:5" ht="14.5" customHeight="1">
      <c r="B95" s="115"/>
      <c r="C95" s="56" t="s">
        <v>150</v>
      </c>
      <c r="D95" s="57">
        <v>55</v>
      </c>
      <c r="E95" s="58">
        <v>5.7465259638490003E-3</v>
      </c>
    </row>
    <row r="96" spans="2:5" ht="14.5" customHeight="1">
      <c r="B96" s="115" t="s">
        <v>324</v>
      </c>
      <c r="C96" s="96" t="s">
        <v>29</v>
      </c>
      <c r="D96" s="74">
        <v>76</v>
      </c>
      <c r="E96" s="75">
        <v>7.9406540591369992E-3</v>
      </c>
    </row>
    <row r="97" spans="2:5" ht="14.5" customHeight="1">
      <c r="B97" s="115" t="s">
        <v>66</v>
      </c>
      <c r="C97" s="56" t="s">
        <v>149</v>
      </c>
      <c r="D97" s="57">
        <v>42</v>
      </c>
      <c r="E97" s="58">
        <v>4.3882561905760004E-3</v>
      </c>
    </row>
    <row r="98" spans="2:5" ht="14.5" customHeight="1">
      <c r="B98" s="115"/>
      <c r="C98" s="56" t="s">
        <v>150</v>
      </c>
      <c r="D98" s="57">
        <v>0</v>
      </c>
      <c r="E98" s="58">
        <v>1.0657193605684E-2</v>
      </c>
    </row>
    <row r="99" spans="2:5" ht="14.5" customHeight="1">
      <c r="B99" s="115" t="s">
        <v>325</v>
      </c>
      <c r="C99" s="96" t="s">
        <v>29</v>
      </c>
      <c r="D99" s="74">
        <v>144</v>
      </c>
      <c r="E99" s="75">
        <v>1.504544979626E-2</v>
      </c>
    </row>
    <row r="100" spans="2:5" ht="14.5" customHeight="1">
      <c r="B100" s="115" t="s">
        <v>69</v>
      </c>
      <c r="C100" s="56" t="s">
        <v>149</v>
      </c>
      <c r="D100" s="57">
        <v>30</v>
      </c>
      <c r="E100" s="58">
        <v>3.1344687075539998E-3</v>
      </c>
    </row>
    <row r="101" spans="2:5" ht="14.5" customHeight="1">
      <c r="B101" s="115"/>
      <c r="C101" s="56" t="s">
        <v>150</v>
      </c>
      <c r="D101" s="57">
        <v>93</v>
      </c>
      <c r="E101" s="58">
        <v>9.7168529934180004E-3</v>
      </c>
    </row>
    <row r="102" spans="2:5" ht="14.5" customHeight="1">
      <c r="B102" s="115" t="s">
        <v>326</v>
      </c>
      <c r="C102" s="96" t="s">
        <v>29</v>
      </c>
      <c r="D102" s="74">
        <v>123</v>
      </c>
      <c r="E102" s="75">
        <v>1.2851321700972E-2</v>
      </c>
    </row>
    <row r="103" spans="2:5" ht="14.5" customHeight="1">
      <c r="B103" s="115" t="s">
        <v>55</v>
      </c>
      <c r="C103" s="56" t="s">
        <v>149</v>
      </c>
      <c r="D103" s="57">
        <v>71</v>
      </c>
      <c r="E103" s="58">
        <v>7.4182426078779999E-3</v>
      </c>
    </row>
    <row r="104" spans="2:5" ht="14.5" customHeight="1">
      <c r="B104" s="115"/>
      <c r="C104" s="56" t="s">
        <v>150</v>
      </c>
      <c r="D104" s="57">
        <v>323</v>
      </c>
      <c r="E104" s="58">
        <v>3.3747779751332002E-2</v>
      </c>
    </row>
    <row r="105" spans="2:5" ht="14.5" customHeight="1">
      <c r="B105" s="115" t="s">
        <v>327</v>
      </c>
      <c r="C105" s="96" t="s">
        <v>29</v>
      </c>
      <c r="D105" s="74">
        <v>394</v>
      </c>
      <c r="E105" s="75">
        <v>4.1166022359209999E-2</v>
      </c>
    </row>
    <row r="106" spans="2:5" ht="14.5" customHeight="1">
      <c r="B106" s="115" t="s">
        <v>91</v>
      </c>
      <c r="C106" s="56" t="s">
        <v>149</v>
      </c>
      <c r="D106" s="57">
        <v>6</v>
      </c>
      <c r="E106" s="58">
        <v>6.2689374151099996E-4</v>
      </c>
    </row>
    <row r="107" spans="2:5" ht="14.5" customHeight="1">
      <c r="B107" s="115"/>
      <c r="C107" s="56" t="s">
        <v>150</v>
      </c>
      <c r="D107" s="57">
        <v>23</v>
      </c>
      <c r="E107" s="58">
        <v>2.4030926757909999E-3</v>
      </c>
    </row>
    <row r="108" spans="2:5" ht="14.5" customHeight="1">
      <c r="B108" s="115" t="s">
        <v>328</v>
      </c>
      <c r="C108" s="96" t="s">
        <v>29</v>
      </c>
      <c r="D108" s="74">
        <v>29</v>
      </c>
      <c r="E108" s="75">
        <v>3.029986417302E-3</v>
      </c>
    </row>
    <row r="109" spans="2:5" ht="14.5" customHeight="1">
      <c r="B109" s="115" t="s">
        <v>79</v>
      </c>
      <c r="C109" s="56" t="s">
        <v>149</v>
      </c>
      <c r="D109" s="57">
        <v>14</v>
      </c>
      <c r="E109" s="58">
        <v>1.462752063525E-3</v>
      </c>
    </row>
    <row r="110" spans="2:5" ht="14.5" customHeight="1">
      <c r="B110" s="115"/>
      <c r="C110" s="56" t="s">
        <v>150</v>
      </c>
      <c r="D110" s="57">
        <v>67</v>
      </c>
      <c r="E110" s="58">
        <v>7.0003134468709996E-3</v>
      </c>
    </row>
    <row r="111" spans="2:5" ht="14.5" customHeight="1">
      <c r="B111" s="115" t="s">
        <v>329</v>
      </c>
      <c r="C111" s="96" t="s">
        <v>29</v>
      </c>
      <c r="D111" s="74">
        <v>81</v>
      </c>
      <c r="E111" s="75">
        <v>8.4630655103960003E-3</v>
      </c>
    </row>
    <row r="112" spans="2:5" ht="14.5" customHeight="1">
      <c r="B112" s="115" t="s">
        <v>87</v>
      </c>
      <c r="C112" s="56" t="s">
        <v>149</v>
      </c>
      <c r="D112" s="57">
        <v>7</v>
      </c>
      <c r="E112" s="58">
        <v>7.3137603176300005E-4</v>
      </c>
    </row>
    <row r="113" spans="2:5" ht="14.5" customHeight="1">
      <c r="B113" s="115"/>
      <c r="C113" s="56" t="s">
        <v>150</v>
      </c>
      <c r="D113" s="57">
        <v>40</v>
      </c>
      <c r="E113" s="58">
        <v>4.1792916100719998E-3</v>
      </c>
    </row>
    <row r="114" spans="2:5" ht="14.5" customHeight="1">
      <c r="B114" s="115" t="s">
        <v>330</v>
      </c>
      <c r="C114" s="96" t="s">
        <v>29</v>
      </c>
      <c r="D114" s="74">
        <v>47</v>
      </c>
      <c r="E114" s="75">
        <v>4.9106676418349997E-3</v>
      </c>
    </row>
    <row r="115" spans="2:5" ht="14.5" customHeight="1">
      <c r="B115" s="115" t="s">
        <v>92</v>
      </c>
      <c r="C115" s="56" t="s">
        <v>149</v>
      </c>
      <c r="D115" s="57">
        <v>6</v>
      </c>
      <c r="E115" s="58">
        <v>6.2689374151099996E-4</v>
      </c>
    </row>
    <row r="116" spans="2:5" ht="14.5" customHeight="1">
      <c r="B116" s="115"/>
      <c r="C116" s="56" t="s">
        <v>150</v>
      </c>
      <c r="D116" s="57">
        <v>22</v>
      </c>
      <c r="E116" s="58">
        <v>2.2986103855400001E-3</v>
      </c>
    </row>
    <row r="117" spans="2:5" ht="14.5" customHeight="1">
      <c r="B117" s="115" t="s">
        <v>331</v>
      </c>
      <c r="C117" s="96" t="s">
        <v>29</v>
      </c>
      <c r="D117" s="74">
        <v>28</v>
      </c>
      <c r="E117" s="75">
        <v>2.9255041270500001E-3</v>
      </c>
    </row>
    <row r="118" spans="2:5" ht="14.5" customHeight="1">
      <c r="B118" s="115" t="s">
        <v>52</v>
      </c>
      <c r="C118" s="56" t="s">
        <v>149</v>
      </c>
      <c r="D118" s="57">
        <v>163</v>
      </c>
      <c r="E118" s="58">
        <v>1.7030613311044E-2</v>
      </c>
    </row>
    <row r="119" spans="2:5" ht="14.5" customHeight="1">
      <c r="B119" s="115"/>
      <c r="C119" s="56" t="s">
        <v>150</v>
      </c>
      <c r="D119" s="57">
        <v>506</v>
      </c>
      <c r="E119" s="58">
        <v>5.2868038867412002E-2</v>
      </c>
    </row>
    <row r="120" spans="2:5" ht="14.5" customHeight="1">
      <c r="B120" s="115" t="s">
        <v>332</v>
      </c>
      <c r="C120" s="96" t="s">
        <v>29</v>
      </c>
      <c r="D120" s="74">
        <v>669</v>
      </c>
      <c r="E120" s="75">
        <v>6.9898652178456006E-2</v>
      </c>
    </row>
    <row r="121" spans="2:5" ht="14.5" customHeight="1">
      <c r="B121" s="115" t="s">
        <v>72</v>
      </c>
      <c r="C121" s="56" t="s">
        <v>149</v>
      </c>
      <c r="D121" s="57">
        <v>20</v>
      </c>
      <c r="E121" s="58">
        <v>2.0896458050359999E-3</v>
      </c>
    </row>
    <row r="122" spans="2:5" ht="14.5" customHeight="1">
      <c r="B122" s="115"/>
      <c r="C122" s="56" t="s">
        <v>150</v>
      </c>
      <c r="D122" s="57">
        <v>79</v>
      </c>
      <c r="E122" s="58">
        <v>8.2541009298920005E-3</v>
      </c>
    </row>
    <row r="123" spans="2:5" ht="14.5" customHeight="1">
      <c r="B123" s="115" t="s">
        <v>333</v>
      </c>
      <c r="C123" s="96" t="s">
        <v>29</v>
      </c>
      <c r="D123" s="74">
        <v>99</v>
      </c>
      <c r="E123" s="75">
        <v>1.0343746734928E-2</v>
      </c>
    </row>
    <row r="124" spans="2:5" ht="14.5" customHeight="1">
      <c r="B124" s="115" t="s">
        <v>76</v>
      </c>
      <c r="C124" s="56" t="s">
        <v>149</v>
      </c>
      <c r="D124" s="57">
        <v>17</v>
      </c>
      <c r="E124" s="58">
        <v>1.7761989342810001E-3</v>
      </c>
    </row>
    <row r="125" spans="2:5" ht="14.5" customHeight="1">
      <c r="B125" s="115"/>
      <c r="C125" s="56" t="s">
        <v>150</v>
      </c>
      <c r="D125" s="57">
        <v>73</v>
      </c>
      <c r="E125" s="58">
        <v>7.6272071883819997E-3</v>
      </c>
    </row>
    <row r="126" spans="2:5" ht="14.5" customHeight="1">
      <c r="B126" s="115" t="s">
        <v>334</v>
      </c>
      <c r="C126" s="96" t="s">
        <v>29</v>
      </c>
      <c r="D126" s="74">
        <v>90</v>
      </c>
      <c r="E126" s="75">
        <v>9.4034061226619999E-3</v>
      </c>
    </row>
    <row r="127" spans="2:5" ht="14.5" customHeight="1">
      <c r="B127" s="115" t="s">
        <v>88</v>
      </c>
      <c r="C127" s="56" t="s">
        <v>149</v>
      </c>
      <c r="D127" s="57">
        <v>4</v>
      </c>
      <c r="E127" s="58">
        <v>4.1792916100699999E-4</v>
      </c>
    </row>
    <row r="128" spans="2:5" ht="14.5" customHeight="1">
      <c r="B128" s="115"/>
      <c r="C128" s="56" t="s">
        <v>150</v>
      </c>
      <c r="D128" s="57">
        <v>39</v>
      </c>
      <c r="E128" s="58">
        <v>4.0748093198199999E-3</v>
      </c>
    </row>
    <row r="129" spans="2:5" ht="14.5" customHeight="1">
      <c r="B129" s="115" t="s">
        <v>335</v>
      </c>
      <c r="C129" s="96" t="s">
        <v>29</v>
      </c>
      <c r="D129" s="74">
        <v>43</v>
      </c>
      <c r="E129" s="75">
        <v>4.4927384808280003E-3</v>
      </c>
    </row>
    <row r="130" spans="2:5" ht="14.5" customHeight="1">
      <c r="B130" s="115" t="s">
        <v>64</v>
      </c>
      <c r="C130" s="56" t="s">
        <v>149</v>
      </c>
      <c r="D130" s="57">
        <v>55</v>
      </c>
      <c r="E130" s="58">
        <v>5.7465259638490003E-3</v>
      </c>
    </row>
    <row r="131" spans="2:5" ht="14.5" customHeight="1">
      <c r="B131" s="115"/>
      <c r="C131" s="56" t="s">
        <v>150</v>
      </c>
      <c r="D131" s="57">
        <v>138</v>
      </c>
      <c r="E131" s="58">
        <v>1.4418556054749E-2</v>
      </c>
    </row>
    <row r="132" spans="2:5" ht="14.5" customHeight="1">
      <c r="B132" s="115" t="s">
        <v>336</v>
      </c>
      <c r="C132" s="96" t="s">
        <v>29</v>
      </c>
      <c r="D132" s="74">
        <v>193</v>
      </c>
      <c r="E132" s="75">
        <v>2.0165082018597999E-2</v>
      </c>
    </row>
    <row r="133" spans="2:5" ht="14.5" customHeight="1">
      <c r="B133" s="115" t="s">
        <v>62</v>
      </c>
      <c r="C133" s="56" t="s">
        <v>149</v>
      </c>
      <c r="D133" s="57">
        <v>80</v>
      </c>
      <c r="E133" s="58">
        <v>8.3585832201439995E-3</v>
      </c>
    </row>
    <row r="134" spans="2:5" ht="14.5" customHeight="1">
      <c r="B134" s="115"/>
      <c r="C134" s="56" t="s">
        <v>150</v>
      </c>
      <c r="D134" s="57">
        <v>157</v>
      </c>
      <c r="E134" s="58">
        <v>1.6403719569533001E-2</v>
      </c>
    </row>
    <row r="135" spans="2:5" ht="14.5" customHeight="1">
      <c r="B135" s="115" t="s">
        <v>337</v>
      </c>
      <c r="C135" s="96" t="s">
        <v>29</v>
      </c>
      <c r="D135" s="74">
        <v>237</v>
      </c>
      <c r="E135" s="75">
        <v>2.4762302789677001E-2</v>
      </c>
    </row>
    <row r="136" spans="2:5" ht="14.5" customHeight="1">
      <c r="B136" s="115" t="s">
        <v>61</v>
      </c>
      <c r="C136" s="56" t="s">
        <v>149</v>
      </c>
      <c r="D136" s="57">
        <v>103</v>
      </c>
      <c r="E136" s="58">
        <v>1.0761675895936001E-2</v>
      </c>
    </row>
    <row r="137" spans="2:5" ht="14.5" customHeight="1">
      <c r="B137" s="115"/>
      <c r="C137" s="56" t="s">
        <v>150</v>
      </c>
      <c r="D137" s="57">
        <v>192</v>
      </c>
      <c r="E137" s="58">
        <v>2.0060599728346E-2</v>
      </c>
    </row>
    <row r="138" spans="2:5" ht="14.5" customHeight="1">
      <c r="B138" s="115" t="s">
        <v>338</v>
      </c>
      <c r="C138" s="96" t="s">
        <v>29</v>
      </c>
      <c r="D138" s="74">
        <v>295</v>
      </c>
      <c r="E138" s="75">
        <v>3.0822275624282001E-2</v>
      </c>
    </row>
    <row r="139" spans="2:5" ht="14.5" customHeight="1">
      <c r="B139" s="115" t="s">
        <v>83</v>
      </c>
      <c r="C139" s="56" t="s">
        <v>149</v>
      </c>
      <c r="D139" s="57">
        <v>15</v>
      </c>
      <c r="E139" s="58">
        <v>1.5672343537769999E-3</v>
      </c>
    </row>
    <row r="140" spans="2:5" ht="14.5" customHeight="1">
      <c r="B140" s="115"/>
      <c r="C140" s="56" t="s">
        <v>150</v>
      </c>
      <c r="D140" s="57">
        <v>54</v>
      </c>
      <c r="E140" s="58">
        <v>5.6420436735969996E-3</v>
      </c>
    </row>
    <row r="141" spans="2:5" ht="14.5" customHeight="1">
      <c r="B141" s="115" t="s">
        <v>339</v>
      </c>
      <c r="C141" s="96" t="s">
        <v>29</v>
      </c>
      <c r="D141" s="74">
        <v>69</v>
      </c>
      <c r="E141" s="75">
        <v>7.2092780273740002E-3</v>
      </c>
    </row>
    <row r="142" spans="2:5" ht="14.5" customHeight="1">
      <c r="B142" s="115" t="s">
        <v>78</v>
      </c>
      <c r="C142" s="56" t="s">
        <v>149</v>
      </c>
      <c r="D142" s="57">
        <v>28</v>
      </c>
      <c r="E142" s="58">
        <v>2.9255041270500001E-3</v>
      </c>
    </row>
    <row r="143" spans="2:5" ht="14.5" customHeight="1">
      <c r="B143" s="115"/>
      <c r="C143" s="56" t="s">
        <v>150</v>
      </c>
      <c r="D143" s="57">
        <v>58</v>
      </c>
      <c r="E143" s="58">
        <v>6.059972834605E-3</v>
      </c>
    </row>
    <row r="144" spans="2:5" ht="14.5" customHeight="1">
      <c r="B144" s="115" t="s">
        <v>340</v>
      </c>
      <c r="C144" s="96" t="s">
        <v>29</v>
      </c>
      <c r="D144" s="74">
        <v>86</v>
      </c>
      <c r="E144" s="75">
        <v>8.9854769616549996E-3</v>
      </c>
    </row>
    <row r="145" spans="2:5" ht="14.5" customHeight="1">
      <c r="B145" s="115" t="s">
        <v>58</v>
      </c>
      <c r="C145" s="56" t="s">
        <v>149</v>
      </c>
      <c r="D145" s="57">
        <v>100</v>
      </c>
      <c r="E145" s="58">
        <v>1.044822902518E-2</v>
      </c>
    </row>
    <row r="146" spans="2:5" ht="14.5" customHeight="1">
      <c r="B146" s="115"/>
      <c r="C146" s="56" t="s">
        <v>150</v>
      </c>
      <c r="D146" s="57">
        <v>270</v>
      </c>
      <c r="E146" s="58">
        <v>2.8210218367987001E-2</v>
      </c>
    </row>
    <row r="147" spans="2:5" ht="14.5" customHeight="1">
      <c r="B147" s="115" t="s">
        <v>341</v>
      </c>
      <c r="C147" s="96" t="s">
        <v>29</v>
      </c>
      <c r="D147" s="74">
        <v>370</v>
      </c>
      <c r="E147" s="75">
        <v>3.8658447393166998E-2</v>
      </c>
    </row>
    <row r="148" spans="2:5" ht="14.5" customHeight="1">
      <c r="B148" s="115" t="s">
        <v>86</v>
      </c>
      <c r="C148" s="56" t="s">
        <v>149</v>
      </c>
      <c r="D148" s="57">
        <v>5</v>
      </c>
      <c r="E148" s="58">
        <v>5.2241145125899997E-4</v>
      </c>
    </row>
    <row r="149" spans="2:5" ht="14.5" customHeight="1">
      <c r="B149" s="115"/>
      <c r="C149" s="56" t="s">
        <v>150</v>
      </c>
      <c r="D149" s="57">
        <v>47</v>
      </c>
      <c r="E149" s="58">
        <v>4.9106676418349997E-3</v>
      </c>
    </row>
    <row r="150" spans="2:5" ht="14.5" customHeight="1">
      <c r="B150" s="115" t="s">
        <v>342</v>
      </c>
      <c r="C150" s="96" t="s">
        <v>29</v>
      </c>
      <c r="D150" s="74">
        <v>52</v>
      </c>
      <c r="E150" s="75">
        <v>5.4330790930939999E-3</v>
      </c>
    </row>
    <row r="151" spans="2:5" ht="14.5" customHeight="1">
      <c r="B151" s="115" t="s">
        <v>95</v>
      </c>
      <c r="C151" s="56" t="s">
        <v>149</v>
      </c>
      <c r="D151" s="57">
        <v>1</v>
      </c>
      <c r="E151" s="58">
        <v>1.04482290252E-4</v>
      </c>
    </row>
    <row r="152" spans="2:5" ht="14.5" customHeight="1">
      <c r="B152" s="115"/>
      <c r="C152" s="56" t="s">
        <v>150</v>
      </c>
      <c r="D152" s="57">
        <v>3</v>
      </c>
      <c r="E152" s="58">
        <v>3.13446870755E-4</v>
      </c>
    </row>
    <row r="153" spans="2:5" ht="14.5" customHeight="1">
      <c r="B153" s="115" t="s">
        <v>343</v>
      </c>
      <c r="C153" s="96" t="s">
        <v>29</v>
      </c>
      <c r="D153" s="74">
        <v>4</v>
      </c>
      <c r="E153" s="75">
        <v>4.1792916100699999E-4</v>
      </c>
    </row>
    <row r="154" spans="2:5" ht="14.5" customHeight="1">
      <c r="B154" s="115" t="s">
        <v>74</v>
      </c>
      <c r="C154" s="56" t="s">
        <v>149</v>
      </c>
      <c r="D154" s="57">
        <v>20</v>
      </c>
      <c r="E154" s="58">
        <v>2.0896458050359999E-3</v>
      </c>
    </row>
    <row r="155" spans="2:5" ht="14.5" customHeight="1">
      <c r="B155" s="115"/>
      <c r="C155" s="56" t="s">
        <v>150</v>
      </c>
      <c r="D155" s="57">
        <v>76</v>
      </c>
      <c r="E155" s="58">
        <v>7.9406540591369992E-3</v>
      </c>
    </row>
    <row r="156" spans="2:5" ht="14.5" customHeight="1">
      <c r="B156" s="115" t="s">
        <v>197</v>
      </c>
      <c r="C156" s="96" t="s">
        <v>29</v>
      </c>
      <c r="D156" s="74">
        <v>96</v>
      </c>
      <c r="E156" s="75">
        <v>1.0030299864173E-2</v>
      </c>
    </row>
    <row r="157" spans="2:5" ht="14.5" customHeight="1">
      <c r="B157" s="116" t="s">
        <v>29</v>
      </c>
      <c r="C157" s="116"/>
      <c r="D157" s="59">
        <v>9571</v>
      </c>
      <c r="E157" s="60">
        <v>1</v>
      </c>
    </row>
    <row r="158" spans="2:5" ht="14.5" customHeight="1">
      <c r="B158" s="94"/>
      <c r="C158" s="94"/>
      <c r="D158" s="95"/>
      <c r="E158" s="94"/>
    </row>
    <row r="159" spans="2:5" ht="14.5" customHeight="1">
      <c r="B159" s="15" t="s">
        <v>47</v>
      </c>
      <c r="C159" s="94"/>
      <c r="D159" s="95"/>
      <c r="E159" s="94"/>
    </row>
    <row r="160" spans="2:5" ht="14.5" customHeight="1">
      <c r="B160" s="17" t="s">
        <v>18</v>
      </c>
      <c r="C160" s="94"/>
      <c r="D160" s="95"/>
      <c r="E160" s="94"/>
    </row>
    <row r="161" spans="2:5" ht="14.5" customHeight="1">
      <c r="B161" s="16" t="s">
        <v>48</v>
      </c>
      <c r="C161" s="94"/>
      <c r="D161" s="95"/>
      <c r="E161" s="94"/>
    </row>
    <row r="162" spans="2:5" ht="14.5" customHeight="1">
      <c r="B162" s="15" t="s">
        <v>17</v>
      </c>
      <c r="C162" s="94"/>
      <c r="D162" s="95"/>
      <c r="E162" s="94"/>
    </row>
    <row r="163" spans="2:5" ht="14.5" customHeight="1">
      <c r="B163" s="15" t="s">
        <v>49</v>
      </c>
      <c r="C163" s="94"/>
      <c r="D163" s="95"/>
      <c r="E163" s="94"/>
    </row>
  </sheetData>
  <mergeCells count="51">
    <mergeCell ref="B148:B150"/>
    <mergeCell ref="B151:B153"/>
    <mergeCell ref="B154:B156"/>
    <mergeCell ref="B157:C157"/>
    <mergeCell ref="B45:B47"/>
    <mergeCell ref="B48:B49"/>
    <mergeCell ref="B50:B52"/>
    <mergeCell ref="B53:B55"/>
    <mergeCell ref="B56:B58"/>
    <mergeCell ref="B121:B123"/>
    <mergeCell ref="B124:B126"/>
    <mergeCell ref="B127:B129"/>
    <mergeCell ref="B130:B132"/>
    <mergeCell ref="B133:B135"/>
    <mergeCell ref="B136:B138"/>
    <mergeCell ref="B139:B141"/>
    <mergeCell ref="B31:B32"/>
    <mergeCell ref="B33:B35"/>
    <mergeCell ref="B36:B38"/>
    <mergeCell ref="B39:B41"/>
    <mergeCell ref="B42:B44"/>
    <mergeCell ref="B8:E10"/>
    <mergeCell ref="B25:B27"/>
    <mergeCell ref="B28:B30"/>
    <mergeCell ref="B16:B18"/>
    <mergeCell ref="B19:B21"/>
    <mergeCell ref="B22:B24"/>
    <mergeCell ref="B13:B15"/>
    <mergeCell ref="B97:B99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0"/>
    <mergeCell ref="B91:B93"/>
    <mergeCell ref="B94:B96"/>
    <mergeCell ref="B115:B117"/>
    <mergeCell ref="B118:B120"/>
    <mergeCell ref="B100:B102"/>
    <mergeCell ref="B142:B144"/>
    <mergeCell ref="B145:B147"/>
    <mergeCell ref="B109:B111"/>
    <mergeCell ref="B112:B114"/>
    <mergeCell ref="B103:B105"/>
    <mergeCell ref="B106:B10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65"/>
  <sheetViews>
    <sheetView showGridLines="0" view="pageBreakPreview" topLeftCell="A145" zoomScaleNormal="100" zoomScaleSheetLayoutView="100" workbookViewId="0">
      <selection activeCell="D166" sqref="D166"/>
    </sheetView>
  </sheetViews>
  <sheetFormatPr baseColWidth="10" defaultColWidth="11.453125" defaultRowHeight="10"/>
  <cols>
    <col min="1" max="1" width="5.7265625" style="25" customWidth="1"/>
    <col min="2" max="3" width="25.7265625" style="41" customWidth="1"/>
    <col min="4" max="4" width="15.7265625" style="44" customWidth="1"/>
    <col min="5" max="5" width="15.7265625" style="41" customWidth="1"/>
    <col min="6" max="6" width="5.5429687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106" t="s">
        <v>41</v>
      </c>
      <c r="C8" s="106"/>
      <c r="D8" s="106"/>
      <c r="E8" s="106"/>
    </row>
    <row r="9" spans="2:6" s="13" customFormat="1" ht="15" customHeight="1">
      <c r="B9" s="106"/>
      <c r="C9" s="106"/>
      <c r="D9" s="106"/>
      <c r="E9" s="106"/>
      <c r="F9" s="49"/>
    </row>
    <row r="10" spans="2:6" s="13" customFormat="1" ht="15" customHeight="1">
      <c r="B10" s="106"/>
      <c r="C10" s="106"/>
      <c r="D10" s="106"/>
      <c r="E10" s="106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5" t="s">
        <v>25</v>
      </c>
      <c r="C12" s="55" t="s">
        <v>30</v>
      </c>
      <c r="D12" s="55" t="s">
        <v>20</v>
      </c>
      <c r="E12" s="55" t="s">
        <v>19</v>
      </c>
    </row>
    <row r="13" spans="2:6" ht="14.5" customHeight="1">
      <c r="B13" s="117" t="s">
        <v>99</v>
      </c>
      <c r="C13" s="66" t="s">
        <v>149</v>
      </c>
      <c r="D13" s="67">
        <v>23</v>
      </c>
      <c r="E13" s="68">
        <v>2.4030926757909999E-3</v>
      </c>
    </row>
    <row r="14" spans="2:6" ht="14.5" customHeight="1">
      <c r="B14" s="118"/>
      <c r="C14" s="66" t="s">
        <v>150</v>
      </c>
      <c r="D14" s="67">
        <v>68</v>
      </c>
      <c r="E14" s="68">
        <v>7.1047957371230003E-3</v>
      </c>
    </row>
    <row r="15" spans="2:6" ht="14.5" customHeight="1">
      <c r="B15" s="119" t="s">
        <v>151</v>
      </c>
      <c r="C15" s="61" t="s">
        <v>29</v>
      </c>
      <c r="D15" s="62">
        <v>91</v>
      </c>
      <c r="E15" s="63">
        <v>9.5078884129140007E-3</v>
      </c>
    </row>
    <row r="16" spans="2:6" ht="14.5" customHeight="1">
      <c r="B16" s="110" t="s">
        <v>100</v>
      </c>
      <c r="C16" s="66" t="s">
        <v>150</v>
      </c>
      <c r="D16" s="67">
        <v>1</v>
      </c>
      <c r="E16" s="68">
        <v>1.04482290252E-4</v>
      </c>
    </row>
    <row r="17" spans="2:5" ht="14.5" customHeight="1">
      <c r="B17" s="112" t="s">
        <v>152</v>
      </c>
      <c r="C17" s="61" t="s">
        <v>29</v>
      </c>
      <c r="D17" s="62">
        <v>1</v>
      </c>
      <c r="E17" s="63">
        <v>1.04482290252E-4</v>
      </c>
    </row>
    <row r="18" spans="2:5" ht="14.5" customHeight="1">
      <c r="B18" s="117" t="s">
        <v>101</v>
      </c>
      <c r="C18" s="66" t="s">
        <v>149</v>
      </c>
      <c r="D18" s="67">
        <v>14</v>
      </c>
      <c r="E18" s="68">
        <v>1.462752063525E-3</v>
      </c>
    </row>
    <row r="19" spans="2:5" ht="14.5" customHeight="1">
      <c r="B19" s="118"/>
      <c r="C19" s="66" t="s">
        <v>150</v>
      </c>
      <c r="D19" s="67">
        <v>67</v>
      </c>
      <c r="E19" s="68">
        <v>7.0003134468709996E-3</v>
      </c>
    </row>
    <row r="20" spans="2:5" ht="14.5" customHeight="1">
      <c r="B20" s="119" t="s">
        <v>153</v>
      </c>
      <c r="C20" s="61" t="s">
        <v>29</v>
      </c>
      <c r="D20" s="62">
        <v>81</v>
      </c>
      <c r="E20" s="63">
        <v>8.4630655103960003E-3</v>
      </c>
    </row>
    <row r="21" spans="2:5" ht="14.5" customHeight="1">
      <c r="B21" s="117" t="s">
        <v>102</v>
      </c>
      <c r="C21" s="66" t="s">
        <v>149</v>
      </c>
      <c r="D21" s="67">
        <v>49</v>
      </c>
      <c r="E21" s="68">
        <v>5.1196322223380003E-3</v>
      </c>
    </row>
    <row r="22" spans="2:5" ht="14.5" customHeight="1">
      <c r="B22" s="118"/>
      <c r="C22" s="66" t="s">
        <v>150</v>
      </c>
      <c r="D22" s="67">
        <v>149</v>
      </c>
      <c r="E22" s="68">
        <v>1.5567861247519001E-2</v>
      </c>
    </row>
    <row r="23" spans="2:5" ht="14.5" customHeight="1">
      <c r="B23" s="119" t="s">
        <v>154</v>
      </c>
      <c r="C23" s="61" t="s">
        <v>29</v>
      </c>
      <c r="D23" s="62">
        <v>198</v>
      </c>
      <c r="E23" s="63">
        <v>2.0687493469856998E-2</v>
      </c>
    </row>
    <row r="24" spans="2:5" ht="14.5" customHeight="1">
      <c r="B24" s="117" t="s">
        <v>103</v>
      </c>
      <c r="C24" s="66" t="s">
        <v>149</v>
      </c>
      <c r="D24" s="67">
        <v>497</v>
      </c>
      <c r="E24" s="68">
        <v>5.1927698255146003E-2</v>
      </c>
    </row>
    <row r="25" spans="2:5" ht="14.5" customHeight="1">
      <c r="B25" s="118"/>
      <c r="C25" s="66" t="s">
        <v>150</v>
      </c>
      <c r="D25" s="67">
        <v>1133</v>
      </c>
      <c r="E25" s="68">
        <v>0.11837843485529199</v>
      </c>
    </row>
    <row r="26" spans="2:5" ht="14.5" customHeight="1">
      <c r="B26" s="119" t="s">
        <v>155</v>
      </c>
      <c r="C26" s="61" t="s">
        <v>29</v>
      </c>
      <c r="D26" s="62">
        <v>1630</v>
      </c>
      <c r="E26" s="63">
        <v>0.17030613311043799</v>
      </c>
    </row>
    <row r="27" spans="2:5" ht="14.5" customHeight="1">
      <c r="B27" s="117" t="s">
        <v>104</v>
      </c>
      <c r="C27" s="66" t="s">
        <v>149</v>
      </c>
      <c r="D27" s="67">
        <v>13</v>
      </c>
      <c r="E27" s="68">
        <v>1.3582697732729999E-3</v>
      </c>
    </row>
    <row r="28" spans="2:5" ht="14.5" customHeight="1">
      <c r="B28" s="118"/>
      <c r="C28" s="66" t="s">
        <v>150</v>
      </c>
      <c r="D28" s="67">
        <v>121</v>
      </c>
      <c r="E28" s="68">
        <v>1.2642357120468E-2</v>
      </c>
    </row>
    <row r="29" spans="2:5" ht="14.5" customHeight="1">
      <c r="B29" s="119" t="s">
        <v>156</v>
      </c>
      <c r="C29" s="61" t="s">
        <v>29</v>
      </c>
      <c r="D29" s="62">
        <v>134</v>
      </c>
      <c r="E29" s="63">
        <v>1.4000626893741999E-2</v>
      </c>
    </row>
    <row r="30" spans="2:5" ht="14.5" customHeight="1">
      <c r="B30" s="110" t="s">
        <v>105</v>
      </c>
      <c r="C30" s="66" t="s">
        <v>150</v>
      </c>
      <c r="D30" s="67">
        <v>16</v>
      </c>
      <c r="E30" s="68">
        <v>1.671716644029E-3</v>
      </c>
    </row>
    <row r="31" spans="2:5" ht="14.5" customHeight="1">
      <c r="B31" s="112" t="s">
        <v>157</v>
      </c>
      <c r="C31" s="61" t="s">
        <v>29</v>
      </c>
      <c r="D31" s="62">
        <v>16</v>
      </c>
      <c r="E31" s="63">
        <v>1.671716644029E-3</v>
      </c>
    </row>
    <row r="32" spans="2:5" ht="14.5" customHeight="1">
      <c r="B32" s="117" t="s">
        <v>106</v>
      </c>
      <c r="C32" s="66" t="s">
        <v>149</v>
      </c>
      <c r="D32" s="67">
        <v>1</v>
      </c>
      <c r="E32" s="68">
        <v>1.04482290252E-4</v>
      </c>
    </row>
    <row r="33" spans="2:5" ht="14.5" customHeight="1">
      <c r="B33" s="118"/>
      <c r="C33" s="66" t="s">
        <v>150</v>
      </c>
      <c r="D33" s="67">
        <v>4</v>
      </c>
      <c r="E33" s="68">
        <v>4.1792916100699999E-4</v>
      </c>
    </row>
    <row r="34" spans="2:5" ht="14.5" customHeight="1">
      <c r="B34" s="119" t="s">
        <v>158</v>
      </c>
      <c r="C34" s="61" t="s">
        <v>29</v>
      </c>
      <c r="D34" s="62">
        <v>5</v>
      </c>
      <c r="E34" s="63">
        <v>5.2241145125899997E-4</v>
      </c>
    </row>
    <row r="35" spans="2:5" ht="14.5" customHeight="1">
      <c r="B35" s="110" t="s">
        <v>107</v>
      </c>
      <c r="C35" s="66" t="s">
        <v>150</v>
      </c>
      <c r="D35" s="67">
        <v>1</v>
      </c>
      <c r="E35" s="68">
        <v>1.04482290252E-4</v>
      </c>
    </row>
    <row r="36" spans="2:5" ht="14.5" customHeight="1">
      <c r="B36" s="112" t="s">
        <v>159</v>
      </c>
      <c r="C36" s="61" t="s">
        <v>29</v>
      </c>
      <c r="D36" s="62">
        <v>1</v>
      </c>
      <c r="E36" s="63">
        <v>1.04482290252E-4</v>
      </c>
    </row>
    <row r="37" spans="2:5" ht="14.5" customHeight="1">
      <c r="B37" s="117" t="s">
        <v>108</v>
      </c>
      <c r="C37" s="66" t="s">
        <v>149</v>
      </c>
      <c r="D37" s="67">
        <v>172</v>
      </c>
      <c r="E37" s="68">
        <v>1.7970953923309999E-2</v>
      </c>
    </row>
    <row r="38" spans="2:5" ht="14.5" customHeight="1">
      <c r="B38" s="118"/>
      <c r="C38" s="66" t="s">
        <v>150</v>
      </c>
      <c r="D38" s="67">
        <v>568</v>
      </c>
      <c r="E38" s="68">
        <v>5.9345940863023999E-2</v>
      </c>
    </row>
    <row r="39" spans="2:5" ht="14.5" customHeight="1">
      <c r="B39" s="119" t="s">
        <v>160</v>
      </c>
      <c r="C39" s="61" t="s">
        <v>29</v>
      </c>
      <c r="D39" s="62">
        <v>740</v>
      </c>
      <c r="E39" s="63">
        <v>7.7316894786333995E-2</v>
      </c>
    </row>
    <row r="40" spans="2:5" ht="14.5" customHeight="1">
      <c r="B40" s="117" t="s">
        <v>109</v>
      </c>
      <c r="C40" s="66" t="s">
        <v>149</v>
      </c>
      <c r="D40" s="67">
        <v>82</v>
      </c>
      <c r="E40" s="68">
        <v>8.5675478006479993E-3</v>
      </c>
    </row>
    <row r="41" spans="2:5" ht="14.5" customHeight="1">
      <c r="B41" s="118"/>
      <c r="C41" s="66" t="s">
        <v>150</v>
      </c>
      <c r="D41" s="67">
        <v>271</v>
      </c>
      <c r="E41" s="68">
        <v>2.8314700658238001E-2</v>
      </c>
    </row>
    <row r="42" spans="2:5" ht="14.5" customHeight="1">
      <c r="B42" s="119" t="s">
        <v>161</v>
      </c>
      <c r="C42" s="61" t="s">
        <v>29</v>
      </c>
      <c r="D42" s="62">
        <v>353</v>
      </c>
      <c r="E42" s="63">
        <v>3.6882248458885998E-2</v>
      </c>
    </row>
    <row r="43" spans="2:5" ht="14.5" customHeight="1">
      <c r="B43" s="117" t="s">
        <v>110</v>
      </c>
      <c r="C43" s="66" t="s">
        <v>149</v>
      </c>
      <c r="D43" s="67">
        <v>1</v>
      </c>
      <c r="E43" s="68">
        <v>1.04482290252E-4</v>
      </c>
    </row>
    <row r="44" spans="2:5" ht="14.5" customHeight="1">
      <c r="B44" s="118"/>
      <c r="C44" s="66" t="s">
        <v>150</v>
      </c>
      <c r="D44" s="67">
        <v>2</v>
      </c>
      <c r="E44" s="68">
        <v>2.08964580504E-4</v>
      </c>
    </row>
    <row r="45" spans="2:5" ht="14.5" customHeight="1">
      <c r="B45" s="119" t="s">
        <v>162</v>
      </c>
      <c r="C45" s="61" t="s">
        <v>29</v>
      </c>
      <c r="D45" s="62">
        <v>3</v>
      </c>
      <c r="E45" s="63">
        <v>3.13446870755E-4</v>
      </c>
    </row>
    <row r="46" spans="2:5" ht="14.5" customHeight="1">
      <c r="B46" s="117" t="s">
        <v>111</v>
      </c>
      <c r="C46" s="66" t="s">
        <v>149</v>
      </c>
      <c r="D46" s="67">
        <v>13</v>
      </c>
      <c r="E46" s="68">
        <v>1.3582697732729999E-3</v>
      </c>
    </row>
    <row r="47" spans="2:5" ht="14.5" customHeight="1">
      <c r="B47" s="118"/>
      <c r="C47" s="66" t="s">
        <v>150</v>
      </c>
      <c r="D47" s="67">
        <v>52</v>
      </c>
      <c r="E47" s="68">
        <v>5.4330790930939999E-3</v>
      </c>
    </row>
    <row r="48" spans="2:5" ht="14.5" customHeight="1">
      <c r="B48" s="119" t="s">
        <v>163</v>
      </c>
      <c r="C48" s="61" t="s">
        <v>29</v>
      </c>
      <c r="D48" s="62">
        <v>65</v>
      </c>
      <c r="E48" s="63">
        <v>6.7913488663669998E-3</v>
      </c>
    </row>
    <row r="49" spans="2:5" ht="14.5" customHeight="1">
      <c r="B49" s="117" t="s">
        <v>112</v>
      </c>
      <c r="C49" s="66" t="s">
        <v>149</v>
      </c>
      <c r="D49" s="67">
        <v>76</v>
      </c>
      <c r="E49" s="68">
        <v>7.9406540591369992E-3</v>
      </c>
    </row>
    <row r="50" spans="2:5" ht="14.5" customHeight="1">
      <c r="B50" s="118"/>
      <c r="C50" s="66" t="s">
        <v>150</v>
      </c>
      <c r="D50" s="67">
        <v>171</v>
      </c>
      <c r="E50" s="68">
        <v>1.7866471633058E-2</v>
      </c>
    </row>
    <row r="51" spans="2:5" ht="14.5" customHeight="1">
      <c r="B51" s="119" t="s">
        <v>164</v>
      </c>
      <c r="C51" s="61" t="s">
        <v>29</v>
      </c>
      <c r="D51" s="62">
        <v>247</v>
      </c>
      <c r="E51" s="63">
        <v>2.5807125692194999E-2</v>
      </c>
    </row>
    <row r="52" spans="2:5" ht="14.5" customHeight="1">
      <c r="B52" s="117" t="s">
        <v>113</v>
      </c>
      <c r="C52" s="66" t="s">
        <v>149</v>
      </c>
      <c r="D52" s="67">
        <v>47</v>
      </c>
      <c r="E52" s="68">
        <v>4.9106676418349997E-3</v>
      </c>
    </row>
    <row r="53" spans="2:5" ht="14.5" customHeight="1">
      <c r="B53" s="118"/>
      <c r="C53" s="66" t="s">
        <v>150</v>
      </c>
      <c r="D53" s="67">
        <v>123</v>
      </c>
      <c r="E53" s="68">
        <v>1.2851321700972E-2</v>
      </c>
    </row>
    <row r="54" spans="2:5" ht="14.5" customHeight="1">
      <c r="B54" s="119" t="s">
        <v>165</v>
      </c>
      <c r="C54" s="61" t="s">
        <v>29</v>
      </c>
      <c r="D54" s="62">
        <v>170</v>
      </c>
      <c r="E54" s="63">
        <v>1.7761989342806001E-2</v>
      </c>
    </row>
    <row r="55" spans="2:5" ht="14.5" customHeight="1">
      <c r="B55" s="117" t="s">
        <v>114</v>
      </c>
      <c r="C55" s="66" t="s">
        <v>149</v>
      </c>
      <c r="D55" s="67">
        <v>2</v>
      </c>
      <c r="E55" s="68">
        <v>2.08964580504E-4</v>
      </c>
    </row>
    <row r="56" spans="2:5" ht="14.5" customHeight="1">
      <c r="B56" s="118"/>
      <c r="C56" s="66" t="s">
        <v>150</v>
      </c>
      <c r="D56" s="67">
        <v>25</v>
      </c>
      <c r="E56" s="68">
        <v>2.6120572562950001E-3</v>
      </c>
    </row>
    <row r="57" spans="2:5" ht="14.5" customHeight="1">
      <c r="B57" s="119" t="s">
        <v>166</v>
      </c>
      <c r="C57" s="61" t="s">
        <v>29</v>
      </c>
      <c r="D57" s="62">
        <v>27</v>
      </c>
      <c r="E57" s="63">
        <v>2.8210218367989998E-3</v>
      </c>
    </row>
    <row r="58" spans="2:5" ht="14.5" customHeight="1">
      <c r="B58" s="117" t="s">
        <v>115</v>
      </c>
      <c r="C58" s="66" t="s">
        <v>149</v>
      </c>
      <c r="D58" s="67">
        <v>10</v>
      </c>
      <c r="E58" s="68">
        <v>1.0448229025179999E-3</v>
      </c>
    </row>
    <row r="59" spans="2:5" ht="14.5" customHeight="1">
      <c r="B59" s="118"/>
      <c r="C59" s="66" t="s">
        <v>150</v>
      </c>
      <c r="D59" s="67">
        <v>41</v>
      </c>
      <c r="E59" s="68">
        <v>4.2837739003239996E-3</v>
      </c>
    </row>
    <row r="60" spans="2:5" ht="14.5" customHeight="1">
      <c r="B60" s="119" t="s">
        <v>167</v>
      </c>
      <c r="C60" s="61" t="s">
        <v>29</v>
      </c>
      <c r="D60" s="62">
        <v>51</v>
      </c>
      <c r="E60" s="63">
        <v>5.328596802842E-3</v>
      </c>
    </row>
    <row r="61" spans="2:5" ht="14.5" customHeight="1">
      <c r="B61" s="117" t="s">
        <v>116</v>
      </c>
      <c r="C61" s="66" t="s">
        <v>149</v>
      </c>
      <c r="D61" s="67">
        <v>12</v>
      </c>
      <c r="E61" s="68">
        <v>1.2537874830219999E-3</v>
      </c>
    </row>
    <row r="62" spans="2:5" ht="14.5" customHeight="1">
      <c r="B62" s="118"/>
      <c r="C62" s="66" t="s">
        <v>150</v>
      </c>
      <c r="D62" s="67">
        <v>32</v>
      </c>
      <c r="E62" s="68">
        <v>3.343433288058E-3</v>
      </c>
    </row>
    <row r="63" spans="2:5" ht="14.5" customHeight="1">
      <c r="B63" s="119" t="s">
        <v>168</v>
      </c>
      <c r="C63" s="61" t="s">
        <v>29</v>
      </c>
      <c r="D63" s="62">
        <v>44</v>
      </c>
      <c r="E63" s="63">
        <v>4.5972207710790001E-3</v>
      </c>
    </row>
    <row r="64" spans="2:5" ht="14.5" customHeight="1">
      <c r="B64" s="117" t="s">
        <v>117</v>
      </c>
      <c r="C64" s="66" t="s">
        <v>149</v>
      </c>
      <c r="D64" s="67">
        <v>17</v>
      </c>
      <c r="E64" s="68">
        <v>1.7761989342810001E-3</v>
      </c>
    </row>
    <row r="65" spans="2:5" ht="14.5" customHeight="1">
      <c r="B65" s="118"/>
      <c r="C65" s="66" t="s">
        <v>150</v>
      </c>
      <c r="D65" s="67">
        <v>88</v>
      </c>
      <c r="E65" s="68">
        <v>9.1944415421589994E-3</v>
      </c>
    </row>
    <row r="66" spans="2:5" ht="14.5" customHeight="1">
      <c r="B66" s="119" t="s">
        <v>169</v>
      </c>
      <c r="C66" s="61" t="s">
        <v>29</v>
      </c>
      <c r="D66" s="62">
        <v>105</v>
      </c>
      <c r="E66" s="63">
        <v>1.0970640476439E-2</v>
      </c>
    </row>
    <row r="67" spans="2:5" ht="14.5" customHeight="1">
      <c r="B67" s="110" t="s">
        <v>118</v>
      </c>
      <c r="C67" s="66" t="s">
        <v>150</v>
      </c>
      <c r="D67" s="67">
        <v>10</v>
      </c>
      <c r="E67" s="68">
        <v>1.0448229025179999E-3</v>
      </c>
    </row>
    <row r="68" spans="2:5" ht="14.5" customHeight="1">
      <c r="B68" s="112" t="s">
        <v>170</v>
      </c>
      <c r="C68" s="61" t="s">
        <v>29</v>
      </c>
      <c r="D68" s="62">
        <v>10</v>
      </c>
      <c r="E68" s="63">
        <v>1.0448229025179999E-3</v>
      </c>
    </row>
    <row r="69" spans="2:5" ht="14.5" customHeight="1">
      <c r="B69" s="117" t="s">
        <v>119</v>
      </c>
      <c r="C69" s="66" t="s">
        <v>149</v>
      </c>
      <c r="D69" s="67">
        <v>2</v>
      </c>
      <c r="E69" s="68">
        <v>2.08964580504E-4</v>
      </c>
    </row>
    <row r="70" spans="2:5" ht="14.5" customHeight="1">
      <c r="B70" s="118"/>
      <c r="C70" s="66" t="s">
        <v>150</v>
      </c>
      <c r="D70" s="67">
        <v>6</v>
      </c>
      <c r="E70" s="68">
        <v>6.2689374151099996E-4</v>
      </c>
    </row>
    <row r="71" spans="2:5" ht="14.5" customHeight="1">
      <c r="B71" s="119" t="s">
        <v>171</v>
      </c>
      <c r="C71" s="61" t="s">
        <v>29</v>
      </c>
      <c r="D71" s="62">
        <v>8</v>
      </c>
      <c r="E71" s="63">
        <v>8.3585832201399997E-4</v>
      </c>
    </row>
    <row r="72" spans="2:5" ht="14.5" customHeight="1">
      <c r="B72" s="117" t="s">
        <v>120</v>
      </c>
      <c r="C72" s="66" t="s">
        <v>149</v>
      </c>
      <c r="D72" s="67">
        <v>3</v>
      </c>
      <c r="E72" s="68">
        <v>3.13446870755E-4</v>
      </c>
    </row>
    <row r="73" spans="2:5" ht="14.5" customHeight="1">
      <c r="B73" s="118"/>
      <c r="C73" s="66" t="s">
        <v>150</v>
      </c>
      <c r="D73" s="67">
        <v>24</v>
      </c>
      <c r="E73" s="68">
        <v>2.5075749660430002E-3</v>
      </c>
    </row>
    <row r="74" spans="2:5" ht="14.5" customHeight="1">
      <c r="B74" s="119" t="s">
        <v>172</v>
      </c>
      <c r="C74" s="61" t="s">
        <v>29</v>
      </c>
      <c r="D74" s="62">
        <v>27</v>
      </c>
      <c r="E74" s="63">
        <v>2.8210218367989998E-3</v>
      </c>
    </row>
    <row r="75" spans="2:5" ht="14.5" customHeight="1">
      <c r="B75" s="117" t="s">
        <v>121</v>
      </c>
      <c r="C75" s="66" t="s">
        <v>149</v>
      </c>
      <c r="D75" s="67">
        <v>8</v>
      </c>
      <c r="E75" s="68">
        <v>8.3585832201399997E-4</v>
      </c>
    </row>
    <row r="76" spans="2:5" ht="14.5" customHeight="1">
      <c r="B76" s="118"/>
      <c r="C76" s="66" t="s">
        <v>150</v>
      </c>
      <c r="D76" s="67">
        <v>38</v>
      </c>
      <c r="E76" s="68">
        <v>3.970327029568E-3</v>
      </c>
    </row>
    <row r="77" spans="2:5" ht="14.5" customHeight="1">
      <c r="B77" s="119" t="s">
        <v>173</v>
      </c>
      <c r="C77" s="61" t="s">
        <v>29</v>
      </c>
      <c r="D77" s="62">
        <v>46</v>
      </c>
      <c r="E77" s="63">
        <v>4.8061853515829998E-3</v>
      </c>
    </row>
    <row r="78" spans="2:5" ht="14.5" customHeight="1">
      <c r="B78" s="117" t="s">
        <v>122</v>
      </c>
      <c r="C78" s="66" t="s">
        <v>149</v>
      </c>
      <c r="D78" s="67">
        <v>13</v>
      </c>
      <c r="E78" s="68">
        <v>1.3582697732729999E-3</v>
      </c>
    </row>
    <row r="79" spans="2:5" ht="14.5" customHeight="1">
      <c r="B79" s="118"/>
      <c r="C79" s="66" t="s">
        <v>150</v>
      </c>
      <c r="D79" s="67">
        <v>57</v>
      </c>
      <c r="E79" s="68">
        <v>5.9554905443530001E-3</v>
      </c>
    </row>
    <row r="80" spans="2:5" ht="14.5" customHeight="1">
      <c r="B80" s="119" t="s">
        <v>174</v>
      </c>
      <c r="C80" s="61" t="s">
        <v>29</v>
      </c>
      <c r="D80" s="62">
        <v>70</v>
      </c>
      <c r="E80" s="63">
        <v>7.313760317626E-3</v>
      </c>
    </row>
    <row r="81" spans="2:5" ht="14.5" customHeight="1">
      <c r="B81" s="117" t="s">
        <v>123</v>
      </c>
      <c r="C81" s="66" t="s">
        <v>149</v>
      </c>
      <c r="D81" s="67">
        <v>21</v>
      </c>
      <c r="E81" s="68">
        <v>2.1941280952880002E-3</v>
      </c>
    </row>
    <row r="82" spans="2:5" ht="14.5" customHeight="1">
      <c r="B82" s="118"/>
      <c r="C82" s="66" t="s">
        <v>150</v>
      </c>
      <c r="D82" s="67">
        <v>65</v>
      </c>
      <c r="E82" s="68">
        <v>6.7913488663669998E-3</v>
      </c>
    </row>
    <row r="83" spans="2:5" ht="14.5" customHeight="1">
      <c r="B83" s="119" t="s">
        <v>175</v>
      </c>
      <c r="C83" s="61" t="s">
        <v>29</v>
      </c>
      <c r="D83" s="62">
        <v>86</v>
      </c>
      <c r="E83" s="63">
        <v>8.9854769616549996E-3</v>
      </c>
    </row>
    <row r="84" spans="2:5" ht="14.5" customHeight="1">
      <c r="B84" s="117" t="s">
        <v>124</v>
      </c>
      <c r="C84" s="66" t="s">
        <v>149</v>
      </c>
      <c r="D84" s="67">
        <v>16</v>
      </c>
      <c r="E84" s="68">
        <v>1.671716644029E-3</v>
      </c>
    </row>
    <row r="85" spans="2:5" ht="14.5" customHeight="1">
      <c r="B85" s="118"/>
      <c r="C85" s="66" t="s">
        <v>150</v>
      </c>
      <c r="D85" s="67">
        <v>54</v>
      </c>
      <c r="E85" s="68">
        <v>5.6420436735969996E-3</v>
      </c>
    </row>
    <row r="86" spans="2:5" ht="14.5" customHeight="1">
      <c r="B86" s="119" t="s">
        <v>176</v>
      </c>
      <c r="C86" s="61" t="s">
        <v>29</v>
      </c>
      <c r="D86" s="62">
        <v>70</v>
      </c>
      <c r="E86" s="63">
        <v>7.313760317626E-3</v>
      </c>
    </row>
    <row r="87" spans="2:5" ht="14.5" customHeight="1">
      <c r="B87" s="110" t="s">
        <v>125</v>
      </c>
      <c r="C87" s="66" t="s">
        <v>150</v>
      </c>
      <c r="D87" s="67">
        <v>9</v>
      </c>
      <c r="E87" s="68">
        <v>9.4034061226599996E-4</v>
      </c>
    </row>
    <row r="88" spans="2:5" ht="14.5" customHeight="1">
      <c r="B88" s="112" t="s">
        <v>177</v>
      </c>
      <c r="C88" s="61" t="s">
        <v>29</v>
      </c>
      <c r="D88" s="62">
        <v>9</v>
      </c>
      <c r="E88" s="63">
        <v>9.4034061226599996E-4</v>
      </c>
    </row>
    <row r="89" spans="2:5" ht="14.5" customHeight="1">
      <c r="B89" s="117" t="s">
        <v>126</v>
      </c>
      <c r="C89" s="66" t="s">
        <v>149</v>
      </c>
      <c r="D89" s="67">
        <v>27</v>
      </c>
      <c r="E89" s="68">
        <v>2.8210218367989998E-3</v>
      </c>
    </row>
    <row r="90" spans="2:5" ht="14.5" customHeight="1">
      <c r="B90" s="118"/>
      <c r="C90" s="66" t="s">
        <v>150</v>
      </c>
      <c r="D90" s="67">
        <v>72</v>
      </c>
      <c r="E90" s="68">
        <v>7.5227248981299998E-3</v>
      </c>
    </row>
    <row r="91" spans="2:5" ht="14.5" customHeight="1">
      <c r="B91" s="119" t="s">
        <v>178</v>
      </c>
      <c r="C91" s="61" t="s">
        <v>29</v>
      </c>
      <c r="D91" s="62">
        <v>99</v>
      </c>
      <c r="E91" s="63">
        <v>1.0343746734928E-2</v>
      </c>
    </row>
    <row r="92" spans="2:5" ht="14.5" customHeight="1">
      <c r="B92" s="117" t="s">
        <v>127</v>
      </c>
      <c r="C92" s="66" t="s">
        <v>149</v>
      </c>
      <c r="D92" s="67">
        <v>38</v>
      </c>
      <c r="E92" s="68">
        <v>3.970327029568E-3</v>
      </c>
    </row>
    <row r="93" spans="2:5" ht="14.5" customHeight="1">
      <c r="B93" s="118"/>
      <c r="C93" s="66" t="s">
        <v>150</v>
      </c>
      <c r="D93" s="67">
        <v>115</v>
      </c>
      <c r="E93" s="68">
        <v>1.2015463378957E-2</v>
      </c>
    </row>
    <row r="94" spans="2:5" ht="14.5" customHeight="1">
      <c r="B94" s="119" t="s">
        <v>179</v>
      </c>
      <c r="C94" s="61" t="s">
        <v>29</v>
      </c>
      <c r="D94" s="62">
        <v>153</v>
      </c>
      <c r="E94" s="63">
        <v>1.5985790408526001E-2</v>
      </c>
    </row>
    <row r="95" spans="2:5" ht="14.5" customHeight="1">
      <c r="B95" s="117" t="s">
        <v>128</v>
      </c>
      <c r="C95" s="66" t="s">
        <v>149</v>
      </c>
      <c r="D95" s="67">
        <v>2</v>
      </c>
      <c r="E95" s="68">
        <v>2.08964580504E-4</v>
      </c>
    </row>
    <row r="96" spans="2:5" ht="14.5" customHeight="1">
      <c r="B96" s="118"/>
      <c r="C96" s="66" t="s">
        <v>150</v>
      </c>
      <c r="D96" s="67">
        <v>8</v>
      </c>
      <c r="E96" s="68">
        <v>8.3585832201399997E-4</v>
      </c>
    </row>
    <row r="97" spans="2:5" ht="14.5" customHeight="1">
      <c r="B97" s="119" t="s">
        <v>180</v>
      </c>
      <c r="C97" s="61" t="s">
        <v>29</v>
      </c>
      <c r="D97" s="62">
        <v>10</v>
      </c>
      <c r="E97" s="63">
        <v>1.0448229025179999E-3</v>
      </c>
    </row>
    <row r="98" spans="2:5" ht="14.5" customHeight="1">
      <c r="B98" s="117" t="s">
        <v>129</v>
      </c>
      <c r="C98" s="66" t="s">
        <v>149</v>
      </c>
      <c r="D98" s="67">
        <v>15</v>
      </c>
      <c r="E98" s="68">
        <v>1.5672343537769999E-3</v>
      </c>
    </row>
    <row r="99" spans="2:5" ht="14.5" customHeight="1">
      <c r="B99" s="118"/>
      <c r="C99" s="66" t="s">
        <v>150</v>
      </c>
      <c r="D99" s="67">
        <v>25</v>
      </c>
      <c r="E99" s="68">
        <v>2.6120572562950001E-3</v>
      </c>
    </row>
    <row r="100" spans="2:5" ht="14.5" customHeight="1">
      <c r="B100" s="119" t="s">
        <v>181</v>
      </c>
      <c r="C100" s="61" t="s">
        <v>29</v>
      </c>
      <c r="D100" s="62">
        <v>40</v>
      </c>
      <c r="E100" s="63">
        <v>4.1792916100719998E-3</v>
      </c>
    </row>
    <row r="101" spans="2:5" ht="14.5" customHeight="1">
      <c r="B101" s="117" t="s">
        <v>130</v>
      </c>
      <c r="C101" s="66" t="s">
        <v>149</v>
      </c>
      <c r="D101" s="67">
        <v>6</v>
      </c>
      <c r="E101" s="68">
        <v>6.2689374151099996E-4</v>
      </c>
    </row>
    <row r="102" spans="2:5" ht="14.5" customHeight="1">
      <c r="B102" s="118"/>
      <c r="C102" s="66" t="s">
        <v>150</v>
      </c>
      <c r="D102" s="67">
        <v>22</v>
      </c>
      <c r="E102" s="68">
        <v>2.2986103855400001E-3</v>
      </c>
    </row>
    <row r="103" spans="2:5" ht="14.5" customHeight="1">
      <c r="B103" s="119" t="s">
        <v>182</v>
      </c>
      <c r="C103" s="61" t="s">
        <v>29</v>
      </c>
      <c r="D103" s="62">
        <v>28</v>
      </c>
      <c r="E103" s="63">
        <v>2.9255041270500001E-3</v>
      </c>
    </row>
    <row r="104" spans="2:5" ht="14.5" customHeight="1">
      <c r="B104" s="117" t="s">
        <v>131</v>
      </c>
      <c r="C104" s="66" t="s">
        <v>149</v>
      </c>
      <c r="D104" s="67">
        <v>12</v>
      </c>
      <c r="E104" s="68">
        <v>1.2537874830219999E-3</v>
      </c>
    </row>
    <row r="105" spans="2:5" ht="14.5" customHeight="1">
      <c r="B105" s="118"/>
      <c r="C105" s="66" t="s">
        <v>150</v>
      </c>
      <c r="D105" s="67">
        <v>30</v>
      </c>
      <c r="E105" s="68">
        <v>3.1344687075539998E-3</v>
      </c>
    </row>
    <row r="106" spans="2:5" ht="14.5" customHeight="1">
      <c r="B106" s="119" t="s">
        <v>183</v>
      </c>
      <c r="C106" s="61" t="s">
        <v>29</v>
      </c>
      <c r="D106" s="62">
        <v>42</v>
      </c>
      <c r="E106" s="63">
        <v>4.3882561905760004E-3</v>
      </c>
    </row>
    <row r="107" spans="2:5" ht="14.5" customHeight="1">
      <c r="B107" s="117" t="s">
        <v>132</v>
      </c>
      <c r="C107" s="66" t="s">
        <v>149</v>
      </c>
      <c r="D107" s="67">
        <v>97</v>
      </c>
      <c r="E107" s="68">
        <v>1.0134782154425001E-2</v>
      </c>
    </row>
    <row r="108" spans="2:5" ht="14.5" customHeight="1">
      <c r="B108" s="118"/>
      <c r="C108" s="66" t="s">
        <v>150</v>
      </c>
      <c r="D108" s="67">
        <v>304</v>
      </c>
      <c r="E108" s="68">
        <v>3.1762616236547997E-2</v>
      </c>
    </row>
    <row r="109" spans="2:5" ht="14.5" customHeight="1">
      <c r="B109" s="119" t="s">
        <v>184</v>
      </c>
      <c r="C109" s="61" t="s">
        <v>29</v>
      </c>
      <c r="D109" s="62">
        <v>401</v>
      </c>
      <c r="E109" s="63">
        <v>4.1897398390972999E-2</v>
      </c>
    </row>
    <row r="110" spans="2:5" ht="14.5" customHeight="1">
      <c r="B110" s="117" t="s">
        <v>133</v>
      </c>
      <c r="C110" s="66" t="s">
        <v>149</v>
      </c>
      <c r="D110" s="67">
        <v>2</v>
      </c>
      <c r="E110" s="68">
        <v>2.08964580504E-4</v>
      </c>
    </row>
    <row r="111" spans="2:5" ht="14.5" customHeight="1">
      <c r="B111" s="118"/>
      <c r="C111" s="66" t="s">
        <v>150</v>
      </c>
      <c r="D111" s="67">
        <v>11</v>
      </c>
      <c r="E111" s="68">
        <v>1.14930519277E-3</v>
      </c>
    </row>
    <row r="112" spans="2:5" ht="14.5" customHeight="1">
      <c r="B112" s="119" t="s">
        <v>185</v>
      </c>
      <c r="C112" s="61" t="s">
        <v>29</v>
      </c>
      <c r="D112" s="62">
        <v>13</v>
      </c>
      <c r="E112" s="63">
        <v>1.3582697732729999E-3</v>
      </c>
    </row>
    <row r="113" spans="2:5" ht="14.5" customHeight="1">
      <c r="B113" s="117" t="s">
        <v>134</v>
      </c>
      <c r="C113" s="66" t="s">
        <v>149</v>
      </c>
      <c r="D113" s="67">
        <v>13</v>
      </c>
      <c r="E113" s="68">
        <v>1.3582697732729999E-3</v>
      </c>
    </row>
    <row r="114" spans="2:5" ht="14.5" customHeight="1">
      <c r="B114" s="118"/>
      <c r="C114" s="66" t="s">
        <v>150</v>
      </c>
      <c r="D114" s="67">
        <v>38</v>
      </c>
      <c r="E114" s="68">
        <v>3.970327029568E-3</v>
      </c>
    </row>
    <row r="115" spans="2:5" ht="14.5" customHeight="1">
      <c r="B115" s="119" t="s">
        <v>186</v>
      </c>
      <c r="C115" s="61" t="s">
        <v>29</v>
      </c>
      <c r="D115" s="62">
        <v>51</v>
      </c>
      <c r="E115" s="63">
        <v>5.328596802842E-3</v>
      </c>
    </row>
    <row r="116" spans="2:5" ht="14.5" customHeight="1">
      <c r="B116" s="117" t="s">
        <v>135</v>
      </c>
      <c r="C116" s="66" t="s">
        <v>149</v>
      </c>
      <c r="D116" s="67">
        <v>61</v>
      </c>
      <c r="E116" s="68">
        <v>6.3734197053600004E-3</v>
      </c>
    </row>
    <row r="117" spans="2:5" ht="14.5" customHeight="1">
      <c r="B117" s="118"/>
      <c r="C117" s="66" t="s">
        <v>150</v>
      </c>
      <c r="D117" s="67">
        <v>128</v>
      </c>
      <c r="E117" s="68">
        <v>1.3373733152230999E-2</v>
      </c>
    </row>
    <row r="118" spans="2:5" ht="14.5" customHeight="1">
      <c r="B118" s="119" t="s">
        <v>187</v>
      </c>
      <c r="C118" s="61" t="s">
        <v>29</v>
      </c>
      <c r="D118" s="62">
        <v>189</v>
      </c>
      <c r="E118" s="63">
        <v>1.9747152857590999E-2</v>
      </c>
    </row>
    <row r="119" spans="2:5" ht="14.5" customHeight="1">
      <c r="B119" s="117" t="s">
        <v>136</v>
      </c>
      <c r="C119" s="66" t="s">
        <v>149</v>
      </c>
      <c r="D119" s="67">
        <v>5</v>
      </c>
      <c r="E119" s="68">
        <v>5.2241145125899997E-4</v>
      </c>
    </row>
    <row r="120" spans="2:5" ht="14.5" customHeight="1">
      <c r="B120" s="118"/>
      <c r="C120" s="66" t="s">
        <v>150</v>
      </c>
      <c r="D120" s="67">
        <v>26</v>
      </c>
      <c r="E120" s="68">
        <v>2.716539546547E-3</v>
      </c>
    </row>
    <row r="121" spans="2:5" ht="14.5" customHeight="1">
      <c r="B121" s="119" t="s">
        <v>188</v>
      </c>
      <c r="C121" s="61" t="s">
        <v>29</v>
      </c>
      <c r="D121" s="62">
        <v>31</v>
      </c>
      <c r="E121" s="63">
        <v>3.2389509978060001E-3</v>
      </c>
    </row>
    <row r="122" spans="2:5" ht="14.5" customHeight="1">
      <c r="B122" s="117" t="s">
        <v>137</v>
      </c>
      <c r="C122" s="66" t="s">
        <v>149</v>
      </c>
      <c r="D122" s="67">
        <v>21</v>
      </c>
      <c r="E122" s="68">
        <v>2.1941280952880002E-3</v>
      </c>
    </row>
    <row r="123" spans="2:5" ht="14.5" customHeight="1">
      <c r="B123" s="118"/>
      <c r="C123" s="66" t="s">
        <v>150</v>
      </c>
      <c r="D123" s="67">
        <v>63</v>
      </c>
      <c r="E123" s="68">
        <v>6.5823842858640002E-3</v>
      </c>
    </row>
    <row r="124" spans="2:5" ht="14.5" customHeight="1">
      <c r="B124" s="119" t="s">
        <v>189</v>
      </c>
      <c r="C124" s="61" t="s">
        <v>29</v>
      </c>
      <c r="D124" s="62">
        <v>84</v>
      </c>
      <c r="E124" s="63">
        <v>8.7765123811509999E-3</v>
      </c>
    </row>
    <row r="125" spans="2:5" ht="14.5" customHeight="1">
      <c r="B125" s="110" t="s">
        <v>138</v>
      </c>
      <c r="C125" s="66" t="s">
        <v>150</v>
      </c>
      <c r="D125" s="67">
        <v>3</v>
      </c>
      <c r="E125" s="68">
        <v>3.13446870755E-4</v>
      </c>
    </row>
    <row r="126" spans="2:5" ht="14.5" customHeight="1">
      <c r="B126" s="112" t="s">
        <v>190</v>
      </c>
      <c r="C126" s="61" t="s">
        <v>29</v>
      </c>
      <c r="D126" s="62">
        <v>3</v>
      </c>
      <c r="E126" s="63">
        <v>3.13446870755E-4</v>
      </c>
    </row>
    <row r="127" spans="2:5" ht="14.5" customHeight="1">
      <c r="B127" s="117" t="s">
        <v>139</v>
      </c>
      <c r="C127" s="66" t="s">
        <v>149</v>
      </c>
      <c r="D127" s="67">
        <v>59</v>
      </c>
      <c r="E127" s="68">
        <v>6.1644551248559998E-3</v>
      </c>
    </row>
    <row r="128" spans="2:5" ht="14.5" customHeight="1">
      <c r="B128" s="118"/>
      <c r="C128" s="66" t="s">
        <v>150</v>
      </c>
      <c r="D128" s="67">
        <v>178</v>
      </c>
      <c r="E128" s="68">
        <v>1.8597847664821001E-2</v>
      </c>
    </row>
    <row r="129" spans="2:5" ht="14.5" customHeight="1">
      <c r="B129" s="119" t="s">
        <v>191</v>
      </c>
      <c r="C129" s="61" t="s">
        <v>29</v>
      </c>
      <c r="D129" s="62">
        <v>237</v>
      </c>
      <c r="E129" s="63">
        <v>2.4762302789677001E-2</v>
      </c>
    </row>
    <row r="130" spans="2:5" ht="14.5" customHeight="1">
      <c r="B130" s="117" t="s">
        <v>140</v>
      </c>
      <c r="C130" s="66" t="s">
        <v>149</v>
      </c>
      <c r="D130" s="67">
        <v>3</v>
      </c>
      <c r="E130" s="68">
        <v>3.13446870755E-4</v>
      </c>
    </row>
    <row r="131" spans="2:5" ht="14.5" customHeight="1">
      <c r="B131" s="118"/>
      <c r="C131" s="66" t="s">
        <v>150</v>
      </c>
      <c r="D131" s="67">
        <v>2</v>
      </c>
      <c r="E131" s="68">
        <v>2.08964580504E-4</v>
      </c>
    </row>
    <row r="132" spans="2:5" ht="14.5" customHeight="1">
      <c r="B132" s="119" t="s">
        <v>192</v>
      </c>
      <c r="C132" s="61" t="s">
        <v>29</v>
      </c>
      <c r="D132" s="62">
        <v>5</v>
      </c>
      <c r="E132" s="63">
        <v>5.2241145125899997E-4</v>
      </c>
    </row>
    <row r="133" spans="2:5" ht="14.5" customHeight="1">
      <c r="B133" s="117" t="s">
        <v>141</v>
      </c>
      <c r="C133" s="66" t="s">
        <v>149</v>
      </c>
      <c r="D133" s="67">
        <v>56</v>
      </c>
      <c r="E133" s="68">
        <v>5.8510082541010002E-3</v>
      </c>
    </row>
    <row r="134" spans="2:5" ht="14.5" customHeight="1">
      <c r="B134" s="118"/>
      <c r="C134" s="66" t="s">
        <v>150</v>
      </c>
      <c r="D134" s="67">
        <v>177</v>
      </c>
      <c r="E134" s="68">
        <v>1.8493365374568999E-2</v>
      </c>
    </row>
    <row r="135" spans="2:5" ht="14.5" customHeight="1">
      <c r="B135" s="119" t="s">
        <v>193</v>
      </c>
      <c r="C135" s="61" t="s">
        <v>29</v>
      </c>
      <c r="D135" s="62">
        <v>233</v>
      </c>
      <c r="E135" s="63">
        <v>2.434437362867E-2</v>
      </c>
    </row>
    <row r="136" spans="2:5" ht="14.5" customHeight="1">
      <c r="B136" s="117" t="s">
        <v>142</v>
      </c>
      <c r="C136" s="66" t="s">
        <v>149</v>
      </c>
      <c r="D136" s="67">
        <v>841</v>
      </c>
      <c r="E136" s="68">
        <v>8.7869606101766001E-2</v>
      </c>
    </row>
    <row r="137" spans="2:5" ht="14.5" customHeight="1">
      <c r="B137" s="118"/>
      <c r="C137" s="66" t="s">
        <v>150</v>
      </c>
      <c r="D137" s="67">
        <v>2492</v>
      </c>
      <c r="E137" s="68">
        <v>0.26036986730749101</v>
      </c>
    </row>
    <row r="138" spans="2:5" ht="14.5" customHeight="1">
      <c r="B138" s="119" t="s">
        <v>194</v>
      </c>
      <c r="C138" s="61" t="s">
        <v>29</v>
      </c>
      <c r="D138" s="62">
        <v>3333</v>
      </c>
      <c r="E138" s="63">
        <v>0.34823947340925698</v>
      </c>
    </row>
    <row r="139" spans="2:5" ht="14.5" customHeight="1">
      <c r="B139" s="117" t="s">
        <v>143</v>
      </c>
      <c r="C139" s="66" t="s">
        <v>149</v>
      </c>
      <c r="D139" s="67">
        <v>4</v>
      </c>
      <c r="E139" s="68">
        <v>4.1792916100699999E-4</v>
      </c>
    </row>
    <row r="140" spans="2:5" ht="14.5" customHeight="1">
      <c r="B140" s="118"/>
      <c r="C140" s="66" t="s">
        <v>150</v>
      </c>
      <c r="D140" s="67">
        <v>41</v>
      </c>
      <c r="E140" s="68">
        <v>4.2837739003239996E-3</v>
      </c>
    </row>
    <row r="141" spans="2:5" ht="14.5" customHeight="1">
      <c r="B141" s="119" t="s">
        <v>195</v>
      </c>
      <c r="C141" s="61" t="s">
        <v>29</v>
      </c>
      <c r="D141" s="62">
        <v>45</v>
      </c>
      <c r="E141" s="63">
        <v>4.701703061331E-3</v>
      </c>
    </row>
    <row r="142" spans="2:5" ht="14.5" customHeight="1">
      <c r="B142" s="110" t="s">
        <v>144</v>
      </c>
      <c r="C142" s="66" t="s">
        <v>150</v>
      </c>
      <c r="D142" s="67">
        <v>2</v>
      </c>
      <c r="E142" s="68">
        <v>2.08964580504E-4</v>
      </c>
    </row>
    <row r="143" spans="2:5" ht="14.5" customHeight="1">
      <c r="B143" s="112"/>
      <c r="C143" s="61" t="s">
        <v>29</v>
      </c>
      <c r="D143" s="62">
        <v>2</v>
      </c>
      <c r="E143" s="63">
        <v>2.08964580504E-4</v>
      </c>
    </row>
    <row r="144" spans="2:5" ht="14.5" customHeight="1">
      <c r="B144" s="117" t="s">
        <v>145</v>
      </c>
      <c r="C144" s="66" t="s">
        <v>149</v>
      </c>
      <c r="D144" s="67">
        <v>17</v>
      </c>
      <c r="E144" s="68">
        <v>1.7761989342810001E-3</v>
      </c>
    </row>
    <row r="145" spans="2:5" ht="14.5" customHeight="1">
      <c r="B145" s="118"/>
      <c r="C145" s="66" t="s">
        <v>150</v>
      </c>
      <c r="D145" s="67">
        <v>78</v>
      </c>
      <c r="E145" s="68">
        <v>8.1496186396410007E-3</v>
      </c>
    </row>
    <row r="146" spans="2:5" ht="14.5" customHeight="1">
      <c r="B146" s="119" t="s">
        <v>196</v>
      </c>
      <c r="C146" s="61" t="s">
        <v>29</v>
      </c>
      <c r="D146" s="62">
        <v>95</v>
      </c>
      <c r="E146" s="63">
        <v>9.9258175739209992E-3</v>
      </c>
    </row>
    <row r="147" spans="2:5" ht="14.5" customHeight="1">
      <c r="B147" s="117" t="s">
        <v>74</v>
      </c>
      <c r="C147" s="66" t="s">
        <v>149</v>
      </c>
      <c r="D147" s="67">
        <v>8</v>
      </c>
      <c r="E147" s="68">
        <v>8.3585832201399997E-4</v>
      </c>
    </row>
    <row r="148" spans="2:5" ht="14.5" customHeight="1">
      <c r="B148" s="118"/>
      <c r="C148" s="66" t="s">
        <v>150</v>
      </c>
      <c r="D148" s="67">
        <v>67</v>
      </c>
      <c r="E148" s="68">
        <v>7.0003134468709996E-3</v>
      </c>
    </row>
    <row r="149" spans="2:5" ht="14.5" customHeight="1">
      <c r="B149" s="119" t="s">
        <v>197</v>
      </c>
      <c r="C149" s="61" t="s">
        <v>29</v>
      </c>
      <c r="D149" s="62">
        <v>75</v>
      </c>
      <c r="E149" s="63">
        <v>7.8361717688850002E-3</v>
      </c>
    </row>
    <row r="150" spans="2:5" ht="14.5" customHeight="1">
      <c r="B150" s="117" t="s">
        <v>146</v>
      </c>
      <c r="C150" s="66" t="s">
        <v>149</v>
      </c>
      <c r="D150" s="67">
        <v>3</v>
      </c>
      <c r="E150" s="68">
        <v>3.13446870755E-4</v>
      </c>
    </row>
    <row r="151" spans="2:5" ht="14.5" customHeight="1">
      <c r="B151" s="118"/>
      <c r="C151" s="66" t="s">
        <v>150</v>
      </c>
      <c r="D151" s="67">
        <v>1</v>
      </c>
      <c r="E151" s="68">
        <v>1.04482290252E-4</v>
      </c>
    </row>
    <row r="152" spans="2:5" ht="14.5" customHeight="1">
      <c r="B152" s="119" t="s">
        <v>198</v>
      </c>
      <c r="C152" s="61" t="s">
        <v>29</v>
      </c>
      <c r="D152" s="62">
        <v>4</v>
      </c>
      <c r="E152" s="63">
        <v>4.1792916100699999E-4</v>
      </c>
    </row>
    <row r="153" spans="2:5" ht="14.5" customHeight="1">
      <c r="B153" s="117" t="s">
        <v>147</v>
      </c>
      <c r="C153" s="66" t="s">
        <v>149</v>
      </c>
      <c r="D153" s="67">
        <v>24</v>
      </c>
      <c r="E153" s="68">
        <v>2.5075749660430002E-3</v>
      </c>
    </row>
    <row r="154" spans="2:5" ht="14.5" customHeight="1">
      <c r="B154" s="118"/>
      <c r="C154" s="66" t="s">
        <v>150</v>
      </c>
      <c r="D154" s="67">
        <v>82</v>
      </c>
      <c r="E154" s="68">
        <v>8.5675478006479993E-3</v>
      </c>
    </row>
    <row r="155" spans="2:5" ht="14.5" customHeight="1">
      <c r="B155" s="119" t="s">
        <v>199</v>
      </c>
      <c r="C155" s="61" t="s">
        <v>29</v>
      </c>
      <c r="D155" s="62">
        <v>106</v>
      </c>
      <c r="E155" s="63">
        <v>1.1075122766691E-2</v>
      </c>
    </row>
    <row r="156" spans="2:5" ht="14.5" customHeight="1">
      <c r="B156" s="117" t="s">
        <v>148</v>
      </c>
      <c r="C156" s="56" t="s">
        <v>149</v>
      </c>
      <c r="D156" s="57">
        <v>1</v>
      </c>
      <c r="E156" s="58">
        <v>1.04482290252E-4</v>
      </c>
    </row>
    <row r="157" spans="2:5" ht="14.5" customHeight="1">
      <c r="B157" s="118"/>
      <c r="C157" s="56" t="s">
        <v>150</v>
      </c>
      <c r="D157" s="57">
        <v>3</v>
      </c>
      <c r="E157" s="58">
        <v>3.13446870755E-4</v>
      </c>
    </row>
    <row r="158" spans="2:5" ht="14.5" customHeight="1">
      <c r="B158" s="119" t="s">
        <v>200</v>
      </c>
      <c r="C158" s="61" t="s">
        <v>29</v>
      </c>
      <c r="D158" s="62">
        <v>4</v>
      </c>
      <c r="E158" s="63">
        <v>4.1792916100699999E-4</v>
      </c>
    </row>
    <row r="159" spans="2:5" ht="14.5" customHeight="1">
      <c r="B159" s="120" t="s">
        <v>29</v>
      </c>
      <c r="C159" s="121"/>
      <c r="D159" s="59">
        <v>9571</v>
      </c>
      <c r="E159" s="60">
        <v>1</v>
      </c>
    </row>
    <row r="160" spans="2:5" ht="14.5" customHeight="1"/>
    <row r="161" spans="2:2" ht="14.5" customHeight="1">
      <c r="B161" s="15" t="s">
        <v>47</v>
      </c>
    </row>
    <row r="162" spans="2:2" ht="14.5" customHeight="1">
      <c r="B162" s="17" t="s">
        <v>18</v>
      </c>
    </row>
    <row r="163" spans="2:2" ht="14.5" customHeight="1">
      <c r="B163" s="16" t="s">
        <v>48</v>
      </c>
    </row>
    <row r="164" spans="2:2" ht="14.5" customHeight="1">
      <c r="B164" s="15" t="s">
        <v>17</v>
      </c>
    </row>
    <row r="165" spans="2:2" ht="14.5" customHeight="1">
      <c r="B165" s="15" t="s">
        <v>49</v>
      </c>
    </row>
  </sheetData>
  <mergeCells count="53">
    <mergeCell ref="B156:B158"/>
    <mergeCell ref="B159:C159"/>
    <mergeCell ref="B40:B42"/>
    <mergeCell ref="B64:B66"/>
    <mergeCell ref="B67:B68"/>
    <mergeCell ref="B84:B86"/>
    <mergeCell ref="B87:B88"/>
    <mergeCell ref="B130:B132"/>
    <mergeCell ref="B133:B135"/>
    <mergeCell ref="B136:B138"/>
    <mergeCell ref="B139:B141"/>
    <mergeCell ref="B147:B149"/>
    <mergeCell ref="B150:B152"/>
    <mergeCell ref="B127:B129"/>
    <mergeCell ref="B142:B143"/>
    <mergeCell ref="B144:B146"/>
    <mergeCell ref="B153:B155"/>
    <mergeCell ref="B92:B94"/>
    <mergeCell ref="B95:B97"/>
    <mergeCell ref="B98:B100"/>
    <mergeCell ref="B101:B103"/>
    <mergeCell ref="B104:B106"/>
    <mergeCell ref="B107:B109"/>
    <mergeCell ref="B116:B118"/>
    <mergeCell ref="B119:B121"/>
    <mergeCell ref="B122:B124"/>
    <mergeCell ref="B110:B112"/>
    <mergeCell ref="B113:B115"/>
    <mergeCell ref="B125:B126"/>
    <mergeCell ref="B55:B57"/>
    <mergeCell ref="B58:B60"/>
    <mergeCell ref="B69:B71"/>
    <mergeCell ref="B81:B83"/>
    <mergeCell ref="B89:B91"/>
    <mergeCell ref="B72:B74"/>
    <mergeCell ref="B75:B77"/>
    <mergeCell ref="B78:B80"/>
    <mergeCell ref="B61:B63"/>
    <mergeCell ref="B46:B48"/>
    <mergeCell ref="B49:B51"/>
    <mergeCell ref="B52:B54"/>
    <mergeCell ref="B43:B45"/>
    <mergeCell ref="B8:E10"/>
    <mergeCell ref="B13:B15"/>
    <mergeCell ref="B16:B17"/>
    <mergeCell ref="B18:B20"/>
    <mergeCell ref="B21:B23"/>
    <mergeCell ref="B24:B26"/>
    <mergeCell ref="B27:B29"/>
    <mergeCell ref="B30:B31"/>
    <mergeCell ref="B32:B34"/>
    <mergeCell ref="B35:B36"/>
    <mergeCell ref="B37:B3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5"/>
  <sheetViews>
    <sheetView showGridLines="0" view="pageBreakPreview" topLeftCell="A8" zoomScaleNormal="100" zoomScaleSheetLayoutView="100" workbookViewId="0">
      <selection activeCell="H10" sqref="H10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8.26953125" style="41" customWidth="1"/>
    <col min="4" max="4" width="17.1796875" style="44" customWidth="1"/>
    <col min="5" max="5" width="16.54296875" style="44" customWidth="1"/>
    <col min="6" max="6" width="16.54296875" style="41" customWidth="1"/>
    <col min="7" max="7" width="1.63281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0"/>
    </row>
    <row r="8" spans="2:7" s="13" customFormat="1" ht="15" customHeight="1">
      <c r="B8" s="106" t="s">
        <v>34</v>
      </c>
      <c r="C8" s="106"/>
      <c r="D8" s="106"/>
      <c r="E8" s="106"/>
      <c r="F8" s="106"/>
    </row>
    <row r="9" spans="2:7" s="13" customFormat="1" ht="15" customHeight="1">
      <c r="B9" s="106"/>
      <c r="C9" s="106"/>
      <c r="D9" s="106"/>
      <c r="E9" s="106"/>
      <c r="F9" s="106"/>
      <c r="G9" s="49"/>
    </row>
    <row r="10" spans="2:7" s="13" customFormat="1" ht="15" customHeight="1">
      <c r="B10" s="106"/>
      <c r="C10" s="106"/>
      <c r="D10" s="106"/>
      <c r="E10" s="106"/>
      <c r="F10" s="106"/>
    </row>
    <row r="11" spans="2:7" s="13" customFormat="1" ht="15" customHeight="1">
      <c r="B11" s="52"/>
      <c r="C11" s="52"/>
      <c r="D11" s="52"/>
      <c r="E11" s="52"/>
      <c r="F11" s="52"/>
    </row>
    <row r="12" spans="2:7" s="13" customFormat="1" ht="40.5" customHeight="1">
      <c r="B12" s="55" t="s">
        <v>30</v>
      </c>
      <c r="C12" s="55" t="s">
        <v>33</v>
      </c>
      <c r="D12" s="55" t="s">
        <v>20</v>
      </c>
      <c r="E12" s="55" t="s">
        <v>32</v>
      </c>
      <c r="F12" s="55" t="s">
        <v>31</v>
      </c>
    </row>
    <row r="13" spans="2:7" ht="14.5" customHeight="1">
      <c r="B13" s="107" t="s">
        <v>149</v>
      </c>
      <c r="C13" s="66" t="s">
        <v>249</v>
      </c>
      <c r="D13" s="67">
        <v>9</v>
      </c>
      <c r="E13" s="68">
        <v>3.7390943082680002E-3</v>
      </c>
      <c r="F13" s="68">
        <v>9.4034061226599996E-4</v>
      </c>
    </row>
    <row r="14" spans="2:7" ht="14.5" customHeight="1">
      <c r="B14" s="107"/>
      <c r="C14" s="66" t="s">
        <v>250</v>
      </c>
      <c r="D14" s="67">
        <v>346</v>
      </c>
      <c r="E14" s="68">
        <v>0.14374740340673001</v>
      </c>
      <c r="F14" s="68">
        <v>3.6150872427124003E-2</v>
      </c>
    </row>
    <row r="15" spans="2:7" ht="14.5" customHeight="1">
      <c r="B15" s="107"/>
      <c r="C15" s="66" t="s">
        <v>251</v>
      </c>
      <c r="D15" s="67">
        <v>708</v>
      </c>
      <c r="E15" s="68">
        <v>0.29414208558371402</v>
      </c>
      <c r="F15" s="68">
        <v>7.3973461498275994E-2</v>
      </c>
    </row>
    <row r="16" spans="2:7" ht="14.5" customHeight="1">
      <c r="B16" s="107"/>
      <c r="C16" s="66" t="s">
        <v>252</v>
      </c>
      <c r="D16" s="67">
        <v>857</v>
      </c>
      <c r="E16" s="68">
        <v>0.35604486913169903</v>
      </c>
      <c r="F16" s="68">
        <v>8.9541322745795002E-2</v>
      </c>
    </row>
    <row r="17" spans="2:6" ht="14.5" customHeight="1">
      <c r="B17" s="107"/>
      <c r="C17" s="66" t="s">
        <v>253</v>
      </c>
      <c r="D17" s="67">
        <v>429</v>
      </c>
      <c r="E17" s="68">
        <v>0.17823016202742001</v>
      </c>
      <c r="F17" s="68">
        <v>4.4822902518022997E-2</v>
      </c>
    </row>
    <row r="18" spans="2:6" ht="14.5" customHeight="1">
      <c r="B18" s="107"/>
      <c r="C18" s="66" t="s">
        <v>254</v>
      </c>
      <c r="D18" s="67">
        <v>51</v>
      </c>
      <c r="E18" s="68">
        <v>2.1188201080182999E-2</v>
      </c>
      <c r="F18" s="68">
        <v>5.328596802842E-3</v>
      </c>
    </row>
    <row r="19" spans="2:6" ht="14.5" customHeight="1">
      <c r="B19" s="107"/>
      <c r="C19" s="66" t="s">
        <v>255</v>
      </c>
      <c r="D19" s="67">
        <v>1</v>
      </c>
      <c r="E19" s="68">
        <v>4.15454923141E-4</v>
      </c>
      <c r="F19" s="68">
        <v>1.04482290252E-4</v>
      </c>
    </row>
    <row r="20" spans="2:6" ht="14.5" customHeight="1">
      <c r="B20" s="107"/>
      <c r="C20" s="66" t="s">
        <v>256</v>
      </c>
      <c r="D20" s="67">
        <v>6</v>
      </c>
      <c r="E20" s="68">
        <v>2.4927295388449998E-3</v>
      </c>
      <c r="F20" s="68">
        <v>6.2689374151099996E-4</v>
      </c>
    </row>
    <row r="21" spans="2:6" ht="14.5" customHeight="1">
      <c r="B21" s="107" t="s">
        <v>150</v>
      </c>
      <c r="C21" s="66" t="s">
        <v>249</v>
      </c>
      <c r="D21" s="67">
        <v>7</v>
      </c>
      <c r="E21" s="68">
        <v>9.7710776102699994E-4</v>
      </c>
      <c r="F21" s="68">
        <v>7.3137603176300005E-4</v>
      </c>
    </row>
    <row r="22" spans="2:6" ht="14.5" customHeight="1">
      <c r="B22" s="107"/>
      <c r="C22" s="66" t="s">
        <v>250</v>
      </c>
      <c r="D22" s="67">
        <v>1919</v>
      </c>
      <c r="E22" s="68">
        <v>0.26786711334449997</v>
      </c>
      <c r="F22" s="68">
        <v>0.20050151499320901</v>
      </c>
    </row>
    <row r="23" spans="2:6" ht="14.5" customHeight="1">
      <c r="B23" s="107"/>
      <c r="C23" s="66" t="s">
        <v>251</v>
      </c>
      <c r="D23" s="67">
        <v>2576</v>
      </c>
      <c r="E23" s="68">
        <v>0.35957565605806802</v>
      </c>
      <c r="F23" s="68">
        <v>0.26914637968864302</v>
      </c>
    </row>
    <row r="24" spans="2:6" ht="14.5" customHeight="1">
      <c r="B24" s="107"/>
      <c r="C24" s="66" t="s">
        <v>252</v>
      </c>
      <c r="D24" s="67">
        <v>1798</v>
      </c>
      <c r="E24" s="68">
        <v>0.250977107761027</v>
      </c>
      <c r="F24" s="68">
        <v>0.18785915787274099</v>
      </c>
    </row>
    <row r="25" spans="2:6" ht="14.5" customHeight="1">
      <c r="B25" s="107"/>
      <c r="C25" s="66" t="s">
        <v>253</v>
      </c>
      <c r="D25" s="67">
        <v>787</v>
      </c>
      <c r="E25" s="68">
        <v>0.10985482970407601</v>
      </c>
      <c r="F25" s="68">
        <v>8.2227562428168005E-2</v>
      </c>
    </row>
    <row r="26" spans="2:6" ht="14.5" customHeight="1">
      <c r="B26" s="107"/>
      <c r="C26" s="66" t="s">
        <v>254</v>
      </c>
      <c r="D26" s="67">
        <v>67</v>
      </c>
      <c r="E26" s="68">
        <v>9.3523171412619992E-3</v>
      </c>
      <c r="F26" s="68">
        <v>7.0003134468709996E-3</v>
      </c>
    </row>
    <row r="27" spans="2:6" ht="14.5" customHeight="1">
      <c r="B27" s="107"/>
      <c r="C27" s="66" t="s">
        <v>255</v>
      </c>
      <c r="D27" s="67">
        <v>1</v>
      </c>
      <c r="E27" s="68">
        <v>1.3958682300399999E-4</v>
      </c>
      <c r="F27" s="68">
        <v>1.04482290252E-4</v>
      </c>
    </row>
    <row r="28" spans="2:6" ht="14.5" customHeight="1">
      <c r="B28" s="107"/>
      <c r="C28" s="66" t="s">
        <v>256</v>
      </c>
      <c r="D28" s="67">
        <v>9</v>
      </c>
      <c r="E28" s="68">
        <v>1.256281407035E-3</v>
      </c>
      <c r="F28" s="68">
        <v>9.4034061226599996E-4</v>
      </c>
    </row>
    <row r="29" spans="2:6" ht="14.5" customHeight="1">
      <c r="B29" s="116" t="s">
        <v>29</v>
      </c>
      <c r="C29" s="116"/>
      <c r="D29" s="59">
        <v>9571</v>
      </c>
      <c r="E29" s="60">
        <v>1</v>
      </c>
      <c r="F29" s="60">
        <v>1</v>
      </c>
    </row>
    <row r="30" spans="2:6" ht="14.5" customHeight="1"/>
    <row r="31" spans="2:6" ht="14.5" customHeight="1">
      <c r="B31" s="15" t="s">
        <v>47</v>
      </c>
    </row>
    <row r="32" spans="2:6" ht="14.5" customHeight="1">
      <c r="B32" s="17" t="s">
        <v>18</v>
      </c>
    </row>
    <row r="33" spans="2:2" ht="14.5" customHeight="1">
      <c r="B33" s="16" t="s">
        <v>48</v>
      </c>
    </row>
    <row r="34" spans="2:2" ht="14.5" customHeight="1">
      <c r="B34" s="15" t="s">
        <v>17</v>
      </c>
    </row>
    <row r="35" spans="2:2" ht="14.5" customHeight="1">
      <c r="B35" s="15" t="s">
        <v>49</v>
      </c>
    </row>
  </sheetData>
  <mergeCells count="4">
    <mergeCell ref="B8:F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E65"/>
  <sheetViews>
    <sheetView showGridLines="0" view="pageBreakPreview" zoomScale="115" zoomScaleNormal="100" zoomScaleSheetLayoutView="115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42.542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106" t="s">
        <v>344</v>
      </c>
      <c r="C7" s="106"/>
      <c r="D7" s="106"/>
    </row>
    <row r="8" spans="2:5" s="25" customFormat="1" ht="15" customHeight="1">
      <c r="B8" s="106"/>
      <c r="C8" s="106"/>
      <c r="D8" s="106"/>
    </row>
    <row r="9" spans="2:5" s="25" customFormat="1" ht="33" customHeight="1">
      <c r="B9" s="106"/>
      <c r="C9" s="106"/>
      <c r="D9" s="106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35</v>
      </c>
      <c r="C11" s="27" t="s">
        <v>20</v>
      </c>
      <c r="D11" s="26" t="s">
        <v>19</v>
      </c>
    </row>
    <row r="12" spans="2:5">
      <c r="B12" s="23" t="s">
        <v>257</v>
      </c>
      <c r="C12" s="22">
        <v>5878</v>
      </c>
      <c r="D12" s="21">
        <v>0.61414690210009404</v>
      </c>
    </row>
    <row r="13" spans="2:5">
      <c r="B13" s="23" t="s">
        <v>258</v>
      </c>
      <c r="C13" s="22">
        <v>1251</v>
      </c>
      <c r="D13" s="21">
        <v>0.13070734510500501</v>
      </c>
    </row>
    <row r="14" spans="2:5">
      <c r="B14" s="23" t="s">
        <v>259</v>
      </c>
      <c r="C14" s="22">
        <v>782</v>
      </c>
      <c r="D14" s="21">
        <v>8.1705150976909002E-2</v>
      </c>
      <c r="E14" s="24"/>
    </row>
    <row r="15" spans="2:5">
      <c r="B15" s="23" t="s">
        <v>260</v>
      </c>
      <c r="C15" s="22">
        <v>525</v>
      </c>
      <c r="D15" s="21">
        <v>5.4853202382196001E-2</v>
      </c>
      <c r="E15" s="24"/>
    </row>
    <row r="16" spans="2:5" ht="28">
      <c r="B16" s="23" t="s">
        <v>261</v>
      </c>
      <c r="C16" s="22">
        <v>202</v>
      </c>
      <c r="D16" s="21">
        <v>2.1105422630863999E-2</v>
      </c>
    </row>
    <row r="17" spans="2:4">
      <c r="B17" s="23" t="s">
        <v>262</v>
      </c>
      <c r="C17" s="22">
        <v>187</v>
      </c>
      <c r="D17" s="21">
        <v>1.9538188277087001E-2</v>
      </c>
    </row>
    <row r="18" spans="2:4">
      <c r="B18" s="23" t="s">
        <v>263</v>
      </c>
      <c r="C18" s="22">
        <v>168</v>
      </c>
      <c r="D18" s="21">
        <v>1.7553024762302999E-2</v>
      </c>
    </row>
    <row r="19" spans="2:4">
      <c r="B19" s="23" t="s">
        <v>264</v>
      </c>
      <c r="C19" s="22">
        <v>135</v>
      </c>
      <c r="D19" s="21">
        <v>1.4105109183993001E-2</v>
      </c>
    </row>
    <row r="20" spans="2:4">
      <c r="B20" s="23" t="s">
        <v>265</v>
      </c>
      <c r="C20" s="22">
        <v>125</v>
      </c>
      <c r="D20" s="21">
        <v>1.3060286281475E-2</v>
      </c>
    </row>
    <row r="21" spans="2:4">
      <c r="B21" s="23" t="s">
        <v>266</v>
      </c>
      <c r="C21" s="22">
        <v>52</v>
      </c>
      <c r="D21" s="21">
        <v>5.4330790930939999E-3</v>
      </c>
    </row>
    <row r="22" spans="2:4">
      <c r="B22" s="23" t="s">
        <v>267</v>
      </c>
      <c r="C22" s="22">
        <v>35</v>
      </c>
      <c r="D22" s="21">
        <v>3.656880158813E-3</v>
      </c>
    </row>
    <row r="23" spans="2:4">
      <c r="B23" s="23" t="s">
        <v>268</v>
      </c>
      <c r="C23" s="22">
        <v>31</v>
      </c>
      <c r="D23" s="21">
        <v>3.2389509978060001E-3</v>
      </c>
    </row>
    <row r="24" spans="2:4">
      <c r="B24" s="23" t="s">
        <v>269</v>
      </c>
      <c r="C24" s="22">
        <v>29</v>
      </c>
      <c r="D24" s="21">
        <v>3.029986417302E-3</v>
      </c>
    </row>
    <row r="25" spans="2:4">
      <c r="B25" s="23" t="s">
        <v>270</v>
      </c>
      <c r="C25" s="22">
        <v>23</v>
      </c>
      <c r="D25" s="21">
        <v>2.4030926757909999E-3</v>
      </c>
    </row>
    <row r="26" spans="2:4">
      <c r="B26" s="23" t="s">
        <v>271</v>
      </c>
      <c r="C26" s="22">
        <v>21</v>
      </c>
      <c r="D26" s="21">
        <v>2.1941280952880002E-3</v>
      </c>
    </row>
    <row r="27" spans="2:4">
      <c r="B27" s="23" t="s">
        <v>272</v>
      </c>
      <c r="C27" s="22">
        <v>19</v>
      </c>
      <c r="D27" s="21">
        <v>1.985163514784E-3</v>
      </c>
    </row>
    <row r="28" spans="2:4">
      <c r="B28" s="23" t="s">
        <v>273</v>
      </c>
      <c r="C28" s="22">
        <v>16</v>
      </c>
      <c r="D28" s="21">
        <v>1.671716644029E-3</v>
      </c>
    </row>
    <row r="29" spans="2:4">
      <c r="B29" s="23" t="s">
        <v>274</v>
      </c>
      <c r="C29" s="22">
        <v>14</v>
      </c>
      <c r="D29" s="21">
        <v>1.462752063525E-3</v>
      </c>
    </row>
    <row r="30" spans="2:4">
      <c r="B30" s="23" t="s">
        <v>275</v>
      </c>
      <c r="C30" s="22">
        <v>12</v>
      </c>
      <c r="D30" s="21">
        <v>1.2537874830219999E-3</v>
      </c>
    </row>
    <row r="31" spans="2:4">
      <c r="B31" s="23" t="s">
        <v>276</v>
      </c>
      <c r="C31" s="22">
        <v>12</v>
      </c>
      <c r="D31" s="21">
        <v>1.2537874830219999E-3</v>
      </c>
    </row>
    <row r="32" spans="2:4">
      <c r="B32" s="23" t="s">
        <v>277</v>
      </c>
      <c r="C32" s="22">
        <v>9</v>
      </c>
      <c r="D32" s="21">
        <v>9.4034061226599996E-4</v>
      </c>
    </row>
    <row r="33" spans="2:4">
      <c r="B33" s="23" t="s">
        <v>278</v>
      </c>
      <c r="C33" s="22">
        <v>9</v>
      </c>
      <c r="D33" s="21">
        <v>9.4034061226599996E-4</v>
      </c>
    </row>
    <row r="34" spans="2:4">
      <c r="B34" s="23" t="s">
        <v>279</v>
      </c>
      <c r="C34" s="22">
        <v>6</v>
      </c>
      <c r="D34" s="21">
        <v>6.2689374151099996E-4</v>
      </c>
    </row>
    <row r="35" spans="2:4">
      <c r="B35" s="23" t="s">
        <v>280</v>
      </c>
      <c r="C35" s="22">
        <v>4</v>
      </c>
      <c r="D35" s="21">
        <v>4.1792916100699999E-4</v>
      </c>
    </row>
    <row r="36" spans="2:4">
      <c r="B36" s="23" t="s">
        <v>281</v>
      </c>
      <c r="C36" s="22">
        <v>3</v>
      </c>
      <c r="D36" s="21">
        <v>3.13446870755E-4</v>
      </c>
    </row>
    <row r="37" spans="2:4">
      <c r="B37" s="23" t="s">
        <v>282</v>
      </c>
      <c r="C37" s="22">
        <v>3</v>
      </c>
      <c r="D37" s="21">
        <v>3.13446870755E-4</v>
      </c>
    </row>
    <row r="38" spans="2:4">
      <c r="B38" s="23" t="s">
        <v>283</v>
      </c>
      <c r="C38" s="22">
        <v>2</v>
      </c>
      <c r="D38" s="21">
        <v>2.08964580504E-4</v>
      </c>
    </row>
    <row r="39" spans="2:4">
      <c r="B39" s="23" t="s">
        <v>284</v>
      </c>
      <c r="C39" s="22">
        <v>2</v>
      </c>
      <c r="D39" s="21">
        <v>2.08964580504E-4</v>
      </c>
    </row>
    <row r="40" spans="2:4">
      <c r="B40" s="23" t="s">
        <v>285</v>
      </c>
      <c r="C40" s="22">
        <v>2</v>
      </c>
      <c r="D40" s="21">
        <v>2.08964580504E-4</v>
      </c>
    </row>
    <row r="41" spans="2:4">
      <c r="B41" s="23" t="s">
        <v>286</v>
      </c>
      <c r="C41" s="22">
        <v>2</v>
      </c>
      <c r="D41" s="21">
        <v>2.08964580504E-4</v>
      </c>
    </row>
    <row r="42" spans="2:4">
      <c r="B42" s="23" t="s">
        <v>287</v>
      </c>
      <c r="C42" s="22">
        <v>1</v>
      </c>
      <c r="D42" s="21">
        <v>1.04482290252E-4</v>
      </c>
    </row>
    <row r="43" spans="2:4">
      <c r="B43" s="23" t="s">
        <v>288</v>
      </c>
      <c r="C43" s="22">
        <v>1</v>
      </c>
      <c r="D43" s="21">
        <v>1.04482290252E-4</v>
      </c>
    </row>
    <row r="44" spans="2:4">
      <c r="B44" s="23" t="s">
        <v>289</v>
      </c>
      <c r="C44" s="22">
        <v>1</v>
      </c>
      <c r="D44" s="21">
        <v>1.04482290252E-4</v>
      </c>
    </row>
    <row r="45" spans="2:4">
      <c r="B45" s="23" t="s">
        <v>290</v>
      </c>
      <c r="C45" s="22">
        <v>1</v>
      </c>
      <c r="D45" s="21">
        <v>1.04482290252E-4</v>
      </c>
    </row>
    <row r="46" spans="2:4">
      <c r="B46" s="23" t="s">
        <v>291</v>
      </c>
      <c r="C46" s="22">
        <v>1</v>
      </c>
      <c r="D46" s="21">
        <v>1.04482290252E-4</v>
      </c>
    </row>
    <row r="47" spans="2:4">
      <c r="B47" s="23" t="s">
        <v>292</v>
      </c>
      <c r="C47" s="22">
        <v>1</v>
      </c>
      <c r="D47" s="21">
        <v>1.04482290252E-4</v>
      </c>
    </row>
    <row r="48" spans="2:4">
      <c r="B48" s="23" t="s">
        <v>293</v>
      </c>
      <c r="C48" s="22">
        <v>1</v>
      </c>
      <c r="D48" s="21">
        <v>1.04482290252E-4</v>
      </c>
    </row>
    <row r="49" spans="2:4">
      <c r="B49" s="23" t="s">
        <v>294</v>
      </c>
      <c r="C49" s="22">
        <v>1</v>
      </c>
      <c r="D49" s="21">
        <v>1.04482290252E-4</v>
      </c>
    </row>
    <row r="50" spans="2:4">
      <c r="B50" s="23" t="s">
        <v>244</v>
      </c>
      <c r="C50" s="22">
        <v>1</v>
      </c>
      <c r="D50" s="21">
        <v>1.04482290252E-4</v>
      </c>
    </row>
    <row r="51" spans="2:4">
      <c r="B51" s="23" t="s">
        <v>295</v>
      </c>
      <c r="C51" s="22">
        <v>1</v>
      </c>
      <c r="D51" s="21">
        <v>1.04482290252E-4</v>
      </c>
    </row>
    <row r="52" spans="2:4">
      <c r="B52" s="23" t="s">
        <v>296</v>
      </c>
      <c r="C52" s="22">
        <v>1</v>
      </c>
      <c r="D52" s="21">
        <v>1.04482290252E-4</v>
      </c>
    </row>
    <row r="53" spans="2:4">
      <c r="B53" s="23" t="s">
        <v>297</v>
      </c>
      <c r="C53" s="22">
        <v>1</v>
      </c>
      <c r="D53" s="21">
        <v>1.04482290252E-4</v>
      </c>
    </row>
    <row r="54" spans="2:4">
      <c r="B54" s="20" t="s">
        <v>29</v>
      </c>
      <c r="C54" s="19">
        <v>9571</v>
      </c>
      <c r="D54" s="18">
        <v>1</v>
      </c>
    </row>
    <row r="55" spans="2:4" s="79" customFormat="1" ht="16.5">
      <c r="C55" s="78"/>
    </row>
    <row r="56" spans="2:4" s="79" customFormat="1" ht="16.5">
      <c r="B56" s="15" t="s">
        <v>47</v>
      </c>
      <c r="C56" s="78"/>
    </row>
    <row r="57" spans="2:4" s="79" customFormat="1" ht="16.5">
      <c r="B57" s="17" t="s">
        <v>18</v>
      </c>
      <c r="C57" s="78"/>
    </row>
    <row r="58" spans="2:4" s="79" customFormat="1" ht="16.5">
      <c r="B58" s="16" t="s">
        <v>48</v>
      </c>
      <c r="C58" s="78"/>
    </row>
    <row r="59" spans="2:4" s="79" customFormat="1" ht="16.5">
      <c r="B59" s="15" t="s">
        <v>17</v>
      </c>
      <c r="C59" s="78"/>
    </row>
    <row r="60" spans="2:4" s="79" customFormat="1" ht="16.5">
      <c r="B60" s="15" t="s">
        <v>49</v>
      </c>
      <c r="C60" s="78"/>
    </row>
    <row r="61" spans="2:4">
      <c r="C61" s="13"/>
    </row>
    <row r="62" spans="2:4">
      <c r="C62" s="13"/>
    </row>
    <row r="63" spans="2:4">
      <c r="C63" s="13"/>
    </row>
    <row r="64" spans="2:4">
      <c r="C64" s="13"/>
    </row>
    <row r="65" spans="3:3">
      <c r="C6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19</vt:i4>
      </vt:variant>
    </vt:vector>
  </HeadingPairs>
  <TitlesOfParts>
    <vt:vector size="34" baseType="lpstr">
      <vt:lpstr>Índice</vt:lpstr>
      <vt:lpstr>Querétaro_EdoUsa</vt:lpstr>
      <vt:lpstr>Querétaro_Cons</vt:lpstr>
      <vt:lpstr>QuerétaroXCons</vt:lpstr>
      <vt:lpstr>Querétaro_EdoMun</vt:lpstr>
      <vt:lpstr>Querétaro_USAMuni</vt:lpstr>
      <vt:lpstr>Querétaro_MUNICIPIO</vt:lpstr>
      <vt:lpstr>Querétaro_educ_gral</vt:lpstr>
      <vt:lpstr>Querétaro_NivelE_Cons</vt:lpstr>
      <vt:lpstr>Querétaro_EducCons</vt:lpstr>
      <vt:lpstr>Querétaro_GenGral</vt:lpstr>
      <vt:lpstr>Querétaro_GENERO</vt:lpstr>
      <vt:lpstr>Querétaro_GENERO_EUA</vt:lpstr>
      <vt:lpstr>Querétaro_Gen_Edad</vt:lpstr>
      <vt:lpstr>Querétaro_ocup_gral</vt:lpstr>
      <vt:lpstr>Querétaro_EducCons!Área_de_impresión</vt:lpstr>
      <vt:lpstr>Querétaro_MUNICIPIO!Área_de_impresión</vt:lpstr>
      <vt:lpstr>Querétaro_NivelE_Cons!Área_de_impresión</vt:lpstr>
      <vt:lpstr>Querétaro_ocup_gral!Área_de_impresión</vt:lpstr>
      <vt:lpstr>Querétaro_USAMuni!Área_de_impresión</vt:lpstr>
      <vt:lpstr>Querétaro_Cons!Títulos_a_imprimir</vt:lpstr>
      <vt:lpstr>Querétaro_EdoMun!Títulos_a_imprimir</vt:lpstr>
      <vt:lpstr>Querétaro_EdoUsa!Títulos_a_imprimir</vt:lpstr>
      <vt:lpstr>Querétaro_educ_gral!Títulos_a_imprimir</vt:lpstr>
      <vt:lpstr>Querétaro_EducCons!Títulos_a_imprimir</vt:lpstr>
      <vt:lpstr>Querétaro_Gen_Edad!Títulos_a_imprimir</vt:lpstr>
      <vt:lpstr>Querétaro_GENERO!Títulos_a_imprimir</vt:lpstr>
      <vt:lpstr>Querétaro_GENERO_EUA!Títulos_a_imprimir</vt:lpstr>
      <vt:lpstr>Querétaro_GenGral!Títulos_a_imprimir</vt:lpstr>
      <vt:lpstr>Querétaro_MUNICIPIO!Títulos_a_imprimir</vt:lpstr>
      <vt:lpstr>Querétaro_NivelE_Cons!Títulos_a_imprimir</vt:lpstr>
      <vt:lpstr>Querétaro_ocup_gral!Títulos_a_imprimir</vt:lpstr>
      <vt:lpstr>Querétaro_USAMuni!Títulos_a_imprimir</vt:lpstr>
      <vt:lpstr>QuerétaroXCons!Títulos_a_imprimir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2020-06-03T22:43:53Z</dcterms:created>
  <dcterms:modified xsi:type="dcterms:W3CDTF">2024-12-26T14:44:39Z</dcterms:modified>
</cp:coreProperties>
</file>