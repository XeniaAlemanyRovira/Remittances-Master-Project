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1B28DF4F-EE1C-4FB3-ABD9-4FD5697B5EB8}" xr6:coauthVersionLast="47" xr6:coauthVersionMax="47" xr10:uidLastSave="{00000000-0000-0000-0000-000000000000}"/>
  <bookViews>
    <workbookView xWindow="14280" yWindow="135" windowWidth="12105" windowHeight="13740" tabRatio="773" firstSheet="9" activeTab="14" xr2:uid="{00000000-000D-0000-FFFF-FFFF00000000}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ERO_EUA" sheetId="17" r:id="rId13"/>
    <sheet name="Sonora_Gen_Edad" sheetId="13" r:id="rId14"/>
    <sheet name="Sonora_ocup_gral" sheetId="14" r:id="rId15"/>
  </sheets>
  <definedNames>
    <definedName name="_xlnm._FilterDatabase" localSheetId="2" hidden="1">Sonora_Cons!$B$11:$D$11</definedName>
    <definedName name="_xlnm._FilterDatabase" localSheetId="4" hidden="1">Sonora_EdoMun!$B$11:$D$11</definedName>
    <definedName name="_xlnm._FilterDatabase" localSheetId="1" hidden="1">Sonora_EdoUsa!$B$11:$D$11</definedName>
    <definedName name="_xlnm._FilterDatabase" localSheetId="7" hidden="1">Sonora_educ_gral!$B$11:$D$11</definedName>
    <definedName name="_xlnm._FilterDatabase" localSheetId="9" hidden="1">Sonora_EducCons!$B$9:$E$9</definedName>
    <definedName name="_xlnm._FilterDatabase" localSheetId="11" hidden="1">Sonora_GENERO!$B$12:$E$156</definedName>
    <definedName name="_xlnm._FilterDatabase" localSheetId="12" hidden="1">Sonora_GENERO_EUA!$B$12:$E$141</definedName>
    <definedName name="_xlnm._FilterDatabase" localSheetId="10" hidden="1">Sonora_GenGral!$B$11:$D$11</definedName>
    <definedName name="_xlnm._FilterDatabase" localSheetId="6" hidden="1">Sonora_MUNICIPIO!$B$9:$E$9</definedName>
    <definedName name="_xlnm._FilterDatabase" localSheetId="8" hidden="1">Sonora_NivelE_Cons!$B$9:$E$9</definedName>
    <definedName name="_xlnm._FilterDatabase" localSheetId="14" hidden="1">Sonora_ocup_gral!$B$11:$D$11</definedName>
    <definedName name="_xlnm._FilterDatabase" localSheetId="5" hidden="1">Sonora_USAMuni!$B$9:$E$9</definedName>
    <definedName name="_xlnm._FilterDatabase" localSheetId="3" hidden="1">SonoraXCons!$B$11:$D$11</definedName>
    <definedName name="_xlnm.Print_Area" localSheetId="7">Sonora_educ_gral!$A$1:$F$42</definedName>
    <definedName name="_xlnm.Print_Area" localSheetId="9">Sonora_EducCons!$A$1:$E$648</definedName>
    <definedName name="_xlnm.Print_Area" localSheetId="6">Sonora_MUNICIPIO!$A$1:$E$833</definedName>
    <definedName name="_xlnm.Print_Area" localSheetId="8">Sonora_NivelE_Cons!$A$1:$E$414</definedName>
    <definedName name="_xlnm.Print_Area" localSheetId="14">Sonora_ocup_gral!$A$1:$E$70</definedName>
    <definedName name="_xlnm.Print_Area" localSheetId="5">Sonora_USAMuni!$A$1:$E$583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3">Sonora_Gen_Edad!$1:$12</definedName>
    <definedName name="_xlnm.Print_Titles" localSheetId="11">Sonora_GENERO!$1:$12</definedName>
    <definedName name="_xlnm.Print_Titles" localSheetId="12">Sonora_GENERO_EUA!$1:$12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4">Sonora_ocup_gral!$1:$11</definedName>
    <definedName name="_xlnm.Print_Titles" localSheetId="5">Sonora_USAMuni!$1:$9</definedName>
    <definedName name="_xlnm.Print_Titles" localSheetId="3">SonoraXCons!$1:$11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C22" i="16"/>
  <c r="D22" i="16" s="1"/>
</calcChain>
</file>

<file path=xl/sharedStrings.xml><?xml version="1.0" encoding="utf-8"?>
<sst xmlns="http://schemas.openxmlformats.org/spreadsheetml/2006/main" count="3508" uniqueCount="398">
  <si>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</si>
  <si>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</si>
  <si>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</si>
  <si>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</si>
  <si>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</si>
  <si>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</si>
  <si>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</si>
  <si>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</si>
  <si>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</si>
  <si>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</si>
  <si>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</si>
  <si>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</si>
  <si>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</si>
  <si>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</si>
  <si>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</si>
  <si>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</si>
  <si>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</si>
  <si>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</si>
  <si>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</si>
  <si>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</si>
  <si>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</si>
  <si>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</si>
  <si>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</si>
  <si>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</si>
  <si>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</si>
  <si>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</si>
  <si>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</si>
  <si>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</si>
  <si>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</si>
  <si>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</si>
  <si>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</si>
  <si>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</si>
  <si>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</si>
  <si>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</si>
  <si>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</si>
  <si>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Ocupación</t>
  </si>
  <si>
    <t>5.3 Por Estado de la Unión Americana</t>
  </si>
  <si>
    <t>MATRÍCULAS CONSULARES DE ALTA SEGURIDAD EXPEDIDAS A ORIGINARIOS DE SONORA EN LOS CONSULADOS DE MÉXICO EN EE.UU.</t>
  </si>
  <si>
    <t xml:space="preserve">MATRÍCULAS CONSULARES EXPEDIDAS A ORIGINARIOS DE SONORA POR GÉNERO EN EE.UU </t>
  </si>
  <si>
    <t>MATRÍCULAS CONSULARES EXPEDIDAS EN EE.UU. A ORIGINARIOS DE SONORA POR NIVEL DE EDUCACIÓN</t>
  </si>
  <si>
    <t>MATRÍCULAS CONSULARES EXPEDIDAS A ORIGINARIOS DE SONORA POR GÉNERO Y CONSULADO</t>
  </si>
  <si>
    <t>MATRÍCULAS CONSULARES EXPEDIDAS A ORIGINARIOS DE SONORA POR GÉNERO Y POR ESTADO DE LA UNIÓN AMERICANA</t>
  </si>
  <si>
    <t xml:space="preserve">MATRÍCULAS CONSULARES DE ALTA SEGURIDAD EXPEDIDAS POR MUNICIPIO A ORIGINARIOS DEL ESTADO DE SONORA EN LOS CONSULADOS DE MÉXICO EN EE.UU. </t>
  </si>
  <si>
    <t>MATRÍCULAS CONSULARES DE ALTA SEGURIDAD EXPEDIDAS A ORIGINARIOS DE SONORA POR ESTADO DE LA UNIÓN AMERICANA</t>
  </si>
  <si>
    <t>LOS 10 CONSULADOS  DE MÉXICO EN EE.UU., CON MAYOR NÚMERO DE EXPEDICIÓN DE  MATRÍCULAS CONSULARES DE ALTA SEGURIDAD A ORIGINARIOS DE SONORA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</si>
  <si>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</si>
  <si>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</si>
  <si>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</si>
  <si>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</si>
  <si>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</si>
  <si>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PHOENIX</t>
  </si>
  <si>
    <t>TUCSON</t>
  </si>
  <si>
    <t>LOS ANGELES</t>
  </si>
  <si>
    <t>LAS VEGAS</t>
  </si>
  <si>
    <t>SAN BERNARDINO</t>
  </si>
  <si>
    <t>FRESNO</t>
  </si>
  <si>
    <t>YUMA</t>
  </si>
  <si>
    <t>CHICAGO</t>
  </si>
  <si>
    <t>NOGALES</t>
  </si>
  <si>
    <t>DENVER</t>
  </si>
  <si>
    <t>SACRAMENTO</t>
  </si>
  <si>
    <t>HOUSTON</t>
  </si>
  <si>
    <t>SAN DIEGO</t>
  </si>
  <si>
    <t>SAN JOSE</t>
  </si>
  <si>
    <t>SANTA ANA</t>
  </si>
  <si>
    <t>DALLAS</t>
  </si>
  <si>
    <t>SALT LAKE CITY</t>
  </si>
  <si>
    <t>BOISE</t>
  </si>
  <si>
    <t>RALEIGH</t>
  </si>
  <si>
    <t>KANSAS CITY</t>
  </si>
  <si>
    <t>ALBUQUERQUE</t>
  </si>
  <si>
    <t>OKLAHOMA CITY</t>
  </si>
  <si>
    <t>SAN FRANCISCO</t>
  </si>
  <si>
    <t>LITTLE ROCK</t>
  </si>
  <si>
    <t>ATLANTA</t>
  </si>
  <si>
    <t>SAINT PAUL</t>
  </si>
  <si>
    <t>INDIANAPOLIS</t>
  </si>
  <si>
    <t>OXNARD</t>
  </si>
  <si>
    <t>MILWAUKEE</t>
  </si>
  <si>
    <t>ORLANDO</t>
  </si>
  <si>
    <t>SEATTLE</t>
  </si>
  <si>
    <t>DETROIT</t>
  </si>
  <si>
    <t>PORTLAND</t>
  </si>
  <si>
    <t>EL PASO</t>
  </si>
  <si>
    <t>AUSTIN</t>
  </si>
  <si>
    <t>NUEVA YORK</t>
  </si>
  <si>
    <t>SAN ANTONIO</t>
  </si>
  <si>
    <t>BOSTON</t>
  </si>
  <si>
    <t>CALEXICO</t>
  </si>
  <si>
    <t>MCALLEN</t>
  </si>
  <si>
    <t>OMAHA</t>
  </si>
  <si>
    <t>NUEVA ORLEANS</t>
  </si>
  <si>
    <t>MIAMI</t>
  </si>
  <si>
    <t>PRESIDIO</t>
  </si>
  <si>
    <t>DOUGLAS</t>
  </si>
  <si>
    <t>FILADELFIA</t>
  </si>
  <si>
    <t>WASHINGTON</t>
  </si>
  <si>
    <t>BROWNSVILLE</t>
  </si>
  <si>
    <t>LAREDO</t>
  </si>
  <si>
    <t>DEL RIO</t>
  </si>
  <si>
    <t>NEW BRUNSWICK</t>
  </si>
  <si>
    <t>EAGLE PASS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</si>
  <si>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</si>
  <si>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</si>
  <si>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</si>
  <si>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</si>
  <si>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</si>
  <si>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</si>
  <si>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</si>
  <si>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</si>
  <si>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</si>
  <si>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</si>
  <si>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</si>
  <si>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</si>
  <si>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</si>
  <si>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</si>
  <si>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</si>
  <si>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</si>
  <si>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</si>
  <si>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</si>
  <si>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</si>
  <si>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</si>
  <si>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</si>
  <si>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</si>
  <si>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</si>
  <si>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</si>
  <si>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</si>
  <si>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</si>
  <si>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</si>
  <si>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</si>
  <si>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</si>
  <si>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</si>
  <si>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</si>
  <si>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</si>
  <si>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</si>
  <si>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</si>
  <si>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</si>
  <si>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</si>
  <si>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</si>
  <si>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</si>
  <si>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</si>
  <si>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</si>
  <si>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</si>
  <si>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</si>
  <si>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</si>
  <si>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</si>
  <si>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</si>
  <si>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</si>
  <si>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</si>
  <si>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</si>
  <si>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</si>
  <si>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</si>
  <si>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</si>
  <si>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</si>
  <si>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</si>
  <si>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</si>
  <si>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</si>
  <si>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</si>
  <si>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</si>
  <si>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</si>
  <si>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</si>
  <si>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</si>
  <si>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</si>
  <si>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</si>
  <si>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</si>
  <si>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</si>
  <si>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</si>
  <si>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</si>
  <si>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</si>
  <si>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</si>
  <si>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</si>
  <si>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</si>
  <si>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</si>
  <si>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</si>
  <si>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</si>
  <si>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</si>
  <si>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</si>
  <si>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</si>
  <si>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</si>
  <si>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</si>
  <si>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</si>
  <si>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</si>
  <si>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</si>
  <si>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</si>
  <si>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</si>
  <si>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</si>
  <si>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</si>
  <si>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</si>
  <si>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</si>
  <si>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</si>
  <si>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</si>
  <si>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</si>
  <si>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</si>
  <si>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 xml:space="preserve">  Matrículas consulares expedidas a originarios de Sonora en el 2023</t>
  </si>
  <si>
    <t>CAJEME</t>
  </si>
  <si>
    <t>HERMOSILLO</t>
  </si>
  <si>
    <t>NAVOJOA</t>
  </si>
  <si>
    <t>ACONCHI</t>
  </si>
  <si>
    <t>AGUA PRIETA</t>
  </si>
  <si>
    <t>ALAMOS</t>
  </si>
  <si>
    <t>ALTAR</t>
  </si>
  <si>
    <t>ARIZPE</t>
  </si>
  <si>
    <t>ATIL</t>
  </si>
  <si>
    <t>BACADÉHUACHI</t>
  </si>
  <si>
    <t>BACANORA</t>
  </si>
  <si>
    <t>BACERAC</t>
  </si>
  <si>
    <t>BACOACHI</t>
  </si>
  <si>
    <t>BANÁMICHI</t>
  </si>
  <si>
    <t>BAVISPE</t>
  </si>
  <si>
    <t>BAVIÁCORA</t>
  </si>
  <si>
    <t>BENITO JUÁREZ</t>
  </si>
  <si>
    <t>BENJAMÍN HILL</t>
  </si>
  <si>
    <t>BÁCUM</t>
  </si>
  <si>
    <t>CABORCA</t>
  </si>
  <si>
    <t>CANANEA</t>
  </si>
  <si>
    <t>CARBÓ</t>
  </si>
  <si>
    <t>CUCURPE</t>
  </si>
  <si>
    <t>CUMPAS</t>
  </si>
  <si>
    <t>DIVISADEROS</t>
  </si>
  <si>
    <t>EMPALME</t>
  </si>
  <si>
    <t>ETCHOJOA</t>
  </si>
  <si>
    <t>FRONTERAS</t>
  </si>
  <si>
    <t>GENERAL PLUTARCO ELÍAS CALLES</t>
  </si>
  <si>
    <t>GRANADOS</t>
  </si>
  <si>
    <t>GUAYMAS</t>
  </si>
  <si>
    <t>HUACHINERA</t>
  </si>
  <si>
    <t>HUATABAMPO</t>
  </si>
  <si>
    <t>HUÁSABAS</t>
  </si>
  <si>
    <t>IMURIS</t>
  </si>
  <si>
    <t>LA COLORADA</t>
  </si>
  <si>
    <t>MAGDALENA</t>
  </si>
  <si>
    <t>MAZATÁN</t>
  </si>
  <si>
    <t>MOCTEZUMA</t>
  </si>
  <si>
    <t>NACO</t>
  </si>
  <si>
    <t>NACOZARI DE GARCÍA</t>
  </si>
  <si>
    <t>NO SE REGISTRÓ EL MUNICIPIO/CONDADO/ALCALDÍA DE NACIMIENTO</t>
  </si>
  <si>
    <t>NÁCORI CHICO</t>
  </si>
  <si>
    <t>ONAVAS</t>
  </si>
  <si>
    <t>OPODEPE</t>
  </si>
  <si>
    <t>PITIQUITO</t>
  </si>
  <si>
    <t>PUERTO PEÑASCO</t>
  </si>
  <si>
    <t>QUIRIEGO</t>
  </si>
  <si>
    <t>RAYÓN</t>
  </si>
  <si>
    <t>ROSARIO</t>
  </si>
  <si>
    <t>SAHUARIPA</t>
  </si>
  <si>
    <t>SAN IGNACIO RÍO MUERTO</t>
  </si>
  <si>
    <t>SAN LUIS RÍO COLORADO</t>
  </si>
  <si>
    <t>SAN MIGUEL DE HORCASITAS</t>
  </si>
  <si>
    <t>SAN PEDRO DE LA CUEVA</t>
  </si>
  <si>
    <t>SANTA CRUZ</t>
  </si>
  <si>
    <t>SOYOPA</t>
  </si>
  <si>
    <t>SUAQUI GRANDE</t>
  </si>
  <si>
    <t>SÁRIC</t>
  </si>
  <si>
    <t>TEPACHE</t>
  </si>
  <si>
    <t>TRINCHERAS</t>
  </si>
  <si>
    <t>TUBUTAMA</t>
  </si>
  <si>
    <t>URES</t>
  </si>
  <si>
    <t>VILLA HIDALGO</t>
  </si>
  <si>
    <t>VILLA PESQUEIRA</t>
  </si>
  <si>
    <t>YÉCORA</t>
  </si>
  <si>
    <t>ARIVECHI</t>
  </si>
  <si>
    <t>MEXICALI</t>
  </si>
  <si>
    <t>SAN PEDRO DE LA CUEV</t>
  </si>
  <si>
    <t>SAN FELIPE DE JESÚS</t>
  </si>
  <si>
    <t>OQUITOA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</si>
  <si>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</si>
  <si>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</si>
  <si>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</si>
  <si>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</si>
  <si>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</si>
  <si>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</si>
  <si>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</si>
  <si>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</si>
  <si>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</si>
  <si>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</si>
  <si>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</si>
  <si>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</si>
  <si>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</si>
  <si>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</si>
  <si>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</si>
  <si>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</si>
  <si>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</si>
  <si>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</si>
  <si>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</si>
  <si>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</si>
  <si>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</si>
  <si>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</si>
  <si>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</si>
  <si>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</si>
  <si>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</si>
  <si>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</si>
  <si>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</si>
  <si>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</si>
  <si>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</si>
  <si>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</si>
  <si>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</si>
  <si>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</si>
  <si>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</si>
  <si>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</si>
  <si>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ESTUDIANTE</t>
  </si>
  <si>
    <t>CONSTRUCCIÓN, TRAB. DE LA IND. DE LA</t>
  </si>
  <si>
    <t>OBRERO(A)</t>
  </si>
  <si>
    <t>PROFESIONISTA</t>
  </si>
  <si>
    <t>ALIMENTOS Y BEBIDAS, ESP. EN PREPARACIÓN DE</t>
  </si>
  <si>
    <t>AGROPECUARIA, TRAB. DE LA INDUSTRIA</t>
  </si>
  <si>
    <t>EMPRESARIO(A)</t>
  </si>
  <si>
    <t>JARDINERO(A)</t>
  </si>
  <si>
    <t>VENDEDOR(A)</t>
  </si>
  <si>
    <t>JUBILADO(A)/PENSIONADO(A)</t>
  </si>
  <si>
    <t>PINTOR(A)</t>
  </si>
  <si>
    <t>DESEMPLEADO</t>
  </si>
  <si>
    <t>CHOFER</t>
  </si>
  <si>
    <t>LIMPIEZA, EMPLEADO DE</t>
  </si>
  <si>
    <t>MECÁNICO(A)</t>
  </si>
  <si>
    <t>SIN ESPECIFICAR</t>
  </si>
  <si>
    <t>CAJERO(A)/COBRADOR(A)</t>
  </si>
  <si>
    <t>CARPINTERO/TAPICERO</t>
  </si>
  <si>
    <t>MESERO(A)</t>
  </si>
  <si>
    <t>TÉCNICO(A) EN MANTENIMIENTO</t>
  </si>
  <si>
    <t>BELLEZA, PROFESIONAL DE SERVICIOS DE</t>
  </si>
  <si>
    <t>INGENIERO(A)</t>
  </si>
  <si>
    <t>SOLDADOR</t>
  </si>
  <si>
    <t>CARNICERO(A)</t>
  </si>
  <si>
    <t>ENFERMERO(A)/TRAB. DE APOYO EN SALUD</t>
  </si>
  <si>
    <t>OPERARIO(A)</t>
  </si>
  <si>
    <t>ADMINISTRADOR(A)/CONTADOR(A)</t>
  </si>
  <si>
    <t>COMERCIANTE</t>
  </si>
  <si>
    <t>GERENTE/DIRECTOR(A)</t>
  </si>
  <si>
    <t>PROFESOR(A)</t>
  </si>
  <si>
    <t>ABOGADO(A)</t>
  </si>
  <si>
    <t>DISCAPACITADO</t>
  </si>
  <si>
    <t>MÉDICO(A) /ESP. EN SALUD</t>
  </si>
  <si>
    <t>SUPERVISOR(A)</t>
  </si>
  <si>
    <t>ARTESANO(A)</t>
  </si>
  <si>
    <t>FOTÓGRAFO(A)</t>
  </si>
  <si>
    <t>MINISTRO(A) RELIGIOSO(A)</t>
  </si>
  <si>
    <t>OTRO</t>
  </si>
  <si>
    <t>TRABAJADOR(A) DOMÉSTICO(A)</t>
  </si>
  <si>
    <t>AEROCOMERCIAL, TRAB. DE LA INDUSTRIA</t>
  </si>
  <si>
    <t>ARTISTA INTERPRETATIVO(A)</t>
  </si>
  <si>
    <t>AUTOR(A)/PERIODISTA/TRADUCTOR(A)</t>
  </si>
  <si>
    <t>BANQUERO/INVERSIONISTA</t>
  </si>
  <si>
    <t>CONSULTOR</t>
  </si>
  <si>
    <t>EXTRACCIÓN, TRAB. DE LA INDUSTRIA DE LA</t>
  </si>
  <si>
    <t>HERRERO(A)/CERRAJERO(A)/JOYERO(A)</t>
  </si>
  <si>
    <t>HOJALATERO</t>
  </si>
  <si>
    <t>LOCUTOR(A)/ANIMADOR(A)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</si>
  <si>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</si>
  <si>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</si>
  <si>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</si>
  <si>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</si>
  <si>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</si>
  <si>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</si>
  <si>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</si>
  <si>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</si>
  <si>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</si>
  <si>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</si>
  <si>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</si>
  <si>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</si>
  <si>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DOUGLAS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</si>
  <si>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</si>
  <si>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</si>
  <si>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</si>
  <si>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</si>
  <si>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</si>
  <si>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</si>
  <si>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</si>
  <si>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</si>
  <si>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</si>
  <si>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</si>
  <si>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</si>
  <si>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</si>
  <si>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</si>
  <si>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</si>
  <si>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</si>
  <si>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</si>
  <si>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</si>
  <si>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</si>
  <si>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</si>
  <si>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</si>
  <si>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</si>
  <si>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</si>
  <si>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</si>
  <si>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</si>
  <si>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</si>
  <si>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</si>
  <si>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</si>
  <si>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</si>
  <si>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</si>
  <si>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</si>
  <si>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</si>
  <si>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</si>
  <si>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</si>
  <si>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</si>
  <si>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</si>
  <si>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</si>
  <si>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</si>
  <si>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EN EE.UU. ORIGINARIOS DE SONORA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</si>
</sst>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b/>
      <sz val="9"/>
      <color rgb="FFFFFFFF"/>
      <name val="Montserrat"/>
    </font>
    <font>
      <sz val="11"/>
      <name val="Montserrat"/>
    </font>
    <font>
      <sz val="7"/>
      <name val="Montserrat"/>
    </font>
    <font>
      <sz val="7"/>
      <color theme="1"/>
      <name val="Montserrat"/>
    </font>
    <font>
      <sz val="8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2" borderId="10" xfId="3" applyFont="1" applyFill="1" applyBorder="1" applyAlignment="1">
      <alignment horizontal="center" vertical="center" wrapText="1"/>
    </xf>
    <xf numFmtId="1" fontId="15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6" fillId="3" borderId="0" xfId="0" applyFont="1" applyFill="1"/>
    <xf numFmtId="0" fontId="17" fillId="3" borderId="0" xfId="0" applyFont="1" applyFill="1"/>
    <xf numFmtId="0" fontId="17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3" fontId="1" fillId="3" borderId="0" xfId="0" applyNumberFormat="1" applyFont="1" applyFill="1"/>
    <xf numFmtId="0" fontId="1" fillId="3" borderId="0" xfId="0" applyFont="1" applyFill="1"/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0" fontId="25" fillId="3" borderId="0" xfId="0" applyFont="1" applyFill="1"/>
    <xf numFmtId="0" fontId="26" fillId="3" borderId="0" xfId="0" applyFont="1" applyFill="1"/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vertical="center" wrapText="1"/>
    </xf>
    <xf numFmtId="164" fontId="6" fillId="9" borderId="9" xfId="0" applyNumberFormat="1" applyFont="1" applyFill="1" applyBorder="1" applyAlignment="1">
      <alignment horizontal="right" vertical="center" wrapText="1"/>
    </xf>
    <xf numFmtId="0" fontId="15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5" fillId="2" borderId="9" xfId="3" applyNumberFormat="1" applyFont="1" applyFill="1" applyBorder="1" applyAlignment="1">
      <alignment horizontal="center" vertical="center" wrapText="1"/>
    </xf>
    <xf numFmtId="0" fontId="27" fillId="3" borderId="0" xfId="0" applyFont="1" applyFill="1"/>
    <xf numFmtId="0" fontId="28" fillId="3" borderId="0" xfId="0" applyFont="1" applyFill="1"/>
    <xf numFmtId="3" fontId="28" fillId="3" borderId="0" xfId="0" applyNumberFormat="1" applyFont="1" applyFill="1"/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9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384891</xdr:colOff>
      <xdr:row>1</xdr:row>
      <xdr:rowOff>171142</xdr:rowOff>
    </xdr:from>
    <xdr:to>
      <xdr:col>3</xdr:col>
      <xdr:colOff>896988</xdr:colOff>
      <xdr:row>2</xdr:row>
      <xdr:rowOff>171142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045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204305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630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228600</xdr:rowOff>
    </xdr:to>
    <xdr:sp macro="" textlink="">
      <xdr:nvSpPr>
        <xdr:cNvPr id="5" name="Rectángulo redondead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180975</xdr:colOff>
      <xdr:row>0</xdr:row>
      <xdr:rowOff>142875</xdr:rowOff>
    </xdr:from>
    <xdr:to>
      <xdr:col>1</xdr:col>
      <xdr:colOff>486334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3E504CB-4551-4C8D-8470-5C1735DAB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190500</xdr:colOff>
      <xdr:row>1</xdr:row>
      <xdr:rowOff>38100</xdr:rowOff>
    </xdr:from>
    <xdr:to>
      <xdr:col>1</xdr:col>
      <xdr:colOff>495859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9AFD5B2-A436-4D73-AB25-F56CDAEC8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28575</xdr:rowOff>
    </xdr:from>
    <xdr:to>
      <xdr:col>1</xdr:col>
      <xdr:colOff>419659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D1E337F-55CC-423D-9D35-F991B367B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99391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957332</xdr:colOff>
      <xdr:row>1</xdr:row>
      <xdr:rowOff>141356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506" y="33461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9525</xdr:rowOff>
    </xdr:from>
    <xdr:to>
      <xdr:col>1</xdr:col>
      <xdr:colOff>438709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4581BCF-0F56-43A6-80AD-AAE15ED9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470192</xdr:colOff>
      <xdr:row>7</xdr:row>
      <xdr:rowOff>30593</xdr:rowOff>
    </xdr:from>
    <xdr:to>
      <xdr:col>4</xdr:col>
      <xdr:colOff>982289</xdr:colOff>
      <xdr:row>7</xdr:row>
      <xdr:rowOff>214948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811663" y="177871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140369</xdr:colOff>
      <xdr:row>1</xdr:row>
      <xdr:rowOff>10026</xdr:rowOff>
    </xdr:from>
    <xdr:to>
      <xdr:col>1</xdr:col>
      <xdr:colOff>1064853</xdr:colOff>
      <xdr:row>3</xdr:row>
      <xdr:rowOff>343400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8C61F1D-518E-4D5C-A1E1-CF039E8E1F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0553" y="160421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152400</xdr:colOff>
      <xdr:row>1</xdr:row>
      <xdr:rowOff>0</xdr:rowOff>
    </xdr:from>
    <xdr:to>
      <xdr:col>1</xdr:col>
      <xdr:colOff>1076884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C5F1B66-4B82-40D9-8FC5-574DA766B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180975</xdr:rowOff>
    </xdr:from>
    <xdr:to>
      <xdr:col>1</xdr:col>
      <xdr:colOff>410134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43E276-D3D5-4FCC-AD64-E357B9FCF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1</xdr:col>
      <xdr:colOff>104775</xdr:colOff>
      <xdr:row>0</xdr:row>
      <xdr:rowOff>123825</xdr:rowOff>
    </xdr:from>
    <xdr:to>
      <xdr:col>1</xdr:col>
      <xdr:colOff>1029259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F7D8C02-17ED-4C84-89FE-864909C1B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23825"/>
          <a:ext cx="924484" cy="714374"/>
        </a:xfrm>
        <a:prstGeom prst="rect">
          <a:avLst/>
        </a:prstGeom>
      </xdr:spPr>
    </xdr:pic>
    <xdr:clientData/>
  </xdr:twoCellAnchor>
  <xdr:twoCellAnchor>
    <xdr:from>
      <xdr:col>4</xdr:col>
      <xdr:colOff>638175</xdr:colOff>
      <xdr:row>6</xdr:row>
      <xdr:rowOff>317500</xdr:rowOff>
    </xdr:from>
    <xdr:to>
      <xdr:col>4</xdr:col>
      <xdr:colOff>1150272</xdr:colOff>
      <xdr:row>7</xdr:row>
      <xdr:rowOff>168480</xdr:rowOff>
    </xdr:to>
    <xdr:sp macro="" textlink="">
      <xdr:nvSpPr>
        <xdr:cNvPr id="7" name="Rectángulo redondead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EC23E02-8D49-46D7-A36C-BDBC85D5A0D4}"/>
            </a:ext>
          </a:extLst>
        </xdr:cNvPr>
        <xdr:cNvSpPr/>
      </xdr:nvSpPr>
      <xdr:spPr>
        <a:xfrm>
          <a:off x="5495925" y="1727200"/>
          <a:ext cx="512097" cy="1811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28575</xdr:rowOff>
    </xdr:from>
    <xdr:to>
      <xdr:col>1</xdr:col>
      <xdr:colOff>1000684</xdr:colOff>
      <xdr:row>3</xdr:row>
      <xdr:rowOff>361949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5EB1283-3F89-483B-A40E-3B4579FFD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0</xdr:col>
      <xdr:colOff>114300</xdr:colOff>
      <xdr:row>1</xdr:row>
      <xdr:rowOff>0</xdr:rowOff>
    </xdr:from>
    <xdr:to>
      <xdr:col>1</xdr:col>
      <xdr:colOff>419659</xdr:colOff>
      <xdr:row>3</xdr:row>
      <xdr:rowOff>333374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B4B220-AFC5-4D09-8B7D-F7DDABD940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90500"/>
          <a:ext cx="924484" cy="714374"/>
        </a:xfrm>
        <a:prstGeom prst="rect">
          <a:avLst/>
        </a:prstGeom>
      </xdr:spPr>
    </xdr:pic>
    <xdr:clientData/>
  </xdr:twoCellAnchor>
  <xdr:twoCellAnchor>
    <xdr:from>
      <xdr:col>4</xdr:col>
      <xdr:colOff>398096</xdr:colOff>
      <xdr:row>8</xdr:row>
      <xdr:rowOff>43243</xdr:rowOff>
    </xdr:from>
    <xdr:to>
      <xdr:col>5</xdr:col>
      <xdr:colOff>297605</xdr:colOff>
      <xdr:row>8</xdr:row>
      <xdr:rowOff>229813</xdr:rowOff>
    </xdr:to>
    <xdr:sp macro="" textlink="">
      <xdr:nvSpPr>
        <xdr:cNvPr id="6" name="Rectángulo redondead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B035DBD-FF52-406E-A4DD-74FC4DF9E43C}"/>
            </a:ext>
          </a:extLst>
        </xdr:cNvPr>
        <xdr:cNvSpPr/>
      </xdr:nvSpPr>
      <xdr:spPr>
        <a:xfrm>
          <a:off x="5044802" y="1783890"/>
          <a:ext cx="549450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617279</xdr:colOff>
      <xdr:row>9</xdr:row>
      <xdr:rowOff>36181</xdr:rowOff>
    </xdr:from>
    <xdr:to>
      <xdr:col>5</xdr:col>
      <xdr:colOff>30826</xdr:colOff>
      <xdr:row>10</xdr:row>
      <xdr:rowOff>32251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30579" y="1750681"/>
          <a:ext cx="512097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114300</xdr:rowOff>
    </xdr:from>
    <xdr:to>
      <xdr:col>1</xdr:col>
      <xdr:colOff>1010209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A2A5D6E-65F7-4EF7-A5F4-90895C2F7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883979</xdr:colOff>
      <xdr:row>9</xdr:row>
      <xdr:rowOff>29831</xdr:rowOff>
    </xdr:from>
    <xdr:to>
      <xdr:col>5</xdr:col>
      <xdr:colOff>297526</xdr:colOff>
      <xdr:row>10</xdr:row>
      <xdr:rowOff>25901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697279" y="1744331"/>
          <a:ext cx="512097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0</xdr:row>
      <xdr:rowOff>123825</xdr:rowOff>
    </xdr:from>
    <xdr:to>
      <xdr:col>1</xdr:col>
      <xdr:colOff>1019734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D4C48F8-8F82-419F-BCDF-210614E937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889000</xdr:colOff>
      <xdr:row>9</xdr:row>
      <xdr:rowOff>83552</xdr:rowOff>
    </xdr:from>
    <xdr:to>
      <xdr:col>6</xdr:col>
      <xdr:colOff>264447</xdr:colOff>
      <xdr:row>10</xdr:row>
      <xdr:rowOff>77407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807200" y="1798052"/>
          <a:ext cx="53114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140368</xdr:colOff>
      <xdr:row>0</xdr:row>
      <xdr:rowOff>100263</xdr:rowOff>
    </xdr:from>
    <xdr:to>
      <xdr:col>1</xdr:col>
      <xdr:colOff>1062051</xdr:colOff>
      <xdr:row>3</xdr:row>
      <xdr:rowOff>293269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F66CA53-B16F-45DF-B665-DD3E5EC6B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368" y="100263"/>
          <a:ext cx="921683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629478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95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2023</a:t>
          </a:r>
        </a:p>
      </xdr:txBody>
    </xdr:sp>
    <xdr:clientData/>
  </xdr:twoCellAnchor>
  <xdr:oneCellAnchor>
    <xdr:from>
      <xdr:col>3</xdr:col>
      <xdr:colOff>764071</xdr:colOff>
      <xdr:row>1</xdr:row>
      <xdr:rowOff>180009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0201" y="37327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990738</xdr:colOff>
      <xdr:row>8</xdr:row>
      <xdr:rowOff>117751</xdr:rowOff>
    </xdr:from>
    <xdr:to>
      <xdr:col>4</xdr:col>
      <xdr:colOff>292883</xdr:colOff>
      <xdr:row>8</xdr:row>
      <xdr:rowOff>304867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76868" y="1851577"/>
          <a:ext cx="539015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47625</xdr:rowOff>
    </xdr:from>
    <xdr:to>
      <xdr:col>1</xdr:col>
      <xdr:colOff>448234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BDD98F7-6ADA-4935-AD8F-EA24351BB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381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A8" sqref="A8:D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7" t="s">
        <v>193</v>
      </c>
      <c r="B1" s="88"/>
      <c r="C1" s="88"/>
      <c r="D1" s="89"/>
    </row>
    <row r="2" spans="1:4">
      <c r="A2" s="2"/>
      <c r="B2" s="3"/>
      <c r="C2" s="3"/>
      <c r="D2" s="4"/>
    </row>
    <row r="3" spans="1:4">
      <c r="A3" s="90" t="s">
        <v>0</v>
      </c>
      <c r="B3" s="91"/>
      <c r="C3" s="91"/>
      <c r="D3" s="92"/>
    </row>
    <row r="4" spans="1:4">
      <c r="A4" s="90"/>
      <c r="B4" s="91"/>
      <c r="C4" s="91"/>
      <c r="D4" s="92"/>
    </row>
    <row r="5" spans="1:4">
      <c r="A5" s="5"/>
      <c r="B5" s="6"/>
      <c r="C5" s="6"/>
      <c r="D5" s="7"/>
    </row>
    <row r="6" spans="1:4" ht="18.75">
      <c r="A6" s="84" t="s">
        <v>1</v>
      </c>
      <c r="B6" s="85"/>
      <c r="C6" s="85"/>
      <c r="D6" s="86"/>
    </row>
    <row r="7" spans="1:4">
      <c r="A7" s="8"/>
      <c r="D7" s="9"/>
    </row>
    <row r="8" spans="1:4" ht="18.75">
      <c r="A8" s="84" t="s">
        <v>2</v>
      </c>
      <c r="B8" s="85"/>
      <c r="C8" s="85"/>
      <c r="D8" s="86"/>
    </row>
    <row r="9" spans="1:4" ht="18.75">
      <c r="A9" s="8"/>
      <c r="B9" s="84" t="s">
        <v>3</v>
      </c>
      <c r="C9" s="85"/>
      <c r="D9" s="85"/>
    </row>
    <row r="10" spans="1:4">
      <c r="A10" s="8"/>
      <c r="D10" s="9"/>
    </row>
    <row r="11" spans="1:4" ht="18.75">
      <c r="A11" s="54" t="s">
        <v>4</v>
      </c>
      <c r="D11" s="9"/>
    </row>
    <row r="12" spans="1:4" ht="18.75">
      <c r="A12" s="8"/>
      <c r="B12" s="84" t="s">
        <v>5</v>
      </c>
      <c r="C12" s="85"/>
      <c r="D12" s="85"/>
    </row>
    <row r="13" spans="1:4" ht="18.75">
      <c r="A13" s="8"/>
      <c r="B13" s="84" t="s">
        <v>6</v>
      </c>
      <c r="C13" s="85"/>
      <c r="D13" s="85"/>
    </row>
    <row r="14" spans="1:4" ht="18.75">
      <c r="A14" s="8"/>
      <c r="B14" s="84" t="s">
        <v>7</v>
      </c>
      <c r="C14" s="85"/>
      <c r="D14" s="85"/>
    </row>
    <row r="15" spans="1:4">
      <c r="A15" s="8"/>
      <c r="D15" s="9"/>
    </row>
    <row r="16" spans="1:4" ht="18.75">
      <c r="A16" s="54" t="s">
        <v>8</v>
      </c>
      <c r="D16" s="9"/>
    </row>
    <row r="17" spans="1:4" ht="18.75">
      <c r="A17" s="8"/>
      <c r="B17" s="84" t="s">
        <v>9</v>
      </c>
      <c r="C17" s="85"/>
      <c r="D17" s="85"/>
    </row>
    <row r="18" spans="1:4" ht="18.75">
      <c r="A18" s="8"/>
      <c r="B18" s="84" t="s">
        <v>10</v>
      </c>
      <c r="C18" s="85"/>
      <c r="D18" s="85"/>
    </row>
    <row r="19" spans="1:4" ht="18.75">
      <c r="A19" s="8"/>
      <c r="B19" s="84" t="s">
        <v>11</v>
      </c>
      <c r="C19" s="85"/>
      <c r="D19" s="85"/>
    </row>
    <row r="20" spans="1:4">
      <c r="A20" s="8"/>
      <c r="D20" s="9"/>
    </row>
    <row r="21" spans="1:4" ht="18.75">
      <c r="A21" s="54" t="s">
        <v>12</v>
      </c>
      <c r="D21" s="9"/>
    </row>
    <row r="22" spans="1:4" ht="18.75">
      <c r="A22" s="8"/>
      <c r="B22" s="84" t="s">
        <v>13</v>
      </c>
      <c r="C22" s="85"/>
      <c r="D22" s="85"/>
    </row>
    <row r="23" spans="1:4" ht="18.75">
      <c r="A23" s="8"/>
      <c r="B23" s="84" t="s">
        <v>14</v>
      </c>
      <c r="C23" s="85"/>
      <c r="D23" s="85"/>
    </row>
    <row r="24" spans="1:4" ht="18.75">
      <c r="A24" s="8"/>
      <c r="B24" s="84" t="s">
        <v>36</v>
      </c>
      <c r="C24" s="85"/>
      <c r="D24" s="85"/>
    </row>
    <row r="25" spans="1:4">
      <c r="A25" s="8"/>
      <c r="D25" s="9"/>
    </row>
    <row r="26" spans="1:4" ht="18.75">
      <c r="A26" s="84" t="s">
        <v>15</v>
      </c>
      <c r="B26" s="85"/>
      <c r="C26" s="85"/>
      <c r="D26" s="86"/>
    </row>
    <row r="27" spans="1:4">
      <c r="A27" s="8"/>
      <c r="D27" s="9"/>
    </row>
    <row r="28" spans="1:4" ht="18.75">
      <c r="A28" s="84" t="s">
        <v>16</v>
      </c>
      <c r="B28" s="85"/>
      <c r="C28" s="85"/>
      <c r="D28" s="86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Sonora_USAMuni!A1" display="3.2 Por Estado de USA" xr:uid="{00000000-0004-0000-0000-00000D000000}"/>
    <hyperlink ref="A8:D8" location="Sonora_Cons!A1" display="2. Por Circunscripción Consular" xr:uid="{00000000-0004-0000-0000-00000E000000}"/>
    <hyperlink ref="B9:D9" location="SonoraXCons!A1" display="2.1 Top ten por circunscripción consular" xr:uid="{00000000-0004-0000-0000-00000F000000}"/>
    <hyperlink ref="A6:D6" location="Sonora_EdoUsa!A1" display="1. Por Estados de USA" xr:uid="{00000000-0004-0000-0000-000010000000}"/>
    <hyperlink ref="B12:D12" location="Sonora_EdoMun!A1" display="3.1 Municipio general" xr:uid="{00000000-0004-0000-0000-000011000000}"/>
    <hyperlink ref="B14:D14" location="Sonora_MUNICIPIO!A1" display="3.3 Por Circunscripción Consular" xr:uid="{00000000-0004-0000-0000-000012000000}"/>
    <hyperlink ref="B17:D17" location="Sonora_educ_gral!A1" display="4.1 Educación general" xr:uid="{00000000-0004-0000-0000-000013000000}"/>
    <hyperlink ref="B18:D18" location="Sonora_NivelE_Cons!A1" display="4.2 Por Estado de USA" xr:uid="{00000000-0004-0000-0000-000014000000}"/>
    <hyperlink ref="B19:D19" location="Sonora_EducCons!A1" display="4.3 Por Circunscripción Consular" xr:uid="{00000000-0004-0000-0000-000015000000}"/>
    <hyperlink ref="B22:D22" location="Sonora_GenGral!A1" display="5.1 Género General" xr:uid="{00000000-0004-0000-0000-000016000000}"/>
    <hyperlink ref="B23:D23" location="Sonora_GENERO!A1" display="5.2 Por Circunscripción Consular" xr:uid="{00000000-0004-0000-0000-000017000000}"/>
    <hyperlink ref="A26:D26" location="Sonora_Gen_Edad!A1" display="6. Por estructura de Edad" xr:uid="{00000000-0004-0000-0000-000018000000}"/>
    <hyperlink ref="A28:D28" location="Sonora_ocup_gral!A1" display="7. Por Ocupación" xr:uid="{00000000-0004-0000-0000-000019000000}"/>
    <hyperlink ref="B24" location="Sonor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4"/>
  <sheetViews>
    <sheetView showGridLines="0" view="pageBreakPreview" topLeftCell="A48" zoomScale="115" zoomScaleNormal="100" zoomScaleSheetLayoutView="115" workbookViewId="0">
      <selection activeCell="A59" sqref="A59"/>
    </sheetView>
  </sheetViews>
  <sheetFormatPr baseColWidth="10" defaultColWidth="11.42578125" defaultRowHeight="15"/>
  <cols>
    <col min="1" max="1" width="9.28515625" style="13" customWidth="1"/>
    <col min="2" max="2" width="24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425781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43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8" t="s">
        <v>21</v>
      </c>
      <c r="C11" s="69" t="s">
        <v>20</v>
      </c>
      <c r="D11" s="68" t="s">
        <v>19</v>
      </c>
    </row>
    <row r="12" spans="2:5">
      <c r="B12" s="23" t="s">
        <v>102</v>
      </c>
      <c r="C12" s="22">
        <v>9</v>
      </c>
      <c r="D12" s="21">
        <v>1.4292520247739999E-3</v>
      </c>
    </row>
    <row r="13" spans="2:5">
      <c r="B13" s="23" t="s">
        <v>103</v>
      </c>
      <c r="C13" s="22">
        <v>3093</v>
      </c>
      <c r="D13" s="21">
        <v>0.49118627918056201</v>
      </c>
      <c r="E13" s="24"/>
    </row>
    <row r="14" spans="2:5">
      <c r="B14" s="23" t="s">
        <v>104</v>
      </c>
      <c r="C14" s="22">
        <v>18</v>
      </c>
      <c r="D14" s="21">
        <v>2.8585040495470002E-3</v>
      </c>
      <c r="E14" s="24"/>
    </row>
    <row r="15" spans="2:5">
      <c r="B15" s="23" t="s">
        <v>105</v>
      </c>
      <c r="C15" s="22">
        <v>1515</v>
      </c>
      <c r="D15" s="21">
        <v>0.24059075750357301</v>
      </c>
    </row>
    <row r="16" spans="2:5">
      <c r="B16" s="23" t="s">
        <v>106</v>
      </c>
      <c r="C16" s="22">
        <v>116</v>
      </c>
      <c r="D16" s="21">
        <v>1.8421470541527998E-2</v>
      </c>
    </row>
    <row r="17" spans="2:4">
      <c r="B17" s="23" t="s">
        <v>107</v>
      </c>
      <c r="C17" s="22">
        <v>1</v>
      </c>
      <c r="D17" s="21">
        <v>1.5880578052999999E-4</v>
      </c>
    </row>
    <row r="18" spans="2:4">
      <c r="B18" s="23" t="s">
        <v>108</v>
      </c>
      <c r="C18" s="22">
        <v>1</v>
      </c>
      <c r="D18" s="21">
        <v>1.5880578052999999E-4</v>
      </c>
    </row>
    <row r="19" spans="2:4">
      <c r="B19" s="23" t="s">
        <v>109</v>
      </c>
      <c r="C19" s="22">
        <v>1</v>
      </c>
      <c r="D19" s="21">
        <v>1.5880578052999999E-4</v>
      </c>
    </row>
    <row r="20" spans="2:4">
      <c r="B20" s="23" t="s">
        <v>110</v>
      </c>
      <c r="C20" s="22">
        <v>42</v>
      </c>
      <c r="D20" s="21">
        <v>6.6698427822769997E-3</v>
      </c>
    </row>
    <row r="21" spans="2:4">
      <c r="B21" s="23" t="s">
        <v>111</v>
      </c>
      <c r="C21" s="22">
        <v>18</v>
      </c>
      <c r="D21" s="21">
        <v>2.8585040495470002E-3</v>
      </c>
    </row>
    <row r="22" spans="2:4">
      <c r="B22" s="23" t="s">
        <v>112</v>
      </c>
      <c r="C22" s="22">
        <v>1</v>
      </c>
      <c r="D22" s="21">
        <v>1.5880578052999999E-4</v>
      </c>
    </row>
    <row r="23" spans="2:4">
      <c r="B23" s="23" t="s">
        <v>113</v>
      </c>
      <c r="C23" s="22">
        <v>78</v>
      </c>
      <c r="D23" s="21">
        <v>1.2386850881371999E-2</v>
      </c>
    </row>
    <row r="24" spans="2:4">
      <c r="B24" s="23" t="s">
        <v>114</v>
      </c>
      <c r="C24" s="22">
        <v>117</v>
      </c>
      <c r="D24" s="21">
        <v>1.8580276322058002E-2</v>
      </c>
    </row>
    <row r="25" spans="2:4">
      <c r="B25" s="23" t="s">
        <v>115</v>
      </c>
      <c r="C25" s="22">
        <v>27</v>
      </c>
      <c r="D25" s="21">
        <v>4.2877560743210001E-3</v>
      </c>
    </row>
    <row r="26" spans="2:4">
      <c r="B26" s="23" t="s">
        <v>116</v>
      </c>
      <c r="C26" s="22">
        <v>4</v>
      </c>
      <c r="D26" s="21">
        <v>6.3522312212199999E-4</v>
      </c>
    </row>
    <row r="27" spans="2:4">
      <c r="B27" s="23" t="s">
        <v>117</v>
      </c>
      <c r="C27" s="22">
        <v>37</v>
      </c>
      <c r="D27" s="21">
        <v>5.8758138796250001E-3</v>
      </c>
    </row>
    <row r="28" spans="2:4">
      <c r="B28" s="23" t="s">
        <v>118</v>
      </c>
      <c r="C28" s="22">
        <v>14</v>
      </c>
      <c r="D28" s="21">
        <v>2.2232809274259999E-3</v>
      </c>
    </row>
    <row r="29" spans="2:4">
      <c r="B29" s="23" t="s">
        <v>119</v>
      </c>
      <c r="C29" s="22">
        <v>9</v>
      </c>
      <c r="D29" s="21">
        <v>1.4292520247739999E-3</v>
      </c>
    </row>
    <row r="30" spans="2:4">
      <c r="B30" s="23" t="s">
        <v>120</v>
      </c>
      <c r="C30" s="22">
        <v>1</v>
      </c>
      <c r="D30" s="21">
        <v>1.5880578052999999E-4</v>
      </c>
    </row>
    <row r="31" spans="2:4">
      <c r="B31" s="23" t="s">
        <v>121</v>
      </c>
      <c r="C31" s="22">
        <v>15</v>
      </c>
      <c r="D31" s="21">
        <v>2.3820867079560001E-3</v>
      </c>
    </row>
    <row r="32" spans="2:4">
      <c r="B32" s="23" t="s">
        <v>122</v>
      </c>
      <c r="C32" s="22">
        <v>14</v>
      </c>
      <c r="D32" s="21">
        <v>2.2232809274259999E-3</v>
      </c>
    </row>
    <row r="33" spans="2:4">
      <c r="B33" s="23" t="s">
        <v>123</v>
      </c>
      <c r="C33" s="22">
        <v>25</v>
      </c>
      <c r="D33" s="21">
        <v>3.9701445132599997E-3</v>
      </c>
    </row>
    <row r="34" spans="2:4">
      <c r="B34" s="23" t="s">
        <v>124</v>
      </c>
      <c r="C34" s="22">
        <v>6</v>
      </c>
      <c r="D34" s="21">
        <v>9.5283468318199996E-4</v>
      </c>
    </row>
    <row r="35" spans="2:4">
      <c r="B35" s="23" t="s">
        <v>125</v>
      </c>
      <c r="C35" s="22">
        <v>27</v>
      </c>
      <c r="D35" s="21">
        <v>4.2877560743210001E-3</v>
      </c>
    </row>
    <row r="36" spans="2:4">
      <c r="B36" s="23" t="s">
        <v>126</v>
      </c>
      <c r="C36" s="22">
        <v>1</v>
      </c>
      <c r="D36" s="21">
        <v>1.5880578052999999E-4</v>
      </c>
    </row>
    <row r="37" spans="2:4">
      <c r="B37" s="23" t="s">
        <v>127</v>
      </c>
      <c r="C37" s="22">
        <v>12</v>
      </c>
      <c r="D37" s="21">
        <v>1.905669366365E-3</v>
      </c>
    </row>
    <row r="38" spans="2:4">
      <c r="B38" s="23" t="s">
        <v>128</v>
      </c>
      <c r="C38" s="22">
        <v>340</v>
      </c>
      <c r="D38" s="21">
        <v>5.399396538034E-2</v>
      </c>
    </row>
    <row r="39" spans="2:4">
      <c r="B39" s="23" t="s">
        <v>129</v>
      </c>
      <c r="C39" s="22">
        <v>12</v>
      </c>
      <c r="D39" s="21">
        <v>1.905669366365E-3</v>
      </c>
    </row>
    <row r="40" spans="2:4">
      <c r="B40" s="23" t="s">
        <v>130</v>
      </c>
      <c r="C40" s="22">
        <v>58</v>
      </c>
      <c r="D40" s="21">
        <v>9.2107352707639992E-3</v>
      </c>
    </row>
    <row r="41" spans="2:4">
      <c r="B41" s="23" t="s">
        <v>131</v>
      </c>
      <c r="C41" s="22">
        <v>11</v>
      </c>
      <c r="D41" s="21">
        <v>1.7468635858350001E-3</v>
      </c>
    </row>
    <row r="42" spans="2:4">
      <c r="B42" s="23" t="s">
        <v>132</v>
      </c>
      <c r="C42" s="22">
        <v>43</v>
      </c>
      <c r="D42" s="21">
        <v>6.8286485628080004E-3</v>
      </c>
    </row>
    <row r="43" spans="2:4">
      <c r="B43" s="23" t="s">
        <v>133</v>
      </c>
      <c r="C43" s="22">
        <v>6</v>
      </c>
      <c r="D43" s="21">
        <v>9.5283468318199996E-4</v>
      </c>
    </row>
    <row r="44" spans="2:4">
      <c r="B44" s="23" t="s">
        <v>134</v>
      </c>
      <c r="C44" s="22">
        <v>21</v>
      </c>
      <c r="D44" s="21">
        <v>3.3349213911389999E-3</v>
      </c>
    </row>
    <row r="45" spans="2:4">
      <c r="B45" s="23" t="s">
        <v>135</v>
      </c>
      <c r="C45" s="22">
        <v>67</v>
      </c>
      <c r="D45" s="21">
        <v>1.0639987295538E-2</v>
      </c>
    </row>
    <row r="46" spans="2:4">
      <c r="B46" s="23" t="s">
        <v>136</v>
      </c>
      <c r="C46" s="22">
        <v>23</v>
      </c>
      <c r="D46" s="21">
        <v>3.6525329521990002E-3</v>
      </c>
    </row>
    <row r="47" spans="2:4">
      <c r="B47" s="23" t="s">
        <v>137</v>
      </c>
      <c r="C47" s="22">
        <v>5</v>
      </c>
      <c r="D47" s="21">
        <v>7.9402890265200003E-4</v>
      </c>
    </row>
    <row r="48" spans="2:4">
      <c r="B48" s="23" t="s">
        <v>138</v>
      </c>
      <c r="C48" s="22">
        <v>2</v>
      </c>
      <c r="D48" s="21">
        <v>3.1761156106099999E-4</v>
      </c>
    </row>
    <row r="49" spans="2:4">
      <c r="B49" s="23" t="s">
        <v>139</v>
      </c>
      <c r="C49" s="22">
        <v>18</v>
      </c>
      <c r="D49" s="21">
        <v>2.8585040495470002E-3</v>
      </c>
    </row>
    <row r="50" spans="2:4">
      <c r="B50" s="23" t="s">
        <v>140</v>
      </c>
      <c r="C50" s="22">
        <v>4</v>
      </c>
      <c r="D50" s="21">
        <v>6.3522312212199999E-4</v>
      </c>
    </row>
    <row r="51" spans="2:4">
      <c r="B51" s="23" t="s">
        <v>141</v>
      </c>
      <c r="C51" s="22">
        <v>22</v>
      </c>
      <c r="D51" s="21">
        <v>3.4937271716690001E-3</v>
      </c>
    </row>
    <row r="52" spans="2:4">
      <c r="B52" s="23" t="s">
        <v>142</v>
      </c>
      <c r="C52" s="22">
        <v>298</v>
      </c>
      <c r="D52" s="21">
        <v>4.7324122598062998E-2</v>
      </c>
    </row>
    <row r="53" spans="2:4">
      <c r="B53" s="23" t="s">
        <v>143</v>
      </c>
      <c r="C53" s="22">
        <v>76</v>
      </c>
      <c r="D53" s="21">
        <v>1.2069239320311001E-2</v>
      </c>
    </row>
    <row r="54" spans="2:4">
      <c r="B54" s="23" t="s">
        <v>144</v>
      </c>
      <c r="C54" s="22">
        <v>7</v>
      </c>
      <c r="D54" s="21">
        <v>1.111640463713E-3</v>
      </c>
    </row>
    <row r="55" spans="2:4">
      <c r="B55" s="23" t="s">
        <v>96</v>
      </c>
      <c r="C55" s="22">
        <v>34</v>
      </c>
      <c r="D55" s="21">
        <v>5.399396538034E-3</v>
      </c>
    </row>
    <row r="56" spans="2:4">
      <c r="B56" s="23" t="s">
        <v>145</v>
      </c>
      <c r="C56" s="22">
        <v>38</v>
      </c>
      <c r="D56" s="21">
        <v>6.0346196601559999E-3</v>
      </c>
    </row>
    <row r="57" spans="2:4">
      <c r="B57" s="23" t="s">
        <v>146</v>
      </c>
      <c r="C57" s="22">
        <v>10</v>
      </c>
      <c r="D57" s="21">
        <v>1.5880578053040001E-3</v>
      </c>
    </row>
    <row r="58" spans="2:4">
      <c r="B58" s="20" t="s">
        <v>29</v>
      </c>
      <c r="C58" s="19">
        <v>6297</v>
      </c>
      <c r="D58" s="18">
        <v>1</v>
      </c>
    </row>
    <row r="59" spans="2:4" ht="18">
      <c r="B59" s="15"/>
      <c r="C59" s="66"/>
      <c r="D59" s="67"/>
    </row>
    <row r="60" spans="2:4" ht="18">
      <c r="B60" s="15" t="s">
        <v>47</v>
      </c>
      <c r="C60" s="66"/>
      <c r="D60" s="67"/>
    </row>
    <row r="61" spans="2:4" ht="18">
      <c r="B61" s="17" t="s">
        <v>18</v>
      </c>
      <c r="C61" s="66"/>
      <c r="D61" s="67"/>
    </row>
    <row r="62" spans="2:4" ht="18">
      <c r="B62" s="16" t="s">
        <v>48</v>
      </c>
      <c r="C62" s="66"/>
      <c r="D62" s="67"/>
    </row>
    <row r="63" spans="2:4" ht="18">
      <c r="B63" s="15" t="s">
        <v>17</v>
      </c>
      <c r="C63" s="66"/>
      <c r="D63" s="67"/>
    </row>
    <row r="64" spans="2:4" ht="18">
      <c r="B64" s="15" t="s">
        <v>49</v>
      </c>
      <c r="C64" s="66"/>
      <c r="D64" s="6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70"/>
  <sheetViews>
    <sheetView showGridLines="0" view="pageBreakPreview" topLeftCell="A57" zoomScale="115" zoomScaleNormal="100" zoomScaleSheetLayoutView="115" workbookViewId="0">
      <selection activeCell="E11" sqref="E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37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22</v>
      </c>
      <c r="C11" s="27" t="s">
        <v>20</v>
      </c>
      <c r="D11" s="26" t="s">
        <v>19</v>
      </c>
    </row>
    <row r="12" spans="2:5" ht="14.45" customHeight="1">
      <c r="B12" s="63" t="s">
        <v>50</v>
      </c>
      <c r="C12" s="64">
        <v>1715</v>
      </c>
      <c r="D12" s="65">
        <v>0.27235191360965499</v>
      </c>
    </row>
    <row r="13" spans="2:5" ht="14.45" customHeight="1">
      <c r="B13" s="63" t="s">
        <v>51</v>
      </c>
      <c r="C13" s="64">
        <v>1106</v>
      </c>
      <c r="D13" s="65">
        <v>0.17563919326663499</v>
      </c>
    </row>
    <row r="14" spans="2:5" ht="14.45" customHeight="1">
      <c r="B14" s="63" t="s">
        <v>52</v>
      </c>
      <c r="C14" s="64">
        <v>541</v>
      </c>
      <c r="D14" s="65">
        <v>8.5913927266953002E-2</v>
      </c>
      <c r="E14" s="24"/>
    </row>
    <row r="15" spans="2:5" ht="14.45" customHeight="1">
      <c r="B15" s="63" t="s">
        <v>53</v>
      </c>
      <c r="C15" s="64">
        <v>329</v>
      </c>
      <c r="D15" s="65">
        <v>5.2247101794505001E-2</v>
      </c>
    </row>
    <row r="16" spans="2:5" ht="14.45" customHeight="1">
      <c r="B16" s="63" t="s">
        <v>54</v>
      </c>
      <c r="C16" s="64">
        <v>240</v>
      </c>
      <c r="D16" s="65">
        <v>3.8113387327298999E-2</v>
      </c>
    </row>
    <row r="17" spans="2:4" ht="14.45" customHeight="1">
      <c r="B17" s="63" t="s">
        <v>55</v>
      </c>
      <c r="C17" s="64">
        <v>221</v>
      </c>
      <c r="D17" s="65">
        <v>3.5096077497220997E-2</v>
      </c>
    </row>
    <row r="18" spans="2:4" ht="14.45" customHeight="1">
      <c r="B18" s="63" t="s">
        <v>56</v>
      </c>
      <c r="C18" s="64">
        <v>171</v>
      </c>
      <c r="D18" s="65">
        <v>2.71557884707E-2</v>
      </c>
    </row>
    <row r="19" spans="2:4" ht="14.45" customHeight="1">
      <c r="B19" s="63" t="s">
        <v>57</v>
      </c>
      <c r="C19" s="64">
        <v>142</v>
      </c>
      <c r="D19" s="65">
        <v>2.2550420835318E-2</v>
      </c>
    </row>
    <row r="20" spans="2:4" ht="14.45" customHeight="1">
      <c r="B20" s="63" t="s">
        <v>58</v>
      </c>
      <c r="C20" s="64">
        <v>127</v>
      </c>
      <c r="D20" s="65">
        <v>2.0168334127361999E-2</v>
      </c>
    </row>
    <row r="21" spans="2:4" ht="14.45" customHeight="1">
      <c r="B21" s="63" t="s">
        <v>59</v>
      </c>
      <c r="C21" s="64">
        <v>113</v>
      </c>
      <c r="D21" s="65">
        <v>1.7945053199936001E-2</v>
      </c>
    </row>
    <row r="22" spans="2:4" ht="14.45" customHeight="1">
      <c r="B22" s="63" t="s">
        <v>60</v>
      </c>
      <c r="C22" s="64">
        <v>108</v>
      </c>
      <c r="D22" s="65">
        <v>1.7151024297284E-2</v>
      </c>
    </row>
    <row r="23" spans="2:4" ht="14.45" customHeight="1">
      <c r="B23" s="63" t="s">
        <v>61</v>
      </c>
      <c r="C23" s="64">
        <v>103</v>
      </c>
      <c r="D23" s="65">
        <v>1.6356995394632E-2</v>
      </c>
    </row>
    <row r="24" spans="2:4" ht="14.45" customHeight="1">
      <c r="B24" s="63" t="s">
        <v>62</v>
      </c>
      <c r="C24" s="64">
        <v>102</v>
      </c>
      <c r="D24" s="65">
        <v>1.6198189614102E-2</v>
      </c>
    </row>
    <row r="25" spans="2:4" ht="14.45" customHeight="1">
      <c r="B25" s="63" t="s">
        <v>63</v>
      </c>
      <c r="C25" s="64">
        <v>100</v>
      </c>
      <c r="D25" s="65">
        <v>1.5880578053041002E-2</v>
      </c>
    </row>
    <row r="26" spans="2:4" ht="14.45" customHeight="1">
      <c r="B26" s="63" t="s">
        <v>64</v>
      </c>
      <c r="C26" s="64">
        <v>96</v>
      </c>
      <c r="D26" s="65">
        <v>1.5245354930919001E-2</v>
      </c>
    </row>
    <row r="27" spans="2:4" ht="14.45" customHeight="1">
      <c r="B27" s="63" t="s">
        <v>65</v>
      </c>
      <c r="C27" s="64">
        <v>88</v>
      </c>
      <c r="D27" s="65">
        <v>1.3974908686676E-2</v>
      </c>
    </row>
    <row r="28" spans="2:4" ht="14.45" customHeight="1">
      <c r="B28" s="63" t="s">
        <v>66</v>
      </c>
      <c r="C28" s="64">
        <v>82</v>
      </c>
      <c r="D28" s="65">
        <v>1.3022074003494E-2</v>
      </c>
    </row>
    <row r="29" spans="2:4" ht="14.45" customHeight="1">
      <c r="B29" s="63" t="s">
        <v>67</v>
      </c>
      <c r="C29" s="64">
        <v>80</v>
      </c>
      <c r="D29" s="65">
        <v>1.2704462442433E-2</v>
      </c>
    </row>
    <row r="30" spans="2:4" ht="14.45" customHeight="1">
      <c r="B30" s="63" t="s">
        <v>68</v>
      </c>
      <c r="C30" s="64">
        <v>63</v>
      </c>
      <c r="D30" s="65">
        <v>1.0004764173416E-2</v>
      </c>
    </row>
    <row r="31" spans="2:4" ht="14.45" customHeight="1">
      <c r="B31" s="63" t="s">
        <v>69</v>
      </c>
      <c r="C31" s="64">
        <v>60</v>
      </c>
      <c r="D31" s="65">
        <v>9.5283468318249995E-3</v>
      </c>
    </row>
    <row r="32" spans="2:4" ht="14.45" customHeight="1">
      <c r="B32" s="63" t="s">
        <v>70</v>
      </c>
      <c r="C32" s="64">
        <v>58</v>
      </c>
      <c r="D32" s="65">
        <v>9.2107352707639992E-3</v>
      </c>
    </row>
    <row r="33" spans="2:4" ht="14.45" customHeight="1">
      <c r="B33" s="63" t="s">
        <v>71</v>
      </c>
      <c r="C33" s="64">
        <v>56</v>
      </c>
      <c r="D33" s="65">
        <v>8.8931237097030005E-3</v>
      </c>
    </row>
    <row r="34" spans="2:4" ht="14.45" customHeight="1">
      <c r="B34" s="63" t="s">
        <v>72</v>
      </c>
      <c r="C34" s="64">
        <v>51</v>
      </c>
      <c r="D34" s="65">
        <v>8.0990948070510001E-3</v>
      </c>
    </row>
    <row r="35" spans="2:4" ht="14.45" customHeight="1">
      <c r="B35" s="63" t="s">
        <v>73</v>
      </c>
      <c r="C35" s="64">
        <v>44</v>
      </c>
      <c r="D35" s="65">
        <v>6.9874543433380001E-3</v>
      </c>
    </row>
    <row r="36" spans="2:4" ht="14.45" customHeight="1">
      <c r="B36" s="63" t="s">
        <v>74</v>
      </c>
      <c r="C36" s="64">
        <v>35</v>
      </c>
      <c r="D36" s="65">
        <v>5.5582023185639998E-3</v>
      </c>
    </row>
    <row r="37" spans="2:4" ht="14.45" customHeight="1">
      <c r="B37" s="63" t="s">
        <v>75</v>
      </c>
      <c r="C37" s="64">
        <v>34</v>
      </c>
      <c r="D37" s="65">
        <v>5.399396538034E-3</v>
      </c>
    </row>
    <row r="38" spans="2:4" ht="14.45" customHeight="1">
      <c r="B38" s="63" t="s">
        <v>76</v>
      </c>
      <c r="C38" s="64">
        <v>33</v>
      </c>
      <c r="D38" s="65">
        <v>5.2405907575040003E-3</v>
      </c>
    </row>
    <row r="39" spans="2:4" ht="14.45" customHeight="1">
      <c r="B39" s="63" t="s">
        <v>77</v>
      </c>
      <c r="C39" s="64">
        <v>33</v>
      </c>
      <c r="D39" s="65">
        <v>5.2405907575040003E-3</v>
      </c>
    </row>
    <row r="40" spans="2:4" ht="14.45" customHeight="1">
      <c r="B40" s="63" t="s">
        <v>78</v>
      </c>
      <c r="C40" s="64">
        <v>29</v>
      </c>
      <c r="D40" s="65">
        <v>4.6053676353819996E-3</v>
      </c>
    </row>
    <row r="41" spans="2:4" ht="14.45" customHeight="1">
      <c r="B41" s="63" t="s">
        <v>79</v>
      </c>
      <c r="C41" s="64">
        <v>29</v>
      </c>
      <c r="D41" s="65">
        <v>4.6053676353819996E-3</v>
      </c>
    </row>
    <row r="42" spans="2:4" ht="14.45" customHeight="1">
      <c r="B42" s="63" t="s">
        <v>80</v>
      </c>
      <c r="C42" s="64">
        <v>28</v>
      </c>
      <c r="D42" s="65">
        <v>4.4465618548519999E-3</v>
      </c>
    </row>
    <row r="43" spans="2:4" ht="14.45" customHeight="1">
      <c r="B43" s="63" t="s">
        <v>81</v>
      </c>
      <c r="C43" s="64">
        <v>25</v>
      </c>
      <c r="D43" s="65">
        <v>3.9701445132599997E-3</v>
      </c>
    </row>
    <row r="44" spans="2:4" ht="14.45" customHeight="1">
      <c r="B44" s="63" t="s">
        <v>82</v>
      </c>
      <c r="C44" s="64">
        <v>25</v>
      </c>
      <c r="D44" s="65">
        <v>3.9701445132599997E-3</v>
      </c>
    </row>
    <row r="45" spans="2:4" ht="14.45" customHeight="1">
      <c r="B45" s="63" t="s">
        <v>83</v>
      </c>
      <c r="C45" s="64">
        <v>24</v>
      </c>
      <c r="D45" s="65">
        <v>3.81133873273E-3</v>
      </c>
    </row>
    <row r="46" spans="2:4" ht="14.45" customHeight="1">
      <c r="B46" s="63" t="s">
        <v>84</v>
      </c>
      <c r="C46" s="64">
        <v>21</v>
      </c>
      <c r="D46" s="65">
        <v>3.3349213911389999E-3</v>
      </c>
    </row>
    <row r="47" spans="2:4" ht="14.45" customHeight="1">
      <c r="B47" s="63" t="s">
        <v>85</v>
      </c>
      <c r="C47" s="64">
        <v>19</v>
      </c>
      <c r="D47" s="65">
        <v>3.017309830078E-3</v>
      </c>
    </row>
    <row r="48" spans="2:4" ht="14.45" customHeight="1">
      <c r="B48" s="63" t="s">
        <v>86</v>
      </c>
      <c r="C48" s="64">
        <v>19</v>
      </c>
      <c r="D48" s="65">
        <v>3.017309830078E-3</v>
      </c>
    </row>
    <row r="49" spans="2:4" ht="14.45" customHeight="1">
      <c r="B49" s="63" t="s">
        <v>87</v>
      </c>
      <c r="C49" s="64">
        <v>18</v>
      </c>
      <c r="D49" s="65">
        <v>2.8585040495470002E-3</v>
      </c>
    </row>
    <row r="50" spans="2:4" ht="14.45" customHeight="1">
      <c r="B50" s="63" t="s">
        <v>88</v>
      </c>
      <c r="C50" s="64">
        <v>18</v>
      </c>
      <c r="D50" s="65">
        <v>2.8585040495470002E-3</v>
      </c>
    </row>
    <row r="51" spans="2:4" ht="14.45" customHeight="1">
      <c r="B51" s="63" t="s">
        <v>89</v>
      </c>
      <c r="C51" s="64">
        <v>17</v>
      </c>
      <c r="D51" s="65">
        <v>2.699698269017E-3</v>
      </c>
    </row>
    <row r="52" spans="2:4" ht="14.45" customHeight="1">
      <c r="B52" s="63" t="s">
        <v>90</v>
      </c>
      <c r="C52" s="64">
        <v>16</v>
      </c>
      <c r="D52" s="65">
        <v>2.5408924884869999E-3</v>
      </c>
    </row>
    <row r="53" spans="2:4" ht="14.45" customHeight="1">
      <c r="B53" s="63" t="s">
        <v>91</v>
      </c>
      <c r="C53" s="64">
        <v>15</v>
      </c>
      <c r="D53" s="65">
        <v>2.3820867079560001E-3</v>
      </c>
    </row>
    <row r="54" spans="2:4" ht="14.45" customHeight="1">
      <c r="B54" s="63" t="s">
        <v>92</v>
      </c>
      <c r="C54" s="64">
        <v>13</v>
      </c>
      <c r="D54" s="65">
        <v>2.0644751468950001E-3</v>
      </c>
    </row>
    <row r="55" spans="2:4" ht="14.45" customHeight="1">
      <c r="B55" s="63" t="s">
        <v>93</v>
      </c>
      <c r="C55" s="64">
        <v>11</v>
      </c>
      <c r="D55" s="65">
        <v>1.7468635858350001E-3</v>
      </c>
    </row>
    <row r="56" spans="2:4" ht="14.45" customHeight="1">
      <c r="B56" s="63" t="s">
        <v>94</v>
      </c>
      <c r="C56" s="64">
        <v>10</v>
      </c>
      <c r="D56" s="65">
        <v>1.5880578053040001E-3</v>
      </c>
    </row>
    <row r="57" spans="2:4" ht="14.45" customHeight="1">
      <c r="B57" s="63" t="s">
        <v>95</v>
      </c>
      <c r="C57" s="64">
        <v>8</v>
      </c>
      <c r="D57" s="65">
        <v>1.2704462442429999E-3</v>
      </c>
    </row>
    <row r="58" spans="2:4" ht="14.45" customHeight="1">
      <c r="B58" s="63" t="s">
        <v>96</v>
      </c>
      <c r="C58" s="64">
        <v>8</v>
      </c>
      <c r="D58" s="65">
        <v>1.2704462442429999E-3</v>
      </c>
    </row>
    <row r="59" spans="2:4" ht="14.45" customHeight="1">
      <c r="B59" s="63" t="s">
        <v>97</v>
      </c>
      <c r="C59" s="64">
        <v>5</v>
      </c>
      <c r="D59" s="65">
        <v>7.9402890265200003E-4</v>
      </c>
    </row>
    <row r="60" spans="2:4" ht="14.45" customHeight="1">
      <c r="B60" s="63" t="s">
        <v>98</v>
      </c>
      <c r="C60" s="64">
        <v>3</v>
      </c>
      <c r="D60" s="65">
        <v>4.7641734159099998E-4</v>
      </c>
    </row>
    <row r="61" spans="2:4" ht="14.45" customHeight="1">
      <c r="B61" s="63" t="s">
        <v>99</v>
      </c>
      <c r="C61" s="64">
        <v>2</v>
      </c>
      <c r="D61" s="65">
        <v>3.1761156106099999E-4</v>
      </c>
    </row>
    <row r="62" spans="2:4" ht="14.45" customHeight="1">
      <c r="B62" s="63" t="s">
        <v>100</v>
      </c>
      <c r="C62" s="64">
        <v>2</v>
      </c>
      <c r="D62" s="65">
        <v>3.1761156106099999E-4</v>
      </c>
    </row>
    <row r="63" spans="2:4" ht="14.45" customHeight="1">
      <c r="B63" s="63" t="s">
        <v>101</v>
      </c>
      <c r="C63" s="64">
        <v>1</v>
      </c>
      <c r="D63" s="65">
        <v>1.5880578052999999E-4</v>
      </c>
    </row>
    <row r="64" spans="2:4" ht="14.45" customHeight="1">
      <c r="B64" s="20" t="s">
        <v>29</v>
      </c>
      <c r="C64" s="19">
        <v>6297</v>
      </c>
      <c r="D64" s="18">
        <v>1</v>
      </c>
    </row>
    <row r="65" spans="2:2" ht="14.45" customHeight="1">
      <c r="B65" s="15"/>
    </row>
    <row r="66" spans="2:2" ht="14.45" customHeight="1">
      <c r="B66" s="15" t="s">
        <v>47</v>
      </c>
    </row>
    <row r="67" spans="2:2" ht="14.45" customHeight="1">
      <c r="B67" s="17" t="s">
        <v>18</v>
      </c>
    </row>
    <row r="68" spans="2:2" ht="14.45" customHeight="1">
      <c r="B68" s="16" t="s">
        <v>48</v>
      </c>
    </row>
    <row r="69" spans="2:2" ht="14.45" customHeight="1">
      <c r="B69" s="15" t="s">
        <v>17</v>
      </c>
    </row>
    <row r="70" spans="2:2" ht="14.45" customHeight="1">
      <c r="B7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12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44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22</v>
      </c>
      <c r="C11" s="27" t="s">
        <v>20</v>
      </c>
      <c r="D11" s="26" t="s">
        <v>19</v>
      </c>
    </row>
    <row r="12" spans="2:5">
      <c r="B12" s="63" t="s">
        <v>50</v>
      </c>
      <c r="C12" s="64">
        <v>1715</v>
      </c>
      <c r="D12" s="21">
        <f>C12/$C$22</f>
        <v>0.36450584484590859</v>
      </c>
    </row>
    <row r="13" spans="2:5">
      <c r="B13" s="63" t="s">
        <v>51</v>
      </c>
      <c r="C13" s="64">
        <v>1106</v>
      </c>
      <c r="D13" s="21">
        <f t="shared" ref="D13:D21" si="0">C13/$C$22</f>
        <v>0.23506907545164718</v>
      </c>
    </row>
    <row r="14" spans="2:5">
      <c r="B14" s="63" t="s">
        <v>52</v>
      </c>
      <c r="C14" s="64">
        <v>541</v>
      </c>
      <c r="D14" s="21">
        <f t="shared" si="0"/>
        <v>0.11498405951115834</v>
      </c>
      <c r="E14" s="24"/>
    </row>
    <row r="15" spans="2:5">
      <c r="B15" s="63" t="s">
        <v>53</v>
      </c>
      <c r="C15" s="64">
        <v>329</v>
      </c>
      <c r="D15" s="21">
        <f t="shared" si="0"/>
        <v>6.9925611052072262E-2</v>
      </c>
      <c r="E15" s="24"/>
    </row>
    <row r="16" spans="2:5">
      <c r="B16" s="63" t="s">
        <v>54</v>
      </c>
      <c r="C16" s="64">
        <v>240</v>
      </c>
      <c r="D16" s="21">
        <f t="shared" si="0"/>
        <v>5.1009564293304992E-2</v>
      </c>
    </row>
    <row r="17" spans="2:4">
      <c r="B17" s="63" t="s">
        <v>55</v>
      </c>
      <c r="C17" s="64">
        <v>221</v>
      </c>
      <c r="D17" s="21">
        <f t="shared" si="0"/>
        <v>4.6971307120085015E-2</v>
      </c>
    </row>
    <row r="18" spans="2:4">
      <c r="B18" s="63" t="s">
        <v>56</v>
      </c>
      <c r="C18" s="64">
        <v>171</v>
      </c>
      <c r="D18" s="21">
        <f t="shared" si="0"/>
        <v>3.6344314558979809E-2</v>
      </c>
    </row>
    <row r="19" spans="2:4">
      <c r="B19" s="63" t="s">
        <v>57</v>
      </c>
      <c r="C19" s="64">
        <v>142</v>
      </c>
      <c r="D19" s="21">
        <f t="shared" si="0"/>
        <v>3.0180658873538789E-2</v>
      </c>
    </row>
    <row r="20" spans="2:4">
      <c r="B20" s="63" t="s">
        <v>58</v>
      </c>
      <c r="C20" s="64">
        <v>127</v>
      </c>
      <c r="D20" s="21">
        <f t="shared" si="0"/>
        <v>2.6992561105207227E-2</v>
      </c>
    </row>
    <row r="21" spans="2:4">
      <c r="B21" s="63" t="s">
        <v>59</v>
      </c>
      <c r="C21" s="64">
        <v>113</v>
      </c>
      <c r="D21" s="21">
        <f t="shared" si="0"/>
        <v>2.4017003188097769E-2</v>
      </c>
    </row>
    <row r="22" spans="2:4">
      <c r="B22" s="20" t="s">
        <v>45</v>
      </c>
      <c r="C22" s="19">
        <f>SUM(C12:C21)</f>
        <v>4705</v>
      </c>
      <c r="D22" s="18">
        <f t="shared" ref="D22" si="1">C22/$C$22</f>
        <v>1</v>
      </c>
    </row>
    <row r="23" spans="2:4">
      <c r="B23" s="20" t="s">
        <v>46</v>
      </c>
      <c r="C23" s="19">
        <v>6297</v>
      </c>
    </row>
    <row r="24" spans="2:4">
      <c r="B24" s="15"/>
    </row>
    <row r="25" spans="2:4">
      <c r="B25" s="15" t="s">
        <v>47</v>
      </c>
    </row>
    <row r="26" spans="2:4">
      <c r="B26" s="17" t="s">
        <v>18</v>
      </c>
    </row>
    <row r="27" spans="2:4">
      <c r="B27" s="16" t="s">
        <v>48</v>
      </c>
    </row>
    <row r="28" spans="2:4">
      <c r="B28" s="15" t="s">
        <v>17</v>
      </c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91"/>
  <sheetViews>
    <sheetView showGridLines="0" view="pageBreakPreview" topLeftCell="A74" zoomScale="115" zoomScaleNormal="100" zoomScaleSheetLayoutView="115" workbookViewId="0">
      <selection activeCell="E12" sqref="E12"/>
    </sheetView>
  </sheetViews>
  <sheetFormatPr baseColWidth="10" defaultColWidth="11.42578125" defaultRowHeight="15"/>
  <cols>
    <col min="1" max="1" width="9.28515625" style="13" customWidth="1"/>
    <col min="2" max="2" width="37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57031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42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>
      <c r="B12" s="23" t="s">
        <v>194</v>
      </c>
      <c r="C12" s="70">
        <v>1177</v>
      </c>
      <c r="D12" s="21">
        <v>0.18691440368429399</v>
      </c>
    </row>
    <row r="13" spans="2:5">
      <c r="B13" s="23" t="s">
        <v>195</v>
      </c>
      <c r="C13" s="70">
        <v>1165</v>
      </c>
      <c r="D13" s="21">
        <v>0.185008734317929</v>
      </c>
    </row>
    <row r="14" spans="2:5">
      <c r="B14" s="23" t="s">
        <v>58</v>
      </c>
      <c r="C14" s="70">
        <v>662</v>
      </c>
      <c r="D14" s="21">
        <v>0.105129426711132</v>
      </c>
      <c r="E14" s="24"/>
    </row>
    <row r="15" spans="2:5">
      <c r="B15" s="23" t="s">
        <v>246</v>
      </c>
      <c r="C15" s="70">
        <v>544</v>
      </c>
      <c r="D15" s="21">
        <v>8.6390344608544001E-2</v>
      </c>
      <c r="E15" s="24"/>
    </row>
    <row r="16" spans="2:5">
      <c r="B16" s="23" t="s">
        <v>224</v>
      </c>
      <c r="C16" s="70">
        <v>405</v>
      </c>
      <c r="D16" s="21">
        <v>6.4316341114817002E-2</v>
      </c>
    </row>
    <row r="17" spans="2:4">
      <c r="B17" s="23" t="s">
        <v>196</v>
      </c>
      <c r="C17" s="70">
        <v>368</v>
      </c>
      <c r="D17" s="21">
        <v>5.8440527235190998E-2</v>
      </c>
    </row>
    <row r="18" spans="2:4">
      <c r="B18" s="23" t="s">
        <v>213</v>
      </c>
      <c r="C18" s="70">
        <v>270</v>
      </c>
      <c r="D18" s="21">
        <v>4.2877560743211002E-2</v>
      </c>
    </row>
    <row r="19" spans="2:4">
      <c r="B19" s="23" t="s">
        <v>198</v>
      </c>
      <c r="C19" s="70">
        <v>257</v>
      </c>
      <c r="D19" s="21">
        <v>4.0813085596316002E-2</v>
      </c>
    </row>
    <row r="20" spans="2:4">
      <c r="B20" s="23" t="s">
        <v>214</v>
      </c>
      <c r="C20" s="70">
        <v>148</v>
      </c>
      <c r="D20" s="21">
        <v>2.3503255518501E-2</v>
      </c>
    </row>
    <row r="21" spans="2:4">
      <c r="B21" s="23" t="s">
        <v>226</v>
      </c>
      <c r="C21" s="70">
        <v>121</v>
      </c>
      <c r="D21" s="21">
        <v>1.9215499444179999E-2</v>
      </c>
    </row>
    <row r="22" spans="2:4">
      <c r="B22" s="23" t="s">
        <v>230</v>
      </c>
      <c r="C22" s="70">
        <v>111</v>
      </c>
      <c r="D22" s="21">
        <v>1.7627441638876001E-2</v>
      </c>
    </row>
    <row r="23" spans="2:4">
      <c r="B23" s="23" t="s">
        <v>240</v>
      </c>
      <c r="C23" s="70">
        <v>111</v>
      </c>
      <c r="D23" s="21">
        <v>1.7627441638876001E-2</v>
      </c>
    </row>
    <row r="24" spans="2:4">
      <c r="B24" s="23" t="s">
        <v>219</v>
      </c>
      <c r="C24" s="70">
        <v>108</v>
      </c>
      <c r="D24" s="21">
        <v>1.7151024297284E-2</v>
      </c>
    </row>
    <row r="25" spans="2:4">
      <c r="B25" s="23" t="s">
        <v>199</v>
      </c>
      <c r="C25" s="70">
        <v>86</v>
      </c>
      <c r="D25" s="21">
        <v>1.3657297125615E-2</v>
      </c>
    </row>
    <row r="26" spans="2:4">
      <c r="B26" s="23" t="s">
        <v>234</v>
      </c>
      <c r="C26" s="70">
        <v>77</v>
      </c>
      <c r="D26" s="21">
        <v>1.2228045100842E-2</v>
      </c>
    </row>
    <row r="27" spans="2:4">
      <c r="B27" s="23" t="s">
        <v>220</v>
      </c>
      <c r="C27" s="70">
        <v>70</v>
      </c>
      <c r="D27" s="21">
        <v>1.1116404637129E-2</v>
      </c>
    </row>
    <row r="28" spans="2:4">
      <c r="B28" s="23" t="s">
        <v>64</v>
      </c>
      <c r="C28" s="70">
        <v>56</v>
      </c>
      <c r="D28" s="21">
        <v>8.8931237097030005E-3</v>
      </c>
    </row>
    <row r="29" spans="2:4">
      <c r="B29" s="23" t="s">
        <v>244</v>
      </c>
      <c r="C29" s="70">
        <v>46</v>
      </c>
      <c r="D29" s="21">
        <v>7.3050659043989996E-3</v>
      </c>
    </row>
    <row r="30" spans="2:4">
      <c r="B30" s="23" t="s">
        <v>217</v>
      </c>
      <c r="C30" s="70">
        <v>36</v>
      </c>
      <c r="D30" s="21">
        <v>5.7170080990950004E-3</v>
      </c>
    </row>
    <row r="31" spans="2:4">
      <c r="B31" s="23" t="s">
        <v>228</v>
      </c>
      <c r="C31" s="70">
        <v>33</v>
      </c>
      <c r="D31" s="21">
        <v>5.2405907575040003E-3</v>
      </c>
    </row>
    <row r="32" spans="2:4">
      <c r="B32" s="23" t="s">
        <v>222</v>
      </c>
      <c r="C32" s="70">
        <v>31</v>
      </c>
      <c r="D32" s="21">
        <v>4.922979196443E-3</v>
      </c>
    </row>
    <row r="33" spans="2:4">
      <c r="B33" s="23" t="s">
        <v>212</v>
      </c>
      <c r="C33" s="70">
        <v>30</v>
      </c>
      <c r="D33" s="21">
        <v>4.7641734159120002E-3</v>
      </c>
    </row>
    <row r="34" spans="2:4">
      <c r="B34" s="23" t="s">
        <v>236</v>
      </c>
      <c r="C34" s="70">
        <v>19</v>
      </c>
      <c r="D34" s="21">
        <v>3.017309830078E-3</v>
      </c>
    </row>
    <row r="35" spans="2:4">
      <c r="B35" s="23" t="s">
        <v>256</v>
      </c>
      <c r="C35" s="70">
        <v>19</v>
      </c>
      <c r="D35" s="21">
        <v>3.017309830078E-3</v>
      </c>
    </row>
    <row r="36" spans="2:4">
      <c r="B36" s="23" t="s">
        <v>233</v>
      </c>
      <c r="C36" s="70">
        <v>18</v>
      </c>
      <c r="D36" s="21">
        <v>2.8585040495470002E-3</v>
      </c>
    </row>
    <row r="37" spans="2:4">
      <c r="B37" s="23" t="s">
        <v>201</v>
      </c>
      <c r="C37" s="70">
        <v>16</v>
      </c>
      <c r="D37" s="21">
        <v>2.5408924884869999E-3</v>
      </c>
    </row>
    <row r="38" spans="2:4">
      <c r="B38" s="23" t="s">
        <v>211</v>
      </c>
      <c r="C38" s="70">
        <v>16</v>
      </c>
      <c r="D38" s="21">
        <v>2.5408924884869999E-3</v>
      </c>
    </row>
    <row r="39" spans="2:4">
      <c r="B39" s="23" t="s">
        <v>239</v>
      </c>
      <c r="C39" s="70">
        <v>16</v>
      </c>
      <c r="D39" s="21">
        <v>2.5408924884869999E-3</v>
      </c>
    </row>
    <row r="40" spans="2:4">
      <c r="B40" s="23" t="s">
        <v>259</v>
      </c>
      <c r="C40" s="70">
        <v>16</v>
      </c>
      <c r="D40" s="21">
        <v>2.5408924884869999E-3</v>
      </c>
    </row>
    <row r="41" spans="2:4" ht="40.5">
      <c r="B41" s="23" t="s">
        <v>235</v>
      </c>
      <c r="C41" s="70">
        <v>15</v>
      </c>
      <c r="D41" s="21">
        <v>2.3820867079560001E-3</v>
      </c>
    </row>
    <row r="42" spans="2:4">
      <c r="B42" s="23" t="s">
        <v>252</v>
      </c>
      <c r="C42" s="70">
        <v>15</v>
      </c>
      <c r="D42" s="21">
        <v>2.3820867079560001E-3</v>
      </c>
    </row>
    <row r="43" spans="2:4">
      <c r="B43" s="23" t="s">
        <v>200</v>
      </c>
      <c r="C43" s="70">
        <v>14</v>
      </c>
      <c r="D43" s="21">
        <v>2.2232809274259999E-3</v>
      </c>
    </row>
    <row r="44" spans="2:4">
      <c r="B44" s="23" t="s">
        <v>205</v>
      </c>
      <c r="C44" s="70">
        <v>13</v>
      </c>
      <c r="D44" s="21">
        <v>2.0644751468950001E-3</v>
      </c>
    </row>
    <row r="45" spans="2:4">
      <c r="B45" s="23" t="s">
        <v>210</v>
      </c>
      <c r="C45" s="70">
        <v>13</v>
      </c>
      <c r="D45" s="21">
        <v>2.0644751468950001E-3</v>
      </c>
    </row>
    <row r="46" spans="2:4">
      <c r="B46" s="23" t="s">
        <v>215</v>
      </c>
      <c r="C46" s="70">
        <v>13</v>
      </c>
      <c r="D46" s="21">
        <v>2.0644751468950001E-3</v>
      </c>
    </row>
    <row r="47" spans="2:4">
      <c r="B47" s="23" t="s">
        <v>245</v>
      </c>
      <c r="C47" s="70">
        <v>12</v>
      </c>
      <c r="D47" s="21">
        <v>1.905669366365E-3</v>
      </c>
    </row>
    <row r="48" spans="2:4">
      <c r="B48" s="23" t="s">
        <v>232</v>
      </c>
      <c r="C48" s="70">
        <v>11</v>
      </c>
      <c r="D48" s="21">
        <v>1.7468635858350001E-3</v>
      </c>
    </row>
    <row r="49" spans="2:4">
      <c r="B49" s="23" t="s">
        <v>238</v>
      </c>
      <c r="C49" s="70">
        <v>11</v>
      </c>
      <c r="D49" s="21">
        <v>1.7468635858350001E-3</v>
      </c>
    </row>
    <row r="50" spans="2:4">
      <c r="B50" s="23" t="s">
        <v>208</v>
      </c>
      <c r="C50" s="70">
        <v>10</v>
      </c>
      <c r="D50" s="21">
        <v>1.5880578053040001E-3</v>
      </c>
    </row>
    <row r="51" spans="2:4">
      <c r="B51" s="23" t="s">
        <v>221</v>
      </c>
      <c r="C51" s="70">
        <v>10</v>
      </c>
      <c r="D51" s="21">
        <v>1.5880578053040001E-3</v>
      </c>
    </row>
    <row r="52" spans="2:4">
      <c r="B52" s="23" t="s">
        <v>255</v>
      </c>
      <c r="C52" s="70">
        <v>10</v>
      </c>
      <c r="D52" s="21">
        <v>1.5880578053040001E-3</v>
      </c>
    </row>
    <row r="53" spans="2:4">
      <c r="B53" s="23" t="s">
        <v>209</v>
      </c>
      <c r="C53" s="70">
        <v>9</v>
      </c>
      <c r="D53" s="21">
        <v>1.4292520247739999E-3</v>
      </c>
    </row>
    <row r="54" spans="2:4">
      <c r="B54" s="23" t="s">
        <v>243</v>
      </c>
      <c r="C54" s="70">
        <v>9</v>
      </c>
      <c r="D54" s="21">
        <v>1.4292520247739999E-3</v>
      </c>
    </row>
    <row r="55" spans="2:4">
      <c r="B55" s="23" t="s">
        <v>247</v>
      </c>
      <c r="C55" s="70">
        <v>9</v>
      </c>
      <c r="D55" s="21">
        <v>1.4292520247739999E-3</v>
      </c>
    </row>
    <row r="56" spans="2:4">
      <c r="B56" s="23" t="s">
        <v>257</v>
      </c>
      <c r="C56" s="70">
        <v>9</v>
      </c>
      <c r="D56" s="21">
        <v>1.4292520247739999E-3</v>
      </c>
    </row>
    <row r="57" spans="2:4">
      <c r="B57" s="23" t="s">
        <v>203</v>
      </c>
      <c r="C57" s="70">
        <v>8</v>
      </c>
      <c r="D57" s="21">
        <v>1.2704462442429999E-3</v>
      </c>
    </row>
    <row r="58" spans="2:4">
      <c r="B58" s="23" t="s">
        <v>253</v>
      </c>
      <c r="C58" s="70">
        <v>6</v>
      </c>
      <c r="D58" s="21">
        <v>9.5283468318199996E-4</v>
      </c>
    </row>
    <row r="59" spans="2:4">
      <c r="B59" s="23" t="s">
        <v>204</v>
      </c>
      <c r="C59" s="70">
        <v>5</v>
      </c>
      <c r="D59" s="21">
        <v>7.9402890265200003E-4</v>
      </c>
    </row>
    <row r="60" spans="2:4">
      <c r="B60" s="23" t="s">
        <v>223</v>
      </c>
      <c r="C60" s="70">
        <v>5</v>
      </c>
      <c r="D60" s="21">
        <v>7.9402890265200003E-4</v>
      </c>
    </row>
    <row r="61" spans="2:4">
      <c r="B61" s="23" t="s">
        <v>241</v>
      </c>
      <c r="C61" s="70">
        <v>5</v>
      </c>
      <c r="D61" s="21">
        <v>7.9402890265200003E-4</v>
      </c>
    </row>
    <row r="62" spans="2:4">
      <c r="B62" s="23" t="s">
        <v>197</v>
      </c>
      <c r="C62" s="70">
        <v>4</v>
      </c>
      <c r="D62" s="21">
        <v>6.3522312212199999E-4</v>
      </c>
    </row>
    <row r="63" spans="2:4">
      <c r="B63" s="23" t="s">
        <v>207</v>
      </c>
      <c r="C63" s="70">
        <v>4</v>
      </c>
      <c r="D63" s="21">
        <v>6.3522312212199999E-4</v>
      </c>
    </row>
    <row r="64" spans="2:4">
      <c r="B64" s="23" t="s">
        <v>225</v>
      </c>
      <c r="C64" s="70">
        <v>4</v>
      </c>
      <c r="D64" s="21">
        <v>6.3522312212199999E-4</v>
      </c>
    </row>
    <row r="65" spans="2:4">
      <c r="B65" s="23" t="s">
        <v>227</v>
      </c>
      <c r="C65" s="70">
        <v>4</v>
      </c>
      <c r="D65" s="21">
        <v>6.3522312212199999E-4</v>
      </c>
    </row>
    <row r="66" spans="2:4">
      <c r="B66" s="23" t="s">
        <v>248</v>
      </c>
      <c r="C66" s="70">
        <v>4</v>
      </c>
      <c r="D66" s="21">
        <v>6.3522312212199999E-4</v>
      </c>
    </row>
    <row r="67" spans="2:4">
      <c r="B67" s="23" t="s">
        <v>260</v>
      </c>
      <c r="C67" s="70">
        <v>3</v>
      </c>
      <c r="D67" s="21">
        <v>4.7641734159099998E-4</v>
      </c>
    </row>
    <row r="68" spans="2:4">
      <c r="B68" s="23" t="s">
        <v>202</v>
      </c>
      <c r="C68" s="70">
        <v>3</v>
      </c>
      <c r="D68" s="21">
        <v>4.7641734159099998E-4</v>
      </c>
    </row>
    <row r="69" spans="2:4">
      <c r="B69" s="23" t="s">
        <v>206</v>
      </c>
      <c r="C69" s="70">
        <v>3</v>
      </c>
      <c r="D69" s="21">
        <v>4.7641734159099998E-4</v>
      </c>
    </row>
    <row r="70" spans="2:4">
      <c r="B70" s="23" t="s">
        <v>216</v>
      </c>
      <c r="C70" s="70">
        <v>3</v>
      </c>
      <c r="D70" s="21">
        <v>4.7641734159099998E-4</v>
      </c>
    </row>
    <row r="71" spans="2:4">
      <c r="B71" s="23" t="s">
        <v>242</v>
      </c>
      <c r="C71" s="70">
        <v>3</v>
      </c>
      <c r="D71" s="21">
        <v>4.7641734159099998E-4</v>
      </c>
    </row>
    <row r="72" spans="2:4">
      <c r="B72" s="23" t="s">
        <v>250</v>
      </c>
      <c r="C72" s="70">
        <v>3</v>
      </c>
      <c r="D72" s="21">
        <v>4.7641734159099998E-4</v>
      </c>
    </row>
    <row r="73" spans="2:4">
      <c r="B73" s="23" t="s">
        <v>237</v>
      </c>
      <c r="C73" s="70">
        <v>2</v>
      </c>
      <c r="D73" s="21">
        <v>3.1761156106099999E-4</v>
      </c>
    </row>
    <row r="74" spans="2:4">
      <c r="B74" s="23" t="s">
        <v>254</v>
      </c>
      <c r="C74" s="70">
        <v>2</v>
      </c>
      <c r="D74" s="21">
        <v>3.1761156106099999E-4</v>
      </c>
    </row>
    <row r="75" spans="2:4">
      <c r="B75" s="23" t="s">
        <v>258</v>
      </c>
      <c r="C75" s="70">
        <v>2</v>
      </c>
      <c r="D75" s="21">
        <v>3.1761156106099999E-4</v>
      </c>
    </row>
    <row r="76" spans="2:4">
      <c r="B76" s="23" t="s">
        <v>218</v>
      </c>
      <c r="C76" s="70">
        <v>1</v>
      </c>
      <c r="D76" s="21">
        <v>1.5880578052999999E-4</v>
      </c>
    </row>
    <row r="77" spans="2:4">
      <c r="B77" s="23" t="s">
        <v>229</v>
      </c>
      <c r="C77" s="70">
        <v>1</v>
      </c>
      <c r="D77" s="21">
        <v>1.5880578052999999E-4</v>
      </c>
    </row>
    <row r="78" spans="2:4">
      <c r="B78" s="23" t="s">
        <v>231</v>
      </c>
      <c r="C78" s="70">
        <v>1</v>
      </c>
      <c r="D78" s="21">
        <v>1.5880578052999999E-4</v>
      </c>
    </row>
    <row r="79" spans="2:4">
      <c r="B79" s="23" t="s">
        <v>261</v>
      </c>
      <c r="C79" s="70">
        <v>1</v>
      </c>
      <c r="D79" s="21">
        <v>1.5880578052999999E-4</v>
      </c>
    </row>
    <row r="80" spans="2:4">
      <c r="B80" s="23" t="s">
        <v>264</v>
      </c>
      <c r="C80" s="70">
        <v>1</v>
      </c>
      <c r="D80" s="21">
        <v>1.5880578052999999E-4</v>
      </c>
    </row>
    <row r="81" spans="2:4">
      <c r="B81" s="23" t="s">
        <v>263</v>
      </c>
      <c r="C81" s="70">
        <v>1</v>
      </c>
      <c r="D81" s="21">
        <v>1.5880578052999999E-4</v>
      </c>
    </row>
    <row r="82" spans="2:4">
      <c r="B82" s="23" t="s">
        <v>248</v>
      </c>
      <c r="C82" s="70">
        <v>1</v>
      </c>
      <c r="D82" s="21">
        <v>1.5880578052999999E-4</v>
      </c>
    </row>
    <row r="83" spans="2:4">
      <c r="B83" s="23" t="s">
        <v>249</v>
      </c>
      <c r="C83" s="70">
        <v>1</v>
      </c>
      <c r="D83" s="21">
        <v>1.5880578052999999E-4</v>
      </c>
    </row>
    <row r="84" spans="2:4">
      <c r="B84" s="23" t="s">
        <v>251</v>
      </c>
      <c r="C84" s="70">
        <v>1</v>
      </c>
      <c r="D84" s="21">
        <v>1.5880578052999999E-4</v>
      </c>
    </row>
    <row r="85" spans="2:4">
      <c r="B85" s="20" t="s">
        <v>29</v>
      </c>
      <c r="C85" s="19">
        <v>6297</v>
      </c>
      <c r="D85" s="18">
        <v>1</v>
      </c>
    </row>
    <row r="86" spans="2:4">
      <c r="B86" s="16"/>
    </row>
    <row r="87" spans="2:4">
      <c r="B87" s="15" t="s">
        <v>47</v>
      </c>
    </row>
    <row r="88" spans="2:4">
      <c r="B88" s="17" t="s">
        <v>18</v>
      </c>
    </row>
    <row r="89" spans="2:4">
      <c r="B89" s="16" t="s">
        <v>48</v>
      </c>
    </row>
    <row r="90" spans="2:4">
      <c r="B90" s="15" t="s">
        <v>17</v>
      </c>
    </row>
    <row r="91" spans="2:4">
      <c r="B91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83"/>
  <sheetViews>
    <sheetView showGridLines="0" view="pageBreakPreview" topLeftCell="A565" zoomScale="85" zoomScaleNormal="95" zoomScaleSheetLayoutView="85" workbookViewId="0">
      <selection activeCell="F574" sqref="F574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8.5703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99"/>
      <c r="C7" s="99"/>
      <c r="D7" s="99"/>
      <c r="E7" s="99"/>
    </row>
    <row r="8" spans="1:5" s="40" customFormat="1" ht="33" customHeight="1">
      <c r="A8" s="41"/>
      <c r="B8" s="99"/>
      <c r="C8" s="99"/>
      <c r="D8" s="99"/>
      <c r="E8" s="99"/>
    </row>
    <row r="9" spans="1:5" s="25" customFormat="1" ht="40.5" customHeight="1">
      <c r="B9" s="37" t="s">
        <v>25</v>
      </c>
      <c r="C9" s="39" t="s">
        <v>24</v>
      </c>
      <c r="D9" s="38" t="s">
        <v>20</v>
      </c>
      <c r="E9" s="37" t="s">
        <v>19</v>
      </c>
    </row>
    <row r="10" spans="1:5" ht="14.45" customHeight="1">
      <c r="B10" s="94" t="s">
        <v>102</v>
      </c>
      <c r="C10" s="63" t="s">
        <v>194</v>
      </c>
      <c r="D10" s="64">
        <v>1</v>
      </c>
      <c r="E10" s="65">
        <v>1.5880578052999999E-4</v>
      </c>
    </row>
    <row r="11" spans="1:5" ht="14.45" customHeight="1">
      <c r="B11" s="95"/>
      <c r="C11" s="63" t="s">
        <v>195</v>
      </c>
      <c r="D11" s="64">
        <v>4</v>
      </c>
      <c r="E11" s="65">
        <v>6.3522312212199999E-4</v>
      </c>
    </row>
    <row r="12" spans="1:5" ht="14.45" customHeight="1">
      <c r="B12" s="95"/>
      <c r="C12" s="63" t="s">
        <v>196</v>
      </c>
      <c r="D12" s="64">
        <v>2</v>
      </c>
      <c r="E12" s="65">
        <v>3.1761156106099999E-4</v>
      </c>
    </row>
    <row r="13" spans="1:5" ht="14.45" customHeight="1">
      <c r="B13" s="95"/>
      <c r="C13" s="63" t="s">
        <v>58</v>
      </c>
      <c r="D13" s="64">
        <v>2</v>
      </c>
      <c r="E13" s="65">
        <v>3.1761156106099999E-4</v>
      </c>
    </row>
    <row r="14" spans="1:5" ht="14.45" customHeight="1">
      <c r="B14" s="96"/>
      <c r="C14" s="36" t="s">
        <v>29</v>
      </c>
      <c r="D14" s="35">
        <v>9</v>
      </c>
      <c r="E14" s="34">
        <v>1.4292520247739999E-3</v>
      </c>
    </row>
    <row r="15" spans="1:5" ht="14.45" customHeight="1">
      <c r="B15" s="94" t="s">
        <v>103</v>
      </c>
      <c r="C15" s="63" t="s">
        <v>197</v>
      </c>
      <c r="D15" s="64">
        <v>1</v>
      </c>
      <c r="E15" s="65">
        <v>1.5880578052999999E-4</v>
      </c>
    </row>
    <row r="16" spans="1:5" ht="14.45" customHeight="1">
      <c r="B16" s="95"/>
      <c r="C16" s="63" t="s">
        <v>198</v>
      </c>
      <c r="D16" s="64">
        <v>154</v>
      </c>
      <c r="E16" s="65">
        <v>2.4456090201683E-2</v>
      </c>
    </row>
    <row r="17" spans="2:5" ht="14.45" customHeight="1">
      <c r="B17" s="95"/>
      <c r="C17" s="63" t="s">
        <v>199</v>
      </c>
      <c r="D17" s="64">
        <v>46</v>
      </c>
      <c r="E17" s="65">
        <v>7.3050659043989996E-3</v>
      </c>
    </row>
    <row r="18" spans="2:5" ht="14.45" customHeight="1">
      <c r="B18" s="95"/>
      <c r="C18" s="63" t="s">
        <v>200</v>
      </c>
      <c r="D18" s="64">
        <v>8</v>
      </c>
      <c r="E18" s="65">
        <v>1.2704462442429999E-3</v>
      </c>
    </row>
    <row r="19" spans="2:5" ht="14.45" customHeight="1">
      <c r="B19" s="95"/>
      <c r="C19" s="63" t="s">
        <v>201</v>
      </c>
      <c r="D19" s="64">
        <v>10</v>
      </c>
      <c r="E19" s="65">
        <v>1.5880578053040001E-3</v>
      </c>
    </row>
    <row r="20" spans="2:5" ht="14.45" customHeight="1">
      <c r="B20" s="95"/>
      <c r="C20" s="63" t="s">
        <v>202</v>
      </c>
      <c r="D20" s="64">
        <v>1</v>
      </c>
      <c r="E20" s="65">
        <v>1.5880578052999999E-4</v>
      </c>
    </row>
    <row r="21" spans="2:5" ht="14.45" customHeight="1">
      <c r="B21" s="95"/>
      <c r="C21" s="63" t="s">
        <v>203</v>
      </c>
      <c r="D21" s="64">
        <v>3</v>
      </c>
      <c r="E21" s="65">
        <v>4.7641734159099998E-4</v>
      </c>
    </row>
    <row r="22" spans="2:5" ht="14.45" customHeight="1">
      <c r="B22" s="95"/>
      <c r="C22" s="63" t="s">
        <v>204</v>
      </c>
      <c r="D22" s="64">
        <v>5</v>
      </c>
      <c r="E22" s="65">
        <v>7.9402890265200003E-4</v>
      </c>
    </row>
    <row r="23" spans="2:5" ht="14.45" customHeight="1">
      <c r="B23" s="95"/>
      <c r="C23" s="63" t="s">
        <v>205</v>
      </c>
      <c r="D23" s="64">
        <v>8</v>
      </c>
      <c r="E23" s="65">
        <v>1.2704462442429999E-3</v>
      </c>
    </row>
    <row r="24" spans="2:5" ht="14.45" customHeight="1">
      <c r="B24" s="95"/>
      <c r="C24" s="63" t="s">
        <v>206</v>
      </c>
      <c r="D24" s="64">
        <v>3</v>
      </c>
      <c r="E24" s="65">
        <v>4.7641734159099998E-4</v>
      </c>
    </row>
    <row r="25" spans="2:5" ht="14.45" customHeight="1">
      <c r="B25" s="95"/>
      <c r="C25" s="63" t="s">
        <v>207</v>
      </c>
      <c r="D25" s="64">
        <v>3</v>
      </c>
      <c r="E25" s="65">
        <v>4.7641734159099998E-4</v>
      </c>
    </row>
    <row r="26" spans="2:5" ht="14.45" customHeight="1">
      <c r="B26" s="95"/>
      <c r="C26" s="63" t="s">
        <v>208</v>
      </c>
      <c r="D26" s="64">
        <v>5</v>
      </c>
      <c r="E26" s="65">
        <v>7.9402890265200003E-4</v>
      </c>
    </row>
    <row r="27" spans="2:5" ht="14.45" customHeight="1">
      <c r="B27" s="95"/>
      <c r="C27" s="63" t="s">
        <v>209</v>
      </c>
      <c r="D27" s="64">
        <v>6</v>
      </c>
      <c r="E27" s="65">
        <v>9.5283468318199996E-4</v>
      </c>
    </row>
    <row r="28" spans="2:5" ht="14.45" customHeight="1">
      <c r="B28" s="95"/>
      <c r="C28" s="63" t="s">
        <v>210</v>
      </c>
      <c r="D28" s="64">
        <v>7</v>
      </c>
      <c r="E28" s="65">
        <v>1.111640463713E-3</v>
      </c>
    </row>
    <row r="29" spans="2:5" ht="14.45" customHeight="1">
      <c r="B29" s="95"/>
      <c r="C29" s="63" t="s">
        <v>211</v>
      </c>
      <c r="D29" s="64">
        <v>10</v>
      </c>
      <c r="E29" s="65">
        <v>1.5880578053040001E-3</v>
      </c>
    </row>
    <row r="30" spans="2:5" ht="14.45" customHeight="1">
      <c r="B30" s="95"/>
      <c r="C30" s="63" t="s">
        <v>212</v>
      </c>
      <c r="D30" s="64">
        <v>9</v>
      </c>
      <c r="E30" s="65">
        <v>1.4292520247739999E-3</v>
      </c>
    </row>
    <row r="31" spans="2:5" ht="14.45" customHeight="1">
      <c r="B31" s="95"/>
      <c r="C31" s="63" t="s">
        <v>213</v>
      </c>
      <c r="D31" s="64">
        <v>161</v>
      </c>
      <c r="E31" s="65">
        <v>2.5567730665395999E-2</v>
      </c>
    </row>
    <row r="32" spans="2:5" ht="14.45" customHeight="1">
      <c r="B32" s="95"/>
      <c r="C32" s="63" t="s">
        <v>194</v>
      </c>
      <c r="D32" s="64">
        <v>435</v>
      </c>
      <c r="E32" s="65">
        <v>6.9080514530728998E-2</v>
      </c>
    </row>
    <row r="33" spans="2:5" ht="14.45" customHeight="1">
      <c r="B33" s="95"/>
      <c r="C33" s="63" t="s">
        <v>214</v>
      </c>
      <c r="D33" s="64">
        <v>113</v>
      </c>
      <c r="E33" s="65">
        <v>1.7945053199936001E-2</v>
      </c>
    </row>
    <row r="34" spans="2:5" ht="14.45" customHeight="1">
      <c r="B34" s="95"/>
      <c r="C34" s="63" t="s">
        <v>215</v>
      </c>
      <c r="D34" s="64">
        <v>8</v>
      </c>
      <c r="E34" s="65">
        <v>1.2704462442429999E-3</v>
      </c>
    </row>
    <row r="35" spans="2:5" ht="14.45" customHeight="1">
      <c r="B35" s="95"/>
      <c r="C35" s="63" t="s">
        <v>216</v>
      </c>
      <c r="D35" s="64">
        <v>2</v>
      </c>
      <c r="E35" s="65">
        <v>3.1761156106099999E-4</v>
      </c>
    </row>
    <row r="36" spans="2:5" ht="14.45" customHeight="1">
      <c r="B36" s="95"/>
      <c r="C36" s="63" t="s">
        <v>217</v>
      </c>
      <c r="D36" s="64">
        <v>27</v>
      </c>
      <c r="E36" s="65">
        <v>4.2877560743210001E-3</v>
      </c>
    </row>
    <row r="37" spans="2:5" ht="14.45" customHeight="1">
      <c r="B37" s="95"/>
      <c r="C37" s="63" t="s">
        <v>218</v>
      </c>
      <c r="D37" s="64">
        <v>1</v>
      </c>
      <c r="E37" s="65">
        <v>1.5880578052999999E-4</v>
      </c>
    </row>
    <row r="38" spans="2:5" ht="14.45" customHeight="1">
      <c r="B38" s="95"/>
      <c r="C38" s="63" t="s">
        <v>219</v>
      </c>
      <c r="D38" s="64">
        <v>50</v>
      </c>
      <c r="E38" s="65">
        <v>7.9402890265210004E-3</v>
      </c>
    </row>
    <row r="39" spans="2:5" ht="14.45" customHeight="1">
      <c r="B39" s="95"/>
      <c r="C39" s="63" t="s">
        <v>220</v>
      </c>
      <c r="D39" s="64">
        <v>17</v>
      </c>
      <c r="E39" s="65">
        <v>2.699698269017E-3</v>
      </c>
    </row>
    <row r="40" spans="2:5" ht="14.45" customHeight="1">
      <c r="B40" s="95"/>
      <c r="C40" s="63" t="s">
        <v>221</v>
      </c>
      <c r="D40" s="64">
        <v>9</v>
      </c>
      <c r="E40" s="65">
        <v>1.4292520247739999E-3</v>
      </c>
    </row>
    <row r="41" spans="2:5" ht="14.45" customHeight="1">
      <c r="B41" s="95"/>
      <c r="C41" s="63" t="s">
        <v>222</v>
      </c>
      <c r="D41" s="64">
        <v>23</v>
      </c>
      <c r="E41" s="65">
        <v>3.6525329521990002E-3</v>
      </c>
    </row>
    <row r="42" spans="2:5" ht="14.45" customHeight="1">
      <c r="B42" s="95"/>
      <c r="C42" s="63" t="s">
        <v>223</v>
      </c>
      <c r="D42" s="64">
        <v>4</v>
      </c>
      <c r="E42" s="65">
        <v>6.3522312212199999E-4</v>
      </c>
    </row>
    <row r="43" spans="2:5" ht="14.45" customHeight="1">
      <c r="B43" s="95"/>
      <c r="C43" s="63" t="s">
        <v>224</v>
      </c>
      <c r="D43" s="64">
        <v>162</v>
      </c>
      <c r="E43" s="65">
        <v>2.5726536445927001E-2</v>
      </c>
    </row>
    <row r="44" spans="2:5" ht="14.45" customHeight="1">
      <c r="B44" s="95"/>
      <c r="C44" s="63" t="s">
        <v>195</v>
      </c>
      <c r="D44" s="64">
        <v>541</v>
      </c>
      <c r="E44" s="65">
        <v>8.5913927266953002E-2</v>
      </c>
    </row>
    <row r="45" spans="2:5" ht="14.45" customHeight="1">
      <c r="B45" s="95"/>
      <c r="C45" s="63" t="s">
        <v>225</v>
      </c>
      <c r="D45" s="64">
        <v>1</v>
      </c>
      <c r="E45" s="65">
        <v>1.5880578052999999E-4</v>
      </c>
    </row>
    <row r="46" spans="2:5" ht="14.45" customHeight="1">
      <c r="B46" s="95"/>
      <c r="C46" s="63" t="s">
        <v>226</v>
      </c>
      <c r="D46" s="64">
        <v>48</v>
      </c>
      <c r="E46" s="65">
        <v>7.62267746546E-3</v>
      </c>
    </row>
    <row r="47" spans="2:5" ht="14.45" customHeight="1">
      <c r="B47" s="95"/>
      <c r="C47" s="63" t="s">
        <v>227</v>
      </c>
      <c r="D47" s="64">
        <v>4</v>
      </c>
      <c r="E47" s="65">
        <v>6.3522312212199999E-4</v>
      </c>
    </row>
    <row r="48" spans="2:5" ht="14.45" customHeight="1">
      <c r="B48" s="95"/>
      <c r="C48" s="63" t="s">
        <v>228</v>
      </c>
      <c r="D48" s="64">
        <v>23</v>
      </c>
      <c r="E48" s="65">
        <v>3.6525329521990002E-3</v>
      </c>
    </row>
    <row r="49" spans="2:5" ht="14.45" customHeight="1">
      <c r="B49" s="95"/>
      <c r="C49" s="63" t="s">
        <v>229</v>
      </c>
      <c r="D49" s="64">
        <v>1</v>
      </c>
      <c r="E49" s="65">
        <v>1.5880578052999999E-4</v>
      </c>
    </row>
    <row r="50" spans="2:5" ht="14.45" customHeight="1">
      <c r="B50" s="95"/>
      <c r="C50" s="63" t="s">
        <v>230</v>
      </c>
      <c r="D50" s="64">
        <v>94</v>
      </c>
      <c r="E50" s="65">
        <v>1.4927743369859E-2</v>
      </c>
    </row>
    <row r="51" spans="2:5" ht="14.45" customHeight="1">
      <c r="B51" s="95"/>
      <c r="C51" s="63" t="s">
        <v>231</v>
      </c>
      <c r="D51" s="64">
        <v>1</v>
      </c>
      <c r="E51" s="65">
        <v>1.5880578052999999E-4</v>
      </c>
    </row>
    <row r="52" spans="2:5" ht="14.45" customHeight="1">
      <c r="B52" s="95"/>
      <c r="C52" s="63" t="s">
        <v>232</v>
      </c>
      <c r="D52" s="64">
        <v>11</v>
      </c>
      <c r="E52" s="65">
        <v>1.7468635858350001E-3</v>
      </c>
    </row>
    <row r="53" spans="2:5" ht="14.45" customHeight="1">
      <c r="B53" s="95"/>
      <c r="C53" s="63" t="s">
        <v>233</v>
      </c>
      <c r="D53" s="64">
        <v>8</v>
      </c>
      <c r="E53" s="65">
        <v>1.2704462442429999E-3</v>
      </c>
    </row>
    <row r="54" spans="2:5" ht="14.45" customHeight="1">
      <c r="B54" s="95"/>
      <c r="C54" s="63" t="s">
        <v>234</v>
      </c>
      <c r="D54" s="64">
        <v>39</v>
      </c>
      <c r="E54" s="65">
        <v>6.1934254406859996E-3</v>
      </c>
    </row>
    <row r="55" spans="2:5" ht="14.45" customHeight="1">
      <c r="B55" s="95"/>
      <c r="C55" s="63" t="s">
        <v>196</v>
      </c>
      <c r="D55" s="64">
        <v>144</v>
      </c>
      <c r="E55" s="65">
        <v>2.2868032396378999E-2</v>
      </c>
    </row>
    <row r="56" spans="2:5" ht="14.45" customHeight="1">
      <c r="B56" s="95"/>
      <c r="C56" s="63" t="s">
        <v>235</v>
      </c>
      <c r="D56" s="64">
        <v>7</v>
      </c>
      <c r="E56" s="65">
        <v>1.111640463713E-3</v>
      </c>
    </row>
    <row r="57" spans="2:5" ht="14.45" customHeight="1">
      <c r="B57" s="95"/>
      <c r="C57" s="63" t="s">
        <v>58</v>
      </c>
      <c r="D57" s="64">
        <v>430</v>
      </c>
      <c r="E57" s="65">
        <v>6.8286485628077001E-2</v>
      </c>
    </row>
    <row r="58" spans="2:5" ht="14.45" customHeight="1">
      <c r="B58" s="95"/>
      <c r="C58" s="63" t="s">
        <v>236</v>
      </c>
      <c r="D58" s="64">
        <v>12</v>
      </c>
      <c r="E58" s="65">
        <v>1.905669366365E-3</v>
      </c>
    </row>
    <row r="59" spans="2:5" ht="14.45" customHeight="1">
      <c r="B59" s="95"/>
      <c r="C59" s="63" t="s">
        <v>237</v>
      </c>
      <c r="D59" s="64">
        <v>2</v>
      </c>
      <c r="E59" s="65">
        <v>3.1761156106099999E-4</v>
      </c>
    </row>
    <row r="60" spans="2:5" ht="14.45" customHeight="1">
      <c r="B60" s="95"/>
      <c r="C60" s="63" t="s">
        <v>238</v>
      </c>
      <c r="D60" s="64">
        <v>10</v>
      </c>
      <c r="E60" s="65">
        <v>1.5880578053040001E-3</v>
      </c>
    </row>
    <row r="61" spans="2:5" ht="14.45" customHeight="1">
      <c r="B61" s="95"/>
      <c r="C61" s="63" t="s">
        <v>239</v>
      </c>
      <c r="D61" s="64">
        <v>9</v>
      </c>
      <c r="E61" s="65">
        <v>1.4292520247739999E-3</v>
      </c>
    </row>
    <row r="62" spans="2:5" ht="14.45" customHeight="1">
      <c r="B62" s="95"/>
      <c r="C62" s="63" t="s">
        <v>240</v>
      </c>
      <c r="D62" s="64">
        <v>55</v>
      </c>
      <c r="E62" s="65">
        <v>8.7343179291730008E-3</v>
      </c>
    </row>
    <row r="63" spans="2:5" ht="14.45" customHeight="1">
      <c r="B63" s="95"/>
      <c r="C63" s="63" t="s">
        <v>241</v>
      </c>
      <c r="D63" s="64">
        <v>1</v>
      </c>
      <c r="E63" s="65">
        <v>1.5880578052999999E-4</v>
      </c>
    </row>
    <row r="64" spans="2:5" ht="14.45" customHeight="1">
      <c r="B64" s="95"/>
      <c r="C64" s="63" t="s">
        <v>242</v>
      </c>
      <c r="D64" s="64">
        <v>1</v>
      </c>
      <c r="E64" s="65">
        <v>1.5880578052999999E-4</v>
      </c>
    </row>
    <row r="65" spans="2:5" ht="14.45" customHeight="1">
      <c r="B65" s="95"/>
      <c r="C65" s="63" t="s">
        <v>243</v>
      </c>
      <c r="D65" s="64">
        <v>5</v>
      </c>
      <c r="E65" s="65">
        <v>7.9402890265200003E-4</v>
      </c>
    </row>
    <row r="66" spans="2:5" ht="14.45" customHeight="1">
      <c r="B66" s="95"/>
      <c r="C66" s="63" t="s">
        <v>244</v>
      </c>
      <c r="D66" s="64">
        <v>20</v>
      </c>
      <c r="E66" s="65">
        <v>3.1761156106080001E-3</v>
      </c>
    </row>
    <row r="67" spans="2:5" ht="14.45" customHeight="1">
      <c r="B67" s="95"/>
      <c r="C67" s="63" t="s">
        <v>245</v>
      </c>
      <c r="D67" s="64">
        <v>6</v>
      </c>
      <c r="E67" s="65">
        <v>9.5283468318199996E-4</v>
      </c>
    </row>
    <row r="68" spans="2:5" ht="14.45" customHeight="1">
      <c r="B68" s="95"/>
      <c r="C68" s="63" t="s">
        <v>246</v>
      </c>
      <c r="D68" s="64">
        <v>226</v>
      </c>
      <c r="E68" s="65">
        <v>3.5890106399873001E-2</v>
      </c>
    </row>
    <row r="69" spans="2:5" ht="14.45" customHeight="1">
      <c r="B69" s="95"/>
      <c r="C69" s="63" t="s">
        <v>247</v>
      </c>
      <c r="D69" s="64">
        <v>1</v>
      </c>
      <c r="E69" s="65">
        <v>1.5880578052999999E-4</v>
      </c>
    </row>
    <row r="70" spans="2:5" ht="14.45" customHeight="1">
      <c r="B70" s="95"/>
      <c r="C70" s="63" t="s">
        <v>248</v>
      </c>
      <c r="D70" s="64">
        <v>4</v>
      </c>
      <c r="E70" s="65">
        <v>6.3522312212199999E-4</v>
      </c>
    </row>
    <row r="71" spans="2:5" ht="14.45" customHeight="1">
      <c r="B71" s="95"/>
      <c r="C71" s="63" t="s">
        <v>64</v>
      </c>
      <c r="D71" s="64">
        <v>41</v>
      </c>
      <c r="E71" s="65">
        <v>6.511037001747E-3</v>
      </c>
    </row>
    <row r="72" spans="2:5" ht="14.45" customHeight="1">
      <c r="B72" s="95"/>
      <c r="C72" s="63" t="s">
        <v>249</v>
      </c>
      <c r="D72" s="64">
        <v>1</v>
      </c>
      <c r="E72" s="65">
        <v>1.5880578052999999E-4</v>
      </c>
    </row>
    <row r="73" spans="2:5" ht="14.45" customHeight="1">
      <c r="B73" s="95"/>
      <c r="C73" s="63" t="s">
        <v>250</v>
      </c>
      <c r="D73" s="64">
        <v>2</v>
      </c>
      <c r="E73" s="65">
        <v>3.1761156106099999E-4</v>
      </c>
    </row>
    <row r="74" spans="2:5" ht="14.45" customHeight="1">
      <c r="B74" s="95"/>
      <c r="C74" s="63" t="s">
        <v>251</v>
      </c>
      <c r="D74" s="64">
        <v>1</v>
      </c>
      <c r="E74" s="65">
        <v>1.5880578052999999E-4</v>
      </c>
    </row>
    <row r="75" spans="2:5" ht="14.45" customHeight="1">
      <c r="B75" s="95"/>
      <c r="C75" s="63" t="s">
        <v>252</v>
      </c>
      <c r="D75" s="64">
        <v>11</v>
      </c>
      <c r="E75" s="65">
        <v>1.7468635858350001E-3</v>
      </c>
    </row>
    <row r="76" spans="2:5" ht="14.45" customHeight="1">
      <c r="B76" s="95"/>
      <c r="C76" s="63" t="s">
        <v>253</v>
      </c>
      <c r="D76" s="64">
        <v>5</v>
      </c>
      <c r="E76" s="65">
        <v>7.9402890265200003E-4</v>
      </c>
    </row>
    <row r="77" spans="2:5" ht="14.45" customHeight="1">
      <c r="B77" s="95"/>
      <c r="C77" s="63" t="s">
        <v>254</v>
      </c>
      <c r="D77" s="64">
        <v>2</v>
      </c>
      <c r="E77" s="65">
        <v>3.1761156106099999E-4</v>
      </c>
    </row>
    <row r="78" spans="2:5" ht="14.45" customHeight="1">
      <c r="B78" s="95"/>
      <c r="C78" s="63" t="s">
        <v>255</v>
      </c>
      <c r="D78" s="64">
        <v>9</v>
      </c>
      <c r="E78" s="65">
        <v>1.4292520247739999E-3</v>
      </c>
    </row>
    <row r="79" spans="2:5" ht="14.45" customHeight="1">
      <c r="B79" s="95"/>
      <c r="C79" s="63" t="s">
        <v>256</v>
      </c>
      <c r="D79" s="64">
        <v>13</v>
      </c>
      <c r="E79" s="65">
        <v>2.0644751468950001E-3</v>
      </c>
    </row>
    <row r="80" spans="2:5" ht="14.45" customHeight="1">
      <c r="B80" s="95"/>
      <c r="C80" s="63" t="s">
        <v>257</v>
      </c>
      <c r="D80" s="64">
        <v>7</v>
      </c>
      <c r="E80" s="65">
        <v>1.111640463713E-3</v>
      </c>
    </row>
    <row r="81" spans="2:5" ht="14.45" customHeight="1">
      <c r="B81" s="95"/>
      <c r="C81" s="63" t="s">
        <v>258</v>
      </c>
      <c r="D81" s="64">
        <v>1</v>
      </c>
      <c r="E81" s="65">
        <v>1.5880578052999999E-4</v>
      </c>
    </row>
    <row r="82" spans="2:5" ht="14.45" customHeight="1">
      <c r="B82" s="95"/>
      <c r="C82" s="63" t="s">
        <v>259</v>
      </c>
      <c r="D82" s="64">
        <v>5</v>
      </c>
      <c r="E82" s="65">
        <v>7.9402890265200003E-4</v>
      </c>
    </row>
    <row r="83" spans="2:5" ht="14.45" customHeight="1">
      <c r="B83" s="96"/>
      <c r="C83" s="36" t="s">
        <v>29</v>
      </c>
      <c r="D83" s="35">
        <v>3093</v>
      </c>
      <c r="E83" s="34">
        <v>0.49118627918056201</v>
      </c>
    </row>
    <row r="84" spans="2:5" ht="14.45" customHeight="1">
      <c r="B84" s="94" t="s">
        <v>104</v>
      </c>
      <c r="C84" s="63" t="s">
        <v>194</v>
      </c>
      <c r="D84" s="64">
        <v>5</v>
      </c>
      <c r="E84" s="65">
        <v>7.9402890265200003E-4</v>
      </c>
    </row>
    <row r="85" spans="2:5" ht="14.45" customHeight="1">
      <c r="B85" s="95"/>
      <c r="C85" s="63" t="s">
        <v>224</v>
      </c>
      <c r="D85" s="64">
        <v>2</v>
      </c>
      <c r="E85" s="65">
        <v>3.1761156106099999E-4</v>
      </c>
    </row>
    <row r="86" spans="2:5" ht="14.45" customHeight="1">
      <c r="B86" s="95"/>
      <c r="C86" s="63" t="s">
        <v>195</v>
      </c>
      <c r="D86" s="64">
        <v>3</v>
      </c>
      <c r="E86" s="65">
        <v>4.7641734159099998E-4</v>
      </c>
    </row>
    <row r="87" spans="2:5" ht="14.45" customHeight="1">
      <c r="B87" s="95"/>
      <c r="C87" s="63" t="s">
        <v>228</v>
      </c>
      <c r="D87" s="64">
        <v>1</v>
      </c>
      <c r="E87" s="65">
        <v>1.5880578052999999E-4</v>
      </c>
    </row>
    <row r="88" spans="2:5" ht="14.45" customHeight="1">
      <c r="B88" s="95"/>
      <c r="C88" s="63" t="s">
        <v>234</v>
      </c>
      <c r="D88" s="64">
        <v>1</v>
      </c>
      <c r="E88" s="65">
        <v>1.5880578052999999E-4</v>
      </c>
    </row>
    <row r="89" spans="2:5" ht="14.45" customHeight="1">
      <c r="B89" s="95"/>
      <c r="C89" s="63" t="s">
        <v>196</v>
      </c>
      <c r="D89" s="64">
        <v>1</v>
      </c>
      <c r="E89" s="65">
        <v>1.5880578052999999E-4</v>
      </c>
    </row>
    <row r="90" spans="2:5" ht="14.45" customHeight="1">
      <c r="B90" s="95"/>
      <c r="C90" s="63" t="s">
        <v>235</v>
      </c>
      <c r="D90" s="64">
        <v>1</v>
      </c>
      <c r="E90" s="65">
        <v>1.5880578052999999E-4</v>
      </c>
    </row>
    <row r="91" spans="2:5" ht="14.45" customHeight="1">
      <c r="B91" s="95"/>
      <c r="C91" s="63" t="s">
        <v>58</v>
      </c>
      <c r="D91" s="64">
        <v>1</v>
      </c>
      <c r="E91" s="65">
        <v>1.5880578052999999E-4</v>
      </c>
    </row>
    <row r="92" spans="2:5" ht="14.45" customHeight="1">
      <c r="B92" s="95"/>
      <c r="C92" s="63" t="s">
        <v>240</v>
      </c>
      <c r="D92" s="64">
        <v>1</v>
      </c>
      <c r="E92" s="65">
        <v>1.5880578052999999E-4</v>
      </c>
    </row>
    <row r="93" spans="2:5" ht="14.45" customHeight="1">
      <c r="B93" s="95"/>
      <c r="C93" s="63" t="s">
        <v>246</v>
      </c>
      <c r="D93" s="64">
        <v>2</v>
      </c>
      <c r="E93" s="65">
        <v>3.1761156106099999E-4</v>
      </c>
    </row>
    <row r="94" spans="2:5" ht="14.45" customHeight="1">
      <c r="B94" s="96"/>
      <c r="C94" s="36" t="s">
        <v>29</v>
      </c>
      <c r="D94" s="35">
        <v>18</v>
      </c>
      <c r="E94" s="34">
        <v>2.8585040495470002E-3</v>
      </c>
    </row>
    <row r="95" spans="2:5" ht="14.45" customHeight="1">
      <c r="B95" s="94" t="s">
        <v>105</v>
      </c>
      <c r="C95" s="63" t="s">
        <v>197</v>
      </c>
      <c r="D95" s="64">
        <v>2</v>
      </c>
      <c r="E95" s="65">
        <v>3.1761156106099999E-4</v>
      </c>
    </row>
    <row r="96" spans="2:5" ht="14.45" customHeight="1">
      <c r="B96" s="95"/>
      <c r="C96" s="63" t="s">
        <v>198</v>
      </c>
      <c r="D96" s="64">
        <v>20</v>
      </c>
      <c r="E96" s="65">
        <v>3.1761156106080001E-3</v>
      </c>
    </row>
    <row r="97" spans="2:5" ht="14.45" customHeight="1">
      <c r="B97" s="95"/>
      <c r="C97" s="63" t="s">
        <v>199</v>
      </c>
      <c r="D97" s="64">
        <v>16</v>
      </c>
      <c r="E97" s="65">
        <v>2.5408924884869999E-3</v>
      </c>
    </row>
    <row r="98" spans="2:5" ht="14.45" customHeight="1">
      <c r="B98" s="95"/>
      <c r="C98" s="63" t="s">
        <v>200</v>
      </c>
      <c r="D98" s="64">
        <v>4</v>
      </c>
      <c r="E98" s="65">
        <v>6.3522312212199999E-4</v>
      </c>
    </row>
    <row r="99" spans="2:5" ht="14.45" customHeight="1">
      <c r="B99" s="95"/>
      <c r="C99" s="63" t="s">
        <v>260</v>
      </c>
      <c r="D99" s="64">
        <v>1</v>
      </c>
      <c r="E99" s="65">
        <v>1.5880578052999999E-4</v>
      </c>
    </row>
    <row r="100" spans="2:5" ht="14.45" customHeight="1">
      <c r="B100" s="95"/>
      <c r="C100" s="63" t="s">
        <v>201</v>
      </c>
      <c r="D100" s="64">
        <v>2</v>
      </c>
      <c r="E100" s="65">
        <v>3.1761156106099999E-4</v>
      </c>
    </row>
    <row r="101" spans="2:5" ht="14.45" customHeight="1">
      <c r="B101" s="95"/>
      <c r="C101" s="63" t="s">
        <v>202</v>
      </c>
      <c r="D101" s="64">
        <v>2</v>
      </c>
      <c r="E101" s="65">
        <v>3.1761156106099999E-4</v>
      </c>
    </row>
    <row r="102" spans="2:5" ht="14.45" customHeight="1">
      <c r="B102" s="95"/>
      <c r="C102" s="63" t="s">
        <v>203</v>
      </c>
      <c r="D102" s="64">
        <v>3</v>
      </c>
      <c r="E102" s="65">
        <v>4.7641734159099998E-4</v>
      </c>
    </row>
    <row r="103" spans="2:5" ht="14.45" customHeight="1">
      <c r="B103" s="95"/>
      <c r="C103" s="63" t="s">
        <v>205</v>
      </c>
      <c r="D103" s="64">
        <v>1</v>
      </c>
      <c r="E103" s="65">
        <v>1.5880578052999999E-4</v>
      </c>
    </row>
    <row r="104" spans="2:5" ht="14.45" customHeight="1">
      <c r="B104" s="95"/>
      <c r="C104" s="63" t="s">
        <v>207</v>
      </c>
      <c r="D104" s="64">
        <v>1</v>
      </c>
      <c r="E104" s="65">
        <v>1.5880578052999999E-4</v>
      </c>
    </row>
    <row r="105" spans="2:5" ht="14.45" customHeight="1">
      <c r="B105" s="95"/>
      <c r="C105" s="63" t="s">
        <v>209</v>
      </c>
      <c r="D105" s="64">
        <v>1</v>
      </c>
      <c r="E105" s="65">
        <v>1.5880578052999999E-4</v>
      </c>
    </row>
    <row r="106" spans="2:5" ht="14.45" customHeight="1">
      <c r="B106" s="95"/>
      <c r="C106" s="63" t="s">
        <v>210</v>
      </c>
      <c r="D106" s="64">
        <v>4</v>
      </c>
      <c r="E106" s="65">
        <v>6.3522312212199999E-4</v>
      </c>
    </row>
    <row r="107" spans="2:5" ht="14.45" customHeight="1">
      <c r="B107" s="95"/>
      <c r="C107" s="63" t="s">
        <v>211</v>
      </c>
      <c r="D107" s="64">
        <v>3</v>
      </c>
      <c r="E107" s="65">
        <v>4.7641734159099998E-4</v>
      </c>
    </row>
    <row r="108" spans="2:5" ht="14.45" customHeight="1">
      <c r="B108" s="95"/>
      <c r="C108" s="63" t="s">
        <v>212</v>
      </c>
      <c r="D108" s="64">
        <v>11</v>
      </c>
      <c r="E108" s="65">
        <v>1.7468635858350001E-3</v>
      </c>
    </row>
    <row r="109" spans="2:5" ht="14.45" customHeight="1">
      <c r="B109" s="95"/>
      <c r="C109" s="63" t="s">
        <v>213</v>
      </c>
      <c r="D109" s="64">
        <v>48</v>
      </c>
      <c r="E109" s="65">
        <v>7.62267746546E-3</v>
      </c>
    </row>
    <row r="110" spans="2:5" ht="14.45" customHeight="1">
      <c r="B110" s="95"/>
      <c r="C110" s="63" t="s">
        <v>194</v>
      </c>
      <c r="D110" s="64">
        <v>391</v>
      </c>
      <c r="E110" s="65">
        <v>6.2093060187390997E-2</v>
      </c>
    </row>
    <row r="111" spans="2:5" ht="14.45" customHeight="1">
      <c r="B111" s="95"/>
      <c r="C111" s="63" t="s">
        <v>214</v>
      </c>
      <c r="D111" s="64">
        <v>11</v>
      </c>
      <c r="E111" s="65">
        <v>1.7468635858350001E-3</v>
      </c>
    </row>
    <row r="112" spans="2:5" ht="14.45" customHeight="1">
      <c r="B112" s="95"/>
      <c r="C112" s="63" t="s">
        <v>215</v>
      </c>
      <c r="D112" s="64">
        <v>1</v>
      </c>
      <c r="E112" s="65">
        <v>1.5880578052999999E-4</v>
      </c>
    </row>
    <row r="113" spans="2:5" ht="14.45" customHeight="1">
      <c r="B113" s="95"/>
      <c r="C113" s="63" t="s">
        <v>216</v>
      </c>
      <c r="D113" s="64">
        <v>1</v>
      </c>
      <c r="E113" s="65">
        <v>1.5880578052999999E-4</v>
      </c>
    </row>
    <row r="114" spans="2:5" ht="14.45" customHeight="1">
      <c r="B114" s="95"/>
      <c r="C114" s="63" t="s">
        <v>217</v>
      </c>
      <c r="D114" s="64">
        <v>6</v>
      </c>
      <c r="E114" s="65">
        <v>9.5283468318199996E-4</v>
      </c>
    </row>
    <row r="115" spans="2:5" ht="14.45" customHeight="1">
      <c r="B115" s="95"/>
      <c r="C115" s="63" t="s">
        <v>219</v>
      </c>
      <c r="D115" s="64">
        <v>25</v>
      </c>
      <c r="E115" s="65">
        <v>3.9701445132599997E-3</v>
      </c>
    </row>
    <row r="116" spans="2:5" ht="14.45" customHeight="1">
      <c r="B116" s="95"/>
      <c r="C116" s="63" t="s">
        <v>220</v>
      </c>
      <c r="D116" s="64">
        <v>33</v>
      </c>
      <c r="E116" s="65">
        <v>5.2405907575040003E-3</v>
      </c>
    </row>
    <row r="117" spans="2:5" ht="14.45" customHeight="1">
      <c r="B117" s="95"/>
      <c r="C117" s="63" t="s">
        <v>222</v>
      </c>
      <c r="D117" s="64">
        <v>4</v>
      </c>
      <c r="E117" s="65">
        <v>6.3522312212199999E-4</v>
      </c>
    </row>
    <row r="118" spans="2:5" ht="14.45" customHeight="1">
      <c r="B118" s="95"/>
      <c r="C118" s="63" t="s">
        <v>223</v>
      </c>
      <c r="D118" s="64">
        <v>1</v>
      </c>
      <c r="E118" s="65">
        <v>1.5880578052999999E-4</v>
      </c>
    </row>
    <row r="119" spans="2:5" ht="14.45" customHeight="1">
      <c r="B119" s="95"/>
      <c r="C119" s="63" t="s">
        <v>224</v>
      </c>
      <c r="D119" s="64">
        <v>109</v>
      </c>
      <c r="E119" s="65">
        <v>1.7309830077814999E-2</v>
      </c>
    </row>
    <row r="120" spans="2:5" ht="14.45" customHeight="1">
      <c r="B120" s="95"/>
      <c r="C120" s="63" t="s">
        <v>195</v>
      </c>
      <c r="D120" s="64">
        <v>267</v>
      </c>
      <c r="E120" s="65">
        <v>4.2401143401620003E-2</v>
      </c>
    </row>
    <row r="121" spans="2:5" ht="14.45" customHeight="1">
      <c r="B121" s="95"/>
      <c r="C121" s="63" t="s">
        <v>225</v>
      </c>
      <c r="D121" s="64">
        <v>2</v>
      </c>
      <c r="E121" s="65">
        <v>3.1761156106099999E-4</v>
      </c>
    </row>
    <row r="122" spans="2:5" ht="14.45" customHeight="1">
      <c r="B122" s="95"/>
      <c r="C122" s="63" t="s">
        <v>226</v>
      </c>
      <c r="D122" s="64">
        <v>37</v>
      </c>
      <c r="E122" s="65">
        <v>5.8758138796250001E-3</v>
      </c>
    </row>
    <row r="123" spans="2:5" ht="14.45" customHeight="1">
      <c r="B123" s="95"/>
      <c r="C123" s="63" t="s">
        <v>228</v>
      </c>
      <c r="D123" s="64">
        <v>4</v>
      </c>
      <c r="E123" s="65">
        <v>6.3522312212199999E-4</v>
      </c>
    </row>
    <row r="124" spans="2:5" ht="14.45" customHeight="1">
      <c r="B124" s="95"/>
      <c r="C124" s="63" t="s">
        <v>230</v>
      </c>
      <c r="D124" s="64">
        <v>5</v>
      </c>
      <c r="E124" s="65">
        <v>7.9402890265200003E-4</v>
      </c>
    </row>
    <row r="125" spans="2:5" ht="14.45" customHeight="1">
      <c r="B125" s="95"/>
      <c r="C125" s="63" t="s">
        <v>261</v>
      </c>
      <c r="D125" s="64">
        <v>1</v>
      </c>
      <c r="E125" s="65">
        <v>1.5880578052999999E-4</v>
      </c>
    </row>
    <row r="126" spans="2:5" ht="14.45" customHeight="1">
      <c r="B126" s="95"/>
      <c r="C126" s="63" t="s">
        <v>233</v>
      </c>
      <c r="D126" s="64">
        <v>7</v>
      </c>
      <c r="E126" s="65">
        <v>1.111640463713E-3</v>
      </c>
    </row>
    <row r="127" spans="2:5" ht="14.45" customHeight="1">
      <c r="B127" s="95"/>
      <c r="C127" s="63" t="s">
        <v>234</v>
      </c>
      <c r="D127" s="64">
        <v>7</v>
      </c>
      <c r="E127" s="65">
        <v>1.111640463713E-3</v>
      </c>
    </row>
    <row r="128" spans="2:5" ht="14.45" customHeight="1">
      <c r="B128" s="95"/>
      <c r="C128" s="63" t="s">
        <v>196</v>
      </c>
      <c r="D128" s="64">
        <v>137</v>
      </c>
      <c r="E128" s="65">
        <v>2.1756391932666E-2</v>
      </c>
    </row>
    <row r="129" spans="2:5" ht="14.45" customHeight="1">
      <c r="B129" s="95"/>
      <c r="C129" s="63" t="s">
        <v>58</v>
      </c>
      <c r="D129" s="64">
        <v>71</v>
      </c>
      <c r="E129" s="65">
        <v>1.1275210417659E-2</v>
      </c>
    </row>
    <row r="130" spans="2:5" ht="14.45" customHeight="1">
      <c r="B130" s="95"/>
      <c r="C130" s="63" t="s">
        <v>236</v>
      </c>
      <c r="D130" s="64">
        <v>1</v>
      </c>
      <c r="E130" s="65">
        <v>1.5880578052999999E-4</v>
      </c>
    </row>
    <row r="131" spans="2:5" ht="14.45" customHeight="1">
      <c r="B131" s="95"/>
      <c r="C131" s="63" t="s">
        <v>238</v>
      </c>
      <c r="D131" s="64">
        <v>1</v>
      </c>
      <c r="E131" s="65">
        <v>1.5880578052999999E-4</v>
      </c>
    </row>
    <row r="132" spans="2:5" ht="14.45" customHeight="1">
      <c r="B132" s="95"/>
      <c r="C132" s="63" t="s">
        <v>240</v>
      </c>
      <c r="D132" s="64">
        <v>19</v>
      </c>
      <c r="E132" s="65">
        <v>3.017309830078E-3</v>
      </c>
    </row>
    <row r="133" spans="2:5" ht="14.45" customHeight="1">
      <c r="B133" s="95"/>
      <c r="C133" s="63" t="s">
        <v>241</v>
      </c>
      <c r="D133" s="64">
        <v>2</v>
      </c>
      <c r="E133" s="65">
        <v>3.1761156106099999E-4</v>
      </c>
    </row>
    <row r="134" spans="2:5" ht="14.45" customHeight="1">
      <c r="B134" s="95"/>
      <c r="C134" s="63" t="s">
        <v>243</v>
      </c>
      <c r="D134" s="64">
        <v>4</v>
      </c>
      <c r="E134" s="65">
        <v>6.3522312212199999E-4</v>
      </c>
    </row>
    <row r="135" spans="2:5" ht="14.45" customHeight="1">
      <c r="B135" s="95"/>
      <c r="C135" s="63" t="s">
        <v>244</v>
      </c>
      <c r="D135" s="64">
        <v>9</v>
      </c>
      <c r="E135" s="65">
        <v>1.4292520247739999E-3</v>
      </c>
    </row>
    <row r="136" spans="2:5" ht="14.45" customHeight="1">
      <c r="B136" s="95"/>
      <c r="C136" s="63" t="s">
        <v>245</v>
      </c>
      <c r="D136" s="64">
        <v>3</v>
      </c>
      <c r="E136" s="65">
        <v>4.7641734159099998E-4</v>
      </c>
    </row>
    <row r="137" spans="2:5" ht="14.45" customHeight="1">
      <c r="B137" s="95"/>
      <c r="C137" s="63" t="s">
        <v>246</v>
      </c>
      <c r="D137" s="64">
        <v>208</v>
      </c>
      <c r="E137" s="65">
        <v>3.3031602350325998E-2</v>
      </c>
    </row>
    <row r="138" spans="2:5" ht="14.45" customHeight="1">
      <c r="B138" s="95"/>
      <c r="C138" s="63" t="s">
        <v>247</v>
      </c>
      <c r="D138" s="64">
        <v>8</v>
      </c>
      <c r="E138" s="65">
        <v>1.2704462442429999E-3</v>
      </c>
    </row>
    <row r="139" spans="2:5" ht="14.45" customHeight="1">
      <c r="B139" s="95"/>
      <c r="C139" s="63" t="s">
        <v>262</v>
      </c>
      <c r="D139" s="64">
        <v>1</v>
      </c>
      <c r="E139" s="65">
        <v>1.5880578052999999E-4</v>
      </c>
    </row>
    <row r="140" spans="2:5" ht="14.45" customHeight="1">
      <c r="B140" s="95"/>
      <c r="C140" s="63" t="s">
        <v>64</v>
      </c>
      <c r="D140" s="64">
        <v>7</v>
      </c>
      <c r="E140" s="65">
        <v>1.111640463713E-3</v>
      </c>
    </row>
    <row r="141" spans="2:5" ht="14.45" customHeight="1">
      <c r="B141" s="95"/>
      <c r="C141" s="63" t="s">
        <v>250</v>
      </c>
      <c r="D141" s="64">
        <v>1</v>
      </c>
      <c r="E141" s="65">
        <v>1.5880578052999999E-4</v>
      </c>
    </row>
    <row r="142" spans="2:5" ht="14.45" customHeight="1">
      <c r="B142" s="95"/>
      <c r="C142" s="63" t="s">
        <v>255</v>
      </c>
      <c r="D142" s="64">
        <v>1</v>
      </c>
      <c r="E142" s="65">
        <v>1.5880578052999999E-4</v>
      </c>
    </row>
    <row r="143" spans="2:5" ht="14.45" customHeight="1">
      <c r="B143" s="95"/>
      <c r="C143" s="63" t="s">
        <v>256</v>
      </c>
      <c r="D143" s="64">
        <v>3</v>
      </c>
      <c r="E143" s="65">
        <v>4.7641734159099998E-4</v>
      </c>
    </row>
    <row r="144" spans="2:5" ht="14.45" customHeight="1">
      <c r="B144" s="95"/>
      <c r="C144" s="63" t="s">
        <v>257</v>
      </c>
      <c r="D144" s="64">
        <v>2</v>
      </c>
      <c r="E144" s="65">
        <v>3.1761156106099999E-4</v>
      </c>
    </row>
    <row r="145" spans="2:5" ht="14.45" customHeight="1">
      <c r="B145" s="95"/>
      <c r="C145" s="63" t="s">
        <v>258</v>
      </c>
      <c r="D145" s="64">
        <v>1</v>
      </c>
      <c r="E145" s="65">
        <v>1.5880578052999999E-4</v>
      </c>
    </row>
    <row r="146" spans="2:5" ht="14.45" customHeight="1">
      <c r="B146" s="95"/>
      <c r="C146" s="63" t="s">
        <v>259</v>
      </c>
      <c r="D146" s="64">
        <v>5</v>
      </c>
      <c r="E146" s="65">
        <v>7.9402890265200003E-4</v>
      </c>
    </row>
    <row r="147" spans="2:5" ht="14.45" customHeight="1">
      <c r="B147" s="96"/>
      <c r="C147" s="36" t="s">
        <v>29</v>
      </c>
      <c r="D147" s="35">
        <v>1515</v>
      </c>
      <c r="E147" s="34">
        <v>0.24059075750357301</v>
      </c>
    </row>
    <row r="148" spans="2:5" ht="14.45" customHeight="1">
      <c r="B148" s="94" t="s">
        <v>106</v>
      </c>
      <c r="C148" s="63" t="s">
        <v>198</v>
      </c>
      <c r="D148" s="64">
        <v>11</v>
      </c>
      <c r="E148" s="65">
        <v>1.7468635858350001E-3</v>
      </c>
    </row>
    <row r="149" spans="2:5" ht="14.45" customHeight="1">
      <c r="B149" s="95"/>
      <c r="C149" s="63" t="s">
        <v>199</v>
      </c>
      <c r="D149" s="64">
        <v>3</v>
      </c>
      <c r="E149" s="65">
        <v>4.7641734159099998E-4</v>
      </c>
    </row>
    <row r="150" spans="2:5" ht="14.45" customHeight="1">
      <c r="B150" s="95"/>
      <c r="C150" s="63" t="s">
        <v>260</v>
      </c>
      <c r="D150" s="64">
        <v>1</v>
      </c>
      <c r="E150" s="65">
        <v>1.5880578052999999E-4</v>
      </c>
    </row>
    <row r="151" spans="2:5" ht="14.45" customHeight="1">
      <c r="B151" s="95"/>
      <c r="C151" s="63" t="s">
        <v>205</v>
      </c>
      <c r="D151" s="64">
        <v>1</v>
      </c>
      <c r="E151" s="65">
        <v>1.5880578052999999E-4</v>
      </c>
    </row>
    <row r="152" spans="2:5" ht="14.45" customHeight="1">
      <c r="B152" s="95"/>
      <c r="C152" s="63" t="s">
        <v>212</v>
      </c>
      <c r="D152" s="64">
        <v>1</v>
      </c>
      <c r="E152" s="65">
        <v>1.5880578052999999E-4</v>
      </c>
    </row>
    <row r="153" spans="2:5" ht="14.45" customHeight="1">
      <c r="B153" s="95"/>
      <c r="C153" s="63" t="s">
        <v>213</v>
      </c>
      <c r="D153" s="64">
        <v>4</v>
      </c>
      <c r="E153" s="65">
        <v>6.3522312212199999E-4</v>
      </c>
    </row>
    <row r="154" spans="2:5" ht="14.45" customHeight="1">
      <c r="B154" s="95"/>
      <c r="C154" s="63" t="s">
        <v>194</v>
      </c>
      <c r="D154" s="64">
        <v>17</v>
      </c>
      <c r="E154" s="65">
        <v>2.699698269017E-3</v>
      </c>
    </row>
    <row r="155" spans="2:5" ht="14.45" customHeight="1">
      <c r="B155" s="95"/>
      <c r="C155" s="63" t="s">
        <v>214</v>
      </c>
      <c r="D155" s="64">
        <v>3</v>
      </c>
      <c r="E155" s="65">
        <v>4.7641734159099998E-4</v>
      </c>
    </row>
    <row r="156" spans="2:5" ht="14.45" customHeight="1">
      <c r="B156" s="95"/>
      <c r="C156" s="63" t="s">
        <v>219</v>
      </c>
      <c r="D156" s="64">
        <v>2</v>
      </c>
      <c r="E156" s="65">
        <v>3.1761156106099999E-4</v>
      </c>
    </row>
    <row r="157" spans="2:5" ht="14.45" customHeight="1">
      <c r="B157" s="95"/>
      <c r="C157" s="63" t="s">
        <v>220</v>
      </c>
      <c r="D157" s="64">
        <v>2</v>
      </c>
      <c r="E157" s="65">
        <v>3.1761156106099999E-4</v>
      </c>
    </row>
    <row r="158" spans="2:5" ht="14.45" customHeight="1">
      <c r="B158" s="95"/>
      <c r="C158" s="63" t="s">
        <v>224</v>
      </c>
      <c r="D158" s="64">
        <v>6</v>
      </c>
      <c r="E158" s="65">
        <v>9.5283468318199996E-4</v>
      </c>
    </row>
    <row r="159" spans="2:5" ht="14.45" customHeight="1">
      <c r="B159" s="95"/>
      <c r="C159" s="63" t="s">
        <v>195</v>
      </c>
      <c r="D159" s="64">
        <v>30</v>
      </c>
      <c r="E159" s="65">
        <v>4.7641734159120002E-3</v>
      </c>
    </row>
    <row r="160" spans="2:5" ht="14.45" customHeight="1">
      <c r="B160" s="95"/>
      <c r="C160" s="63" t="s">
        <v>225</v>
      </c>
      <c r="D160" s="64">
        <v>1</v>
      </c>
      <c r="E160" s="65">
        <v>1.5880578052999999E-4</v>
      </c>
    </row>
    <row r="161" spans="2:5" ht="14.45" customHeight="1">
      <c r="B161" s="95"/>
      <c r="C161" s="63" t="s">
        <v>230</v>
      </c>
      <c r="D161" s="64">
        <v>1</v>
      </c>
      <c r="E161" s="65">
        <v>1.5880578052999999E-4</v>
      </c>
    </row>
    <row r="162" spans="2:5" ht="14.45" customHeight="1">
      <c r="B162" s="95"/>
      <c r="C162" s="63" t="s">
        <v>234</v>
      </c>
      <c r="D162" s="64">
        <v>1</v>
      </c>
      <c r="E162" s="65">
        <v>1.5880578052999999E-4</v>
      </c>
    </row>
    <row r="163" spans="2:5" ht="14.45" customHeight="1">
      <c r="B163" s="95"/>
      <c r="C163" s="63" t="s">
        <v>196</v>
      </c>
      <c r="D163" s="64">
        <v>3</v>
      </c>
      <c r="E163" s="65">
        <v>4.7641734159099998E-4</v>
      </c>
    </row>
    <row r="164" spans="2:5" ht="14.45" customHeight="1">
      <c r="B164" s="95"/>
      <c r="C164" s="63" t="s">
        <v>58</v>
      </c>
      <c r="D164" s="64">
        <v>13</v>
      </c>
      <c r="E164" s="65">
        <v>2.0644751468950001E-3</v>
      </c>
    </row>
    <row r="165" spans="2:5" ht="14.45" customHeight="1">
      <c r="B165" s="95"/>
      <c r="C165" s="63" t="s">
        <v>236</v>
      </c>
      <c r="D165" s="64">
        <v>1</v>
      </c>
      <c r="E165" s="65">
        <v>1.5880578052999999E-4</v>
      </c>
    </row>
    <row r="166" spans="2:5" ht="14.45" customHeight="1">
      <c r="B166" s="95"/>
      <c r="C166" s="63" t="s">
        <v>240</v>
      </c>
      <c r="D166" s="64">
        <v>6</v>
      </c>
      <c r="E166" s="65">
        <v>9.5283468318199996E-4</v>
      </c>
    </row>
    <row r="167" spans="2:5" ht="14.45" customHeight="1">
      <c r="B167" s="95"/>
      <c r="C167" s="63" t="s">
        <v>244</v>
      </c>
      <c r="D167" s="64">
        <v>6</v>
      </c>
      <c r="E167" s="65">
        <v>9.5283468318199996E-4</v>
      </c>
    </row>
    <row r="168" spans="2:5" ht="14.45" customHeight="1">
      <c r="B168" s="95"/>
      <c r="C168" s="63" t="s">
        <v>246</v>
      </c>
      <c r="D168" s="64">
        <v>3</v>
      </c>
      <c r="E168" s="65">
        <v>4.7641734159099998E-4</v>
      </c>
    </row>
    <row r="169" spans="2:5" ht="14.45" customHeight="1">
      <c r="B169" s="96"/>
      <c r="C169" s="36" t="s">
        <v>29</v>
      </c>
      <c r="D169" s="35">
        <v>116</v>
      </c>
      <c r="E169" s="34">
        <v>1.8421470541527998E-2</v>
      </c>
    </row>
    <row r="170" spans="2:5" ht="14.45" customHeight="1">
      <c r="B170" s="94" t="s">
        <v>107</v>
      </c>
      <c r="C170" s="63" t="s">
        <v>199</v>
      </c>
      <c r="D170" s="64">
        <v>1</v>
      </c>
      <c r="E170" s="65">
        <v>1.5880578052999999E-4</v>
      </c>
    </row>
    <row r="171" spans="2:5" ht="14.45" customHeight="1">
      <c r="B171" s="96"/>
      <c r="C171" s="36" t="s">
        <v>29</v>
      </c>
      <c r="D171" s="35">
        <v>1</v>
      </c>
      <c r="E171" s="34">
        <v>1.5880578052999999E-4</v>
      </c>
    </row>
    <row r="172" spans="2:5" ht="14.45" customHeight="1">
      <c r="B172" s="94" t="s">
        <v>108</v>
      </c>
      <c r="C172" s="63" t="s">
        <v>198</v>
      </c>
      <c r="D172" s="64">
        <v>1</v>
      </c>
      <c r="E172" s="65">
        <v>1.5880578052999999E-4</v>
      </c>
    </row>
    <row r="173" spans="2:5" ht="14.45" customHeight="1">
      <c r="B173" s="96" t="s">
        <v>154</v>
      </c>
      <c r="C173" s="36" t="s">
        <v>29</v>
      </c>
      <c r="D173" s="35">
        <v>1</v>
      </c>
      <c r="E173" s="34">
        <v>1.5880578052999999E-4</v>
      </c>
    </row>
    <row r="174" spans="2:5" ht="14.45" customHeight="1">
      <c r="B174" s="94" t="s">
        <v>109</v>
      </c>
      <c r="C174" s="63" t="s">
        <v>199</v>
      </c>
      <c r="D174" s="64">
        <v>1</v>
      </c>
      <c r="E174" s="65">
        <v>1.5880578052999999E-4</v>
      </c>
    </row>
    <row r="175" spans="2:5" ht="14.45" customHeight="1">
      <c r="B175" s="96" t="s">
        <v>155</v>
      </c>
      <c r="C175" s="36" t="s">
        <v>29</v>
      </c>
      <c r="D175" s="35">
        <v>1</v>
      </c>
      <c r="E175" s="34">
        <v>1.5880578052999999E-4</v>
      </c>
    </row>
    <row r="176" spans="2:5" ht="14.45" customHeight="1">
      <c r="B176" s="94" t="s">
        <v>110</v>
      </c>
      <c r="C176" s="63" t="s">
        <v>198</v>
      </c>
      <c r="D176" s="64">
        <v>2</v>
      </c>
      <c r="E176" s="65">
        <v>3.1761156106099999E-4</v>
      </c>
    </row>
    <row r="177" spans="2:5" ht="14.45" customHeight="1">
      <c r="B177" s="95"/>
      <c r="C177" s="63" t="s">
        <v>212</v>
      </c>
      <c r="D177" s="64">
        <v>2</v>
      </c>
      <c r="E177" s="65">
        <v>3.1761156106099999E-4</v>
      </c>
    </row>
    <row r="178" spans="2:5" ht="14.45" customHeight="1">
      <c r="B178" s="95"/>
      <c r="C178" s="63" t="s">
        <v>213</v>
      </c>
      <c r="D178" s="64">
        <v>1</v>
      </c>
      <c r="E178" s="65">
        <v>1.5880578052999999E-4</v>
      </c>
    </row>
    <row r="179" spans="2:5" ht="14.45" customHeight="1">
      <c r="B179" s="95"/>
      <c r="C179" s="63" t="s">
        <v>194</v>
      </c>
      <c r="D179" s="64">
        <v>8</v>
      </c>
      <c r="E179" s="65">
        <v>1.2704462442429999E-3</v>
      </c>
    </row>
    <row r="180" spans="2:5" ht="14.45" customHeight="1">
      <c r="B180" s="95"/>
      <c r="C180" s="63" t="s">
        <v>222</v>
      </c>
      <c r="D180" s="64">
        <v>1</v>
      </c>
      <c r="E180" s="65">
        <v>1.5880578052999999E-4</v>
      </c>
    </row>
    <row r="181" spans="2:5" ht="14.45" customHeight="1">
      <c r="B181" s="95"/>
      <c r="C181" s="63" t="s">
        <v>224</v>
      </c>
      <c r="D181" s="64">
        <v>5</v>
      </c>
      <c r="E181" s="65">
        <v>7.9402890265200003E-4</v>
      </c>
    </row>
    <row r="182" spans="2:5" ht="14.45" customHeight="1">
      <c r="B182" s="95"/>
      <c r="C182" s="63" t="s">
        <v>195</v>
      </c>
      <c r="D182" s="64">
        <v>15</v>
      </c>
      <c r="E182" s="65">
        <v>2.3820867079560001E-3</v>
      </c>
    </row>
    <row r="183" spans="2:5" ht="14.45" customHeight="1">
      <c r="B183" s="95"/>
      <c r="C183" s="63" t="s">
        <v>230</v>
      </c>
      <c r="D183" s="64">
        <v>1</v>
      </c>
      <c r="E183" s="65">
        <v>1.5880578052999999E-4</v>
      </c>
    </row>
    <row r="184" spans="2:5" ht="14.45" customHeight="1">
      <c r="B184" s="95"/>
      <c r="C184" s="63" t="s">
        <v>234</v>
      </c>
      <c r="D184" s="64">
        <v>1</v>
      </c>
      <c r="E184" s="65">
        <v>1.5880578052999999E-4</v>
      </c>
    </row>
    <row r="185" spans="2:5" ht="14.45" customHeight="1">
      <c r="B185" s="95"/>
      <c r="C185" s="63" t="s">
        <v>196</v>
      </c>
      <c r="D185" s="64">
        <v>1</v>
      </c>
      <c r="E185" s="65">
        <v>1.5880578052999999E-4</v>
      </c>
    </row>
    <row r="186" spans="2:5" ht="14.45" customHeight="1">
      <c r="B186" s="95"/>
      <c r="C186" s="63" t="s">
        <v>235</v>
      </c>
      <c r="D186" s="64">
        <v>1</v>
      </c>
      <c r="E186" s="65">
        <v>1.5880578052999999E-4</v>
      </c>
    </row>
    <row r="187" spans="2:5" ht="14.45" customHeight="1">
      <c r="B187" s="95"/>
      <c r="C187" s="63" t="s">
        <v>58</v>
      </c>
      <c r="D187" s="64">
        <v>2</v>
      </c>
      <c r="E187" s="65">
        <v>3.1761156106099999E-4</v>
      </c>
    </row>
    <row r="188" spans="2:5" ht="14.45" customHeight="1">
      <c r="B188" s="95"/>
      <c r="C188" s="63" t="s">
        <v>236</v>
      </c>
      <c r="D188" s="64">
        <v>1</v>
      </c>
      <c r="E188" s="65">
        <v>1.5880578052999999E-4</v>
      </c>
    </row>
    <row r="189" spans="2:5" ht="14.45" customHeight="1">
      <c r="B189" s="95"/>
      <c r="C189" s="63" t="s">
        <v>245</v>
      </c>
      <c r="D189" s="64">
        <v>1</v>
      </c>
      <c r="E189" s="65">
        <v>1.5880578052999999E-4</v>
      </c>
    </row>
    <row r="190" spans="2:5" ht="14.45" customHeight="1">
      <c r="B190" s="96"/>
      <c r="C190" s="36" t="s">
        <v>29</v>
      </c>
      <c r="D190" s="35">
        <v>42</v>
      </c>
      <c r="E190" s="34">
        <v>6.6698427822769997E-3</v>
      </c>
    </row>
    <row r="191" spans="2:5" ht="14.45" customHeight="1">
      <c r="B191" s="94" t="s">
        <v>111</v>
      </c>
      <c r="C191" s="63" t="s">
        <v>198</v>
      </c>
      <c r="D191" s="64">
        <v>1</v>
      </c>
      <c r="E191" s="65">
        <v>1.5880578052999999E-4</v>
      </c>
    </row>
    <row r="192" spans="2:5" ht="14.45" customHeight="1">
      <c r="B192" s="95"/>
      <c r="C192" s="63" t="s">
        <v>199</v>
      </c>
      <c r="D192" s="64">
        <v>1</v>
      </c>
      <c r="E192" s="65">
        <v>1.5880578052999999E-4</v>
      </c>
    </row>
    <row r="193" spans="2:5" ht="14.45" customHeight="1">
      <c r="B193" s="95"/>
      <c r="C193" s="63" t="s">
        <v>194</v>
      </c>
      <c r="D193" s="64">
        <v>3</v>
      </c>
      <c r="E193" s="65">
        <v>4.7641734159099998E-4</v>
      </c>
    </row>
    <row r="194" spans="2:5" ht="14.45" customHeight="1">
      <c r="B194" s="95"/>
      <c r="C194" s="63" t="s">
        <v>219</v>
      </c>
      <c r="D194" s="64">
        <v>1</v>
      </c>
      <c r="E194" s="65">
        <v>1.5880578052999999E-4</v>
      </c>
    </row>
    <row r="195" spans="2:5" ht="14.45" customHeight="1">
      <c r="B195" s="95"/>
      <c r="C195" s="63" t="s">
        <v>224</v>
      </c>
      <c r="D195" s="64">
        <v>2</v>
      </c>
      <c r="E195" s="65">
        <v>3.1761156106099999E-4</v>
      </c>
    </row>
    <row r="196" spans="2:5" ht="14.45" customHeight="1">
      <c r="B196" s="95"/>
      <c r="C196" s="63" t="s">
        <v>195</v>
      </c>
      <c r="D196" s="64">
        <v>6</v>
      </c>
      <c r="E196" s="65">
        <v>9.5283468318199996E-4</v>
      </c>
    </row>
    <row r="197" spans="2:5" ht="14.45" customHeight="1">
      <c r="B197" s="95"/>
      <c r="C197" s="63" t="s">
        <v>228</v>
      </c>
      <c r="D197" s="64">
        <v>1</v>
      </c>
      <c r="E197" s="65">
        <v>1.5880578052999999E-4</v>
      </c>
    </row>
    <row r="198" spans="2:5" ht="14.45" customHeight="1">
      <c r="B198" s="95"/>
      <c r="C198" s="63" t="s">
        <v>246</v>
      </c>
      <c r="D198" s="64">
        <v>3</v>
      </c>
      <c r="E198" s="65">
        <v>4.7641734159099998E-4</v>
      </c>
    </row>
    <row r="199" spans="2:5" ht="14.45" customHeight="1">
      <c r="B199" s="96"/>
      <c r="C199" s="36" t="s">
        <v>29</v>
      </c>
      <c r="D199" s="35">
        <v>18</v>
      </c>
      <c r="E199" s="34">
        <v>2.8585040495470002E-3</v>
      </c>
    </row>
    <row r="200" spans="2:5" ht="14.45" customHeight="1">
      <c r="B200" s="94" t="s">
        <v>112</v>
      </c>
      <c r="C200" s="63" t="s">
        <v>195</v>
      </c>
      <c r="D200" s="64">
        <v>1</v>
      </c>
      <c r="E200" s="65">
        <v>1.5880578052999999E-4</v>
      </c>
    </row>
    <row r="201" spans="2:5" ht="14.45" customHeight="1">
      <c r="B201" s="96"/>
      <c r="C201" s="36" t="s">
        <v>29</v>
      </c>
      <c r="D201" s="35">
        <v>1</v>
      </c>
      <c r="E201" s="34">
        <v>1.5880578052999999E-4</v>
      </c>
    </row>
    <row r="202" spans="2:5" ht="14.45" customHeight="1">
      <c r="B202" s="94" t="s">
        <v>113</v>
      </c>
      <c r="C202" s="63" t="s">
        <v>198</v>
      </c>
      <c r="D202" s="64">
        <v>2</v>
      </c>
      <c r="E202" s="65">
        <v>3.1761156106099999E-4</v>
      </c>
    </row>
    <row r="203" spans="2:5" ht="14.45" customHeight="1">
      <c r="B203" s="95"/>
      <c r="C203" s="63" t="s">
        <v>199</v>
      </c>
      <c r="D203" s="64">
        <v>1</v>
      </c>
      <c r="E203" s="65">
        <v>1.5880578052999999E-4</v>
      </c>
    </row>
    <row r="204" spans="2:5" ht="14.45" customHeight="1">
      <c r="B204" s="95"/>
      <c r="C204" s="63" t="s">
        <v>212</v>
      </c>
      <c r="D204" s="64">
        <v>1</v>
      </c>
      <c r="E204" s="65">
        <v>1.5880578052999999E-4</v>
      </c>
    </row>
    <row r="205" spans="2:5" ht="14.45" customHeight="1">
      <c r="B205" s="95"/>
      <c r="C205" s="63" t="s">
        <v>213</v>
      </c>
      <c r="D205" s="64">
        <v>1</v>
      </c>
      <c r="E205" s="65">
        <v>1.5880578052999999E-4</v>
      </c>
    </row>
    <row r="206" spans="2:5" ht="14.45" customHeight="1">
      <c r="B206" s="95"/>
      <c r="C206" s="63" t="s">
        <v>194</v>
      </c>
      <c r="D206" s="64">
        <v>18</v>
      </c>
      <c r="E206" s="65">
        <v>2.8585040495470002E-3</v>
      </c>
    </row>
    <row r="207" spans="2:5" ht="14.45" customHeight="1">
      <c r="B207" s="95"/>
      <c r="C207" s="63" t="s">
        <v>219</v>
      </c>
      <c r="D207" s="64">
        <v>1</v>
      </c>
      <c r="E207" s="65">
        <v>1.5880578052999999E-4</v>
      </c>
    </row>
    <row r="208" spans="2:5" ht="14.45" customHeight="1">
      <c r="B208" s="95"/>
      <c r="C208" s="63" t="s">
        <v>220</v>
      </c>
      <c r="D208" s="64">
        <v>2</v>
      </c>
      <c r="E208" s="65">
        <v>3.1761156106099999E-4</v>
      </c>
    </row>
    <row r="209" spans="2:5" ht="14.45" customHeight="1">
      <c r="B209" s="95"/>
      <c r="C209" s="63" t="s">
        <v>222</v>
      </c>
      <c r="D209" s="64">
        <v>1</v>
      </c>
      <c r="E209" s="65">
        <v>1.5880578052999999E-4</v>
      </c>
    </row>
    <row r="210" spans="2:5" ht="14.45" customHeight="1">
      <c r="B210" s="95"/>
      <c r="C210" s="63" t="s">
        <v>224</v>
      </c>
      <c r="D210" s="64">
        <v>7</v>
      </c>
      <c r="E210" s="65">
        <v>1.111640463713E-3</v>
      </c>
    </row>
    <row r="211" spans="2:5" ht="14.45" customHeight="1">
      <c r="B211" s="95"/>
      <c r="C211" s="63" t="s">
        <v>195</v>
      </c>
      <c r="D211" s="64">
        <v>10</v>
      </c>
      <c r="E211" s="65">
        <v>1.5880578053040001E-3</v>
      </c>
    </row>
    <row r="212" spans="2:5" ht="14.45" customHeight="1">
      <c r="B212" s="95"/>
      <c r="C212" s="63" t="s">
        <v>226</v>
      </c>
      <c r="D212" s="64">
        <v>3</v>
      </c>
      <c r="E212" s="65">
        <v>4.7641734159099998E-4</v>
      </c>
    </row>
    <row r="213" spans="2:5" ht="14.45" customHeight="1">
      <c r="B213" s="95"/>
      <c r="C213" s="63" t="s">
        <v>230</v>
      </c>
      <c r="D213" s="64">
        <v>2</v>
      </c>
      <c r="E213" s="65">
        <v>3.1761156106099999E-4</v>
      </c>
    </row>
    <row r="214" spans="2:5" ht="14.45" customHeight="1">
      <c r="B214" s="95"/>
      <c r="C214" s="63" t="s">
        <v>234</v>
      </c>
      <c r="D214" s="64">
        <v>2</v>
      </c>
      <c r="E214" s="65">
        <v>3.1761156106099999E-4</v>
      </c>
    </row>
    <row r="215" spans="2:5" ht="14.45" customHeight="1">
      <c r="B215" s="95"/>
      <c r="C215" s="63" t="s">
        <v>196</v>
      </c>
      <c r="D215" s="64">
        <v>5</v>
      </c>
      <c r="E215" s="65">
        <v>7.9402890265200003E-4</v>
      </c>
    </row>
    <row r="216" spans="2:5" ht="14.45" customHeight="1">
      <c r="B216" s="95"/>
      <c r="C216" s="63" t="s">
        <v>58</v>
      </c>
      <c r="D216" s="64">
        <v>13</v>
      </c>
      <c r="E216" s="65">
        <v>2.0644751468950001E-3</v>
      </c>
    </row>
    <row r="217" spans="2:5" ht="14.45" customHeight="1">
      <c r="B217" s="95"/>
      <c r="C217" s="63" t="s">
        <v>244</v>
      </c>
      <c r="D217" s="64">
        <v>4</v>
      </c>
      <c r="E217" s="65">
        <v>6.3522312212199999E-4</v>
      </c>
    </row>
    <row r="218" spans="2:5" ht="14.45" customHeight="1">
      <c r="B218" s="95"/>
      <c r="C218" s="63" t="s">
        <v>246</v>
      </c>
      <c r="D218" s="64">
        <v>5</v>
      </c>
      <c r="E218" s="65">
        <v>7.9402890265200003E-4</v>
      </c>
    </row>
    <row r="219" spans="2:5" ht="14.45" customHeight="1">
      <c r="B219" s="96"/>
      <c r="C219" s="36" t="s">
        <v>29</v>
      </c>
      <c r="D219" s="35">
        <v>78</v>
      </c>
      <c r="E219" s="34">
        <v>1.2386850881371999E-2</v>
      </c>
    </row>
    <row r="220" spans="2:5" ht="14.45" customHeight="1">
      <c r="B220" s="94" t="s">
        <v>114</v>
      </c>
      <c r="C220" s="63" t="s">
        <v>198</v>
      </c>
      <c r="D220" s="64">
        <v>1</v>
      </c>
      <c r="E220" s="65">
        <v>1.5880578052999999E-4</v>
      </c>
    </row>
    <row r="221" spans="2:5" ht="14.45" customHeight="1">
      <c r="B221" s="95"/>
      <c r="C221" s="63" t="s">
        <v>212</v>
      </c>
      <c r="D221" s="64">
        <v>2</v>
      </c>
      <c r="E221" s="65">
        <v>3.1761156106099999E-4</v>
      </c>
    </row>
    <row r="222" spans="2:5" ht="14.45" customHeight="1">
      <c r="B222" s="95"/>
      <c r="C222" s="63" t="s">
        <v>213</v>
      </c>
      <c r="D222" s="64">
        <v>4</v>
      </c>
      <c r="E222" s="65">
        <v>6.3522312212199999E-4</v>
      </c>
    </row>
    <row r="223" spans="2:5" ht="14.45" customHeight="1">
      <c r="B223" s="95"/>
      <c r="C223" s="63" t="s">
        <v>194</v>
      </c>
      <c r="D223" s="64">
        <v>20</v>
      </c>
      <c r="E223" s="65">
        <v>3.1761156106080001E-3</v>
      </c>
    </row>
    <row r="224" spans="2:5" ht="14.45" customHeight="1">
      <c r="B224" s="95"/>
      <c r="C224" s="63" t="s">
        <v>214</v>
      </c>
      <c r="D224" s="64">
        <v>1</v>
      </c>
      <c r="E224" s="65">
        <v>1.5880578052999999E-4</v>
      </c>
    </row>
    <row r="225" spans="2:5" ht="14.45" customHeight="1">
      <c r="B225" s="95"/>
      <c r="C225" s="63" t="s">
        <v>215</v>
      </c>
      <c r="D225" s="64">
        <v>1</v>
      </c>
      <c r="E225" s="65">
        <v>1.5880578052999999E-4</v>
      </c>
    </row>
    <row r="226" spans="2:5" ht="14.45" customHeight="1">
      <c r="B226" s="95"/>
      <c r="C226" s="63" t="s">
        <v>219</v>
      </c>
      <c r="D226" s="64">
        <v>3</v>
      </c>
      <c r="E226" s="65">
        <v>4.7641734159099998E-4</v>
      </c>
    </row>
    <row r="227" spans="2:5" ht="14.45" customHeight="1">
      <c r="B227" s="95"/>
      <c r="C227" s="63" t="s">
        <v>220</v>
      </c>
      <c r="D227" s="64">
        <v>1</v>
      </c>
      <c r="E227" s="65">
        <v>1.5880578052999999E-4</v>
      </c>
    </row>
    <row r="228" spans="2:5" ht="14.45" customHeight="1">
      <c r="B228" s="95"/>
      <c r="C228" s="63" t="s">
        <v>224</v>
      </c>
      <c r="D228" s="64">
        <v>15</v>
      </c>
      <c r="E228" s="65">
        <v>2.3820867079560001E-3</v>
      </c>
    </row>
    <row r="229" spans="2:5" ht="14.45" customHeight="1">
      <c r="B229" s="95"/>
      <c r="C229" s="63" t="s">
        <v>195</v>
      </c>
      <c r="D229" s="64">
        <v>24</v>
      </c>
      <c r="E229" s="65">
        <v>3.81133873273E-3</v>
      </c>
    </row>
    <row r="230" spans="2:5" ht="14.45" customHeight="1">
      <c r="B230" s="95"/>
      <c r="C230" s="63" t="s">
        <v>226</v>
      </c>
      <c r="D230" s="64">
        <v>3</v>
      </c>
      <c r="E230" s="65">
        <v>4.7641734159099998E-4</v>
      </c>
    </row>
    <row r="231" spans="2:5" ht="14.45" customHeight="1">
      <c r="B231" s="95"/>
      <c r="C231" s="63" t="s">
        <v>230</v>
      </c>
      <c r="D231" s="64">
        <v>2</v>
      </c>
      <c r="E231" s="65">
        <v>3.1761156106099999E-4</v>
      </c>
    </row>
    <row r="232" spans="2:5" ht="14.45" customHeight="1">
      <c r="B232" s="95"/>
      <c r="C232" s="63" t="s">
        <v>233</v>
      </c>
      <c r="D232" s="64">
        <v>1</v>
      </c>
      <c r="E232" s="65">
        <v>1.5880578052999999E-4</v>
      </c>
    </row>
    <row r="233" spans="2:5" ht="14.45" customHeight="1">
      <c r="B233" s="95"/>
      <c r="C233" s="63" t="s">
        <v>234</v>
      </c>
      <c r="D233" s="64">
        <v>5</v>
      </c>
      <c r="E233" s="65">
        <v>7.9402890265200003E-4</v>
      </c>
    </row>
    <row r="234" spans="2:5" ht="14.45" customHeight="1">
      <c r="B234" s="95"/>
      <c r="C234" s="63" t="s">
        <v>196</v>
      </c>
      <c r="D234" s="64">
        <v>4</v>
      </c>
      <c r="E234" s="65">
        <v>6.3522312212199999E-4</v>
      </c>
    </row>
    <row r="235" spans="2:5" ht="14.45" customHeight="1">
      <c r="B235" s="95"/>
      <c r="C235" s="63" t="s">
        <v>58</v>
      </c>
      <c r="D235" s="64">
        <v>19</v>
      </c>
      <c r="E235" s="65">
        <v>3.017309830078E-3</v>
      </c>
    </row>
    <row r="236" spans="2:5" ht="14.45" customHeight="1">
      <c r="B236" s="95"/>
      <c r="C236" s="63" t="s">
        <v>239</v>
      </c>
      <c r="D236" s="64">
        <v>1</v>
      </c>
      <c r="E236" s="65">
        <v>1.5880578052999999E-4</v>
      </c>
    </row>
    <row r="237" spans="2:5" ht="14.45" customHeight="1">
      <c r="B237" s="95"/>
      <c r="C237" s="63" t="s">
        <v>240</v>
      </c>
      <c r="D237" s="64">
        <v>5</v>
      </c>
      <c r="E237" s="65">
        <v>7.9402890265200003E-4</v>
      </c>
    </row>
    <row r="238" spans="2:5" ht="14.45" customHeight="1">
      <c r="B238" s="95"/>
      <c r="C238" s="63" t="s">
        <v>263</v>
      </c>
      <c r="D238" s="64">
        <v>1</v>
      </c>
      <c r="E238" s="65">
        <v>1.5880578052999999E-4</v>
      </c>
    </row>
    <row r="239" spans="2:5" ht="14.45" customHeight="1">
      <c r="B239" s="95"/>
      <c r="C239" s="63" t="s">
        <v>246</v>
      </c>
      <c r="D239" s="64">
        <v>3</v>
      </c>
      <c r="E239" s="65">
        <v>4.7641734159099998E-4</v>
      </c>
    </row>
    <row r="240" spans="2:5" ht="14.45" customHeight="1">
      <c r="B240" s="95"/>
      <c r="C240" s="63" t="s">
        <v>64</v>
      </c>
      <c r="D240" s="64">
        <v>1</v>
      </c>
      <c r="E240" s="65">
        <v>1.5880578052999999E-4</v>
      </c>
    </row>
    <row r="241" spans="2:5" ht="14.45" customHeight="1">
      <c r="B241" s="96"/>
      <c r="C241" s="36" t="s">
        <v>29</v>
      </c>
      <c r="D241" s="35">
        <v>117</v>
      </c>
      <c r="E241" s="34">
        <v>1.8580276322058002E-2</v>
      </c>
    </row>
    <row r="242" spans="2:5" ht="14.45" customHeight="1">
      <c r="B242" s="94" t="s">
        <v>115</v>
      </c>
      <c r="C242" s="63" t="s">
        <v>213</v>
      </c>
      <c r="D242" s="64">
        <v>3</v>
      </c>
      <c r="E242" s="65">
        <v>4.7641734159099998E-4</v>
      </c>
    </row>
    <row r="243" spans="2:5" ht="14.45" customHeight="1">
      <c r="B243" s="95"/>
      <c r="C243" s="63" t="s">
        <v>194</v>
      </c>
      <c r="D243" s="64">
        <v>3</v>
      </c>
      <c r="E243" s="65">
        <v>4.7641734159099998E-4</v>
      </c>
    </row>
    <row r="244" spans="2:5" ht="14.45" customHeight="1">
      <c r="B244" s="95"/>
      <c r="C244" s="63" t="s">
        <v>214</v>
      </c>
      <c r="D244" s="64">
        <v>1</v>
      </c>
      <c r="E244" s="65">
        <v>1.5880578052999999E-4</v>
      </c>
    </row>
    <row r="245" spans="2:5" ht="14.45" customHeight="1">
      <c r="B245" s="95"/>
      <c r="C245" s="63" t="s">
        <v>219</v>
      </c>
      <c r="D245" s="64">
        <v>2</v>
      </c>
      <c r="E245" s="65">
        <v>3.1761156106099999E-4</v>
      </c>
    </row>
    <row r="246" spans="2:5" ht="14.45" customHeight="1">
      <c r="B246" s="95"/>
      <c r="C246" s="63" t="s">
        <v>224</v>
      </c>
      <c r="D246" s="64">
        <v>3</v>
      </c>
      <c r="E246" s="65">
        <v>4.7641734159099998E-4</v>
      </c>
    </row>
    <row r="247" spans="2:5" ht="14.45" customHeight="1">
      <c r="B247" s="95"/>
      <c r="C247" s="63" t="s">
        <v>195</v>
      </c>
      <c r="D247" s="64">
        <v>9</v>
      </c>
      <c r="E247" s="65">
        <v>1.4292520247739999E-3</v>
      </c>
    </row>
    <row r="248" spans="2:5" ht="14.45" customHeight="1">
      <c r="B248" s="95"/>
      <c r="C248" s="63" t="s">
        <v>196</v>
      </c>
      <c r="D248" s="64">
        <v>1</v>
      </c>
      <c r="E248" s="65">
        <v>1.5880578052999999E-4</v>
      </c>
    </row>
    <row r="249" spans="2:5" ht="14.45" customHeight="1">
      <c r="B249" s="95"/>
      <c r="C249" s="63" t="s">
        <v>58</v>
      </c>
      <c r="D249" s="64">
        <v>2</v>
      </c>
      <c r="E249" s="65">
        <v>3.1761156106099999E-4</v>
      </c>
    </row>
    <row r="250" spans="2:5" ht="14.45" customHeight="1">
      <c r="B250" s="95"/>
      <c r="C250" s="63" t="s">
        <v>242</v>
      </c>
      <c r="D250" s="64">
        <v>1</v>
      </c>
      <c r="E250" s="65">
        <v>1.5880578052999999E-4</v>
      </c>
    </row>
    <row r="251" spans="2:5" ht="14.45" customHeight="1">
      <c r="B251" s="95"/>
      <c r="C251" s="63" t="s">
        <v>246</v>
      </c>
      <c r="D251" s="64">
        <v>1</v>
      </c>
      <c r="E251" s="65">
        <v>1.5880578052999999E-4</v>
      </c>
    </row>
    <row r="252" spans="2:5" ht="14.45" customHeight="1">
      <c r="B252" s="95"/>
      <c r="C252" s="63" t="s">
        <v>64</v>
      </c>
      <c r="D252" s="64">
        <v>1</v>
      </c>
      <c r="E252" s="65">
        <v>1.5880578052999999E-4</v>
      </c>
    </row>
    <row r="253" spans="2:5" ht="14.45" customHeight="1">
      <c r="B253" s="96"/>
      <c r="C253" s="36" t="s">
        <v>29</v>
      </c>
      <c r="D253" s="35">
        <v>27</v>
      </c>
      <c r="E253" s="34">
        <v>4.2877560743210001E-3</v>
      </c>
    </row>
    <row r="254" spans="2:5" ht="14.45" customHeight="1">
      <c r="B254" s="94" t="s">
        <v>116</v>
      </c>
      <c r="C254" s="63" t="s">
        <v>194</v>
      </c>
      <c r="D254" s="64">
        <v>2</v>
      </c>
      <c r="E254" s="65">
        <v>3.1761156106099999E-4</v>
      </c>
    </row>
    <row r="255" spans="2:5" ht="14.45" customHeight="1">
      <c r="B255" s="95"/>
      <c r="C255" s="63" t="s">
        <v>224</v>
      </c>
      <c r="D255" s="64">
        <v>1</v>
      </c>
      <c r="E255" s="65">
        <v>1.5880578052999999E-4</v>
      </c>
    </row>
    <row r="256" spans="2:5" ht="14.45" customHeight="1">
      <c r="B256" s="95"/>
      <c r="C256" s="63" t="s">
        <v>196</v>
      </c>
      <c r="D256" s="64">
        <v>1</v>
      </c>
      <c r="E256" s="65">
        <v>1.5880578052999999E-4</v>
      </c>
    </row>
    <row r="257" spans="2:5" ht="14.45" customHeight="1">
      <c r="B257" s="96"/>
      <c r="C257" s="36" t="s">
        <v>29</v>
      </c>
      <c r="D257" s="35">
        <v>4</v>
      </c>
      <c r="E257" s="34">
        <v>6.3522312212199999E-4</v>
      </c>
    </row>
    <row r="258" spans="2:5" ht="14.45" customHeight="1">
      <c r="B258" s="94" t="s">
        <v>117</v>
      </c>
      <c r="C258" s="63" t="s">
        <v>198</v>
      </c>
      <c r="D258" s="64">
        <v>2</v>
      </c>
      <c r="E258" s="65">
        <v>3.1761156106099999E-4</v>
      </c>
    </row>
    <row r="259" spans="2:5" ht="14.45" customHeight="1">
      <c r="B259" s="95"/>
      <c r="C259" s="63" t="s">
        <v>203</v>
      </c>
      <c r="D259" s="64">
        <v>2</v>
      </c>
      <c r="E259" s="65">
        <v>3.1761156106099999E-4</v>
      </c>
    </row>
    <row r="260" spans="2:5" ht="14.45" customHeight="1">
      <c r="B260" s="95"/>
      <c r="C260" s="63" t="s">
        <v>209</v>
      </c>
      <c r="D260" s="64">
        <v>1</v>
      </c>
      <c r="E260" s="65">
        <v>1.5880578052999999E-4</v>
      </c>
    </row>
    <row r="261" spans="2:5" ht="14.45" customHeight="1">
      <c r="B261" s="95"/>
      <c r="C261" s="63" t="s">
        <v>213</v>
      </c>
      <c r="D261" s="64">
        <v>3</v>
      </c>
      <c r="E261" s="65">
        <v>4.7641734159099998E-4</v>
      </c>
    </row>
    <row r="262" spans="2:5" ht="14.45" customHeight="1">
      <c r="B262" s="95"/>
      <c r="C262" s="63" t="s">
        <v>194</v>
      </c>
      <c r="D262" s="64">
        <v>4</v>
      </c>
      <c r="E262" s="65">
        <v>6.3522312212199999E-4</v>
      </c>
    </row>
    <row r="263" spans="2:5" ht="14.45" customHeight="1">
      <c r="B263" s="95"/>
      <c r="C263" s="63" t="s">
        <v>222</v>
      </c>
      <c r="D263" s="64">
        <v>1</v>
      </c>
      <c r="E263" s="65">
        <v>1.5880578052999999E-4</v>
      </c>
    </row>
    <row r="264" spans="2:5" ht="14.45" customHeight="1">
      <c r="B264" s="95"/>
      <c r="C264" s="63" t="s">
        <v>224</v>
      </c>
      <c r="D264" s="64">
        <v>1</v>
      </c>
      <c r="E264" s="65">
        <v>1.5880578052999999E-4</v>
      </c>
    </row>
    <row r="265" spans="2:5" ht="14.45" customHeight="1">
      <c r="B265" s="95"/>
      <c r="C265" s="63" t="s">
        <v>195</v>
      </c>
      <c r="D265" s="64">
        <v>8</v>
      </c>
      <c r="E265" s="65">
        <v>1.2704462442429999E-3</v>
      </c>
    </row>
    <row r="266" spans="2:5" ht="14.45" customHeight="1">
      <c r="B266" s="95"/>
      <c r="C266" s="63" t="s">
        <v>234</v>
      </c>
      <c r="D266" s="64">
        <v>1</v>
      </c>
      <c r="E266" s="65">
        <v>1.5880578052999999E-4</v>
      </c>
    </row>
    <row r="267" spans="2:5" ht="14.45" customHeight="1">
      <c r="B267" s="95"/>
      <c r="C267" s="63" t="s">
        <v>196</v>
      </c>
      <c r="D267" s="64">
        <v>1</v>
      </c>
      <c r="E267" s="65">
        <v>1.5880578052999999E-4</v>
      </c>
    </row>
    <row r="268" spans="2:5" ht="14.45" customHeight="1">
      <c r="B268" s="95"/>
      <c r="C268" s="63" t="s">
        <v>235</v>
      </c>
      <c r="D268" s="64">
        <v>3</v>
      </c>
      <c r="E268" s="65">
        <v>4.7641734159099998E-4</v>
      </c>
    </row>
    <row r="269" spans="2:5" ht="14.45" customHeight="1">
      <c r="B269" s="95"/>
      <c r="C269" s="63" t="s">
        <v>58</v>
      </c>
      <c r="D269" s="64">
        <v>7</v>
      </c>
      <c r="E269" s="65">
        <v>1.111640463713E-3</v>
      </c>
    </row>
    <row r="270" spans="2:5" ht="14.45" customHeight="1">
      <c r="B270" s="95"/>
      <c r="C270" s="63" t="s">
        <v>246</v>
      </c>
      <c r="D270" s="64">
        <v>3</v>
      </c>
      <c r="E270" s="65">
        <v>4.7641734159099998E-4</v>
      </c>
    </row>
    <row r="271" spans="2:5" ht="14.45" customHeight="1">
      <c r="B271" s="96"/>
      <c r="C271" s="36" t="s">
        <v>29</v>
      </c>
      <c r="D271" s="35">
        <v>37</v>
      </c>
      <c r="E271" s="34">
        <v>5.8758138796250001E-3</v>
      </c>
    </row>
    <row r="272" spans="2:5" ht="14.45" customHeight="1">
      <c r="B272" s="94" t="s">
        <v>118</v>
      </c>
      <c r="C272" s="63" t="s">
        <v>198</v>
      </c>
      <c r="D272" s="64">
        <v>1</v>
      </c>
      <c r="E272" s="65">
        <v>1.5880578052999999E-4</v>
      </c>
    </row>
    <row r="273" spans="2:5" ht="14.45" customHeight="1">
      <c r="B273" s="95"/>
      <c r="C273" s="63" t="s">
        <v>201</v>
      </c>
      <c r="D273" s="64">
        <v>1</v>
      </c>
      <c r="E273" s="65">
        <v>1.5880578052999999E-4</v>
      </c>
    </row>
    <row r="274" spans="2:5" ht="14.45" customHeight="1">
      <c r="B274" s="95"/>
      <c r="C274" s="63" t="s">
        <v>210</v>
      </c>
      <c r="D274" s="64">
        <v>1</v>
      </c>
      <c r="E274" s="65">
        <v>1.5880578052999999E-4</v>
      </c>
    </row>
    <row r="275" spans="2:5" ht="14.45" customHeight="1">
      <c r="B275" s="95"/>
      <c r="C275" s="63" t="s">
        <v>214</v>
      </c>
      <c r="D275" s="64">
        <v>3</v>
      </c>
      <c r="E275" s="65">
        <v>4.7641734159099998E-4</v>
      </c>
    </row>
    <row r="276" spans="2:5" ht="14.45" customHeight="1">
      <c r="B276" s="95"/>
      <c r="C276" s="63" t="s">
        <v>224</v>
      </c>
      <c r="D276" s="64">
        <v>1</v>
      </c>
      <c r="E276" s="65">
        <v>1.5880578052999999E-4</v>
      </c>
    </row>
    <row r="277" spans="2:5" ht="14.45" customHeight="1">
      <c r="B277" s="95"/>
      <c r="C277" s="63" t="s">
        <v>195</v>
      </c>
      <c r="D277" s="64">
        <v>1</v>
      </c>
      <c r="E277" s="65">
        <v>1.5880578052999999E-4</v>
      </c>
    </row>
    <row r="278" spans="2:5" ht="14.45" customHeight="1">
      <c r="B278" s="95"/>
      <c r="C278" s="63" t="s">
        <v>196</v>
      </c>
      <c r="D278" s="64">
        <v>2</v>
      </c>
      <c r="E278" s="65">
        <v>3.1761156106099999E-4</v>
      </c>
    </row>
    <row r="279" spans="2:5" ht="14.45" customHeight="1">
      <c r="B279" s="95"/>
      <c r="C279" s="63" t="s">
        <v>58</v>
      </c>
      <c r="D279" s="64">
        <v>3</v>
      </c>
      <c r="E279" s="65">
        <v>4.7641734159099998E-4</v>
      </c>
    </row>
    <row r="280" spans="2:5" ht="14.45" customHeight="1">
      <c r="B280" s="95"/>
      <c r="C280" s="63" t="s">
        <v>252</v>
      </c>
      <c r="D280" s="64">
        <v>1</v>
      </c>
      <c r="E280" s="65">
        <v>1.5880578052999999E-4</v>
      </c>
    </row>
    <row r="281" spans="2:5" ht="14.45" customHeight="1">
      <c r="B281" s="96"/>
      <c r="C281" s="36" t="s">
        <v>29</v>
      </c>
      <c r="D281" s="35">
        <v>14</v>
      </c>
      <c r="E281" s="34">
        <v>2.2232809274259999E-3</v>
      </c>
    </row>
    <row r="282" spans="2:5" ht="14.45" customHeight="1">
      <c r="B282" s="94" t="s">
        <v>119</v>
      </c>
      <c r="C282" s="63" t="s">
        <v>194</v>
      </c>
      <c r="D282" s="64">
        <v>2</v>
      </c>
      <c r="E282" s="65">
        <v>3.1761156106099999E-4</v>
      </c>
    </row>
    <row r="283" spans="2:5" ht="14.45" customHeight="1">
      <c r="B283" s="95"/>
      <c r="C283" s="63" t="s">
        <v>215</v>
      </c>
      <c r="D283" s="64">
        <v>1</v>
      </c>
      <c r="E283" s="65">
        <v>1.5880578052999999E-4</v>
      </c>
    </row>
    <row r="284" spans="2:5" ht="14.45" customHeight="1">
      <c r="B284" s="95"/>
      <c r="C284" s="63" t="s">
        <v>195</v>
      </c>
      <c r="D284" s="64">
        <v>4</v>
      </c>
      <c r="E284" s="65">
        <v>6.3522312212199999E-4</v>
      </c>
    </row>
    <row r="285" spans="2:5" ht="14.45" customHeight="1">
      <c r="B285" s="95"/>
      <c r="C285" s="63" t="s">
        <v>196</v>
      </c>
      <c r="D285" s="64">
        <v>1</v>
      </c>
      <c r="E285" s="65">
        <v>1.5880578052999999E-4</v>
      </c>
    </row>
    <row r="286" spans="2:5" ht="14.45" customHeight="1">
      <c r="B286" s="95"/>
      <c r="C286" s="63" t="s">
        <v>246</v>
      </c>
      <c r="D286" s="64">
        <v>1</v>
      </c>
      <c r="E286" s="65">
        <v>1.5880578052999999E-4</v>
      </c>
    </row>
    <row r="287" spans="2:5" ht="14.45" customHeight="1">
      <c r="B287" s="96"/>
      <c r="C287" s="36" t="s">
        <v>29</v>
      </c>
      <c r="D287" s="35">
        <v>9</v>
      </c>
      <c r="E287" s="34">
        <v>1.4292520247739999E-3</v>
      </c>
    </row>
    <row r="288" spans="2:5" ht="14.45" customHeight="1">
      <c r="B288" s="94" t="s">
        <v>120</v>
      </c>
      <c r="C288" s="63" t="s">
        <v>219</v>
      </c>
      <c r="D288" s="64">
        <v>1</v>
      </c>
      <c r="E288" s="65">
        <v>1.5880578052999999E-4</v>
      </c>
    </row>
    <row r="289" spans="2:5" ht="14.45" customHeight="1">
      <c r="B289" s="96"/>
      <c r="C289" s="36" t="s">
        <v>29</v>
      </c>
      <c r="D289" s="35">
        <v>1</v>
      </c>
      <c r="E289" s="34">
        <v>1.5880578052999999E-4</v>
      </c>
    </row>
    <row r="290" spans="2:5" ht="14.45" customHeight="1">
      <c r="B290" s="94" t="s">
        <v>121</v>
      </c>
      <c r="C290" s="63" t="s">
        <v>194</v>
      </c>
      <c r="D290" s="64">
        <v>9</v>
      </c>
      <c r="E290" s="65">
        <v>1.4292520247739999E-3</v>
      </c>
    </row>
    <row r="291" spans="2:5" ht="14.45" customHeight="1">
      <c r="B291" s="95"/>
      <c r="C291" s="63" t="s">
        <v>195</v>
      </c>
      <c r="D291" s="64">
        <v>4</v>
      </c>
      <c r="E291" s="65">
        <v>6.3522312212199999E-4</v>
      </c>
    </row>
    <row r="292" spans="2:5" ht="14.45" customHeight="1">
      <c r="B292" s="95"/>
      <c r="C292" s="63" t="s">
        <v>58</v>
      </c>
      <c r="D292" s="64">
        <v>1</v>
      </c>
      <c r="E292" s="65">
        <v>1.5880578052999999E-4</v>
      </c>
    </row>
    <row r="293" spans="2:5" ht="14.45" customHeight="1">
      <c r="B293" s="95"/>
      <c r="C293" s="63" t="s">
        <v>244</v>
      </c>
      <c r="D293" s="64">
        <v>1</v>
      </c>
      <c r="E293" s="65">
        <v>1.5880578052999999E-4</v>
      </c>
    </row>
    <row r="294" spans="2:5" ht="14.45" customHeight="1">
      <c r="B294" s="96"/>
      <c r="C294" s="36" t="s">
        <v>29</v>
      </c>
      <c r="D294" s="35">
        <v>15</v>
      </c>
      <c r="E294" s="34">
        <v>2.3820867079560001E-3</v>
      </c>
    </row>
    <row r="295" spans="2:5" ht="14.45" customHeight="1">
      <c r="B295" s="94" t="s">
        <v>122</v>
      </c>
      <c r="C295" s="63" t="s">
        <v>213</v>
      </c>
      <c r="D295" s="64">
        <v>1</v>
      </c>
      <c r="E295" s="65">
        <v>1.5880578052999999E-4</v>
      </c>
    </row>
    <row r="296" spans="2:5" ht="14.45" customHeight="1">
      <c r="B296" s="95"/>
      <c r="C296" s="63" t="s">
        <v>194</v>
      </c>
      <c r="D296" s="64">
        <v>5</v>
      </c>
      <c r="E296" s="65">
        <v>7.9402890265200003E-4</v>
      </c>
    </row>
    <row r="297" spans="2:5" ht="14.45" customHeight="1">
      <c r="B297" s="95"/>
      <c r="C297" s="63" t="s">
        <v>224</v>
      </c>
      <c r="D297" s="64">
        <v>2</v>
      </c>
      <c r="E297" s="65">
        <v>3.1761156106099999E-4</v>
      </c>
    </row>
    <row r="298" spans="2:5" ht="14.45" customHeight="1">
      <c r="B298" s="95"/>
      <c r="C298" s="63" t="s">
        <v>195</v>
      </c>
      <c r="D298" s="64">
        <v>3</v>
      </c>
      <c r="E298" s="65">
        <v>4.7641734159099998E-4</v>
      </c>
    </row>
    <row r="299" spans="2:5" ht="14.45" customHeight="1">
      <c r="B299" s="95"/>
      <c r="C299" s="63" t="s">
        <v>228</v>
      </c>
      <c r="D299" s="64">
        <v>1</v>
      </c>
      <c r="E299" s="65">
        <v>1.5880578052999999E-4</v>
      </c>
    </row>
    <row r="300" spans="2:5" ht="14.45" customHeight="1">
      <c r="B300" s="95"/>
      <c r="C300" s="63" t="s">
        <v>58</v>
      </c>
      <c r="D300" s="64">
        <v>1</v>
      </c>
      <c r="E300" s="65">
        <v>1.5880578052999999E-4</v>
      </c>
    </row>
    <row r="301" spans="2:5" ht="14.45" customHeight="1">
      <c r="B301" s="95"/>
      <c r="C301" s="63" t="s">
        <v>246</v>
      </c>
      <c r="D301" s="64">
        <v>1</v>
      </c>
      <c r="E301" s="65">
        <v>1.5880578052999999E-4</v>
      </c>
    </row>
    <row r="302" spans="2:5" ht="14.45" customHeight="1">
      <c r="B302" s="96"/>
      <c r="C302" s="36" t="s">
        <v>29</v>
      </c>
      <c r="D302" s="35">
        <v>14</v>
      </c>
      <c r="E302" s="34">
        <v>2.2232809274259999E-3</v>
      </c>
    </row>
    <row r="303" spans="2:5" ht="14.45" customHeight="1">
      <c r="B303" s="94" t="s">
        <v>123</v>
      </c>
      <c r="C303" s="63" t="s">
        <v>213</v>
      </c>
      <c r="D303" s="64">
        <v>1</v>
      </c>
      <c r="E303" s="65">
        <v>1.5880578052999999E-4</v>
      </c>
    </row>
    <row r="304" spans="2:5" ht="14.45" customHeight="1">
      <c r="B304" s="95"/>
      <c r="C304" s="63" t="s">
        <v>194</v>
      </c>
      <c r="D304" s="64">
        <v>9</v>
      </c>
      <c r="E304" s="65">
        <v>1.4292520247739999E-3</v>
      </c>
    </row>
    <row r="305" spans="2:5" ht="14.45" customHeight="1">
      <c r="B305" s="95"/>
      <c r="C305" s="63" t="s">
        <v>214</v>
      </c>
      <c r="D305" s="64">
        <v>1</v>
      </c>
      <c r="E305" s="65">
        <v>1.5880578052999999E-4</v>
      </c>
    </row>
    <row r="306" spans="2:5" ht="14.45" customHeight="1">
      <c r="B306" s="95"/>
      <c r="C306" s="63" t="s">
        <v>220</v>
      </c>
      <c r="D306" s="64">
        <v>1</v>
      </c>
      <c r="E306" s="65">
        <v>1.5880578052999999E-4</v>
      </c>
    </row>
    <row r="307" spans="2:5" ht="14.45" customHeight="1">
      <c r="B307" s="95"/>
      <c r="C307" s="63" t="s">
        <v>224</v>
      </c>
      <c r="D307" s="64">
        <v>1</v>
      </c>
      <c r="E307" s="65">
        <v>1.5880578052999999E-4</v>
      </c>
    </row>
    <row r="308" spans="2:5" ht="14.45" customHeight="1">
      <c r="B308" s="95"/>
      <c r="C308" s="63" t="s">
        <v>195</v>
      </c>
      <c r="D308" s="64">
        <v>4</v>
      </c>
      <c r="E308" s="65">
        <v>6.3522312212199999E-4</v>
      </c>
    </row>
    <row r="309" spans="2:5" ht="14.45" customHeight="1">
      <c r="B309" s="95"/>
      <c r="C309" s="63" t="s">
        <v>196</v>
      </c>
      <c r="D309" s="64">
        <v>2</v>
      </c>
      <c r="E309" s="65">
        <v>3.1761156106099999E-4</v>
      </c>
    </row>
    <row r="310" spans="2:5" ht="14.45" customHeight="1">
      <c r="B310" s="95"/>
      <c r="C310" s="63" t="s">
        <v>58</v>
      </c>
      <c r="D310" s="64">
        <v>2</v>
      </c>
      <c r="E310" s="65">
        <v>3.1761156106099999E-4</v>
      </c>
    </row>
    <row r="311" spans="2:5" ht="14.45" customHeight="1">
      <c r="B311" s="95"/>
      <c r="C311" s="63" t="s">
        <v>240</v>
      </c>
      <c r="D311" s="64">
        <v>2</v>
      </c>
      <c r="E311" s="65">
        <v>3.1761156106099999E-4</v>
      </c>
    </row>
    <row r="312" spans="2:5" ht="14.45" customHeight="1">
      <c r="B312" s="95"/>
      <c r="C312" s="63" t="s">
        <v>246</v>
      </c>
      <c r="D312" s="64">
        <v>1</v>
      </c>
      <c r="E312" s="65">
        <v>1.5880578052999999E-4</v>
      </c>
    </row>
    <row r="313" spans="2:5" ht="14.45" customHeight="1">
      <c r="B313" s="95"/>
      <c r="C313" s="63" t="s">
        <v>259</v>
      </c>
      <c r="D313" s="64">
        <v>1</v>
      </c>
      <c r="E313" s="65">
        <v>1.5880578052999999E-4</v>
      </c>
    </row>
    <row r="314" spans="2:5" ht="14.45" customHeight="1">
      <c r="B314" s="96"/>
      <c r="C314" s="36" t="s">
        <v>29</v>
      </c>
      <c r="D314" s="35">
        <v>25</v>
      </c>
      <c r="E314" s="34">
        <v>3.9701445132599997E-3</v>
      </c>
    </row>
    <row r="315" spans="2:5" ht="14.45" customHeight="1">
      <c r="B315" s="94" t="s">
        <v>124</v>
      </c>
      <c r="C315" s="63" t="s">
        <v>213</v>
      </c>
      <c r="D315" s="64">
        <v>1</v>
      </c>
      <c r="E315" s="65">
        <v>1.5880578052999999E-4</v>
      </c>
    </row>
    <row r="316" spans="2:5" ht="14.45" customHeight="1">
      <c r="B316" s="95"/>
      <c r="C316" s="63" t="s">
        <v>194</v>
      </c>
      <c r="D316" s="64">
        <v>2</v>
      </c>
      <c r="E316" s="65">
        <v>3.1761156106099999E-4</v>
      </c>
    </row>
    <row r="317" spans="2:5" ht="14.45" customHeight="1">
      <c r="B317" s="95"/>
      <c r="C317" s="63" t="s">
        <v>195</v>
      </c>
      <c r="D317" s="64">
        <v>1</v>
      </c>
      <c r="E317" s="65">
        <v>1.5880578052999999E-4</v>
      </c>
    </row>
    <row r="318" spans="2:5" ht="14.45" customHeight="1">
      <c r="B318" s="95"/>
      <c r="C318" s="63" t="s">
        <v>58</v>
      </c>
      <c r="D318" s="64">
        <v>1</v>
      </c>
      <c r="E318" s="65">
        <v>1.5880578052999999E-4</v>
      </c>
    </row>
    <row r="319" spans="2:5" ht="14.45" customHeight="1">
      <c r="B319" s="95"/>
      <c r="C319" s="63" t="s">
        <v>240</v>
      </c>
      <c r="D319" s="64">
        <v>1</v>
      </c>
      <c r="E319" s="65">
        <v>1.5880578052999999E-4</v>
      </c>
    </row>
    <row r="320" spans="2:5" ht="14.45" customHeight="1">
      <c r="B320" s="96"/>
      <c r="C320" s="36" t="s">
        <v>29</v>
      </c>
      <c r="D320" s="35">
        <v>6</v>
      </c>
      <c r="E320" s="34">
        <v>9.5283468318199996E-4</v>
      </c>
    </row>
    <row r="321" spans="2:5" ht="14.45" customHeight="1">
      <c r="B321" s="94" t="s">
        <v>125</v>
      </c>
      <c r="C321" s="63" t="s">
        <v>213</v>
      </c>
      <c r="D321" s="64">
        <v>1</v>
      </c>
      <c r="E321" s="65">
        <v>1.5880578052999999E-4</v>
      </c>
    </row>
    <row r="322" spans="2:5" ht="14.45" customHeight="1">
      <c r="B322" s="95"/>
      <c r="C322" s="63" t="s">
        <v>194</v>
      </c>
      <c r="D322" s="64">
        <v>8</v>
      </c>
      <c r="E322" s="65">
        <v>1.2704462442429999E-3</v>
      </c>
    </row>
    <row r="323" spans="2:5" ht="14.45" customHeight="1">
      <c r="B323" s="95"/>
      <c r="C323" s="63" t="s">
        <v>219</v>
      </c>
      <c r="D323" s="64">
        <v>2</v>
      </c>
      <c r="E323" s="65">
        <v>3.1761156106099999E-4</v>
      </c>
    </row>
    <row r="324" spans="2:5" ht="14.45" customHeight="1">
      <c r="B324" s="95"/>
      <c r="C324" s="63" t="s">
        <v>224</v>
      </c>
      <c r="D324" s="64">
        <v>2</v>
      </c>
      <c r="E324" s="65">
        <v>3.1761156106099999E-4</v>
      </c>
    </row>
    <row r="325" spans="2:5" ht="14.45" customHeight="1">
      <c r="B325" s="95"/>
      <c r="C325" s="63" t="s">
        <v>195</v>
      </c>
      <c r="D325" s="64">
        <v>4</v>
      </c>
      <c r="E325" s="65">
        <v>6.3522312212199999E-4</v>
      </c>
    </row>
    <row r="326" spans="2:5" ht="14.45" customHeight="1">
      <c r="B326" s="95"/>
      <c r="C326" s="63" t="s">
        <v>234</v>
      </c>
      <c r="D326" s="64">
        <v>1</v>
      </c>
      <c r="E326" s="65">
        <v>1.5880578052999999E-4</v>
      </c>
    </row>
    <row r="327" spans="2:5" ht="14.45" customHeight="1">
      <c r="B327" s="95"/>
      <c r="C327" s="63" t="s">
        <v>196</v>
      </c>
      <c r="D327" s="64">
        <v>1</v>
      </c>
      <c r="E327" s="65">
        <v>1.5880578052999999E-4</v>
      </c>
    </row>
    <row r="328" spans="2:5" ht="14.45" customHeight="1">
      <c r="B328" s="95"/>
      <c r="C328" s="63" t="s">
        <v>235</v>
      </c>
      <c r="D328" s="64">
        <v>1</v>
      </c>
      <c r="E328" s="65">
        <v>1.5880578052999999E-4</v>
      </c>
    </row>
    <row r="329" spans="2:5" ht="14.45" customHeight="1">
      <c r="B329" s="95"/>
      <c r="C329" s="63" t="s">
        <v>58</v>
      </c>
      <c r="D329" s="64">
        <v>3</v>
      </c>
      <c r="E329" s="65">
        <v>4.7641734159099998E-4</v>
      </c>
    </row>
    <row r="330" spans="2:5" ht="14.45" customHeight="1">
      <c r="B330" s="95"/>
      <c r="C330" s="63" t="s">
        <v>245</v>
      </c>
      <c r="D330" s="64">
        <v>1</v>
      </c>
      <c r="E330" s="65">
        <v>1.5880578052999999E-4</v>
      </c>
    </row>
    <row r="331" spans="2:5" ht="14.45" customHeight="1">
      <c r="B331" s="95"/>
      <c r="C331" s="63" t="s">
        <v>246</v>
      </c>
      <c r="D331" s="64">
        <v>2</v>
      </c>
      <c r="E331" s="65">
        <v>3.1761156106099999E-4</v>
      </c>
    </row>
    <row r="332" spans="2:5" ht="14.45" customHeight="1">
      <c r="B332" s="95"/>
      <c r="C332" s="63" t="s">
        <v>256</v>
      </c>
      <c r="D332" s="64">
        <v>1</v>
      </c>
      <c r="E332" s="65">
        <v>1.5880578052999999E-4</v>
      </c>
    </row>
    <row r="333" spans="2:5" ht="14.45" customHeight="1">
      <c r="B333" s="96"/>
      <c r="C333" s="36" t="s">
        <v>29</v>
      </c>
      <c r="D333" s="35">
        <v>27</v>
      </c>
      <c r="E333" s="34">
        <v>4.2877560743210001E-3</v>
      </c>
    </row>
    <row r="334" spans="2:5" ht="14.45" customHeight="1">
      <c r="B334" s="94" t="s">
        <v>126</v>
      </c>
      <c r="C334" s="63" t="s">
        <v>194</v>
      </c>
      <c r="D334" s="64">
        <v>1</v>
      </c>
      <c r="E334" s="65">
        <v>1.5880578052999999E-4</v>
      </c>
    </row>
    <row r="335" spans="2:5" ht="14.45" customHeight="1">
      <c r="B335" s="96"/>
      <c r="C335" s="36" t="s">
        <v>29</v>
      </c>
      <c r="D335" s="35">
        <v>1</v>
      </c>
      <c r="E335" s="34">
        <v>1.5880578052999999E-4</v>
      </c>
    </row>
    <row r="336" spans="2:5" ht="14.45" customHeight="1">
      <c r="B336" s="94" t="s">
        <v>127</v>
      </c>
      <c r="C336" s="63" t="s">
        <v>198</v>
      </c>
      <c r="D336" s="64">
        <v>1</v>
      </c>
      <c r="E336" s="65">
        <v>1.5880578052999999E-4</v>
      </c>
    </row>
    <row r="337" spans="2:5" ht="14.45" customHeight="1">
      <c r="B337" s="95"/>
      <c r="C337" s="63" t="s">
        <v>208</v>
      </c>
      <c r="D337" s="64">
        <v>1</v>
      </c>
      <c r="E337" s="65">
        <v>1.5880578052999999E-4</v>
      </c>
    </row>
    <row r="338" spans="2:5" ht="14.45" customHeight="1">
      <c r="B338" s="95"/>
      <c r="C338" s="63" t="s">
        <v>194</v>
      </c>
      <c r="D338" s="64">
        <v>2</v>
      </c>
      <c r="E338" s="65">
        <v>3.1761156106099999E-4</v>
      </c>
    </row>
    <row r="339" spans="2:5" ht="14.45" customHeight="1">
      <c r="B339" s="95"/>
      <c r="C339" s="63" t="s">
        <v>219</v>
      </c>
      <c r="D339" s="64">
        <v>1</v>
      </c>
      <c r="E339" s="65">
        <v>1.5880578052999999E-4</v>
      </c>
    </row>
    <row r="340" spans="2:5" ht="14.45" customHeight="1">
      <c r="B340" s="95"/>
      <c r="C340" s="63" t="s">
        <v>220</v>
      </c>
      <c r="D340" s="64">
        <v>1</v>
      </c>
      <c r="E340" s="65">
        <v>1.5880578052999999E-4</v>
      </c>
    </row>
    <row r="341" spans="2:5" ht="14.45" customHeight="1">
      <c r="B341" s="95"/>
      <c r="C341" s="63" t="s">
        <v>195</v>
      </c>
      <c r="D341" s="64">
        <v>4</v>
      </c>
      <c r="E341" s="65">
        <v>6.3522312212199999E-4</v>
      </c>
    </row>
    <row r="342" spans="2:5" ht="14.45" customHeight="1">
      <c r="B342" s="95"/>
      <c r="C342" s="63" t="s">
        <v>196</v>
      </c>
      <c r="D342" s="64">
        <v>1</v>
      </c>
      <c r="E342" s="65">
        <v>1.5880578052999999E-4</v>
      </c>
    </row>
    <row r="343" spans="2:5" ht="14.45" customHeight="1">
      <c r="B343" s="95"/>
      <c r="C343" s="63" t="s">
        <v>58</v>
      </c>
      <c r="D343" s="64">
        <v>1</v>
      </c>
      <c r="E343" s="65">
        <v>1.5880578052999999E-4</v>
      </c>
    </row>
    <row r="344" spans="2:5" ht="14.45" customHeight="1">
      <c r="B344" s="96"/>
      <c r="C344" s="36" t="s">
        <v>29</v>
      </c>
      <c r="D344" s="35">
        <v>12</v>
      </c>
      <c r="E344" s="34">
        <v>1.905669366365E-3</v>
      </c>
    </row>
    <row r="345" spans="2:5" ht="14.45" customHeight="1">
      <c r="B345" s="94" t="s">
        <v>128</v>
      </c>
      <c r="C345" s="63" t="s">
        <v>198</v>
      </c>
      <c r="D345" s="64">
        <v>14</v>
      </c>
      <c r="E345" s="65">
        <v>2.2232809274259999E-3</v>
      </c>
    </row>
    <row r="346" spans="2:5" ht="14.45" customHeight="1">
      <c r="B346" s="95"/>
      <c r="C346" s="63" t="s">
        <v>199</v>
      </c>
      <c r="D346" s="64">
        <v>6</v>
      </c>
      <c r="E346" s="65">
        <v>9.5283468318199996E-4</v>
      </c>
    </row>
    <row r="347" spans="2:5" ht="14.45" customHeight="1">
      <c r="B347" s="95"/>
      <c r="C347" s="63" t="s">
        <v>205</v>
      </c>
      <c r="D347" s="64">
        <v>1</v>
      </c>
      <c r="E347" s="65">
        <v>1.5880578052999999E-4</v>
      </c>
    </row>
    <row r="348" spans="2:5" ht="14.45" customHeight="1">
      <c r="B348" s="95"/>
      <c r="C348" s="63" t="s">
        <v>208</v>
      </c>
      <c r="D348" s="64">
        <v>1</v>
      </c>
      <c r="E348" s="65">
        <v>1.5880578052999999E-4</v>
      </c>
    </row>
    <row r="349" spans="2:5" ht="14.45" customHeight="1">
      <c r="B349" s="95"/>
      <c r="C349" s="63" t="s">
        <v>209</v>
      </c>
      <c r="D349" s="64">
        <v>1</v>
      </c>
      <c r="E349" s="65">
        <v>1.5880578052999999E-4</v>
      </c>
    </row>
    <row r="350" spans="2:5" ht="14.45" customHeight="1">
      <c r="B350" s="95"/>
      <c r="C350" s="63" t="s">
        <v>211</v>
      </c>
      <c r="D350" s="64">
        <v>2</v>
      </c>
      <c r="E350" s="65">
        <v>3.1761156106099999E-4</v>
      </c>
    </row>
    <row r="351" spans="2:5" ht="14.45" customHeight="1">
      <c r="B351" s="95"/>
      <c r="C351" s="63" t="s">
        <v>213</v>
      </c>
      <c r="D351" s="64">
        <v>12</v>
      </c>
      <c r="E351" s="65">
        <v>1.905669366365E-3</v>
      </c>
    </row>
    <row r="352" spans="2:5" ht="14.45" customHeight="1">
      <c r="B352" s="95"/>
      <c r="C352" s="63" t="s">
        <v>194</v>
      </c>
      <c r="D352" s="64">
        <v>76</v>
      </c>
      <c r="E352" s="65">
        <v>1.2069239320311001E-2</v>
      </c>
    </row>
    <row r="353" spans="2:5" ht="14.45" customHeight="1">
      <c r="B353" s="95"/>
      <c r="C353" s="63" t="s">
        <v>214</v>
      </c>
      <c r="D353" s="64">
        <v>2</v>
      </c>
      <c r="E353" s="65">
        <v>3.1761156106099999E-4</v>
      </c>
    </row>
    <row r="354" spans="2:5" ht="14.45" customHeight="1">
      <c r="B354" s="95"/>
      <c r="C354" s="63" t="s">
        <v>215</v>
      </c>
      <c r="D354" s="64">
        <v>2</v>
      </c>
      <c r="E354" s="65">
        <v>3.1761156106099999E-4</v>
      </c>
    </row>
    <row r="355" spans="2:5" ht="14.45" customHeight="1">
      <c r="B355" s="95"/>
      <c r="C355" s="63" t="s">
        <v>217</v>
      </c>
      <c r="D355" s="64">
        <v>1</v>
      </c>
      <c r="E355" s="65">
        <v>1.5880578052999999E-4</v>
      </c>
    </row>
    <row r="356" spans="2:5" ht="14.45" customHeight="1">
      <c r="B356" s="95"/>
      <c r="C356" s="63" t="s">
        <v>219</v>
      </c>
      <c r="D356" s="64">
        <v>4</v>
      </c>
      <c r="E356" s="65">
        <v>6.3522312212199999E-4</v>
      </c>
    </row>
    <row r="357" spans="2:5" ht="14.45" customHeight="1">
      <c r="B357" s="95"/>
      <c r="C357" s="63" t="s">
        <v>220</v>
      </c>
      <c r="D357" s="64">
        <v>6</v>
      </c>
      <c r="E357" s="65">
        <v>9.5283468318199996E-4</v>
      </c>
    </row>
    <row r="358" spans="2:5" ht="14.45" customHeight="1">
      <c r="B358" s="95"/>
      <c r="C358" s="63" t="s">
        <v>221</v>
      </c>
      <c r="D358" s="64">
        <v>1</v>
      </c>
      <c r="E358" s="65">
        <v>1.5880578052999999E-4</v>
      </c>
    </row>
    <row r="359" spans="2:5" ht="14.45" customHeight="1">
      <c r="B359" s="95"/>
      <c r="C359" s="63" t="s">
        <v>224</v>
      </c>
      <c r="D359" s="64">
        <v>30</v>
      </c>
      <c r="E359" s="65">
        <v>4.7641734159120002E-3</v>
      </c>
    </row>
    <row r="360" spans="2:5" ht="14.45" customHeight="1">
      <c r="B360" s="95"/>
      <c r="C360" s="63" t="s">
        <v>195</v>
      </c>
      <c r="D360" s="64">
        <v>55</v>
      </c>
      <c r="E360" s="65">
        <v>8.7343179291730008E-3</v>
      </c>
    </row>
    <row r="361" spans="2:5" ht="14.45" customHeight="1">
      <c r="B361" s="95"/>
      <c r="C361" s="63" t="s">
        <v>226</v>
      </c>
      <c r="D361" s="64">
        <v>8</v>
      </c>
      <c r="E361" s="65">
        <v>1.2704462442429999E-3</v>
      </c>
    </row>
    <row r="362" spans="2:5" ht="14.45" customHeight="1">
      <c r="B362" s="95"/>
      <c r="C362" s="63" t="s">
        <v>230</v>
      </c>
      <c r="D362" s="64">
        <v>3</v>
      </c>
      <c r="E362" s="65">
        <v>4.7641734159099998E-4</v>
      </c>
    </row>
    <row r="363" spans="2:5" ht="14.45" customHeight="1">
      <c r="B363" s="95"/>
      <c r="C363" s="63" t="s">
        <v>234</v>
      </c>
      <c r="D363" s="64">
        <v>3</v>
      </c>
      <c r="E363" s="65">
        <v>4.7641734159099998E-4</v>
      </c>
    </row>
    <row r="364" spans="2:5" ht="14.45" customHeight="1">
      <c r="B364" s="95"/>
      <c r="C364" s="63" t="s">
        <v>196</v>
      </c>
      <c r="D364" s="64">
        <v>26</v>
      </c>
      <c r="E364" s="65">
        <v>4.1289502937910004E-3</v>
      </c>
    </row>
    <row r="365" spans="2:5" ht="14.45" customHeight="1">
      <c r="B365" s="95"/>
      <c r="C365" s="63" t="s">
        <v>58</v>
      </c>
      <c r="D365" s="64">
        <v>25</v>
      </c>
      <c r="E365" s="65">
        <v>3.9701445132599997E-3</v>
      </c>
    </row>
    <row r="366" spans="2:5" ht="14.45" customHeight="1">
      <c r="B366" s="95"/>
      <c r="C366" s="63" t="s">
        <v>264</v>
      </c>
      <c r="D366" s="64">
        <v>1</v>
      </c>
      <c r="E366" s="65">
        <v>1.5880578052999999E-4</v>
      </c>
    </row>
    <row r="367" spans="2:5" ht="14.45" customHeight="1">
      <c r="B367" s="95"/>
      <c r="C367" s="63" t="s">
        <v>239</v>
      </c>
      <c r="D367" s="64">
        <v>2</v>
      </c>
      <c r="E367" s="65">
        <v>3.1761156106099999E-4</v>
      </c>
    </row>
    <row r="368" spans="2:5" ht="14.45" customHeight="1">
      <c r="B368" s="95"/>
      <c r="C368" s="63" t="s">
        <v>240</v>
      </c>
      <c r="D368" s="64">
        <v>10</v>
      </c>
      <c r="E368" s="65">
        <v>1.5880578053040001E-3</v>
      </c>
    </row>
    <row r="369" spans="2:5" ht="14.45" customHeight="1">
      <c r="B369" s="95"/>
      <c r="C369" s="63" t="s">
        <v>242</v>
      </c>
      <c r="D369" s="64">
        <v>1</v>
      </c>
      <c r="E369" s="65">
        <v>1.5880578052999999E-4</v>
      </c>
    </row>
    <row r="370" spans="2:5" ht="14.45" customHeight="1">
      <c r="B370" s="95"/>
      <c r="C370" s="63" t="s">
        <v>244</v>
      </c>
      <c r="D370" s="64">
        <v>1</v>
      </c>
      <c r="E370" s="65">
        <v>1.5880578052999999E-4</v>
      </c>
    </row>
    <row r="371" spans="2:5" ht="14.45" customHeight="1">
      <c r="B371" s="95"/>
      <c r="C371" s="63" t="s">
        <v>246</v>
      </c>
      <c r="D371" s="64">
        <v>36</v>
      </c>
      <c r="E371" s="65">
        <v>5.7170080990950004E-3</v>
      </c>
    </row>
    <row r="372" spans="2:5" ht="14.45" customHeight="1">
      <c r="B372" s="95"/>
      <c r="C372" s="63" t="s">
        <v>64</v>
      </c>
      <c r="D372" s="64">
        <v>5</v>
      </c>
      <c r="E372" s="65">
        <v>7.9402890265200003E-4</v>
      </c>
    </row>
    <row r="373" spans="2:5" ht="14.45" customHeight="1">
      <c r="B373" s="95"/>
      <c r="C373" s="63" t="s">
        <v>252</v>
      </c>
      <c r="D373" s="64">
        <v>2</v>
      </c>
      <c r="E373" s="65">
        <v>3.1761156106099999E-4</v>
      </c>
    </row>
    <row r="374" spans="2:5" ht="14.45" customHeight="1">
      <c r="B374" s="95"/>
      <c r="C374" s="63" t="s">
        <v>256</v>
      </c>
      <c r="D374" s="64">
        <v>2</v>
      </c>
      <c r="E374" s="65">
        <v>3.1761156106099999E-4</v>
      </c>
    </row>
    <row r="375" spans="2:5" ht="14.45" customHeight="1">
      <c r="B375" s="95"/>
      <c r="C375" s="63" t="s">
        <v>259</v>
      </c>
      <c r="D375" s="64">
        <v>1</v>
      </c>
      <c r="E375" s="65">
        <v>1.5880578052999999E-4</v>
      </c>
    </row>
    <row r="376" spans="2:5" ht="14.45" customHeight="1">
      <c r="B376" s="96"/>
      <c r="C376" s="36" t="s">
        <v>29</v>
      </c>
      <c r="D376" s="35">
        <v>340</v>
      </c>
      <c r="E376" s="34">
        <v>5.399396538034E-2</v>
      </c>
    </row>
    <row r="377" spans="2:5" ht="14.45" customHeight="1">
      <c r="B377" s="94" t="s">
        <v>129</v>
      </c>
      <c r="C377" s="63" t="s">
        <v>213</v>
      </c>
      <c r="D377" s="64">
        <v>2</v>
      </c>
      <c r="E377" s="65">
        <v>3.1761156106099999E-4</v>
      </c>
    </row>
    <row r="378" spans="2:5" ht="14.45" customHeight="1">
      <c r="B378" s="95"/>
      <c r="C378" s="63" t="s">
        <v>194</v>
      </c>
      <c r="D378" s="64">
        <v>1</v>
      </c>
      <c r="E378" s="65">
        <v>1.5880578052999999E-4</v>
      </c>
    </row>
    <row r="379" spans="2:5" ht="14.45" customHeight="1">
      <c r="B379" s="95"/>
      <c r="C379" s="63" t="s">
        <v>214</v>
      </c>
      <c r="D379" s="64">
        <v>1</v>
      </c>
      <c r="E379" s="65">
        <v>1.5880578052999999E-4</v>
      </c>
    </row>
    <row r="380" spans="2:5" ht="14.45" customHeight="1">
      <c r="B380" s="95"/>
      <c r="C380" s="63" t="s">
        <v>220</v>
      </c>
      <c r="D380" s="64">
        <v>1</v>
      </c>
      <c r="E380" s="65">
        <v>1.5880578052999999E-4</v>
      </c>
    </row>
    <row r="381" spans="2:5" ht="14.45" customHeight="1">
      <c r="B381" s="95"/>
      <c r="C381" s="63" t="s">
        <v>224</v>
      </c>
      <c r="D381" s="64">
        <v>1</v>
      </c>
      <c r="E381" s="65">
        <v>1.5880578052999999E-4</v>
      </c>
    </row>
    <row r="382" spans="2:5" ht="14.45" customHeight="1">
      <c r="B382" s="95"/>
      <c r="C382" s="63" t="s">
        <v>195</v>
      </c>
      <c r="D382" s="64">
        <v>4</v>
      </c>
      <c r="E382" s="65">
        <v>6.3522312212199999E-4</v>
      </c>
    </row>
    <row r="383" spans="2:5" ht="14.45" customHeight="1">
      <c r="B383" s="95"/>
      <c r="C383" s="63" t="s">
        <v>58</v>
      </c>
      <c r="D383" s="64">
        <v>1</v>
      </c>
      <c r="E383" s="65">
        <v>1.5880578052999999E-4</v>
      </c>
    </row>
    <row r="384" spans="2:5" ht="14.45" customHeight="1">
      <c r="B384" s="95"/>
      <c r="C384" s="63" t="s">
        <v>253</v>
      </c>
      <c r="D384" s="64">
        <v>1</v>
      </c>
      <c r="E384" s="65">
        <v>1.5880578052999999E-4</v>
      </c>
    </row>
    <row r="385" spans="2:5" ht="14.45" customHeight="1">
      <c r="B385" s="96"/>
      <c r="C385" s="36" t="s">
        <v>29</v>
      </c>
      <c r="D385" s="35">
        <v>12</v>
      </c>
      <c r="E385" s="34">
        <v>1.905669366365E-3</v>
      </c>
    </row>
    <row r="386" spans="2:5" ht="14.45" customHeight="1">
      <c r="B386" s="94" t="s">
        <v>130</v>
      </c>
      <c r="C386" s="63" t="s">
        <v>198</v>
      </c>
      <c r="D386" s="64">
        <v>6</v>
      </c>
      <c r="E386" s="65">
        <v>9.5283468318199996E-4</v>
      </c>
    </row>
    <row r="387" spans="2:5" ht="14.45" customHeight="1">
      <c r="B387" s="95"/>
      <c r="C387" s="63" t="s">
        <v>199</v>
      </c>
      <c r="D387" s="64">
        <v>1</v>
      </c>
      <c r="E387" s="65">
        <v>1.5880578052999999E-4</v>
      </c>
    </row>
    <row r="388" spans="2:5" ht="14.45" customHeight="1">
      <c r="B388" s="95"/>
      <c r="C388" s="63" t="s">
        <v>201</v>
      </c>
      <c r="D388" s="64">
        <v>2</v>
      </c>
      <c r="E388" s="65">
        <v>3.1761156106099999E-4</v>
      </c>
    </row>
    <row r="389" spans="2:5" ht="14.45" customHeight="1">
      <c r="B389" s="95"/>
      <c r="C389" s="63" t="s">
        <v>213</v>
      </c>
      <c r="D389" s="64">
        <v>2</v>
      </c>
      <c r="E389" s="65">
        <v>3.1761156106099999E-4</v>
      </c>
    </row>
    <row r="390" spans="2:5" ht="14.45" customHeight="1">
      <c r="B390" s="95"/>
      <c r="C390" s="63" t="s">
        <v>194</v>
      </c>
      <c r="D390" s="64">
        <v>10</v>
      </c>
      <c r="E390" s="65">
        <v>1.5880578053040001E-3</v>
      </c>
    </row>
    <row r="391" spans="2:5" ht="14.45" customHeight="1">
      <c r="B391" s="95"/>
      <c r="C391" s="63" t="s">
        <v>214</v>
      </c>
      <c r="D391" s="64">
        <v>2</v>
      </c>
      <c r="E391" s="65">
        <v>3.1761156106099999E-4</v>
      </c>
    </row>
    <row r="392" spans="2:5" ht="14.45" customHeight="1">
      <c r="B392" s="95"/>
      <c r="C392" s="63" t="s">
        <v>217</v>
      </c>
      <c r="D392" s="64">
        <v>1</v>
      </c>
      <c r="E392" s="65">
        <v>1.5880578052999999E-4</v>
      </c>
    </row>
    <row r="393" spans="2:5" ht="14.45" customHeight="1">
      <c r="B393" s="95"/>
      <c r="C393" s="63" t="s">
        <v>219</v>
      </c>
      <c r="D393" s="64">
        <v>1</v>
      </c>
      <c r="E393" s="65">
        <v>1.5880578052999999E-4</v>
      </c>
    </row>
    <row r="394" spans="2:5" ht="14.45" customHeight="1">
      <c r="B394" s="95"/>
      <c r="C394" s="63" t="s">
        <v>222</v>
      </c>
      <c r="D394" s="64">
        <v>1</v>
      </c>
      <c r="E394" s="65">
        <v>1.5880578052999999E-4</v>
      </c>
    </row>
    <row r="395" spans="2:5" ht="14.45" customHeight="1">
      <c r="B395" s="95"/>
      <c r="C395" s="63" t="s">
        <v>224</v>
      </c>
      <c r="D395" s="64">
        <v>8</v>
      </c>
      <c r="E395" s="65">
        <v>1.2704462442429999E-3</v>
      </c>
    </row>
    <row r="396" spans="2:5" ht="14.45" customHeight="1">
      <c r="B396" s="95"/>
      <c r="C396" s="63" t="s">
        <v>195</v>
      </c>
      <c r="D396" s="64">
        <v>8</v>
      </c>
      <c r="E396" s="65">
        <v>1.2704462442429999E-3</v>
      </c>
    </row>
    <row r="397" spans="2:5" ht="14.45" customHeight="1">
      <c r="B397" s="95"/>
      <c r="C397" s="63" t="s">
        <v>226</v>
      </c>
      <c r="D397" s="64">
        <v>2</v>
      </c>
      <c r="E397" s="65">
        <v>3.1761156106099999E-4</v>
      </c>
    </row>
    <row r="398" spans="2:5" ht="14.45" customHeight="1">
      <c r="B398" s="95"/>
      <c r="C398" s="63" t="s">
        <v>230</v>
      </c>
      <c r="D398" s="64">
        <v>2</v>
      </c>
      <c r="E398" s="65">
        <v>3.1761156106099999E-4</v>
      </c>
    </row>
    <row r="399" spans="2:5" ht="14.45" customHeight="1">
      <c r="B399" s="95"/>
      <c r="C399" s="63" t="s">
        <v>234</v>
      </c>
      <c r="D399" s="64">
        <v>2</v>
      </c>
      <c r="E399" s="65">
        <v>3.1761156106099999E-4</v>
      </c>
    </row>
    <row r="400" spans="2:5" ht="14.45" customHeight="1">
      <c r="B400" s="95"/>
      <c r="C400" s="63" t="s">
        <v>196</v>
      </c>
      <c r="D400" s="64">
        <v>5</v>
      </c>
      <c r="E400" s="65">
        <v>7.9402890265200003E-4</v>
      </c>
    </row>
    <row r="401" spans="2:5" ht="14.45" customHeight="1">
      <c r="B401" s="95"/>
      <c r="C401" s="63" t="s">
        <v>235</v>
      </c>
      <c r="D401" s="64">
        <v>1</v>
      </c>
      <c r="E401" s="65">
        <v>1.5880578052999999E-4</v>
      </c>
    </row>
    <row r="402" spans="2:5" ht="14.45" customHeight="1">
      <c r="B402" s="95"/>
      <c r="C402" s="63" t="s">
        <v>58</v>
      </c>
      <c r="D402" s="64">
        <v>3</v>
      </c>
      <c r="E402" s="65">
        <v>4.7641734159099998E-4</v>
      </c>
    </row>
    <row r="403" spans="2:5" ht="14.45" customHeight="1">
      <c r="B403" s="95"/>
      <c r="C403" s="63" t="s">
        <v>246</v>
      </c>
      <c r="D403" s="64">
        <v>1</v>
      </c>
      <c r="E403" s="65">
        <v>1.5880578052999999E-4</v>
      </c>
    </row>
    <row r="404" spans="2:5" ht="14.45" customHeight="1">
      <c r="B404" s="96"/>
      <c r="C404" s="36" t="s">
        <v>29</v>
      </c>
      <c r="D404" s="35">
        <v>58</v>
      </c>
      <c r="E404" s="34">
        <v>9.2107352707639992E-3</v>
      </c>
    </row>
    <row r="405" spans="2:5" ht="14.45" customHeight="1">
      <c r="B405" s="94" t="s">
        <v>131</v>
      </c>
      <c r="C405" s="63" t="s">
        <v>213</v>
      </c>
      <c r="D405" s="64">
        <v>1</v>
      </c>
      <c r="E405" s="65">
        <v>1.5880578052999999E-4</v>
      </c>
    </row>
    <row r="406" spans="2:5" ht="14.45" customHeight="1">
      <c r="B406" s="95"/>
      <c r="C406" s="63" t="s">
        <v>194</v>
      </c>
      <c r="D406" s="64">
        <v>2</v>
      </c>
      <c r="E406" s="65">
        <v>3.1761156106099999E-4</v>
      </c>
    </row>
    <row r="407" spans="2:5" ht="14.45" customHeight="1">
      <c r="B407" s="95"/>
      <c r="C407" s="63" t="s">
        <v>195</v>
      </c>
      <c r="D407" s="64">
        <v>5</v>
      </c>
      <c r="E407" s="65">
        <v>7.9402890265200003E-4</v>
      </c>
    </row>
    <row r="408" spans="2:5" ht="14.45" customHeight="1">
      <c r="B408" s="95"/>
      <c r="C408" s="63" t="s">
        <v>234</v>
      </c>
      <c r="D408" s="64">
        <v>1</v>
      </c>
      <c r="E408" s="65">
        <v>1.5880578052999999E-4</v>
      </c>
    </row>
    <row r="409" spans="2:5" ht="14.45" customHeight="1">
      <c r="B409" s="95"/>
      <c r="C409" s="63" t="s">
        <v>196</v>
      </c>
      <c r="D409" s="64">
        <v>1</v>
      </c>
      <c r="E409" s="65">
        <v>1.5880578052999999E-4</v>
      </c>
    </row>
    <row r="410" spans="2:5" ht="14.45" customHeight="1">
      <c r="B410" s="95"/>
      <c r="C410" s="63" t="s">
        <v>240</v>
      </c>
      <c r="D410" s="64">
        <v>1</v>
      </c>
      <c r="E410" s="65">
        <v>1.5880578052999999E-4</v>
      </c>
    </row>
    <row r="411" spans="2:5" ht="14.45" customHeight="1">
      <c r="B411" s="96"/>
      <c r="C411" s="36" t="s">
        <v>29</v>
      </c>
      <c r="D411" s="35">
        <v>11</v>
      </c>
      <c r="E411" s="34">
        <v>1.7468635858350001E-3</v>
      </c>
    </row>
    <row r="412" spans="2:5" ht="14.45" customHeight="1">
      <c r="B412" s="94" t="s">
        <v>132</v>
      </c>
      <c r="C412" s="63" t="s">
        <v>198</v>
      </c>
      <c r="D412" s="64">
        <v>3</v>
      </c>
      <c r="E412" s="65">
        <v>4.7641734159099998E-4</v>
      </c>
    </row>
    <row r="413" spans="2:5" ht="14.45" customHeight="1">
      <c r="B413" s="95"/>
      <c r="C413" s="63" t="s">
        <v>213</v>
      </c>
      <c r="D413" s="64">
        <v>3</v>
      </c>
      <c r="E413" s="65">
        <v>4.7641734159099998E-4</v>
      </c>
    </row>
    <row r="414" spans="2:5" ht="14.45" customHeight="1">
      <c r="B414" s="95"/>
      <c r="C414" s="63" t="s">
        <v>194</v>
      </c>
      <c r="D414" s="64">
        <v>6</v>
      </c>
      <c r="E414" s="65">
        <v>9.5283468318199996E-4</v>
      </c>
    </row>
    <row r="415" spans="2:5" ht="14.45" customHeight="1">
      <c r="B415" s="95"/>
      <c r="C415" s="63" t="s">
        <v>220</v>
      </c>
      <c r="D415" s="64">
        <v>1</v>
      </c>
      <c r="E415" s="65">
        <v>1.5880578052999999E-4</v>
      </c>
    </row>
    <row r="416" spans="2:5" ht="14.45" customHeight="1">
      <c r="B416" s="95"/>
      <c r="C416" s="63" t="s">
        <v>224</v>
      </c>
      <c r="D416" s="64">
        <v>2</v>
      </c>
      <c r="E416" s="65">
        <v>3.1761156106099999E-4</v>
      </c>
    </row>
    <row r="417" spans="2:5" ht="14.45" customHeight="1">
      <c r="B417" s="95"/>
      <c r="C417" s="63" t="s">
        <v>195</v>
      </c>
      <c r="D417" s="64">
        <v>14</v>
      </c>
      <c r="E417" s="65">
        <v>2.2232809274259999E-3</v>
      </c>
    </row>
    <row r="418" spans="2:5" ht="14.45" customHeight="1">
      <c r="B418" s="95"/>
      <c r="C418" s="63" t="s">
        <v>226</v>
      </c>
      <c r="D418" s="64">
        <v>3</v>
      </c>
      <c r="E418" s="65">
        <v>4.7641734159099998E-4</v>
      </c>
    </row>
    <row r="419" spans="2:5" ht="14.45" customHeight="1">
      <c r="B419" s="95"/>
      <c r="C419" s="63" t="s">
        <v>228</v>
      </c>
      <c r="D419" s="64">
        <v>1</v>
      </c>
      <c r="E419" s="65">
        <v>1.5880578052999999E-4</v>
      </c>
    </row>
    <row r="420" spans="2:5" ht="14.45" customHeight="1">
      <c r="B420" s="95"/>
      <c r="C420" s="63" t="s">
        <v>196</v>
      </c>
      <c r="D420" s="64">
        <v>1</v>
      </c>
      <c r="E420" s="65">
        <v>1.5880578052999999E-4</v>
      </c>
    </row>
    <row r="421" spans="2:5" ht="14.45" customHeight="1">
      <c r="B421" s="95"/>
      <c r="C421" s="63" t="s">
        <v>58</v>
      </c>
      <c r="D421" s="64">
        <v>6</v>
      </c>
      <c r="E421" s="65">
        <v>9.5283468318199996E-4</v>
      </c>
    </row>
    <row r="422" spans="2:5" ht="14.45" customHeight="1">
      <c r="B422" s="95"/>
      <c r="C422" s="63" t="s">
        <v>246</v>
      </c>
      <c r="D422" s="64">
        <v>3</v>
      </c>
      <c r="E422" s="65">
        <v>4.7641734159099998E-4</v>
      </c>
    </row>
    <row r="423" spans="2:5" ht="14.45" customHeight="1">
      <c r="B423" s="96"/>
      <c r="C423" s="36" t="s">
        <v>29</v>
      </c>
      <c r="D423" s="35">
        <v>43</v>
      </c>
      <c r="E423" s="34">
        <v>6.8286485628080004E-3</v>
      </c>
    </row>
    <row r="424" spans="2:5" ht="14.45" customHeight="1">
      <c r="B424" s="94" t="s">
        <v>133</v>
      </c>
      <c r="C424" s="63" t="s">
        <v>199</v>
      </c>
      <c r="D424" s="64">
        <v>2</v>
      </c>
      <c r="E424" s="65">
        <v>3.1761156106099999E-4</v>
      </c>
    </row>
    <row r="425" spans="2:5" ht="14.45" customHeight="1">
      <c r="B425" s="95"/>
      <c r="C425" s="63" t="s">
        <v>194</v>
      </c>
      <c r="D425" s="64">
        <v>1</v>
      </c>
      <c r="E425" s="65">
        <v>1.5880578052999999E-4</v>
      </c>
    </row>
    <row r="426" spans="2:5" ht="14.45" customHeight="1">
      <c r="B426" s="95"/>
      <c r="C426" s="63" t="s">
        <v>234</v>
      </c>
      <c r="D426" s="64">
        <v>3</v>
      </c>
      <c r="E426" s="65">
        <v>4.7641734159099998E-4</v>
      </c>
    </row>
    <row r="427" spans="2:5" ht="14.45" customHeight="1">
      <c r="B427" s="96"/>
      <c r="C427" s="36" t="s">
        <v>29</v>
      </c>
      <c r="D427" s="35">
        <v>6</v>
      </c>
      <c r="E427" s="34">
        <v>9.5283468318199996E-4</v>
      </c>
    </row>
    <row r="428" spans="2:5" ht="14.45" customHeight="1">
      <c r="B428" s="94" t="s">
        <v>134</v>
      </c>
      <c r="C428" s="63" t="s">
        <v>194</v>
      </c>
      <c r="D428" s="64">
        <v>6</v>
      </c>
      <c r="E428" s="65">
        <v>9.5283468318199996E-4</v>
      </c>
    </row>
    <row r="429" spans="2:5" ht="14.45" customHeight="1">
      <c r="B429" s="95"/>
      <c r="C429" s="63" t="s">
        <v>219</v>
      </c>
      <c r="D429" s="64">
        <v>1</v>
      </c>
      <c r="E429" s="65">
        <v>1.5880578052999999E-4</v>
      </c>
    </row>
    <row r="430" spans="2:5" ht="14.45" customHeight="1">
      <c r="B430" s="95"/>
      <c r="C430" s="63" t="s">
        <v>224</v>
      </c>
      <c r="D430" s="64">
        <v>3</v>
      </c>
      <c r="E430" s="65">
        <v>4.7641734159099998E-4</v>
      </c>
    </row>
    <row r="431" spans="2:5" ht="14.45" customHeight="1">
      <c r="B431" s="95"/>
      <c r="C431" s="63" t="s">
        <v>195</v>
      </c>
      <c r="D431" s="64">
        <v>4</v>
      </c>
      <c r="E431" s="65">
        <v>6.3522312212199999E-4</v>
      </c>
    </row>
    <row r="432" spans="2:5" ht="14.45" customHeight="1">
      <c r="B432" s="95"/>
      <c r="C432" s="63" t="s">
        <v>196</v>
      </c>
      <c r="D432" s="64">
        <v>1</v>
      </c>
      <c r="E432" s="65">
        <v>1.5880578052999999E-4</v>
      </c>
    </row>
    <row r="433" spans="2:5" ht="14.45" customHeight="1">
      <c r="B433" s="95"/>
      <c r="C433" s="63" t="s">
        <v>58</v>
      </c>
      <c r="D433" s="64">
        <v>4</v>
      </c>
      <c r="E433" s="65">
        <v>6.3522312212199999E-4</v>
      </c>
    </row>
    <row r="434" spans="2:5" ht="14.45" customHeight="1">
      <c r="B434" s="95"/>
      <c r="C434" s="63" t="s">
        <v>245</v>
      </c>
      <c r="D434" s="64">
        <v>1</v>
      </c>
      <c r="E434" s="65">
        <v>1.5880578052999999E-4</v>
      </c>
    </row>
    <row r="435" spans="2:5" ht="14.45" customHeight="1">
      <c r="B435" s="95"/>
      <c r="C435" s="63" t="s">
        <v>246</v>
      </c>
      <c r="D435" s="64">
        <v>1</v>
      </c>
      <c r="E435" s="65">
        <v>1.5880578052999999E-4</v>
      </c>
    </row>
    <row r="436" spans="2:5" ht="14.45" customHeight="1">
      <c r="B436" s="96"/>
      <c r="C436" s="36" t="s">
        <v>29</v>
      </c>
      <c r="D436" s="35">
        <v>21</v>
      </c>
      <c r="E436" s="34">
        <v>3.3349213911389999E-3</v>
      </c>
    </row>
    <row r="437" spans="2:5" ht="14.45" customHeight="1">
      <c r="B437" s="94" t="s">
        <v>135</v>
      </c>
      <c r="C437" s="63" t="s">
        <v>198</v>
      </c>
      <c r="D437" s="64">
        <v>6</v>
      </c>
      <c r="E437" s="65">
        <v>9.5283468318199996E-4</v>
      </c>
    </row>
    <row r="438" spans="2:5" ht="14.45" customHeight="1">
      <c r="B438" s="95"/>
      <c r="C438" s="63" t="s">
        <v>210</v>
      </c>
      <c r="D438" s="64">
        <v>1</v>
      </c>
      <c r="E438" s="65">
        <v>1.5880578052999999E-4</v>
      </c>
    </row>
    <row r="439" spans="2:5" ht="14.45" customHeight="1">
      <c r="B439" s="95"/>
      <c r="C439" s="63" t="s">
        <v>213</v>
      </c>
      <c r="D439" s="64">
        <v>2</v>
      </c>
      <c r="E439" s="65">
        <v>3.1761156106099999E-4</v>
      </c>
    </row>
    <row r="440" spans="2:5" ht="14.45" customHeight="1">
      <c r="B440" s="95"/>
      <c r="C440" s="63" t="s">
        <v>194</v>
      </c>
      <c r="D440" s="64">
        <v>19</v>
      </c>
      <c r="E440" s="65">
        <v>3.017309830078E-3</v>
      </c>
    </row>
    <row r="441" spans="2:5" ht="14.45" customHeight="1">
      <c r="B441" s="95"/>
      <c r="C441" s="63" t="s">
        <v>219</v>
      </c>
      <c r="D441" s="64">
        <v>2</v>
      </c>
      <c r="E441" s="65">
        <v>3.1761156106099999E-4</v>
      </c>
    </row>
    <row r="442" spans="2:5" ht="14.45" customHeight="1">
      <c r="B442" s="95"/>
      <c r="C442" s="63" t="s">
        <v>224</v>
      </c>
      <c r="D442" s="64">
        <v>4</v>
      </c>
      <c r="E442" s="65">
        <v>6.3522312212199999E-4</v>
      </c>
    </row>
    <row r="443" spans="2:5" ht="14.45" customHeight="1">
      <c r="B443" s="95"/>
      <c r="C443" s="63" t="s">
        <v>195</v>
      </c>
      <c r="D443" s="64">
        <v>14</v>
      </c>
      <c r="E443" s="65">
        <v>2.2232809274259999E-3</v>
      </c>
    </row>
    <row r="444" spans="2:5" ht="14.45" customHeight="1">
      <c r="B444" s="95"/>
      <c r="C444" s="63" t="s">
        <v>226</v>
      </c>
      <c r="D444" s="64">
        <v>1</v>
      </c>
      <c r="E444" s="65">
        <v>1.5880578052999999E-4</v>
      </c>
    </row>
    <row r="445" spans="2:5" ht="14.45" customHeight="1">
      <c r="B445" s="95"/>
      <c r="C445" s="63" t="s">
        <v>234</v>
      </c>
      <c r="D445" s="64">
        <v>1</v>
      </c>
      <c r="E445" s="65">
        <v>1.5880578052999999E-4</v>
      </c>
    </row>
    <row r="446" spans="2:5" ht="14.45" customHeight="1">
      <c r="B446" s="95"/>
      <c r="C446" s="63" t="s">
        <v>196</v>
      </c>
      <c r="D446" s="64">
        <v>3</v>
      </c>
      <c r="E446" s="65">
        <v>4.7641734159099998E-4</v>
      </c>
    </row>
    <row r="447" spans="2:5" ht="14.45" customHeight="1">
      <c r="B447" s="95"/>
      <c r="C447" s="63" t="s">
        <v>235</v>
      </c>
      <c r="D447" s="64">
        <v>1</v>
      </c>
      <c r="E447" s="65">
        <v>1.5880578052999999E-4</v>
      </c>
    </row>
    <row r="448" spans="2:5" ht="14.45" customHeight="1">
      <c r="B448" s="95"/>
      <c r="C448" s="63" t="s">
        <v>58</v>
      </c>
      <c r="D448" s="64">
        <v>4</v>
      </c>
      <c r="E448" s="65">
        <v>6.3522312212199999E-4</v>
      </c>
    </row>
    <row r="449" spans="2:5" ht="14.45" customHeight="1">
      <c r="B449" s="95"/>
      <c r="C449" s="63" t="s">
        <v>236</v>
      </c>
      <c r="D449" s="64">
        <v>2</v>
      </c>
      <c r="E449" s="65">
        <v>3.1761156106099999E-4</v>
      </c>
    </row>
    <row r="450" spans="2:5" ht="14.45" customHeight="1">
      <c r="B450" s="95"/>
      <c r="C450" s="63" t="s">
        <v>240</v>
      </c>
      <c r="D450" s="64">
        <v>3</v>
      </c>
      <c r="E450" s="65">
        <v>4.7641734159099998E-4</v>
      </c>
    </row>
    <row r="451" spans="2:5" ht="14.45" customHeight="1">
      <c r="B451" s="95"/>
      <c r="C451" s="63" t="s">
        <v>241</v>
      </c>
      <c r="D451" s="64">
        <v>1</v>
      </c>
      <c r="E451" s="65">
        <v>1.5880578052999999E-4</v>
      </c>
    </row>
    <row r="452" spans="2:5" ht="14.45" customHeight="1">
      <c r="B452" s="95"/>
      <c r="C452" s="63" t="s">
        <v>246</v>
      </c>
      <c r="D452" s="64">
        <v>3</v>
      </c>
      <c r="E452" s="65">
        <v>4.7641734159099998E-4</v>
      </c>
    </row>
    <row r="453" spans="2:5" ht="14.45" customHeight="1">
      <c r="B453" s="96"/>
      <c r="C453" s="36" t="s">
        <v>29</v>
      </c>
      <c r="D453" s="35">
        <v>67</v>
      </c>
      <c r="E453" s="34">
        <v>1.0639987295538E-2</v>
      </c>
    </row>
    <row r="454" spans="2:5" ht="14.45" customHeight="1">
      <c r="B454" s="94" t="s">
        <v>136</v>
      </c>
      <c r="C454" s="63" t="s">
        <v>198</v>
      </c>
      <c r="D454" s="64">
        <v>2</v>
      </c>
      <c r="E454" s="65">
        <v>3.1761156106099999E-4</v>
      </c>
    </row>
    <row r="455" spans="2:5" ht="14.45" customHeight="1">
      <c r="B455" s="95"/>
      <c r="C455" s="63" t="s">
        <v>213</v>
      </c>
      <c r="D455" s="64">
        <v>3</v>
      </c>
      <c r="E455" s="65">
        <v>4.7641734159099998E-4</v>
      </c>
    </row>
    <row r="456" spans="2:5" ht="14.45" customHeight="1">
      <c r="B456" s="95"/>
      <c r="C456" s="63" t="s">
        <v>194</v>
      </c>
      <c r="D456" s="64">
        <v>7</v>
      </c>
      <c r="E456" s="65">
        <v>1.111640463713E-3</v>
      </c>
    </row>
    <row r="457" spans="2:5" ht="14.45" customHeight="1">
      <c r="B457" s="95"/>
      <c r="C457" s="63" t="s">
        <v>224</v>
      </c>
      <c r="D457" s="64">
        <v>1</v>
      </c>
      <c r="E457" s="65">
        <v>1.5880578052999999E-4</v>
      </c>
    </row>
    <row r="458" spans="2:5" ht="14.45" customHeight="1">
      <c r="B458" s="95"/>
      <c r="C458" s="63" t="s">
        <v>195</v>
      </c>
      <c r="D458" s="64">
        <v>4</v>
      </c>
      <c r="E458" s="65">
        <v>6.3522312212199999E-4</v>
      </c>
    </row>
    <row r="459" spans="2:5" ht="14.45" customHeight="1">
      <c r="B459" s="95"/>
      <c r="C459" s="63" t="s">
        <v>58</v>
      </c>
      <c r="D459" s="64">
        <v>2</v>
      </c>
      <c r="E459" s="65">
        <v>3.1761156106099999E-4</v>
      </c>
    </row>
    <row r="460" spans="2:5" ht="14.45" customHeight="1">
      <c r="B460" s="95"/>
      <c r="C460" s="63" t="s">
        <v>246</v>
      </c>
      <c r="D460" s="64">
        <v>3</v>
      </c>
      <c r="E460" s="65">
        <v>4.7641734159099998E-4</v>
      </c>
    </row>
    <row r="461" spans="2:5" ht="14.45" customHeight="1">
      <c r="B461" s="95"/>
      <c r="C461" s="63" t="s">
        <v>259</v>
      </c>
      <c r="D461" s="64">
        <v>1</v>
      </c>
      <c r="E461" s="65">
        <v>1.5880578052999999E-4</v>
      </c>
    </row>
    <row r="462" spans="2:5" ht="14.45" customHeight="1">
      <c r="B462" s="96"/>
      <c r="C462" s="36" t="s">
        <v>29</v>
      </c>
      <c r="D462" s="35">
        <v>23</v>
      </c>
      <c r="E462" s="34">
        <v>3.6525329521990002E-3</v>
      </c>
    </row>
    <row r="463" spans="2:5" ht="14.45" customHeight="1">
      <c r="B463" s="94" t="s">
        <v>137</v>
      </c>
      <c r="C463" s="63" t="s">
        <v>198</v>
      </c>
      <c r="D463" s="64">
        <v>1</v>
      </c>
      <c r="E463" s="65">
        <v>1.5880578052999999E-4</v>
      </c>
    </row>
    <row r="464" spans="2:5" ht="14.45" customHeight="1">
      <c r="B464" s="95"/>
      <c r="C464" s="63" t="s">
        <v>200</v>
      </c>
      <c r="D464" s="64">
        <v>1</v>
      </c>
      <c r="E464" s="65">
        <v>1.5880578052999999E-4</v>
      </c>
    </row>
    <row r="465" spans="2:5" ht="14.45" customHeight="1">
      <c r="B465" s="95"/>
      <c r="C465" s="63" t="s">
        <v>213</v>
      </c>
      <c r="D465" s="64">
        <v>2</v>
      </c>
      <c r="E465" s="65">
        <v>3.1761156106099999E-4</v>
      </c>
    </row>
    <row r="466" spans="2:5" ht="14.45" customHeight="1">
      <c r="B466" s="95"/>
      <c r="C466" s="63" t="s">
        <v>58</v>
      </c>
      <c r="D466" s="64">
        <v>1</v>
      </c>
      <c r="E466" s="65">
        <v>1.5880578052999999E-4</v>
      </c>
    </row>
    <row r="467" spans="2:5" ht="14.45" customHeight="1">
      <c r="B467" s="96"/>
      <c r="C467" s="36" t="s">
        <v>29</v>
      </c>
      <c r="D467" s="35">
        <v>5</v>
      </c>
      <c r="E467" s="34">
        <v>7.9402890265200003E-4</v>
      </c>
    </row>
    <row r="468" spans="2:5" ht="14.45" customHeight="1">
      <c r="B468" s="94" t="s">
        <v>138</v>
      </c>
      <c r="C468" s="63" t="s">
        <v>194</v>
      </c>
      <c r="D468" s="64">
        <v>2</v>
      </c>
      <c r="E468" s="65">
        <v>3.1761156106099999E-4</v>
      </c>
    </row>
    <row r="469" spans="2:5" ht="14.45" customHeight="1">
      <c r="B469" s="96"/>
      <c r="C469" s="36" t="s">
        <v>29</v>
      </c>
      <c r="D469" s="35">
        <v>2</v>
      </c>
      <c r="E469" s="34">
        <v>3.1761156106099999E-4</v>
      </c>
    </row>
    <row r="470" spans="2:5" ht="14.45" customHeight="1">
      <c r="B470" s="94" t="s">
        <v>139</v>
      </c>
      <c r="C470" s="63" t="s">
        <v>198</v>
      </c>
      <c r="D470" s="64">
        <v>2</v>
      </c>
      <c r="E470" s="65">
        <v>3.1761156106099999E-4</v>
      </c>
    </row>
    <row r="471" spans="2:5" ht="14.45" customHeight="1">
      <c r="B471" s="95"/>
      <c r="C471" s="63" t="s">
        <v>212</v>
      </c>
      <c r="D471" s="64">
        <v>2</v>
      </c>
      <c r="E471" s="65">
        <v>3.1761156106099999E-4</v>
      </c>
    </row>
    <row r="472" spans="2:5" ht="14.45" customHeight="1">
      <c r="B472" s="95"/>
      <c r="C472" s="63" t="s">
        <v>213</v>
      </c>
      <c r="D472" s="64">
        <v>1</v>
      </c>
      <c r="E472" s="65">
        <v>1.5880578052999999E-4</v>
      </c>
    </row>
    <row r="473" spans="2:5" ht="14.45" customHeight="1">
      <c r="B473" s="95"/>
      <c r="C473" s="63" t="s">
        <v>194</v>
      </c>
      <c r="D473" s="64">
        <v>3</v>
      </c>
      <c r="E473" s="65">
        <v>4.7641734159099998E-4</v>
      </c>
    </row>
    <row r="474" spans="2:5" ht="14.45" customHeight="1">
      <c r="B474" s="95"/>
      <c r="C474" s="63" t="s">
        <v>224</v>
      </c>
      <c r="D474" s="64">
        <v>2</v>
      </c>
      <c r="E474" s="65">
        <v>3.1761156106099999E-4</v>
      </c>
    </row>
    <row r="475" spans="2:5" ht="14.45" customHeight="1">
      <c r="B475" s="95"/>
      <c r="C475" s="63" t="s">
        <v>195</v>
      </c>
      <c r="D475" s="64">
        <v>3</v>
      </c>
      <c r="E475" s="65">
        <v>4.7641734159099998E-4</v>
      </c>
    </row>
    <row r="476" spans="2:5" ht="14.45" customHeight="1">
      <c r="B476" s="95"/>
      <c r="C476" s="63" t="s">
        <v>233</v>
      </c>
      <c r="D476" s="64">
        <v>1</v>
      </c>
      <c r="E476" s="65">
        <v>1.5880578052999999E-4</v>
      </c>
    </row>
    <row r="477" spans="2:5" ht="14.45" customHeight="1">
      <c r="B477" s="95"/>
      <c r="C477" s="63" t="s">
        <v>196</v>
      </c>
      <c r="D477" s="64">
        <v>1</v>
      </c>
      <c r="E477" s="65">
        <v>1.5880578052999999E-4</v>
      </c>
    </row>
    <row r="478" spans="2:5" ht="14.45" customHeight="1">
      <c r="B478" s="95"/>
      <c r="C478" s="63" t="s">
        <v>58</v>
      </c>
      <c r="D478" s="64">
        <v>1</v>
      </c>
      <c r="E478" s="65">
        <v>1.5880578052999999E-4</v>
      </c>
    </row>
    <row r="479" spans="2:5" ht="14.45" customHeight="1">
      <c r="B479" s="95"/>
      <c r="C479" s="63" t="s">
        <v>239</v>
      </c>
      <c r="D479" s="64">
        <v>1</v>
      </c>
      <c r="E479" s="65">
        <v>1.5880578052999999E-4</v>
      </c>
    </row>
    <row r="480" spans="2:5" ht="14.45" customHeight="1">
      <c r="B480" s="95"/>
      <c r="C480" s="63" t="s">
        <v>241</v>
      </c>
      <c r="D480" s="64">
        <v>1</v>
      </c>
      <c r="E480" s="65">
        <v>1.5880578052999999E-4</v>
      </c>
    </row>
    <row r="481" spans="2:5" ht="14.45" customHeight="1">
      <c r="B481" s="96"/>
      <c r="C481" s="36" t="s">
        <v>29</v>
      </c>
      <c r="D481" s="35">
        <v>18</v>
      </c>
      <c r="E481" s="34">
        <v>2.8585040495470002E-3</v>
      </c>
    </row>
    <row r="482" spans="2:5" ht="14.45" customHeight="1">
      <c r="B482" s="94" t="s">
        <v>140</v>
      </c>
      <c r="C482" s="63" t="s">
        <v>194</v>
      </c>
      <c r="D482" s="64">
        <v>4</v>
      </c>
      <c r="E482" s="65">
        <v>6.3522312212199999E-4</v>
      </c>
    </row>
    <row r="483" spans="2:5" ht="14.45" customHeight="1">
      <c r="B483" s="96"/>
      <c r="C483" s="36" t="s">
        <v>29</v>
      </c>
      <c r="D483" s="35">
        <v>4</v>
      </c>
      <c r="E483" s="34">
        <v>6.3522312212199999E-4</v>
      </c>
    </row>
    <row r="484" spans="2:5" ht="14.45" customHeight="1">
      <c r="B484" s="94" t="s">
        <v>141</v>
      </c>
      <c r="C484" s="63" t="s">
        <v>198</v>
      </c>
      <c r="D484" s="64">
        <v>1</v>
      </c>
      <c r="E484" s="65">
        <v>1.5880578052999999E-4</v>
      </c>
    </row>
    <row r="485" spans="2:5" ht="14.45" customHeight="1">
      <c r="B485" s="95"/>
      <c r="C485" s="63" t="s">
        <v>199</v>
      </c>
      <c r="D485" s="64">
        <v>1</v>
      </c>
      <c r="E485" s="65">
        <v>1.5880578052999999E-4</v>
      </c>
    </row>
    <row r="486" spans="2:5" ht="14.45" customHeight="1">
      <c r="B486" s="95"/>
      <c r="C486" s="63" t="s">
        <v>194</v>
      </c>
      <c r="D486" s="64">
        <v>5</v>
      </c>
      <c r="E486" s="65">
        <v>7.9402890265200003E-4</v>
      </c>
    </row>
    <row r="487" spans="2:5" ht="14.45" customHeight="1">
      <c r="B487" s="95"/>
      <c r="C487" s="63" t="s">
        <v>217</v>
      </c>
      <c r="D487" s="64">
        <v>1</v>
      </c>
      <c r="E487" s="65">
        <v>1.5880578052999999E-4</v>
      </c>
    </row>
    <row r="488" spans="2:5" ht="14.45" customHeight="1">
      <c r="B488" s="95"/>
      <c r="C488" s="63" t="s">
        <v>224</v>
      </c>
      <c r="D488" s="64">
        <v>3</v>
      </c>
      <c r="E488" s="65">
        <v>4.7641734159099998E-4</v>
      </c>
    </row>
    <row r="489" spans="2:5" ht="14.45" customHeight="1">
      <c r="B489" s="95"/>
      <c r="C489" s="63" t="s">
        <v>195</v>
      </c>
      <c r="D489" s="64">
        <v>5</v>
      </c>
      <c r="E489" s="65">
        <v>7.9402890265200003E-4</v>
      </c>
    </row>
    <row r="490" spans="2:5" ht="14.45" customHeight="1">
      <c r="B490" s="95"/>
      <c r="C490" s="63" t="s">
        <v>228</v>
      </c>
      <c r="D490" s="64">
        <v>1</v>
      </c>
      <c r="E490" s="65">
        <v>1.5880578052999999E-4</v>
      </c>
    </row>
    <row r="491" spans="2:5" ht="14.45" customHeight="1">
      <c r="B491" s="95"/>
      <c r="C491" s="63" t="s">
        <v>58</v>
      </c>
      <c r="D491" s="64">
        <v>3</v>
      </c>
      <c r="E491" s="65">
        <v>4.7641734159099998E-4</v>
      </c>
    </row>
    <row r="492" spans="2:5" ht="14.45" customHeight="1">
      <c r="B492" s="95"/>
      <c r="C492" s="63" t="s">
        <v>246</v>
      </c>
      <c r="D492" s="64">
        <v>2</v>
      </c>
      <c r="E492" s="65">
        <v>3.1761156106099999E-4</v>
      </c>
    </row>
    <row r="493" spans="2:5" ht="14.45" customHeight="1">
      <c r="B493" s="96"/>
      <c r="C493" s="36" t="s">
        <v>29</v>
      </c>
      <c r="D493" s="35">
        <v>22</v>
      </c>
      <c r="E493" s="34">
        <v>3.4937271716690001E-3</v>
      </c>
    </row>
    <row r="494" spans="2:5" ht="14.45" customHeight="1">
      <c r="B494" s="94" t="s">
        <v>142</v>
      </c>
      <c r="C494" s="63" t="s">
        <v>198</v>
      </c>
      <c r="D494" s="64">
        <v>13</v>
      </c>
      <c r="E494" s="65">
        <v>2.0644751468950001E-3</v>
      </c>
    </row>
    <row r="495" spans="2:5" ht="14.45" customHeight="1">
      <c r="B495" s="95"/>
      <c r="C495" s="63" t="s">
        <v>199</v>
      </c>
      <c r="D495" s="64">
        <v>6</v>
      </c>
      <c r="E495" s="65">
        <v>9.5283468318199996E-4</v>
      </c>
    </row>
    <row r="496" spans="2:5" ht="14.45" customHeight="1">
      <c r="B496" s="95"/>
      <c r="C496" s="63" t="s">
        <v>200</v>
      </c>
      <c r="D496" s="64">
        <v>1</v>
      </c>
      <c r="E496" s="65">
        <v>1.5880578052999999E-4</v>
      </c>
    </row>
    <row r="497" spans="2:5" ht="14.45" customHeight="1">
      <c r="B497" s="95"/>
      <c r="C497" s="63" t="s">
        <v>260</v>
      </c>
      <c r="D497" s="64">
        <v>1</v>
      </c>
      <c r="E497" s="65">
        <v>1.5880578052999999E-4</v>
      </c>
    </row>
    <row r="498" spans="2:5" ht="14.45" customHeight="1">
      <c r="B498" s="95"/>
      <c r="C498" s="63" t="s">
        <v>201</v>
      </c>
      <c r="D498" s="64">
        <v>1</v>
      </c>
      <c r="E498" s="65">
        <v>1.5880578052999999E-4</v>
      </c>
    </row>
    <row r="499" spans="2:5" ht="14.45" customHeight="1">
      <c r="B499" s="95"/>
      <c r="C499" s="63" t="s">
        <v>211</v>
      </c>
      <c r="D499" s="64">
        <v>1</v>
      </c>
      <c r="E499" s="65">
        <v>1.5880578052999999E-4</v>
      </c>
    </row>
    <row r="500" spans="2:5" ht="14.45" customHeight="1">
      <c r="B500" s="95"/>
      <c r="C500" s="63" t="s">
        <v>212</v>
      </c>
      <c r="D500" s="64">
        <v>1</v>
      </c>
      <c r="E500" s="65">
        <v>1.5880578052999999E-4</v>
      </c>
    </row>
    <row r="501" spans="2:5" ht="14.45" customHeight="1">
      <c r="B501" s="95"/>
      <c r="C501" s="63" t="s">
        <v>213</v>
      </c>
      <c r="D501" s="64">
        <v>9</v>
      </c>
      <c r="E501" s="65">
        <v>1.4292520247739999E-3</v>
      </c>
    </row>
    <row r="502" spans="2:5" ht="14.45" customHeight="1">
      <c r="B502" s="95"/>
      <c r="C502" s="63" t="s">
        <v>194</v>
      </c>
      <c r="D502" s="64">
        <v>57</v>
      </c>
      <c r="E502" s="65">
        <v>9.0519294902330003E-3</v>
      </c>
    </row>
    <row r="503" spans="2:5" ht="14.45" customHeight="1">
      <c r="B503" s="95"/>
      <c r="C503" s="63" t="s">
        <v>214</v>
      </c>
      <c r="D503" s="64">
        <v>8</v>
      </c>
      <c r="E503" s="65">
        <v>1.2704462442429999E-3</v>
      </c>
    </row>
    <row r="504" spans="2:5" ht="14.45" customHeight="1">
      <c r="B504" s="95"/>
      <c r="C504" s="63" t="s">
        <v>219</v>
      </c>
      <c r="D504" s="64">
        <v>9</v>
      </c>
      <c r="E504" s="65">
        <v>1.4292520247739999E-3</v>
      </c>
    </row>
    <row r="505" spans="2:5" ht="14.45" customHeight="1">
      <c r="B505" s="95"/>
      <c r="C505" s="63" t="s">
        <v>220</v>
      </c>
      <c r="D505" s="64">
        <v>3</v>
      </c>
      <c r="E505" s="65">
        <v>4.7641734159099998E-4</v>
      </c>
    </row>
    <row r="506" spans="2:5" ht="14.45" customHeight="1">
      <c r="B506" s="95"/>
      <c r="C506" s="63" t="s">
        <v>224</v>
      </c>
      <c r="D506" s="64">
        <v>22</v>
      </c>
      <c r="E506" s="65">
        <v>3.4937271716690001E-3</v>
      </c>
    </row>
    <row r="507" spans="2:5" ht="14.45" customHeight="1">
      <c r="B507" s="95"/>
      <c r="C507" s="63" t="s">
        <v>195</v>
      </c>
      <c r="D507" s="64">
        <v>71</v>
      </c>
      <c r="E507" s="65">
        <v>1.1275210417659E-2</v>
      </c>
    </row>
    <row r="508" spans="2:5" ht="14.45" customHeight="1">
      <c r="B508" s="95"/>
      <c r="C508" s="63" t="s">
        <v>226</v>
      </c>
      <c r="D508" s="64">
        <v>6</v>
      </c>
      <c r="E508" s="65">
        <v>9.5283468318199996E-4</v>
      </c>
    </row>
    <row r="509" spans="2:5" ht="14.45" customHeight="1">
      <c r="B509" s="95"/>
      <c r="C509" s="63" t="s">
        <v>228</v>
      </c>
      <c r="D509" s="64">
        <v>1</v>
      </c>
      <c r="E509" s="65">
        <v>1.5880578052999999E-4</v>
      </c>
    </row>
    <row r="510" spans="2:5" ht="14.45" customHeight="1">
      <c r="B510" s="95"/>
      <c r="C510" s="63" t="s">
        <v>230</v>
      </c>
      <c r="D510" s="64">
        <v>1</v>
      </c>
      <c r="E510" s="65">
        <v>1.5880578052999999E-4</v>
      </c>
    </row>
    <row r="511" spans="2:5" ht="14.45" customHeight="1">
      <c r="B511" s="95"/>
      <c r="C511" s="63" t="s">
        <v>233</v>
      </c>
      <c r="D511" s="64">
        <v>1</v>
      </c>
      <c r="E511" s="65">
        <v>1.5880578052999999E-4</v>
      </c>
    </row>
    <row r="512" spans="2:5" ht="14.45" customHeight="1">
      <c r="B512" s="95"/>
      <c r="C512" s="63" t="s">
        <v>234</v>
      </c>
      <c r="D512" s="64">
        <v>5</v>
      </c>
      <c r="E512" s="65">
        <v>7.9402890265200003E-4</v>
      </c>
    </row>
    <row r="513" spans="2:5" ht="14.45" customHeight="1">
      <c r="B513" s="95"/>
      <c r="C513" s="63" t="s">
        <v>196</v>
      </c>
      <c r="D513" s="64">
        <v>14</v>
      </c>
      <c r="E513" s="65">
        <v>2.2232809274259999E-3</v>
      </c>
    </row>
    <row r="514" spans="2:5" ht="14.45" customHeight="1">
      <c r="B514" s="95"/>
      <c r="C514" s="63" t="s">
        <v>58</v>
      </c>
      <c r="D514" s="64">
        <v>26</v>
      </c>
      <c r="E514" s="65">
        <v>4.1289502937910004E-3</v>
      </c>
    </row>
    <row r="515" spans="2:5" ht="14.45" customHeight="1">
      <c r="B515" s="95"/>
      <c r="C515" s="63" t="s">
        <v>236</v>
      </c>
      <c r="D515" s="64">
        <v>2</v>
      </c>
      <c r="E515" s="65">
        <v>3.1761156106099999E-4</v>
      </c>
    </row>
    <row r="516" spans="2:5" ht="14.45" customHeight="1">
      <c r="B516" s="95"/>
      <c r="C516" s="63" t="s">
        <v>239</v>
      </c>
      <c r="D516" s="64">
        <v>3</v>
      </c>
      <c r="E516" s="65">
        <v>4.7641734159099998E-4</v>
      </c>
    </row>
    <row r="517" spans="2:5" ht="14.45" customHeight="1">
      <c r="B517" s="95"/>
      <c r="C517" s="63" t="s">
        <v>240</v>
      </c>
      <c r="D517" s="64">
        <v>4</v>
      </c>
      <c r="E517" s="65">
        <v>6.3522312212199999E-4</v>
      </c>
    </row>
    <row r="518" spans="2:5" ht="14.45" customHeight="1">
      <c r="B518" s="95"/>
      <c r="C518" s="63" t="s">
        <v>244</v>
      </c>
      <c r="D518" s="64">
        <v>1</v>
      </c>
      <c r="E518" s="65">
        <v>1.5880578052999999E-4</v>
      </c>
    </row>
    <row r="519" spans="2:5" ht="14.45" customHeight="1">
      <c r="B519" s="95"/>
      <c r="C519" s="63" t="s">
        <v>246</v>
      </c>
      <c r="D519" s="64">
        <v>28</v>
      </c>
      <c r="E519" s="65">
        <v>4.4465618548519999E-3</v>
      </c>
    </row>
    <row r="520" spans="2:5" ht="14.45" customHeight="1">
      <c r="B520" s="95"/>
      <c r="C520" s="63" t="s">
        <v>259</v>
      </c>
      <c r="D520" s="64">
        <v>3</v>
      </c>
      <c r="E520" s="65">
        <v>4.7641734159099998E-4</v>
      </c>
    </row>
    <row r="521" spans="2:5" ht="14.45" customHeight="1">
      <c r="B521" s="96"/>
      <c r="C521" s="36" t="s">
        <v>29</v>
      </c>
      <c r="D521" s="35">
        <v>298</v>
      </c>
      <c r="E521" s="34">
        <v>4.7324122598062998E-2</v>
      </c>
    </row>
    <row r="522" spans="2:5" ht="14.45" customHeight="1">
      <c r="B522" s="94" t="s">
        <v>143</v>
      </c>
      <c r="C522" s="63" t="s">
        <v>198</v>
      </c>
      <c r="D522" s="64">
        <v>6</v>
      </c>
      <c r="E522" s="65">
        <v>9.5283468318199996E-4</v>
      </c>
    </row>
    <row r="523" spans="2:5" ht="14.45" customHeight="1">
      <c r="B523" s="95"/>
      <c r="C523" s="63" t="s">
        <v>199</v>
      </c>
      <c r="D523" s="64">
        <v>1</v>
      </c>
      <c r="E523" s="65">
        <v>1.5880578052999999E-4</v>
      </c>
    </row>
    <row r="524" spans="2:5" ht="14.45" customHeight="1">
      <c r="B524" s="95"/>
      <c r="C524" s="63" t="s">
        <v>205</v>
      </c>
      <c r="D524" s="64">
        <v>2</v>
      </c>
      <c r="E524" s="65">
        <v>3.1761156106099999E-4</v>
      </c>
    </row>
    <row r="525" spans="2:5" ht="14.45" customHeight="1">
      <c r="B525" s="95"/>
      <c r="C525" s="63" t="s">
        <v>208</v>
      </c>
      <c r="D525" s="64">
        <v>3</v>
      </c>
      <c r="E525" s="65">
        <v>4.7641734159099998E-4</v>
      </c>
    </row>
    <row r="526" spans="2:5" ht="14.45" customHeight="1">
      <c r="B526" s="95"/>
      <c r="C526" s="63" t="s">
        <v>213</v>
      </c>
      <c r="D526" s="64">
        <v>2</v>
      </c>
      <c r="E526" s="65">
        <v>3.1761156106099999E-4</v>
      </c>
    </row>
    <row r="527" spans="2:5" ht="14.45" customHeight="1">
      <c r="B527" s="95"/>
      <c r="C527" s="63" t="s">
        <v>194</v>
      </c>
      <c r="D527" s="64">
        <v>17</v>
      </c>
      <c r="E527" s="65">
        <v>2.699698269017E-3</v>
      </c>
    </row>
    <row r="528" spans="2:5" ht="14.45" customHeight="1">
      <c r="B528" s="95"/>
      <c r="C528" s="63" t="s">
        <v>214</v>
      </c>
      <c r="D528" s="64">
        <v>1</v>
      </c>
      <c r="E528" s="65">
        <v>1.5880578052999999E-4</v>
      </c>
    </row>
    <row r="529" spans="2:5" ht="14.45" customHeight="1">
      <c r="B529" s="95"/>
      <c r="C529" s="63" t="s">
        <v>224</v>
      </c>
      <c r="D529" s="64">
        <v>8</v>
      </c>
      <c r="E529" s="65">
        <v>1.2704462442429999E-3</v>
      </c>
    </row>
    <row r="530" spans="2:5" ht="14.45" customHeight="1">
      <c r="B530" s="95"/>
      <c r="C530" s="63" t="s">
        <v>195</v>
      </c>
      <c r="D530" s="64">
        <v>16</v>
      </c>
      <c r="E530" s="65">
        <v>2.5408924884869999E-3</v>
      </c>
    </row>
    <row r="531" spans="2:5" ht="14.45" customHeight="1">
      <c r="B531" s="95"/>
      <c r="C531" s="63" t="s">
        <v>226</v>
      </c>
      <c r="D531" s="64">
        <v>2</v>
      </c>
      <c r="E531" s="65">
        <v>3.1761156106099999E-4</v>
      </c>
    </row>
    <row r="532" spans="2:5" ht="14.45" customHeight="1">
      <c r="B532" s="95"/>
      <c r="C532" s="63" t="s">
        <v>234</v>
      </c>
      <c r="D532" s="64">
        <v>3</v>
      </c>
      <c r="E532" s="65">
        <v>4.7641734159099998E-4</v>
      </c>
    </row>
    <row r="533" spans="2:5" ht="14.45" customHeight="1">
      <c r="B533" s="95"/>
      <c r="C533" s="63" t="s">
        <v>196</v>
      </c>
      <c r="D533" s="64">
        <v>4</v>
      </c>
      <c r="E533" s="65">
        <v>6.3522312212199999E-4</v>
      </c>
    </row>
    <row r="534" spans="2:5" ht="14.45" customHeight="1">
      <c r="B534" s="95"/>
      <c r="C534" s="63" t="s">
        <v>58</v>
      </c>
      <c r="D534" s="64">
        <v>5</v>
      </c>
      <c r="E534" s="65">
        <v>7.9402890265200003E-4</v>
      </c>
    </row>
    <row r="535" spans="2:5" ht="14.45" customHeight="1">
      <c r="B535" s="95"/>
      <c r="C535" s="63" t="s">
        <v>240</v>
      </c>
      <c r="D535" s="64">
        <v>1</v>
      </c>
      <c r="E535" s="65">
        <v>1.5880578052999999E-4</v>
      </c>
    </row>
    <row r="536" spans="2:5" ht="14.45" customHeight="1">
      <c r="B536" s="95"/>
      <c r="C536" s="63" t="s">
        <v>244</v>
      </c>
      <c r="D536" s="64">
        <v>2</v>
      </c>
      <c r="E536" s="65">
        <v>3.1761156106099999E-4</v>
      </c>
    </row>
    <row r="537" spans="2:5" ht="14.45" customHeight="1">
      <c r="B537" s="95"/>
      <c r="C537" s="63" t="s">
        <v>246</v>
      </c>
      <c r="D537" s="64">
        <v>1</v>
      </c>
      <c r="E537" s="65">
        <v>1.5880578052999999E-4</v>
      </c>
    </row>
    <row r="538" spans="2:5" ht="14.45" customHeight="1">
      <c r="B538" s="95"/>
      <c r="C538" s="63" t="s">
        <v>64</v>
      </c>
      <c r="D538" s="64">
        <v>1</v>
      </c>
      <c r="E538" s="65">
        <v>1.5880578052999999E-4</v>
      </c>
    </row>
    <row r="539" spans="2:5" ht="14.45" customHeight="1">
      <c r="B539" s="95"/>
      <c r="C539" s="63" t="s">
        <v>252</v>
      </c>
      <c r="D539" s="64">
        <v>1</v>
      </c>
      <c r="E539" s="65">
        <v>1.5880578052999999E-4</v>
      </c>
    </row>
    <row r="540" spans="2:5" ht="14.45" customHeight="1">
      <c r="B540" s="96"/>
      <c r="C540" s="36" t="s">
        <v>29</v>
      </c>
      <c r="D540" s="35">
        <v>76</v>
      </c>
      <c r="E540" s="34">
        <v>1.2069239320311001E-2</v>
      </c>
    </row>
    <row r="541" spans="2:5" ht="14.45" customHeight="1">
      <c r="B541" s="94" t="s">
        <v>144</v>
      </c>
      <c r="C541" s="63" t="s">
        <v>197</v>
      </c>
      <c r="D541" s="64">
        <v>1</v>
      </c>
      <c r="E541" s="65">
        <v>1.5880578052999999E-4</v>
      </c>
    </row>
    <row r="542" spans="2:5" ht="14.45" customHeight="1">
      <c r="B542" s="95"/>
      <c r="C542" s="63" t="s">
        <v>198</v>
      </c>
      <c r="D542" s="64">
        <v>1</v>
      </c>
      <c r="E542" s="65">
        <v>1.5880578052999999E-4</v>
      </c>
    </row>
    <row r="543" spans="2:5" ht="14.45" customHeight="1">
      <c r="B543" s="95"/>
      <c r="C543" s="63" t="s">
        <v>194</v>
      </c>
      <c r="D543" s="64">
        <v>2</v>
      </c>
      <c r="E543" s="65">
        <v>3.1761156106099999E-4</v>
      </c>
    </row>
    <row r="544" spans="2:5" ht="14.45" customHeight="1">
      <c r="B544" s="95"/>
      <c r="C544" s="63" t="s">
        <v>195</v>
      </c>
      <c r="D544" s="64">
        <v>1</v>
      </c>
      <c r="E544" s="65">
        <v>1.5880578052999999E-4</v>
      </c>
    </row>
    <row r="545" spans="2:5" ht="14.45" customHeight="1">
      <c r="B545" s="95"/>
      <c r="C545" s="63" t="s">
        <v>234</v>
      </c>
      <c r="D545" s="64">
        <v>1</v>
      </c>
      <c r="E545" s="65">
        <v>1.5880578052999999E-4</v>
      </c>
    </row>
    <row r="546" spans="2:5" ht="14.45" customHeight="1">
      <c r="B546" s="95"/>
      <c r="C546" s="63" t="s">
        <v>240</v>
      </c>
      <c r="D546" s="64">
        <v>1</v>
      </c>
      <c r="E546" s="65">
        <v>1.5880578052999999E-4</v>
      </c>
    </row>
    <row r="547" spans="2:5" ht="14.45" customHeight="1">
      <c r="B547" s="96"/>
      <c r="C547" s="36" t="s">
        <v>29</v>
      </c>
      <c r="D547" s="35">
        <v>7</v>
      </c>
      <c r="E547" s="34">
        <v>1.111640463713E-3</v>
      </c>
    </row>
    <row r="548" spans="2:5" ht="14.45" customHeight="1">
      <c r="B548" s="94" t="s">
        <v>96</v>
      </c>
      <c r="C548" s="63" t="s">
        <v>213</v>
      </c>
      <c r="D548" s="64">
        <v>1</v>
      </c>
      <c r="E548" s="65">
        <v>1.5880578052999999E-4</v>
      </c>
    </row>
    <row r="549" spans="2:5" ht="14.45" customHeight="1">
      <c r="B549" s="95"/>
      <c r="C549" s="63" t="s">
        <v>194</v>
      </c>
      <c r="D549" s="64">
        <v>7</v>
      </c>
      <c r="E549" s="65">
        <v>1.111640463713E-3</v>
      </c>
    </row>
    <row r="550" spans="2:5" ht="14.45" customHeight="1">
      <c r="B550" s="95"/>
      <c r="C550" s="63" t="s">
        <v>219</v>
      </c>
      <c r="D550" s="64">
        <v>2</v>
      </c>
      <c r="E550" s="65">
        <v>3.1761156106099999E-4</v>
      </c>
    </row>
    <row r="551" spans="2:5" ht="14.45" customHeight="1">
      <c r="B551" s="95"/>
      <c r="C551" s="63" t="s">
        <v>220</v>
      </c>
      <c r="D551" s="64">
        <v>1</v>
      </c>
      <c r="E551" s="65">
        <v>1.5880578052999999E-4</v>
      </c>
    </row>
    <row r="552" spans="2:5" ht="14.45" customHeight="1">
      <c r="B552" s="95"/>
      <c r="C552" s="63" t="s">
        <v>224</v>
      </c>
      <c r="D552" s="64">
        <v>1</v>
      </c>
      <c r="E552" s="65">
        <v>1.5880578052999999E-4</v>
      </c>
    </row>
    <row r="553" spans="2:5" ht="14.45" customHeight="1">
      <c r="B553" s="95"/>
      <c r="C553" s="63" t="s">
        <v>195</v>
      </c>
      <c r="D553" s="64">
        <v>9</v>
      </c>
      <c r="E553" s="65">
        <v>1.4292520247739999E-3</v>
      </c>
    </row>
    <row r="554" spans="2:5" ht="14.45" customHeight="1">
      <c r="B554" s="95"/>
      <c r="C554" s="63" t="s">
        <v>226</v>
      </c>
      <c r="D554" s="64">
        <v>1</v>
      </c>
      <c r="E554" s="65">
        <v>1.5880578052999999E-4</v>
      </c>
    </row>
    <row r="555" spans="2:5" ht="14.45" customHeight="1">
      <c r="B555" s="95"/>
      <c r="C555" s="63" t="s">
        <v>196</v>
      </c>
      <c r="D555" s="64">
        <v>2</v>
      </c>
      <c r="E555" s="65">
        <v>3.1761156106099999E-4</v>
      </c>
    </row>
    <row r="556" spans="2:5" ht="14.45" customHeight="1">
      <c r="B556" s="95"/>
      <c r="C556" s="63" t="s">
        <v>58</v>
      </c>
      <c r="D556" s="64">
        <v>3</v>
      </c>
      <c r="E556" s="65">
        <v>4.7641734159099998E-4</v>
      </c>
    </row>
    <row r="557" spans="2:5" ht="14.45" customHeight="1">
      <c r="B557" s="95"/>
      <c r="C557" s="63" t="s">
        <v>246</v>
      </c>
      <c r="D557" s="64">
        <v>7</v>
      </c>
      <c r="E557" s="65">
        <v>1.111640463713E-3</v>
      </c>
    </row>
    <row r="558" spans="2:5" ht="14.45" customHeight="1">
      <c r="B558" s="96"/>
      <c r="C558" s="36" t="s">
        <v>29</v>
      </c>
      <c r="D558" s="35">
        <v>34</v>
      </c>
      <c r="E558" s="34">
        <v>5.399396538034E-3</v>
      </c>
    </row>
    <row r="559" spans="2:5" ht="14.45" customHeight="1">
      <c r="B559" s="94" t="s">
        <v>145</v>
      </c>
      <c r="C559" s="63" t="s">
        <v>198</v>
      </c>
      <c r="D559" s="64">
        <v>6</v>
      </c>
      <c r="E559" s="65">
        <v>9.5283468318199996E-4</v>
      </c>
    </row>
    <row r="560" spans="2:5" ht="14.45" customHeight="1">
      <c r="B560" s="95"/>
      <c r="C560" s="63" t="s">
        <v>194</v>
      </c>
      <c r="D560" s="64">
        <v>7</v>
      </c>
      <c r="E560" s="65">
        <v>1.111640463713E-3</v>
      </c>
    </row>
    <row r="561" spans="2:5" ht="14.45" customHeight="1">
      <c r="B561" s="95"/>
      <c r="C561" s="63" t="s">
        <v>214</v>
      </c>
      <c r="D561" s="64">
        <v>1</v>
      </c>
      <c r="E561" s="65">
        <v>1.5880578052999999E-4</v>
      </c>
    </row>
    <row r="562" spans="2:5" ht="14.45" customHeight="1">
      <c r="B562" s="95"/>
      <c r="C562" s="63" t="s">
        <v>220</v>
      </c>
      <c r="D562" s="64">
        <v>1</v>
      </c>
      <c r="E562" s="65">
        <v>1.5880578052999999E-4</v>
      </c>
    </row>
    <row r="563" spans="2:5" ht="14.45" customHeight="1">
      <c r="B563" s="95"/>
      <c r="C563" s="63" t="s">
        <v>195</v>
      </c>
      <c r="D563" s="64">
        <v>6</v>
      </c>
      <c r="E563" s="65">
        <v>9.5283468318199996E-4</v>
      </c>
    </row>
    <row r="564" spans="2:5" ht="14.45" customHeight="1">
      <c r="B564" s="95"/>
      <c r="C564" s="63" t="s">
        <v>226</v>
      </c>
      <c r="D564" s="64">
        <v>7</v>
      </c>
      <c r="E564" s="65">
        <v>1.111640463713E-3</v>
      </c>
    </row>
    <row r="565" spans="2:5" ht="14.45" customHeight="1">
      <c r="B565" s="95"/>
      <c r="C565" s="63" t="s">
        <v>196</v>
      </c>
      <c r="D565" s="64">
        <v>3</v>
      </c>
      <c r="E565" s="65">
        <v>4.7641734159099998E-4</v>
      </c>
    </row>
    <row r="566" spans="2:5" ht="14.45" customHeight="1">
      <c r="B566" s="95"/>
      <c r="C566" s="63" t="s">
        <v>58</v>
      </c>
      <c r="D566" s="64">
        <v>5</v>
      </c>
      <c r="E566" s="65">
        <v>7.9402890265200003E-4</v>
      </c>
    </row>
    <row r="567" spans="2:5" ht="14.45" customHeight="1">
      <c r="B567" s="95"/>
      <c r="C567" s="63" t="s">
        <v>240</v>
      </c>
      <c r="D567" s="64">
        <v>2</v>
      </c>
      <c r="E567" s="65">
        <v>3.1761156106099999E-4</v>
      </c>
    </row>
    <row r="568" spans="2:5" ht="14.45" customHeight="1">
      <c r="B568" s="96"/>
      <c r="C568" s="36" t="s">
        <v>29</v>
      </c>
      <c r="D568" s="35">
        <v>38</v>
      </c>
      <c r="E568" s="34">
        <v>6.0346196601559999E-3</v>
      </c>
    </row>
    <row r="569" spans="2:5" ht="14.45" customHeight="1">
      <c r="B569" s="94" t="s">
        <v>146</v>
      </c>
      <c r="C569" s="63" t="s">
        <v>212</v>
      </c>
      <c r="D569" s="64">
        <v>1</v>
      </c>
      <c r="E569" s="65">
        <v>1.5880578052999999E-4</v>
      </c>
    </row>
    <row r="570" spans="2:5" ht="14.45" customHeight="1">
      <c r="B570" s="95"/>
      <c r="C570" s="63" t="s">
        <v>213</v>
      </c>
      <c r="D570" s="64">
        <v>1</v>
      </c>
      <c r="E570" s="65">
        <v>1.5880578052999999E-4</v>
      </c>
    </row>
    <row r="571" spans="2:5" ht="14.45" customHeight="1">
      <c r="B571" s="95"/>
      <c r="C571" s="63" t="s">
        <v>219</v>
      </c>
      <c r="D571" s="64">
        <v>1</v>
      </c>
      <c r="E571" s="65">
        <v>1.5880578052999999E-4</v>
      </c>
    </row>
    <row r="572" spans="2:5" ht="14.45" customHeight="1">
      <c r="B572" s="95"/>
      <c r="C572" s="63" t="s">
        <v>224</v>
      </c>
      <c r="D572" s="64">
        <v>1</v>
      </c>
      <c r="E572" s="65">
        <v>1.5880578052999999E-4</v>
      </c>
    </row>
    <row r="573" spans="2:5" ht="14.45" customHeight="1">
      <c r="B573" s="95"/>
      <c r="C573" s="63" t="s">
        <v>195</v>
      </c>
      <c r="D573" s="64">
        <v>3</v>
      </c>
      <c r="E573" s="65">
        <v>4.7641734159099998E-4</v>
      </c>
    </row>
    <row r="574" spans="2:5" ht="14.45" customHeight="1">
      <c r="B574" s="95"/>
      <c r="C574" s="63" t="s">
        <v>58</v>
      </c>
      <c r="D574" s="64">
        <v>1</v>
      </c>
      <c r="E574" s="65">
        <v>1.5880578052999999E-4</v>
      </c>
    </row>
    <row r="575" spans="2:5" ht="14.45" customHeight="1">
      <c r="B575" s="95"/>
      <c r="C575" s="63" t="s">
        <v>244</v>
      </c>
      <c r="D575" s="64">
        <v>2</v>
      </c>
      <c r="E575" s="65">
        <v>3.1761156106099999E-4</v>
      </c>
    </row>
    <row r="576" spans="2:5" ht="14.45" customHeight="1">
      <c r="B576" s="96"/>
      <c r="C576" s="36" t="s">
        <v>29</v>
      </c>
      <c r="D576" s="35">
        <v>10</v>
      </c>
      <c r="E576" s="34">
        <v>1.5880578053040001E-3</v>
      </c>
    </row>
    <row r="577" spans="2:5" ht="14.45" customHeight="1">
      <c r="B577" s="97" t="s">
        <v>29</v>
      </c>
      <c r="C577" s="98"/>
      <c r="D577" s="61">
        <v>6297</v>
      </c>
      <c r="E577" s="62">
        <v>1</v>
      </c>
    </row>
    <row r="578" spans="2:5" ht="14.45" customHeight="1"/>
    <row r="579" spans="2:5" ht="14.45" customHeight="1">
      <c r="B579" s="15" t="s">
        <v>47</v>
      </c>
      <c r="C579" s="72"/>
    </row>
    <row r="580" spans="2:5" ht="14.45" customHeight="1">
      <c r="B580" s="17" t="s">
        <v>18</v>
      </c>
      <c r="C580" s="72"/>
    </row>
    <row r="581" spans="2:5" ht="14.45" customHeight="1">
      <c r="B581" s="16" t="s">
        <v>48</v>
      </c>
      <c r="C581" s="72"/>
    </row>
    <row r="582" spans="2:5" ht="14.45" customHeight="1">
      <c r="B582" s="15" t="s">
        <v>17</v>
      </c>
      <c r="C582" s="72"/>
    </row>
    <row r="583" spans="2:5" ht="14.45" customHeight="1">
      <c r="B583" s="15" t="s">
        <v>49</v>
      </c>
      <c r="C583" s="72"/>
    </row>
  </sheetData>
  <mergeCells count="48">
    <mergeCell ref="B345:B376"/>
    <mergeCell ref="B377:B385"/>
    <mergeCell ref="B386:B404"/>
    <mergeCell ref="B303:B314"/>
    <mergeCell ref="B315:B320"/>
    <mergeCell ref="B321:B333"/>
    <mergeCell ref="B334:B335"/>
    <mergeCell ref="B336:B344"/>
    <mergeCell ref="B7:E8"/>
    <mergeCell ref="B484:B493"/>
    <mergeCell ref="B494:B521"/>
    <mergeCell ref="B522:B540"/>
    <mergeCell ref="B541:B547"/>
    <mergeCell ref="B200:B201"/>
    <mergeCell ref="B202:B219"/>
    <mergeCell ref="B220:B241"/>
    <mergeCell ref="B242:B253"/>
    <mergeCell ref="B254:B257"/>
    <mergeCell ref="B258:B271"/>
    <mergeCell ref="B272:B281"/>
    <mergeCell ref="B282:B287"/>
    <mergeCell ref="B288:B289"/>
    <mergeCell ref="B290:B294"/>
    <mergeCell ref="B295:B302"/>
    <mergeCell ref="B10:B14"/>
    <mergeCell ref="B15:B83"/>
    <mergeCell ref="B84:B94"/>
    <mergeCell ref="B95:B147"/>
    <mergeCell ref="B148:B169"/>
    <mergeCell ref="B170:B171"/>
    <mergeCell ref="B172:B173"/>
    <mergeCell ref="B174:B175"/>
    <mergeCell ref="B176:B190"/>
    <mergeCell ref="B191:B199"/>
    <mergeCell ref="B405:B411"/>
    <mergeCell ref="B412:B423"/>
    <mergeCell ref="B424:B427"/>
    <mergeCell ref="B428:B436"/>
    <mergeCell ref="B437:B453"/>
    <mergeCell ref="B559:B568"/>
    <mergeCell ref="B569:B576"/>
    <mergeCell ref="B577:C577"/>
    <mergeCell ref="B454:B462"/>
    <mergeCell ref="B463:B467"/>
    <mergeCell ref="B468:B469"/>
    <mergeCell ref="B470:B481"/>
    <mergeCell ref="B482:B483"/>
    <mergeCell ref="B548:B5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33"/>
  <sheetViews>
    <sheetView showGridLines="0" view="pageBreakPreview" topLeftCell="A812" zoomScale="85" zoomScaleNormal="100" zoomScaleSheetLayoutView="85" workbookViewId="0">
      <selection activeCell="D829" sqref="D829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99"/>
      <c r="C7" s="99"/>
      <c r="D7" s="99"/>
      <c r="E7" s="99"/>
    </row>
    <row r="8" spans="1:5" s="40" customFormat="1" ht="33" customHeight="1">
      <c r="A8" s="41"/>
      <c r="B8" s="99"/>
      <c r="C8" s="99"/>
      <c r="D8" s="99"/>
      <c r="E8" s="99"/>
    </row>
    <row r="9" spans="1:5" s="25" customFormat="1" ht="40.5" customHeight="1">
      <c r="B9" s="78" t="s">
        <v>22</v>
      </c>
      <c r="C9" s="79" t="s">
        <v>24</v>
      </c>
      <c r="D9" s="80" t="s">
        <v>20</v>
      </c>
      <c r="E9" s="78" t="s">
        <v>19</v>
      </c>
    </row>
    <row r="10" spans="1:5">
      <c r="B10" s="100" t="s">
        <v>70</v>
      </c>
      <c r="C10" s="23" t="s">
        <v>198</v>
      </c>
      <c r="D10" s="70">
        <v>7</v>
      </c>
      <c r="E10" s="21">
        <v>1.111640463713E-3</v>
      </c>
    </row>
    <row r="11" spans="1:5">
      <c r="B11" s="100"/>
      <c r="C11" s="23" t="s">
        <v>199</v>
      </c>
      <c r="D11" s="70">
        <v>1</v>
      </c>
      <c r="E11" s="21">
        <v>1.5880578052999999E-4</v>
      </c>
    </row>
    <row r="12" spans="1:5">
      <c r="B12" s="100"/>
      <c r="C12" s="23" t="s">
        <v>201</v>
      </c>
      <c r="D12" s="70">
        <v>1</v>
      </c>
      <c r="E12" s="21">
        <v>1.5880578052999999E-4</v>
      </c>
    </row>
    <row r="13" spans="1:5">
      <c r="B13" s="100"/>
      <c r="C13" s="23" t="s">
        <v>212</v>
      </c>
      <c r="D13" s="70">
        <v>1</v>
      </c>
      <c r="E13" s="21">
        <v>1.5880578052999999E-4</v>
      </c>
    </row>
    <row r="14" spans="1:5">
      <c r="B14" s="100"/>
      <c r="C14" s="23" t="s">
        <v>213</v>
      </c>
      <c r="D14" s="70">
        <v>1</v>
      </c>
      <c r="E14" s="21">
        <v>1.5880578052999999E-4</v>
      </c>
    </row>
    <row r="15" spans="1:5">
      <c r="B15" s="100"/>
      <c r="C15" s="23" t="s">
        <v>194</v>
      </c>
      <c r="D15" s="70">
        <v>10</v>
      </c>
      <c r="E15" s="21">
        <v>1.5880578053040001E-3</v>
      </c>
    </row>
    <row r="16" spans="1:5">
      <c r="B16" s="100"/>
      <c r="C16" s="23" t="s">
        <v>214</v>
      </c>
      <c r="D16" s="70">
        <v>2</v>
      </c>
      <c r="E16" s="21">
        <v>3.1761156106099999E-4</v>
      </c>
    </row>
    <row r="17" spans="2:5">
      <c r="B17" s="100"/>
      <c r="C17" s="23" t="s">
        <v>217</v>
      </c>
      <c r="D17" s="70">
        <v>1</v>
      </c>
      <c r="E17" s="21">
        <v>1.5880578052999999E-4</v>
      </c>
    </row>
    <row r="18" spans="2:5">
      <c r="B18" s="100"/>
      <c r="C18" s="23" t="s">
        <v>219</v>
      </c>
      <c r="D18" s="70">
        <v>2</v>
      </c>
      <c r="E18" s="21">
        <v>3.1761156106099999E-4</v>
      </c>
    </row>
    <row r="19" spans="2:5">
      <c r="B19" s="100"/>
      <c r="C19" s="23" t="s">
        <v>224</v>
      </c>
      <c r="D19" s="70">
        <v>8</v>
      </c>
      <c r="E19" s="21">
        <v>1.2704462442429999E-3</v>
      </c>
    </row>
    <row r="20" spans="2:5">
      <c r="B20" s="100"/>
      <c r="C20" s="23" t="s">
        <v>195</v>
      </c>
      <c r="D20" s="70">
        <v>9</v>
      </c>
      <c r="E20" s="21">
        <v>1.4292520247739999E-3</v>
      </c>
    </row>
    <row r="21" spans="2:5">
      <c r="B21" s="100"/>
      <c r="C21" s="23" t="s">
        <v>225</v>
      </c>
      <c r="D21" s="70">
        <v>1</v>
      </c>
      <c r="E21" s="21">
        <v>1.5880578052999999E-4</v>
      </c>
    </row>
    <row r="22" spans="2:5">
      <c r="B22" s="100"/>
      <c r="C22" s="23" t="s">
        <v>226</v>
      </c>
      <c r="D22" s="70">
        <v>2</v>
      </c>
      <c r="E22" s="21">
        <v>3.1761156106099999E-4</v>
      </c>
    </row>
    <row r="23" spans="2:5">
      <c r="B23" s="100"/>
      <c r="C23" s="23" t="s">
        <v>230</v>
      </c>
      <c r="D23" s="70">
        <v>1</v>
      </c>
      <c r="E23" s="21">
        <v>1.5880578052999999E-4</v>
      </c>
    </row>
    <row r="24" spans="2:5">
      <c r="B24" s="100"/>
      <c r="C24" s="23" t="s">
        <v>234</v>
      </c>
      <c r="D24" s="70">
        <v>3</v>
      </c>
      <c r="E24" s="21">
        <v>4.7641734159099998E-4</v>
      </c>
    </row>
    <row r="25" spans="2:5">
      <c r="B25" s="100"/>
      <c r="C25" s="23" t="s">
        <v>196</v>
      </c>
      <c r="D25" s="70">
        <v>2</v>
      </c>
      <c r="E25" s="21">
        <v>3.1761156106099999E-4</v>
      </c>
    </row>
    <row r="26" spans="2:5">
      <c r="B26" s="100"/>
      <c r="C26" s="23" t="s">
        <v>58</v>
      </c>
      <c r="D26" s="70">
        <v>3</v>
      </c>
      <c r="E26" s="21">
        <v>4.7641734159099998E-4</v>
      </c>
    </row>
    <row r="27" spans="2:5">
      <c r="B27" s="100"/>
      <c r="C27" s="23" t="s">
        <v>240</v>
      </c>
      <c r="D27" s="70">
        <v>1</v>
      </c>
      <c r="E27" s="21">
        <v>1.5880578052999999E-4</v>
      </c>
    </row>
    <row r="28" spans="2:5">
      <c r="B28" s="100"/>
      <c r="C28" s="23" t="s">
        <v>246</v>
      </c>
      <c r="D28" s="70">
        <v>2</v>
      </c>
      <c r="E28" s="21">
        <v>3.1761156106099999E-4</v>
      </c>
    </row>
    <row r="29" spans="2:5">
      <c r="B29" s="100"/>
      <c r="C29" s="73" t="s">
        <v>29</v>
      </c>
      <c r="D29" s="74">
        <v>58</v>
      </c>
      <c r="E29" s="75">
        <v>9.2107352707639992E-3</v>
      </c>
    </row>
    <row r="30" spans="2:5">
      <c r="B30" s="100" t="s">
        <v>74</v>
      </c>
      <c r="C30" s="23" t="s">
        <v>198</v>
      </c>
      <c r="D30" s="70">
        <v>2</v>
      </c>
      <c r="E30" s="21">
        <v>3.1761156106099999E-4</v>
      </c>
    </row>
    <row r="31" spans="2:5">
      <c r="B31" s="100"/>
      <c r="C31" s="23" t="s">
        <v>199</v>
      </c>
      <c r="D31" s="70">
        <v>2</v>
      </c>
      <c r="E31" s="21">
        <v>3.1761156106099999E-4</v>
      </c>
    </row>
    <row r="32" spans="2:5">
      <c r="B32" s="100"/>
      <c r="C32" s="23" t="s">
        <v>194</v>
      </c>
      <c r="D32" s="70">
        <v>5</v>
      </c>
      <c r="E32" s="21">
        <v>7.9402890265200003E-4</v>
      </c>
    </row>
    <row r="33" spans="2:5">
      <c r="B33" s="100"/>
      <c r="C33" s="23" t="s">
        <v>219</v>
      </c>
      <c r="D33" s="70">
        <v>1</v>
      </c>
      <c r="E33" s="21">
        <v>1.5880578052999999E-4</v>
      </c>
    </row>
    <row r="34" spans="2:5">
      <c r="B34" s="100"/>
      <c r="C34" s="23" t="s">
        <v>224</v>
      </c>
      <c r="D34" s="70">
        <v>5</v>
      </c>
      <c r="E34" s="21">
        <v>7.9402890265200003E-4</v>
      </c>
    </row>
    <row r="35" spans="2:5">
      <c r="B35" s="100"/>
      <c r="C35" s="23" t="s">
        <v>195</v>
      </c>
      <c r="D35" s="70">
        <v>9</v>
      </c>
      <c r="E35" s="21">
        <v>1.4292520247739999E-3</v>
      </c>
    </row>
    <row r="36" spans="2:5">
      <c r="B36" s="100"/>
      <c r="C36" s="23" t="s">
        <v>228</v>
      </c>
      <c r="D36" s="70">
        <v>2</v>
      </c>
      <c r="E36" s="21">
        <v>3.1761156106099999E-4</v>
      </c>
    </row>
    <row r="37" spans="2:5">
      <c r="B37" s="100"/>
      <c r="C37" s="23" t="s">
        <v>196</v>
      </c>
      <c r="D37" s="70">
        <v>2</v>
      </c>
      <c r="E37" s="21">
        <v>3.1761156106099999E-4</v>
      </c>
    </row>
    <row r="38" spans="2:5">
      <c r="B38" s="100"/>
      <c r="C38" s="23" t="s">
        <v>58</v>
      </c>
      <c r="D38" s="70">
        <v>3</v>
      </c>
      <c r="E38" s="21">
        <v>4.7641734159099998E-4</v>
      </c>
    </row>
    <row r="39" spans="2:5">
      <c r="B39" s="100"/>
      <c r="C39" s="23" t="s">
        <v>246</v>
      </c>
      <c r="D39" s="70">
        <v>4</v>
      </c>
      <c r="E39" s="21">
        <v>6.3522312212199999E-4</v>
      </c>
    </row>
    <row r="40" spans="2:5">
      <c r="B40" s="100"/>
      <c r="C40" s="73" t="s">
        <v>29</v>
      </c>
      <c r="D40" s="74">
        <v>35</v>
      </c>
      <c r="E40" s="75">
        <v>5.5582023185639998E-3</v>
      </c>
    </row>
    <row r="41" spans="2:5">
      <c r="B41" s="100" t="s">
        <v>84</v>
      </c>
      <c r="C41" s="23" t="s">
        <v>198</v>
      </c>
      <c r="D41" s="70">
        <v>2</v>
      </c>
      <c r="E41" s="21">
        <v>3.1761156106099999E-4</v>
      </c>
    </row>
    <row r="42" spans="2:5">
      <c r="B42" s="100"/>
      <c r="C42" s="23" t="s">
        <v>194</v>
      </c>
      <c r="D42" s="70">
        <v>8</v>
      </c>
      <c r="E42" s="21">
        <v>1.2704462442429999E-3</v>
      </c>
    </row>
    <row r="43" spans="2:5">
      <c r="B43" s="100"/>
      <c r="C43" s="23" t="s">
        <v>195</v>
      </c>
      <c r="D43" s="70">
        <v>4</v>
      </c>
      <c r="E43" s="21">
        <v>6.3522312212199999E-4</v>
      </c>
    </row>
    <row r="44" spans="2:5">
      <c r="B44" s="100"/>
      <c r="C44" s="23" t="s">
        <v>226</v>
      </c>
      <c r="D44" s="70">
        <v>3</v>
      </c>
      <c r="E44" s="21">
        <v>4.7641734159099998E-4</v>
      </c>
    </row>
    <row r="45" spans="2:5">
      <c r="B45" s="100"/>
      <c r="C45" s="23" t="s">
        <v>58</v>
      </c>
      <c r="D45" s="70">
        <v>2</v>
      </c>
      <c r="E45" s="21">
        <v>3.1761156106099999E-4</v>
      </c>
    </row>
    <row r="46" spans="2:5">
      <c r="B46" s="100"/>
      <c r="C46" s="23" t="s">
        <v>246</v>
      </c>
      <c r="D46" s="70">
        <v>2</v>
      </c>
      <c r="E46" s="21">
        <v>3.1761156106099999E-4</v>
      </c>
    </row>
    <row r="47" spans="2:5">
      <c r="B47" s="100"/>
      <c r="C47" s="73" t="s">
        <v>29</v>
      </c>
      <c r="D47" s="74">
        <v>21</v>
      </c>
      <c r="E47" s="75">
        <v>3.3349213911389999E-3</v>
      </c>
    </row>
    <row r="48" spans="2:5">
      <c r="B48" s="100" t="s">
        <v>67</v>
      </c>
      <c r="C48" s="23" t="s">
        <v>198</v>
      </c>
      <c r="D48" s="70">
        <v>2</v>
      </c>
      <c r="E48" s="21">
        <v>3.1761156106099999E-4</v>
      </c>
    </row>
    <row r="49" spans="2:5">
      <c r="B49" s="100"/>
      <c r="C49" s="23" t="s">
        <v>199</v>
      </c>
      <c r="D49" s="70">
        <v>1</v>
      </c>
      <c r="E49" s="21">
        <v>1.5880578052999999E-4</v>
      </c>
    </row>
    <row r="50" spans="2:5">
      <c r="B50" s="100"/>
      <c r="C50" s="23" t="s">
        <v>212</v>
      </c>
      <c r="D50" s="70">
        <v>1</v>
      </c>
      <c r="E50" s="21">
        <v>1.5880578052999999E-4</v>
      </c>
    </row>
    <row r="51" spans="2:5">
      <c r="B51" s="100"/>
      <c r="C51" s="23" t="s">
        <v>213</v>
      </c>
      <c r="D51" s="70">
        <v>1</v>
      </c>
      <c r="E51" s="21">
        <v>1.5880578052999999E-4</v>
      </c>
    </row>
    <row r="52" spans="2:5">
      <c r="B52" s="100"/>
      <c r="C52" s="23" t="s">
        <v>194</v>
      </c>
      <c r="D52" s="70">
        <v>18</v>
      </c>
      <c r="E52" s="21">
        <v>2.8585040495470002E-3</v>
      </c>
    </row>
    <row r="53" spans="2:5">
      <c r="B53" s="100"/>
      <c r="C53" s="23" t="s">
        <v>219</v>
      </c>
      <c r="D53" s="70">
        <v>1</v>
      </c>
      <c r="E53" s="21">
        <v>1.5880578052999999E-4</v>
      </c>
    </row>
    <row r="54" spans="2:5">
      <c r="B54" s="100"/>
      <c r="C54" s="23" t="s">
        <v>220</v>
      </c>
      <c r="D54" s="70">
        <v>2</v>
      </c>
      <c r="E54" s="21">
        <v>3.1761156106099999E-4</v>
      </c>
    </row>
    <row r="55" spans="2:5">
      <c r="B55" s="100"/>
      <c r="C55" s="23" t="s">
        <v>222</v>
      </c>
      <c r="D55" s="70">
        <v>1</v>
      </c>
      <c r="E55" s="21">
        <v>1.5880578052999999E-4</v>
      </c>
    </row>
    <row r="56" spans="2:5">
      <c r="B56" s="100"/>
      <c r="C56" s="23" t="s">
        <v>224</v>
      </c>
      <c r="D56" s="70">
        <v>7</v>
      </c>
      <c r="E56" s="21">
        <v>1.111640463713E-3</v>
      </c>
    </row>
    <row r="57" spans="2:5">
      <c r="B57" s="100"/>
      <c r="C57" s="23" t="s">
        <v>195</v>
      </c>
      <c r="D57" s="70">
        <v>9</v>
      </c>
      <c r="E57" s="21">
        <v>1.4292520247739999E-3</v>
      </c>
    </row>
    <row r="58" spans="2:5">
      <c r="B58" s="100"/>
      <c r="C58" s="23" t="s">
        <v>226</v>
      </c>
      <c r="D58" s="70">
        <v>3</v>
      </c>
      <c r="E58" s="21">
        <v>4.7641734159099998E-4</v>
      </c>
    </row>
    <row r="59" spans="2:5">
      <c r="B59" s="100"/>
      <c r="C59" s="23" t="s">
        <v>230</v>
      </c>
      <c r="D59" s="70">
        <v>2</v>
      </c>
      <c r="E59" s="21">
        <v>3.1761156106099999E-4</v>
      </c>
    </row>
    <row r="60" spans="2:5">
      <c r="B60" s="100"/>
      <c r="C60" s="23" t="s">
        <v>234</v>
      </c>
      <c r="D60" s="70">
        <v>2</v>
      </c>
      <c r="E60" s="21">
        <v>3.1761156106099999E-4</v>
      </c>
    </row>
    <row r="61" spans="2:5">
      <c r="B61" s="100"/>
      <c r="C61" s="23" t="s">
        <v>196</v>
      </c>
      <c r="D61" s="70">
        <v>5</v>
      </c>
      <c r="E61" s="21">
        <v>7.9402890265200003E-4</v>
      </c>
    </row>
    <row r="62" spans="2:5">
      <c r="B62" s="100"/>
      <c r="C62" s="23" t="s">
        <v>58</v>
      </c>
      <c r="D62" s="70">
        <v>14</v>
      </c>
      <c r="E62" s="21">
        <v>2.2232809274259999E-3</v>
      </c>
    </row>
    <row r="63" spans="2:5">
      <c r="B63" s="100"/>
      <c r="C63" s="23" t="s">
        <v>244</v>
      </c>
      <c r="D63" s="70">
        <v>4</v>
      </c>
      <c r="E63" s="21">
        <v>6.3522312212199999E-4</v>
      </c>
    </row>
    <row r="64" spans="2:5">
      <c r="B64" s="100"/>
      <c r="C64" s="23" t="s">
        <v>246</v>
      </c>
      <c r="D64" s="70">
        <v>7</v>
      </c>
      <c r="E64" s="21">
        <v>1.111640463713E-3</v>
      </c>
    </row>
    <row r="65" spans="2:5">
      <c r="B65" s="100"/>
      <c r="C65" s="73" t="s">
        <v>29</v>
      </c>
      <c r="D65" s="74">
        <v>80</v>
      </c>
      <c r="E65" s="75">
        <v>1.2704462442433E-2</v>
      </c>
    </row>
    <row r="66" spans="2:5">
      <c r="B66" s="100" t="s">
        <v>87</v>
      </c>
      <c r="C66" s="23" t="s">
        <v>199</v>
      </c>
      <c r="D66" s="70">
        <v>1</v>
      </c>
      <c r="E66" s="21">
        <v>1.5880578052999999E-4</v>
      </c>
    </row>
    <row r="67" spans="2:5">
      <c r="B67" s="100"/>
      <c r="C67" s="23" t="s">
        <v>194</v>
      </c>
      <c r="D67" s="70">
        <v>11</v>
      </c>
      <c r="E67" s="21">
        <v>1.7468635858350001E-3</v>
      </c>
    </row>
    <row r="68" spans="2:5">
      <c r="B68" s="100"/>
      <c r="C68" s="23" t="s">
        <v>195</v>
      </c>
      <c r="D68" s="70">
        <v>4</v>
      </c>
      <c r="E68" s="21">
        <v>6.3522312212199999E-4</v>
      </c>
    </row>
    <row r="69" spans="2:5">
      <c r="B69" s="100"/>
      <c r="C69" s="23" t="s">
        <v>58</v>
      </c>
      <c r="D69" s="70">
        <v>1</v>
      </c>
      <c r="E69" s="21">
        <v>1.5880578052999999E-4</v>
      </c>
    </row>
    <row r="70" spans="2:5">
      <c r="B70" s="100"/>
      <c r="C70" s="23" t="s">
        <v>244</v>
      </c>
      <c r="D70" s="70">
        <v>1</v>
      </c>
      <c r="E70" s="21">
        <v>1.5880578052999999E-4</v>
      </c>
    </row>
    <row r="71" spans="2:5">
      <c r="B71" s="100"/>
      <c r="C71" s="73" t="s">
        <v>29</v>
      </c>
      <c r="D71" s="74">
        <v>18</v>
      </c>
      <c r="E71" s="75">
        <v>2.8585040495470002E-3</v>
      </c>
    </row>
    <row r="72" spans="2:5">
      <c r="B72" s="100" t="s">
        <v>97</v>
      </c>
      <c r="C72" s="23" t="s">
        <v>199</v>
      </c>
      <c r="D72" s="70">
        <v>1</v>
      </c>
      <c r="E72" s="21">
        <v>1.5880578052999999E-4</v>
      </c>
    </row>
    <row r="73" spans="2:5">
      <c r="B73" s="100"/>
      <c r="C73" s="23" t="s">
        <v>201</v>
      </c>
      <c r="D73" s="70">
        <v>1</v>
      </c>
      <c r="E73" s="21">
        <v>1.5880578052999999E-4</v>
      </c>
    </row>
    <row r="74" spans="2:5">
      <c r="B74" s="100"/>
      <c r="C74" s="23" t="s">
        <v>194</v>
      </c>
      <c r="D74" s="70">
        <v>2</v>
      </c>
      <c r="E74" s="21">
        <v>3.1761156106099999E-4</v>
      </c>
    </row>
    <row r="75" spans="2:5">
      <c r="B75" s="100"/>
      <c r="C75" s="23" t="s">
        <v>239</v>
      </c>
      <c r="D75" s="70">
        <v>1</v>
      </c>
      <c r="E75" s="21">
        <v>1.5880578052999999E-4</v>
      </c>
    </row>
    <row r="76" spans="2:5">
      <c r="B76" s="100"/>
      <c r="C76" s="73" t="s">
        <v>29</v>
      </c>
      <c r="D76" s="74">
        <v>5</v>
      </c>
      <c r="E76" s="75">
        <v>7.9402890265200003E-4</v>
      </c>
    </row>
    <row r="77" spans="2:5">
      <c r="B77" s="100" t="s">
        <v>88</v>
      </c>
      <c r="C77" s="23" t="s">
        <v>213</v>
      </c>
      <c r="D77" s="70">
        <v>1</v>
      </c>
      <c r="E77" s="21">
        <v>1.5880578052999999E-4</v>
      </c>
    </row>
    <row r="78" spans="2:5">
      <c r="B78" s="100"/>
      <c r="C78" s="23" t="s">
        <v>194</v>
      </c>
      <c r="D78" s="70">
        <v>4</v>
      </c>
      <c r="E78" s="21">
        <v>6.3522312212199999E-4</v>
      </c>
    </row>
    <row r="79" spans="2:5">
      <c r="B79" s="100"/>
      <c r="C79" s="23" t="s">
        <v>195</v>
      </c>
      <c r="D79" s="70">
        <v>2</v>
      </c>
      <c r="E79" s="21">
        <v>3.1761156106099999E-4</v>
      </c>
    </row>
    <row r="80" spans="2:5">
      <c r="B80" s="100"/>
      <c r="C80" s="23" t="s">
        <v>234</v>
      </c>
      <c r="D80" s="70">
        <v>1</v>
      </c>
      <c r="E80" s="21">
        <v>1.5880578052999999E-4</v>
      </c>
    </row>
    <row r="81" spans="2:5">
      <c r="B81" s="100"/>
      <c r="C81" s="23" t="s">
        <v>196</v>
      </c>
      <c r="D81" s="70">
        <v>2</v>
      </c>
      <c r="E81" s="21">
        <v>3.1761156106099999E-4</v>
      </c>
    </row>
    <row r="82" spans="2:5">
      <c r="B82" s="100"/>
      <c r="C82" s="23" t="s">
        <v>246</v>
      </c>
      <c r="D82" s="70">
        <v>8</v>
      </c>
      <c r="E82" s="21">
        <v>1.2704462442429999E-3</v>
      </c>
    </row>
    <row r="83" spans="2:5">
      <c r="B83" s="100"/>
      <c r="C83" s="73" t="s">
        <v>29</v>
      </c>
      <c r="D83" s="74">
        <v>18</v>
      </c>
      <c r="E83" s="75">
        <v>2.8585040495470002E-3</v>
      </c>
    </row>
    <row r="84" spans="2:5">
      <c r="B84" s="100" t="s">
        <v>57</v>
      </c>
      <c r="C84" s="23" t="s">
        <v>198</v>
      </c>
      <c r="D84" s="70">
        <v>4</v>
      </c>
      <c r="E84" s="21">
        <v>6.3522312212199999E-4</v>
      </c>
    </row>
    <row r="85" spans="2:5">
      <c r="B85" s="100"/>
      <c r="C85" s="23" t="s">
        <v>210</v>
      </c>
      <c r="D85" s="70">
        <v>1</v>
      </c>
      <c r="E85" s="21">
        <v>1.5880578052999999E-4</v>
      </c>
    </row>
    <row r="86" spans="2:5">
      <c r="B86" s="100"/>
      <c r="C86" s="23" t="s">
        <v>212</v>
      </c>
      <c r="D86" s="70">
        <v>2</v>
      </c>
      <c r="E86" s="21">
        <v>3.1761156106099999E-4</v>
      </c>
    </row>
    <row r="87" spans="2:5">
      <c r="B87" s="100"/>
      <c r="C87" s="23" t="s">
        <v>213</v>
      </c>
      <c r="D87" s="70">
        <v>5</v>
      </c>
      <c r="E87" s="21">
        <v>7.9402890265200003E-4</v>
      </c>
    </row>
    <row r="88" spans="2:5">
      <c r="B88" s="100"/>
      <c r="C88" s="23" t="s">
        <v>194</v>
      </c>
      <c r="D88" s="70">
        <v>24</v>
      </c>
      <c r="E88" s="21">
        <v>3.81133873273E-3</v>
      </c>
    </row>
    <row r="89" spans="2:5">
      <c r="B89" s="100"/>
      <c r="C89" s="23" t="s">
        <v>214</v>
      </c>
      <c r="D89" s="70">
        <v>1</v>
      </c>
      <c r="E89" s="21">
        <v>1.5880578052999999E-4</v>
      </c>
    </row>
    <row r="90" spans="2:5">
      <c r="B90" s="100"/>
      <c r="C90" s="23" t="s">
        <v>215</v>
      </c>
      <c r="D90" s="70">
        <v>1</v>
      </c>
      <c r="E90" s="21">
        <v>1.5880578052999999E-4</v>
      </c>
    </row>
    <row r="91" spans="2:5">
      <c r="B91" s="100"/>
      <c r="C91" s="23" t="s">
        <v>219</v>
      </c>
      <c r="D91" s="70">
        <v>5</v>
      </c>
      <c r="E91" s="21">
        <v>7.9402890265200003E-4</v>
      </c>
    </row>
    <row r="92" spans="2:5">
      <c r="B92" s="100"/>
      <c r="C92" s="23" t="s">
        <v>220</v>
      </c>
      <c r="D92" s="70">
        <v>1</v>
      </c>
      <c r="E92" s="21">
        <v>1.5880578052999999E-4</v>
      </c>
    </row>
    <row r="93" spans="2:5">
      <c r="B93" s="100"/>
      <c r="C93" s="23" t="s">
        <v>224</v>
      </c>
      <c r="D93" s="70">
        <v>18</v>
      </c>
      <c r="E93" s="21">
        <v>2.8585040495470002E-3</v>
      </c>
    </row>
    <row r="94" spans="2:5">
      <c r="B94" s="100"/>
      <c r="C94" s="23" t="s">
        <v>195</v>
      </c>
      <c r="D94" s="70">
        <v>27</v>
      </c>
      <c r="E94" s="21">
        <v>4.2877560743210001E-3</v>
      </c>
    </row>
    <row r="95" spans="2:5">
      <c r="B95" s="100"/>
      <c r="C95" s="23" t="s">
        <v>226</v>
      </c>
      <c r="D95" s="70">
        <v>3</v>
      </c>
      <c r="E95" s="21">
        <v>4.7641734159099998E-4</v>
      </c>
    </row>
    <row r="96" spans="2:5">
      <c r="B96" s="100"/>
      <c r="C96" s="23" t="s">
        <v>230</v>
      </c>
      <c r="D96" s="70">
        <v>2</v>
      </c>
      <c r="E96" s="21">
        <v>3.1761156106099999E-4</v>
      </c>
    </row>
    <row r="97" spans="2:5">
      <c r="B97" s="100"/>
      <c r="C97" s="23" t="s">
        <v>233</v>
      </c>
      <c r="D97" s="70">
        <v>1</v>
      </c>
      <c r="E97" s="21">
        <v>1.5880578052999999E-4</v>
      </c>
    </row>
    <row r="98" spans="2:5">
      <c r="B98" s="100"/>
      <c r="C98" s="23" t="s">
        <v>234</v>
      </c>
      <c r="D98" s="70">
        <v>4</v>
      </c>
      <c r="E98" s="21">
        <v>6.3522312212199999E-4</v>
      </c>
    </row>
    <row r="99" spans="2:5">
      <c r="B99" s="100"/>
      <c r="C99" s="23" t="s">
        <v>196</v>
      </c>
      <c r="D99" s="70">
        <v>6</v>
      </c>
      <c r="E99" s="21">
        <v>9.5283468318199996E-4</v>
      </c>
    </row>
    <row r="100" spans="2:5">
      <c r="B100" s="100"/>
      <c r="C100" s="23" t="s">
        <v>58</v>
      </c>
      <c r="D100" s="70">
        <v>23</v>
      </c>
      <c r="E100" s="21">
        <v>3.6525329521990002E-3</v>
      </c>
    </row>
    <row r="101" spans="2:5">
      <c r="B101" s="100"/>
      <c r="C101" s="23" t="s">
        <v>239</v>
      </c>
      <c r="D101" s="70">
        <v>1</v>
      </c>
      <c r="E101" s="21">
        <v>1.5880578052999999E-4</v>
      </c>
    </row>
    <row r="102" spans="2:5">
      <c r="B102" s="100"/>
      <c r="C102" s="23" t="s">
        <v>240</v>
      </c>
      <c r="D102" s="70">
        <v>6</v>
      </c>
      <c r="E102" s="21">
        <v>9.5283468318199996E-4</v>
      </c>
    </row>
    <row r="103" spans="2:5">
      <c r="B103" s="100"/>
      <c r="C103" s="23" t="s">
        <v>263</v>
      </c>
      <c r="D103" s="70">
        <v>1</v>
      </c>
      <c r="E103" s="21">
        <v>1.5880578052999999E-4</v>
      </c>
    </row>
    <row r="104" spans="2:5">
      <c r="B104" s="100"/>
      <c r="C104" s="23" t="s">
        <v>246</v>
      </c>
      <c r="D104" s="70">
        <v>4</v>
      </c>
      <c r="E104" s="21">
        <v>6.3522312212199999E-4</v>
      </c>
    </row>
    <row r="105" spans="2:5">
      <c r="B105" s="100"/>
      <c r="C105" s="23" t="s">
        <v>64</v>
      </c>
      <c r="D105" s="70">
        <v>2</v>
      </c>
      <c r="E105" s="21">
        <v>3.1761156106099999E-4</v>
      </c>
    </row>
    <row r="106" spans="2:5">
      <c r="B106" s="100"/>
      <c r="C106" s="73" t="s">
        <v>29</v>
      </c>
      <c r="D106" s="74">
        <v>142</v>
      </c>
      <c r="E106" s="75">
        <v>2.2550420835318E-2</v>
      </c>
    </row>
    <row r="107" spans="2:5">
      <c r="B107" s="100" t="s">
        <v>65</v>
      </c>
      <c r="C107" s="23" t="s">
        <v>198</v>
      </c>
      <c r="D107" s="70">
        <v>2</v>
      </c>
      <c r="E107" s="21">
        <v>3.1761156106099999E-4</v>
      </c>
    </row>
    <row r="108" spans="2:5">
      <c r="B108" s="100"/>
      <c r="C108" s="23" t="s">
        <v>260</v>
      </c>
      <c r="D108" s="70">
        <v>1</v>
      </c>
      <c r="E108" s="21">
        <v>1.5880578052999999E-4</v>
      </c>
    </row>
    <row r="109" spans="2:5">
      <c r="B109" s="100"/>
      <c r="C109" s="23" t="s">
        <v>211</v>
      </c>
      <c r="D109" s="70">
        <v>1</v>
      </c>
      <c r="E109" s="21">
        <v>1.5880578052999999E-4</v>
      </c>
    </row>
    <row r="110" spans="2:5">
      <c r="B110" s="100"/>
      <c r="C110" s="23" t="s">
        <v>213</v>
      </c>
      <c r="D110" s="70">
        <v>3</v>
      </c>
      <c r="E110" s="21">
        <v>4.7641734159099998E-4</v>
      </c>
    </row>
    <row r="111" spans="2:5">
      <c r="B111" s="100"/>
      <c r="C111" s="23" t="s">
        <v>194</v>
      </c>
      <c r="D111" s="70">
        <v>18</v>
      </c>
      <c r="E111" s="21">
        <v>2.8585040495470002E-3</v>
      </c>
    </row>
    <row r="112" spans="2:5">
      <c r="B112" s="100"/>
      <c r="C112" s="23" t="s">
        <v>214</v>
      </c>
      <c r="D112" s="70">
        <v>2</v>
      </c>
      <c r="E112" s="21">
        <v>3.1761156106099999E-4</v>
      </c>
    </row>
    <row r="113" spans="2:5">
      <c r="B113" s="100"/>
      <c r="C113" s="23" t="s">
        <v>219</v>
      </c>
      <c r="D113" s="70">
        <v>4</v>
      </c>
      <c r="E113" s="21">
        <v>6.3522312212199999E-4</v>
      </c>
    </row>
    <row r="114" spans="2:5">
      <c r="B114" s="100"/>
      <c r="C114" s="23" t="s">
        <v>224</v>
      </c>
      <c r="D114" s="70">
        <v>6</v>
      </c>
      <c r="E114" s="21">
        <v>9.5283468318199996E-4</v>
      </c>
    </row>
    <row r="115" spans="2:5">
      <c r="B115" s="100"/>
      <c r="C115" s="23" t="s">
        <v>195</v>
      </c>
      <c r="D115" s="70">
        <v>20</v>
      </c>
      <c r="E115" s="21">
        <v>3.1761156106080001E-3</v>
      </c>
    </row>
    <row r="116" spans="2:5">
      <c r="B116" s="100"/>
      <c r="C116" s="23" t="s">
        <v>226</v>
      </c>
      <c r="D116" s="70">
        <v>1</v>
      </c>
      <c r="E116" s="21">
        <v>1.5880578052999999E-4</v>
      </c>
    </row>
    <row r="117" spans="2:5">
      <c r="B117" s="100"/>
      <c r="C117" s="23" t="s">
        <v>228</v>
      </c>
      <c r="D117" s="70">
        <v>1</v>
      </c>
      <c r="E117" s="21">
        <v>1.5880578052999999E-4</v>
      </c>
    </row>
    <row r="118" spans="2:5">
      <c r="B118" s="100"/>
      <c r="C118" s="23" t="s">
        <v>234</v>
      </c>
      <c r="D118" s="70">
        <v>2</v>
      </c>
      <c r="E118" s="21">
        <v>3.1761156106099999E-4</v>
      </c>
    </row>
    <row r="119" spans="2:5">
      <c r="B119" s="100"/>
      <c r="C119" s="23" t="s">
        <v>196</v>
      </c>
      <c r="D119" s="70">
        <v>5</v>
      </c>
      <c r="E119" s="21">
        <v>7.9402890265200003E-4</v>
      </c>
    </row>
    <row r="120" spans="2:5">
      <c r="B120" s="100"/>
      <c r="C120" s="23" t="s">
        <v>58</v>
      </c>
      <c r="D120" s="70">
        <v>10</v>
      </c>
      <c r="E120" s="21">
        <v>1.5880578053040001E-3</v>
      </c>
    </row>
    <row r="121" spans="2:5">
      <c r="B121" s="100"/>
      <c r="C121" s="23" t="s">
        <v>236</v>
      </c>
      <c r="D121" s="70">
        <v>2</v>
      </c>
      <c r="E121" s="21">
        <v>3.1761156106099999E-4</v>
      </c>
    </row>
    <row r="122" spans="2:5">
      <c r="B122" s="100"/>
      <c r="C122" s="23" t="s">
        <v>239</v>
      </c>
      <c r="D122" s="70">
        <v>1</v>
      </c>
      <c r="E122" s="21">
        <v>1.5880578052999999E-4</v>
      </c>
    </row>
    <row r="123" spans="2:5">
      <c r="B123" s="100"/>
      <c r="C123" s="23" t="s">
        <v>240</v>
      </c>
      <c r="D123" s="70">
        <v>2</v>
      </c>
      <c r="E123" s="21">
        <v>3.1761156106099999E-4</v>
      </c>
    </row>
    <row r="124" spans="2:5">
      <c r="B124" s="100"/>
      <c r="C124" s="23" t="s">
        <v>244</v>
      </c>
      <c r="D124" s="70">
        <v>1</v>
      </c>
      <c r="E124" s="21">
        <v>1.5880578052999999E-4</v>
      </c>
    </row>
    <row r="125" spans="2:5">
      <c r="B125" s="100"/>
      <c r="C125" s="23" t="s">
        <v>246</v>
      </c>
      <c r="D125" s="70">
        <v>4</v>
      </c>
      <c r="E125" s="21">
        <v>6.3522312212199999E-4</v>
      </c>
    </row>
    <row r="126" spans="2:5">
      <c r="B126" s="100"/>
      <c r="C126" s="23" t="s">
        <v>259</v>
      </c>
      <c r="D126" s="70">
        <v>2</v>
      </c>
      <c r="E126" s="21">
        <v>3.1761156106099999E-4</v>
      </c>
    </row>
    <row r="127" spans="2:5">
      <c r="B127" s="100"/>
      <c r="C127" s="73" t="s">
        <v>29</v>
      </c>
      <c r="D127" s="74">
        <v>88</v>
      </c>
      <c r="E127" s="75">
        <v>1.3974908686676E-2</v>
      </c>
    </row>
    <row r="128" spans="2:5">
      <c r="B128" s="100" t="s">
        <v>99</v>
      </c>
      <c r="C128" s="23" t="s">
        <v>194</v>
      </c>
      <c r="D128" s="70">
        <v>1</v>
      </c>
      <c r="E128" s="21">
        <v>1.5880578052999999E-4</v>
      </c>
    </row>
    <row r="129" spans="2:5">
      <c r="B129" s="100"/>
      <c r="C129" s="23" t="s">
        <v>246</v>
      </c>
      <c r="D129" s="70">
        <v>1</v>
      </c>
      <c r="E129" s="21">
        <v>1.5880578052999999E-4</v>
      </c>
    </row>
    <row r="130" spans="2:5">
      <c r="B130" s="100"/>
      <c r="C130" s="73" t="s">
        <v>29</v>
      </c>
      <c r="D130" s="74">
        <v>2</v>
      </c>
      <c r="E130" s="75">
        <v>3.1761156106099999E-4</v>
      </c>
    </row>
    <row r="131" spans="2:5">
      <c r="B131" s="100" t="s">
        <v>59</v>
      </c>
      <c r="C131" s="23" t="s">
        <v>198</v>
      </c>
      <c r="D131" s="70">
        <v>11</v>
      </c>
      <c r="E131" s="21">
        <v>1.7468635858350001E-3</v>
      </c>
    </row>
    <row r="132" spans="2:5">
      <c r="B132" s="100"/>
      <c r="C132" s="23" t="s">
        <v>199</v>
      </c>
      <c r="D132" s="70">
        <v>3</v>
      </c>
      <c r="E132" s="21">
        <v>4.7641734159099998E-4</v>
      </c>
    </row>
    <row r="133" spans="2:5">
      <c r="B133" s="100"/>
      <c r="C133" s="23" t="s">
        <v>260</v>
      </c>
      <c r="D133" s="70">
        <v>1</v>
      </c>
      <c r="E133" s="21">
        <v>1.5880578052999999E-4</v>
      </c>
    </row>
    <row r="134" spans="2:5">
      <c r="B134" s="100"/>
      <c r="C134" s="23" t="s">
        <v>205</v>
      </c>
      <c r="D134" s="70">
        <v>1</v>
      </c>
      <c r="E134" s="21">
        <v>1.5880578052999999E-4</v>
      </c>
    </row>
    <row r="135" spans="2:5">
      <c r="B135" s="100"/>
      <c r="C135" s="23" t="s">
        <v>212</v>
      </c>
      <c r="D135" s="70">
        <v>1</v>
      </c>
      <c r="E135" s="21">
        <v>1.5880578052999999E-4</v>
      </c>
    </row>
    <row r="136" spans="2:5">
      <c r="B136" s="100"/>
      <c r="C136" s="23" t="s">
        <v>213</v>
      </c>
      <c r="D136" s="70">
        <v>4</v>
      </c>
      <c r="E136" s="21">
        <v>6.3522312212199999E-4</v>
      </c>
    </row>
    <row r="137" spans="2:5">
      <c r="B137" s="100"/>
      <c r="C137" s="23" t="s">
        <v>194</v>
      </c>
      <c r="D137" s="70">
        <v>14</v>
      </c>
      <c r="E137" s="21">
        <v>2.2232809274259999E-3</v>
      </c>
    </row>
    <row r="138" spans="2:5">
      <c r="B138" s="100"/>
      <c r="C138" s="23" t="s">
        <v>214</v>
      </c>
      <c r="D138" s="70">
        <v>3</v>
      </c>
      <c r="E138" s="21">
        <v>4.7641734159099998E-4</v>
      </c>
    </row>
    <row r="139" spans="2:5">
      <c r="B139" s="100"/>
      <c r="C139" s="23" t="s">
        <v>219</v>
      </c>
      <c r="D139" s="70">
        <v>3</v>
      </c>
      <c r="E139" s="21">
        <v>4.7641734159099998E-4</v>
      </c>
    </row>
    <row r="140" spans="2:5">
      <c r="B140" s="100"/>
      <c r="C140" s="23" t="s">
        <v>220</v>
      </c>
      <c r="D140" s="70">
        <v>2</v>
      </c>
      <c r="E140" s="21">
        <v>3.1761156106099999E-4</v>
      </c>
    </row>
    <row r="141" spans="2:5">
      <c r="B141" s="100"/>
      <c r="C141" s="23" t="s">
        <v>224</v>
      </c>
      <c r="D141" s="70">
        <v>7</v>
      </c>
      <c r="E141" s="21">
        <v>1.111640463713E-3</v>
      </c>
    </row>
    <row r="142" spans="2:5">
      <c r="B142" s="100"/>
      <c r="C142" s="23" t="s">
        <v>195</v>
      </c>
      <c r="D142" s="70">
        <v>31</v>
      </c>
      <c r="E142" s="21">
        <v>4.922979196443E-3</v>
      </c>
    </row>
    <row r="143" spans="2:5">
      <c r="B143" s="100"/>
      <c r="C143" s="23" t="s">
        <v>226</v>
      </c>
      <c r="D143" s="70">
        <v>1</v>
      </c>
      <c r="E143" s="21">
        <v>1.5880578052999999E-4</v>
      </c>
    </row>
    <row r="144" spans="2:5">
      <c r="B144" s="100"/>
      <c r="C144" s="23" t="s">
        <v>230</v>
      </c>
      <c r="D144" s="70">
        <v>1</v>
      </c>
      <c r="E144" s="21">
        <v>1.5880578052999999E-4</v>
      </c>
    </row>
    <row r="145" spans="2:5">
      <c r="B145" s="100"/>
      <c r="C145" s="23" t="s">
        <v>196</v>
      </c>
      <c r="D145" s="70">
        <v>3</v>
      </c>
      <c r="E145" s="21">
        <v>4.7641734159099998E-4</v>
      </c>
    </row>
    <row r="146" spans="2:5">
      <c r="B146" s="100"/>
      <c r="C146" s="23" t="s">
        <v>58</v>
      </c>
      <c r="D146" s="70">
        <v>14</v>
      </c>
      <c r="E146" s="21">
        <v>2.2232809274259999E-3</v>
      </c>
    </row>
    <row r="147" spans="2:5">
      <c r="B147" s="100"/>
      <c r="C147" s="23" t="s">
        <v>236</v>
      </c>
      <c r="D147" s="70">
        <v>1</v>
      </c>
      <c r="E147" s="21">
        <v>1.5880578052999999E-4</v>
      </c>
    </row>
    <row r="148" spans="2:5">
      <c r="B148" s="100"/>
      <c r="C148" s="23" t="s">
        <v>240</v>
      </c>
      <c r="D148" s="70">
        <v>5</v>
      </c>
      <c r="E148" s="21">
        <v>7.9402890265200003E-4</v>
      </c>
    </row>
    <row r="149" spans="2:5">
      <c r="B149" s="100"/>
      <c r="C149" s="23" t="s">
        <v>244</v>
      </c>
      <c r="D149" s="70">
        <v>6</v>
      </c>
      <c r="E149" s="21">
        <v>9.5283468318199996E-4</v>
      </c>
    </row>
    <row r="150" spans="2:5">
      <c r="B150" s="100"/>
      <c r="C150" s="23" t="s">
        <v>246</v>
      </c>
      <c r="D150" s="70">
        <v>1</v>
      </c>
      <c r="E150" s="21">
        <v>1.5880578052999999E-4</v>
      </c>
    </row>
    <row r="151" spans="2:5">
      <c r="B151" s="100"/>
      <c r="C151" s="73" t="s">
        <v>29</v>
      </c>
      <c r="D151" s="74">
        <v>113</v>
      </c>
      <c r="E151" s="75">
        <v>1.7945053199936001E-2</v>
      </c>
    </row>
    <row r="152" spans="2:5">
      <c r="B152" s="100" t="s">
        <v>81</v>
      </c>
      <c r="C152" s="23" t="s">
        <v>213</v>
      </c>
      <c r="D152" s="70">
        <v>1</v>
      </c>
      <c r="E152" s="21">
        <v>1.5880578052999999E-4</v>
      </c>
    </row>
    <row r="153" spans="2:5">
      <c r="B153" s="100"/>
      <c r="C153" s="23" t="s">
        <v>194</v>
      </c>
      <c r="D153" s="70">
        <v>7</v>
      </c>
      <c r="E153" s="21">
        <v>1.111640463713E-3</v>
      </c>
    </row>
    <row r="154" spans="2:5">
      <c r="B154" s="100"/>
      <c r="C154" s="23" t="s">
        <v>219</v>
      </c>
      <c r="D154" s="70">
        <v>1</v>
      </c>
      <c r="E154" s="21">
        <v>1.5880578052999999E-4</v>
      </c>
    </row>
    <row r="155" spans="2:5">
      <c r="B155" s="100"/>
      <c r="C155" s="23" t="s">
        <v>224</v>
      </c>
      <c r="D155" s="70">
        <v>5</v>
      </c>
      <c r="E155" s="21">
        <v>7.9402890265200003E-4</v>
      </c>
    </row>
    <row r="156" spans="2:5">
      <c r="B156" s="100"/>
      <c r="C156" s="23" t="s">
        <v>195</v>
      </c>
      <c r="D156" s="70">
        <v>4</v>
      </c>
      <c r="E156" s="21">
        <v>6.3522312212199999E-4</v>
      </c>
    </row>
    <row r="157" spans="2:5">
      <c r="B157" s="100"/>
      <c r="C157" s="23" t="s">
        <v>228</v>
      </c>
      <c r="D157" s="70">
        <v>1</v>
      </c>
      <c r="E157" s="21">
        <v>1.5880578052999999E-4</v>
      </c>
    </row>
    <row r="158" spans="2:5">
      <c r="B158" s="100"/>
      <c r="C158" s="23" t="s">
        <v>196</v>
      </c>
      <c r="D158" s="70">
        <v>1</v>
      </c>
      <c r="E158" s="21">
        <v>1.5880578052999999E-4</v>
      </c>
    </row>
    <row r="159" spans="2:5">
      <c r="B159" s="100"/>
      <c r="C159" s="23" t="s">
        <v>58</v>
      </c>
      <c r="D159" s="70">
        <v>2</v>
      </c>
      <c r="E159" s="21">
        <v>3.1761156106099999E-4</v>
      </c>
    </row>
    <row r="160" spans="2:5">
      <c r="B160" s="100"/>
      <c r="C160" s="23" t="s">
        <v>245</v>
      </c>
      <c r="D160" s="70">
        <v>1</v>
      </c>
      <c r="E160" s="21">
        <v>1.5880578052999999E-4</v>
      </c>
    </row>
    <row r="161" spans="2:5">
      <c r="B161" s="100"/>
      <c r="C161" s="23" t="s">
        <v>246</v>
      </c>
      <c r="D161" s="70">
        <v>2</v>
      </c>
      <c r="E161" s="21">
        <v>3.1761156106099999E-4</v>
      </c>
    </row>
    <row r="162" spans="2:5">
      <c r="B162" s="100"/>
      <c r="C162" s="73" t="s">
        <v>29</v>
      </c>
      <c r="D162" s="74">
        <v>25</v>
      </c>
      <c r="E162" s="75">
        <v>3.9701445132599997E-3</v>
      </c>
    </row>
    <row r="163" spans="2:5">
      <c r="B163" s="100" t="s">
        <v>94</v>
      </c>
      <c r="C163" s="23" t="s">
        <v>198</v>
      </c>
      <c r="D163" s="70">
        <v>4</v>
      </c>
      <c r="E163" s="21">
        <v>6.3522312212199999E-4</v>
      </c>
    </row>
    <row r="164" spans="2:5">
      <c r="B164" s="100"/>
      <c r="C164" s="23" t="s">
        <v>214</v>
      </c>
      <c r="D164" s="70">
        <v>2</v>
      </c>
      <c r="E164" s="21">
        <v>3.1761156106099999E-4</v>
      </c>
    </row>
    <row r="165" spans="2:5">
      <c r="B165" s="100"/>
      <c r="C165" s="23" t="s">
        <v>221</v>
      </c>
      <c r="D165" s="70">
        <v>1</v>
      </c>
      <c r="E165" s="21">
        <v>1.5880578052999999E-4</v>
      </c>
    </row>
    <row r="166" spans="2:5">
      <c r="B166" s="100"/>
      <c r="C166" s="23" t="s">
        <v>195</v>
      </c>
      <c r="D166" s="70">
        <v>2</v>
      </c>
      <c r="E166" s="21">
        <v>3.1761156106099999E-4</v>
      </c>
    </row>
    <row r="167" spans="2:5">
      <c r="B167" s="100"/>
      <c r="C167" s="23" t="s">
        <v>233</v>
      </c>
      <c r="D167" s="70">
        <v>1</v>
      </c>
      <c r="E167" s="21">
        <v>1.5880578052999999E-4</v>
      </c>
    </row>
    <row r="168" spans="2:5">
      <c r="B168" s="100"/>
      <c r="C168" s="73" t="s">
        <v>29</v>
      </c>
      <c r="D168" s="74">
        <v>10</v>
      </c>
      <c r="E168" s="75">
        <v>1.5880578053040001E-3</v>
      </c>
    </row>
    <row r="169" spans="2:5">
      <c r="B169" s="100" t="s">
        <v>101</v>
      </c>
      <c r="C169" s="23" t="s">
        <v>195</v>
      </c>
      <c r="D169" s="70">
        <v>1</v>
      </c>
      <c r="E169" s="21">
        <v>1.5880578052999999E-4</v>
      </c>
    </row>
    <row r="170" spans="2:5">
      <c r="B170" s="100"/>
      <c r="C170" s="73" t="s">
        <v>29</v>
      </c>
      <c r="D170" s="74">
        <v>1</v>
      </c>
      <c r="E170" s="75">
        <v>1.5880578052999999E-4</v>
      </c>
    </row>
    <row r="171" spans="2:5">
      <c r="B171" s="100" t="s">
        <v>83</v>
      </c>
      <c r="C171" s="23" t="s">
        <v>199</v>
      </c>
      <c r="D171" s="70">
        <v>1</v>
      </c>
      <c r="E171" s="21">
        <v>1.5880578052999999E-4</v>
      </c>
    </row>
    <row r="172" spans="2:5">
      <c r="B172" s="100"/>
      <c r="C172" s="23" t="s">
        <v>200</v>
      </c>
      <c r="D172" s="70">
        <v>1</v>
      </c>
      <c r="E172" s="21">
        <v>1.5880578052999999E-4</v>
      </c>
    </row>
    <row r="173" spans="2:5">
      <c r="B173" s="100"/>
      <c r="C173" s="23" t="s">
        <v>201</v>
      </c>
      <c r="D173" s="70">
        <v>1</v>
      </c>
      <c r="E173" s="21">
        <v>1.5880578052999999E-4</v>
      </c>
    </row>
    <row r="174" spans="2:5">
      <c r="B174" s="100"/>
      <c r="C174" s="23" t="s">
        <v>194</v>
      </c>
      <c r="D174" s="70">
        <v>4</v>
      </c>
      <c r="E174" s="21">
        <v>6.3522312212199999E-4</v>
      </c>
    </row>
    <row r="175" spans="2:5">
      <c r="B175" s="100"/>
      <c r="C175" s="23" t="s">
        <v>214</v>
      </c>
      <c r="D175" s="70">
        <v>1</v>
      </c>
      <c r="E175" s="21">
        <v>1.5880578052999999E-4</v>
      </c>
    </row>
    <row r="176" spans="2:5">
      <c r="B176" s="100"/>
      <c r="C176" s="23" t="s">
        <v>222</v>
      </c>
      <c r="D176" s="70">
        <v>1</v>
      </c>
      <c r="E176" s="21">
        <v>1.5880578052999999E-4</v>
      </c>
    </row>
    <row r="177" spans="2:5">
      <c r="B177" s="100"/>
      <c r="C177" s="23" t="s">
        <v>224</v>
      </c>
      <c r="D177" s="70">
        <v>1</v>
      </c>
      <c r="E177" s="21">
        <v>1.5880578052999999E-4</v>
      </c>
    </row>
    <row r="178" spans="2:5">
      <c r="B178" s="100"/>
      <c r="C178" s="23" t="s">
        <v>195</v>
      </c>
      <c r="D178" s="70">
        <v>3</v>
      </c>
      <c r="E178" s="21">
        <v>4.7641734159099998E-4</v>
      </c>
    </row>
    <row r="179" spans="2:5">
      <c r="B179" s="100"/>
      <c r="C179" s="23" t="s">
        <v>226</v>
      </c>
      <c r="D179" s="70">
        <v>1</v>
      </c>
      <c r="E179" s="21">
        <v>1.5880578052999999E-4</v>
      </c>
    </row>
    <row r="180" spans="2:5">
      <c r="B180" s="100"/>
      <c r="C180" s="23" t="s">
        <v>230</v>
      </c>
      <c r="D180" s="70">
        <v>1</v>
      </c>
      <c r="E180" s="21">
        <v>1.5880578052999999E-4</v>
      </c>
    </row>
    <row r="181" spans="2:5">
      <c r="B181" s="100"/>
      <c r="C181" s="23" t="s">
        <v>234</v>
      </c>
      <c r="D181" s="70">
        <v>1</v>
      </c>
      <c r="E181" s="21">
        <v>1.5880578052999999E-4</v>
      </c>
    </row>
    <row r="182" spans="2:5">
      <c r="B182" s="100"/>
      <c r="C182" s="23" t="s">
        <v>196</v>
      </c>
      <c r="D182" s="70">
        <v>3</v>
      </c>
      <c r="E182" s="21">
        <v>4.7641734159099998E-4</v>
      </c>
    </row>
    <row r="183" spans="2:5">
      <c r="B183" s="100"/>
      <c r="C183" s="23" t="s">
        <v>58</v>
      </c>
      <c r="D183" s="70">
        <v>3</v>
      </c>
      <c r="E183" s="21">
        <v>4.7641734159099998E-4</v>
      </c>
    </row>
    <row r="184" spans="2:5">
      <c r="B184" s="100"/>
      <c r="C184" s="23" t="s">
        <v>246</v>
      </c>
      <c r="D184" s="70">
        <v>2</v>
      </c>
      <c r="E184" s="21">
        <v>3.1761156106099999E-4</v>
      </c>
    </row>
    <row r="185" spans="2:5">
      <c r="B185" s="100"/>
      <c r="C185" s="73" t="s">
        <v>29</v>
      </c>
      <c r="D185" s="74">
        <v>24</v>
      </c>
      <c r="E185" s="75">
        <v>3.81133873273E-3</v>
      </c>
    </row>
    <row r="186" spans="2:5">
      <c r="B186" s="100" t="s">
        <v>95</v>
      </c>
      <c r="C186" s="23" t="s">
        <v>198</v>
      </c>
      <c r="D186" s="70">
        <v>2</v>
      </c>
      <c r="E186" s="21">
        <v>3.1761156106099999E-4</v>
      </c>
    </row>
    <row r="187" spans="2:5">
      <c r="B187" s="100"/>
      <c r="C187" s="23" t="s">
        <v>200</v>
      </c>
      <c r="D187" s="70">
        <v>1</v>
      </c>
      <c r="E187" s="21">
        <v>1.5880578052999999E-4</v>
      </c>
    </row>
    <row r="188" spans="2:5">
      <c r="B188" s="100"/>
      <c r="C188" s="23" t="s">
        <v>213</v>
      </c>
      <c r="D188" s="70">
        <v>2</v>
      </c>
      <c r="E188" s="21">
        <v>3.1761156106099999E-4</v>
      </c>
    </row>
    <row r="189" spans="2:5">
      <c r="B189" s="100"/>
      <c r="C189" s="23" t="s">
        <v>195</v>
      </c>
      <c r="D189" s="70">
        <v>1</v>
      </c>
      <c r="E189" s="21">
        <v>1.5880578052999999E-4</v>
      </c>
    </row>
    <row r="190" spans="2:5">
      <c r="B190" s="100"/>
      <c r="C190" s="23" t="s">
        <v>58</v>
      </c>
      <c r="D190" s="70">
        <v>2</v>
      </c>
      <c r="E190" s="21">
        <v>3.1761156106099999E-4</v>
      </c>
    </row>
    <row r="191" spans="2:5">
      <c r="B191" s="100"/>
      <c r="C191" s="73" t="s">
        <v>29</v>
      </c>
      <c r="D191" s="74">
        <v>8</v>
      </c>
      <c r="E191" s="75">
        <v>1.2704462442429999E-3</v>
      </c>
    </row>
    <row r="192" spans="2:5">
      <c r="B192" s="100" t="s">
        <v>55</v>
      </c>
      <c r="C192" s="23" t="s">
        <v>197</v>
      </c>
      <c r="D192" s="70">
        <v>1</v>
      </c>
      <c r="E192" s="21">
        <v>1.5880578052999999E-4</v>
      </c>
    </row>
    <row r="193" spans="2:5">
      <c r="B193" s="100"/>
      <c r="C193" s="23" t="s">
        <v>198</v>
      </c>
      <c r="D193" s="70">
        <v>4</v>
      </c>
      <c r="E193" s="21">
        <v>6.3522312212199999E-4</v>
      </c>
    </row>
    <row r="194" spans="2:5">
      <c r="B194" s="100"/>
      <c r="C194" s="23" t="s">
        <v>199</v>
      </c>
      <c r="D194" s="70">
        <v>1</v>
      </c>
      <c r="E194" s="21">
        <v>1.5880578052999999E-4</v>
      </c>
    </row>
    <row r="195" spans="2:5">
      <c r="B195" s="100"/>
      <c r="C195" s="23" t="s">
        <v>200</v>
      </c>
      <c r="D195" s="70">
        <v>2</v>
      </c>
      <c r="E195" s="21">
        <v>3.1761156106099999E-4</v>
      </c>
    </row>
    <row r="196" spans="2:5">
      <c r="B196" s="100"/>
      <c r="C196" s="23" t="s">
        <v>210</v>
      </c>
      <c r="D196" s="70">
        <v>1</v>
      </c>
      <c r="E196" s="21">
        <v>1.5880578052999999E-4</v>
      </c>
    </row>
    <row r="197" spans="2:5">
      <c r="B197" s="100"/>
      <c r="C197" s="23" t="s">
        <v>211</v>
      </c>
      <c r="D197" s="70">
        <v>1</v>
      </c>
      <c r="E197" s="21">
        <v>1.5880578052999999E-4</v>
      </c>
    </row>
    <row r="198" spans="2:5">
      <c r="B198" s="100"/>
      <c r="C198" s="23" t="s">
        <v>213</v>
      </c>
      <c r="D198" s="70">
        <v>17</v>
      </c>
      <c r="E198" s="21">
        <v>2.699698269017E-3</v>
      </c>
    </row>
    <row r="199" spans="2:5">
      <c r="B199" s="100"/>
      <c r="C199" s="23" t="s">
        <v>194</v>
      </c>
      <c r="D199" s="70">
        <v>34</v>
      </c>
      <c r="E199" s="21">
        <v>5.399396538034E-3</v>
      </c>
    </row>
    <row r="200" spans="2:5">
      <c r="B200" s="100"/>
      <c r="C200" s="23" t="s">
        <v>214</v>
      </c>
      <c r="D200" s="70">
        <v>2</v>
      </c>
      <c r="E200" s="21">
        <v>3.1761156106099999E-4</v>
      </c>
    </row>
    <row r="201" spans="2:5">
      <c r="B201" s="100"/>
      <c r="C201" s="23" t="s">
        <v>217</v>
      </c>
      <c r="D201" s="70">
        <v>1</v>
      </c>
      <c r="E201" s="21">
        <v>1.5880578052999999E-4</v>
      </c>
    </row>
    <row r="202" spans="2:5">
      <c r="B202" s="100"/>
      <c r="C202" s="23" t="s">
        <v>219</v>
      </c>
      <c r="D202" s="70">
        <v>2</v>
      </c>
      <c r="E202" s="21">
        <v>3.1761156106099999E-4</v>
      </c>
    </row>
    <row r="203" spans="2:5">
      <c r="B203" s="100"/>
      <c r="C203" s="23" t="s">
        <v>220</v>
      </c>
      <c r="D203" s="70">
        <v>2</v>
      </c>
      <c r="E203" s="21">
        <v>3.1761156106099999E-4</v>
      </c>
    </row>
    <row r="204" spans="2:5">
      <c r="B204" s="100"/>
      <c r="C204" s="23" t="s">
        <v>222</v>
      </c>
      <c r="D204" s="70">
        <v>1</v>
      </c>
      <c r="E204" s="21">
        <v>1.5880578052999999E-4</v>
      </c>
    </row>
    <row r="205" spans="2:5">
      <c r="B205" s="100"/>
      <c r="C205" s="23" t="s">
        <v>224</v>
      </c>
      <c r="D205" s="70">
        <v>12</v>
      </c>
      <c r="E205" s="21">
        <v>1.905669366365E-3</v>
      </c>
    </row>
    <row r="206" spans="2:5">
      <c r="B206" s="100"/>
      <c r="C206" s="23" t="s">
        <v>195</v>
      </c>
      <c r="D206" s="70">
        <v>45</v>
      </c>
      <c r="E206" s="21">
        <v>7.1462601238689999E-3</v>
      </c>
    </row>
    <row r="207" spans="2:5">
      <c r="B207" s="100"/>
      <c r="C207" s="23" t="s">
        <v>226</v>
      </c>
      <c r="D207" s="70">
        <v>3</v>
      </c>
      <c r="E207" s="21">
        <v>4.7641734159099998E-4</v>
      </c>
    </row>
    <row r="208" spans="2:5">
      <c r="B208" s="100"/>
      <c r="C208" s="23" t="s">
        <v>228</v>
      </c>
      <c r="D208" s="70">
        <v>1</v>
      </c>
      <c r="E208" s="21">
        <v>1.5880578052999999E-4</v>
      </c>
    </row>
    <row r="209" spans="2:5">
      <c r="B209" s="100"/>
      <c r="C209" s="23" t="s">
        <v>261</v>
      </c>
      <c r="D209" s="70">
        <v>1</v>
      </c>
      <c r="E209" s="21">
        <v>1.5880578052999999E-4</v>
      </c>
    </row>
    <row r="210" spans="2:5">
      <c r="B210" s="100"/>
      <c r="C210" s="23" t="s">
        <v>234</v>
      </c>
      <c r="D210" s="70">
        <v>1</v>
      </c>
      <c r="E210" s="21">
        <v>1.5880578052999999E-4</v>
      </c>
    </row>
    <row r="211" spans="2:5">
      <c r="B211" s="100"/>
      <c r="C211" s="23" t="s">
        <v>196</v>
      </c>
      <c r="D211" s="70">
        <v>20</v>
      </c>
      <c r="E211" s="21">
        <v>3.1761156106080001E-3</v>
      </c>
    </row>
    <row r="212" spans="2:5">
      <c r="B212" s="100"/>
      <c r="C212" s="23" t="s">
        <v>58</v>
      </c>
      <c r="D212" s="70">
        <v>9</v>
      </c>
      <c r="E212" s="21">
        <v>1.4292520247739999E-3</v>
      </c>
    </row>
    <row r="213" spans="2:5">
      <c r="B213" s="100"/>
      <c r="C213" s="23" t="s">
        <v>236</v>
      </c>
      <c r="D213" s="70">
        <v>1</v>
      </c>
      <c r="E213" s="21">
        <v>1.5880578052999999E-4</v>
      </c>
    </row>
    <row r="214" spans="2:5">
      <c r="B214" s="100"/>
      <c r="C214" s="23" t="s">
        <v>240</v>
      </c>
      <c r="D214" s="70">
        <v>6</v>
      </c>
      <c r="E214" s="21">
        <v>9.5283468318199996E-4</v>
      </c>
    </row>
    <row r="215" spans="2:5">
      <c r="B215" s="100"/>
      <c r="C215" s="23" t="s">
        <v>243</v>
      </c>
      <c r="D215" s="70">
        <v>2</v>
      </c>
      <c r="E215" s="21">
        <v>3.1761156106099999E-4</v>
      </c>
    </row>
    <row r="216" spans="2:5">
      <c r="B216" s="100"/>
      <c r="C216" s="23" t="s">
        <v>244</v>
      </c>
      <c r="D216" s="70">
        <v>2</v>
      </c>
      <c r="E216" s="21">
        <v>3.1761156106099999E-4</v>
      </c>
    </row>
    <row r="217" spans="2:5">
      <c r="B217" s="100"/>
      <c r="C217" s="23" t="s">
        <v>246</v>
      </c>
      <c r="D217" s="70">
        <v>43</v>
      </c>
      <c r="E217" s="21">
        <v>6.8286485628080004E-3</v>
      </c>
    </row>
    <row r="218" spans="2:5">
      <c r="B218" s="100"/>
      <c r="C218" s="23" t="s">
        <v>247</v>
      </c>
      <c r="D218" s="70">
        <v>1</v>
      </c>
      <c r="E218" s="21">
        <v>1.5880578052999999E-4</v>
      </c>
    </row>
    <row r="219" spans="2:5">
      <c r="B219" s="100"/>
      <c r="C219" s="23" t="s">
        <v>64</v>
      </c>
      <c r="D219" s="70">
        <v>1</v>
      </c>
      <c r="E219" s="21">
        <v>1.5880578052999999E-4</v>
      </c>
    </row>
    <row r="220" spans="2:5">
      <c r="B220" s="100"/>
      <c r="C220" s="23" t="s">
        <v>255</v>
      </c>
      <c r="D220" s="70">
        <v>1</v>
      </c>
      <c r="E220" s="21">
        <v>1.5880578052999999E-4</v>
      </c>
    </row>
    <row r="221" spans="2:5">
      <c r="B221" s="100"/>
      <c r="C221" s="23" t="s">
        <v>256</v>
      </c>
      <c r="D221" s="70">
        <v>1</v>
      </c>
      <c r="E221" s="21">
        <v>1.5880578052999999E-4</v>
      </c>
    </row>
    <row r="222" spans="2:5">
      <c r="B222" s="100"/>
      <c r="C222" s="23" t="s">
        <v>257</v>
      </c>
      <c r="D222" s="70">
        <v>2</v>
      </c>
      <c r="E222" s="21">
        <v>3.1761156106099999E-4</v>
      </c>
    </row>
    <row r="223" spans="2:5">
      <c r="B223" s="100"/>
      <c r="C223" s="73" t="s">
        <v>29</v>
      </c>
      <c r="D223" s="74">
        <v>221</v>
      </c>
      <c r="E223" s="75">
        <v>3.5096077497220997E-2</v>
      </c>
    </row>
    <row r="224" spans="2:5">
      <c r="B224" s="100" t="s">
        <v>61</v>
      </c>
      <c r="C224" s="23" t="s">
        <v>198</v>
      </c>
      <c r="D224" s="70">
        <v>7</v>
      </c>
      <c r="E224" s="21">
        <v>1.111640463713E-3</v>
      </c>
    </row>
    <row r="225" spans="2:5">
      <c r="B225" s="100"/>
      <c r="C225" s="23" t="s">
        <v>199</v>
      </c>
      <c r="D225" s="70">
        <v>1</v>
      </c>
      <c r="E225" s="21">
        <v>1.5880578052999999E-4</v>
      </c>
    </row>
    <row r="226" spans="2:5">
      <c r="B226" s="100"/>
      <c r="C226" s="23" t="s">
        <v>213</v>
      </c>
      <c r="D226" s="70">
        <v>4</v>
      </c>
      <c r="E226" s="21">
        <v>6.3522312212199999E-4</v>
      </c>
    </row>
    <row r="227" spans="2:5">
      <c r="B227" s="100"/>
      <c r="C227" s="23" t="s">
        <v>194</v>
      </c>
      <c r="D227" s="70">
        <v>15</v>
      </c>
      <c r="E227" s="21">
        <v>2.3820867079560001E-3</v>
      </c>
    </row>
    <row r="228" spans="2:5">
      <c r="B228" s="100"/>
      <c r="C228" s="23" t="s">
        <v>214</v>
      </c>
      <c r="D228" s="70">
        <v>5</v>
      </c>
      <c r="E228" s="21">
        <v>7.9402890265200003E-4</v>
      </c>
    </row>
    <row r="229" spans="2:5">
      <c r="B229" s="100"/>
      <c r="C229" s="23" t="s">
        <v>219</v>
      </c>
      <c r="D229" s="70">
        <v>3</v>
      </c>
      <c r="E229" s="21">
        <v>4.7641734159099998E-4</v>
      </c>
    </row>
    <row r="230" spans="2:5">
      <c r="B230" s="100"/>
      <c r="C230" s="23" t="s">
        <v>220</v>
      </c>
      <c r="D230" s="70">
        <v>2</v>
      </c>
      <c r="E230" s="21">
        <v>3.1761156106099999E-4</v>
      </c>
    </row>
    <row r="231" spans="2:5">
      <c r="B231" s="100"/>
      <c r="C231" s="23" t="s">
        <v>224</v>
      </c>
      <c r="D231" s="70">
        <v>12</v>
      </c>
      <c r="E231" s="21">
        <v>1.905669366365E-3</v>
      </c>
    </row>
    <row r="232" spans="2:5">
      <c r="B232" s="100"/>
      <c r="C232" s="23" t="s">
        <v>195</v>
      </c>
      <c r="D232" s="70">
        <v>27</v>
      </c>
      <c r="E232" s="21">
        <v>4.2877560743210001E-3</v>
      </c>
    </row>
    <row r="233" spans="2:5">
      <c r="B233" s="100"/>
      <c r="C233" s="23" t="s">
        <v>230</v>
      </c>
      <c r="D233" s="70">
        <v>1</v>
      </c>
      <c r="E233" s="21">
        <v>1.5880578052999999E-4</v>
      </c>
    </row>
    <row r="234" spans="2:5">
      <c r="B234" s="100"/>
      <c r="C234" s="23" t="s">
        <v>233</v>
      </c>
      <c r="D234" s="70">
        <v>1</v>
      </c>
      <c r="E234" s="21">
        <v>1.5880578052999999E-4</v>
      </c>
    </row>
    <row r="235" spans="2:5">
      <c r="B235" s="100"/>
      <c r="C235" s="23" t="s">
        <v>234</v>
      </c>
      <c r="D235" s="70">
        <v>2</v>
      </c>
      <c r="E235" s="21">
        <v>3.1761156106099999E-4</v>
      </c>
    </row>
    <row r="236" spans="2:5">
      <c r="B236" s="100"/>
      <c r="C236" s="23" t="s">
        <v>196</v>
      </c>
      <c r="D236" s="70">
        <v>5</v>
      </c>
      <c r="E236" s="21">
        <v>7.9402890265200003E-4</v>
      </c>
    </row>
    <row r="237" spans="2:5">
      <c r="B237" s="100"/>
      <c r="C237" s="23" t="s">
        <v>58</v>
      </c>
      <c r="D237" s="70">
        <v>6</v>
      </c>
      <c r="E237" s="21">
        <v>9.5283468318199996E-4</v>
      </c>
    </row>
    <row r="238" spans="2:5">
      <c r="B238" s="100"/>
      <c r="C238" s="23" t="s">
        <v>239</v>
      </c>
      <c r="D238" s="70">
        <v>1</v>
      </c>
      <c r="E238" s="21">
        <v>1.5880578052999999E-4</v>
      </c>
    </row>
    <row r="239" spans="2:5">
      <c r="B239" s="100"/>
      <c r="C239" s="23" t="s">
        <v>240</v>
      </c>
      <c r="D239" s="70">
        <v>1</v>
      </c>
      <c r="E239" s="21">
        <v>1.5880578052999999E-4</v>
      </c>
    </row>
    <row r="240" spans="2:5">
      <c r="B240" s="100"/>
      <c r="C240" s="23" t="s">
        <v>246</v>
      </c>
      <c r="D240" s="70">
        <v>10</v>
      </c>
      <c r="E240" s="21">
        <v>1.5880578053040001E-3</v>
      </c>
    </row>
    <row r="241" spans="2:5">
      <c r="B241" s="100"/>
      <c r="C241" s="73" t="s">
        <v>29</v>
      </c>
      <c r="D241" s="74">
        <v>103</v>
      </c>
      <c r="E241" s="75">
        <v>1.6356995394632E-2</v>
      </c>
    </row>
    <row r="242" spans="2:5">
      <c r="B242" s="100" t="s">
        <v>76</v>
      </c>
      <c r="C242" s="23" t="s">
        <v>201</v>
      </c>
      <c r="D242" s="70">
        <v>1</v>
      </c>
      <c r="E242" s="21">
        <v>1.5880578052999999E-4</v>
      </c>
    </row>
    <row r="243" spans="2:5">
      <c r="B243" s="100"/>
      <c r="C243" s="23" t="s">
        <v>213</v>
      </c>
      <c r="D243" s="70">
        <v>2</v>
      </c>
      <c r="E243" s="21">
        <v>3.1761156106099999E-4</v>
      </c>
    </row>
    <row r="244" spans="2:5">
      <c r="B244" s="100"/>
      <c r="C244" s="23" t="s">
        <v>194</v>
      </c>
      <c r="D244" s="70">
        <v>4</v>
      </c>
      <c r="E244" s="21">
        <v>6.3522312212199999E-4</v>
      </c>
    </row>
    <row r="245" spans="2:5">
      <c r="B245" s="100"/>
      <c r="C245" s="23" t="s">
        <v>214</v>
      </c>
      <c r="D245" s="70">
        <v>4</v>
      </c>
      <c r="E245" s="21">
        <v>6.3522312212199999E-4</v>
      </c>
    </row>
    <row r="246" spans="2:5">
      <c r="B246" s="100"/>
      <c r="C246" s="23" t="s">
        <v>224</v>
      </c>
      <c r="D246" s="70">
        <v>1</v>
      </c>
      <c r="E246" s="21">
        <v>1.5880578052999999E-4</v>
      </c>
    </row>
    <row r="247" spans="2:5">
      <c r="B247" s="100"/>
      <c r="C247" s="23" t="s">
        <v>195</v>
      </c>
      <c r="D247" s="70">
        <v>10</v>
      </c>
      <c r="E247" s="21">
        <v>1.5880578053040001E-3</v>
      </c>
    </row>
    <row r="248" spans="2:5">
      <c r="B248" s="100"/>
      <c r="C248" s="23" t="s">
        <v>196</v>
      </c>
      <c r="D248" s="70">
        <v>2</v>
      </c>
      <c r="E248" s="21">
        <v>3.1761156106099999E-4</v>
      </c>
    </row>
    <row r="249" spans="2:5">
      <c r="B249" s="100"/>
      <c r="C249" s="23" t="s">
        <v>58</v>
      </c>
      <c r="D249" s="70">
        <v>6</v>
      </c>
      <c r="E249" s="21">
        <v>9.5283468318199996E-4</v>
      </c>
    </row>
    <row r="250" spans="2:5">
      <c r="B250" s="100"/>
      <c r="C250" s="23" t="s">
        <v>242</v>
      </c>
      <c r="D250" s="70">
        <v>1</v>
      </c>
      <c r="E250" s="21">
        <v>1.5880578052999999E-4</v>
      </c>
    </row>
    <row r="251" spans="2:5">
      <c r="B251" s="100"/>
      <c r="C251" s="23" t="s">
        <v>246</v>
      </c>
      <c r="D251" s="70">
        <v>1</v>
      </c>
      <c r="E251" s="21">
        <v>1.5880578052999999E-4</v>
      </c>
    </row>
    <row r="252" spans="2:5">
      <c r="B252" s="100"/>
      <c r="C252" s="23" t="s">
        <v>252</v>
      </c>
      <c r="D252" s="70">
        <v>1</v>
      </c>
      <c r="E252" s="21">
        <v>1.5880578052999999E-4</v>
      </c>
    </row>
    <row r="253" spans="2:5">
      <c r="B253" s="100"/>
      <c r="C253" s="73" t="s">
        <v>29</v>
      </c>
      <c r="D253" s="74">
        <v>33</v>
      </c>
      <c r="E253" s="75">
        <v>5.2405907575040003E-3</v>
      </c>
    </row>
    <row r="254" spans="2:5">
      <c r="B254" s="100" t="s">
        <v>69</v>
      </c>
      <c r="C254" s="23" t="s">
        <v>198</v>
      </c>
      <c r="D254" s="70">
        <v>2</v>
      </c>
      <c r="E254" s="21">
        <v>3.1761156106099999E-4</v>
      </c>
    </row>
    <row r="255" spans="2:5">
      <c r="B255" s="100"/>
      <c r="C255" s="23" t="s">
        <v>203</v>
      </c>
      <c r="D255" s="70">
        <v>2</v>
      </c>
      <c r="E255" s="21">
        <v>3.1761156106099999E-4</v>
      </c>
    </row>
    <row r="256" spans="2:5">
      <c r="B256" s="100"/>
      <c r="C256" s="23" t="s">
        <v>209</v>
      </c>
      <c r="D256" s="70">
        <v>1</v>
      </c>
      <c r="E256" s="21">
        <v>1.5880578052999999E-4</v>
      </c>
    </row>
    <row r="257" spans="2:5">
      <c r="B257" s="100"/>
      <c r="C257" s="23" t="s">
        <v>213</v>
      </c>
      <c r="D257" s="70">
        <v>4</v>
      </c>
      <c r="E257" s="21">
        <v>6.3522312212199999E-4</v>
      </c>
    </row>
    <row r="258" spans="2:5">
      <c r="B258" s="100"/>
      <c r="C258" s="23" t="s">
        <v>194</v>
      </c>
      <c r="D258" s="70">
        <v>12</v>
      </c>
      <c r="E258" s="21">
        <v>1.905669366365E-3</v>
      </c>
    </row>
    <row r="259" spans="2:5">
      <c r="B259" s="100"/>
      <c r="C259" s="23" t="s">
        <v>219</v>
      </c>
      <c r="D259" s="70">
        <v>2</v>
      </c>
      <c r="E259" s="21">
        <v>3.1761156106099999E-4</v>
      </c>
    </row>
    <row r="260" spans="2:5">
      <c r="B260" s="100"/>
      <c r="C260" s="23" t="s">
        <v>224</v>
      </c>
      <c r="D260" s="70">
        <v>3</v>
      </c>
      <c r="E260" s="21">
        <v>4.7641734159099998E-4</v>
      </c>
    </row>
    <row r="261" spans="2:5">
      <c r="B261" s="100"/>
      <c r="C261" s="23" t="s">
        <v>195</v>
      </c>
      <c r="D261" s="70">
        <v>11</v>
      </c>
      <c r="E261" s="21">
        <v>1.7468635858350001E-3</v>
      </c>
    </row>
    <row r="262" spans="2:5">
      <c r="B262" s="100"/>
      <c r="C262" s="23" t="s">
        <v>234</v>
      </c>
      <c r="D262" s="70">
        <v>2</v>
      </c>
      <c r="E262" s="21">
        <v>3.1761156106099999E-4</v>
      </c>
    </row>
    <row r="263" spans="2:5">
      <c r="B263" s="100"/>
      <c r="C263" s="23" t="s">
        <v>196</v>
      </c>
      <c r="D263" s="70">
        <v>2</v>
      </c>
      <c r="E263" s="21">
        <v>3.1761156106099999E-4</v>
      </c>
    </row>
    <row r="264" spans="2:5" ht="40.5">
      <c r="B264" s="100"/>
      <c r="C264" s="23" t="s">
        <v>235</v>
      </c>
      <c r="D264" s="70">
        <v>4</v>
      </c>
      <c r="E264" s="21">
        <v>6.3522312212199999E-4</v>
      </c>
    </row>
    <row r="265" spans="2:5">
      <c r="B265" s="100"/>
      <c r="C265" s="23" t="s">
        <v>58</v>
      </c>
      <c r="D265" s="70">
        <v>9</v>
      </c>
      <c r="E265" s="21">
        <v>1.4292520247739999E-3</v>
      </c>
    </row>
    <row r="266" spans="2:5">
      <c r="B266" s="100"/>
      <c r="C266" s="23" t="s">
        <v>245</v>
      </c>
      <c r="D266" s="70">
        <v>1</v>
      </c>
      <c r="E266" s="21">
        <v>1.5880578052999999E-4</v>
      </c>
    </row>
    <row r="267" spans="2:5">
      <c r="B267" s="100"/>
      <c r="C267" s="23" t="s">
        <v>246</v>
      </c>
      <c r="D267" s="70">
        <v>4</v>
      </c>
      <c r="E267" s="21">
        <v>6.3522312212199999E-4</v>
      </c>
    </row>
    <row r="268" spans="2:5">
      <c r="B268" s="100"/>
      <c r="C268" s="23" t="s">
        <v>256</v>
      </c>
      <c r="D268" s="70">
        <v>1</v>
      </c>
      <c r="E268" s="21">
        <v>1.5880578052999999E-4</v>
      </c>
    </row>
    <row r="269" spans="2:5">
      <c r="B269" s="100"/>
      <c r="C269" s="73" t="s">
        <v>29</v>
      </c>
      <c r="D269" s="74">
        <v>60</v>
      </c>
      <c r="E269" s="75">
        <v>9.5283468318249995E-3</v>
      </c>
    </row>
    <row r="270" spans="2:5">
      <c r="B270" s="100" t="s">
        <v>98</v>
      </c>
      <c r="C270" s="23" t="s">
        <v>194</v>
      </c>
      <c r="D270" s="70">
        <v>1</v>
      </c>
      <c r="E270" s="21">
        <v>1.5880578052999999E-4</v>
      </c>
    </row>
    <row r="271" spans="2:5">
      <c r="B271" s="100"/>
      <c r="C271" s="23" t="s">
        <v>196</v>
      </c>
      <c r="D271" s="70">
        <v>1</v>
      </c>
      <c r="E271" s="21">
        <v>1.5880578052999999E-4</v>
      </c>
    </row>
    <row r="272" spans="2:5">
      <c r="B272" s="100"/>
      <c r="C272" s="23" t="s">
        <v>58</v>
      </c>
      <c r="D272" s="70">
        <v>1</v>
      </c>
      <c r="E272" s="21">
        <v>1.5880578052999999E-4</v>
      </c>
    </row>
    <row r="273" spans="2:5">
      <c r="B273" s="100"/>
      <c r="C273" s="73" t="s">
        <v>29</v>
      </c>
      <c r="D273" s="74">
        <v>3</v>
      </c>
      <c r="E273" s="75">
        <v>4.7641734159099998E-4</v>
      </c>
    </row>
    <row r="274" spans="2:5">
      <c r="B274" s="100" t="s">
        <v>53</v>
      </c>
      <c r="C274" s="23" t="s">
        <v>198</v>
      </c>
      <c r="D274" s="70">
        <v>13</v>
      </c>
      <c r="E274" s="21">
        <v>2.0644751468950001E-3</v>
      </c>
    </row>
    <row r="275" spans="2:5">
      <c r="B275" s="100"/>
      <c r="C275" s="23" t="s">
        <v>199</v>
      </c>
      <c r="D275" s="70">
        <v>4</v>
      </c>
      <c r="E275" s="21">
        <v>6.3522312212199999E-4</v>
      </c>
    </row>
    <row r="276" spans="2:5">
      <c r="B276" s="100"/>
      <c r="C276" s="23" t="s">
        <v>205</v>
      </c>
      <c r="D276" s="70">
        <v>1</v>
      </c>
      <c r="E276" s="21">
        <v>1.5880578052999999E-4</v>
      </c>
    </row>
    <row r="277" spans="2:5">
      <c r="B277" s="100"/>
      <c r="C277" s="23" t="s">
        <v>208</v>
      </c>
      <c r="D277" s="70">
        <v>1</v>
      </c>
      <c r="E277" s="21">
        <v>1.5880578052999999E-4</v>
      </c>
    </row>
    <row r="278" spans="2:5">
      <c r="B278" s="100"/>
      <c r="C278" s="23" t="s">
        <v>209</v>
      </c>
      <c r="D278" s="70">
        <v>1</v>
      </c>
      <c r="E278" s="21">
        <v>1.5880578052999999E-4</v>
      </c>
    </row>
    <row r="279" spans="2:5">
      <c r="B279" s="100"/>
      <c r="C279" s="23" t="s">
        <v>211</v>
      </c>
      <c r="D279" s="70">
        <v>2</v>
      </c>
      <c r="E279" s="21">
        <v>3.1761156106099999E-4</v>
      </c>
    </row>
    <row r="280" spans="2:5">
      <c r="B280" s="100"/>
      <c r="C280" s="23" t="s">
        <v>213</v>
      </c>
      <c r="D280" s="70">
        <v>12</v>
      </c>
      <c r="E280" s="21">
        <v>1.905669366365E-3</v>
      </c>
    </row>
    <row r="281" spans="2:5">
      <c r="B281" s="100"/>
      <c r="C281" s="23" t="s">
        <v>194</v>
      </c>
      <c r="D281" s="70">
        <v>75</v>
      </c>
      <c r="E281" s="21">
        <v>1.1910433539780999E-2</v>
      </c>
    </row>
    <row r="282" spans="2:5">
      <c r="B282" s="100"/>
      <c r="C282" s="23" t="s">
        <v>215</v>
      </c>
      <c r="D282" s="70">
        <v>2</v>
      </c>
      <c r="E282" s="21">
        <v>3.1761156106099999E-4</v>
      </c>
    </row>
    <row r="283" spans="2:5">
      <c r="B283" s="100"/>
      <c r="C283" s="23" t="s">
        <v>217</v>
      </c>
      <c r="D283" s="70">
        <v>1</v>
      </c>
      <c r="E283" s="21">
        <v>1.5880578052999999E-4</v>
      </c>
    </row>
    <row r="284" spans="2:5">
      <c r="B284" s="100"/>
      <c r="C284" s="23" t="s">
        <v>219</v>
      </c>
      <c r="D284" s="70">
        <v>4</v>
      </c>
      <c r="E284" s="21">
        <v>6.3522312212199999E-4</v>
      </c>
    </row>
    <row r="285" spans="2:5">
      <c r="B285" s="100"/>
      <c r="C285" s="23" t="s">
        <v>220</v>
      </c>
      <c r="D285" s="70">
        <v>6</v>
      </c>
      <c r="E285" s="21">
        <v>9.5283468318199996E-4</v>
      </c>
    </row>
    <row r="286" spans="2:5">
      <c r="B286" s="100"/>
      <c r="C286" s="23" t="s">
        <v>221</v>
      </c>
      <c r="D286" s="70">
        <v>1</v>
      </c>
      <c r="E286" s="21">
        <v>1.5880578052999999E-4</v>
      </c>
    </row>
    <row r="287" spans="2:5">
      <c r="B287" s="100"/>
      <c r="C287" s="23" t="s">
        <v>224</v>
      </c>
      <c r="D287" s="70">
        <v>30</v>
      </c>
      <c r="E287" s="21">
        <v>4.7641734159120002E-3</v>
      </c>
    </row>
    <row r="288" spans="2:5">
      <c r="B288" s="100"/>
      <c r="C288" s="23" t="s">
        <v>195</v>
      </c>
      <c r="D288" s="70">
        <v>54</v>
      </c>
      <c r="E288" s="21">
        <v>8.5755121486420002E-3</v>
      </c>
    </row>
    <row r="289" spans="2:5">
      <c r="B289" s="100"/>
      <c r="C289" s="23" t="s">
        <v>226</v>
      </c>
      <c r="D289" s="70">
        <v>8</v>
      </c>
      <c r="E289" s="21">
        <v>1.2704462442429999E-3</v>
      </c>
    </row>
    <row r="290" spans="2:5">
      <c r="B290" s="100"/>
      <c r="C290" s="23" t="s">
        <v>230</v>
      </c>
      <c r="D290" s="70">
        <v>3</v>
      </c>
      <c r="E290" s="21">
        <v>4.7641734159099998E-4</v>
      </c>
    </row>
    <row r="291" spans="2:5">
      <c r="B291" s="100"/>
      <c r="C291" s="23" t="s">
        <v>234</v>
      </c>
      <c r="D291" s="70">
        <v>3</v>
      </c>
      <c r="E291" s="21">
        <v>4.7641734159099998E-4</v>
      </c>
    </row>
    <row r="292" spans="2:5">
      <c r="B292" s="100"/>
      <c r="C292" s="23" t="s">
        <v>196</v>
      </c>
      <c r="D292" s="70">
        <v>25</v>
      </c>
      <c r="E292" s="21">
        <v>3.9701445132599997E-3</v>
      </c>
    </row>
    <row r="293" spans="2:5">
      <c r="B293" s="100"/>
      <c r="C293" s="23" t="s">
        <v>58</v>
      </c>
      <c r="D293" s="70">
        <v>25</v>
      </c>
      <c r="E293" s="21">
        <v>3.9701445132599997E-3</v>
      </c>
    </row>
    <row r="294" spans="2:5">
      <c r="B294" s="100"/>
      <c r="C294" s="23" t="s">
        <v>264</v>
      </c>
      <c r="D294" s="70">
        <v>1</v>
      </c>
      <c r="E294" s="21">
        <v>1.5880578052999999E-4</v>
      </c>
    </row>
    <row r="295" spans="2:5">
      <c r="B295" s="100"/>
      <c r="C295" s="23" t="s">
        <v>239</v>
      </c>
      <c r="D295" s="70">
        <v>2</v>
      </c>
      <c r="E295" s="21">
        <v>3.1761156106099999E-4</v>
      </c>
    </row>
    <row r="296" spans="2:5">
      <c r="B296" s="100"/>
      <c r="C296" s="23" t="s">
        <v>240</v>
      </c>
      <c r="D296" s="70">
        <v>8</v>
      </c>
      <c r="E296" s="21">
        <v>1.2704462442429999E-3</v>
      </c>
    </row>
    <row r="297" spans="2:5">
      <c r="B297" s="100"/>
      <c r="C297" s="23" t="s">
        <v>242</v>
      </c>
      <c r="D297" s="70">
        <v>1</v>
      </c>
      <c r="E297" s="21">
        <v>1.5880578052999999E-4</v>
      </c>
    </row>
    <row r="298" spans="2:5">
      <c r="B298" s="100"/>
      <c r="C298" s="23" t="s">
        <v>244</v>
      </c>
      <c r="D298" s="70">
        <v>1</v>
      </c>
      <c r="E298" s="21">
        <v>1.5880578052999999E-4</v>
      </c>
    </row>
    <row r="299" spans="2:5">
      <c r="B299" s="100"/>
      <c r="C299" s="23" t="s">
        <v>246</v>
      </c>
      <c r="D299" s="70">
        <v>35</v>
      </c>
      <c r="E299" s="21">
        <v>5.5582023185639998E-3</v>
      </c>
    </row>
    <row r="300" spans="2:5">
      <c r="B300" s="100"/>
      <c r="C300" s="23" t="s">
        <v>64</v>
      </c>
      <c r="D300" s="70">
        <v>5</v>
      </c>
      <c r="E300" s="21">
        <v>7.9402890265200003E-4</v>
      </c>
    </row>
    <row r="301" spans="2:5">
      <c r="B301" s="100"/>
      <c r="C301" s="23" t="s">
        <v>252</v>
      </c>
      <c r="D301" s="70">
        <v>2</v>
      </c>
      <c r="E301" s="21">
        <v>3.1761156106099999E-4</v>
      </c>
    </row>
    <row r="302" spans="2:5">
      <c r="B302" s="100"/>
      <c r="C302" s="23" t="s">
        <v>256</v>
      </c>
      <c r="D302" s="70">
        <v>2</v>
      </c>
      <c r="E302" s="21">
        <v>3.1761156106099999E-4</v>
      </c>
    </row>
    <row r="303" spans="2:5">
      <c r="B303" s="100"/>
      <c r="C303" s="23" t="s">
        <v>259</v>
      </c>
      <c r="D303" s="70">
        <v>1</v>
      </c>
      <c r="E303" s="21">
        <v>1.5880578052999999E-4</v>
      </c>
    </row>
    <row r="304" spans="2:5">
      <c r="B304" s="100"/>
      <c r="C304" s="73" t="s">
        <v>29</v>
      </c>
      <c r="D304" s="74">
        <v>329</v>
      </c>
      <c r="E304" s="75">
        <v>5.2247101794505001E-2</v>
      </c>
    </row>
    <row r="305" spans="2:5">
      <c r="B305" s="100" t="s">
        <v>73</v>
      </c>
      <c r="C305" s="23" t="s">
        <v>198</v>
      </c>
      <c r="D305" s="70">
        <v>3</v>
      </c>
      <c r="E305" s="21">
        <v>4.7641734159099998E-4</v>
      </c>
    </row>
    <row r="306" spans="2:5">
      <c r="B306" s="100"/>
      <c r="C306" s="23" t="s">
        <v>194</v>
      </c>
      <c r="D306" s="70">
        <v>12</v>
      </c>
      <c r="E306" s="21">
        <v>1.905669366365E-3</v>
      </c>
    </row>
    <row r="307" spans="2:5">
      <c r="B307" s="100"/>
      <c r="C307" s="23" t="s">
        <v>217</v>
      </c>
      <c r="D307" s="70">
        <v>1</v>
      </c>
      <c r="E307" s="21">
        <v>1.5880578052999999E-4</v>
      </c>
    </row>
    <row r="308" spans="2:5">
      <c r="B308" s="100"/>
      <c r="C308" s="23" t="s">
        <v>224</v>
      </c>
      <c r="D308" s="70">
        <v>4</v>
      </c>
      <c r="E308" s="21">
        <v>6.3522312212199999E-4</v>
      </c>
    </row>
    <row r="309" spans="2:5">
      <c r="B309" s="100"/>
      <c r="C309" s="23" t="s">
        <v>195</v>
      </c>
      <c r="D309" s="70">
        <v>11</v>
      </c>
      <c r="E309" s="21">
        <v>1.7468635858350001E-3</v>
      </c>
    </row>
    <row r="310" spans="2:5">
      <c r="B310" s="100"/>
      <c r="C310" s="23" t="s">
        <v>228</v>
      </c>
      <c r="D310" s="70">
        <v>1</v>
      </c>
      <c r="E310" s="21">
        <v>1.5880578052999999E-4</v>
      </c>
    </row>
    <row r="311" spans="2:5">
      <c r="B311" s="100"/>
      <c r="C311" s="23" t="s">
        <v>234</v>
      </c>
      <c r="D311" s="70">
        <v>1</v>
      </c>
      <c r="E311" s="21">
        <v>1.5880578052999999E-4</v>
      </c>
    </row>
    <row r="312" spans="2:5">
      <c r="B312" s="100"/>
      <c r="C312" s="23" t="s">
        <v>196</v>
      </c>
      <c r="D312" s="70">
        <v>2</v>
      </c>
      <c r="E312" s="21">
        <v>3.1761156106099999E-4</v>
      </c>
    </row>
    <row r="313" spans="2:5" ht="40.5">
      <c r="B313" s="100"/>
      <c r="C313" s="23" t="s">
        <v>235</v>
      </c>
      <c r="D313" s="70">
        <v>1</v>
      </c>
      <c r="E313" s="21">
        <v>1.5880578052999999E-4</v>
      </c>
    </row>
    <row r="314" spans="2:5">
      <c r="B314" s="100"/>
      <c r="C314" s="23" t="s">
        <v>58</v>
      </c>
      <c r="D314" s="70">
        <v>3</v>
      </c>
      <c r="E314" s="21">
        <v>4.7641734159099998E-4</v>
      </c>
    </row>
    <row r="315" spans="2:5">
      <c r="B315" s="100"/>
      <c r="C315" s="23" t="s">
        <v>240</v>
      </c>
      <c r="D315" s="70">
        <v>1</v>
      </c>
      <c r="E315" s="21">
        <v>1.5880578052999999E-4</v>
      </c>
    </row>
    <row r="316" spans="2:5">
      <c r="B316" s="100"/>
      <c r="C316" s="23" t="s">
        <v>246</v>
      </c>
      <c r="D316" s="70">
        <v>4</v>
      </c>
      <c r="E316" s="21">
        <v>6.3522312212199999E-4</v>
      </c>
    </row>
    <row r="317" spans="2:5">
      <c r="B317" s="100"/>
      <c r="C317" s="73" t="s">
        <v>29</v>
      </c>
      <c r="D317" s="74">
        <v>44</v>
      </c>
      <c r="E317" s="75">
        <v>6.9874543433380001E-3</v>
      </c>
    </row>
    <row r="318" spans="2:5">
      <c r="B318" s="100" t="s">
        <v>52</v>
      </c>
      <c r="C318" s="23" t="s">
        <v>198</v>
      </c>
      <c r="D318" s="70">
        <v>8</v>
      </c>
      <c r="E318" s="21">
        <v>1.2704462442429999E-3</v>
      </c>
    </row>
    <row r="319" spans="2:5">
      <c r="B319" s="100"/>
      <c r="C319" s="23" t="s">
        <v>199</v>
      </c>
      <c r="D319" s="70">
        <v>6</v>
      </c>
      <c r="E319" s="21">
        <v>9.5283468318199996E-4</v>
      </c>
    </row>
    <row r="320" spans="2:5">
      <c r="B320" s="100"/>
      <c r="C320" s="23" t="s">
        <v>200</v>
      </c>
      <c r="D320" s="70">
        <v>1</v>
      </c>
      <c r="E320" s="21">
        <v>1.5880578052999999E-4</v>
      </c>
    </row>
    <row r="321" spans="2:5">
      <c r="B321" s="100"/>
      <c r="C321" s="23" t="s">
        <v>260</v>
      </c>
      <c r="D321" s="70">
        <v>1</v>
      </c>
      <c r="E321" s="21">
        <v>1.5880578052999999E-4</v>
      </c>
    </row>
    <row r="322" spans="2:5">
      <c r="B322" s="100"/>
      <c r="C322" s="23" t="s">
        <v>201</v>
      </c>
      <c r="D322" s="70">
        <v>2</v>
      </c>
      <c r="E322" s="21">
        <v>3.1761156106099999E-4</v>
      </c>
    </row>
    <row r="323" spans="2:5">
      <c r="B323" s="100"/>
      <c r="C323" s="23" t="s">
        <v>202</v>
      </c>
      <c r="D323" s="70">
        <v>1</v>
      </c>
      <c r="E323" s="21">
        <v>1.5880578052999999E-4</v>
      </c>
    </row>
    <row r="324" spans="2:5">
      <c r="B324" s="100"/>
      <c r="C324" s="23" t="s">
        <v>203</v>
      </c>
      <c r="D324" s="70">
        <v>3</v>
      </c>
      <c r="E324" s="21">
        <v>4.7641734159099998E-4</v>
      </c>
    </row>
    <row r="325" spans="2:5">
      <c r="B325" s="100"/>
      <c r="C325" s="23" t="s">
        <v>207</v>
      </c>
      <c r="D325" s="70">
        <v>1</v>
      </c>
      <c r="E325" s="21">
        <v>1.5880578052999999E-4</v>
      </c>
    </row>
    <row r="326" spans="2:5">
      <c r="B326" s="100"/>
      <c r="C326" s="23" t="s">
        <v>210</v>
      </c>
      <c r="D326" s="70">
        <v>2</v>
      </c>
      <c r="E326" s="21">
        <v>3.1761156106099999E-4</v>
      </c>
    </row>
    <row r="327" spans="2:5">
      <c r="B327" s="100"/>
      <c r="C327" s="23" t="s">
        <v>211</v>
      </c>
      <c r="D327" s="70">
        <v>2</v>
      </c>
      <c r="E327" s="21">
        <v>3.1761156106099999E-4</v>
      </c>
    </row>
    <row r="328" spans="2:5">
      <c r="B328" s="100"/>
      <c r="C328" s="23" t="s">
        <v>212</v>
      </c>
      <c r="D328" s="70">
        <v>6</v>
      </c>
      <c r="E328" s="21">
        <v>9.5283468318199996E-4</v>
      </c>
    </row>
    <row r="329" spans="2:5">
      <c r="B329" s="100"/>
      <c r="C329" s="23" t="s">
        <v>213</v>
      </c>
      <c r="D329" s="70">
        <v>12</v>
      </c>
      <c r="E329" s="21">
        <v>1.905669366365E-3</v>
      </c>
    </row>
    <row r="330" spans="2:5">
      <c r="B330" s="100"/>
      <c r="C330" s="23" t="s">
        <v>194</v>
      </c>
      <c r="D330" s="70">
        <v>160</v>
      </c>
      <c r="E330" s="21">
        <v>2.5408924884865999E-2</v>
      </c>
    </row>
    <row r="331" spans="2:5">
      <c r="B331" s="100"/>
      <c r="C331" s="23" t="s">
        <v>214</v>
      </c>
      <c r="D331" s="70">
        <v>7</v>
      </c>
      <c r="E331" s="21">
        <v>1.111640463713E-3</v>
      </c>
    </row>
    <row r="332" spans="2:5">
      <c r="B332" s="100"/>
      <c r="C332" s="23" t="s">
        <v>217</v>
      </c>
      <c r="D332" s="70">
        <v>3</v>
      </c>
      <c r="E332" s="21">
        <v>4.7641734159099998E-4</v>
      </c>
    </row>
    <row r="333" spans="2:5">
      <c r="B333" s="100"/>
      <c r="C333" s="23" t="s">
        <v>219</v>
      </c>
      <c r="D333" s="70">
        <v>11</v>
      </c>
      <c r="E333" s="21">
        <v>1.7468635858350001E-3</v>
      </c>
    </row>
    <row r="334" spans="2:5">
      <c r="B334" s="100"/>
      <c r="C334" s="23" t="s">
        <v>220</v>
      </c>
      <c r="D334" s="70">
        <v>12</v>
      </c>
      <c r="E334" s="21">
        <v>1.905669366365E-3</v>
      </c>
    </row>
    <row r="335" spans="2:5">
      <c r="B335" s="100"/>
      <c r="C335" s="23" t="s">
        <v>223</v>
      </c>
      <c r="D335" s="70">
        <v>1</v>
      </c>
      <c r="E335" s="21">
        <v>1.5880578052999999E-4</v>
      </c>
    </row>
    <row r="336" spans="2:5">
      <c r="B336" s="100"/>
      <c r="C336" s="23" t="s">
        <v>224</v>
      </c>
      <c r="D336" s="70">
        <v>50</v>
      </c>
      <c r="E336" s="21">
        <v>7.9402890265210004E-3</v>
      </c>
    </row>
    <row r="337" spans="2:5">
      <c r="B337" s="100"/>
      <c r="C337" s="23" t="s">
        <v>195</v>
      </c>
      <c r="D337" s="70">
        <v>87</v>
      </c>
      <c r="E337" s="21">
        <v>1.3816102906146E-2</v>
      </c>
    </row>
    <row r="338" spans="2:5">
      <c r="B338" s="100"/>
      <c r="C338" s="23" t="s">
        <v>226</v>
      </c>
      <c r="D338" s="70">
        <v>17</v>
      </c>
      <c r="E338" s="21">
        <v>2.699698269017E-3</v>
      </c>
    </row>
    <row r="339" spans="2:5">
      <c r="B339" s="100"/>
      <c r="C339" s="23" t="s">
        <v>228</v>
      </c>
      <c r="D339" s="70">
        <v>2</v>
      </c>
      <c r="E339" s="21">
        <v>3.1761156106099999E-4</v>
      </c>
    </row>
    <row r="340" spans="2:5">
      <c r="B340" s="100"/>
      <c r="C340" s="23" t="s">
        <v>230</v>
      </c>
      <c r="D340" s="70">
        <v>2</v>
      </c>
      <c r="E340" s="21">
        <v>3.1761156106099999E-4</v>
      </c>
    </row>
    <row r="341" spans="2:5">
      <c r="B341" s="100"/>
      <c r="C341" s="23" t="s">
        <v>233</v>
      </c>
      <c r="D341" s="70">
        <v>3</v>
      </c>
      <c r="E341" s="21">
        <v>4.7641734159099998E-4</v>
      </c>
    </row>
    <row r="342" spans="2:5">
      <c r="B342" s="100"/>
      <c r="C342" s="23" t="s">
        <v>234</v>
      </c>
      <c r="D342" s="70">
        <v>2</v>
      </c>
      <c r="E342" s="21">
        <v>3.1761156106099999E-4</v>
      </c>
    </row>
    <row r="343" spans="2:5">
      <c r="B343" s="100"/>
      <c r="C343" s="23" t="s">
        <v>196</v>
      </c>
      <c r="D343" s="70">
        <v>43</v>
      </c>
      <c r="E343" s="21">
        <v>6.8286485628080004E-3</v>
      </c>
    </row>
    <row r="344" spans="2:5">
      <c r="B344" s="100"/>
      <c r="C344" s="23" t="s">
        <v>58</v>
      </c>
      <c r="D344" s="70">
        <v>25</v>
      </c>
      <c r="E344" s="21">
        <v>3.9701445132599997E-3</v>
      </c>
    </row>
    <row r="345" spans="2:5">
      <c r="B345" s="100"/>
      <c r="C345" s="23" t="s">
        <v>240</v>
      </c>
      <c r="D345" s="70">
        <v>3</v>
      </c>
      <c r="E345" s="21">
        <v>4.7641734159099998E-4</v>
      </c>
    </row>
    <row r="346" spans="2:5">
      <c r="B346" s="100"/>
      <c r="C346" s="23" t="s">
        <v>241</v>
      </c>
      <c r="D346" s="70">
        <v>1</v>
      </c>
      <c r="E346" s="21">
        <v>1.5880578052999999E-4</v>
      </c>
    </row>
    <row r="347" spans="2:5">
      <c r="B347" s="100"/>
      <c r="C347" s="23" t="s">
        <v>244</v>
      </c>
      <c r="D347" s="70">
        <v>3</v>
      </c>
      <c r="E347" s="21">
        <v>4.7641734159099998E-4</v>
      </c>
    </row>
    <row r="348" spans="2:5">
      <c r="B348" s="100"/>
      <c r="C348" s="23" t="s">
        <v>245</v>
      </c>
      <c r="D348" s="70">
        <v>1</v>
      </c>
      <c r="E348" s="21">
        <v>1.5880578052999999E-4</v>
      </c>
    </row>
    <row r="349" spans="2:5">
      <c r="B349" s="100"/>
      <c r="C349" s="23" t="s">
        <v>246</v>
      </c>
      <c r="D349" s="70">
        <v>58</v>
      </c>
      <c r="E349" s="21">
        <v>9.2107352707639992E-3</v>
      </c>
    </row>
    <row r="350" spans="2:5">
      <c r="B350" s="100"/>
      <c r="C350" s="23" t="s">
        <v>247</v>
      </c>
      <c r="D350" s="70">
        <v>1</v>
      </c>
      <c r="E350" s="21">
        <v>1.5880578052999999E-4</v>
      </c>
    </row>
    <row r="351" spans="2:5">
      <c r="B351" s="100"/>
      <c r="C351" s="23" t="s">
        <v>64</v>
      </c>
      <c r="D351" s="70">
        <v>1</v>
      </c>
      <c r="E351" s="21">
        <v>1.5880578052999999E-4</v>
      </c>
    </row>
    <row r="352" spans="2:5">
      <c r="B352" s="100"/>
      <c r="C352" s="23" t="s">
        <v>256</v>
      </c>
      <c r="D352" s="70">
        <v>1</v>
      </c>
      <c r="E352" s="21">
        <v>1.5880578052999999E-4</v>
      </c>
    </row>
    <row r="353" spans="2:5">
      <c r="B353" s="100"/>
      <c r="C353" s="23" t="s">
        <v>259</v>
      </c>
      <c r="D353" s="70">
        <v>2</v>
      </c>
      <c r="E353" s="21">
        <v>3.1761156106099999E-4</v>
      </c>
    </row>
    <row r="354" spans="2:5">
      <c r="B354" s="100"/>
      <c r="C354" s="73" t="s">
        <v>29</v>
      </c>
      <c r="D354" s="74">
        <v>541</v>
      </c>
      <c r="E354" s="75">
        <v>8.5913927266953002E-2</v>
      </c>
    </row>
    <row r="355" spans="2:5">
      <c r="B355" s="100" t="s">
        <v>89</v>
      </c>
      <c r="C355" s="23" t="s">
        <v>213</v>
      </c>
      <c r="D355" s="70">
        <v>1</v>
      </c>
      <c r="E355" s="21">
        <v>1.5880578052999999E-4</v>
      </c>
    </row>
    <row r="356" spans="2:5">
      <c r="B356" s="100"/>
      <c r="C356" s="23" t="s">
        <v>194</v>
      </c>
      <c r="D356" s="70">
        <v>2</v>
      </c>
      <c r="E356" s="21">
        <v>3.1761156106099999E-4</v>
      </c>
    </row>
    <row r="357" spans="2:5">
      <c r="B357" s="100"/>
      <c r="C357" s="23" t="s">
        <v>219</v>
      </c>
      <c r="D357" s="70">
        <v>1</v>
      </c>
      <c r="E357" s="21">
        <v>1.5880578052999999E-4</v>
      </c>
    </row>
    <row r="358" spans="2:5">
      <c r="B358" s="100"/>
      <c r="C358" s="23" t="s">
        <v>224</v>
      </c>
      <c r="D358" s="70">
        <v>1</v>
      </c>
      <c r="E358" s="21">
        <v>1.5880578052999999E-4</v>
      </c>
    </row>
    <row r="359" spans="2:5">
      <c r="B359" s="100"/>
      <c r="C359" s="23" t="s">
        <v>195</v>
      </c>
      <c r="D359" s="70">
        <v>7</v>
      </c>
      <c r="E359" s="21">
        <v>1.111640463713E-3</v>
      </c>
    </row>
    <row r="360" spans="2:5">
      <c r="B360" s="100"/>
      <c r="C360" s="23" t="s">
        <v>246</v>
      </c>
      <c r="D360" s="70">
        <v>4</v>
      </c>
      <c r="E360" s="21">
        <v>6.3522312212199999E-4</v>
      </c>
    </row>
    <row r="361" spans="2:5">
      <c r="B361" s="100"/>
      <c r="C361" s="23" t="s">
        <v>259</v>
      </c>
      <c r="D361" s="70">
        <v>1</v>
      </c>
      <c r="E361" s="21">
        <v>1.5880578052999999E-4</v>
      </c>
    </row>
    <row r="362" spans="2:5">
      <c r="B362" s="100"/>
      <c r="C362" s="73" t="s">
        <v>29</v>
      </c>
      <c r="D362" s="74">
        <v>17</v>
      </c>
      <c r="E362" s="75">
        <v>2.699698269017E-3</v>
      </c>
    </row>
    <row r="363" spans="2:5">
      <c r="B363" s="100" t="s">
        <v>92</v>
      </c>
      <c r="C363" s="23" t="s">
        <v>224</v>
      </c>
      <c r="D363" s="70">
        <v>3</v>
      </c>
      <c r="E363" s="21">
        <v>4.7641734159099998E-4</v>
      </c>
    </row>
    <row r="364" spans="2:5">
      <c r="B364" s="100"/>
      <c r="C364" s="23" t="s">
        <v>195</v>
      </c>
      <c r="D364" s="70">
        <v>7</v>
      </c>
      <c r="E364" s="21">
        <v>1.111640463713E-3</v>
      </c>
    </row>
    <row r="365" spans="2:5">
      <c r="B365" s="100"/>
      <c r="C365" s="23" t="s">
        <v>196</v>
      </c>
      <c r="D365" s="70">
        <v>1</v>
      </c>
      <c r="E365" s="21">
        <v>1.5880578052999999E-4</v>
      </c>
    </row>
    <row r="366" spans="2:5">
      <c r="B366" s="100"/>
      <c r="C366" s="23" t="s">
        <v>58</v>
      </c>
      <c r="D366" s="70">
        <v>2</v>
      </c>
      <c r="E366" s="21">
        <v>3.1761156106099999E-4</v>
      </c>
    </row>
    <row r="367" spans="2:5">
      <c r="B367" s="100"/>
      <c r="C367" s="73" t="s">
        <v>29</v>
      </c>
      <c r="D367" s="74">
        <v>13</v>
      </c>
      <c r="E367" s="75">
        <v>2.0644751468950001E-3</v>
      </c>
    </row>
    <row r="368" spans="2:5">
      <c r="B368" s="100" t="s">
        <v>78</v>
      </c>
      <c r="C368" s="23" t="s">
        <v>198</v>
      </c>
      <c r="D368" s="70">
        <v>4</v>
      </c>
      <c r="E368" s="21">
        <v>6.3522312212199999E-4</v>
      </c>
    </row>
    <row r="369" spans="2:5">
      <c r="B369" s="100"/>
      <c r="C369" s="23" t="s">
        <v>194</v>
      </c>
      <c r="D369" s="70">
        <v>5</v>
      </c>
      <c r="E369" s="21">
        <v>7.9402890265200003E-4</v>
      </c>
    </row>
    <row r="370" spans="2:5">
      <c r="B370" s="100"/>
      <c r="C370" s="23" t="s">
        <v>214</v>
      </c>
      <c r="D370" s="70">
        <v>1</v>
      </c>
      <c r="E370" s="21">
        <v>1.5880578052999999E-4</v>
      </c>
    </row>
    <row r="371" spans="2:5">
      <c r="B371" s="100"/>
      <c r="C371" s="23" t="s">
        <v>220</v>
      </c>
      <c r="D371" s="70">
        <v>1</v>
      </c>
      <c r="E371" s="21">
        <v>1.5880578052999999E-4</v>
      </c>
    </row>
    <row r="372" spans="2:5">
      <c r="B372" s="100"/>
      <c r="C372" s="23" t="s">
        <v>195</v>
      </c>
      <c r="D372" s="70">
        <v>6</v>
      </c>
      <c r="E372" s="21">
        <v>9.5283468318199996E-4</v>
      </c>
    </row>
    <row r="373" spans="2:5">
      <c r="B373" s="100"/>
      <c r="C373" s="23" t="s">
        <v>226</v>
      </c>
      <c r="D373" s="70">
        <v>7</v>
      </c>
      <c r="E373" s="21">
        <v>1.111640463713E-3</v>
      </c>
    </row>
    <row r="374" spans="2:5">
      <c r="B374" s="100"/>
      <c r="C374" s="23" t="s">
        <v>196</v>
      </c>
      <c r="D374" s="70">
        <v>1</v>
      </c>
      <c r="E374" s="21">
        <v>1.5880578052999999E-4</v>
      </c>
    </row>
    <row r="375" spans="2:5">
      <c r="B375" s="100"/>
      <c r="C375" s="23" t="s">
        <v>58</v>
      </c>
      <c r="D375" s="70">
        <v>3</v>
      </c>
      <c r="E375" s="21">
        <v>4.7641734159099998E-4</v>
      </c>
    </row>
    <row r="376" spans="2:5">
      <c r="B376" s="100"/>
      <c r="C376" s="23" t="s">
        <v>240</v>
      </c>
      <c r="D376" s="70">
        <v>1</v>
      </c>
      <c r="E376" s="21">
        <v>1.5880578052999999E-4</v>
      </c>
    </row>
    <row r="377" spans="2:5">
      <c r="B377" s="100"/>
      <c r="C377" s="73" t="s">
        <v>29</v>
      </c>
      <c r="D377" s="74">
        <v>29</v>
      </c>
      <c r="E377" s="75">
        <v>4.6053676353819996E-3</v>
      </c>
    </row>
    <row r="378" spans="2:5">
      <c r="B378" s="100" t="s">
        <v>100</v>
      </c>
      <c r="C378" s="23" t="s">
        <v>220</v>
      </c>
      <c r="D378" s="70">
        <v>1</v>
      </c>
      <c r="E378" s="21">
        <v>1.5880578052999999E-4</v>
      </c>
    </row>
    <row r="379" spans="2:5">
      <c r="B379" s="100"/>
      <c r="C379" s="23" t="s">
        <v>195</v>
      </c>
      <c r="D379" s="70">
        <v>1</v>
      </c>
      <c r="E379" s="21">
        <v>1.5880578052999999E-4</v>
      </c>
    </row>
    <row r="380" spans="2:5">
      <c r="B380" s="100"/>
      <c r="C380" s="73" t="s">
        <v>29</v>
      </c>
      <c r="D380" s="74">
        <v>2</v>
      </c>
      <c r="E380" s="75">
        <v>3.1761156106099999E-4</v>
      </c>
    </row>
    <row r="381" spans="2:5">
      <c r="B381" s="100" t="s">
        <v>58</v>
      </c>
      <c r="C381" s="23" t="s">
        <v>198</v>
      </c>
      <c r="D381" s="70">
        <v>2</v>
      </c>
      <c r="E381" s="21">
        <v>3.1761156106099999E-4</v>
      </c>
    </row>
    <row r="382" spans="2:5">
      <c r="B382" s="100"/>
      <c r="C382" s="23" t="s">
        <v>199</v>
      </c>
      <c r="D382" s="70">
        <v>2</v>
      </c>
      <c r="E382" s="21">
        <v>3.1761156106099999E-4</v>
      </c>
    </row>
    <row r="383" spans="2:5">
      <c r="B383" s="100"/>
      <c r="C383" s="23" t="s">
        <v>213</v>
      </c>
      <c r="D383" s="70">
        <v>3</v>
      </c>
      <c r="E383" s="21">
        <v>4.7641734159099998E-4</v>
      </c>
    </row>
    <row r="384" spans="2:5">
      <c r="B384" s="100"/>
      <c r="C384" s="23" t="s">
        <v>194</v>
      </c>
      <c r="D384" s="70">
        <v>5</v>
      </c>
      <c r="E384" s="21">
        <v>7.9402890265200003E-4</v>
      </c>
    </row>
    <row r="385" spans="2:5">
      <c r="B385" s="100"/>
      <c r="C385" s="23" t="s">
        <v>214</v>
      </c>
      <c r="D385" s="70">
        <v>2</v>
      </c>
      <c r="E385" s="21">
        <v>3.1761156106099999E-4</v>
      </c>
    </row>
    <row r="386" spans="2:5">
      <c r="B386" s="100"/>
      <c r="C386" s="23" t="s">
        <v>219</v>
      </c>
      <c r="D386" s="70">
        <v>1</v>
      </c>
      <c r="E386" s="21">
        <v>1.5880578052999999E-4</v>
      </c>
    </row>
    <row r="387" spans="2:5">
      <c r="B387" s="100"/>
      <c r="C387" s="23" t="s">
        <v>220</v>
      </c>
      <c r="D387" s="70">
        <v>1</v>
      </c>
      <c r="E387" s="21">
        <v>1.5880578052999999E-4</v>
      </c>
    </row>
    <row r="388" spans="2:5">
      <c r="B388" s="100"/>
      <c r="C388" s="23" t="s">
        <v>224</v>
      </c>
      <c r="D388" s="70">
        <v>4</v>
      </c>
      <c r="E388" s="21">
        <v>6.3522312212199999E-4</v>
      </c>
    </row>
    <row r="389" spans="2:5">
      <c r="B389" s="100"/>
      <c r="C389" s="23" t="s">
        <v>195</v>
      </c>
      <c r="D389" s="70">
        <v>9</v>
      </c>
      <c r="E389" s="21">
        <v>1.4292520247739999E-3</v>
      </c>
    </row>
    <row r="390" spans="2:5">
      <c r="B390" s="100"/>
      <c r="C390" s="23" t="s">
        <v>226</v>
      </c>
      <c r="D390" s="70">
        <v>4</v>
      </c>
      <c r="E390" s="21">
        <v>6.3522312212199999E-4</v>
      </c>
    </row>
    <row r="391" spans="2:5">
      <c r="B391" s="100"/>
      <c r="C391" s="23" t="s">
        <v>230</v>
      </c>
      <c r="D391" s="70">
        <v>1</v>
      </c>
      <c r="E391" s="21">
        <v>1.5880578052999999E-4</v>
      </c>
    </row>
    <row r="392" spans="2:5">
      <c r="B392" s="100"/>
      <c r="C392" s="23" t="s">
        <v>196</v>
      </c>
      <c r="D392" s="70">
        <v>3</v>
      </c>
      <c r="E392" s="21">
        <v>4.7641734159099998E-4</v>
      </c>
    </row>
    <row r="393" spans="2:5">
      <c r="B393" s="100"/>
      <c r="C393" s="23" t="s">
        <v>58</v>
      </c>
      <c r="D393" s="70">
        <v>84</v>
      </c>
      <c r="E393" s="21">
        <v>1.3339685564555E-2</v>
      </c>
    </row>
    <row r="394" spans="2:5">
      <c r="B394" s="100"/>
      <c r="C394" s="23" t="s">
        <v>244</v>
      </c>
      <c r="D394" s="70">
        <v>3</v>
      </c>
      <c r="E394" s="21">
        <v>4.7641734159099998E-4</v>
      </c>
    </row>
    <row r="395" spans="2:5">
      <c r="B395" s="100"/>
      <c r="C395" s="23" t="s">
        <v>64</v>
      </c>
      <c r="D395" s="70">
        <v>3</v>
      </c>
      <c r="E395" s="21">
        <v>4.7641734159099998E-4</v>
      </c>
    </row>
    <row r="396" spans="2:5">
      <c r="B396" s="100"/>
      <c r="C396" s="73" t="s">
        <v>29</v>
      </c>
      <c r="D396" s="74">
        <v>127</v>
      </c>
      <c r="E396" s="75">
        <v>2.0168334127361999E-2</v>
      </c>
    </row>
    <row r="397" spans="2:5">
      <c r="B397" s="100" t="s">
        <v>91</v>
      </c>
      <c r="C397" s="23" t="s">
        <v>213</v>
      </c>
      <c r="D397" s="70">
        <v>1</v>
      </c>
      <c r="E397" s="21">
        <v>1.5880578052999999E-4</v>
      </c>
    </row>
    <row r="398" spans="2:5">
      <c r="B398" s="100"/>
      <c r="C398" s="23" t="s">
        <v>194</v>
      </c>
      <c r="D398" s="70">
        <v>4</v>
      </c>
      <c r="E398" s="21">
        <v>6.3522312212199999E-4</v>
      </c>
    </row>
    <row r="399" spans="2:5">
      <c r="B399" s="100"/>
      <c r="C399" s="23" t="s">
        <v>215</v>
      </c>
      <c r="D399" s="70">
        <v>1</v>
      </c>
      <c r="E399" s="21">
        <v>1.5880578052999999E-4</v>
      </c>
    </row>
    <row r="400" spans="2:5">
      <c r="B400" s="100"/>
      <c r="C400" s="23" t="s">
        <v>195</v>
      </c>
      <c r="D400" s="70">
        <v>5</v>
      </c>
      <c r="E400" s="21">
        <v>7.9402890265200003E-4</v>
      </c>
    </row>
    <row r="401" spans="2:5">
      <c r="B401" s="100"/>
      <c r="C401" s="23" t="s">
        <v>196</v>
      </c>
      <c r="D401" s="70">
        <v>1</v>
      </c>
      <c r="E401" s="21">
        <v>1.5880578052999999E-4</v>
      </c>
    </row>
    <row r="402" spans="2:5">
      <c r="B402" s="100"/>
      <c r="C402" s="23" t="s">
        <v>58</v>
      </c>
      <c r="D402" s="70">
        <v>1</v>
      </c>
      <c r="E402" s="21">
        <v>1.5880578052999999E-4</v>
      </c>
    </row>
    <row r="403" spans="2:5">
      <c r="B403" s="100"/>
      <c r="C403" s="23" t="s">
        <v>240</v>
      </c>
      <c r="D403" s="70">
        <v>1</v>
      </c>
      <c r="E403" s="21">
        <v>1.5880578052999999E-4</v>
      </c>
    </row>
    <row r="404" spans="2:5">
      <c r="B404" s="100"/>
      <c r="C404" s="23" t="s">
        <v>246</v>
      </c>
      <c r="D404" s="70">
        <v>1</v>
      </c>
      <c r="E404" s="21">
        <v>1.5880578052999999E-4</v>
      </c>
    </row>
    <row r="405" spans="2:5">
      <c r="B405" s="100"/>
      <c r="C405" s="73" t="s">
        <v>29</v>
      </c>
      <c r="D405" s="74">
        <v>15</v>
      </c>
      <c r="E405" s="75">
        <v>2.3820867079560001E-3</v>
      </c>
    </row>
    <row r="406" spans="2:5">
      <c r="B406" s="100" t="s">
        <v>85</v>
      </c>
      <c r="C406" s="23" t="s">
        <v>213</v>
      </c>
      <c r="D406" s="70">
        <v>3</v>
      </c>
      <c r="E406" s="21">
        <v>4.7641734159099998E-4</v>
      </c>
    </row>
    <row r="407" spans="2:5">
      <c r="B407" s="100"/>
      <c r="C407" s="23" t="s">
        <v>194</v>
      </c>
      <c r="D407" s="70">
        <v>3</v>
      </c>
      <c r="E407" s="21">
        <v>4.7641734159099998E-4</v>
      </c>
    </row>
    <row r="408" spans="2:5">
      <c r="B408" s="100"/>
      <c r="C408" s="23" t="s">
        <v>214</v>
      </c>
      <c r="D408" s="70">
        <v>1</v>
      </c>
      <c r="E408" s="21">
        <v>1.5880578052999999E-4</v>
      </c>
    </row>
    <row r="409" spans="2:5">
      <c r="B409" s="100"/>
      <c r="C409" s="23" t="s">
        <v>224</v>
      </c>
      <c r="D409" s="70">
        <v>1</v>
      </c>
      <c r="E409" s="21">
        <v>1.5880578052999999E-4</v>
      </c>
    </row>
    <row r="410" spans="2:5">
      <c r="B410" s="100"/>
      <c r="C410" s="23" t="s">
        <v>195</v>
      </c>
      <c r="D410" s="70">
        <v>7</v>
      </c>
      <c r="E410" s="21">
        <v>1.111640463713E-3</v>
      </c>
    </row>
    <row r="411" spans="2:5">
      <c r="B411" s="100"/>
      <c r="C411" s="23" t="s">
        <v>234</v>
      </c>
      <c r="D411" s="70">
        <v>1</v>
      </c>
      <c r="E411" s="21">
        <v>1.5880578052999999E-4</v>
      </c>
    </row>
    <row r="412" spans="2:5">
      <c r="B412" s="100"/>
      <c r="C412" s="23" t="s">
        <v>196</v>
      </c>
      <c r="D412" s="70">
        <v>1</v>
      </c>
      <c r="E412" s="21">
        <v>1.5880578052999999E-4</v>
      </c>
    </row>
    <row r="413" spans="2:5">
      <c r="B413" s="100"/>
      <c r="C413" s="23" t="s">
        <v>240</v>
      </c>
      <c r="D413" s="70">
        <v>1</v>
      </c>
      <c r="E413" s="21">
        <v>1.5880578052999999E-4</v>
      </c>
    </row>
    <row r="414" spans="2:5">
      <c r="B414" s="100"/>
      <c r="C414" s="23" t="s">
        <v>253</v>
      </c>
      <c r="D414" s="70">
        <v>1</v>
      </c>
      <c r="E414" s="21">
        <v>1.5880578052999999E-4</v>
      </c>
    </row>
    <row r="415" spans="2:5">
      <c r="B415" s="100"/>
      <c r="C415" s="73" t="s">
        <v>29</v>
      </c>
      <c r="D415" s="74">
        <v>19</v>
      </c>
      <c r="E415" s="75">
        <v>3.017309830078E-3</v>
      </c>
    </row>
    <row r="416" spans="2:5">
      <c r="B416" s="100" t="s">
        <v>71</v>
      </c>
      <c r="C416" s="23" t="s">
        <v>198</v>
      </c>
      <c r="D416" s="70">
        <v>3</v>
      </c>
      <c r="E416" s="21">
        <v>4.7641734159099998E-4</v>
      </c>
    </row>
    <row r="417" spans="2:5">
      <c r="B417" s="100"/>
      <c r="C417" s="23" t="s">
        <v>210</v>
      </c>
      <c r="D417" s="70">
        <v>1</v>
      </c>
      <c r="E417" s="21">
        <v>1.5880578052999999E-4</v>
      </c>
    </row>
    <row r="418" spans="2:5">
      <c r="B418" s="100"/>
      <c r="C418" s="23" t="s">
        <v>213</v>
      </c>
      <c r="D418" s="70">
        <v>2</v>
      </c>
      <c r="E418" s="21">
        <v>3.1761156106099999E-4</v>
      </c>
    </row>
    <row r="419" spans="2:5">
      <c r="B419" s="100"/>
      <c r="C419" s="23" t="s">
        <v>194</v>
      </c>
      <c r="D419" s="70">
        <v>16</v>
      </c>
      <c r="E419" s="21">
        <v>2.5408924884869999E-3</v>
      </c>
    </row>
    <row r="420" spans="2:5">
      <c r="B420" s="100"/>
      <c r="C420" s="23" t="s">
        <v>219</v>
      </c>
      <c r="D420" s="70">
        <v>2</v>
      </c>
      <c r="E420" s="21">
        <v>3.1761156106099999E-4</v>
      </c>
    </row>
    <row r="421" spans="2:5">
      <c r="B421" s="100"/>
      <c r="C421" s="23" t="s">
        <v>222</v>
      </c>
      <c r="D421" s="70">
        <v>1</v>
      </c>
      <c r="E421" s="21">
        <v>1.5880578052999999E-4</v>
      </c>
    </row>
    <row r="422" spans="2:5">
      <c r="B422" s="100"/>
      <c r="C422" s="23" t="s">
        <v>224</v>
      </c>
      <c r="D422" s="70">
        <v>2</v>
      </c>
      <c r="E422" s="21">
        <v>3.1761156106099999E-4</v>
      </c>
    </row>
    <row r="423" spans="2:5">
      <c r="B423" s="100"/>
      <c r="C423" s="23" t="s">
        <v>195</v>
      </c>
      <c r="D423" s="70">
        <v>11</v>
      </c>
      <c r="E423" s="21">
        <v>1.7468635858350001E-3</v>
      </c>
    </row>
    <row r="424" spans="2:5">
      <c r="B424" s="100"/>
      <c r="C424" s="23" t="s">
        <v>226</v>
      </c>
      <c r="D424" s="70">
        <v>1</v>
      </c>
      <c r="E424" s="21">
        <v>1.5880578052999999E-4</v>
      </c>
    </row>
    <row r="425" spans="2:5">
      <c r="B425" s="100"/>
      <c r="C425" s="23" t="s">
        <v>234</v>
      </c>
      <c r="D425" s="70">
        <v>1</v>
      </c>
      <c r="E425" s="21">
        <v>1.5880578052999999E-4</v>
      </c>
    </row>
    <row r="426" spans="2:5">
      <c r="B426" s="100"/>
      <c r="C426" s="23" t="s">
        <v>196</v>
      </c>
      <c r="D426" s="70">
        <v>1</v>
      </c>
      <c r="E426" s="21">
        <v>1.5880578052999999E-4</v>
      </c>
    </row>
    <row r="427" spans="2:5" ht="40.5">
      <c r="B427" s="100"/>
      <c r="C427" s="23" t="s">
        <v>235</v>
      </c>
      <c r="D427" s="70">
        <v>1</v>
      </c>
      <c r="E427" s="21">
        <v>1.5880578052999999E-4</v>
      </c>
    </row>
    <row r="428" spans="2:5">
      <c r="B428" s="100"/>
      <c r="C428" s="23" t="s">
        <v>58</v>
      </c>
      <c r="D428" s="70">
        <v>4</v>
      </c>
      <c r="E428" s="21">
        <v>6.3522312212199999E-4</v>
      </c>
    </row>
    <row r="429" spans="2:5">
      <c r="B429" s="100"/>
      <c r="C429" s="23" t="s">
        <v>236</v>
      </c>
      <c r="D429" s="70">
        <v>2</v>
      </c>
      <c r="E429" s="21">
        <v>3.1761156106099999E-4</v>
      </c>
    </row>
    <row r="430" spans="2:5">
      <c r="B430" s="100"/>
      <c r="C430" s="23" t="s">
        <v>240</v>
      </c>
      <c r="D430" s="70">
        <v>3</v>
      </c>
      <c r="E430" s="21">
        <v>4.7641734159099998E-4</v>
      </c>
    </row>
    <row r="431" spans="2:5">
      <c r="B431" s="100"/>
      <c r="C431" s="23" t="s">
        <v>241</v>
      </c>
      <c r="D431" s="70">
        <v>1</v>
      </c>
      <c r="E431" s="21">
        <v>1.5880578052999999E-4</v>
      </c>
    </row>
    <row r="432" spans="2:5">
      <c r="B432" s="100"/>
      <c r="C432" s="23" t="s">
        <v>246</v>
      </c>
      <c r="D432" s="70">
        <v>4</v>
      </c>
      <c r="E432" s="21">
        <v>6.3522312212199999E-4</v>
      </c>
    </row>
    <row r="433" spans="2:5">
      <c r="B433" s="100"/>
      <c r="C433" s="73" t="s">
        <v>29</v>
      </c>
      <c r="D433" s="74">
        <v>56</v>
      </c>
      <c r="E433" s="75">
        <v>8.8931237097030005E-3</v>
      </c>
    </row>
    <row r="434" spans="2:5">
      <c r="B434" s="100" t="s">
        <v>90</v>
      </c>
      <c r="C434" s="23" t="s">
        <v>198</v>
      </c>
      <c r="D434" s="70">
        <v>1</v>
      </c>
      <c r="E434" s="21">
        <v>1.5880578052999999E-4</v>
      </c>
    </row>
    <row r="435" spans="2:5">
      <c r="B435" s="100"/>
      <c r="C435" s="23" t="s">
        <v>208</v>
      </c>
      <c r="D435" s="70">
        <v>1</v>
      </c>
      <c r="E435" s="21">
        <v>1.5880578052999999E-4</v>
      </c>
    </row>
    <row r="436" spans="2:5">
      <c r="B436" s="100"/>
      <c r="C436" s="23" t="s">
        <v>194</v>
      </c>
      <c r="D436" s="70">
        <v>4</v>
      </c>
      <c r="E436" s="21">
        <v>6.3522312212199999E-4</v>
      </c>
    </row>
    <row r="437" spans="2:5">
      <c r="B437" s="100"/>
      <c r="C437" s="23" t="s">
        <v>219</v>
      </c>
      <c r="D437" s="70">
        <v>1</v>
      </c>
      <c r="E437" s="21">
        <v>1.5880578052999999E-4</v>
      </c>
    </row>
    <row r="438" spans="2:5">
      <c r="B438" s="100"/>
      <c r="C438" s="23" t="s">
        <v>220</v>
      </c>
      <c r="D438" s="70">
        <v>1</v>
      </c>
      <c r="E438" s="21">
        <v>1.5880578052999999E-4</v>
      </c>
    </row>
    <row r="439" spans="2:5">
      <c r="B439" s="100"/>
      <c r="C439" s="23" t="s">
        <v>224</v>
      </c>
      <c r="D439" s="70">
        <v>1</v>
      </c>
      <c r="E439" s="21">
        <v>1.5880578052999999E-4</v>
      </c>
    </row>
    <row r="440" spans="2:5">
      <c r="B440" s="100"/>
      <c r="C440" s="23" t="s">
        <v>195</v>
      </c>
      <c r="D440" s="70">
        <v>4</v>
      </c>
      <c r="E440" s="21">
        <v>6.3522312212199999E-4</v>
      </c>
    </row>
    <row r="441" spans="2:5">
      <c r="B441" s="100"/>
      <c r="C441" s="23" t="s">
        <v>196</v>
      </c>
      <c r="D441" s="70">
        <v>2</v>
      </c>
      <c r="E441" s="21">
        <v>3.1761156106099999E-4</v>
      </c>
    </row>
    <row r="442" spans="2:5">
      <c r="B442" s="100"/>
      <c r="C442" s="23" t="s">
        <v>58</v>
      </c>
      <c r="D442" s="70">
        <v>1</v>
      </c>
      <c r="E442" s="21">
        <v>1.5880578052999999E-4</v>
      </c>
    </row>
    <row r="443" spans="2:5">
      <c r="B443" s="100"/>
      <c r="C443" s="73" t="s">
        <v>29</v>
      </c>
      <c r="D443" s="74">
        <v>16</v>
      </c>
      <c r="E443" s="75">
        <v>2.5408924884869999E-3</v>
      </c>
    </row>
    <row r="444" spans="2:5">
      <c r="B444" s="100" t="s">
        <v>79</v>
      </c>
      <c r="C444" s="23" t="s">
        <v>198</v>
      </c>
      <c r="D444" s="70">
        <v>2</v>
      </c>
      <c r="E444" s="21">
        <v>3.1761156106099999E-4</v>
      </c>
    </row>
    <row r="445" spans="2:5">
      <c r="B445" s="100"/>
      <c r="C445" s="23" t="s">
        <v>212</v>
      </c>
      <c r="D445" s="70">
        <v>2</v>
      </c>
      <c r="E445" s="21">
        <v>3.1761156106099999E-4</v>
      </c>
    </row>
    <row r="446" spans="2:5">
      <c r="B446" s="100"/>
      <c r="C446" s="23" t="s">
        <v>213</v>
      </c>
      <c r="D446" s="70">
        <v>1</v>
      </c>
      <c r="E446" s="21">
        <v>1.5880578052999999E-4</v>
      </c>
    </row>
    <row r="447" spans="2:5">
      <c r="B447" s="100"/>
      <c r="C447" s="23" t="s">
        <v>194</v>
      </c>
      <c r="D447" s="70">
        <v>8</v>
      </c>
      <c r="E447" s="21">
        <v>1.2704462442429999E-3</v>
      </c>
    </row>
    <row r="448" spans="2:5">
      <c r="B448" s="100"/>
      <c r="C448" s="23" t="s">
        <v>222</v>
      </c>
      <c r="D448" s="70">
        <v>1</v>
      </c>
      <c r="E448" s="21">
        <v>1.5880578052999999E-4</v>
      </c>
    </row>
    <row r="449" spans="2:5">
      <c r="B449" s="100"/>
      <c r="C449" s="23" t="s">
        <v>224</v>
      </c>
      <c r="D449" s="70">
        <v>1</v>
      </c>
      <c r="E449" s="21">
        <v>1.5880578052999999E-4</v>
      </c>
    </row>
    <row r="450" spans="2:5">
      <c r="B450" s="100"/>
      <c r="C450" s="23" t="s">
        <v>195</v>
      </c>
      <c r="D450" s="70">
        <v>9</v>
      </c>
      <c r="E450" s="21">
        <v>1.4292520247739999E-3</v>
      </c>
    </row>
    <row r="451" spans="2:5">
      <c r="B451" s="100"/>
      <c r="C451" s="23" t="s">
        <v>230</v>
      </c>
      <c r="D451" s="70">
        <v>1</v>
      </c>
      <c r="E451" s="21">
        <v>1.5880578052999999E-4</v>
      </c>
    </row>
    <row r="452" spans="2:5">
      <c r="B452" s="100"/>
      <c r="C452" s="23" t="s">
        <v>234</v>
      </c>
      <c r="D452" s="70">
        <v>1</v>
      </c>
      <c r="E452" s="21">
        <v>1.5880578052999999E-4</v>
      </c>
    </row>
    <row r="453" spans="2:5" ht="40.5">
      <c r="B453" s="100"/>
      <c r="C453" s="23" t="s">
        <v>235</v>
      </c>
      <c r="D453" s="70">
        <v>1</v>
      </c>
      <c r="E453" s="21">
        <v>1.5880578052999999E-4</v>
      </c>
    </row>
    <row r="454" spans="2:5">
      <c r="B454" s="100"/>
      <c r="C454" s="23" t="s">
        <v>236</v>
      </c>
      <c r="D454" s="70">
        <v>1</v>
      </c>
      <c r="E454" s="21">
        <v>1.5880578052999999E-4</v>
      </c>
    </row>
    <row r="455" spans="2:5">
      <c r="B455" s="100"/>
      <c r="C455" s="23" t="s">
        <v>245</v>
      </c>
      <c r="D455" s="70">
        <v>1</v>
      </c>
      <c r="E455" s="21">
        <v>1.5880578052999999E-4</v>
      </c>
    </row>
    <row r="456" spans="2:5">
      <c r="B456" s="100"/>
      <c r="C456" s="73" t="s">
        <v>29</v>
      </c>
      <c r="D456" s="74">
        <v>29</v>
      </c>
      <c r="E456" s="75">
        <v>4.6053676353819996E-3</v>
      </c>
    </row>
    <row r="457" spans="2:5">
      <c r="B457" s="100" t="s">
        <v>77</v>
      </c>
      <c r="C457" s="23" t="s">
        <v>199</v>
      </c>
      <c r="D457" s="70">
        <v>2</v>
      </c>
      <c r="E457" s="21">
        <v>3.1761156106099999E-4</v>
      </c>
    </row>
    <row r="458" spans="2:5">
      <c r="B458" s="100"/>
      <c r="C458" s="23" t="s">
        <v>213</v>
      </c>
      <c r="D458" s="70">
        <v>2</v>
      </c>
      <c r="E458" s="21">
        <v>3.1761156106099999E-4</v>
      </c>
    </row>
    <row r="459" spans="2:5">
      <c r="B459" s="100"/>
      <c r="C459" s="23" t="s">
        <v>194</v>
      </c>
      <c r="D459" s="70">
        <v>6</v>
      </c>
      <c r="E459" s="21">
        <v>9.5283468318199996E-4</v>
      </c>
    </row>
    <row r="460" spans="2:5">
      <c r="B460" s="100"/>
      <c r="C460" s="23" t="s">
        <v>224</v>
      </c>
      <c r="D460" s="70">
        <v>1</v>
      </c>
      <c r="E460" s="21">
        <v>1.5880578052999999E-4</v>
      </c>
    </row>
    <row r="461" spans="2:5">
      <c r="B461" s="100"/>
      <c r="C461" s="23" t="s">
        <v>195</v>
      </c>
      <c r="D461" s="70">
        <v>11</v>
      </c>
      <c r="E461" s="21">
        <v>1.7468635858350001E-3</v>
      </c>
    </row>
    <row r="462" spans="2:5">
      <c r="B462" s="100"/>
      <c r="C462" s="23" t="s">
        <v>196</v>
      </c>
      <c r="D462" s="70">
        <v>2</v>
      </c>
      <c r="E462" s="21">
        <v>3.1761156106099999E-4</v>
      </c>
    </row>
    <row r="463" spans="2:5">
      <c r="B463" s="100"/>
      <c r="C463" s="23" t="s">
        <v>246</v>
      </c>
      <c r="D463" s="70">
        <v>8</v>
      </c>
      <c r="E463" s="21">
        <v>1.2704462442429999E-3</v>
      </c>
    </row>
    <row r="464" spans="2:5">
      <c r="B464" s="100"/>
      <c r="C464" s="23" t="s">
        <v>256</v>
      </c>
      <c r="D464" s="70">
        <v>1</v>
      </c>
      <c r="E464" s="21">
        <v>1.5880578052999999E-4</v>
      </c>
    </row>
    <row r="465" spans="2:5">
      <c r="B465" s="100"/>
      <c r="C465" s="73" t="s">
        <v>29</v>
      </c>
      <c r="D465" s="74">
        <v>33</v>
      </c>
      <c r="E465" s="75">
        <v>5.2405907575040003E-3</v>
      </c>
    </row>
    <row r="466" spans="2:5">
      <c r="B466" s="100" t="s">
        <v>50</v>
      </c>
      <c r="C466" s="23" t="s">
        <v>197</v>
      </c>
      <c r="D466" s="70">
        <v>1</v>
      </c>
      <c r="E466" s="21">
        <v>1.5880578052999999E-4</v>
      </c>
    </row>
    <row r="467" spans="2:5">
      <c r="B467" s="100"/>
      <c r="C467" s="23" t="s">
        <v>198</v>
      </c>
      <c r="D467" s="70">
        <v>85</v>
      </c>
      <c r="E467" s="21">
        <v>1.3498491345085E-2</v>
      </c>
    </row>
    <row r="468" spans="2:5">
      <c r="B468" s="100"/>
      <c r="C468" s="23" t="s">
        <v>199</v>
      </c>
      <c r="D468" s="70">
        <v>42</v>
      </c>
      <c r="E468" s="21">
        <v>6.6698427822769997E-3</v>
      </c>
    </row>
    <row r="469" spans="2:5">
      <c r="B469" s="100"/>
      <c r="C469" s="23" t="s">
        <v>200</v>
      </c>
      <c r="D469" s="70">
        <v>4</v>
      </c>
      <c r="E469" s="21">
        <v>6.3522312212199999E-4</v>
      </c>
    </row>
    <row r="470" spans="2:5">
      <c r="B470" s="100"/>
      <c r="C470" s="23" t="s">
        <v>201</v>
      </c>
      <c r="D470" s="70">
        <v>6</v>
      </c>
      <c r="E470" s="21">
        <v>9.5283468318199996E-4</v>
      </c>
    </row>
    <row r="471" spans="2:5">
      <c r="B471" s="100"/>
      <c r="C471" s="23" t="s">
        <v>204</v>
      </c>
      <c r="D471" s="70">
        <v>2</v>
      </c>
      <c r="E471" s="21">
        <v>3.1761156106099999E-4</v>
      </c>
    </row>
    <row r="472" spans="2:5">
      <c r="B472" s="100"/>
      <c r="C472" s="23" t="s">
        <v>205</v>
      </c>
      <c r="D472" s="70">
        <v>4</v>
      </c>
      <c r="E472" s="21">
        <v>6.3522312212199999E-4</v>
      </c>
    </row>
    <row r="473" spans="2:5">
      <c r="B473" s="100"/>
      <c r="C473" s="23" t="s">
        <v>207</v>
      </c>
      <c r="D473" s="70">
        <v>2</v>
      </c>
      <c r="E473" s="21">
        <v>3.1761156106099999E-4</v>
      </c>
    </row>
    <row r="474" spans="2:5">
      <c r="B474" s="100"/>
      <c r="C474" s="23" t="s">
        <v>208</v>
      </c>
      <c r="D474" s="70">
        <v>2</v>
      </c>
      <c r="E474" s="21">
        <v>3.1761156106099999E-4</v>
      </c>
    </row>
    <row r="475" spans="2:5">
      <c r="B475" s="100"/>
      <c r="C475" s="23" t="s">
        <v>209</v>
      </c>
      <c r="D475" s="70">
        <v>3</v>
      </c>
      <c r="E475" s="21">
        <v>4.7641734159099998E-4</v>
      </c>
    </row>
    <row r="476" spans="2:5">
      <c r="B476" s="100"/>
      <c r="C476" s="23" t="s">
        <v>210</v>
      </c>
      <c r="D476" s="70">
        <v>3</v>
      </c>
      <c r="E476" s="21">
        <v>4.7641734159099998E-4</v>
      </c>
    </row>
    <row r="477" spans="2:5">
      <c r="B477" s="100"/>
      <c r="C477" s="23" t="s">
        <v>211</v>
      </c>
      <c r="D477" s="70">
        <v>4</v>
      </c>
      <c r="E477" s="21">
        <v>6.3522312212199999E-4</v>
      </c>
    </row>
    <row r="478" spans="2:5">
      <c r="B478" s="100"/>
      <c r="C478" s="23" t="s">
        <v>212</v>
      </c>
      <c r="D478" s="70">
        <v>8</v>
      </c>
      <c r="E478" s="21">
        <v>1.2704462442429999E-3</v>
      </c>
    </row>
    <row r="479" spans="2:5">
      <c r="B479" s="100"/>
      <c r="C479" s="23" t="s">
        <v>213</v>
      </c>
      <c r="D479" s="70">
        <v>92</v>
      </c>
      <c r="E479" s="21">
        <v>1.4610131808797999E-2</v>
      </c>
    </row>
    <row r="480" spans="2:5">
      <c r="B480" s="100"/>
      <c r="C480" s="23" t="s">
        <v>194</v>
      </c>
      <c r="D480" s="70">
        <v>320</v>
      </c>
      <c r="E480" s="21">
        <v>5.0817849769731999E-2</v>
      </c>
    </row>
    <row r="481" spans="2:5">
      <c r="B481" s="100"/>
      <c r="C481" s="23" t="s">
        <v>214</v>
      </c>
      <c r="D481" s="70">
        <v>38</v>
      </c>
      <c r="E481" s="21">
        <v>6.0346196601559999E-3</v>
      </c>
    </row>
    <row r="482" spans="2:5">
      <c r="B482" s="100"/>
      <c r="C482" s="23" t="s">
        <v>215</v>
      </c>
      <c r="D482" s="70">
        <v>1</v>
      </c>
      <c r="E482" s="21">
        <v>1.5880578052999999E-4</v>
      </c>
    </row>
    <row r="483" spans="2:5">
      <c r="B483" s="100"/>
      <c r="C483" s="23" t="s">
        <v>216</v>
      </c>
      <c r="D483" s="70">
        <v>1</v>
      </c>
      <c r="E483" s="21">
        <v>1.5880578052999999E-4</v>
      </c>
    </row>
    <row r="484" spans="2:5">
      <c r="B484" s="100"/>
      <c r="C484" s="23" t="s">
        <v>217</v>
      </c>
      <c r="D484" s="70">
        <v>5</v>
      </c>
      <c r="E484" s="21">
        <v>7.9402890265200003E-4</v>
      </c>
    </row>
    <row r="485" spans="2:5">
      <c r="B485" s="100"/>
      <c r="C485" s="23" t="s">
        <v>218</v>
      </c>
      <c r="D485" s="70">
        <v>1</v>
      </c>
      <c r="E485" s="21">
        <v>1.5880578052999999E-4</v>
      </c>
    </row>
    <row r="486" spans="2:5">
      <c r="B486" s="100"/>
      <c r="C486" s="23" t="s">
        <v>219</v>
      </c>
      <c r="D486" s="70">
        <v>32</v>
      </c>
      <c r="E486" s="21">
        <v>5.0817849769729997E-3</v>
      </c>
    </row>
    <row r="487" spans="2:5">
      <c r="B487" s="100"/>
      <c r="C487" s="23" t="s">
        <v>220</v>
      </c>
      <c r="D487" s="70">
        <v>8</v>
      </c>
      <c r="E487" s="21">
        <v>1.2704462442429999E-3</v>
      </c>
    </row>
    <row r="488" spans="2:5">
      <c r="B488" s="100"/>
      <c r="C488" s="23" t="s">
        <v>221</v>
      </c>
      <c r="D488" s="70">
        <v>4</v>
      </c>
      <c r="E488" s="21">
        <v>6.3522312212199999E-4</v>
      </c>
    </row>
    <row r="489" spans="2:5">
      <c r="B489" s="100"/>
      <c r="C489" s="23" t="s">
        <v>222</v>
      </c>
      <c r="D489" s="70">
        <v>22</v>
      </c>
      <c r="E489" s="21">
        <v>3.4937271716690001E-3</v>
      </c>
    </row>
    <row r="490" spans="2:5">
      <c r="B490" s="100"/>
      <c r="C490" s="23" t="s">
        <v>224</v>
      </c>
      <c r="D490" s="70">
        <v>110</v>
      </c>
      <c r="E490" s="21">
        <v>1.7468635858344999E-2</v>
      </c>
    </row>
    <row r="491" spans="2:5">
      <c r="B491" s="100"/>
      <c r="C491" s="23" t="s">
        <v>195</v>
      </c>
      <c r="D491" s="70">
        <v>333</v>
      </c>
      <c r="E491" s="21">
        <v>5.2882324916626998E-2</v>
      </c>
    </row>
    <row r="492" spans="2:5">
      <c r="B492" s="100"/>
      <c r="C492" s="23" t="s">
        <v>225</v>
      </c>
      <c r="D492" s="70">
        <v>1</v>
      </c>
      <c r="E492" s="21">
        <v>1.5880578052999999E-4</v>
      </c>
    </row>
    <row r="493" spans="2:5">
      <c r="B493" s="100"/>
      <c r="C493" s="23" t="s">
        <v>226</v>
      </c>
      <c r="D493" s="70">
        <v>17</v>
      </c>
      <c r="E493" s="21">
        <v>2.699698269017E-3</v>
      </c>
    </row>
    <row r="494" spans="2:5">
      <c r="B494" s="100"/>
      <c r="C494" s="23" t="s">
        <v>228</v>
      </c>
      <c r="D494" s="70">
        <v>7</v>
      </c>
      <c r="E494" s="21">
        <v>1.111640463713E-3</v>
      </c>
    </row>
    <row r="495" spans="2:5">
      <c r="B495" s="100"/>
      <c r="C495" s="23" t="s">
        <v>230</v>
      </c>
      <c r="D495" s="70">
        <v>24</v>
      </c>
      <c r="E495" s="21">
        <v>3.81133873273E-3</v>
      </c>
    </row>
    <row r="496" spans="2:5">
      <c r="B496" s="100"/>
      <c r="C496" s="23" t="s">
        <v>231</v>
      </c>
      <c r="D496" s="70">
        <v>1</v>
      </c>
      <c r="E496" s="21">
        <v>1.5880578052999999E-4</v>
      </c>
    </row>
    <row r="497" spans="2:5">
      <c r="B497" s="100"/>
      <c r="C497" s="23" t="s">
        <v>232</v>
      </c>
      <c r="D497" s="70">
        <v>5</v>
      </c>
      <c r="E497" s="21">
        <v>7.9402890265200003E-4</v>
      </c>
    </row>
    <row r="498" spans="2:5">
      <c r="B498" s="100"/>
      <c r="C498" s="23" t="s">
        <v>233</v>
      </c>
      <c r="D498" s="70">
        <v>3</v>
      </c>
      <c r="E498" s="21">
        <v>4.7641734159099998E-4</v>
      </c>
    </row>
    <row r="499" spans="2:5">
      <c r="B499" s="100"/>
      <c r="C499" s="23" t="s">
        <v>234</v>
      </c>
      <c r="D499" s="70">
        <v>13</v>
      </c>
      <c r="E499" s="21">
        <v>2.0644751468950001E-3</v>
      </c>
    </row>
    <row r="500" spans="2:5">
      <c r="B500" s="100"/>
      <c r="C500" s="23" t="s">
        <v>196</v>
      </c>
      <c r="D500" s="70">
        <v>93</v>
      </c>
      <c r="E500" s="21">
        <v>1.4768937589328001E-2</v>
      </c>
    </row>
    <row r="501" spans="2:5" ht="40.5">
      <c r="B501" s="100"/>
      <c r="C501" s="23" t="s">
        <v>235</v>
      </c>
      <c r="D501" s="70">
        <v>5</v>
      </c>
      <c r="E501" s="21">
        <v>7.9402890265200003E-4</v>
      </c>
    </row>
    <row r="502" spans="2:5">
      <c r="B502" s="100"/>
      <c r="C502" s="23" t="s">
        <v>58</v>
      </c>
      <c r="D502" s="70">
        <v>185</v>
      </c>
      <c r="E502" s="21">
        <v>2.9379069398126002E-2</v>
      </c>
    </row>
    <row r="503" spans="2:5">
      <c r="B503" s="100"/>
      <c r="C503" s="23" t="s">
        <v>236</v>
      </c>
      <c r="D503" s="70">
        <v>10</v>
      </c>
      <c r="E503" s="21">
        <v>1.5880578053040001E-3</v>
      </c>
    </row>
    <row r="504" spans="2:5">
      <c r="B504" s="100"/>
      <c r="C504" s="23" t="s">
        <v>237</v>
      </c>
      <c r="D504" s="70">
        <v>1</v>
      </c>
      <c r="E504" s="21">
        <v>1.5880578052999999E-4</v>
      </c>
    </row>
    <row r="505" spans="2:5">
      <c r="B505" s="100"/>
      <c r="C505" s="23" t="s">
        <v>238</v>
      </c>
      <c r="D505" s="70">
        <v>4</v>
      </c>
      <c r="E505" s="21">
        <v>6.3522312212199999E-4</v>
      </c>
    </row>
    <row r="506" spans="2:5">
      <c r="B506" s="100"/>
      <c r="C506" s="23" t="s">
        <v>239</v>
      </c>
      <c r="D506" s="70">
        <v>4</v>
      </c>
      <c r="E506" s="21">
        <v>6.3522312212199999E-4</v>
      </c>
    </row>
    <row r="507" spans="2:5">
      <c r="B507" s="100"/>
      <c r="C507" s="23" t="s">
        <v>240</v>
      </c>
      <c r="D507" s="70">
        <v>46</v>
      </c>
      <c r="E507" s="21">
        <v>7.3050659043989996E-3</v>
      </c>
    </row>
    <row r="508" spans="2:5">
      <c r="B508" s="100"/>
      <c r="C508" s="23" t="s">
        <v>243</v>
      </c>
      <c r="D508" s="70">
        <v>3</v>
      </c>
      <c r="E508" s="21">
        <v>4.7641734159099998E-4</v>
      </c>
    </row>
    <row r="509" spans="2:5">
      <c r="B509" s="100"/>
      <c r="C509" s="23" t="s">
        <v>244</v>
      </c>
      <c r="D509" s="70">
        <v>13</v>
      </c>
      <c r="E509" s="21">
        <v>2.0644751468950001E-3</v>
      </c>
    </row>
    <row r="510" spans="2:5">
      <c r="B510" s="100"/>
      <c r="C510" s="23" t="s">
        <v>245</v>
      </c>
      <c r="D510" s="70">
        <v>3</v>
      </c>
      <c r="E510" s="21">
        <v>4.7641734159099998E-4</v>
      </c>
    </row>
    <row r="511" spans="2:5">
      <c r="B511" s="100"/>
      <c r="C511" s="23" t="s">
        <v>246</v>
      </c>
      <c r="D511" s="70">
        <v>95</v>
      </c>
      <c r="E511" s="21">
        <v>1.5086549150388999E-2</v>
      </c>
    </row>
    <row r="512" spans="2:5">
      <c r="B512" s="100"/>
      <c r="C512" s="23" t="s">
        <v>247</v>
      </c>
      <c r="D512" s="70">
        <v>1</v>
      </c>
      <c r="E512" s="21">
        <v>1.5880578052999999E-4</v>
      </c>
    </row>
    <row r="513" spans="2:5">
      <c r="B513" s="100"/>
      <c r="C513" s="23" t="s">
        <v>248</v>
      </c>
      <c r="D513" s="70">
        <v>3</v>
      </c>
      <c r="E513" s="21">
        <v>4.7641734159099998E-4</v>
      </c>
    </row>
    <row r="514" spans="2:5">
      <c r="B514" s="100"/>
      <c r="C514" s="23" t="s">
        <v>64</v>
      </c>
      <c r="D514" s="70">
        <v>17</v>
      </c>
      <c r="E514" s="21">
        <v>2.699698269017E-3</v>
      </c>
    </row>
    <row r="515" spans="2:5">
      <c r="B515" s="100"/>
      <c r="C515" s="23" t="s">
        <v>250</v>
      </c>
      <c r="D515" s="70">
        <v>1</v>
      </c>
      <c r="E515" s="21">
        <v>1.5880578052999999E-4</v>
      </c>
    </row>
    <row r="516" spans="2:5">
      <c r="B516" s="100"/>
      <c r="C516" s="23" t="s">
        <v>252</v>
      </c>
      <c r="D516" s="70">
        <v>1</v>
      </c>
      <c r="E516" s="21">
        <v>1.5880578052999999E-4</v>
      </c>
    </row>
    <row r="517" spans="2:5">
      <c r="B517" s="100"/>
      <c r="C517" s="23" t="s">
        <v>254</v>
      </c>
      <c r="D517" s="70">
        <v>2</v>
      </c>
      <c r="E517" s="21">
        <v>3.1761156106099999E-4</v>
      </c>
    </row>
    <row r="518" spans="2:5">
      <c r="B518" s="100"/>
      <c r="C518" s="23" t="s">
        <v>255</v>
      </c>
      <c r="D518" s="70">
        <v>5</v>
      </c>
      <c r="E518" s="21">
        <v>7.9402890265200003E-4</v>
      </c>
    </row>
    <row r="519" spans="2:5">
      <c r="B519" s="100"/>
      <c r="C519" s="23" t="s">
        <v>256</v>
      </c>
      <c r="D519" s="70">
        <v>10</v>
      </c>
      <c r="E519" s="21">
        <v>1.5880578053040001E-3</v>
      </c>
    </row>
    <row r="520" spans="2:5">
      <c r="B520" s="100"/>
      <c r="C520" s="23" t="s">
        <v>257</v>
      </c>
      <c r="D520" s="70">
        <v>5</v>
      </c>
      <c r="E520" s="21">
        <v>7.9402890265200003E-4</v>
      </c>
    </row>
    <row r="521" spans="2:5">
      <c r="B521" s="100"/>
      <c r="C521" s="23" t="s">
        <v>258</v>
      </c>
      <c r="D521" s="70">
        <v>1</v>
      </c>
      <c r="E521" s="21">
        <v>1.5880578052999999E-4</v>
      </c>
    </row>
    <row r="522" spans="2:5">
      <c r="B522" s="100"/>
      <c r="C522" s="23" t="s">
        <v>259</v>
      </c>
      <c r="D522" s="70">
        <v>3</v>
      </c>
      <c r="E522" s="21">
        <v>4.7641734159099998E-4</v>
      </c>
    </row>
    <row r="523" spans="2:5">
      <c r="B523" s="100"/>
      <c r="C523" s="73" t="s">
        <v>29</v>
      </c>
      <c r="D523" s="74">
        <v>1715</v>
      </c>
      <c r="E523" s="75">
        <v>0.27235191360965499</v>
      </c>
    </row>
    <row r="524" spans="2:5">
      <c r="B524" s="100" t="s">
        <v>82</v>
      </c>
      <c r="C524" s="23" t="s">
        <v>198</v>
      </c>
      <c r="D524" s="70">
        <v>2</v>
      </c>
      <c r="E524" s="21">
        <v>3.1761156106099999E-4</v>
      </c>
    </row>
    <row r="525" spans="2:5">
      <c r="B525" s="100"/>
      <c r="C525" s="23" t="s">
        <v>213</v>
      </c>
      <c r="D525" s="70">
        <v>3</v>
      </c>
      <c r="E525" s="21">
        <v>4.7641734159099998E-4</v>
      </c>
    </row>
    <row r="526" spans="2:5">
      <c r="B526" s="100"/>
      <c r="C526" s="23" t="s">
        <v>194</v>
      </c>
      <c r="D526" s="70">
        <v>8</v>
      </c>
      <c r="E526" s="21">
        <v>1.2704462442429999E-3</v>
      </c>
    </row>
    <row r="527" spans="2:5">
      <c r="B527" s="100"/>
      <c r="C527" s="23" t="s">
        <v>224</v>
      </c>
      <c r="D527" s="70">
        <v>2</v>
      </c>
      <c r="E527" s="21">
        <v>3.1761156106099999E-4</v>
      </c>
    </row>
    <row r="528" spans="2:5">
      <c r="B528" s="100"/>
      <c r="C528" s="23" t="s">
        <v>195</v>
      </c>
      <c r="D528" s="70">
        <v>5</v>
      </c>
      <c r="E528" s="21">
        <v>7.9402890265200003E-4</v>
      </c>
    </row>
    <row r="529" spans="2:5">
      <c r="B529" s="100"/>
      <c r="C529" s="23" t="s">
        <v>196</v>
      </c>
      <c r="D529" s="70">
        <v>1</v>
      </c>
      <c r="E529" s="21">
        <v>1.5880578052999999E-4</v>
      </c>
    </row>
    <row r="530" spans="2:5">
      <c r="B530" s="100"/>
      <c r="C530" s="23" t="s">
        <v>58</v>
      </c>
      <c r="D530" s="70">
        <v>1</v>
      </c>
      <c r="E530" s="21">
        <v>1.5880578052999999E-4</v>
      </c>
    </row>
    <row r="531" spans="2:5">
      <c r="B531" s="100"/>
      <c r="C531" s="23" t="s">
        <v>246</v>
      </c>
      <c r="D531" s="70">
        <v>2</v>
      </c>
      <c r="E531" s="21">
        <v>3.1761156106099999E-4</v>
      </c>
    </row>
    <row r="532" spans="2:5">
      <c r="B532" s="100"/>
      <c r="C532" s="23" t="s">
        <v>259</v>
      </c>
      <c r="D532" s="70">
        <v>1</v>
      </c>
      <c r="E532" s="21">
        <v>1.5880578052999999E-4</v>
      </c>
    </row>
    <row r="533" spans="2:5">
      <c r="B533" s="100"/>
      <c r="C533" s="73" t="s">
        <v>29</v>
      </c>
      <c r="D533" s="74">
        <v>25</v>
      </c>
      <c r="E533" s="75">
        <v>3.9701445132599997E-3</v>
      </c>
    </row>
    <row r="534" spans="2:5">
      <c r="B534" s="100" t="s">
        <v>93</v>
      </c>
      <c r="C534" s="23" t="s">
        <v>198</v>
      </c>
      <c r="D534" s="70">
        <v>1</v>
      </c>
      <c r="E534" s="21">
        <v>1.5880578052999999E-4</v>
      </c>
    </row>
    <row r="535" spans="2:5">
      <c r="B535" s="100"/>
      <c r="C535" s="23" t="s">
        <v>199</v>
      </c>
      <c r="D535" s="70">
        <v>2</v>
      </c>
      <c r="E535" s="21">
        <v>3.1761156106099999E-4</v>
      </c>
    </row>
    <row r="536" spans="2:5">
      <c r="B536" s="100"/>
      <c r="C536" s="23" t="s">
        <v>213</v>
      </c>
      <c r="D536" s="70">
        <v>1</v>
      </c>
      <c r="E536" s="21">
        <v>1.5880578052999999E-4</v>
      </c>
    </row>
    <row r="537" spans="2:5">
      <c r="B537" s="100"/>
      <c r="C537" s="23" t="s">
        <v>194</v>
      </c>
      <c r="D537" s="70">
        <v>1</v>
      </c>
      <c r="E537" s="21">
        <v>1.5880578052999999E-4</v>
      </c>
    </row>
    <row r="538" spans="2:5">
      <c r="B538" s="100"/>
      <c r="C538" s="23" t="s">
        <v>195</v>
      </c>
      <c r="D538" s="70">
        <v>2</v>
      </c>
      <c r="E538" s="21">
        <v>3.1761156106099999E-4</v>
      </c>
    </row>
    <row r="539" spans="2:5">
      <c r="B539" s="100"/>
      <c r="C539" s="23" t="s">
        <v>234</v>
      </c>
      <c r="D539" s="70">
        <v>1</v>
      </c>
      <c r="E539" s="21">
        <v>1.5880578052999999E-4</v>
      </c>
    </row>
    <row r="540" spans="2:5">
      <c r="B540" s="100"/>
      <c r="C540" s="23" t="s">
        <v>196</v>
      </c>
      <c r="D540" s="70">
        <v>1</v>
      </c>
      <c r="E540" s="21">
        <v>1.5880578052999999E-4</v>
      </c>
    </row>
    <row r="541" spans="2:5">
      <c r="B541" s="100"/>
      <c r="C541" s="23" t="s">
        <v>58</v>
      </c>
      <c r="D541" s="70">
        <v>2</v>
      </c>
      <c r="E541" s="21">
        <v>3.1761156106099999E-4</v>
      </c>
    </row>
    <row r="542" spans="2:5">
      <c r="B542" s="100"/>
      <c r="C542" s="73" t="s">
        <v>29</v>
      </c>
      <c r="D542" s="74">
        <v>11</v>
      </c>
      <c r="E542" s="75">
        <v>1.7468635858350001E-3</v>
      </c>
    </row>
    <row r="543" spans="2:5">
      <c r="B543" s="100" t="s">
        <v>68</v>
      </c>
      <c r="C543" s="23" t="s">
        <v>198</v>
      </c>
      <c r="D543" s="70">
        <v>5</v>
      </c>
      <c r="E543" s="21">
        <v>7.9402890265200003E-4</v>
      </c>
    </row>
    <row r="544" spans="2:5">
      <c r="B544" s="100"/>
      <c r="C544" s="23" t="s">
        <v>212</v>
      </c>
      <c r="D544" s="70">
        <v>2</v>
      </c>
      <c r="E544" s="21">
        <v>3.1761156106099999E-4</v>
      </c>
    </row>
    <row r="545" spans="2:5">
      <c r="B545" s="100"/>
      <c r="C545" s="23" t="s">
        <v>213</v>
      </c>
      <c r="D545" s="70">
        <v>4</v>
      </c>
      <c r="E545" s="21">
        <v>6.3522312212199999E-4</v>
      </c>
    </row>
    <row r="546" spans="2:5">
      <c r="B546" s="100"/>
      <c r="C546" s="23" t="s">
        <v>194</v>
      </c>
      <c r="D546" s="70">
        <v>11</v>
      </c>
      <c r="E546" s="21">
        <v>1.7468635858350001E-3</v>
      </c>
    </row>
    <row r="547" spans="2:5">
      <c r="B547" s="100"/>
      <c r="C547" s="23" t="s">
        <v>220</v>
      </c>
      <c r="D547" s="70">
        <v>1</v>
      </c>
      <c r="E547" s="21">
        <v>1.5880578052999999E-4</v>
      </c>
    </row>
    <row r="548" spans="2:5">
      <c r="B548" s="100"/>
      <c r="C548" s="23" t="s">
        <v>224</v>
      </c>
      <c r="D548" s="70">
        <v>4</v>
      </c>
      <c r="E548" s="21">
        <v>6.3522312212199999E-4</v>
      </c>
    </row>
    <row r="549" spans="2:5">
      <c r="B549" s="100"/>
      <c r="C549" s="23" t="s">
        <v>195</v>
      </c>
      <c r="D549" s="70">
        <v>17</v>
      </c>
      <c r="E549" s="21">
        <v>2.699698269017E-3</v>
      </c>
    </row>
    <row r="550" spans="2:5">
      <c r="B550" s="100"/>
      <c r="C550" s="23" t="s">
        <v>226</v>
      </c>
      <c r="D550" s="70">
        <v>3</v>
      </c>
      <c r="E550" s="21">
        <v>4.7641734159099998E-4</v>
      </c>
    </row>
    <row r="551" spans="2:5">
      <c r="B551" s="100"/>
      <c r="C551" s="23" t="s">
        <v>228</v>
      </c>
      <c r="D551" s="70">
        <v>1</v>
      </c>
      <c r="E551" s="21">
        <v>1.5880578052999999E-4</v>
      </c>
    </row>
    <row r="552" spans="2:5">
      <c r="B552" s="100"/>
      <c r="C552" s="23" t="s">
        <v>233</v>
      </c>
      <c r="D552" s="70">
        <v>1</v>
      </c>
      <c r="E552" s="21">
        <v>1.5880578052999999E-4</v>
      </c>
    </row>
    <row r="553" spans="2:5">
      <c r="B553" s="100"/>
      <c r="C553" s="23" t="s">
        <v>196</v>
      </c>
      <c r="D553" s="70">
        <v>2</v>
      </c>
      <c r="E553" s="21">
        <v>3.1761156106099999E-4</v>
      </c>
    </row>
    <row r="554" spans="2:5">
      <c r="B554" s="100"/>
      <c r="C554" s="23" t="s">
        <v>58</v>
      </c>
      <c r="D554" s="70">
        <v>7</v>
      </c>
      <c r="E554" s="21">
        <v>1.111640463713E-3</v>
      </c>
    </row>
    <row r="555" spans="2:5">
      <c r="B555" s="100"/>
      <c r="C555" s="23" t="s">
        <v>239</v>
      </c>
      <c r="D555" s="70">
        <v>1</v>
      </c>
      <c r="E555" s="21">
        <v>1.5880578052999999E-4</v>
      </c>
    </row>
    <row r="556" spans="2:5">
      <c r="B556" s="100"/>
      <c r="C556" s="23" t="s">
        <v>241</v>
      </c>
      <c r="D556" s="70">
        <v>1</v>
      </c>
      <c r="E556" s="21">
        <v>1.5880578052999999E-4</v>
      </c>
    </row>
    <row r="557" spans="2:5">
      <c r="B557" s="100"/>
      <c r="C557" s="23" t="s">
        <v>246</v>
      </c>
      <c r="D557" s="70">
        <v>3</v>
      </c>
      <c r="E557" s="21">
        <v>4.7641734159099998E-4</v>
      </c>
    </row>
    <row r="558" spans="2:5">
      <c r="B558" s="100"/>
      <c r="C558" s="73" t="s">
        <v>29</v>
      </c>
      <c r="D558" s="74">
        <v>63</v>
      </c>
      <c r="E558" s="75">
        <v>1.0004764173416E-2</v>
      </c>
    </row>
    <row r="559" spans="2:5">
      <c r="B559" s="100" t="s">
        <v>60</v>
      </c>
      <c r="C559" s="23" t="s">
        <v>198</v>
      </c>
      <c r="D559" s="70">
        <v>1</v>
      </c>
      <c r="E559" s="21">
        <v>1.5880578052999999E-4</v>
      </c>
    </row>
    <row r="560" spans="2:5">
      <c r="B560" s="100"/>
      <c r="C560" s="23" t="s">
        <v>199</v>
      </c>
      <c r="D560" s="70">
        <v>2</v>
      </c>
      <c r="E560" s="21">
        <v>3.1761156106099999E-4</v>
      </c>
    </row>
    <row r="561" spans="2:5">
      <c r="B561" s="100"/>
      <c r="C561" s="23" t="s">
        <v>205</v>
      </c>
      <c r="D561" s="70">
        <v>1</v>
      </c>
      <c r="E561" s="21">
        <v>1.5880578052999999E-4</v>
      </c>
    </row>
    <row r="562" spans="2:5">
      <c r="B562" s="100"/>
      <c r="C562" s="23" t="s">
        <v>213</v>
      </c>
      <c r="D562" s="70">
        <v>2</v>
      </c>
      <c r="E562" s="21">
        <v>3.1761156106099999E-4</v>
      </c>
    </row>
    <row r="563" spans="2:5">
      <c r="B563" s="100"/>
      <c r="C563" s="23" t="s">
        <v>194</v>
      </c>
      <c r="D563" s="70">
        <v>23</v>
      </c>
      <c r="E563" s="21">
        <v>3.6525329521990002E-3</v>
      </c>
    </row>
    <row r="564" spans="2:5">
      <c r="B564" s="100"/>
      <c r="C564" s="23" t="s">
        <v>214</v>
      </c>
      <c r="D564" s="70">
        <v>1</v>
      </c>
      <c r="E564" s="21">
        <v>1.5880578052999999E-4</v>
      </c>
    </row>
    <row r="565" spans="2:5">
      <c r="B565" s="100"/>
      <c r="C565" s="23" t="s">
        <v>219</v>
      </c>
      <c r="D565" s="70">
        <v>1</v>
      </c>
      <c r="E565" s="21">
        <v>1.5880578052999999E-4</v>
      </c>
    </row>
    <row r="566" spans="2:5">
      <c r="B566" s="100"/>
      <c r="C566" s="23" t="s">
        <v>220</v>
      </c>
      <c r="D566" s="70">
        <v>2</v>
      </c>
      <c r="E566" s="21">
        <v>3.1761156106099999E-4</v>
      </c>
    </row>
    <row r="567" spans="2:5">
      <c r="B567" s="100"/>
      <c r="C567" s="23" t="s">
        <v>224</v>
      </c>
      <c r="D567" s="70">
        <v>8</v>
      </c>
      <c r="E567" s="21">
        <v>1.2704462442429999E-3</v>
      </c>
    </row>
    <row r="568" spans="2:5">
      <c r="B568" s="100"/>
      <c r="C568" s="23" t="s">
        <v>195</v>
      </c>
      <c r="D568" s="70">
        <v>26</v>
      </c>
      <c r="E568" s="21">
        <v>4.1289502937910004E-3</v>
      </c>
    </row>
    <row r="569" spans="2:5">
      <c r="B569" s="100"/>
      <c r="C569" s="23" t="s">
        <v>233</v>
      </c>
      <c r="D569" s="70">
        <v>1</v>
      </c>
      <c r="E569" s="21">
        <v>1.5880578052999999E-4</v>
      </c>
    </row>
    <row r="570" spans="2:5">
      <c r="B570" s="100"/>
      <c r="C570" s="23" t="s">
        <v>196</v>
      </c>
      <c r="D570" s="70">
        <v>8</v>
      </c>
      <c r="E570" s="21">
        <v>1.2704462442429999E-3</v>
      </c>
    </row>
    <row r="571" spans="2:5">
      <c r="B571" s="100"/>
      <c r="C571" s="23" t="s">
        <v>58</v>
      </c>
      <c r="D571" s="70">
        <v>6</v>
      </c>
      <c r="E571" s="21">
        <v>9.5283468318199996E-4</v>
      </c>
    </row>
    <row r="572" spans="2:5">
      <c r="B572" s="100"/>
      <c r="C572" s="23" t="s">
        <v>240</v>
      </c>
      <c r="D572" s="70">
        <v>2</v>
      </c>
      <c r="E572" s="21">
        <v>3.1761156106099999E-4</v>
      </c>
    </row>
    <row r="573" spans="2:5">
      <c r="B573" s="100"/>
      <c r="C573" s="23" t="s">
        <v>244</v>
      </c>
      <c r="D573" s="70">
        <v>1</v>
      </c>
      <c r="E573" s="21">
        <v>1.5880578052999999E-4</v>
      </c>
    </row>
    <row r="574" spans="2:5">
      <c r="B574" s="100"/>
      <c r="C574" s="23" t="s">
        <v>246</v>
      </c>
      <c r="D574" s="70">
        <v>20</v>
      </c>
      <c r="E574" s="21">
        <v>3.1761156106080001E-3</v>
      </c>
    </row>
    <row r="575" spans="2:5">
      <c r="B575" s="100"/>
      <c r="C575" s="23" t="s">
        <v>64</v>
      </c>
      <c r="D575" s="70">
        <v>2</v>
      </c>
      <c r="E575" s="21">
        <v>3.1761156106099999E-4</v>
      </c>
    </row>
    <row r="576" spans="2:5">
      <c r="B576" s="100"/>
      <c r="C576" s="23" t="s">
        <v>259</v>
      </c>
      <c r="D576" s="70">
        <v>1</v>
      </c>
      <c r="E576" s="21">
        <v>1.5880578052999999E-4</v>
      </c>
    </row>
    <row r="577" spans="2:5">
      <c r="B577" s="100"/>
      <c r="C577" s="73" t="s">
        <v>29</v>
      </c>
      <c r="D577" s="74">
        <v>108</v>
      </c>
      <c r="E577" s="75">
        <v>1.7151024297284E-2</v>
      </c>
    </row>
    <row r="578" spans="2:5">
      <c r="B578" s="100" t="s">
        <v>75</v>
      </c>
      <c r="C578" s="23" t="s">
        <v>213</v>
      </c>
      <c r="D578" s="70">
        <v>1</v>
      </c>
      <c r="E578" s="21">
        <v>1.5880578052999999E-4</v>
      </c>
    </row>
    <row r="579" spans="2:5">
      <c r="B579" s="100"/>
      <c r="C579" s="23" t="s">
        <v>194</v>
      </c>
      <c r="D579" s="70">
        <v>14</v>
      </c>
      <c r="E579" s="21">
        <v>2.2232809274259999E-3</v>
      </c>
    </row>
    <row r="580" spans="2:5">
      <c r="B580" s="100"/>
      <c r="C580" s="23" t="s">
        <v>214</v>
      </c>
      <c r="D580" s="70">
        <v>1</v>
      </c>
      <c r="E580" s="21">
        <v>1.5880578052999999E-4</v>
      </c>
    </row>
    <row r="581" spans="2:5">
      <c r="B581" s="100"/>
      <c r="C581" s="23" t="s">
        <v>220</v>
      </c>
      <c r="D581" s="70">
        <v>1</v>
      </c>
      <c r="E581" s="21">
        <v>1.5880578052999999E-4</v>
      </c>
    </row>
    <row r="582" spans="2:5">
      <c r="B582" s="100"/>
      <c r="C582" s="23" t="s">
        <v>224</v>
      </c>
      <c r="D582" s="70">
        <v>1</v>
      </c>
      <c r="E582" s="21">
        <v>1.5880578052999999E-4</v>
      </c>
    </row>
    <row r="583" spans="2:5">
      <c r="B583" s="100"/>
      <c r="C583" s="23" t="s">
        <v>195</v>
      </c>
      <c r="D583" s="70">
        <v>4</v>
      </c>
      <c r="E583" s="21">
        <v>6.3522312212199999E-4</v>
      </c>
    </row>
    <row r="584" spans="2:5">
      <c r="B584" s="100"/>
      <c r="C584" s="23" t="s">
        <v>234</v>
      </c>
      <c r="D584" s="70">
        <v>3</v>
      </c>
      <c r="E584" s="21">
        <v>4.7641734159099998E-4</v>
      </c>
    </row>
    <row r="585" spans="2:5">
      <c r="B585" s="100"/>
      <c r="C585" s="23" t="s">
        <v>196</v>
      </c>
      <c r="D585" s="70">
        <v>3</v>
      </c>
      <c r="E585" s="21">
        <v>4.7641734159099998E-4</v>
      </c>
    </row>
    <row r="586" spans="2:5">
      <c r="B586" s="100"/>
      <c r="C586" s="23" t="s">
        <v>58</v>
      </c>
      <c r="D586" s="70">
        <v>2</v>
      </c>
      <c r="E586" s="21">
        <v>3.1761156106099999E-4</v>
      </c>
    </row>
    <row r="587" spans="2:5">
      <c r="B587" s="100"/>
      <c r="C587" s="23" t="s">
        <v>240</v>
      </c>
      <c r="D587" s="70">
        <v>2</v>
      </c>
      <c r="E587" s="21">
        <v>3.1761156106099999E-4</v>
      </c>
    </row>
    <row r="588" spans="2:5">
      <c r="B588" s="100"/>
      <c r="C588" s="23" t="s">
        <v>246</v>
      </c>
      <c r="D588" s="70">
        <v>1</v>
      </c>
      <c r="E588" s="21">
        <v>1.5880578052999999E-4</v>
      </c>
    </row>
    <row r="589" spans="2:5">
      <c r="B589" s="100"/>
      <c r="C589" s="23" t="s">
        <v>259</v>
      </c>
      <c r="D589" s="70">
        <v>1</v>
      </c>
      <c r="E589" s="21">
        <v>1.5880578052999999E-4</v>
      </c>
    </row>
    <row r="590" spans="2:5">
      <c r="B590" s="100"/>
      <c r="C590" s="73" t="s">
        <v>29</v>
      </c>
      <c r="D590" s="74">
        <v>34</v>
      </c>
      <c r="E590" s="75">
        <v>5.399396538034E-3</v>
      </c>
    </row>
    <row r="591" spans="2:5">
      <c r="B591" s="100" t="s">
        <v>66</v>
      </c>
      <c r="C591" s="23" t="s">
        <v>198</v>
      </c>
      <c r="D591" s="70">
        <v>6</v>
      </c>
      <c r="E591" s="21">
        <v>9.5283468318199996E-4</v>
      </c>
    </row>
    <row r="592" spans="2:5">
      <c r="B592" s="100"/>
      <c r="C592" s="23" t="s">
        <v>199</v>
      </c>
      <c r="D592" s="70">
        <v>1</v>
      </c>
      <c r="E592" s="21">
        <v>1.5880578052999999E-4</v>
      </c>
    </row>
    <row r="593" spans="2:5">
      <c r="B593" s="100"/>
      <c r="C593" s="23" t="s">
        <v>205</v>
      </c>
      <c r="D593" s="70">
        <v>2</v>
      </c>
      <c r="E593" s="21">
        <v>3.1761156106099999E-4</v>
      </c>
    </row>
    <row r="594" spans="2:5">
      <c r="B594" s="100"/>
      <c r="C594" s="23" t="s">
        <v>208</v>
      </c>
      <c r="D594" s="70">
        <v>3</v>
      </c>
      <c r="E594" s="21">
        <v>4.7641734159099998E-4</v>
      </c>
    </row>
    <row r="595" spans="2:5">
      <c r="B595" s="100"/>
      <c r="C595" s="23" t="s">
        <v>212</v>
      </c>
      <c r="D595" s="70">
        <v>1</v>
      </c>
      <c r="E595" s="21">
        <v>1.5880578052999999E-4</v>
      </c>
    </row>
    <row r="596" spans="2:5">
      <c r="B596" s="100"/>
      <c r="C596" s="23" t="s">
        <v>213</v>
      </c>
      <c r="D596" s="70">
        <v>3</v>
      </c>
      <c r="E596" s="21">
        <v>4.7641734159099998E-4</v>
      </c>
    </row>
    <row r="597" spans="2:5">
      <c r="B597" s="100"/>
      <c r="C597" s="23" t="s">
        <v>194</v>
      </c>
      <c r="D597" s="70">
        <v>18</v>
      </c>
      <c r="E597" s="21">
        <v>2.8585040495470002E-3</v>
      </c>
    </row>
    <row r="598" spans="2:5">
      <c r="B598" s="100"/>
      <c r="C598" s="23" t="s">
        <v>214</v>
      </c>
      <c r="D598" s="70">
        <v>1</v>
      </c>
      <c r="E598" s="21">
        <v>1.5880578052999999E-4</v>
      </c>
    </row>
    <row r="599" spans="2:5">
      <c r="B599" s="100"/>
      <c r="C599" s="23" t="s">
        <v>224</v>
      </c>
      <c r="D599" s="70">
        <v>9</v>
      </c>
      <c r="E599" s="21">
        <v>1.4292520247739999E-3</v>
      </c>
    </row>
    <row r="600" spans="2:5">
      <c r="B600" s="100"/>
      <c r="C600" s="23" t="s">
        <v>195</v>
      </c>
      <c r="D600" s="70">
        <v>17</v>
      </c>
      <c r="E600" s="21">
        <v>2.699698269017E-3</v>
      </c>
    </row>
    <row r="601" spans="2:5">
      <c r="B601" s="100"/>
      <c r="C601" s="23" t="s">
        <v>226</v>
      </c>
      <c r="D601" s="70">
        <v>2</v>
      </c>
      <c r="E601" s="21">
        <v>3.1761156106099999E-4</v>
      </c>
    </row>
    <row r="602" spans="2:5">
      <c r="B602" s="100"/>
      <c r="C602" s="23" t="s">
        <v>234</v>
      </c>
      <c r="D602" s="70">
        <v>3</v>
      </c>
      <c r="E602" s="21">
        <v>4.7641734159099998E-4</v>
      </c>
    </row>
    <row r="603" spans="2:5">
      <c r="B603" s="100"/>
      <c r="C603" s="23" t="s">
        <v>196</v>
      </c>
      <c r="D603" s="70">
        <v>4</v>
      </c>
      <c r="E603" s="21">
        <v>6.3522312212199999E-4</v>
      </c>
    </row>
    <row r="604" spans="2:5">
      <c r="B604" s="100"/>
      <c r="C604" s="23" t="s">
        <v>58</v>
      </c>
      <c r="D604" s="70">
        <v>4</v>
      </c>
      <c r="E604" s="21">
        <v>6.3522312212199999E-4</v>
      </c>
    </row>
    <row r="605" spans="2:5">
      <c r="B605" s="100"/>
      <c r="C605" s="23" t="s">
        <v>240</v>
      </c>
      <c r="D605" s="70">
        <v>1</v>
      </c>
      <c r="E605" s="21">
        <v>1.5880578052999999E-4</v>
      </c>
    </row>
    <row r="606" spans="2:5">
      <c r="B606" s="100"/>
      <c r="C606" s="23" t="s">
        <v>244</v>
      </c>
      <c r="D606" s="70">
        <v>4</v>
      </c>
      <c r="E606" s="21">
        <v>6.3522312212199999E-4</v>
      </c>
    </row>
    <row r="607" spans="2:5">
      <c r="B607" s="100"/>
      <c r="C607" s="23" t="s">
        <v>246</v>
      </c>
      <c r="D607" s="70">
        <v>1</v>
      </c>
      <c r="E607" s="21">
        <v>1.5880578052999999E-4</v>
      </c>
    </row>
    <row r="608" spans="2:5">
      <c r="B608" s="100"/>
      <c r="C608" s="23" t="s">
        <v>64</v>
      </c>
      <c r="D608" s="70">
        <v>1</v>
      </c>
      <c r="E608" s="21">
        <v>1.5880578052999999E-4</v>
      </c>
    </row>
    <row r="609" spans="2:5">
      <c r="B609" s="100"/>
      <c r="C609" s="23" t="s">
        <v>252</v>
      </c>
      <c r="D609" s="70">
        <v>1</v>
      </c>
      <c r="E609" s="21">
        <v>1.5880578052999999E-4</v>
      </c>
    </row>
    <row r="610" spans="2:5">
      <c r="B610" s="100"/>
      <c r="C610" s="73" t="s">
        <v>29</v>
      </c>
      <c r="D610" s="74">
        <v>82</v>
      </c>
      <c r="E610" s="75">
        <v>1.3022074003494E-2</v>
      </c>
    </row>
    <row r="611" spans="2:5">
      <c r="B611" s="100" t="s">
        <v>86</v>
      </c>
      <c r="C611" s="23" t="s">
        <v>199</v>
      </c>
      <c r="D611" s="70">
        <v>1</v>
      </c>
      <c r="E611" s="21">
        <v>1.5880578052999999E-4</v>
      </c>
    </row>
    <row r="612" spans="2:5">
      <c r="B612" s="100"/>
      <c r="C612" s="23" t="s">
        <v>194</v>
      </c>
      <c r="D612" s="70">
        <v>4</v>
      </c>
      <c r="E612" s="21">
        <v>6.3522312212199999E-4</v>
      </c>
    </row>
    <row r="613" spans="2:5">
      <c r="B613" s="100"/>
      <c r="C613" s="23" t="s">
        <v>220</v>
      </c>
      <c r="D613" s="70">
        <v>1</v>
      </c>
      <c r="E613" s="21">
        <v>1.5880578052999999E-4</v>
      </c>
    </row>
    <row r="614" spans="2:5">
      <c r="B614" s="100"/>
      <c r="C614" s="23" t="s">
        <v>224</v>
      </c>
      <c r="D614" s="70">
        <v>2</v>
      </c>
      <c r="E614" s="21">
        <v>3.1761156106099999E-4</v>
      </c>
    </row>
    <row r="615" spans="2:5">
      <c r="B615" s="100"/>
      <c r="C615" s="23" t="s">
        <v>195</v>
      </c>
      <c r="D615" s="70">
        <v>6</v>
      </c>
      <c r="E615" s="21">
        <v>9.5283468318199996E-4</v>
      </c>
    </row>
    <row r="616" spans="2:5">
      <c r="B616" s="100"/>
      <c r="C616" s="23" t="s">
        <v>196</v>
      </c>
      <c r="D616" s="70">
        <v>1</v>
      </c>
      <c r="E616" s="21">
        <v>1.5880578052999999E-4</v>
      </c>
    </row>
    <row r="617" spans="2:5">
      <c r="B617" s="100"/>
      <c r="C617" s="23" t="s">
        <v>58</v>
      </c>
      <c r="D617" s="70">
        <v>2</v>
      </c>
      <c r="E617" s="21">
        <v>3.1761156106099999E-4</v>
      </c>
    </row>
    <row r="618" spans="2:5">
      <c r="B618" s="100"/>
      <c r="C618" s="23" t="s">
        <v>240</v>
      </c>
      <c r="D618" s="70">
        <v>1</v>
      </c>
      <c r="E618" s="21">
        <v>1.5880578052999999E-4</v>
      </c>
    </row>
    <row r="619" spans="2:5">
      <c r="B619" s="100"/>
      <c r="C619" s="23" t="s">
        <v>246</v>
      </c>
      <c r="D619" s="70">
        <v>1</v>
      </c>
      <c r="E619" s="21">
        <v>1.5880578052999999E-4</v>
      </c>
    </row>
    <row r="620" spans="2:5">
      <c r="B620" s="100"/>
      <c r="C620" s="73" t="s">
        <v>29</v>
      </c>
      <c r="D620" s="74">
        <v>19</v>
      </c>
      <c r="E620" s="75">
        <v>3.017309830078E-3</v>
      </c>
    </row>
    <row r="621" spans="2:5">
      <c r="B621" s="100" t="s">
        <v>54</v>
      </c>
      <c r="C621" s="23" t="s">
        <v>199</v>
      </c>
      <c r="D621" s="70">
        <v>1</v>
      </c>
      <c r="E621" s="21">
        <v>1.5880578052999999E-4</v>
      </c>
    </row>
    <row r="622" spans="2:5">
      <c r="B622" s="100"/>
      <c r="C622" s="23" t="s">
        <v>200</v>
      </c>
      <c r="D622" s="70">
        <v>1</v>
      </c>
      <c r="E622" s="21">
        <v>1.5880578052999999E-4</v>
      </c>
    </row>
    <row r="623" spans="2:5">
      <c r="B623" s="100"/>
      <c r="C623" s="23" t="s">
        <v>202</v>
      </c>
      <c r="D623" s="70">
        <v>1</v>
      </c>
      <c r="E623" s="21">
        <v>1.5880578052999999E-4</v>
      </c>
    </row>
    <row r="624" spans="2:5">
      <c r="B624" s="100"/>
      <c r="C624" s="23" t="s">
        <v>209</v>
      </c>
      <c r="D624" s="70">
        <v>1</v>
      </c>
      <c r="E624" s="21">
        <v>1.5880578052999999E-4</v>
      </c>
    </row>
    <row r="625" spans="2:5">
      <c r="B625" s="100"/>
      <c r="C625" s="23" t="s">
        <v>212</v>
      </c>
      <c r="D625" s="70">
        <v>2</v>
      </c>
      <c r="E625" s="21">
        <v>3.1761156106099999E-4</v>
      </c>
    </row>
    <row r="626" spans="2:5">
      <c r="B626" s="100"/>
      <c r="C626" s="23" t="s">
        <v>213</v>
      </c>
      <c r="D626" s="70">
        <v>3</v>
      </c>
      <c r="E626" s="21">
        <v>4.7641734159099998E-4</v>
      </c>
    </row>
    <row r="627" spans="2:5">
      <c r="B627" s="100"/>
      <c r="C627" s="23" t="s">
        <v>194</v>
      </c>
      <c r="D627" s="70">
        <v>74</v>
      </c>
      <c r="E627" s="21">
        <v>1.175162775925E-2</v>
      </c>
    </row>
    <row r="628" spans="2:5">
      <c r="B628" s="100"/>
      <c r="C628" s="23" t="s">
        <v>215</v>
      </c>
      <c r="D628" s="70">
        <v>1</v>
      </c>
      <c r="E628" s="21">
        <v>1.5880578052999999E-4</v>
      </c>
    </row>
    <row r="629" spans="2:5">
      <c r="B629" s="100"/>
      <c r="C629" s="23" t="s">
        <v>216</v>
      </c>
      <c r="D629" s="70">
        <v>1</v>
      </c>
      <c r="E629" s="21">
        <v>1.5880578052999999E-4</v>
      </c>
    </row>
    <row r="630" spans="2:5">
      <c r="B630" s="100"/>
      <c r="C630" s="23" t="s">
        <v>219</v>
      </c>
      <c r="D630" s="70">
        <v>3</v>
      </c>
      <c r="E630" s="21">
        <v>4.7641734159099998E-4</v>
      </c>
    </row>
    <row r="631" spans="2:5">
      <c r="B631" s="100"/>
      <c r="C631" s="23" t="s">
        <v>220</v>
      </c>
      <c r="D631" s="70">
        <v>12</v>
      </c>
      <c r="E631" s="21">
        <v>1.905669366365E-3</v>
      </c>
    </row>
    <row r="632" spans="2:5">
      <c r="B632" s="100"/>
      <c r="C632" s="23" t="s">
        <v>222</v>
      </c>
      <c r="D632" s="70">
        <v>2</v>
      </c>
      <c r="E632" s="21">
        <v>3.1761156106099999E-4</v>
      </c>
    </row>
    <row r="633" spans="2:5">
      <c r="B633" s="100"/>
      <c r="C633" s="23" t="s">
        <v>224</v>
      </c>
      <c r="D633" s="70">
        <v>12</v>
      </c>
      <c r="E633" s="21">
        <v>1.905669366365E-3</v>
      </c>
    </row>
    <row r="634" spans="2:5">
      <c r="B634" s="100"/>
      <c r="C634" s="23" t="s">
        <v>195</v>
      </c>
      <c r="D634" s="70">
        <v>44</v>
      </c>
      <c r="E634" s="21">
        <v>6.9874543433380001E-3</v>
      </c>
    </row>
    <row r="635" spans="2:5">
      <c r="B635" s="100"/>
      <c r="C635" s="23" t="s">
        <v>225</v>
      </c>
      <c r="D635" s="70">
        <v>1</v>
      </c>
      <c r="E635" s="21">
        <v>1.5880578052999999E-4</v>
      </c>
    </row>
    <row r="636" spans="2:5">
      <c r="B636" s="100"/>
      <c r="C636" s="23" t="s">
        <v>226</v>
      </c>
      <c r="D636" s="70">
        <v>4</v>
      </c>
      <c r="E636" s="21">
        <v>6.3522312212199999E-4</v>
      </c>
    </row>
    <row r="637" spans="2:5">
      <c r="B637" s="100"/>
      <c r="C637" s="23" t="s">
        <v>228</v>
      </c>
      <c r="D637" s="70">
        <v>1</v>
      </c>
      <c r="E637" s="21">
        <v>1.5880578052999999E-4</v>
      </c>
    </row>
    <row r="638" spans="2:5">
      <c r="B638" s="100"/>
      <c r="C638" s="23" t="s">
        <v>230</v>
      </c>
      <c r="D638" s="70">
        <v>1</v>
      </c>
      <c r="E638" s="21">
        <v>1.5880578052999999E-4</v>
      </c>
    </row>
    <row r="639" spans="2:5">
      <c r="B639" s="100"/>
      <c r="C639" s="23" t="s">
        <v>233</v>
      </c>
      <c r="D639" s="70">
        <v>1</v>
      </c>
      <c r="E639" s="21">
        <v>1.5880578052999999E-4</v>
      </c>
    </row>
    <row r="640" spans="2:5">
      <c r="B640" s="100"/>
      <c r="C640" s="23" t="s">
        <v>234</v>
      </c>
      <c r="D640" s="70">
        <v>1</v>
      </c>
      <c r="E640" s="21">
        <v>1.5880578052999999E-4</v>
      </c>
    </row>
    <row r="641" spans="2:5">
      <c r="B641" s="100"/>
      <c r="C641" s="23" t="s">
        <v>196</v>
      </c>
      <c r="D641" s="70">
        <v>18</v>
      </c>
      <c r="E641" s="21">
        <v>2.8585040495470002E-3</v>
      </c>
    </row>
    <row r="642" spans="2:5">
      <c r="B642" s="100"/>
      <c r="C642" s="23" t="s">
        <v>58</v>
      </c>
      <c r="D642" s="70">
        <v>13</v>
      </c>
      <c r="E642" s="21">
        <v>2.0644751468950001E-3</v>
      </c>
    </row>
    <row r="643" spans="2:5">
      <c r="B643" s="100"/>
      <c r="C643" s="23" t="s">
        <v>240</v>
      </c>
      <c r="D643" s="70">
        <v>5</v>
      </c>
      <c r="E643" s="21">
        <v>7.9402890265200003E-4</v>
      </c>
    </row>
    <row r="644" spans="2:5">
      <c r="B644" s="100"/>
      <c r="C644" s="23" t="s">
        <v>243</v>
      </c>
      <c r="D644" s="70">
        <v>1</v>
      </c>
      <c r="E644" s="21">
        <v>1.5880578052999999E-4</v>
      </c>
    </row>
    <row r="645" spans="2:5">
      <c r="B645" s="100"/>
      <c r="C645" s="23" t="s">
        <v>244</v>
      </c>
      <c r="D645" s="70">
        <v>2</v>
      </c>
      <c r="E645" s="21">
        <v>3.1761156106099999E-4</v>
      </c>
    </row>
    <row r="646" spans="2:5">
      <c r="B646" s="100"/>
      <c r="C646" s="23" t="s">
        <v>246</v>
      </c>
      <c r="D646" s="70">
        <v>32</v>
      </c>
      <c r="E646" s="21">
        <v>5.0817849769729997E-3</v>
      </c>
    </row>
    <row r="647" spans="2:5">
      <c r="B647" s="100"/>
      <c r="C647" s="23" t="s">
        <v>247</v>
      </c>
      <c r="D647" s="70">
        <v>1</v>
      </c>
      <c r="E647" s="21">
        <v>1.5880578052999999E-4</v>
      </c>
    </row>
    <row r="648" spans="2:5">
      <c r="B648" s="100"/>
      <c r="C648" s="23" t="s">
        <v>250</v>
      </c>
      <c r="D648" s="70">
        <v>1</v>
      </c>
      <c r="E648" s="21">
        <v>1.5880578052999999E-4</v>
      </c>
    </row>
    <row r="649" spans="2:5">
      <c r="B649" s="100"/>
      <c r="C649" s="73" t="s">
        <v>29</v>
      </c>
      <c r="D649" s="74">
        <v>240</v>
      </c>
      <c r="E649" s="75">
        <v>3.8113387327298999E-2</v>
      </c>
    </row>
    <row r="650" spans="2:5">
      <c r="B650" s="100" t="s">
        <v>62</v>
      </c>
      <c r="C650" s="23" t="s">
        <v>198</v>
      </c>
      <c r="D650" s="70">
        <v>1</v>
      </c>
      <c r="E650" s="21">
        <v>1.5880578052999999E-4</v>
      </c>
    </row>
    <row r="651" spans="2:5">
      <c r="B651" s="100"/>
      <c r="C651" s="23" t="s">
        <v>199</v>
      </c>
      <c r="D651" s="70">
        <v>1</v>
      </c>
      <c r="E651" s="21">
        <v>1.5880578052999999E-4</v>
      </c>
    </row>
    <row r="652" spans="2:5">
      <c r="B652" s="100"/>
      <c r="C652" s="23" t="s">
        <v>213</v>
      </c>
      <c r="D652" s="70">
        <v>2</v>
      </c>
      <c r="E652" s="21">
        <v>3.1761156106099999E-4</v>
      </c>
    </row>
    <row r="653" spans="2:5">
      <c r="B653" s="100"/>
      <c r="C653" s="23" t="s">
        <v>194</v>
      </c>
      <c r="D653" s="70">
        <v>34</v>
      </c>
      <c r="E653" s="21">
        <v>5.399396538034E-3</v>
      </c>
    </row>
    <row r="654" spans="2:5">
      <c r="B654" s="100"/>
      <c r="C654" s="23" t="s">
        <v>214</v>
      </c>
      <c r="D654" s="70">
        <v>1</v>
      </c>
      <c r="E654" s="21">
        <v>1.5880578052999999E-4</v>
      </c>
    </row>
    <row r="655" spans="2:5">
      <c r="B655" s="100"/>
      <c r="C655" s="23" t="s">
        <v>219</v>
      </c>
      <c r="D655" s="70">
        <v>5</v>
      </c>
      <c r="E655" s="21">
        <v>7.9402890265200003E-4</v>
      </c>
    </row>
    <row r="656" spans="2:5">
      <c r="B656" s="100"/>
      <c r="C656" s="23" t="s">
        <v>222</v>
      </c>
      <c r="D656" s="70">
        <v>1</v>
      </c>
      <c r="E656" s="21">
        <v>1.5880578052999999E-4</v>
      </c>
    </row>
    <row r="657" spans="2:5">
      <c r="B657" s="100"/>
      <c r="C657" s="23" t="s">
        <v>224</v>
      </c>
      <c r="D657" s="70">
        <v>5</v>
      </c>
      <c r="E657" s="21">
        <v>7.9402890265200003E-4</v>
      </c>
    </row>
    <row r="658" spans="2:5">
      <c r="B658" s="100"/>
      <c r="C658" s="23" t="s">
        <v>195</v>
      </c>
      <c r="D658" s="70">
        <v>14</v>
      </c>
      <c r="E658" s="21">
        <v>2.2232809274259999E-3</v>
      </c>
    </row>
    <row r="659" spans="2:5">
      <c r="B659" s="100"/>
      <c r="C659" s="23" t="s">
        <v>226</v>
      </c>
      <c r="D659" s="70">
        <v>4</v>
      </c>
      <c r="E659" s="21">
        <v>6.3522312212199999E-4</v>
      </c>
    </row>
    <row r="660" spans="2:5">
      <c r="B660" s="100"/>
      <c r="C660" s="23" t="s">
        <v>230</v>
      </c>
      <c r="D660" s="70">
        <v>2</v>
      </c>
      <c r="E660" s="21">
        <v>3.1761156106099999E-4</v>
      </c>
    </row>
    <row r="661" spans="2:5">
      <c r="B661" s="100"/>
      <c r="C661" s="23" t="s">
        <v>234</v>
      </c>
      <c r="D661" s="70">
        <v>1</v>
      </c>
      <c r="E661" s="21">
        <v>1.5880578052999999E-4</v>
      </c>
    </row>
    <row r="662" spans="2:5">
      <c r="B662" s="100"/>
      <c r="C662" s="23" t="s">
        <v>196</v>
      </c>
      <c r="D662" s="70">
        <v>20</v>
      </c>
      <c r="E662" s="21">
        <v>3.1761156106080001E-3</v>
      </c>
    </row>
    <row r="663" spans="2:5">
      <c r="B663" s="100"/>
      <c r="C663" s="23" t="s">
        <v>58</v>
      </c>
      <c r="D663" s="70">
        <v>2</v>
      </c>
      <c r="E663" s="21">
        <v>3.1761156106099999E-4</v>
      </c>
    </row>
    <row r="664" spans="2:5">
      <c r="B664" s="100"/>
      <c r="C664" s="23" t="s">
        <v>240</v>
      </c>
      <c r="D664" s="70">
        <v>1</v>
      </c>
      <c r="E664" s="21">
        <v>1.5880578052999999E-4</v>
      </c>
    </row>
    <row r="665" spans="2:5">
      <c r="B665" s="100"/>
      <c r="C665" s="23" t="s">
        <v>243</v>
      </c>
      <c r="D665" s="70">
        <v>1</v>
      </c>
      <c r="E665" s="21">
        <v>1.5880578052999999E-4</v>
      </c>
    </row>
    <row r="666" spans="2:5">
      <c r="B666" s="100"/>
      <c r="C666" s="23" t="s">
        <v>246</v>
      </c>
      <c r="D666" s="70">
        <v>5</v>
      </c>
      <c r="E666" s="21">
        <v>7.9402890265200003E-4</v>
      </c>
    </row>
    <row r="667" spans="2:5">
      <c r="B667" s="100"/>
      <c r="C667" s="23" t="s">
        <v>64</v>
      </c>
      <c r="D667" s="70">
        <v>1</v>
      </c>
      <c r="E667" s="21">
        <v>1.5880578052999999E-4</v>
      </c>
    </row>
    <row r="668" spans="2:5">
      <c r="B668" s="100"/>
      <c r="C668" s="23" t="s">
        <v>259</v>
      </c>
      <c r="D668" s="70">
        <v>1</v>
      </c>
      <c r="E668" s="21">
        <v>1.5880578052999999E-4</v>
      </c>
    </row>
    <row r="669" spans="2:5">
      <c r="B669" s="100"/>
      <c r="C669" s="73" t="s">
        <v>29</v>
      </c>
      <c r="D669" s="74">
        <v>102</v>
      </c>
      <c r="E669" s="75">
        <v>1.6198189614102E-2</v>
      </c>
    </row>
    <row r="670" spans="2:5">
      <c r="B670" s="100" t="s">
        <v>72</v>
      </c>
      <c r="C670" s="23" t="s">
        <v>198</v>
      </c>
      <c r="D670" s="70">
        <v>1</v>
      </c>
      <c r="E670" s="21">
        <v>1.5880578052999999E-4</v>
      </c>
    </row>
    <row r="671" spans="2:5">
      <c r="B671" s="100"/>
      <c r="C671" s="23" t="s">
        <v>199</v>
      </c>
      <c r="D671" s="70">
        <v>1</v>
      </c>
      <c r="E671" s="21">
        <v>1.5880578052999999E-4</v>
      </c>
    </row>
    <row r="672" spans="2:5">
      <c r="B672" s="100"/>
      <c r="C672" s="23" t="s">
        <v>213</v>
      </c>
      <c r="D672" s="70">
        <v>1</v>
      </c>
      <c r="E672" s="21">
        <v>1.5880578052999999E-4</v>
      </c>
    </row>
    <row r="673" spans="2:5">
      <c r="B673" s="100"/>
      <c r="C673" s="23" t="s">
        <v>194</v>
      </c>
      <c r="D673" s="70">
        <v>7</v>
      </c>
      <c r="E673" s="21">
        <v>1.111640463713E-3</v>
      </c>
    </row>
    <row r="674" spans="2:5">
      <c r="B674" s="100"/>
      <c r="C674" s="23" t="s">
        <v>219</v>
      </c>
      <c r="D674" s="70">
        <v>1</v>
      </c>
      <c r="E674" s="21">
        <v>1.5880578052999999E-4</v>
      </c>
    </row>
    <row r="675" spans="2:5">
      <c r="B675" s="100"/>
      <c r="C675" s="23" t="s">
        <v>220</v>
      </c>
      <c r="D675" s="70">
        <v>4</v>
      </c>
      <c r="E675" s="21">
        <v>6.3522312212199999E-4</v>
      </c>
    </row>
    <row r="676" spans="2:5">
      <c r="B676" s="100"/>
      <c r="C676" s="23" t="s">
        <v>224</v>
      </c>
      <c r="D676" s="70">
        <v>6</v>
      </c>
      <c r="E676" s="21">
        <v>9.5283468318199996E-4</v>
      </c>
    </row>
    <row r="677" spans="2:5">
      <c r="B677" s="100"/>
      <c r="C677" s="23" t="s">
        <v>195</v>
      </c>
      <c r="D677" s="70">
        <v>6</v>
      </c>
      <c r="E677" s="21">
        <v>9.5283468318199996E-4</v>
      </c>
    </row>
    <row r="678" spans="2:5">
      <c r="B678" s="100"/>
      <c r="C678" s="23" t="s">
        <v>226</v>
      </c>
      <c r="D678" s="70">
        <v>1</v>
      </c>
      <c r="E678" s="21">
        <v>1.5880578052999999E-4</v>
      </c>
    </row>
    <row r="679" spans="2:5">
      <c r="B679" s="100"/>
      <c r="C679" s="23" t="s">
        <v>196</v>
      </c>
      <c r="D679" s="70">
        <v>7</v>
      </c>
      <c r="E679" s="21">
        <v>1.111640463713E-3</v>
      </c>
    </row>
    <row r="680" spans="2:5">
      <c r="B680" s="100"/>
      <c r="C680" s="23" t="s">
        <v>58</v>
      </c>
      <c r="D680" s="70">
        <v>4</v>
      </c>
      <c r="E680" s="21">
        <v>6.3522312212199999E-4</v>
      </c>
    </row>
    <row r="681" spans="2:5">
      <c r="B681" s="100"/>
      <c r="C681" s="23" t="s">
        <v>240</v>
      </c>
      <c r="D681" s="70">
        <v>1</v>
      </c>
      <c r="E681" s="21">
        <v>1.5880578052999999E-4</v>
      </c>
    </row>
    <row r="682" spans="2:5">
      <c r="B682" s="100"/>
      <c r="C682" s="23" t="s">
        <v>241</v>
      </c>
      <c r="D682" s="70">
        <v>1</v>
      </c>
      <c r="E682" s="21">
        <v>1.5880578052999999E-4</v>
      </c>
    </row>
    <row r="683" spans="2:5">
      <c r="B683" s="100"/>
      <c r="C683" s="23" t="s">
        <v>245</v>
      </c>
      <c r="D683" s="70">
        <v>1</v>
      </c>
      <c r="E683" s="21">
        <v>1.5880578052999999E-4</v>
      </c>
    </row>
    <row r="684" spans="2:5">
      <c r="B684" s="100"/>
      <c r="C684" s="23" t="s">
        <v>246</v>
      </c>
      <c r="D684" s="70">
        <v>4</v>
      </c>
      <c r="E684" s="21">
        <v>6.3522312212199999E-4</v>
      </c>
    </row>
    <row r="685" spans="2:5">
      <c r="B685" s="100"/>
      <c r="C685" s="23" t="s">
        <v>247</v>
      </c>
      <c r="D685" s="70">
        <v>3</v>
      </c>
      <c r="E685" s="21">
        <v>4.7641734159099998E-4</v>
      </c>
    </row>
    <row r="686" spans="2:5">
      <c r="B686" s="100"/>
      <c r="C686" s="23" t="s">
        <v>64</v>
      </c>
      <c r="D686" s="70">
        <v>1</v>
      </c>
      <c r="E686" s="21">
        <v>1.5880578052999999E-4</v>
      </c>
    </row>
    <row r="687" spans="2:5">
      <c r="B687" s="100"/>
      <c r="C687" s="23" t="s">
        <v>259</v>
      </c>
      <c r="D687" s="70">
        <v>1</v>
      </c>
      <c r="E687" s="21">
        <v>1.5880578052999999E-4</v>
      </c>
    </row>
    <row r="688" spans="2:5">
      <c r="B688" s="100"/>
      <c r="C688" s="73" t="s">
        <v>29</v>
      </c>
      <c r="D688" s="74">
        <v>51</v>
      </c>
      <c r="E688" s="75">
        <v>8.0990948070510001E-3</v>
      </c>
    </row>
    <row r="689" spans="2:5">
      <c r="B689" s="100" t="s">
        <v>63</v>
      </c>
      <c r="C689" s="23" t="s">
        <v>197</v>
      </c>
      <c r="D689" s="70">
        <v>1</v>
      </c>
      <c r="E689" s="21">
        <v>1.5880578052999999E-4</v>
      </c>
    </row>
    <row r="690" spans="2:5">
      <c r="B690" s="100"/>
      <c r="C690" s="23" t="s">
        <v>198</v>
      </c>
      <c r="D690" s="70">
        <v>3</v>
      </c>
      <c r="E690" s="21">
        <v>4.7641734159099998E-4</v>
      </c>
    </row>
    <row r="691" spans="2:5">
      <c r="B691" s="100"/>
      <c r="C691" s="23" t="s">
        <v>199</v>
      </c>
      <c r="D691" s="70">
        <v>1</v>
      </c>
      <c r="E691" s="21">
        <v>1.5880578052999999E-4</v>
      </c>
    </row>
    <row r="692" spans="2:5">
      <c r="B692" s="100"/>
      <c r="C692" s="23" t="s">
        <v>212</v>
      </c>
      <c r="D692" s="70">
        <v>3</v>
      </c>
      <c r="E692" s="21">
        <v>4.7641734159099998E-4</v>
      </c>
    </row>
    <row r="693" spans="2:5">
      <c r="B693" s="100"/>
      <c r="C693" s="23" t="s">
        <v>213</v>
      </c>
      <c r="D693" s="70">
        <v>3</v>
      </c>
      <c r="E693" s="21">
        <v>4.7641734159099998E-4</v>
      </c>
    </row>
    <row r="694" spans="2:5">
      <c r="B694" s="100"/>
      <c r="C694" s="23" t="s">
        <v>194</v>
      </c>
      <c r="D694" s="70">
        <v>27</v>
      </c>
      <c r="E694" s="21">
        <v>4.2877560743210001E-3</v>
      </c>
    </row>
    <row r="695" spans="2:5">
      <c r="B695" s="100"/>
      <c r="C695" s="23" t="s">
        <v>219</v>
      </c>
      <c r="D695" s="70">
        <v>2</v>
      </c>
      <c r="E695" s="21">
        <v>3.1761156106099999E-4</v>
      </c>
    </row>
    <row r="696" spans="2:5">
      <c r="B696" s="100"/>
      <c r="C696" s="23" t="s">
        <v>224</v>
      </c>
      <c r="D696" s="70">
        <v>4</v>
      </c>
      <c r="E696" s="21">
        <v>6.3522312212199999E-4</v>
      </c>
    </row>
    <row r="697" spans="2:5">
      <c r="B697" s="100"/>
      <c r="C697" s="23" t="s">
        <v>195</v>
      </c>
      <c r="D697" s="70">
        <v>19</v>
      </c>
      <c r="E697" s="21">
        <v>3.017309830078E-3</v>
      </c>
    </row>
    <row r="698" spans="2:5">
      <c r="B698" s="100"/>
      <c r="C698" s="23" t="s">
        <v>225</v>
      </c>
      <c r="D698" s="70">
        <v>1</v>
      </c>
      <c r="E698" s="21">
        <v>1.5880578052999999E-4</v>
      </c>
    </row>
    <row r="699" spans="2:5">
      <c r="B699" s="100"/>
      <c r="C699" s="23" t="s">
        <v>226</v>
      </c>
      <c r="D699" s="70">
        <v>2</v>
      </c>
      <c r="E699" s="21">
        <v>3.1761156106099999E-4</v>
      </c>
    </row>
    <row r="700" spans="2:5">
      <c r="B700" s="100"/>
      <c r="C700" s="23" t="s">
        <v>233</v>
      </c>
      <c r="D700" s="70">
        <v>1</v>
      </c>
      <c r="E700" s="21">
        <v>1.5880578052999999E-4</v>
      </c>
    </row>
    <row r="701" spans="2:5">
      <c r="B701" s="100"/>
      <c r="C701" s="23" t="s">
        <v>234</v>
      </c>
      <c r="D701" s="70">
        <v>1</v>
      </c>
      <c r="E701" s="21">
        <v>1.5880578052999999E-4</v>
      </c>
    </row>
    <row r="702" spans="2:5">
      <c r="B702" s="100"/>
      <c r="C702" s="23" t="s">
        <v>196</v>
      </c>
      <c r="D702" s="70">
        <v>8</v>
      </c>
      <c r="E702" s="21">
        <v>1.2704462442429999E-3</v>
      </c>
    </row>
    <row r="703" spans="2:5">
      <c r="B703" s="100"/>
      <c r="C703" s="23" t="s">
        <v>58</v>
      </c>
      <c r="D703" s="70">
        <v>4</v>
      </c>
      <c r="E703" s="21">
        <v>6.3522312212199999E-4</v>
      </c>
    </row>
    <row r="704" spans="2:5">
      <c r="B704" s="100"/>
      <c r="C704" s="23" t="s">
        <v>238</v>
      </c>
      <c r="D704" s="70">
        <v>1</v>
      </c>
      <c r="E704" s="21">
        <v>1.5880578052999999E-4</v>
      </c>
    </row>
    <row r="705" spans="2:5">
      <c r="B705" s="100"/>
      <c r="C705" s="23" t="s">
        <v>240</v>
      </c>
      <c r="D705" s="70">
        <v>1</v>
      </c>
      <c r="E705" s="21">
        <v>1.5880578052999999E-4</v>
      </c>
    </row>
    <row r="706" spans="2:5">
      <c r="B706" s="100"/>
      <c r="C706" s="23" t="s">
        <v>245</v>
      </c>
      <c r="D706" s="70">
        <v>1</v>
      </c>
      <c r="E706" s="21">
        <v>1.5880578052999999E-4</v>
      </c>
    </row>
    <row r="707" spans="2:5">
      <c r="B707" s="100"/>
      <c r="C707" s="23" t="s">
        <v>246</v>
      </c>
      <c r="D707" s="70">
        <v>14</v>
      </c>
      <c r="E707" s="21">
        <v>2.2232809274259999E-3</v>
      </c>
    </row>
    <row r="708" spans="2:5">
      <c r="B708" s="100"/>
      <c r="C708" s="23" t="s">
        <v>247</v>
      </c>
      <c r="D708" s="70">
        <v>2</v>
      </c>
      <c r="E708" s="21">
        <v>3.1761156106099999E-4</v>
      </c>
    </row>
    <row r="709" spans="2:5">
      <c r="B709" s="100"/>
      <c r="C709" s="23" t="s">
        <v>64</v>
      </c>
      <c r="D709" s="70">
        <v>1</v>
      </c>
      <c r="E709" s="21">
        <v>1.5880578052999999E-4</v>
      </c>
    </row>
    <row r="710" spans="2:5">
      <c r="B710" s="100"/>
      <c r="C710" s="73" t="s">
        <v>29</v>
      </c>
      <c r="D710" s="74">
        <v>100</v>
      </c>
      <c r="E710" s="75">
        <v>1.5880578053041002E-2</v>
      </c>
    </row>
    <row r="711" spans="2:5">
      <c r="B711" s="100" t="s">
        <v>64</v>
      </c>
      <c r="C711" s="23" t="s">
        <v>198</v>
      </c>
      <c r="D711" s="70">
        <v>2</v>
      </c>
      <c r="E711" s="21">
        <v>3.1761156106099999E-4</v>
      </c>
    </row>
    <row r="712" spans="2:5">
      <c r="B712" s="100"/>
      <c r="C712" s="23" t="s">
        <v>199</v>
      </c>
      <c r="D712" s="70">
        <v>1</v>
      </c>
      <c r="E712" s="21">
        <v>1.5880578052999999E-4</v>
      </c>
    </row>
    <row r="713" spans="2:5">
      <c r="B713" s="100"/>
      <c r="C713" s="23" t="s">
        <v>210</v>
      </c>
      <c r="D713" s="70">
        <v>1</v>
      </c>
      <c r="E713" s="21">
        <v>1.5880578052999999E-4</v>
      </c>
    </row>
    <row r="714" spans="2:5">
      <c r="B714" s="100"/>
      <c r="C714" s="23" t="s">
        <v>213</v>
      </c>
      <c r="D714" s="70">
        <v>5</v>
      </c>
      <c r="E714" s="21">
        <v>7.9402890265200003E-4</v>
      </c>
    </row>
    <row r="715" spans="2:5">
      <c r="B715" s="100"/>
      <c r="C715" s="23" t="s">
        <v>194</v>
      </c>
      <c r="D715" s="70">
        <v>22</v>
      </c>
      <c r="E715" s="21">
        <v>3.4937271716690001E-3</v>
      </c>
    </row>
    <row r="716" spans="2:5">
      <c r="B716" s="100"/>
      <c r="C716" s="23" t="s">
        <v>217</v>
      </c>
      <c r="D716" s="70">
        <v>2</v>
      </c>
      <c r="E716" s="21">
        <v>3.1761156106099999E-4</v>
      </c>
    </row>
    <row r="717" spans="2:5">
      <c r="B717" s="100"/>
      <c r="C717" s="23" t="s">
        <v>220</v>
      </c>
      <c r="D717" s="70">
        <v>1</v>
      </c>
      <c r="E717" s="21">
        <v>1.5880578052999999E-4</v>
      </c>
    </row>
    <row r="718" spans="2:5">
      <c r="B718" s="100"/>
      <c r="C718" s="23" t="s">
        <v>224</v>
      </c>
      <c r="D718" s="70">
        <v>11</v>
      </c>
      <c r="E718" s="21">
        <v>1.7468635858350001E-3</v>
      </c>
    </row>
    <row r="719" spans="2:5">
      <c r="B719" s="100"/>
      <c r="C719" s="23" t="s">
        <v>195</v>
      </c>
      <c r="D719" s="70">
        <v>13</v>
      </c>
      <c r="E719" s="21">
        <v>2.0644751468950001E-3</v>
      </c>
    </row>
    <row r="720" spans="2:5">
      <c r="B720" s="100"/>
      <c r="C720" s="23" t="s">
        <v>226</v>
      </c>
      <c r="D720" s="70">
        <v>6</v>
      </c>
      <c r="E720" s="21">
        <v>9.5283468318199996E-4</v>
      </c>
    </row>
    <row r="721" spans="2:5">
      <c r="B721" s="100"/>
      <c r="C721" s="23" t="s">
        <v>233</v>
      </c>
      <c r="D721" s="70">
        <v>1</v>
      </c>
      <c r="E721" s="21">
        <v>1.5880578052999999E-4</v>
      </c>
    </row>
    <row r="722" spans="2:5">
      <c r="B722" s="100"/>
      <c r="C722" s="23" t="s">
        <v>196</v>
      </c>
      <c r="D722" s="70">
        <v>10</v>
      </c>
      <c r="E722" s="21">
        <v>1.5880578053040001E-3</v>
      </c>
    </row>
    <row r="723" spans="2:5">
      <c r="B723" s="100"/>
      <c r="C723" s="23" t="s">
        <v>58</v>
      </c>
      <c r="D723" s="70">
        <v>10</v>
      </c>
      <c r="E723" s="21">
        <v>1.5880578053040001E-3</v>
      </c>
    </row>
    <row r="724" spans="2:5">
      <c r="B724" s="100"/>
      <c r="C724" s="23" t="s">
        <v>244</v>
      </c>
      <c r="D724" s="70">
        <v>1</v>
      </c>
      <c r="E724" s="21">
        <v>1.5880578052999999E-4</v>
      </c>
    </row>
    <row r="725" spans="2:5">
      <c r="B725" s="100"/>
      <c r="C725" s="23" t="s">
        <v>246</v>
      </c>
      <c r="D725" s="70">
        <v>8</v>
      </c>
      <c r="E725" s="21">
        <v>1.2704462442429999E-3</v>
      </c>
    </row>
    <row r="726" spans="2:5">
      <c r="B726" s="100"/>
      <c r="C726" s="23" t="s">
        <v>262</v>
      </c>
      <c r="D726" s="70">
        <v>1</v>
      </c>
      <c r="E726" s="21">
        <v>1.5880578052999999E-4</v>
      </c>
    </row>
    <row r="727" spans="2:5">
      <c r="B727" s="100"/>
      <c r="C727" s="23" t="s">
        <v>258</v>
      </c>
      <c r="D727" s="70">
        <v>1</v>
      </c>
      <c r="E727" s="21">
        <v>1.5880578052999999E-4</v>
      </c>
    </row>
    <row r="728" spans="2:5">
      <c r="B728" s="100"/>
      <c r="C728" s="73" t="s">
        <v>29</v>
      </c>
      <c r="D728" s="74">
        <v>96</v>
      </c>
      <c r="E728" s="75">
        <v>1.5245354930919001E-2</v>
      </c>
    </row>
    <row r="729" spans="2:5">
      <c r="B729" s="100" t="s">
        <v>80</v>
      </c>
      <c r="C729" s="23" t="s">
        <v>213</v>
      </c>
      <c r="D729" s="70">
        <v>1</v>
      </c>
      <c r="E729" s="21">
        <v>1.5880578052999999E-4</v>
      </c>
    </row>
    <row r="730" spans="2:5">
      <c r="B730" s="100"/>
      <c r="C730" s="23" t="s">
        <v>194</v>
      </c>
      <c r="D730" s="70">
        <v>5</v>
      </c>
      <c r="E730" s="21">
        <v>7.9402890265200003E-4</v>
      </c>
    </row>
    <row r="731" spans="2:5">
      <c r="B731" s="100"/>
      <c r="C731" s="23" t="s">
        <v>219</v>
      </c>
      <c r="D731" s="70">
        <v>2</v>
      </c>
      <c r="E731" s="21">
        <v>3.1761156106099999E-4</v>
      </c>
    </row>
    <row r="732" spans="2:5">
      <c r="B732" s="100"/>
      <c r="C732" s="23" t="s">
        <v>220</v>
      </c>
      <c r="D732" s="70">
        <v>1</v>
      </c>
      <c r="E732" s="21">
        <v>1.5880578052999999E-4</v>
      </c>
    </row>
    <row r="733" spans="2:5">
      <c r="B733" s="100"/>
      <c r="C733" s="23" t="s">
        <v>195</v>
      </c>
      <c r="D733" s="70">
        <v>8</v>
      </c>
      <c r="E733" s="21">
        <v>1.2704462442429999E-3</v>
      </c>
    </row>
    <row r="734" spans="2:5">
      <c r="B734" s="100"/>
      <c r="C734" s="23" t="s">
        <v>226</v>
      </c>
      <c r="D734" s="70">
        <v>1</v>
      </c>
      <c r="E734" s="21">
        <v>1.5880578052999999E-4</v>
      </c>
    </row>
    <row r="735" spans="2:5">
      <c r="B735" s="100"/>
      <c r="C735" s="23" t="s">
        <v>196</v>
      </c>
      <c r="D735" s="70">
        <v>1</v>
      </c>
      <c r="E735" s="21">
        <v>1.5880578052999999E-4</v>
      </c>
    </row>
    <row r="736" spans="2:5">
      <c r="B736" s="100"/>
      <c r="C736" s="23" t="s">
        <v>58</v>
      </c>
      <c r="D736" s="70">
        <v>3</v>
      </c>
      <c r="E736" s="21">
        <v>4.7641734159099998E-4</v>
      </c>
    </row>
    <row r="737" spans="2:5">
      <c r="B737" s="100"/>
      <c r="C737" s="23" t="s">
        <v>246</v>
      </c>
      <c r="D737" s="70">
        <v>6</v>
      </c>
      <c r="E737" s="21">
        <v>9.5283468318199996E-4</v>
      </c>
    </row>
    <row r="738" spans="2:5">
      <c r="B738" s="100"/>
      <c r="C738" s="73" t="s">
        <v>29</v>
      </c>
      <c r="D738" s="74">
        <v>28</v>
      </c>
      <c r="E738" s="75">
        <v>4.4465618548519999E-3</v>
      </c>
    </row>
    <row r="739" spans="2:5">
      <c r="B739" s="100" t="s">
        <v>51</v>
      </c>
      <c r="C739" s="23" t="s">
        <v>198</v>
      </c>
      <c r="D739" s="70">
        <v>64</v>
      </c>
      <c r="E739" s="21">
        <v>1.0163569953945999E-2</v>
      </c>
    </row>
    <row r="740" spans="2:5">
      <c r="B740" s="100"/>
      <c r="C740" s="23" t="s">
        <v>199</v>
      </c>
      <c r="D740" s="70">
        <v>5</v>
      </c>
      <c r="E740" s="21">
        <v>7.9402890265200003E-4</v>
      </c>
    </row>
    <row r="741" spans="2:5">
      <c r="B741" s="100"/>
      <c r="C741" s="23" t="s">
        <v>200</v>
      </c>
      <c r="D741" s="70">
        <v>4</v>
      </c>
      <c r="E741" s="21">
        <v>6.3522312212199999E-4</v>
      </c>
    </row>
    <row r="742" spans="2:5">
      <c r="B742" s="100"/>
      <c r="C742" s="23" t="s">
        <v>201</v>
      </c>
      <c r="D742" s="70">
        <v>4</v>
      </c>
      <c r="E742" s="21">
        <v>6.3522312212199999E-4</v>
      </c>
    </row>
    <row r="743" spans="2:5">
      <c r="B743" s="100"/>
      <c r="C743" s="23" t="s">
        <v>202</v>
      </c>
      <c r="D743" s="70">
        <v>1</v>
      </c>
      <c r="E743" s="21">
        <v>1.5880578052999999E-4</v>
      </c>
    </row>
    <row r="744" spans="2:5">
      <c r="B744" s="100"/>
      <c r="C744" s="23" t="s">
        <v>203</v>
      </c>
      <c r="D744" s="70">
        <v>3</v>
      </c>
      <c r="E744" s="21">
        <v>4.7641734159099998E-4</v>
      </c>
    </row>
    <row r="745" spans="2:5">
      <c r="B745" s="100"/>
      <c r="C745" s="23" t="s">
        <v>204</v>
      </c>
      <c r="D745" s="70">
        <v>3</v>
      </c>
      <c r="E745" s="21">
        <v>4.7641734159099998E-4</v>
      </c>
    </row>
    <row r="746" spans="2:5">
      <c r="B746" s="100"/>
      <c r="C746" s="23" t="s">
        <v>205</v>
      </c>
      <c r="D746" s="70">
        <v>4</v>
      </c>
      <c r="E746" s="21">
        <v>6.3522312212199999E-4</v>
      </c>
    </row>
    <row r="747" spans="2:5">
      <c r="B747" s="100"/>
      <c r="C747" s="23" t="s">
        <v>206</v>
      </c>
      <c r="D747" s="70">
        <v>3</v>
      </c>
      <c r="E747" s="21">
        <v>4.7641734159099998E-4</v>
      </c>
    </row>
    <row r="748" spans="2:5">
      <c r="B748" s="100"/>
      <c r="C748" s="23" t="s">
        <v>207</v>
      </c>
      <c r="D748" s="70">
        <v>1</v>
      </c>
      <c r="E748" s="21">
        <v>1.5880578052999999E-4</v>
      </c>
    </row>
    <row r="749" spans="2:5">
      <c r="B749" s="100"/>
      <c r="C749" s="23" t="s">
        <v>208</v>
      </c>
      <c r="D749" s="70">
        <v>3</v>
      </c>
      <c r="E749" s="21">
        <v>4.7641734159099998E-4</v>
      </c>
    </row>
    <row r="750" spans="2:5">
      <c r="B750" s="100"/>
      <c r="C750" s="23" t="s">
        <v>209</v>
      </c>
      <c r="D750" s="70">
        <v>3</v>
      </c>
      <c r="E750" s="21">
        <v>4.7641734159099998E-4</v>
      </c>
    </row>
    <row r="751" spans="2:5">
      <c r="B751" s="100"/>
      <c r="C751" s="23" t="s">
        <v>210</v>
      </c>
      <c r="D751" s="70">
        <v>4</v>
      </c>
      <c r="E751" s="21">
        <v>6.3522312212199999E-4</v>
      </c>
    </row>
    <row r="752" spans="2:5">
      <c r="B752" s="100"/>
      <c r="C752" s="23" t="s">
        <v>211</v>
      </c>
      <c r="D752" s="70">
        <v>6</v>
      </c>
      <c r="E752" s="21">
        <v>9.5283468318199996E-4</v>
      </c>
    </row>
    <row r="753" spans="2:5">
      <c r="B753" s="100"/>
      <c r="C753" s="23" t="s">
        <v>213</v>
      </c>
      <c r="D753" s="70">
        <v>66</v>
      </c>
      <c r="E753" s="21">
        <v>1.0481181515007E-2</v>
      </c>
    </row>
    <row r="754" spans="2:5">
      <c r="B754" s="100"/>
      <c r="C754" s="23" t="s">
        <v>194</v>
      </c>
      <c r="D754" s="70">
        <v>110</v>
      </c>
      <c r="E754" s="21">
        <v>1.7468635858344999E-2</v>
      </c>
    </row>
    <row r="755" spans="2:5">
      <c r="B755" s="100"/>
      <c r="C755" s="23" t="s">
        <v>214</v>
      </c>
      <c r="D755" s="70">
        <v>73</v>
      </c>
      <c r="E755" s="21">
        <v>1.1592821978720001E-2</v>
      </c>
    </row>
    <row r="756" spans="2:5">
      <c r="B756" s="100"/>
      <c r="C756" s="23" t="s">
        <v>215</v>
      </c>
      <c r="D756" s="70">
        <v>7</v>
      </c>
      <c r="E756" s="21">
        <v>1.111640463713E-3</v>
      </c>
    </row>
    <row r="757" spans="2:5">
      <c r="B757" s="100"/>
      <c r="C757" s="23" t="s">
        <v>216</v>
      </c>
      <c r="D757" s="70">
        <v>1</v>
      </c>
      <c r="E757" s="21">
        <v>1.5880578052999999E-4</v>
      </c>
    </row>
    <row r="758" spans="2:5">
      <c r="B758" s="100"/>
      <c r="C758" s="23" t="s">
        <v>217</v>
      </c>
      <c r="D758" s="70">
        <v>22</v>
      </c>
      <c r="E758" s="21">
        <v>3.4937271716690001E-3</v>
      </c>
    </row>
    <row r="759" spans="2:5">
      <c r="B759" s="100"/>
      <c r="C759" s="23" t="s">
        <v>219</v>
      </c>
      <c r="D759" s="70">
        <v>16</v>
      </c>
      <c r="E759" s="21">
        <v>2.5408924884869999E-3</v>
      </c>
    </row>
    <row r="760" spans="2:5">
      <c r="B760" s="100"/>
      <c r="C760" s="23" t="s">
        <v>220</v>
      </c>
      <c r="D760" s="70">
        <v>6</v>
      </c>
      <c r="E760" s="21">
        <v>9.5283468318199996E-4</v>
      </c>
    </row>
    <row r="761" spans="2:5">
      <c r="B761" s="100"/>
      <c r="C761" s="23" t="s">
        <v>221</v>
      </c>
      <c r="D761" s="70">
        <v>3</v>
      </c>
      <c r="E761" s="21">
        <v>4.7641734159099998E-4</v>
      </c>
    </row>
    <row r="762" spans="2:5">
      <c r="B762" s="100"/>
      <c r="C762" s="23" t="s">
        <v>222</v>
      </c>
      <c r="D762" s="70">
        <v>1</v>
      </c>
      <c r="E762" s="21">
        <v>1.5880578052999999E-4</v>
      </c>
    </row>
    <row r="763" spans="2:5">
      <c r="B763" s="100"/>
      <c r="C763" s="23" t="s">
        <v>223</v>
      </c>
      <c r="D763" s="70">
        <v>4</v>
      </c>
      <c r="E763" s="21">
        <v>6.3522312212199999E-4</v>
      </c>
    </row>
    <row r="764" spans="2:5">
      <c r="B764" s="100"/>
      <c r="C764" s="23" t="s">
        <v>224</v>
      </c>
      <c r="D764" s="70">
        <v>45</v>
      </c>
      <c r="E764" s="21">
        <v>7.1462601238689999E-3</v>
      </c>
    </row>
    <row r="765" spans="2:5">
      <c r="B765" s="100"/>
      <c r="C765" s="23" t="s">
        <v>195</v>
      </c>
      <c r="D765" s="70">
        <v>198</v>
      </c>
      <c r="E765" s="21">
        <v>3.1443544545020997E-2</v>
      </c>
    </row>
    <row r="766" spans="2:5">
      <c r="B766" s="100"/>
      <c r="C766" s="23" t="s">
        <v>226</v>
      </c>
      <c r="D766" s="70">
        <v>26</v>
      </c>
      <c r="E766" s="21">
        <v>4.1289502937910004E-3</v>
      </c>
    </row>
    <row r="767" spans="2:5">
      <c r="B767" s="100"/>
      <c r="C767" s="23" t="s">
        <v>227</v>
      </c>
      <c r="D767" s="70">
        <v>4</v>
      </c>
      <c r="E767" s="21">
        <v>6.3522312212199999E-4</v>
      </c>
    </row>
    <row r="768" spans="2:5">
      <c r="B768" s="100"/>
      <c r="C768" s="23" t="s">
        <v>228</v>
      </c>
      <c r="D768" s="70">
        <v>16</v>
      </c>
      <c r="E768" s="21">
        <v>2.5408924884869999E-3</v>
      </c>
    </row>
    <row r="769" spans="2:5">
      <c r="B769" s="100"/>
      <c r="C769" s="23" t="s">
        <v>229</v>
      </c>
      <c r="D769" s="70">
        <v>1</v>
      </c>
      <c r="E769" s="21">
        <v>1.5880578052999999E-4</v>
      </c>
    </row>
    <row r="770" spans="2:5">
      <c r="B770" s="100"/>
      <c r="C770" s="23" t="s">
        <v>230</v>
      </c>
      <c r="D770" s="70">
        <v>68</v>
      </c>
      <c r="E770" s="21">
        <v>1.0798793076068E-2</v>
      </c>
    </row>
    <row r="771" spans="2:5">
      <c r="B771" s="100"/>
      <c r="C771" s="23" t="s">
        <v>232</v>
      </c>
      <c r="D771" s="70">
        <v>6</v>
      </c>
      <c r="E771" s="21">
        <v>9.5283468318199996E-4</v>
      </c>
    </row>
    <row r="772" spans="2:5">
      <c r="B772" s="100"/>
      <c r="C772" s="23" t="s">
        <v>233</v>
      </c>
      <c r="D772" s="70">
        <v>4</v>
      </c>
      <c r="E772" s="21">
        <v>6.3522312212199999E-4</v>
      </c>
    </row>
    <row r="773" spans="2:5">
      <c r="B773" s="100"/>
      <c r="C773" s="23" t="s">
        <v>234</v>
      </c>
      <c r="D773" s="70">
        <v>26</v>
      </c>
      <c r="E773" s="21">
        <v>4.1289502937910004E-3</v>
      </c>
    </row>
    <row r="774" spans="2:5">
      <c r="B774" s="100"/>
      <c r="C774" s="23" t="s">
        <v>196</v>
      </c>
      <c r="D774" s="70">
        <v>48</v>
      </c>
      <c r="E774" s="21">
        <v>7.62267746546E-3</v>
      </c>
    </row>
    <row r="775" spans="2:5">
      <c r="B775" s="100"/>
      <c r="C775" s="23" t="s">
        <v>58</v>
      </c>
      <c r="D775" s="70">
        <v>159</v>
      </c>
      <c r="E775" s="21">
        <v>2.5250119104335E-2</v>
      </c>
    </row>
    <row r="776" spans="2:5">
      <c r="B776" s="100"/>
      <c r="C776" s="23" t="s">
        <v>236</v>
      </c>
      <c r="D776" s="70">
        <v>2</v>
      </c>
      <c r="E776" s="21">
        <v>3.1761156106099999E-4</v>
      </c>
    </row>
    <row r="777" spans="2:5">
      <c r="B777" s="100"/>
      <c r="C777" s="23" t="s">
        <v>237</v>
      </c>
      <c r="D777" s="70">
        <v>1</v>
      </c>
      <c r="E777" s="21">
        <v>1.5880578052999999E-4</v>
      </c>
    </row>
    <row r="778" spans="2:5">
      <c r="B778" s="100"/>
      <c r="C778" s="23" t="s">
        <v>238</v>
      </c>
      <c r="D778" s="70">
        <v>6</v>
      </c>
      <c r="E778" s="21">
        <v>9.5283468318199996E-4</v>
      </c>
    </row>
    <row r="779" spans="2:5">
      <c r="B779" s="100"/>
      <c r="C779" s="23" t="s">
        <v>239</v>
      </c>
      <c r="D779" s="70">
        <v>4</v>
      </c>
      <c r="E779" s="21">
        <v>6.3522312212199999E-4</v>
      </c>
    </row>
    <row r="780" spans="2:5">
      <c r="B780" s="100"/>
      <c r="C780" s="23" t="s">
        <v>240</v>
      </c>
      <c r="D780" s="70">
        <v>10</v>
      </c>
      <c r="E780" s="21">
        <v>1.5880578053040001E-3</v>
      </c>
    </row>
    <row r="781" spans="2:5">
      <c r="B781" s="100"/>
      <c r="C781" s="23" t="s">
        <v>241</v>
      </c>
      <c r="D781" s="70">
        <v>1</v>
      </c>
      <c r="E781" s="21">
        <v>1.5880578052999999E-4</v>
      </c>
    </row>
    <row r="782" spans="2:5">
      <c r="B782" s="100"/>
      <c r="C782" s="23" t="s">
        <v>242</v>
      </c>
      <c r="D782" s="70">
        <v>1</v>
      </c>
      <c r="E782" s="21">
        <v>1.5880578052999999E-4</v>
      </c>
    </row>
    <row r="783" spans="2:5">
      <c r="B783" s="100"/>
      <c r="C783" s="23" t="s">
        <v>243</v>
      </c>
      <c r="D783" s="70">
        <v>2</v>
      </c>
      <c r="E783" s="21">
        <v>3.1761156106099999E-4</v>
      </c>
    </row>
    <row r="784" spans="2:5">
      <c r="B784" s="100"/>
      <c r="C784" s="23" t="s">
        <v>244</v>
      </c>
      <c r="D784" s="70">
        <v>4</v>
      </c>
      <c r="E784" s="21">
        <v>6.3522312212199999E-4</v>
      </c>
    </row>
    <row r="785" spans="2:5">
      <c r="B785" s="100"/>
      <c r="C785" s="23" t="s">
        <v>245</v>
      </c>
      <c r="D785" s="70">
        <v>3</v>
      </c>
      <c r="E785" s="21">
        <v>4.7641734159099998E-4</v>
      </c>
    </row>
    <row r="786" spans="2:5">
      <c r="B786" s="100"/>
      <c r="C786" s="23" t="s">
        <v>246</v>
      </c>
      <c r="D786" s="70">
        <v>5</v>
      </c>
      <c r="E786" s="21">
        <v>7.9402890265200003E-4</v>
      </c>
    </row>
    <row r="787" spans="2:5">
      <c r="B787" s="100"/>
      <c r="C787" s="23" t="s">
        <v>248</v>
      </c>
      <c r="D787" s="70">
        <v>1</v>
      </c>
      <c r="E787" s="21">
        <v>1.5880578052999999E-4</v>
      </c>
    </row>
    <row r="788" spans="2:5">
      <c r="B788" s="100"/>
      <c r="C788" s="23" t="s">
        <v>64</v>
      </c>
      <c r="D788" s="70">
        <v>21</v>
      </c>
      <c r="E788" s="21">
        <v>3.3349213911389999E-3</v>
      </c>
    </row>
    <row r="789" spans="2:5">
      <c r="B789" s="100"/>
      <c r="C789" s="23" t="s">
        <v>249</v>
      </c>
      <c r="D789" s="70">
        <v>1</v>
      </c>
      <c r="E789" s="21">
        <v>1.5880578052999999E-4</v>
      </c>
    </row>
    <row r="790" spans="2:5">
      <c r="B790" s="100"/>
      <c r="C790" s="23" t="s">
        <v>251</v>
      </c>
      <c r="D790" s="70">
        <v>1</v>
      </c>
      <c r="E790" s="21">
        <v>1.5880578052999999E-4</v>
      </c>
    </row>
    <row r="791" spans="2:5">
      <c r="B791" s="100"/>
      <c r="C791" s="23" t="s">
        <v>252</v>
      </c>
      <c r="D791" s="70">
        <v>10</v>
      </c>
      <c r="E791" s="21">
        <v>1.5880578053040001E-3</v>
      </c>
    </row>
    <row r="792" spans="2:5">
      <c r="B792" s="100"/>
      <c r="C792" s="23" t="s">
        <v>253</v>
      </c>
      <c r="D792" s="70">
        <v>5</v>
      </c>
      <c r="E792" s="21">
        <v>7.9402890265200003E-4</v>
      </c>
    </row>
    <row r="793" spans="2:5">
      <c r="B793" s="100"/>
      <c r="C793" s="23" t="s">
        <v>255</v>
      </c>
      <c r="D793" s="70">
        <v>4</v>
      </c>
      <c r="E793" s="21">
        <v>6.3522312212199999E-4</v>
      </c>
    </row>
    <row r="794" spans="2:5">
      <c r="B794" s="100"/>
      <c r="C794" s="23" t="s">
        <v>256</v>
      </c>
      <c r="D794" s="70">
        <v>3</v>
      </c>
      <c r="E794" s="21">
        <v>4.7641734159099998E-4</v>
      </c>
    </row>
    <row r="795" spans="2:5">
      <c r="B795" s="100"/>
      <c r="C795" s="23" t="s">
        <v>257</v>
      </c>
      <c r="D795" s="70">
        <v>1</v>
      </c>
      <c r="E795" s="21">
        <v>1.5880578052999999E-4</v>
      </c>
    </row>
    <row r="796" spans="2:5">
      <c r="B796" s="100"/>
      <c r="C796" s="23" t="s">
        <v>259</v>
      </c>
      <c r="D796" s="70">
        <v>2</v>
      </c>
      <c r="E796" s="21">
        <v>3.1761156106099999E-4</v>
      </c>
    </row>
    <row r="797" spans="2:5">
      <c r="B797" s="100"/>
      <c r="C797" s="73" t="s">
        <v>29</v>
      </c>
      <c r="D797" s="74">
        <v>1106</v>
      </c>
      <c r="E797" s="75">
        <v>0.17563919326663499</v>
      </c>
    </row>
    <row r="798" spans="2:5">
      <c r="B798" s="100" t="s">
        <v>96</v>
      </c>
      <c r="C798" s="23" t="s">
        <v>197</v>
      </c>
      <c r="D798" s="70">
        <v>1</v>
      </c>
      <c r="E798" s="21">
        <v>1.5880578052999999E-4</v>
      </c>
    </row>
    <row r="799" spans="2:5">
      <c r="B799" s="100"/>
      <c r="C799" s="23" t="s">
        <v>198</v>
      </c>
      <c r="D799" s="70">
        <v>1</v>
      </c>
      <c r="E799" s="21">
        <v>1.5880578052999999E-4</v>
      </c>
    </row>
    <row r="800" spans="2:5">
      <c r="B800" s="100"/>
      <c r="C800" s="23" t="s">
        <v>199</v>
      </c>
      <c r="D800" s="70">
        <v>1</v>
      </c>
      <c r="E800" s="21">
        <v>1.5880578052999999E-4</v>
      </c>
    </row>
    <row r="801" spans="2:5">
      <c r="B801" s="100"/>
      <c r="C801" s="23" t="s">
        <v>219</v>
      </c>
      <c r="D801" s="70">
        <v>1</v>
      </c>
      <c r="E801" s="21">
        <v>1.5880578052999999E-4</v>
      </c>
    </row>
    <row r="802" spans="2:5">
      <c r="B802" s="100"/>
      <c r="C802" s="23" t="s">
        <v>224</v>
      </c>
      <c r="D802" s="70">
        <v>1</v>
      </c>
      <c r="E802" s="21">
        <v>1.5880578052999999E-4</v>
      </c>
    </row>
    <row r="803" spans="2:5">
      <c r="B803" s="100"/>
      <c r="C803" s="23" t="s">
        <v>195</v>
      </c>
      <c r="D803" s="70">
        <v>1</v>
      </c>
      <c r="E803" s="21">
        <v>1.5880578052999999E-4</v>
      </c>
    </row>
    <row r="804" spans="2:5">
      <c r="B804" s="100"/>
      <c r="C804" s="23" t="s">
        <v>234</v>
      </c>
      <c r="D804" s="70">
        <v>1</v>
      </c>
      <c r="E804" s="21">
        <v>1.5880578052999999E-4</v>
      </c>
    </row>
    <row r="805" spans="2:5">
      <c r="B805" s="100"/>
      <c r="C805" s="23" t="s">
        <v>240</v>
      </c>
      <c r="D805" s="70">
        <v>1</v>
      </c>
      <c r="E805" s="21">
        <v>1.5880578052999999E-4</v>
      </c>
    </row>
    <row r="806" spans="2:5">
      <c r="B806" s="100"/>
      <c r="C806" s="73" t="s">
        <v>29</v>
      </c>
      <c r="D806" s="74">
        <v>8</v>
      </c>
      <c r="E806" s="75">
        <v>1.2704462442429999E-3</v>
      </c>
    </row>
    <row r="807" spans="2:5">
      <c r="B807" s="100" t="s">
        <v>56</v>
      </c>
      <c r="C807" s="23" t="s">
        <v>199</v>
      </c>
      <c r="D807" s="70">
        <v>1</v>
      </c>
      <c r="E807" s="21">
        <v>1.5880578052999999E-4</v>
      </c>
    </row>
    <row r="808" spans="2:5">
      <c r="B808" s="100"/>
      <c r="C808" s="23" t="s">
        <v>212</v>
      </c>
      <c r="D808" s="70">
        <v>1</v>
      </c>
      <c r="E808" s="21">
        <v>1.5880578052999999E-4</v>
      </c>
    </row>
    <row r="809" spans="2:5">
      <c r="B809" s="100"/>
      <c r="C809" s="23" t="s">
        <v>213</v>
      </c>
      <c r="D809" s="70">
        <v>1</v>
      </c>
      <c r="E809" s="21">
        <v>1.5880578052999999E-4</v>
      </c>
    </row>
    <row r="810" spans="2:5">
      <c r="B810" s="100"/>
      <c r="C810" s="23" t="s">
        <v>194</v>
      </c>
      <c r="D810" s="70">
        <v>7</v>
      </c>
      <c r="E810" s="21">
        <v>1.111640463713E-3</v>
      </c>
    </row>
    <row r="811" spans="2:5">
      <c r="B811" s="100"/>
      <c r="C811" s="23" t="s">
        <v>219</v>
      </c>
      <c r="D811" s="70">
        <v>1</v>
      </c>
      <c r="E811" s="21">
        <v>1.5880578052999999E-4</v>
      </c>
    </row>
    <row r="812" spans="2:5">
      <c r="B812" s="100"/>
      <c r="C812" s="23" t="s">
        <v>220</v>
      </c>
      <c r="D812" s="70">
        <v>2</v>
      </c>
      <c r="E812" s="21">
        <v>3.1761156106099999E-4</v>
      </c>
    </row>
    <row r="813" spans="2:5">
      <c r="B813" s="100"/>
      <c r="C813" s="23" t="s">
        <v>221</v>
      </c>
      <c r="D813" s="70">
        <v>1</v>
      </c>
      <c r="E813" s="21">
        <v>1.5880578052999999E-4</v>
      </c>
    </row>
    <row r="814" spans="2:5">
      <c r="B814" s="100"/>
      <c r="C814" s="23" t="s">
        <v>224</v>
      </c>
      <c r="D814" s="70">
        <v>2</v>
      </c>
      <c r="E814" s="21">
        <v>3.1761156106099999E-4</v>
      </c>
    </row>
    <row r="815" spans="2:5">
      <c r="B815" s="100"/>
      <c r="C815" s="23" t="s">
        <v>195</v>
      </c>
      <c r="D815" s="70">
        <v>4</v>
      </c>
      <c r="E815" s="21">
        <v>6.3522312212199999E-4</v>
      </c>
    </row>
    <row r="816" spans="2:5">
      <c r="B816" s="100"/>
      <c r="C816" s="23" t="s">
        <v>226</v>
      </c>
      <c r="D816" s="70">
        <v>1</v>
      </c>
      <c r="E816" s="21">
        <v>1.5880578052999999E-4</v>
      </c>
    </row>
    <row r="817" spans="2:5">
      <c r="B817" s="100"/>
      <c r="C817" s="23" t="s">
        <v>230</v>
      </c>
      <c r="D817" s="70">
        <v>1</v>
      </c>
      <c r="E817" s="21">
        <v>1.5880578052999999E-4</v>
      </c>
    </row>
    <row r="818" spans="2:5">
      <c r="B818" s="100"/>
      <c r="C818" s="23" t="s">
        <v>196</v>
      </c>
      <c r="D818" s="70">
        <v>2</v>
      </c>
      <c r="E818" s="21">
        <v>3.1761156106099999E-4</v>
      </c>
    </row>
    <row r="819" spans="2:5" ht="40.5">
      <c r="B819" s="100"/>
      <c r="C819" s="23" t="s">
        <v>235</v>
      </c>
      <c r="D819" s="70">
        <v>3</v>
      </c>
      <c r="E819" s="21">
        <v>4.7641734159099998E-4</v>
      </c>
    </row>
    <row r="820" spans="2:5">
      <c r="B820" s="100"/>
      <c r="C820" s="23" t="s">
        <v>58</v>
      </c>
      <c r="D820" s="70">
        <v>2</v>
      </c>
      <c r="E820" s="21">
        <v>3.1761156106099999E-4</v>
      </c>
    </row>
    <row r="821" spans="2:5">
      <c r="B821" s="100"/>
      <c r="C821" s="23" t="s">
        <v>239</v>
      </c>
      <c r="D821" s="70">
        <v>1</v>
      </c>
      <c r="E821" s="21">
        <v>1.5880578052999999E-4</v>
      </c>
    </row>
    <row r="822" spans="2:5">
      <c r="B822" s="100"/>
      <c r="C822" s="23" t="s">
        <v>240</v>
      </c>
      <c r="D822" s="70">
        <v>1</v>
      </c>
      <c r="E822" s="21">
        <v>1.5880578052999999E-4</v>
      </c>
    </row>
    <row r="823" spans="2:5">
      <c r="B823" s="100"/>
      <c r="C823" s="23" t="s">
        <v>246</v>
      </c>
      <c r="D823" s="70">
        <v>138</v>
      </c>
      <c r="E823" s="21">
        <v>2.1915197713196999E-2</v>
      </c>
    </row>
    <row r="824" spans="2:5">
      <c r="B824" s="100"/>
      <c r="C824" s="23" t="s">
        <v>250</v>
      </c>
      <c r="D824" s="70">
        <v>1</v>
      </c>
      <c r="E824" s="21">
        <v>1.5880578052999999E-4</v>
      </c>
    </row>
    <row r="825" spans="2:5">
      <c r="B825" s="100"/>
      <c r="C825" s="23" t="s">
        <v>257</v>
      </c>
      <c r="D825" s="70">
        <v>1</v>
      </c>
      <c r="E825" s="21">
        <v>1.5880578052999999E-4</v>
      </c>
    </row>
    <row r="826" spans="2:5">
      <c r="B826" s="100"/>
      <c r="C826" s="73" t="s">
        <v>29</v>
      </c>
      <c r="D826" s="74">
        <v>171</v>
      </c>
      <c r="E826" s="75">
        <v>2.71557884707E-2</v>
      </c>
    </row>
    <row r="827" spans="2:5">
      <c r="B827" s="101" t="s">
        <v>29</v>
      </c>
      <c r="C827" s="101"/>
      <c r="D827" s="76">
        <v>6297</v>
      </c>
      <c r="E827" s="77">
        <v>1</v>
      </c>
    </row>
    <row r="829" spans="2:5" ht="15" customHeight="1">
      <c r="B829" s="15" t="s">
        <v>47</v>
      </c>
    </row>
    <row r="830" spans="2:5" ht="15" customHeight="1">
      <c r="B830" s="17" t="s">
        <v>18</v>
      </c>
    </row>
    <row r="831" spans="2:5" ht="15" customHeight="1">
      <c r="B831" s="16" t="s">
        <v>48</v>
      </c>
    </row>
    <row r="832" spans="2:5" ht="15" customHeight="1">
      <c r="B832" s="15" t="s">
        <v>17</v>
      </c>
    </row>
    <row r="833" spans="2:2" ht="15" customHeight="1">
      <c r="B833" s="15" t="s">
        <v>49</v>
      </c>
    </row>
  </sheetData>
  <mergeCells count="54">
    <mergeCell ref="B66:B71"/>
    <mergeCell ref="B270:B273"/>
    <mergeCell ref="B274:B304"/>
    <mergeCell ref="B305:B317"/>
    <mergeCell ref="B318:B354"/>
    <mergeCell ref="B72:B76"/>
    <mergeCell ref="B7:E8"/>
    <mergeCell ref="B10:B29"/>
    <mergeCell ref="B30:B40"/>
    <mergeCell ref="B41:B47"/>
    <mergeCell ref="B48:B65"/>
    <mergeCell ref="B77:B83"/>
    <mergeCell ref="B84:B106"/>
    <mergeCell ref="B107:B127"/>
    <mergeCell ref="B128:B130"/>
    <mergeCell ref="B131:B151"/>
    <mergeCell ref="B152:B162"/>
    <mergeCell ref="B163:B168"/>
    <mergeCell ref="B169:B170"/>
    <mergeCell ref="B171:B185"/>
    <mergeCell ref="B186:B191"/>
    <mergeCell ref="B192:B223"/>
    <mergeCell ref="B224:B241"/>
    <mergeCell ref="B242:B253"/>
    <mergeCell ref="B254:B269"/>
    <mergeCell ref="B397:B405"/>
    <mergeCell ref="B363:B367"/>
    <mergeCell ref="B368:B377"/>
    <mergeCell ref="B378:B380"/>
    <mergeCell ref="B381:B396"/>
    <mergeCell ref="B355:B362"/>
    <mergeCell ref="B406:B415"/>
    <mergeCell ref="B416:B433"/>
    <mergeCell ref="B434:B443"/>
    <mergeCell ref="B444:B456"/>
    <mergeCell ref="B457:B465"/>
    <mergeCell ref="B466:B523"/>
    <mergeCell ref="B524:B533"/>
    <mergeCell ref="B534:B542"/>
    <mergeCell ref="B543:B558"/>
    <mergeCell ref="B559:B577"/>
    <mergeCell ref="B578:B590"/>
    <mergeCell ref="B591:B610"/>
    <mergeCell ref="B611:B620"/>
    <mergeCell ref="B621:B649"/>
    <mergeCell ref="B739:B797"/>
    <mergeCell ref="B798:B806"/>
    <mergeCell ref="B807:B826"/>
    <mergeCell ref="B827:C827"/>
    <mergeCell ref="B650:B669"/>
    <mergeCell ref="B670:B688"/>
    <mergeCell ref="B689:B710"/>
    <mergeCell ref="B711:B728"/>
    <mergeCell ref="B729:B7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70"/>
  <sheetViews>
    <sheetView showGridLines="0" view="pageBreakPreview" zoomScale="115" zoomScaleNormal="100" zoomScaleSheetLayoutView="115" workbookViewId="0">
      <selection activeCell="A42" sqref="A12:XFD42"/>
    </sheetView>
  </sheetViews>
  <sheetFormatPr baseColWidth="10" defaultColWidth="11.42578125" defaultRowHeight="15"/>
  <cols>
    <col min="1" max="1" width="9.28515625" style="13" customWidth="1"/>
    <col min="2" max="2" width="35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39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14.45" customHeight="1">
      <c r="B12" s="23" t="s">
        <v>265</v>
      </c>
      <c r="C12" s="22">
        <v>22</v>
      </c>
      <c r="D12" s="21">
        <v>3.4937271716690001E-3</v>
      </c>
    </row>
    <row r="13" spans="2:5" ht="14.45" customHeight="1">
      <c r="B13" s="23" t="s">
        <v>266</v>
      </c>
      <c r="C13" s="22">
        <v>6</v>
      </c>
      <c r="D13" s="21">
        <v>9.5283468318199996E-4</v>
      </c>
    </row>
    <row r="14" spans="2:5" ht="14.45" customHeight="1">
      <c r="B14" s="23" t="s">
        <v>267</v>
      </c>
      <c r="C14" s="22">
        <v>18</v>
      </c>
      <c r="D14" s="21">
        <v>2.8585040495470002E-3</v>
      </c>
      <c r="E14" s="24"/>
    </row>
    <row r="15" spans="2:5" ht="14.45" customHeight="1">
      <c r="B15" s="23" t="s">
        <v>268</v>
      </c>
      <c r="C15" s="22">
        <v>42</v>
      </c>
      <c r="D15" s="21">
        <v>6.6698427822769997E-3</v>
      </c>
      <c r="E15" s="24"/>
    </row>
    <row r="16" spans="2:5" ht="14.45" customHeight="1">
      <c r="B16" s="23" t="s">
        <v>269</v>
      </c>
      <c r="C16" s="22">
        <v>39</v>
      </c>
      <c r="D16" s="21">
        <v>6.1934254406859996E-3</v>
      </c>
    </row>
    <row r="17" spans="2:4" ht="14.45" customHeight="1">
      <c r="B17" s="23" t="s">
        <v>270</v>
      </c>
      <c r="C17" s="22">
        <v>57</v>
      </c>
      <c r="D17" s="21">
        <v>9.0519294902330003E-3</v>
      </c>
    </row>
    <row r="18" spans="2:4" ht="14.45" customHeight="1">
      <c r="B18" s="23" t="s">
        <v>271</v>
      </c>
      <c r="C18" s="22">
        <v>210</v>
      </c>
      <c r="D18" s="21">
        <v>3.3349213911385997E-2</v>
      </c>
    </row>
    <row r="19" spans="2:4" ht="14.45" customHeight="1">
      <c r="B19" s="23" t="s">
        <v>272</v>
      </c>
      <c r="C19" s="22">
        <v>369</v>
      </c>
      <c r="D19" s="21">
        <v>5.8599333015721997E-2</v>
      </c>
    </row>
    <row r="20" spans="2:4" ht="14.45" customHeight="1">
      <c r="B20" s="23" t="s">
        <v>273</v>
      </c>
      <c r="C20" s="22">
        <v>57</v>
      </c>
      <c r="D20" s="21">
        <v>9.0519294902330003E-3</v>
      </c>
    </row>
    <row r="21" spans="2:4" ht="14.45" customHeight="1">
      <c r="B21" s="23" t="s">
        <v>274</v>
      </c>
      <c r="C21" s="22">
        <v>146</v>
      </c>
      <c r="D21" s="21">
        <v>2.3185643957440001E-2</v>
      </c>
    </row>
    <row r="22" spans="2:4" ht="14.45" customHeight="1">
      <c r="B22" s="23" t="s">
        <v>275</v>
      </c>
      <c r="C22" s="22">
        <v>225</v>
      </c>
      <c r="D22" s="21">
        <v>3.5731300619343001E-2</v>
      </c>
    </row>
    <row r="23" spans="2:4" ht="14.45" customHeight="1">
      <c r="B23" s="23" t="s">
        <v>276</v>
      </c>
      <c r="C23" s="22">
        <v>1388</v>
      </c>
      <c r="D23" s="21">
        <v>0.22042242337621101</v>
      </c>
    </row>
    <row r="24" spans="2:4" ht="14.45" customHeight="1">
      <c r="B24" s="23" t="s">
        <v>277</v>
      </c>
      <c r="C24" s="22">
        <v>175</v>
      </c>
      <c r="D24" s="21">
        <v>2.7791011592822001E-2</v>
      </c>
    </row>
    <row r="25" spans="2:4" ht="14.45" customHeight="1">
      <c r="B25" s="23" t="s">
        <v>278</v>
      </c>
      <c r="C25" s="22">
        <v>586</v>
      </c>
      <c r="D25" s="21">
        <v>9.3060187390821003E-2</v>
      </c>
    </row>
    <row r="26" spans="2:4" ht="14.45" customHeight="1">
      <c r="B26" s="23" t="s">
        <v>279</v>
      </c>
      <c r="C26" s="22">
        <v>1809</v>
      </c>
      <c r="D26" s="21">
        <v>0.28727965697951402</v>
      </c>
    </row>
    <row r="27" spans="2:4" ht="14.45" customHeight="1">
      <c r="B27" s="23" t="s">
        <v>280</v>
      </c>
      <c r="C27" s="22">
        <v>45</v>
      </c>
      <c r="D27" s="21">
        <v>7.1462601238689999E-3</v>
      </c>
    </row>
    <row r="28" spans="2:4" ht="14.45" customHeight="1">
      <c r="B28" s="23" t="s">
        <v>281</v>
      </c>
      <c r="C28" s="22">
        <v>71</v>
      </c>
      <c r="D28" s="21">
        <v>1.1275210417659E-2</v>
      </c>
    </row>
    <row r="29" spans="2:4" ht="14.45" customHeight="1">
      <c r="B29" s="23" t="s">
        <v>282</v>
      </c>
      <c r="C29" s="22">
        <v>30</v>
      </c>
      <c r="D29" s="21">
        <v>4.7641734159120002E-3</v>
      </c>
    </row>
    <row r="30" spans="2:4" ht="14.45" customHeight="1">
      <c r="B30" s="23" t="s">
        <v>283</v>
      </c>
      <c r="C30" s="22">
        <v>22</v>
      </c>
      <c r="D30" s="21">
        <v>3.4937271716690001E-3</v>
      </c>
    </row>
    <row r="31" spans="2:4" ht="14.45" customHeight="1">
      <c r="B31" s="23" t="s">
        <v>284</v>
      </c>
      <c r="C31" s="22">
        <v>234</v>
      </c>
      <c r="D31" s="21">
        <v>3.7160552644116003E-2</v>
      </c>
    </row>
    <row r="32" spans="2:4" ht="14.45" customHeight="1">
      <c r="B32" s="23" t="s">
        <v>285</v>
      </c>
      <c r="C32" s="22">
        <v>680</v>
      </c>
      <c r="D32" s="21">
        <v>0.10798793076068</v>
      </c>
    </row>
    <row r="33" spans="1:4" ht="14.45" customHeight="1">
      <c r="B33" s="23" t="s">
        <v>286</v>
      </c>
      <c r="C33" s="22">
        <v>10</v>
      </c>
      <c r="D33" s="21">
        <v>1.5880578053040001E-3</v>
      </c>
    </row>
    <row r="34" spans="1:4" ht="14.45" customHeight="1">
      <c r="B34" s="23" t="s">
        <v>287</v>
      </c>
      <c r="C34" s="22">
        <v>47</v>
      </c>
      <c r="D34" s="21">
        <v>7.4638716849290002E-3</v>
      </c>
    </row>
    <row r="35" spans="1:4" ht="14.45" customHeight="1">
      <c r="B35" s="23" t="s">
        <v>288</v>
      </c>
      <c r="C35" s="22">
        <v>9</v>
      </c>
      <c r="D35" s="21">
        <v>1.4292520247739999E-3</v>
      </c>
    </row>
    <row r="36" spans="1:4" ht="14.45" customHeight="1">
      <c r="B36" s="20" t="s">
        <v>29</v>
      </c>
      <c r="C36" s="19">
        <v>6297</v>
      </c>
      <c r="D36" s="18">
        <v>1</v>
      </c>
    </row>
    <row r="37" spans="1:4" ht="14.45" customHeight="1"/>
    <row r="38" spans="1:4" ht="14.45" customHeight="1">
      <c r="B38" s="15" t="s">
        <v>47</v>
      </c>
    </row>
    <row r="39" spans="1:4" ht="14.45" customHeight="1">
      <c r="B39" s="17" t="s">
        <v>18</v>
      </c>
    </row>
    <row r="40" spans="1:4" ht="14.45" customHeight="1">
      <c r="B40" s="16" t="s">
        <v>48</v>
      </c>
    </row>
    <row r="41" spans="1:4" ht="14.45" customHeight="1">
      <c r="B41" s="15" t="s">
        <v>17</v>
      </c>
    </row>
    <row r="42" spans="1:4" ht="14.45" customHeight="1">
      <c r="B42" s="15" t="s">
        <v>49</v>
      </c>
    </row>
    <row r="43" spans="1:4">
      <c r="A43" s="46"/>
    </row>
    <row r="45" spans="1:4">
      <c r="C45" s="13"/>
    </row>
    <row r="46" spans="1:4">
      <c r="C46" s="13"/>
    </row>
    <row r="47" spans="1:4">
      <c r="C47" s="13"/>
    </row>
    <row r="48" spans="1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14"/>
  <sheetViews>
    <sheetView showGridLines="0" view="pageBreakPreview" zoomScale="85" zoomScaleNormal="100" zoomScaleSheetLayoutView="85" workbookViewId="0">
      <selection activeCell="G13" sqref="G1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99"/>
      <c r="C7" s="99"/>
      <c r="D7" s="99"/>
      <c r="E7" s="99"/>
    </row>
    <row r="8" spans="1:5" s="40" customFormat="1" ht="33" customHeight="1">
      <c r="A8" s="41"/>
      <c r="B8" s="99"/>
      <c r="C8" s="99"/>
      <c r="D8" s="99"/>
      <c r="E8" s="99"/>
    </row>
    <row r="9" spans="1:5" s="25" customFormat="1" ht="40.5" customHeight="1">
      <c r="B9" s="37" t="s">
        <v>28</v>
      </c>
      <c r="C9" s="39" t="s">
        <v>25</v>
      </c>
      <c r="D9" s="38" t="s">
        <v>20</v>
      </c>
      <c r="E9" s="37" t="s">
        <v>19</v>
      </c>
    </row>
    <row r="10" spans="1:5" s="71" customFormat="1" ht="14.45" customHeight="1">
      <c r="B10" s="94" t="s">
        <v>265</v>
      </c>
      <c r="C10" s="63" t="s">
        <v>103</v>
      </c>
      <c r="D10" s="64">
        <v>11</v>
      </c>
      <c r="E10" s="65">
        <v>1.7468635858350001E-3</v>
      </c>
    </row>
    <row r="11" spans="1:5" s="71" customFormat="1" ht="14.45" customHeight="1">
      <c r="B11" s="95"/>
      <c r="C11" s="63" t="s">
        <v>105</v>
      </c>
      <c r="D11" s="64">
        <v>7</v>
      </c>
      <c r="E11" s="65">
        <v>1.111640463713E-3</v>
      </c>
    </row>
    <row r="12" spans="1:5" s="71" customFormat="1" ht="14.45" customHeight="1">
      <c r="B12" s="95"/>
      <c r="C12" s="63" t="s">
        <v>117</v>
      </c>
      <c r="D12" s="64">
        <v>1</v>
      </c>
      <c r="E12" s="65">
        <v>1.5880578052999999E-4</v>
      </c>
    </row>
    <row r="13" spans="1:5" s="71" customFormat="1" ht="14.45" customHeight="1">
      <c r="B13" s="95"/>
      <c r="C13" s="63" t="s">
        <v>128</v>
      </c>
      <c r="D13" s="64">
        <v>1</v>
      </c>
      <c r="E13" s="65">
        <v>1.5880578052999999E-4</v>
      </c>
    </row>
    <row r="14" spans="1:5" s="71" customFormat="1" ht="14.45" customHeight="1">
      <c r="B14" s="95"/>
      <c r="C14" s="63" t="s">
        <v>141</v>
      </c>
      <c r="D14" s="64">
        <v>1</v>
      </c>
      <c r="E14" s="65">
        <v>1.5880578052999999E-4</v>
      </c>
    </row>
    <row r="15" spans="1:5" s="71" customFormat="1" ht="14.45" customHeight="1">
      <c r="B15" s="95"/>
      <c r="C15" s="63" t="s">
        <v>142</v>
      </c>
      <c r="D15" s="64">
        <v>1</v>
      </c>
      <c r="E15" s="65">
        <v>1.5880578052999999E-4</v>
      </c>
    </row>
    <row r="16" spans="1:5" s="71" customFormat="1" ht="14.45" customHeight="1">
      <c r="B16" s="96"/>
      <c r="C16" s="36" t="s">
        <v>29</v>
      </c>
      <c r="D16" s="35">
        <v>22</v>
      </c>
      <c r="E16" s="34">
        <v>3.4937271716690001E-3</v>
      </c>
    </row>
    <row r="17" spans="2:5" s="71" customFormat="1" ht="14.45" customHeight="1">
      <c r="B17" s="94" t="s">
        <v>266</v>
      </c>
      <c r="C17" s="63" t="s">
        <v>103</v>
      </c>
      <c r="D17" s="64">
        <v>3</v>
      </c>
      <c r="E17" s="65">
        <v>4.7641734159099998E-4</v>
      </c>
    </row>
    <row r="18" spans="2:5" s="71" customFormat="1" ht="14.45" customHeight="1">
      <c r="B18" s="95"/>
      <c r="C18" s="63" t="s">
        <v>105</v>
      </c>
      <c r="D18" s="64">
        <v>1</v>
      </c>
      <c r="E18" s="65">
        <v>1.5880578052999999E-4</v>
      </c>
    </row>
    <row r="19" spans="2:5" s="71" customFormat="1" ht="14.45" customHeight="1">
      <c r="B19" s="95"/>
      <c r="C19" s="63" t="s">
        <v>121</v>
      </c>
      <c r="D19" s="64">
        <v>1</v>
      </c>
      <c r="E19" s="65">
        <v>1.5880578052999999E-4</v>
      </c>
    </row>
    <row r="20" spans="2:5" s="71" customFormat="1" ht="14.45" customHeight="1">
      <c r="B20" s="95"/>
      <c r="C20" s="63" t="s">
        <v>123</v>
      </c>
      <c r="D20" s="64">
        <v>1</v>
      </c>
      <c r="E20" s="65">
        <v>1.5880578052999999E-4</v>
      </c>
    </row>
    <row r="21" spans="2:5" s="71" customFormat="1" ht="14.45" customHeight="1">
      <c r="B21" s="96"/>
      <c r="C21" s="36" t="s">
        <v>29</v>
      </c>
      <c r="D21" s="35">
        <v>6</v>
      </c>
      <c r="E21" s="34">
        <v>9.5283468318199996E-4</v>
      </c>
    </row>
    <row r="22" spans="2:5" s="71" customFormat="1" ht="14.45" customHeight="1">
      <c r="B22" s="94" t="s">
        <v>267</v>
      </c>
      <c r="C22" s="63" t="s">
        <v>103</v>
      </c>
      <c r="D22" s="64">
        <v>5</v>
      </c>
      <c r="E22" s="65">
        <v>7.9402890265200003E-4</v>
      </c>
    </row>
    <row r="23" spans="2:5" s="71" customFormat="1" ht="14.45" customHeight="1">
      <c r="B23" s="95"/>
      <c r="C23" s="63" t="s">
        <v>105</v>
      </c>
      <c r="D23" s="64">
        <v>9</v>
      </c>
      <c r="E23" s="65">
        <v>1.4292520247739999E-3</v>
      </c>
    </row>
    <row r="24" spans="2:5" s="71" customFormat="1" ht="14.45" customHeight="1">
      <c r="B24" s="95"/>
      <c r="C24" s="63" t="s">
        <v>111</v>
      </c>
      <c r="D24" s="64">
        <v>1</v>
      </c>
      <c r="E24" s="65">
        <v>1.5880578052999999E-4</v>
      </c>
    </row>
    <row r="25" spans="2:5" s="71" customFormat="1" ht="14.45" customHeight="1">
      <c r="B25" s="95"/>
      <c r="C25" s="63" t="s">
        <v>122</v>
      </c>
      <c r="D25" s="64">
        <v>1</v>
      </c>
      <c r="E25" s="65">
        <v>1.5880578052999999E-4</v>
      </c>
    </row>
    <row r="26" spans="2:5" s="71" customFormat="1" ht="14.45" customHeight="1">
      <c r="B26" s="95"/>
      <c r="C26" s="63" t="s">
        <v>125</v>
      </c>
      <c r="D26" s="64">
        <v>1</v>
      </c>
      <c r="E26" s="65">
        <v>1.5880578052999999E-4</v>
      </c>
    </row>
    <row r="27" spans="2:5" s="71" customFormat="1" ht="14.45" customHeight="1">
      <c r="B27" s="95"/>
      <c r="C27" s="63" t="s">
        <v>142</v>
      </c>
      <c r="D27" s="64">
        <v>1</v>
      </c>
      <c r="E27" s="65">
        <v>1.5880578052999999E-4</v>
      </c>
    </row>
    <row r="28" spans="2:5" s="71" customFormat="1" ht="14.45" customHeight="1">
      <c r="B28" s="96"/>
      <c r="C28" s="36" t="s">
        <v>29</v>
      </c>
      <c r="D28" s="35">
        <v>18</v>
      </c>
      <c r="E28" s="34">
        <v>2.8585040495470002E-3</v>
      </c>
    </row>
    <row r="29" spans="2:5" s="71" customFormat="1" ht="14.45" customHeight="1">
      <c r="B29" s="94" t="s">
        <v>268</v>
      </c>
      <c r="C29" s="63" t="s">
        <v>103</v>
      </c>
      <c r="D29" s="64">
        <v>17</v>
      </c>
      <c r="E29" s="65">
        <v>2.699698269017E-3</v>
      </c>
    </row>
    <row r="30" spans="2:5" s="71" customFormat="1" ht="14.45" customHeight="1">
      <c r="B30" s="95"/>
      <c r="C30" s="63" t="s">
        <v>105</v>
      </c>
      <c r="D30" s="64">
        <v>18</v>
      </c>
      <c r="E30" s="65">
        <v>2.8585040495470002E-3</v>
      </c>
    </row>
    <row r="31" spans="2:5" s="71" customFormat="1" ht="14.45" customHeight="1">
      <c r="B31" s="95"/>
      <c r="C31" s="63" t="s">
        <v>110</v>
      </c>
      <c r="D31" s="64">
        <v>2</v>
      </c>
      <c r="E31" s="65">
        <v>3.1761156106099999E-4</v>
      </c>
    </row>
    <row r="32" spans="2:5" s="71" customFormat="1" ht="14.45" customHeight="1">
      <c r="B32" s="95"/>
      <c r="C32" s="63" t="s">
        <v>125</v>
      </c>
      <c r="D32" s="64">
        <v>1</v>
      </c>
      <c r="E32" s="65">
        <v>1.5880578052999999E-4</v>
      </c>
    </row>
    <row r="33" spans="2:5" s="71" customFormat="1" ht="14.45" customHeight="1">
      <c r="B33" s="95"/>
      <c r="C33" s="63" t="s">
        <v>132</v>
      </c>
      <c r="D33" s="64">
        <v>1</v>
      </c>
      <c r="E33" s="65">
        <v>1.5880578052999999E-4</v>
      </c>
    </row>
    <row r="34" spans="2:5" s="71" customFormat="1" ht="14.45" customHeight="1">
      <c r="B34" s="95"/>
      <c r="C34" s="63" t="s">
        <v>142</v>
      </c>
      <c r="D34" s="64">
        <v>2</v>
      </c>
      <c r="E34" s="65">
        <v>3.1761156106099999E-4</v>
      </c>
    </row>
    <row r="35" spans="2:5" s="71" customFormat="1" ht="14.45" customHeight="1">
      <c r="B35" s="95"/>
      <c r="C35" s="63" t="s">
        <v>96</v>
      </c>
      <c r="D35" s="64">
        <v>1</v>
      </c>
      <c r="E35" s="65">
        <v>1.5880578052999999E-4</v>
      </c>
    </row>
    <row r="36" spans="2:5" s="71" customFormat="1" ht="14.45" customHeight="1">
      <c r="B36" s="96"/>
      <c r="C36" s="36" t="s">
        <v>29</v>
      </c>
      <c r="D36" s="35">
        <v>42</v>
      </c>
      <c r="E36" s="34">
        <v>6.6698427822769997E-3</v>
      </c>
    </row>
    <row r="37" spans="2:5" s="71" customFormat="1" ht="14.45" customHeight="1">
      <c r="B37" s="94" t="s">
        <v>269</v>
      </c>
      <c r="C37" s="63" t="s">
        <v>103</v>
      </c>
      <c r="D37" s="64">
        <v>16</v>
      </c>
      <c r="E37" s="65">
        <v>2.5408924884869999E-3</v>
      </c>
    </row>
    <row r="38" spans="2:5" s="71" customFormat="1" ht="14.45" customHeight="1">
      <c r="B38" s="95"/>
      <c r="C38" s="63" t="s">
        <v>105</v>
      </c>
      <c r="D38" s="64">
        <v>18</v>
      </c>
      <c r="E38" s="65">
        <v>2.8585040495470002E-3</v>
      </c>
    </row>
    <row r="39" spans="2:5" s="71" customFormat="1" ht="14.45" customHeight="1">
      <c r="B39" s="95"/>
      <c r="C39" s="63" t="s">
        <v>106</v>
      </c>
      <c r="D39" s="64">
        <v>1</v>
      </c>
      <c r="E39" s="65">
        <v>1.5880578052999999E-4</v>
      </c>
    </row>
    <row r="40" spans="2:5" s="71" customFormat="1" ht="14.45" customHeight="1">
      <c r="B40" s="95"/>
      <c r="C40" s="63" t="s">
        <v>110</v>
      </c>
      <c r="D40" s="64">
        <v>2</v>
      </c>
      <c r="E40" s="65">
        <v>3.1761156106099999E-4</v>
      </c>
    </row>
    <row r="41" spans="2:5" s="71" customFormat="1" ht="14.45" customHeight="1">
      <c r="B41" s="95"/>
      <c r="C41" s="63" t="s">
        <v>142</v>
      </c>
      <c r="D41" s="64">
        <v>1</v>
      </c>
      <c r="E41" s="65">
        <v>1.5880578052999999E-4</v>
      </c>
    </row>
    <row r="42" spans="2:5" s="71" customFormat="1" ht="14.45" customHeight="1">
      <c r="B42" s="95"/>
      <c r="C42" s="63" t="s">
        <v>96</v>
      </c>
      <c r="D42" s="64">
        <v>1</v>
      </c>
      <c r="E42" s="65">
        <v>1.5880578052999999E-4</v>
      </c>
    </row>
    <row r="43" spans="2:5" s="71" customFormat="1" ht="14.45" customHeight="1">
      <c r="B43" s="96"/>
      <c r="C43" s="36" t="s">
        <v>29</v>
      </c>
      <c r="D43" s="35">
        <v>39</v>
      </c>
      <c r="E43" s="34">
        <v>6.1934254406859996E-3</v>
      </c>
    </row>
    <row r="44" spans="2:5" s="71" customFormat="1" ht="14.45" customHeight="1">
      <c r="B44" s="94" t="s">
        <v>270</v>
      </c>
      <c r="C44" s="63" t="s">
        <v>103</v>
      </c>
      <c r="D44" s="64">
        <v>25</v>
      </c>
      <c r="E44" s="65">
        <v>3.9701445132599997E-3</v>
      </c>
    </row>
    <row r="45" spans="2:5" s="71" customFormat="1" ht="14.45" customHeight="1">
      <c r="B45" s="95"/>
      <c r="C45" s="63" t="s">
        <v>105</v>
      </c>
      <c r="D45" s="64">
        <v>20</v>
      </c>
      <c r="E45" s="65">
        <v>3.1761156106080001E-3</v>
      </c>
    </row>
    <row r="46" spans="2:5" s="71" customFormat="1" ht="14.45" customHeight="1">
      <c r="B46" s="95"/>
      <c r="C46" s="63" t="s">
        <v>106</v>
      </c>
      <c r="D46" s="64">
        <v>1</v>
      </c>
      <c r="E46" s="65">
        <v>1.5880578052999999E-4</v>
      </c>
    </row>
    <row r="47" spans="2:5" s="71" customFormat="1" ht="14.45" customHeight="1">
      <c r="B47" s="95"/>
      <c r="C47" s="63" t="s">
        <v>117</v>
      </c>
      <c r="D47" s="64">
        <v>1</v>
      </c>
      <c r="E47" s="65">
        <v>1.5880578052999999E-4</v>
      </c>
    </row>
    <row r="48" spans="2:5" s="71" customFormat="1" ht="14.45" customHeight="1">
      <c r="B48" s="95"/>
      <c r="C48" s="63" t="s">
        <v>125</v>
      </c>
      <c r="D48" s="64">
        <v>1</v>
      </c>
      <c r="E48" s="65">
        <v>1.5880578052999999E-4</v>
      </c>
    </row>
    <row r="49" spans="2:5" s="71" customFormat="1" ht="14.45" customHeight="1">
      <c r="B49" s="95"/>
      <c r="C49" s="63" t="s">
        <v>128</v>
      </c>
      <c r="D49" s="64">
        <v>3</v>
      </c>
      <c r="E49" s="65">
        <v>4.7641734159099998E-4</v>
      </c>
    </row>
    <row r="50" spans="2:5" s="71" customFormat="1" ht="14.45" customHeight="1">
      <c r="B50" s="95"/>
      <c r="C50" s="63" t="s">
        <v>132</v>
      </c>
      <c r="D50" s="64">
        <v>1</v>
      </c>
      <c r="E50" s="65">
        <v>1.5880578052999999E-4</v>
      </c>
    </row>
    <row r="51" spans="2:5" s="71" customFormat="1" ht="14.45" customHeight="1">
      <c r="B51" s="95"/>
      <c r="C51" s="63" t="s">
        <v>136</v>
      </c>
      <c r="D51" s="64">
        <v>1</v>
      </c>
      <c r="E51" s="65">
        <v>1.5880578052999999E-4</v>
      </c>
    </row>
    <row r="52" spans="2:5" s="71" customFormat="1" ht="14.45" customHeight="1">
      <c r="B52" s="95"/>
      <c r="C52" s="63" t="s">
        <v>142</v>
      </c>
      <c r="D52" s="64">
        <v>2</v>
      </c>
      <c r="E52" s="65">
        <v>3.1761156106099999E-4</v>
      </c>
    </row>
    <row r="53" spans="2:5" s="71" customFormat="1" ht="14.45" customHeight="1">
      <c r="B53" s="95"/>
      <c r="C53" s="63" t="s">
        <v>145</v>
      </c>
      <c r="D53" s="64">
        <v>1</v>
      </c>
      <c r="E53" s="65">
        <v>1.5880578052999999E-4</v>
      </c>
    </row>
    <row r="54" spans="2:5" s="71" customFormat="1" ht="14.45" customHeight="1">
      <c r="B54" s="95"/>
      <c r="C54" s="63" t="s">
        <v>146</v>
      </c>
      <c r="D54" s="64">
        <v>1</v>
      </c>
      <c r="E54" s="65">
        <v>1.5880578052999999E-4</v>
      </c>
    </row>
    <row r="55" spans="2:5" s="71" customFormat="1" ht="14.45" customHeight="1">
      <c r="B55" s="96"/>
      <c r="C55" s="36" t="s">
        <v>29</v>
      </c>
      <c r="D55" s="35">
        <v>57</v>
      </c>
      <c r="E55" s="34">
        <v>9.0519294902330003E-3</v>
      </c>
    </row>
    <row r="56" spans="2:5" s="71" customFormat="1" ht="14.45" customHeight="1">
      <c r="B56" s="94" t="s">
        <v>271</v>
      </c>
      <c r="C56" s="63" t="s">
        <v>103</v>
      </c>
      <c r="D56" s="64">
        <v>70</v>
      </c>
      <c r="E56" s="65">
        <v>1.1116404637129E-2</v>
      </c>
    </row>
    <row r="57" spans="2:5" s="71" customFormat="1" ht="14.45" customHeight="1">
      <c r="B57" s="95"/>
      <c r="C57" s="63" t="s">
        <v>104</v>
      </c>
      <c r="D57" s="64">
        <v>1</v>
      </c>
      <c r="E57" s="65">
        <v>1.5880578052999999E-4</v>
      </c>
    </row>
    <row r="58" spans="2:5" s="71" customFormat="1" ht="14.45" customHeight="1">
      <c r="B58" s="95"/>
      <c r="C58" s="63" t="s">
        <v>105</v>
      </c>
      <c r="D58" s="64">
        <v>81</v>
      </c>
      <c r="E58" s="65">
        <v>1.2863268222962999E-2</v>
      </c>
    </row>
    <row r="59" spans="2:5" s="71" customFormat="1" ht="14.45" customHeight="1">
      <c r="B59" s="95"/>
      <c r="C59" s="63" t="s">
        <v>106</v>
      </c>
      <c r="D59" s="64">
        <v>4</v>
      </c>
      <c r="E59" s="65">
        <v>6.3522312212199999E-4</v>
      </c>
    </row>
    <row r="60" spans="2:5" s="71" customFormat="1" ht="14.45" customHeight="1">
      <c r="B60" s="95"/>
      <c r="C60" s="63" t="s">
        <v>110</v>
      </c>
      <c r="D60" s="64">
        <v>2</v>
      </c>
      <c r="E60" s="65">
        <v>3.1761156106099999E-4</v>
      </c>
    </row>
    <row r="61" spans="2:5" s="71" customFormat="1" ht="14.45" customHeight="1">
      <c r="B61" s="95"/>
      <c r="C61" s="63" t="s">
        <v>113</v>
      </c>
      <c r="D61" s="64">
        <v>6</v>
      </c>
      <c r="E61" s="65">
        <v>9.5283468318199996E-4</v>
      </c>
    </row>
    <row r="62" spans="2:5" s="71" customFormat="1" ht="14.45" customHeight="1">
      <c r="B62" s="95"/>
      <c r="C62" s="63" t="s">
        <v>114</v>
      </c>
      <c r="D62" s="64">
        <v>1</v>
      </c>
      <c r="E62" s="65">
        <v>1.5880578052999999E-4</v>
      </c>
    </row>
    <row r="63" spans="2:5" s="71" customFormat="1" ht="14.45" customHeight="1">
      <c r="B63" s="95"/>
      <c r="C63" s="63" t="s">
        <v>115</v>
      </c>
      <c r="D63" s="64">
        <v>2</v>
      </c>
      <c r="E63" s="65">
        <v>3.1761156106099999E-4</v>
      </c>
    </row>
    <row r="64" spans="2:5" s="71" customFormat="1" ht="14.45" customHeight="1">
      <c r="B64" s="95"/>
      <c r="C64" s="63" t="s">
        <v>117</v>
      </c>
      <c r="D64" s="64">
        <v>1</v>
      </c>
      <c r="E64" s="65">
        <v>1.5880578052999999E-4</v>
      </c>
    </row>
    <row r="65" spans="2:5" s="71" customFormat="1" ht="14.45" customHeight="1">
      <c r="B65" s="95"/>
      <c r="C65" s="63" t="s">
        <v>122</v>
      </c>
      <c r="D65" s="64">
        <v>1</v>
      </c>
      <c r="E65" s="65">
        <v>1.5880578052999999E-4</v>
      </c>
    </row>
    <row r="66" spans="2:5" s="71" customFormat="1" ht="14.45" customHeight="1">
      <c r="B66" s="95"/>
      <c r="C66" s="63" t="s">
        <v>125</v>
      </c>
      <c r="D66" s="64">
        <v>1</v>
      </c>
      <c r="E66" s="65">
        <v>1.5880578052999999E-4</v>
      </c>
    </row>
    <row r="67" spans="2:5" s="71" customFormat="1" ht="14.45" customHeight="1">
      <c r="B67" s="95"/>
      <c r="C67" s="63" t="s">
        <v>127</v>
      </c>
      <c r="D67" s="64">
        <v>3</v>
      </c>
      <c r="E67" s="65">
        <v>4.7641734159099998E-4</v>
      </c>
    </row>
    <row r="68" spans="2:5" s="71" customFormat="1" ht="14.45" customHeight="1">
      <c r="B68" s="95"/>
      <c r="C68" s="63" t="s">
        <v>128</v>
      </c>
      <c r="D68" s="64">
        <v>11</v>
      </c>
      <c r="E68" s="65">
        <v>1.7468635858350001E-3</v>
      </c>
    </row>
    <row r="69" spans="2:5" s="71" customFormat="1" ht="14.45" customHeight="1">
      <c r="B69" s="95"/>
      <c r="C69" s="63" t="s">
        <v>130</v>
      </c>
      <c r="D69" s="64">
        <v>1</v>
      </c>
      <c r="E69" s="65">
        <v>1.5880578052999999E-4</v>
      </c>
    </row>
    <row r="70" spans="2:5" s="71" customFormat="1" ht="14.45" customHeight="1">
      <c r="B70" s="95"/>
      <c r="C70" s="63" t="s">
        <v>132</v>
      </c>
      <c r="D70" s="64">
        <v>4</v>
      </c>
      <c r="E70" s="65">
        <v>6.3522312212199999E-4</v>
      </c>
    </row>
    <row r="71" spans="2:5" s="71" customFormat="1" ht="14.45" customHeight="1">
      <c r="B71" s="95"/>
      <c r="C71" s="63" t="s">
        <v>134</v>
      </c>
      <c r="D71" s="64">
        <v>2</v>
      </c>
      <c r="E71" s="65">
        <v>3.1761156106099999E-4</v>
      </c>
    </row>
    <row r="72" spans="2:5" s="71" customFormat="1" ht="14.45" customHeight="1">
      <c r="B72" s="95"/>
      <c r="C72" s="63" t="s">
        <v>135</v>
      </c>
      <c r="D72" s="64">
        <v>2</v>
      </c>
      <c r="E72" s="65">
        <v>3.1761156106099999E-4</v>
      </c>
    </row>
    <row r="73" spans="2:5" s="71" customFormat="1" ht="14.45" customHeight="1">
      <c r="B73" s="95"/>
      <c r="C73" s="63" t="s">
        <v>136</v>
      </c>
      <c r="D73" s="64">
        <v>1</v>
      </c>
      <c r="E73" s="65">
        <v>1.5880578052999999E-4</v>
      </c>
    </row>
    <row r="74" spans="2:5" s="71" customFormat="1" ht="14.45" customHeight="1">
      <c r="B74" s="95"/>
      <c r="C74" s="63" t="s">
        <v>139</v>
      </c>
      <c r="D74" s="64">
        <v>1</v>
      </c>
      <c r="E74" s="65">
        <v>1.5880578052999999E-4</v>
      </c>
    </row>
    <row r="75" spans="2:5" s="71" customFormat="1" ht="14.45" customHeight="1">
      <c r="B75" s="95"/>
      <c r="C75" s="63" t="s">
        <v>142</v>
      </c>
      <c r="D75" s="64">
        <v>9</v>
      </c>
      <c r="E75" s="65">
        <v>1.4292520247739999E-3</v>
      </c>
    </row>
    <row r="76" spans="2:5" s="71" customFormat="1" ht="14.45" customHeight="1">
      <c r="B76" s="95"/>
      <c r="C76" s="63" t="s">
        <v>143</v>
      </c>
      <c r="D76" s="64">
        <v>3</v>
      </c>
      <c r="E76" s="65">
        <v>4.7641734159099998E-4</v>
      </c>
    </row>
    <row r="77" spans="2:5" s="71" customFormat="1" ht="14.45" customHeight="1">
      <c r="B77" s="95"/>
      <c r="C77" s="63" t="s">
        <v>144</v>
      </c>
      <c r="D77" s="64">
        <v>1</v>
      </c>
      <c r="E77" s="65">
        <v>1.5880578052999999E-4</v>
      </c>
    </row>
    <row r="78" spans="2:5" s="71" customFormat="1" ht="14.45" customHeight="1">
      <c r="B78" s="95"/>
      <c r="C78" s="63" t="s">
        <v>145</v>
      </c>
      <c r="D78" s="64">
        <v>1</v>
      </c>
      <c r="E78" s="65">
        <v>1.5880578052999999E-4</v>
      </c>
    </row>
    <row r="79" spans="2:5" s="71" customFormat="1" ht="14.45" customHeight="1">
      <c r="B79" s="95"/>
      <c r="C79" s="63" t="s">
        <v>146</v>
      </c>
      <c r="D79" s="64">
        <v>1</v>
      </c>
      <c r="E79" s="65">
        <v>1.5880578052999999E-4</v>
      </c>
    </row>
    <row r="80" spans="2:5" s="71" customFormat="1" ht="14.45" customHeight="1">
      <c r="B80" s="96"/>
      <c r="C80" s="36" t="s">
        <v>29</v>
      </c>
      <c r="D80" s="35">
        <v>210</v>
      </c>
      <c r="E80" s="34">
        <v>3.3349213911385997E-2</v>
      </c>
    </row>
    <row r="81" spans="2:5" s="71" customFormat="1" ht="14.45" customHeight="1">
      <c r="B81" s="94" t="s">
        <v>272</v>
      </c>
      <c r="C81" s="63" t="s">
        <v>103</v>
      </c>
      <c r="D81" s="64">
        <v>129</v>
      </c>
      <c r="E81" s="65">
        <v>2.0485945688423001E-2</v>
      </c>
    </row>
    <row r="82" spans="2:5" s="71" customFormat="1" ht="14.45" customHeight="1">
      <c r="B82" s="95"/>
      <c r="C82" s="63" t="s">
        <v>104</v>
      </c>
      <c r="D82" s="64">
        <v>2</v>
      </c>
      <c r="E82" s="65">
        <v>3.1761156106099999E-4</v>
      </c>
    </row>
    <row r="83" spans="2:5" s="71" customFormat="1" ht="14.45" customHeight="1">
      <c r="B83" s="95"/>
      <c r="C83" s="63" t="s">
        <v>105</v>
      </c>
      <c r="D83" s="64">
        <v>129</v>
      </c>
      <c r="E83" s="65">
        <v>2.0485945688423001E-2</v>
      </c>
    </row>
    <row r="84" spans="2:5" s="71" customFormat="1" ht="14.45" customHeight="1">
      <c r="B84" s="95"/>
      <c r="C84" s="63" t="s">
        <v>106</v>
      </c>
      <c r="D84" s="64">
        <v>6</v>
      </c>
      <c r="E84" s="65">
        <v>9.5283468318199996E-4</v>
      </c>
    </row>
    <row r="85" spans="2:5" s="71" customFormat="1" ht="14.45" customHeight="1">
      <c r="B85" s="95"/>
      <c r="C85" s="63" t="s">
        <v>110</v>
      </c>
      <c r="D85" s="64">
        <v>2</v>
      </c>
      <c r="E85" s="65">
        <v>3.1761156106099999E-4</v>
      </c>
    </row>
    <row r="86" spans="2:5" s="71" customFormat="1" ht="14.45" customHeight="1">
      <c r="B86" s="95"/>
      <c r="C86" s="63" t="s">
        <v>111</v>
      </c>
      <c r="D86" s="64">
        <v>3</v>
      </c>
      <c r="E86" s="65">
        <v>4.7641734159099998E-4</v>
      </c>
    </row>
    <row r="87" spans="2:5" s="71" customFormat="1" ht="14.45" customHeight="1">
      <c r="B87" s="95"/>
      <c r="C87" s="63" t="s">
        <v>113</v>
      </c>
      <c r="D87" s="64">
        <v>7</v>
      </c>
      <c r="E87" s="65">
        <v>1.111640463713E-3</v>
      </c>
    </row>
    <row r="88" spans="2:5" s="71" customFormat="1" ht="14.45" customHeight="1">
      <c r="B88" s="95"/>
      <c r="C88" s="63" t="s">
        <v>114</v>
      </c>
      <c r="D88" s="64">
        <v>14</v>
      </c>
      <c r="E88" s="65">
        <v>2.2232809274259999E-3</v>
      </c>
    </row>
    <row r="89" spans="2:5" s="71" customFormat="1" ht="14.45" customHeight="1">
      <c r="B89" s="95"/>
      <c r="C89" s="63" t="s">
        <v>115</v>
      </c>
      <c r="D89" s="64">
        <v>1</v>
      </c>
      <c r="E89" s="65">
        <v>1.5880578052999999E-4</v>
      </c>
    </row>
    <row r="90" spans="2:5" s="71" customFormat="1" ht="14.45" customHeight="1">
      <c r="B90" s="95"/>
      <c r="C90" s="63" t="s">
        <v>116</v>
      </c>
      <c r="D90" s="64">
        <v>1</v>
      </c>
      <c r="E90" s="65">
        <v>1.5880578052999999E-4</v>
      </c>
    </row>
    <row r="91" spans="2:5" s="71" customFormat="1" ht="14.45" customHeight="1">
      <c r="B91" s="95"/>
      <c r="C91" s="63" t="s">
        <v>117</v>
      </c>
      <c r="D91" s="64">
        <v>2</v>
      </c>
      <c r="E91" s="65">
        <v>3.1761156106099999E-4</v>
      </c>
    </row>
    <row r="92" spans="2:5" s="71" customFormat="1" ht="14.45" customHeight="1">
      <c r="B92" s="95"/>
      <c r="C92" s="63" t="s">
        <v>122</v>
      </c>
      <c r="D92" s="64">
        <v>2</v>
      </c>
      <c r="E92" s="65">
        <v>3.1761156106099999E-4</v>
      </c>
    </row>
    <row r="93" spans="2:5" s="71" customFormat="1" ht="14.45" customHeight="1">
      <c r="B93" s="95"/>
      <c r="C93" s="63" t="s">
        <v>123</v>
      </c>
      <c r="D93" s="64">
        <v>2</v>
      </c>
      <c r="E93" s="65">
        <v>3.1761156106099999E-4</v>
      </c>
    </row>
    <row r="94" spans="2:5" s="71" customFormat="1" ht="14.45" customHeight="1">
      <c r="B94" s="95"/>
      <c r="C94" s="63" t="s">
        <v>125</v>
      </c>
      <c r="D94" s="64">
        <v>1</v>
      </c>
      <c r="E94" s="65">
        <v>1.5880578052999999E-4</v>
      </c>
    </row>
    <row r="95" spans="2:5" s="71" customFormat="1" ht="14.45" customHeight="1">
      <c r="B95" s="95"/>
      <c r="C95" s="63" t="s">
        <v>128</v>
      </c>
      <c r="D95" s="64">
        <v>19</v>
      </c>
      <c r="E95" s="65">
        <v>3.017309830078E-3</v>
      </c>
    </row>
    <row r="96" spans="2:5" s="71" customFormat="1" ht="14.45" customHeight="1">
      <c r="B96" s="95"/>
      <c r="C96" s="63" t="s">
        <v>129</v>
      </c>
      <c r="D96" s="64">
        <v>2</v>
      </c>
      <c r="E96" s="65">
        <v>3.1761156106099999E-4</v>
      </c>
    </row>
    <row r="97" spans="2:5" s="71" customFormat="1" ht="14.45" customHeight="1">
      <c r="B97" s="95"/>
      <c r="C97" s="63" t="s">
        <v>130</v>
      </c>
      <c r="D97" s="64">
        <v>2</v>
      </c>
      <c r="E97" s="65">
        <v>3.1761156106099999E-4</v>
      </c>
    </row>
    <row r="98" spans="2:5" s="71" customFormat="1" ht="14.45" customHeight="1">
      <c r="B98" s="95"/>
      <c r="C98" s="63" t="s">
        <v>131</v>
      </c>
      <c r="D98" s="64">
        <v>1</v>
      </c>
      <c r="E98" s="65">
        <v>1.5880578052999999E-4</v>
      </c>
    </row>
    <row r="99" spans="2:5" s="71" customFormat="1" ht="14.45" customHeight="1">
      <c r="B99" s="95"/>
      <c r="C99" s="63" t="s">
        <v>132</v>
      </c>
      <c r="D99" s="64">
        <v>7</v>
      </c>
      <c r="E99" s="65">
        <v>1.111640463713E-3</v>
      </c>
    </row>
    <row r="100" spans="2:5" s="71" customFormat="1" ht="14.45" customHeight="1">
      <c r="B100" s="95"/>
      <c r="C100" s="63" t="s">
        <v>134</v>
      </c>
      <c r="D100" s="64">
        <v>1</v>
      </c>
      <c r="E100" s="65">
        <v>1.5880578052999999E-4</v>
      </c>
    </row>
    <row r="101" spans="2:5" s="71" customFormat="1" ht="14.45" customHeight="1">
      <c r="B101" s="95"/>
      <c r="C101" s="63" t="s">
        <v>135</v>
      </c>
      <c r="D101" s="64">
        <v>6</v>
      </c>
      <c r="E101" s="65">
        <v>9.5283468318199996E-4</v>
      </c>
    </row>
    <row r="102" spans="2:5" s="71" customFormat="1" ht="14.45" customHeight="1">
      <c r="B102" s="95"/>
      <c r="C102" s="63" t="s">
        <v>136</v>
      </c>
      <c r="D102" s="64">
        <v>1</v>
      </c>
      <c r="E102" s="65">
        <v>1.5880578052999999E-4</v>
      </c>
    </row>
    <row r="103" spans="2:5" s="71" customFormat="1" ht="14.45" customHeight="1">
      <c r="B103" s="95"/>
      <c r="C103" s="63" t="s">
        <v>138</v>
      </c>
      <c r="D103" s="64">
        <v>1</v>
      </c>
      <c r="E103" s="65">
        <v>1.5880578052999999E-4</v>
      </c>
    </row>
    <row r="104" spans="2:5" s="71" customFormat="1" ht="14.45" customHeight="1">
      <c r="B104" s="95"/>
      <c r="C104" s="63" t="s">
        <v>139</v>
      </c>
      <c r="D104" s="64">
        <v>1</v>
      </c>
      <c r="E104" s="65">
        <v>1.5880578052999999E-4</v>
      </c>
    </row>
    <row r="105" spans="2:5" s="71" customFormat="1" ht="14.45" customHeight="1">
      <c r="B105" s="95"/>
      <c r="C105" s="63" t="s">
        <v>142</v>
      </c>
      <c r="D105" s="64">
        <v>16</v>
      </c>
      <c r="E105" s="65">
        <v>2.5408924884869999E-3</v>
      </c>
    </row>
    <row r="106" spans="2:5" s="71" customFormat="1" ht="14.45" customHeight="1">
      <c r="B106" s="95"/>
      <c r="C106" s="63" t="s">
        <v>143</v>
      </c>
      <c r="D106" s="64">
        <v>4</v>
      </c>
      <c r="E106" s="65">
        <v>6.3522312212199999E-4</v>
      </c>
    </row>
    <row r="107" spans="2:5" s="71" customFormat="1" ht="14.45" customHeight="1">
      <c r="B107" s="95"/>
      <c r="C107" s="63" t="s">
        <v>144</v>
      </c>
      <c r="D107" s="64">
        <v>1</v>
      </c>
      <c r="E107" s="65">
        <v>1.5880578052999999E-4</v>
      </c>
    </row>
    <row r="108" spans="2:5" s="71" customFormat="1" ht="14.45" customHeight="1">
      <c r="B108" s="95"/>
      <c r="C108" s="63" t="s">
        <v>96</v>
      </c>
      <c r="D108" s="64">
        <v>2</v>
      </c>
      <c r="E108" s="65">
        <v>3.1761156106099999E-4</v>
      </c>
    </row>
    <row r="109" spans="2:5" s="71" customFormat="1" ht="14.45" customHeight="1">
      <c r="B109" s="95"/>
      <c r="C109" s="63" t="s">
        <v>145</v>
      </c>
      <c r="D109" s="64">
        <v>1</v>
      </c>
      <c r="E109" s="65">
        <v>1.5880578052999999E-4</v>
      </c>
    </row>
    <row r="110" spans="2:5" s="71" customFormat="1" ht="14.45" customHeight="1">
      <c r="B110" s="95"/>
      <c r="C110" s="63" t="s">
        <v>146</v>
      </c>
      <c r="D110" s="64">
        <v>3</v>
      </c>
      <c r="E110" s="65">
        <v>4.7641734159099998E-4</v>
      </c>
    </row>
    <row r="111" spans="2:5" s="71" customFormat="1" ht="14.45" customHeight="1">
      <c r="B111" s="96"/>
      <c r="C111" s="36" t="s">
        <v>29</v>
      </c>
      <c r="D111" s="35">
        <v>369</v>
      </c>
      <c r="E111" s="34">
        <v>5.8599333015721997E-2</v>
      </c>
    </row>
    <row r="112" spans="2:5" s="71" customFormat="1" ht="14.45" customHeight="1">
      <c r="B112" s="94" t="s">
        <v>273</v>
      </c>
      <c r="C112" s="63" t="s">
        <v>103</v>
      </c>
      <c r="D112" s="64">
        <v>26</v>
      </c>
      <c r="E112" s="65">
        <v>4.1289502937910004E-3</v>
      </c>
    </row>
    <row r="113" spans="2:5" s="71" customFormat="1" ht="14.45" customHeight="1">
      <c r="B113" s="95"/>
      <c r="C113" s="63" t="s">
        <v>105</v>
      </c>
      <c r="D113" s="64">
        <v>12</v>
      </c>
      <c r="E113" s="65">
        <v>1.905669366365E-3</v>
      </c>
    </row>
    <row r="114" spans="2:5" s="71" customFormat="1" ht="14.45" customHeight="1">
      <c r="B114" s="95"/>
      <c r="C114" s="63" t="s">
        <v>106</v>
      </c>
      <c r="D114" s="64">
        <v>1</v>
      </c>
      <c r="E114" s="65">
        <v>1.5880578052999999E-4</v>
      </c>
    </row>
    <row r="115" spans="2:5" s="71" customFormat="1" ht="14.45" customHeight="1">
      <c r="B115" s="95"/>
      <c r="C115" s="63" t="s">
        <v>124</v>
      </c>
      <c r="D115" s="64">
        <v>1</v>
      </c>
      <c r="E115" s="65">
        <v>1.5880578052999999E-4</v>
      </c>
    </row>
    <row r="116" spans="2:5" s="71" customFormat="1" ht="14.45" customHeight="1">
      <c r="B116" s="95"/>
      <c r="C116" s="63" t="s">
        <v>128</v>
      </c>
      <c r="D116" s="64">
        <v>4</v>
      </c>
      <c r="E116" s="65">
        <v>6.3522312212199999E-4</v>
      </c>
    </row>
    <row r="117" spans="2:5" s="71" customFormat="1" ht="14.45" customHeight="1">
      <c r="B117" s="95"/>
      <c r="C117" s="63" t="s">
        <v>132</v>
      </c>
      <c r="D117" s="64">
        <v>1</v>
      </c>
      <c r="E117" s="65">
        <v>1.5880578052999999E-4</v>
      </c>
    </row>
    <row r="118" spans="2:5" s="71" customFormat="1" ht="14.45" customHeight="1">
      <c r="B118" s="95"/>
      <c r="C118" s="63" t="s">
        <v>134</v>
      </c>
      <c r="D118" s="64">
        <v>1</v>
      </c>
      <c r="E118" s="65">
        <v>1.5880578052999999E-4</v>
      </c>
    </row>
    <row r="119" spans="2:5" s="71" customFormat="1" ht="14.45" customHeight="1">
      <c r="B119" s="95"/>
      <c r="C119" s="63" t="s">
        <v>135</v>
      </c>
      <c r="D119" s="64">
        <v>3</v>
      </c>
      <c r="E119" s="65">
        <v>4.7641734159099998E-4</v>
      </c>
    </row>
    <row r="120" spans="2:5" s="71" customFormat="1" ht="14.45" customHeight="1">
      <c r="B120" s="95"/>
      <c r="C120" s="63" t="s">
        <v>139</v>
      </c>
      <c r="D120" s="64">
        <v>1</v>
      </c>
      <c r="E120" s="65">
        <v>1.5880578052999999E-4</v>
      </c>
    </row>
    <row r="121" spans="2:5" s="71" customFormat="1" ht="14.45" customHeight="1">
      <c r="B121" s="95"/>
      <c r="C121" s="63" t="s">
        <v>142</v>
      </c>
      <c r="D121" s="64">
        <v>4</v>
      </c>
      <c r="E121" s="65">
        <v>6.3522312212199999E-4</v>
      </c>
    </row>
    <row r="122" spans="2:5" s="71" customFormat="1" ht="14.45" customHeight="1">
      <c r="B122" s="95"/>
      <c r="C122" s="63" t="s">
        <v>96</v>
      </c>
      <c r="D122" s="64">
        <v>1</v>
      </c>
      <c r="E122" s="65">
        <v>1.5880578052999999E-4</v>
      </c>
    </row>
    <row r="123" spans="2:5" s="71" customFormat="1" ht="14.45" customHeight="1">
      <c r="B123" s="95"/>
      <c r="C123" s="63" t="s">
        <v>145</v>
      </c>
      <c r="D123" s="64">
        <v>1</v>
      </c>
      <c r="E123" s="65">
        <v>1.5880578052999999E-4</v>
      </c>
    </row>
    <row r="124" spans="2:5" s="71" customFormat="1" ht="14.45" customHeight="1">
      <c r="B124" s="95"/>
      <c r="C124" s="63" t="s">
        <v>146</v>
      </c>
      <c r="D124" s="64">
        <v>1</v>
      </c>
      <c r="E124" s="65">
        <v>1.5880578052999999E-4</v>
      </c>
    </row>
    <row r="125" spans="2:5" s="71" customFormat="1" ht="14.45" customHeight="1">
      <c r="B125" s="96"/>
      <c r="C125" s="36" t="s">
        <v>29</v>
      </c>
      <c r="D125" s="35">
        <v>57</v>
      </c>
      <c r="E125" s="34">
        <v>9.0519294902330003E-3</v>
      </c>
    </row>
    <row r="126" spans="2:5" s="71" customFormat="1" ht="14.45" customHeight="1">
      <c r="B126" s="94" t="s">
        <v>274</v>
      </c>
      <c r="C126" s="63" t="s">
        <v>103</v>
      </c>
      <c r="D126" s="64">
        <v>70</v>
      </c>
      <c r="E126" s="65">
        <v>1.1116404637129E-2</v>
      </c>
    </row>
    <row r="127" spans="2:5" s="71" customFormat="1" ht="14.45" customHeight="1">
      <c r="B127" s="95"/>
      <c r="C127" s="63" t="s">
        <v>105</v>
      </c>
      <c r="D127" s="64">
        <v>41</v>
      </c>
      <c r="E127" s="65">
        <v>6.511037001747E-3</v>
      </c>
    </row>
    <row r="128" spans="2:5" s="71" customFormat="1" ht="14.45" customHeight="1">
      <c r="B128" s="95"/>
      <c r="C128" s="63" t="s">
        <v>106</v>
      </c>
      <c r="D128" s="64">
        <v>1</v>
      </c>
      <c r="E128" s="65">
        <v>1.5880578052999999E-4</v>
      </c>
    </row>
    <row r="129" spans="2:5" s="71" customFormat="1" ht="14.45" customHeight="1">
      <c r="B129" s="95"/>
      <c r="C129" s="63" t="s">
        <v>110</v>
      </c>
      <c r="D129" s="64">
        <v>4</v>
      </c>
      <c r="E129" s="65">
        <v>6.3522312212199999E-4</v>
      </c>
    </row>
    <row r="130" spans="2:5" s="71" customFormat="1" ht="14.45" customHeight="1">
      <c r="B130" s="95"/>
      <c r="C130" s="63" t="s">
        <v>111</v>
      </c>
      <c r="D130" s="64">
        <v>1</v>
      </c>
      <c r="E130" s="65">
        <v>1.5880578052999999E-4</v>
      </c>
    </row>
    <row r="131" spans="2:5" s="71" customFormat="1" ht="14.45" customHeight="1">
      <c r="B131" s="95"/>
      <c r="C131" s="63" t="s">
        <v>113</v>
      </c>
      <c r="D131" s="64">
        <v>3</v>
      </c>
      <c r="E131" s="65">
        <v>4.7641734159099998E-4</v>
      </c>
    </row>
    <row r="132" spans="2:5" s="71" customFormat="1" ht="14.45" customHeight="1">
      <c r="B132" s="95"/>
      <c r="C132" s="63" t="s">
        <v>114</v>
      </c>
      <c r="D132" s="64">
        <v>2</v>
      </c>
      <c r="E132" s="65">
        <v>3.1761156106099999E-4</v>
      </c>
    </row>
    <row r="133" spans="2:5" s="71" customFormat="1" ht="14.45" customHeight="1">
      <c r="B133" s="95"/>
      <c r="C133" s="63" t="s">
        <v>115</v>
      </c>
      <c r="D133" s="64">
        <v>1</v>
      </c>
      <c r="E133" s="65">
        <v>1.5880578052999999E-4</v>
      </c>
    </row>
    <row r="134" spans="2:5" s="71" customFormat="1" ht="14.45" customHeight="1">
      <c r="B134" s="95"/>
      <c r="C134" s="63" t="s">
        <v>117</v>
      </c>
      <c r="D134" s="64">
        <v>3</v>
      </c>
      <c r="E134" s="65">
        <v>4.7641734159099998E-4</v>
      </c>
    </row>
    <row r="135" spans="2:5" s="71" customFormat="1" ht="14.45" customHeight="1">
      <c r="B135" s="95"/>
      <c r="C135" s="63" t="s">
        <v>124</v>
      </c>
      <c r="D135" s="64">
        <v>1</v>
      </c>
      <c r="E135" s="65">
        <v>1.5880578052999999E-4</v>
      </c>
    </row>
    <row r="136" spans="2:5" s="71" customFormat="1" ht="14.45" customHeight="1">
      <c r="B136" s="95"/>
      <c r="C136" s="63" t="s">
        <v>125</v>
      </c>
      <c r="D136" s="64">
        <v>2</v>
      </c>
      <c r="E136" s="65">
        <v>3.1761156106099999E-4</v>
      </c>
    </row>
    <row r="137" spans="2:5" s="71" customFormat="1" ht="14.45" customHeight="1">
      <c r="B137" s="95"/>
      <c r="C137" s="63" t="s">
        <v>127</v>
      </c>
      <c r="D137" s="64">
        <v>1</v>
      </c>
      <c r="E137" s="65">
        <v>1.5880578052999999E-4</v>
      </c>
    </row>
    <row r="138" spans="2:5" s="71" customFormat="1" ht="14.45" customHeight="1">
      <c r="B138" s="95"/>
      <c r="C138" s="63" t="s">
        <v>128</v>
      </c>
      <c r="D138" s="64">
        <v>4</v>
      </c>
      <c r="E138" s="65">
        <v>6.3522312212199999E-4</v>
      </c>
    </row>
    <row r="139" spans="2:5" s="71" customFormat="1" ht="14.45" customHeight="1">
      <c r="B139" s="95"/>
      <c r="C139" s="63" t="s">
        <v>129</v>
      </c>
      <c r="D139" s="64">
        <v>1</v>
      </c>
      <c r="E139" s="65">
        <v>1.5880578052999999E-4</v>
      </c>
    </row>
    <row r="140" spans="2:5" s="71" customFormat="1" ht="14.45" customHeight="1">
      <c r="B140" s="95"/>
      <c r="C140" s="63" t="s">
        <v>130</v>
      </c>
      <c r="D140" s="64">
        <v>1</v>
      </c>
      <c r="E140" s="65">
        <v>1.5880578052999999E-4</v>
      </c>
    </row>
    <row r="141" spans="2:5" s="71" customFormat="1" ht="14.45" customHeight="1">
      <c r="B141" s="95"/>
      <c r="C141" s="63" t="s">
        <v>135</v>
      </c>
      <c r="D141" s="64">
        <v>2</v>
      </c>
      <c r="E141" s="65">
        <v>3.1761156106099999E-4</v>
      </c>
    </row>
    <row r="142" spans="2:5" s="71" customFormat="1" ht="14.45" customHeight="1">
      <c r="B142" s="95"/>
      <c r="C142" s="63" t="s">
        <v>136</v>
      </c>
      <c r="D142" s="64">
        <v>1</v>
      </c>
      <c r="E142" s="65">
        <v>1.5880578052999999E-4</v>
      </c>
    </row>
    <row r="143" spans="2:5" s="71" customFormat="1" ht="14.45" customHeight="1">
      <c r="B143" s="95"/>
      <c r="C143" s="63" t="s">
        <v>137</v>
      </c>
      <c r="D143" s="64">
        <v>1</v>
      </c>
      <c r="E143" s="65">
        <v>1.5880578052999999E-4</v>
      </c>
    </row>
    <row r="144" spans="2:5" s="71" customFormat="1" ht="14.45" customHeight="1">
      <c r="B144" s="95"/>
      <c r="C144" s="63" t="s">
        <v>140</v>
      </c>
      <c r="D144" s="64">
        <v>1</v>
      </c>
      <c r="E144" s="65">
        <v>1.5880578052999999E-4</v>
      </c>
    </row>
    <row r="145" spans="2:5" s="71" customFormat="1" ht="14.45" customHeight="1">
      <c r="B145" s="95"/>
      <c r="C145" s="63" t="s">
        <v>141</v>
      </c>
      <c r="D145" s="64">
        <v>1</v>
      </c>
      <c r="E145" s="65">
        <v>1.5880578052999999E-4</v>
      </c>
    </row>
    <row r="146" spans="2:5" s="71" customFormat="1" ht="14.45" customHeight="1">
      <c r="B146" s="95"/>
      <c r="C146" s="63" t="s">
        <v>142</v>
      </c>
      <c r="D146" s="64">
        <v>3</v>
      </c>
      <c r="E146" s="65">
        <v>4.7641734159099998E-4</v>
      </c>
    </row>
    <row r="147" spans="2:5" s="71" customFormat="1" ht="14.45" customHeight="1">
      <c r="B147" s="95"/>
      <c r="C147" s="63" t="s">
        <v>143</v>
      </c>
      <c r="D147" s="64">
        <v>1</v>
      </c>
      <c r="E147" s="65">
        <v>1.5880578052999999E-4</v>
      </c>
    </row>
    <row r="148" spans="2:5" s="71" customFormat="1" ht="14.45" customHeight="1">
      <c r="B148" s="96"/>
      <c r="C148" s="36" t="s">
        <v>29</v>
      </c>
      <c r="D148" s="35">
        <v>146</v>
      </c>
      <c r="E148" s="34">
        <v>2.3185643957440001E-2</v>
      </c>
    </row>
    <row r="149" spans="2:5" s="71" customFormat="1" ht="14.45" customHeight="1">
      <c r="B149" s="94" t="s">
        <v>275</v>
      </c>
      <c r="C149" s="63" t="s">
        <v>103</v>
      </c>
      <c r="D149" s="64">
        <v>97</v>
      </c>
      <c r="E149" s="65">
        <v>1.540416071145E-2</v>
      </c>
    </row>
    <row r="150" spans="2:5" s="71" customFormat="1" ht="14.45" customHeight="1">
      <c r="B150" s="95"/>
      <c r="C150" s="63" t="s">
        <v>104</v>
      </c>
      <c r="D150" s="64">
        <v>1</v>
      </c>
      <c r="E150" s="65">
        <v>1.5880578052999999E-4</v>
      </c>
    </row>
    <row r="151" spans="2:5" s="71" customFormat="1" ht="14.45" customHeight="1">
      <c r="B151" s="95"/>
      <c r="C151" s="63" t="s">
        <v>105</v>
      </c>
      <c r="D151" s="64">
        <v>69</v>
      </c>
      <c r="E151" s="65">
        <v>1.0957598856598E-2</v>
      </c>
    </row>
    <row r="152" spans="2:5" s="71" customFormat="1" ht="14.45" customHeight="1">
      <c r="B152" s="95"/>
      <c r="C152" s="63" t="s">
        <v>106</v>
      </c>
      <c r="D152" s="64">
        <v>6</v>
      </c>
      <c r="E152" s="65">
        <v>9.5283468318199996E-4</v>
      </c>
    </row>
    <row r="153" spans="2:5" s="71" customFormat="1" ht="14.45" customHeight="1">
      <c r="B153" s="95"/>
      <c r="C153" s="63" t="s">
        <v>111</v>
      </c>
      <c r="D153" s="64">
        <v>2</v>
      </c>
      <c r="E153" s="65">
        <v>3.1761156106099999E-4</v>
      </c>
    </row>
    <row r="154" spans="2:5" s="71" customFormat="1" ht="14.45" customHeight="1">
      <c r="B154" s="95"/>
      <c r="C154" s="63" t="s">
        <v>113</v>
      </c>
      <c r="D154" s="64">
        <v>5</v>
      </c>
      <c r="E154" s="65">
        <v>7.9402890265200003E-4</v>
      </c>
    </row>
    <row r="155" spans="2:5" s="71" customFormat="1" ht="14.45" customHeight="1">
      <c r="B155" s="95"/>
      <c r="C155" s="63" t="s">
        <v>114</v>
      </c>
      <c r="D155" s="64">
        <v>3</v>
      </c>
      <c r="E155" s="65">
        <v>4.7641734159099998E-4</v>
      </c>
    </row>
    <row r="156" spans="2:5" s="71" customFormat="1" ht="14.45" customHeight="1">
      <c r="B156" s="95"/>
      <c r="C156" s="63" t="s">
        <v>115</v>
      </c>
      <c r="D156" s="64">
        <v>1</v>
      </c>
      <c r="E156" s="65">
        <v>1.5880578052999999E-4</v>
      </c>
    </row>
    <row r="157" spans="2:5" s="71" customFormat="1" ht="14.45" customHeight="1">
      <c r="B157" s="95"/>
      <c r="C157" s="63" t="s">
        <v>117</v>
      </c>
      <c r="D157" s="64">
        <v>2</v>
      </c>
      <c r="E157" s="65">
        <v>3.1761156106099999E-4</v>
      </c>
    </row>
    <row r="158" spans="2:5" s="71" customFormat="1" ht="14.45" customHeight="1">
      <c r="B158" s="95"/>
      <c r="C158" s="63" t="s">
        <v>123</v>
      </c>
      <c r="D158" s="64">
        <v>1</v>
      </c>
      <c r="E158" s="65">
        <v>1.5880578052999999E-4</v>
      </c>
    </row>
    <row r="159" spans="2:5" s="71" customFormat="1" ht="14.45" customHeight="1">
      <c r="B159" s="95"/>
      <c r="C159" s="63" t="s">
        <v>128</v>
      </c>
      <c r="D159" s="64">
        <v>16</v>
      </c>
      <c r="E159" s="65">
        <v>2.5408924884869999E-3</v>
      </c>
    </row>
    <row r="160" spans="2:5" s="71" customFormat="1" ht="14.45" customHeight="1">
      <c r="B160" s="95"/>
      <c r="C160" s="63" t="s">
        <v>132</v>
      </c>
      <c r="D160" s="64">
        <v>1</v>
      </c>
      <c r="E160" s="65">
        <v>1.5880578052999999E-4</v>
      </c>
    </row>
    <row r="161" spans="2:5" s="71" customFormat="1" ht="14.45" customHeight="1">
      <c r="B161" s="95"/>
      <c r="C161" s="63" t="s">
        <v>134</v>
      </c>
      <c r="D161" s="64">
        <v>2</v>
      </c>
      <c r="E161" s="65">
        <v>3.1761156106099999E-4</v>
      </c>
    </row>
    <row r="162" spans="2:5" s="71" customFormat="1" ht="14.45" customHeight="1">
      <c r="B162" s="95"/>
      <c r="C162" s="63" t="s">
        <v>135</v>
      </c>
      <c r="D162" s="64">
        <v>1</v>
      </c>
      <c r="E162" s="65">
        <v>1.5880578052999999E-4</v>
      </c>
    </row>
    <row r="163" spans="2:5" s="71" customFormat="1" ht="14.45" customHeight="1">
      <c r="B163" s="95"/>
      <c r="C163" s="63" t="s">
        <v>136</v>
      </c>
      <c r="D163" s="64">
        <v>1</v>
      </c>
      <c r="E163" s="65">
        <v>1.5880578052999999E-4</v>
      </c>
    </row>
    <row r="164" spans="2:5" s="71" customFormat="1" ht="14.45" customHeight="1">
      <c r="B164" s="95"/>
      <c r="C164" s="63" t="s">
        <v>139</v>
      </c>
      <c r="D164" s="64">
        <v>2</v>
      </c>
      <c r="E164" s="65">
        <v>3.1761156106099999E-4</v>
      </c>
    </row>
    <row r="165" spans="2:5" s="71" customFormat="1" ht="14.45" customHeight="1">
      <c r="B165" s="95"/>
      <c r="C165" s="63" t="s">
        <v>141</v>
      </c>
      <c r="D165" s="64">
        <v>1</v>
      </c>
      <c r="E165" s="65">
        <v>1.5880578052999999E-4</v>
      </c>
    </row>
    <row r="166" spans="2:5" s="71" customFormat="1" ht="14.45" customHeight="1">
      <c r="B166" s="95"/>
      <c r="C166" s="63" t="s">
        <v>142</v>
      </c>
      <c r="D166" s="64">
        <v>7</v>
      </c>
      <c r="E166" s="65">
        <v>1.111640463713E-3</v>
      </c>
    </row>
    <row r="167" spans="2:5" s="71" customFormat="1" ht="14.45" customHeight="1">
      <c r="B167" s="95"/>
      <c r="C167" s="63" t="s">
        <v>143</v>
      </c>
      <c r="D167" s="64">
        <v>4</v>
      </c>
      <c r="E167" s="65">
        <v>6.3522312212199999E-4</v>
      </c>
    </row>
    <row r="168" spans="2:5" s="71" customFormat="1" ht="14.45" customHeight="1">
      <c r="B168" s="95"/>
      <c r="C168" s="63" t="s">
        <v>145</v>
      </c>
      <c r="D168" s="64">
        <v>2</v>
      </c>
      <c r="E168" s="65">
        <v>3.1761156106099999E-4</v>
      </c>
    </row>
    <row r="169" spans="2:5" s="71" customFormat="1" ht="14.45" customHeight="1">
      <c r="B169" s="95"/>
      <c r="C169" s="63" t="s">
        <v>146</v>
      </c>
      <c r="D169" s="64">
        <v>1</v>
      </c>
      <c r="E169" s="65">
        <v>1.5880578052999999E-4</v>
      </c>
    </row>
    <row r="170" spans="2:5" s="71" customFormat="1" ht="14.45" customHeight="1">
      <c r="B170" s="96"/>
      <c r="C170" s="36" t="s">
        <v>29</v>
      </c>
      <c r="D170" s="35">
        <v>225</v>
      </c>
      <c r="E170" s="34">
        <v>3.5731300619343001E-2</v>
      </c>
    </row>
    <row r="171" spans="2:5" s="71" customFormat="1" ht="14.45" customHeight="1">
      <c r="B171" s="94" t="s">
        <v>276</v>
      </c>
      <c r="C171" s="63" t="s">
        <v>102</v>
      </c>
      <c r="D171" s="64">
        <v>3</v>
      </c>
      <c r="E171" s="65">
        <v>4.7641734159099998E-4</v>
      </c>
    </row>
    <row r="172" spans="2:5" s="71" customFormat="1" ht="14.45" customHeight="1">
      <c r="B172" s="95"/>
      <c r="C172" s="63" t="s">
        <v>103</v>
      </c>
      <c r="D172" s="64">
        <v>606</v>
      </c>
      <c r="E172" s="65">
        <v>9.6236303001429005E-2</v>
      </c>
    </row>
    <row r="173" spans="2:5" s="71" customFormat="1" ht="14.45" customHeight="1">
      <c r="B173" s="95"/>
      <c r="C173" s="63" t="s">
        <v>104</v>
      </c>
      <c r="D173" s="64">
        <v>5</v>
      </c>
      <c r="E173" s="65">
        <v>7.9402890265200003E-4</v>
      </c>
    </row>
    <row r="174" spans="2:5" s="71" customFormat="1" ht="14.45" customHeight="1">
      <c r="B174" s="95"/>
      <c r="C174" s="63" t="s">
        <v>105</v>
      </c>
      <c r="D174" s="64">
        <v>359</v>
      </c>
      <c r="E174" s="65">
        <v>5.7011275210418003E-2</v>
      </c>
    </row>
    <row r="175" spans="2:5" s="71" customFormat="1" ht="14.45" customHeight="1">
      <c r="B175" s="95"/>
      <c r="C175" s="63" t="s">
        <v>106</v>
      </c>
      <c r="D175" s="64">
        <v>26</v>
      </c>
      <c r="E175" s="65">
        <v>4.1289502937910004E-3</v>
      </c>
    </row>
    <row r="176" spans="2:5" s="71" customFormat="1" ht="14.45" customHeight="1">
      <c r="B176" s="95"/>
      <c r="C176" s="63" t="s">
        <v>110</v>
      </c>
      <c r="D176" s="64">
        <v>9</v>
      </c>
      <c r="E176" s="65">
        <v>1.4292520247739999E-3</v>
      </c>
    </row>
    <row r="177" spans="2:5" s="71" customFormat="1" ht="14.45" customHeight="1">
      <c r="B177" s="95"/>
      <c r="C177" s="63" t="s">
        <v>111</v>
      </c>
      <c r="D177" s="64">
        <v>4</v>
      </c>
      <c r="E177" s="65">
        <v>6.3522312212199999E-4</v>
      </c>
    </row>
    <row r="178" spans="2:5" s="71" customFormat="1" ht="14.45" customHeight="1">
      <c r="B178" s="95"/>
      <c r="C178" s="63" t="s">
        <v>113</v>
      </c>
      <c r="D178" s="64">
        <v>14</v>
      </c>
      <c r="E178" s="65">
        <v>2.2232809274259999E-3</v>
      </c>
    </row>
    <row r="179" spans="2:5" s="71" customFormat="1" ht="14.45" customHeight="1">
      <c r="B179" s="95"/>
      <c r="C179" s="63" t="s">
        <v>114</v>
      </c>
      <c r="D179" s="64">
        <v>35</v>
      </c>
      <c r="E179" s="65">
        <v>5.5582023185639998E-3</v>
      </c>
    </row>
    <row r="180" spans="2:5" s="71" customFormat="1" ht="14.45" customHeight="1">
      <c r="B180" s="95"/>
      <c r="C180" s="63" t="s">
        <v>115</v>
      </c>
      <c r="D180" s="64">
        <v>9</v>
      </c>
      <c r="E180" s="65">
        <v>1.4292520247739999E-3</v>
      </c>
    </row>
    <row r="181" spans="2:5" s="71" customFormat="1" ht="14.45" customHeight="1">
      <c r="B181" s="95"/>
      <c r="C181" s="63" t="s">
        <v>116</v>
      </c>
      <c r="D181" s="64">
        <v>2</v>
      </c>
      <c r="E181" s="65">
        <v>3.1761156106099999E-4</v>
      </c>
    </row>
    <row r="182" spans="2:5" s="71" customFormat="1" ht="14.45" customHeight="1">
      <c r="B182" s="95"/>
      <c r="C182" s="63" t="s">
        <v>117</v>
      </c>
      <c r="D182" s="64">
        <v>10</v>
      </c>
      <c r="E182" s="65">
        <v>1.5880578053040001E-3</v>
      </c>
    </row>
    <row r="183" spans="2:5" s="71" customFormat="1" ht="14.45" customHeight="1">
      <c r="B183" s="95"/>
      <c r="C183" s="63" t="s">
        <v>118</v>
      </c>
      <c r="D183" s="64">
        <v>7</v>
      </c>
      <c r="E183" s="65">
        <v>1.111640463713E-3</v>
      </c>
    </row>
    <row r="184" spans="2:5" s="71" customFormat="1" ht="14.45" customHeight="1">
      <c r="B184" s="95"/>
      <c r="C184" s="63" t="s">
        <v>119</v>
      </c>
      <c r="D184" s="64">
        <v>5</v>
      </c>
      <c r="E184" s="65">
        <v>7.9402890265200003E-4</v>
      </c>
    </row>
    <row r="185" spans="2:5" s="71" customFormat="1" ht="14.45" customHeight="1">
      <c r="B185" s="95"/>
      <c r="C185" s="63" t="s">
        <v>120</v>
      </c>
      <c r="D185" s="64">
        <v>1</v>
      </c>
      <c r="E185" s="65">
        <v>1.5880578052999999E-4</v>
      </c>
    </row>
    <row r="186" spans="2:5" s="71" customFormat="1" ht="14.45" customHeight="1">
      <c r="B186" s="95"/>
      <c r="C186" s="63" t="s">
        <v>121</v>
      </c>
      <c r="D186" s="64">
        <v>4</v>
      </c>
      <c r="E186" s="65">
        <v>6.3522312212199999E-4</v>
      </c>
    </row>
    <row r="187" spans="2:5" s="71" customFormat="1" ht="14.45" customHeight="1">
      <c r="B187" s="95"/>
      <c r="C187" s="63" t="s">
        <v>122</v>
      </c>
      <c r="D187" s="64">
        <v>5</v>
      </c>
      <c r="E187" s="65">
        <v>7.9402890265200003E-4</v>
      </c>
    </row>
    <row r="188" spans="2:5" s="71" customFormat="1" ht="14.45" customHeight="1">
      <c r="B188" s="95"/>
      <c r="C188" s="63" t="s">
        <v>123</v>
      </c>
      <c r="D188" s="64">
        <v>7</v>
      </c>
      <c r="E188" s="65">
        <v>1.111640463713E-3</v>
      </c>
    </row>
    <row r="189" spans="2:5" s="71" customFormat="1" ht="14.45" customHeight="1">
      <c r="B189" s="95"/>
      <c r="C189" s="63" t="s">
        <v>124</v>
      </c>
      <c r="D189" s="64">
        <v>2</v>
      </c>
      <c r="E189" s="65">
        <v>3.1761156106099999E-4</v>
      </c>
    </row>
    <row r="190" spans="2:5" s="71" customFormat="1" ht="14.45" customHeight="1">
      <c r="B190" s="95"/>
      <c r="C190" s="63" t="s">
        <v>125</v>
      </c>
      <c r="D190" s="64">
        <v>3</v>
      </c>
      <c r="E190" s="65">
        <v>4.7641734159099998E-4</v>
      </c>
    </row>
    <row r="191" spans="2:5" s="71" customFormat="1" ht="14.45" customHeight="1">
      <c r="B191" s="95"/>
      <c r="C191" s="63" t="s">
        <v>127</v>
      </c>
      <c r="D191" s="64">
        <v>3</v>
      </c>
      <c r="E191" s="65">
        <v>4.7641734159099998E-4</v>
      </c>
    </row>
    <row r="192" spans="2:5" s="71" customFormat="1" ht="14.45" customHeight="1">
      <c r="B192" s="95"/>
      <c r="C192" s="63" t="s">
        <v>128</v>
      </c>
      <c r="D192" s="64">
        <v>86</v>
      </c>
      <c r="E192" s="65">
        <v>1.3657297125615E-2</v>
      </c>
    </row>
    <row r="193" spans="2:5" s="71" customFormat="1" ht="14.45" customHeight="1">
      <c r="B193" s="95"/>
      <c r="C193" s="63" t="s">
        <v>129</v>
      </c>
      <c r="D193" s="64">
        <v>4</v>
      </c>
      <c r="E193" s="65">
        <v>6.3522312212199999E-4</v>
      </c>
    </row>
    <row r="194" spans="2:5" s="71" customFormat="1" ht="14.45" customHeight="1">
      <c r="B194" s="95"/>
      <c r="C194" s="63" t="s">
        <v>130</v>
      </c>
      <c r="D194" s="64">
        <v>18</v>
      </c>
      <c r="E194" s="65">
        <v>2.8585040495470002E-3</v>
      </c>
    </row>
    <row r="195" spans="2:5" s="71" customFormat="1" ht="14.45" customHeight="1">
      <c r="B195" s="95"/>
      <c r="C195" s="63" t="s">
        <v>131</v>
      </c>
      <c r="D195" s="64">
        <v>6</v>
      </c>
      <c r="E195" s="65">
        <v>9.5283468318199996E-4</v>
      </c>
    </row>
    <row r="196" spans="2:5" s="71" customFormat="1" ht="14.45" customHeight="1">
      <c r="B196" s="95"/>
      <c r="C196" s="63" t="s">
        <v>132</v>
      </c>
      <c r="D196" s="64">
        <v>11</v>
      </c>
      <c r="E196" s="65">
        <v>1.7468635858350001E-3</v>
      </c>
    </row>
    <row r="197" spans="2:5" s="71" customFormat="1" ht="14.45" customHeight="1">
      <c r="B197" s="95"/>
      <c r="C197" s="63" t="s">
        <v>133</v>
      </c>
      <c r="D197" s="64">
        <v>2</v>
      </c>
      <c r="E197" s="65">
        <v>3.1761156106099999E-4</v>
      </c>
    </row>
    <row r="198" spans="2:5" s="71" customFormat="1" ht="14.45" customHeight="1">
      <c r="B198" s="95"/>
      <c r="C198" s="63" t="s">
        <v>134</v>
      </c>
      <c r="D198" s="64">
        <v>6</v>
      </c>
      <c r="E198" s="65">
        <v>9.5283468318199996E-4</v>
      </c>
    </row>
    <row r="199" spans="2:5" s="71" customFormat="1" ht="14.45" customHeight="1">
      <c r="B199" s="95"/>
      <c r="C199" s="63" t="s">
        <v>135</v>
      </c>
      <c r="D199" s="64">
        <v>6</v>
      </c>
      <c r="E199" s="65">
        <v>9.5283468318199996E-4</v>
      </c>
    </row>
    <row r="200" spans="2:5" s="71" customFormat="1" ht="14.45" customHeight="1">
      <c r="B200" s="95"/>
      <c r="C200" s="63" t="s">
        <v>136</v>
      </c>
      <c r="D200" s="64">
        <v>3</v>
      </c>
      <c r="E200" s="65">
        <v>4.7641734159099998E-4</v>
      </c>
    </row>
    <row r="201" spans="2:5" s="71" customFormat="1" ht="14.45" customHeight="1">
      <c r="B201" s="95"/>
      <c r="C201" s="63" t="s">
        <v>137</v>
      </c>
      <c r="D201" s="64">
        <v>1</v>
      </c>
      <c r="E201" s="65">
        <v>1.5880578052999999E-4</v>
      </c>
    </row>
    <row r="202" spans="2:5" s="71" customFormat="1" ht="14.45" customHeight="1">
      <c r="B202" s="95"/>
      <c r="C202" s="63" t="s">
        <v>139</v>
      </c>
      <c r="D202" s="64">
        <v>7</v>
      </c>
      <c r="E202" s="65">
        <v>1.111640463713E-3</v>
      </c>
    </row>
    <row r="203" spans="2:5" s="71" customFormat="1" ht="14.45" customHeight="1">
      <c r="B203" s="95"/>
      <c r="C203" s="63" t="s">
        <v>141</v>
      </c>
      <c r="D203" s="64">
        <v>7</v>
      </c>
      <c r="E203" s="65">
        <v>1.111640463713E-3</v>
      </c>
    </row>
    <row r="204" spans="2:5" s="71" customFormat="1" ht="14.45" customHeight="1">
      <c r="B204" s="95"/>
      <c r="C204" s="63" t="s">
        <v>142</v>
      </c>
      <c r="D204" s="64">
        <v>74</v>
      </c>
      <c r="E204" s="65">
        <v>1.175162775925E-2</v>
      </c>
    </row>
    <row r="205" spans="2:5" s="71" customFormat="1" ht="14.45" customHeight="1">
      <c r="B205" s="95"/>
      <c r="C205" s="63" t="s">
        <v>143</v>
      </c>
      <c r="D205" s="64">
        <v>18</v>
      </c>
      <c r="E205" s="65">
        <v>2.8585040495470002E-3</v>
      </c>
    </row>
    <row r="206" spans="2:5" s="71" customFormat="1" ht="14.45" customHeight="1">
      <c r="B206" s="95"/>
      <c r="C206" s="63" t="s">
        <v>144</v>
      </c>
      <c r="D206" s="64">
        <v>3</v>
      </c>
      <c r="E206" s="65">
        <v>4.7641734159099998E-4</v>
      </c>
    </row>
    <row r="207" spans="2:5" s="71" customFormat="1" ht="14.45" customHeight="1">
      <c r="B207" s="95"/>
      <c r="C207" s="63" t="s">
        <v>96</v>
      </c>
      <c r="D207" s="64">
        <v>9</v>
      </c>
      <c r="E207" s="65">
        <v>1.4292520247739999E-3</v>
      </c>
    </row>
    <row r="208" spans="2:5" s="71" customFormat="1" ht="14.45" customHeight="1">
      <c r="B208" s="95"/>
      <c r="C208" s="63" t="s">
        <v>145</v>
      </c>
      <c r="D208" s="64">
        <v>8</v>
      </c>
      <c r="E208" s="65">
        <v>1.2704462442429999E-3</v>
      </c>
    </row>
    <row r="209" spans="2:5" s="71" customFormat="1" ht="14.45" customHeight="1">
      <c r="B209" s="96"/>
      <c r="C209" s="36" t="s">
        <v>29</v>
      </c>
      <c r="D209" s="35">
        <v>1388</v>
      </c>
      <c r="E209" s="34">
        <v>0.22042242337621101</v>
      </c>
    </row>
    <row r="210" spans="2:5" s="71" customFormat="1" ht="14.45" customHeight="1">
      <c r="B210" s="94" t="s">
        <v>277</v>
      </c>
      <c r="C210" s="63" t="s">
        <v>103</v>
      </c>
      <c r="D210" s="64">
        <v>110</v>
      </c>
      <c r="E210" s="65">
        <v>1.7468635858344999E-2</v>
      </c>
    </row>
    <row r="211" spans="2:5" s="71" customFormat="1" ht="14.45" customHeight="1">
      <c r="B211" s="95"/>
      <c r="C211" s="63" t="s">
        <v>105</v>
      </c>
      <c r="D211" s="64">
        <v>37</v>
      </c>
      <c r="E211" s="65">
        <v>5.8758138796250001E-3</v>
      </c>
    </row>
    <row r="212" spans="2:5" s="71" customFormat="1" ht="14.45" customHeight="1">
      <c r="B212" s="95"/>
      <c r="C212" s="63" t="s">
        <v>106</v>
      </c>
      <c r="D212" s="64">
        <v>2</v>
      </c>
      <c r="E212" s="65">
        <v>3.1761156106099999E-4</v>
      </c>
    </row>
    <row r="213" spans="2:5" s="71" customFormat="1" ht="14.45" customHeight="1">
      <c r="B213" s="95"/>
      <c r="C213" s="63" t="s">
        <v>110</v>
      </c>
      <c r="D213" s="64">
        <v>2</v>
      </c>
      <c r="E213" s="65">
        <v>3.1761156106099999E-4</v>
      </c>
    </row>
    <row r="214" spans="2:5" s="71" customFormat="1" ht="14.45" customHeight="1">
      <c r="B214" s="95"/>
      <c r="C214" s="63" t="s">
        <v>114</v>
      </c>
      <c r="D214" s="64">
        <v>3</v>
      </c>
      <c r="E214" s="65">
        <v>4.7641734159099998E-4</v>
      </c>
    </row>
    <row r="215" spans="2:5" s="71" customFormat="1" ht="14.45" customHeight="1">
      <c r="B215" s="95"/>
      <c r="C215" s="63" t="s">
        <v>117</v>
      </c>
      <c r="D215" s="64">
        <v>1</v>
      </c>
      <c r="E215" s="65">
        <v>1.5880578052999999E-4</v>
      </c>
    </row>
    <row r="216" spans="2:5" s="71" customFormat="1" ht="14.45" customHeight="1">
      <c r="B216" s="95"/>
      <c r="C216" s="63" t="s">
        <v>127</v>
      </c>
      <c r="D216" s="64">
        <v>1</v>
      </c>
      <c r="E216" s="65">
        <v>1.5880578052999999E-4</v>
      </c>
    </row>
    <row r="217" spans="2:5" s="71" customFormat="1" ht="14.45" customHeight="1">
      <c r="B217" s="95"/>
      <c r="C217" s="63" t="s">
        <v>128</v>
      </c>
      <c r="D217" s="64">
        <v>9</v>
      </c>
      <c r="E217" s="65">
        <v>1.4292520247739999E-3</v>
      </c>
    </row>
    <row r="218" spans="2:5" s="71" customFormat="1" ht="14.45" customHeight="1">
      <c r="B218" s="95"/>
      <c r="C218" s="63" t="s">
        <v>142</v>
      </c>
      <c r="D218" s="64">
        <v>8</v>
      </c>
      <c r="E218" s="65">
        <v>1.2704462442429999E-3</v>
      </c>
    </row>
    <row r="219" spans="2:5" s="71" customFormat="1" ht="14.45" customHeight="1">
      <c r="B219" s="95"/>
      <c r="C219" s="63" t="s">
        <v>96</v>
      </c>
      <c r="D219" s="64">
        <v>1</v>
      </c>
      <c r="E219" s="65">
        <v>1.5880578052999999E-4</v>
      </c>
    </row>
    <row r="220" spans="2:5" s="71" customFormat="1" ht="14.45" customHeight="1">
      <c r="B220" s="95"/>
      <c r="C220" s="63" t="s">
        <v>145</v>
      </c>
      <c r="D220" s="64">
        <v>1</v>
      </c>
      <c r="E220" s="65">
        <v>1.5880578052999999E-4</v>
      </c>
    </row>
    <row r="221" spans="2:5" s="71" customFormat="1" ht="14.45" customHeight="1">
      <c r="B221" s="96"/>
      <c r="C221" s="36" t="s">
        <v>29</v>
      </c>
      <c r="D221" s="35">
        <v>175</v>
      </c>
      <c r="E221" s="34">
        <v>2.7791011592822001E-2</v>
      </c>
    </row>
    <row r="222" spans="2:5" s="71" customFormat="1" ht="14.45" customHeight="1">
      <c r="B222" s="94" t="s">
        <v>278</v>
      </c>
      <c r="C222" s="63" t="s">
        <v>103</v>
      </c>
      <c r="D222" s="64">
        <v>301</v>
      </c>
      <c r="E222" s="65">
        <v>4.7800539939654003E-2</v>
      </c>
    </row>
    <row r="223" spans="2:5" s="71" customFormat="1" ht="14.45" customHeight="1">
      <c r="B223" s="95"/>
      <c r="C223" s="63" t="s">
        <v>104</v>
      </c>
      <c r="D223" s="64">
        <v>2</v>
      </c>
      <c r="E223" s="65">
        <v>3.1761156106099999E-4</v>
      </c>
    </row>
    <row r="224" spans="2:5" s="71" customFormat="1" ht="14.45" customHeight="1">
      <c r="B224" s="95"/>
      <c r="C224" s="63" t="s">
        <v>105</v>
      </c>
      <c r="D224" s="64">
        <v>120</v>
      </c>
      <c r="E224" s="65">
        <v>1.9056693663649E-2</v>
      </c>
    </row>
    <row r="225" spans="2:5" s="71" customFormat="1" ht="14.45" customHeight="1">
      <c r="B225" s="95"/>
      <c r="C225" s="63" t="s">
        <v>106</v>
      </c>
      <c r="D225" s="64">
        <v>6</v>
      </c>
      <c r="E225" s="65">
        <v>9.5283468318199996E-4</v>
      </c>
    </row>
    <row r="226" spans="2:5" s="71" customFormat="1" ht="14.45" customHeight="1">
      <c r="B226" s="95"/>
      <c r="C226" s="63" t="s">
        <v>110</v>
      </c>
      <c r="D226" s="64">
        <v>4</v>
      </c>
      <c r="E226" s="65">
        <v>6.3522312212199999E-4</v>
      </c>
    </row>
    <row r="227" spans="2:5" s="71" customFormat="1" ht="14.45" customHeight="1">
      <c r="B227" s="95"/>
      <c r="C227" s="63" t="s">
        <v>113</v>
      </c>
      <c r="D227" s="64">
        <v>8</v>
      </c>
      <c r="E227" s="65">
        <v>1.2704462442429999E-3</v>
      </c>
    </row>
    <row r="228" spans="2:5" s="71" customFormat="1" ht="14.45" customHeight="1">
      <c r="B228" s="95"/>
      <c r="C228" s="63" t="s">
        <v>114</v>
      </c>
      <c r="D228" s="64">
        <v>5</v>
      </c>
      <c r="E228" s="65">
        <v>7.9402890265200003E-4</v>
      </c>
    </row>
    <row r="229" spans="2:5" s="71" customFormat="1" ht="14.45" customHeight="1">
      <c r="B229" s="95"/>
      <c r="C229" s="63" t="s">
        <v>117</v>
      </c>
      <c r="D229" s="64">
        <v>3</v>
      </c>
      <c r="E229" s="65">
        <v>4.7641734159099998E-4</v>
      </c>
    </row>
    <row r="230" spans="2:5" s="71" customFormat="1" ht="14.45" customHeight="1">
      <c r="B230" s="95"/>
      <c r="C230" s="63" t="s">
        <v>118</v>
      </c>
      <c r="D230" s="64">
        <v>1</v>
      </c>
      <c r="E230" s="65">
        <v>1.5880578052999999E-4</v>
      </c>
    </row>
    <row r="231" spans="2:5" s="71" customFormat="1" ht="14.45" customHeight="1">
      <c r="B231" s="95"/>
      <c r="C231" s="63" t="s">
        <v>119</v>
      </c>
      <c r="D231" s="64">
        <v>2</v>
      </c>
      <c r="E231" s="65">
        <v>3.1761156106099999E-4</v>
      </c>
    </row>
    <row r="232" spans="2:5" s="71" customFormat="1" ht="14.45" customHeight="1">
      <c r="B232" s="95"/>
      <c r="C232" s="63" t="s">
        <v>121</v>
      </c>
      <c r="D232" s="64">
        <v>2</v>
      </c>
      <c r="E232" s="65">
        <v>3.1761156106099999E-4</v>
      </c>
    </row>
    <row r="233" spans="2:5" s="71" customFormat="1" ht="14.45" customHeight="1">
      <c r="B233" s="95"/>
      <c r="C233" s="63" t="s">
        <v>122</v>
      </c>
      <c r="D233" s="64">
        <v>1</v>
      </c>
      <c r="E233" s="65">
        <v>1.5880578052999999E-4</v>
      </c>
    </row>
    <row r="234" spans="2:5" s="71" customFormat="1" ht="14.45" customHeight="1">
      <c r="B234" s="95"/>
      <c r="C234" s="63" t="s">
        <v>123</v>
      </c>
      <c r="D234" s="64">
        <v>2</v>
      </c>
      <c r="E234" s="65">
        <v>3.1761156106099999E-4</v>
      </c>
    </row>
    <row r="235" spans="2:5" s="71" customFormat="1" ht="14.45" customHeight="1">
      <c r="B235" s="95"/>
      <c r="C235" s="63" t="s">
        <v>125</v>
      </c>
      <c r="D235" s="64">
        <v>5</v>
      </c>
      <c r="E235" s="65">
        <v>7.9402890265200003E-4</v>
      </c>
    </row>
    <row r="236" spans="2:5" s="71" customFormat="1" ht="14.45" customHeight="1">
      <c r="B236" s="95"/>
      <c r="C236" s="63" t="s">
        <v>127</v>
      </c>
      <c r="D236" s="64">
        <v>2</v>
      </c>
      <c r="E236" s="65">
        <v>3.1761156106099999E-4</v>
      </c>
    </row>
    <row r="237" spans="2:5" s="71" customFormat="1" ht="14.45" customHeight="1">
      <c r="B237" s="95"/>
      <c r="C237" s="63" t="s">
        <v>128</v>
      </c>
      <c r="D237" s="64">
        <v>39</v>
      </c>
      <c r="E237" s="65">
        <v>6.1934254406859996E-3</v>
      </c>
    </row>
    <row r="238" spans="2:5" s="71" customFormat="1" ht="14.45" customHeight="1">
      <c r="B238" s="95"/>
      <c r="C238" s="63" t="s">
        <v>129</v>
      </c>
      <c r="D238" s="64">
        <v>1</v>
      </c>
      <c r="E238" s="65">
        <v>1.5880578052999999E-4</v>
      </c>
    </row>
    <row r="239" spans="2:5" s="71" customFormat="1" ht="14.45" customHeight="1">
      <c r="B239" s="95"/>
      <c r="C239" s="63" t="s">
        <v>130</v>
      </c>
      <c r="D239" s="64">
        <v>5</v>
      </c>
      <c r="E239" s="65">
        <v>7.9402890265200003E-4</v>
      </c>
    </row>
    <row r="240" spans="2:5" s="71" customFormat="1" ht="14.45" customHeight="1">
      <c r="B240" s="95"/>
      <c r="C240" s="63" t="s">
        <v>131</v>
      </c>
      <c r="D240" s="64">
        <v>1</v>
      </c>
      <c r="E240" s="65">
        <v>1.5880578052999999E-4</v>
      </c>
    </row>
    <row r="241" spans="2:5" s="71" customFormat="1" ht="14.45" customHeight="1">
      <c r="B241" s="95"/>
      <c r="C241" s="63" t="s">
        <v>132</v>
      </c>
      <c r="D241" s="64">
        <v>3</v>
      </c>
      <c r="E241" s="65">
        <v>4.7641734159099998E-4</v>
      </c>
    </row>
    <row r="242" spans="2:5" s="71" customFormat="1" ht="14.45" customHeight="1">
      <c r="B242" s="95"/>
      <c r="C242" s="63" t="s">
        <v>133</v>
      </c>
      <c r="D242" s="64">
        <v>1</v>
      </c>
      <c r="E242" s="65">
        <v>1.5880578052999999E-4</v>
      </c>
    </row>
    <row r="243" spans="2:5" s="71" customFormat="1" ht="14.45" customHeight="1">
      <c r="B243" s="95"/>
      <c r="C243" s="63" t="s">
        <v>134</v>
      </c>
      <c r="D243" s="64">
        <v>4</v>
      </c>
      <c r="E243" s="65">
        <v>6.3522312212199999E-4</v>
      </c>
    </row>
    <row r="244" spans="2:5" s="71" customFormat="1" ht="14.45" customHeight="1">
      <c r="B244" s="95"/>
      <c r="C244" s="63" t="s">
        <v>135</v>
      </c>
      <c r="D244" s="64">
        <v>10</v>
      </c>
      <c r="E244" s="65">
        <v>1.5880578053040001E-3</v>
      </c>
    </row>
    <row r="245" spans="2:5" s="71" customFormat="1" ht="14.45" customHeight="1">
      <c r="B245" s="95"/>
      <c r="C245" s="63" t="s">
        <v>136</v>
      </c>
      <c r="D245" s="64">
        <v>4</v>
      </c>
      <c r="E245" s="65">
        <v>6.3522312212199999E-4</v>
      </c>
    </row>
    <row r="246" spans="2:5" s="71" customFormat="1" ht="14.45" customHeight="1">
      <c r="B246" s="95"/>
      <c r="C246" s="63" t="s">
        <v>137</v>
      </c>
      <c r="D246" s="64">
        <v>2</v>
      </c>
      <c r="E246" s="65">
        <v>3.1761156106099999E-4</v>
      </c>
    </row>
    <row r="247" spans="2:5" s="71" customFormat="1" ht="14.45" customHeight="1">
      <c r="B247" s="95"/>
      <c r="C247" s="63" t="s">
        <v>139</v>
      </c>
      <c r="D247" s="64">
        <v>2</v>
      </c>
      <c r="E247" s="65">
        <v>3.1761156106099999E-4</v>
      </c>
    </row>
    <row r="248" spans="2:5" s="71" customFormat="1" ht="14.45" customHeight="1">
      <c r="B248" s="95"/>
      <c r="C248" s="63" t="s">
        <v>141</v>
      </c>
      <c r="D248" s="64">
        <v>3</v>
      </c>
      <c r="E248" s="65">
        <v>4.7641734159099998E-4</v>
      </c>
    </row>
    <row r="249" spans="2:5" s="71" customFormat="1" ht="14.45" customHeight="1">
      <c r="B249" s="95"/>
      <c r="C249" s="63" t="s">
        <v>142</v>
      </c>
      <c r="D249" s="64">
        <v>30</v>
      </c>
      <c r="E249" s="65">
        <v>4.7641734159120002E-3</v>
      </c>
    </row>
    <row r="250" spans="2:5" s="71" customFormat="1" ht="14.45" customHeight="1">
      <c r="B250" s="95"/>
      <c r="C250" s="63" t="s">
        <v>143</v>
      </c>
      <c r="D250" s="64">
        <v>4</v>
      </c>
      <c r="E250" s="65">
        <v>6.3522312212199999E-4</v>
      </c>
    </row>
    <row r="251" spans="2:5" s="71" customFormat="1" ht="14.45" customHeight="1">
      <c r="B251" s="95"/>
      <c r="C251" s="63" t="s">
        <v>96</v>
      </c>
      <c r="D251" s="64">
        <v>5</v>
      </c>
      <c r="E251" s="65">
        <v>7.9402890265200003E-4</v>
      </c>
    </row>
    <row r="252" spans="2:5" s="71" customFormat="1" ht="14.45" customHeight="1">
      <c r="B252" s="95"/>
      <c r="C252" s="63" t="s">
        <v>145</v>
      </c>
      <c r="D252" s="64">
        <v>8</v>
      </c>
      <c r="E252" s="65">
        <v>1.2704462442429999E-3</v>
      </c>
    </row>
    <row r="253" spans="2:5" s="71" customFormat="1" ht="14.45" customHeight="1">
      <c r="B253" s="96"/>
      <c r="C253" s="36" t="s">
        <v>29</v>
      </c>
      <c r="D253" s="35">
        <v>586</v>
      </c>
      <c r="E253" s="34">
        <v>9.3060187390821003E-2</v>
      </c>
    </row>
    <row r="254" spans="2:5" s="71" customFormat="1" ht="14.45" customHeight="1">
      <c r="B254" s="94" t="s">
        <v>279</v>
      </c>
      <c r="C254" s="63" t="s">
        <v>102</v>
      </c>
      <c r="D254" s="64">
        <v>1</v>
      </c>
      <c r="E254" s="65">
        <v>1.5880578052999999E-4</v>
      </c>
    </row>
    <row r="255" spans="2:5" s="71" customFormat="1" ht="14.45" customHeight="1">
      <c r="B255" s="95"/>
      <c r="C255" s="63" t="s">
        <v>103</v>
      </c>
      <c r="D255" s="64">
        <v>966</v>
      </c>
      <c r="E255" s="65">
        <v>0.15340638399237699</v>
      </c>
    </row>
    <row r="256" spans="2:5" s="71" customFormat="1" ht="14.45" customHeight="1">
      <c r="B256" s="95"/>
      <c r="C256" s="63" t="s">
        <v>104</v>
      </c>
      <c r="D256" s="64">
        <v>3</v>
      </c>
      <c r="E256" s="65">
        <v>4.7641734159099998E-4</v>
      </c>
    </row>
    <row r="257" spans="2:5" s="71" customFormat="1" ht="14.45" customHeight="1">
      <c r="B257" s="95"/>
      <c r="C257" s="63" t="s">
        <v>105</v>
      </c>
      <c r="D257" s="64">
        <v>392</v>
      </c>
      <c r="E257" s="65">
        <v>6.2251865967920997E-2</v>
      </c>
    </row>
    <row r="258" spans="2:5" s="71" customFormat="1" ht="14.45" customHeight="1">
      <c r="B258" s="95"/>
      <c r="C258" s="63" t="s">
        <v>106</v>
      </c>
      <c r="D258" s="64">
        <v>32</v>
      </c>
      <c r="E258" s="65">
        <v>5.0817849769729997E-3</v>
      </c>
    </row>
    <row r="259" spans="2:5" s="71" customFormat="1" ht="14.45" customHeight="1">
      <c r="B259" s="95"/>
      <c r="C259" s="63" t="s">
        <v>108</v>
      </c>
      <c r="D259" s="64">
        <v>1</v>
      </c>
      <c r="E259" s="65">
        <v>1.5880578052999999E-4</v>
      </c>
    </row>
    <row r="260" spans="2:5" s="71" customFormat="1" ht="14.45" customHeight="1">
      <c r="B260" s="95"/>
      <c r="C260" s="63" t="s">
        <v>110</v>
      </c>
      <c r="D260" s="64">
        <v>11</v>
      </c>
      <c r="E260" s="65">
        <v>1.7468635858350001E-3</v>
      </c>
    </row>
    <row r="261" spans="2:5" s="71" customFormat="1" ht="14.45" customHeight="1">
      <c r="B261" s="95"/>
      <c r="C261" s="63" t="s">
        <v>111</v>
      </c>
      <c r="D261" s="64">
        <v>4</v>
      </c>
      <c r="E261" s="65">
        <v>6.3522312212199999E-4</v>
      </c>
    </row>
    <row r="262" spans="2:5" s="71" customFormat="1" ht="14.45" customHeight="1">
      <c r="B262" s="95"/>
      <c r="C262" s="63" t="s">
        <v>113</v>
      </c>
      <c r="D262" s="64">
        <v>24</v>
      </c>
      <c r="E262" s="65">
        <v>3.81133873273E-3</v>
      </c>
    </row>
    <row r="263" spans="2:5" s="71" customFormat="1" ht="14.45" customHeight="1">
      <c r="B263" s="95"/>
      <c r="C263" s="63" t="s">
        <v>114</v>
      </c>
      <c r="D263" s="64">
        <v>38</v>
      </c>
      <c r="E263" s="65">
        <v>6.0346196601559999E-3</v>
      </c>
    </row>
    <row r="264" spans="2:5" s="71" customFormat="1" ht="14.45" customHeight="1">
      <c r="B264" s="95"/>
      <c r="C264" s="63" t="s">
        <v>115</v>
      </c>
      <c r="D264" s="64">
        <v>10</v>
      </c>
      <c r="E264" s="65">
        <v>1.5880578053040001E-3</v>
      </c>
    </row>
    <row r="265" spans="2:5" s="71" customFormat="1" ht="14.45" customHeight="1">
      <c r="B265" s="95"/>
      <c r="C265" s="63" t="s">
        <v>116</v>
      </c>
      <c r="D265" s="64">
        <v>1</v>
      </c>
      <c r="E265" s="65">
        <v>1.5880578052999999E-4</v>
      </c>
    </row>
    <row r="266" spans="2:5" s="71" customFormat="1" ht="14.45" customHeight="1">
      <c r="B266" s="95"/>
      <c r="C266" s="63" t="s">
        <v>117</v>
      </c>
      <c r="D266" s="64">
        <v>9</v>
      </c>
      <c r="E266" s="65">
        <v>1.4292520247739999E-3</v>
      </c>
    </row>
    <row r="267" spans="2:5" s="71" customFormat="1" ht="14.45" customHeight="1">
      <c r="B267" s="95"/>
      <c r="C267" s="63" t="s">
        <v>118</v>
      </c>
      <c r="D267" s="64">
        <v>6</v>
      </c>
      <c r="E267" s="65">
        <v>9.5283468318199996E-4</v>
      </c>
    </row>
    <row r="268" spans="2:5" s="71" customFormat="1" ht="14.45" customHeight="1">
      <c r="B268" s="95"/>
      <c r="C268" s="63" t="s">
        <v>121</v>
      </c>
      <c r="D268" s="64">
        <v>4</v>
      </c>
      <c r="E268" s="65">
        <v>6.3522312212199999E-4</v>
      </c>
    </row>
    <row r="269" spans="2:5" s="71" customFormat="1" ht="14.45" customHeight="1">
      <c r="B269" s="95"/>
      <c r="C269" s="63" t="s">
        <v>122</v>
      </c>
      <c r="D269" s="64">
        <v>2</v>
      </c>
      <c r="E269" s="65">
        <v>3.1761156106099999E-4</v>
      </c>
    </row>
    <row r="270" spans="2:5" s="71" customFormat="1" ht="14.45" customHeight="1">
      <c r="B270" s="95"/>
      <c r="C270" s="63" t="s">
        <v>123</v>
      </c>
      <c r="D270" s="64">
        <v>4</v>
      </c>
      <c r="E270" s="65">
        <v>6.3522312212199999E-4</v>
      </c>
    </row>
    <row r="271" spans="2:5" s="71" customFormat="1" ht="14.45" customHeight="1">
      <c r="B271" s="95"/>
      <c r="C271" s="63" t="s">
        <v>124</v>
      </c>
      <c r="D271" s="64">
        <v>2</v>
      </c>
      <c r="E271" s="65">
        <v>3.1761156106099999E-4</v>
      </c>
    </row>
    <row r="272" spans="2:5" s="71" customFormat="1" ht="14.45" customHeight="1">
      <c r="B272" s="95"/>
      <c r="C272" s="63" t="s">
        <v>125</v>
      </c>
      <c r="D272" s="64">
        <v>8</v>
      </c>
      <c r="E272" s="65">
        <v>1.2704462442429999E-3</v>
      </c>
    </row>
    <row r="273" spans="2:5" s="71" customFormat="1" ht="14.45" customHeight="1">
      <c r="B273" s="95"/>
      <c r="C273" s="63" t="s">
        <v>126</v>
      </c>
      <c r="D273" s="64">
        <v>1</v>
      </c>
      <c r="E273" s="65">
        <v>1.5880578052999999E-4</v>
      </c>
    </row>
    <row r="274" spans="2:5" s="71" customFormat="1" ht="14.45" customHeight="1">
      <c r="B274" s="95"/>
      <c r="C274" s="63" t="s">
        <v>127</v>
      </c>
      <c r="D274" s="64">
        <v>1</v>
      </c>
      <c r="E274" s="65">
        <v>1.5880578052999999E-4</v>
      </c>
    </row>
    <row r="275" spans="2:5" s="71" customFormat="1" ht="14.45" customHeight="1">
      <c r="B275" s="95"/>
      <c r="C275" s="63" t="s">
        <v>128</v>
      </c>
      <c r="D275" s="64">
        <v>88</v>
      </c>
      <c r="E275" s="65">
        <v>1.3974908686676E-2</v>
      </c>
    </row>
    <row r="276" spans="2:5" s="71" customFormat="1" ht="14.45" customHeight="1">
      <c r="B276" s="95"/>
      <c r="C276" s="63" t="s">
        <v>129</v>
      </c>
      <c r="D276" s="64">
        <v>4</v>
      </c>
      <c r="E276" s="65">
        <v>6.3522312212199999E-4</v>
      </c>
    </row>
    <row r="277" spans="2:5" s="71" customFormat="1" ht="14.45" customHeight="1">
      <c r="B277" s="95"/>
      <c r="C277" s="63" t="s">
        <v>130</v>
      </c>
      <c r="D277" s="64">
        <v>17</v>
      </c>
      <c r="E277" s="65">
        <v>2.699698269017E-3</v>
      </c>
    </row>
    <row r="278" spans="2:5" s="71" customFormat="1" ht="14.45" customHeight="1">
      <c r="B278" s="95"/>
      <c r="C278" s="63" t="s">
        <v>131</v>
      </c>
      <c r="D278" s="64">
        <v>1</v>
      </c>
      <c r="E278" s="65">
        <v>1.5880578052999999E-4</v>
      </c>
    </row>
    <row r="279" spans="2:5" s="71" customFormat="1" ht="14.45" customHeight="1">
      <c r="B279" s="95"/>
      <c r="C279" s="63" t="s">
        <v>132</v>
      </c>
      <c r="D279" s="64">
        <v>9</v>
      </c>
      <c r="E279" s="65">
        <v>1.4292520247739999E-3</v>
      </c>
    </row>
    <row r="280" spans="2:5" s="71" customFormat="1" ht="14.45" customHeight="1">
      <c r="B280" s="95"/>
      <c r="C280" s="63" t="s">
        <v>133</v>
      </c>
      <c r="D280" s="64">
        <v>1</v>
      </c>
      <c r="E280" s="65">
        <v>1.5880578052999999E-4</v>
      </c>
    </row>
    <row r="281" spans="2:5" s="71" customFormat="1" ht="14.45" customHeight="1">
      <c r="B281" s="95"/>
      <c r="C281" s="63" t="s">
        <v>134</v>
      </c>
      <c r="D281" s="64">
        <v>3</v>
      </c>
      <c r="E281" s="65">
        <v>4.7641734159099998E-4</v>
      </c>
    </row>
    <row r="282" spans="2:5" s="71" customFormat="1" ht="14.45" customHeight="1">
      <c r="B282" s="95"/>
      <c r="C282" s="63" t="s">
        <v>135</v>
      </c>
      <c r="D282" s="64">
        <v>21</v>
      </c>
      <c r="E282" s="65">
        <v>3.3349213911389999E-3</v>
      </c>
    </row>
    <row r="283" spans="2:5" s="71" customFormat="1" ht="14.45" customHeight="1">
      <c r="B283" s="95"/>
      <c r="C283" s="63" t="s">
        <v>136</v>
      </c>
      <c r="D283" s="64">
        <v>9</v>
      </c>
      <c r="E283" s="65">
        <v>1.4292520247739999E-3</v>
      </c>
    </row>
    <row r="284" spans="2:5" s="71" customFormat="1" ht="14.45" customHeight="1">
      <c r="B284" s="95"/>
      <c r="C284" s="63" t="s">
        <v>137</v>
      </c>
      <c r="D284" s="64">
        <v>1</v>
      </c>
      <c r="E284" s="65">
        <v>1.5880578052999999E-4</v>
      </c>
    </row>
    <row r="285" spans="2:5" s="71" customFormat="1" ht="14.45" customHeight="1">
      <c r="B285" s="95"/>
      <c r="C285" s="63" t="s">
        <v>139</v>
      </c>
      <c r="D285" s="64">
        <v>2</v>
      </c>
      <c r="E285" s="65">
        <v>3.1761156106099999E-4</v>
      </c>
    </row>
    <row r="286" spans="2:5" s="71" customFormat="1" ht="14.45" customHeight="1">
      <c r="B286" s="95"/>
      <c r="C286" s="63" t="s">
        <v>140</v>
      </c>
      <c r="D286" s="64">
        <v>1</v>
      </c>
      <c r="E286" s="65">
        <v>1.5880578052999999E-4</v>
      </c>
    </row>
    <row r="287" spans="2:5" s="71" customFormat="1" ht="14.45" customHeight="1">
      <c r="B287" s="95"/>
      <c r="C287" s="63" t="s">
        <v>141</v>
      </c>
      <c r="D287" s="64">
        <v>6</v>
      </c>
      <c r="E287" s="65">
        <v>9.5283468318199996E-4</v>
      </c>
    </row>
    <row r="288" spans="2:5" s="71" customFormat="1" ht="14.45" customHeight="1">
      <c r="B288" s="95"/>
      <c r="C288" s="63" t="s">
        <v>142</v>
      </c>
      <c r="D288" s="64">
        <v>84</v>
      </c>
      <c r="E288" s="65">
        <v>1.3339685564555E-2</v>
      </c>
    </row>
    <row r="289" spans="2:5" s="71" customFormat="1" ht="14.45" customHeight="1">
      <c r="B289" s="95"/>
      <c r="C289" s="63" t="s">
        <v>143</v>
      </c>
      <c r="D289" s="64">
        <v>24</v>
      </c>
      <c r="E289" s="65">
        <v>3.81133873273E-3</v>
      </c>
    </row>
    <row r="290" spans="2:5" s="71" customFormat="1" ht="14.45" customHeight="1">
      <c r="B290" s="95"/>
      <c r="C290" s="63" t="s">
        <v>144</v>
      </c>
      <c r="D290" s="64">
        <v>1</v>
      </c>
      <c r="E290" s="65">
        <v>1.5880578052999999E-4</v>
      </c>
    </row>
    <row r="291" spans="2:5" s="71" customFormat="1" ht="14.45" customHeight="1">
      <c r="B291" s="95"/>
      <c r="C291" s="63" t="s">
        <v>96</v>
      </c>
      <c r="D291" s="64">
        <v>9</v>
      </c>
      <c r="E291" s="65">
        <v>1.4292520247739999E-3</v>
      </c>
    </row>
    <row r="292" spans="2:5" s="71" customFormat="1" ht="14.45" customHeight="1">
      <c r="B292" s="95"/>
      <c r="C292" s="63" t="s">
        <v>145</v>
      </c>
      <c r="D292" s="64">
        <v>8</v>
      </c>
      <c r="E292" s="65">
        <v>1.2704462442429999E-3</v>
      </c>
    </row>
    <row r="293" spans="2:5" s="71" customFormat="1" ht="14.45" customHeight="1">
      <c r="B293" s="96"/>
      <c r="C293" s="36" t="s">
        <v>29</v>
      </c>
      <c r="D293" s="35">
        <v>1809</v>
      </c>
      <c r="E293" s="34">
        <v>0.28727965697951402</v>
      </c>
    </row>
    <row r="294" spans="2:5" s="71" customFormat="1" ht="14.45" customHeight="1">
      <c r="B294" s="94" t="s">
        <v>280</v>
      </c>
      <c r="C294" s="63" t="s">
        <v>102</v>
      </c>
      <c r="D294" s="64">
        <v>1</v>
      </c>
      <c r="E294" s="65">
        <v>1.5880578052999999E-4</v>
      </c>
    </row>
    <row r="295" spans="2:5" s="71" customFormat="1" ht="14.45" customHeight="1">
      <c r="B295" s="95"/>
      <c r="C295" s="63" t="s">
        <v>103</v>
      </c>
      <c r="D295" s="64">
        <v>23</v>
      </c>
      <c r="E295" s="65">
        <v>3.6525329521990002E-3</v>
      </c>
    </row>
    <row r="296" spans="2:5" s="71" customFormat="1" ht="14.45" customHeight="1">
      <c r="B296" s="95"/>
      <c r="C296" s="63" t="s">
        <v>105</v>
      </c>
      <c r="D296" s="64">
        <v>12</v>
      </c>
      <c r="E296" s="65">
        <v>1.905669366365E-3</v>
      </c>
    </row>
    <row r="297" spans="2:5" s="71" customFormat="1" ht="14.45" customHeight="1">
      <c r="B297" s="95"/>
      <c r="C297" s="63" t="s">
        <v>106</v>
      </c>
      <c r="D297" s="64">
        <v>2</v>
      </c>
      <c r="E297" s="65">
        <v>3.1761156106099999E-4</v>
      </c>
    </row>
    <row r="298" spans="2:5" s="71" customFormat="1" ht="14.45" customHeight="1">
      <c r="B298" s="95"/>
      <c r="C298" s="63" t="s">
        <v>111</v>
      </c>
      <c r="D298" s="64">
        <v>2</v>
      </c>
      <c r="E298" s="65">
        <v>3.1761156106099999E-4</v>
      </c>
    </row>
    <row r="299" spans="2:5" s="71" customFormat="1" ht="14.45" customHeight="1">
      <c r="B299" s="95"/>
      <c r="C299" s="63" t="s">
        <v>114</v>
      </c>
      <c r="D299" s="64">
        <v>2</v>
      </c>
      <c r="E299" s="65">
        <v>3.1761156106099999E-4</v>
      </c>
    </row>
    <row r="300" spans="2:5" s="71" customFormat="1" ht="14.45" customHeight="1">
      <c r="B300" s="95"/>
      <c r="C300" s="63" t="s">
        <v>115</v>
      </c>
      <c r="D300" s="64">
        <v>1</v>
      </c>
      <c r="E300" s="65">
        <v>1.5880578052999999E-4</v>
      </c>
    </row>
    <row r="301" spans="2:5" s="71" customFormat="1" ht="14.45" customHeight="1">
      <c r="B301" s="95"/>
      <c r="C301" s="63" t="s">
        <v>142</v>
      </c>
      <c r="D301" s="64">
        <v>2</v>
      </c>
      <c r="E301" s="65">
        <v>3.1761156106099999E-4</v>
      </c>
    </row>
    <row r="302" spans="2:5" s="71" customFormat="1" ht="14.45" customHeight="1">
      <c r="B302" s="96"/>
      <c r="C302" s="36" t="s">
        <v>29</v>
      </c>
      <c r="D302" s="35">
        <v>45</v>
      </c>
      <c r="E302" s="34">
        <v>7.1462601238689999E-3</v>
      </c>
    </row>
    <row r="303" spans="2:5" s="71" customFormat="1" ht="14.45" customHeight="1">
      <c r="B303" s="94" t="s">
        <v>281</v>
      </c>
      <c r="C303" s="63" t="s">
        <v>103</v>
      </c>
      <c r="D303" s="64">
        <v>41</v>
      </c>
      <c r="E303" s="65">
        <v>6.511037001747E-3</v>
      </c>
    </row>
    <row r="304" spans="2:5" s="71" customFormat="1" ht="14.45" customHeight="1">
      <c r="B304" s="95"/>
      <c r="C304" s="63" t="s">
        <v>105</v>
      </c>
      <c r="D304" s="64">
        <v>12</v>
      </c>
      <c r="E304" s="65">
        <v>1.905669366365E-3</v>
      </c>
    </row>
    <row r="305" spans="2:5" s="71" customFormat="1" ht="14.45" customHeight="1">
      <c r="B305" s="95"/>
      <c r="C305" s="63" t="s">
        <v>106</v>
      </c>
      <c r="D305" s="64">
        <v>2</v>
      </c>
      <c r="E305" s="65">
        <v>3.1761156106099999E-4</v>
      </c>
    </row>
    <row r="306" spans="2:5" s="71" customFormat="1" ht="14.45" customHeight="1">
      <c r="B306" s="95"/>
      <c r="C306" s="63" t="s">
        <v>110</v>
      </c>
      <c r="D306" s="64">
        <v>1</v>
      </c>
      <c r="E306" s="65">
        <v>1.5880578052999999E-4</v>
      </c>
    </row>
    <row r="307" spans="2:5" s="71" customFormat="1" ht="14.45" customHeight="1">
      <c r="B307" s="95"/>
      <c r="C307" s="63" t="s">
        <v>113</v>
      </c>
      <c r="D307" s="64">
        <v>1</v>
      </c>
      <c r="E307" s="65">
        <v>1.5880578052999999E-4</v>
      </c>
    </row>
    <row r="308" spans="2:5" s="71" customFormat="1" ht="14.45" customHeight="1">
      <c r="B308" s="95"/>
      <c r="C308" s="63" t="s">
        <v>115</v>
      </c>
      <c r="D308" s="64">
        <v>1</v>
      </c>
      <c r="E308" s="65">
        <v>1.5880578052999999E-4</v>
      </c>
    </row>
    <row r="309" spans="2:5" s="71" customFormat="1" ht="14.45" customHeight="1">
      <c r="B309" s="95"/>
      <c r="C309" s="63" t="s">
        <v>117</v>
      </c>
      <c r="D309" s="64">
        <v>1</v>
      </c>
      <c r="E309" s="65">
        <v>1.5880578052999999E-4</v>
      </c>
    </row>
    <row r="310" spans="2:5" s="71" customFormat="1" ht="14.45" customHeight="1">
      <c r="B310" s="95"/>
      <c r="C310" s="63" t="s">
        <v>123</v>
      </c>
      <c r="D310" s="64">
        <v>1</v>
      </c>
      <c r="E310" s="65">
        <v>1.5880578052999999E-4</v>
      </c>
    </row>
    <row r="311" spans="2:5" s="71" customFormat="1" ht="14.45" customHeight="1">
      <c r="B311" s="95"/>
      <c r="C311" s="63" t="s">
        <v>128</v>
      </c>
      <c r="D311" s="64">
        <v>5</v>
      </c>
      <c r="E311" s="65">
        <v>7.9402890265200003E-4</v>
      </c>
    </row>
    <row r="312" spans="2:5" s="71" customFormat="1" ht="14.45" customHeight="1">
      <c r="B312" s="95"/>
      <c r="C312" s="63" t="s">
        <v>135</v>
      </c>
      <c r="D312" s="64">
        <v>2</v>
      </c>
      <c r="E312" s="65">
        <v>3.1761156106099999E-4</v>
      </c>
    </row>
    <row r="313" spans="2:5" s="71" customFormat="1" ht="14.45" customHeight="1">
      <c r="B313" s="95"/>
      <c r="C313" s="63" t="s">
        <v>139</v>
      </c>
      <c r="D313" s="64">
        <v>1</v>
      </c>
      <c r="E313" s="65">
        <v>1.5880578052999999E-4</v>
      </c>
    </row>
    <row r="314" spans="2:5" s="71" customFormat="1" ht="14.45" customHeight="1">
      <c r="B314" s="95"/>
      <c r="C314" s="63" t="s">
        <v>142</v>
      </c>
      <c r="D314" s="64">
        <v>2</v>
      </c>
      <c r="E314" s="65">
        <v>3.1761156106099999E-4</v>
      </c>
    </row>
    <row r="315" spans="2:5" s="71" customFormat="1" ht="14.45" customHeight="1">
      <c r="B315" s="95"/>
      <c r="C315" s="63" t="s">
        <v>143</v>
      </c>
      <c r="D315" s="64">
        <v>1</v>
      </c>
      <c r="E315" s="65">
        <v>1.5880578052999999E-4</v>
      </c>
    </row>
    <row r="316" spans="2:5" s="71" customFormat="1" ht="14.45" customHeight="1">
      <c r="B316" s="96"/>
      <c r="C316" s="36" t="s">
        <v>29</v>
      </c>
      <c r="D316" s="35">
        <v>71</v>
      </c>
      <c r="E316" s="34">
        <v>1.1275210417659E-2</v>
      </c>
    </row>
    <row r="317" spans="2:5" s="71" customFormat="1" ht="14.45" customHeight="1">
      <c r="B317" s="94" t="s">
        <v>282</v>
      </c>
      <c r="C317" s="63" t="s">
        <v>103</v>
      </c>
      <c r="D317" s="64">
        <v>14</v>
      </c>
      <c r="E317" s="65">
        <v>2.2232809274259999E-3</v>
      </c>
    </row>
    <row r="318" spans="2:5" s="71" customFormat="1" ht="14.45" customHeight="1">
      <c r="B318" s="95"/>
      <c r="C318" s="63" t="s">
        <v>105</v>
      </c>
      <c r="D318" s="64">
        <v>12</v>
      </c>
      <c r="E318" s="65">
        <v>1.905669366365E-3</v>
      </c>
    </row>
    <row r="319" spans="2:5" s="71" customFormat="1" ht="14.45" customHeight="1">
      <c r="B319" s="95"/>
      <c r="C319" s="63" t="s">
        <v>106</v>
      </c>
      <c r="D319" s="64">
        <v>1</v>
      </c>
      <c r="E319" s="65">
        <v>1.5880578052999999E-4</v>
      </c>
    </row>
    <row r="320" spans="2:5" s="71" customFormat="1" ht="14.45" customHeight="1">
      <c r="B320" s="95"/>
      <c r="C320" s="63" t="s">
        <v>142</v>
      </c>
      <c r="D320" s="64">
        <v>1</v>
      </c>
      <c r="E320" s="65">
        <v>1.5880578052999999E-4</v>
      </c>
    </row>
    <row r="321" spans="2:5" s="71" customFormat="1" ht="14.45" customHeight="1">
      <c r="B321" s="95"/>
      <c r="C321" s="63" t="s">
        <v>143</v>
      </c>
      <c r="D321" s="64">
        <v>1</v>
      </c>
      <c r="E321" s="65">
        <v>1.5880578052999999E-4</v>
      </c>
    </row>
    <row r="322" spans="2:5" s="71" customFormat="1" ht="14.45" customHeight="1">
      <c r="B322" s="95"/>
      <c r="C322" s="63" t="s">
        <v>145</v>
      </c>
      <c r="D322" s="64">
        <v>1</v>
      </c>
      <c r="E322" s="65">
        <v>1.5880578052999999E-4</v>
      </c>
    </row>
    <row r="323" spans="2:5" s="71" customFormat="1" ht="14.45" customHeight="1">
      <c r="B323" s="96"/>
      <c r="C323" s="36" t="s">
        <v>29</v>
      </c>
      <c r="D323" s="35">
        <v>30</v>
      </c>
      <c r="E323" s="34">
        <v>4.7641734159120002E-3</v>
      </c>
    </row>
    <row r="324" spans="2:5" s="71" customFormat="1" ht="14.45" customHeight="1">
      <c r="B324" s="94" t="s">
        <v>283</v>
      </c>
      <c r="C324" s="63" t="s">
        <v>103</v>
      </c>
      <c r="D324" s="64">
        <v>10</v>
      </c>
      <c r="E324" s="65">
        <v>1.5880578053040001E-3</v>
      </c>
    </row>
    <row r="325" spans="2:5" s="71" customFormat="1" ht="14.45" customHeight="1">
      <c r="B325" s="95"/>
      <c r="C325" s="63" t="s">
        <v>104</v>
      </c>
      <c r="D325" s="64">
        <v>1</v>
      </c>
      <c r="E325" s="65">
        <v>1.5880578052999999E-4</v>
      </c>
    </row>
    <row r="326" spans="2:5" s="71" customFormat="1" ht="14.45" customHeight="1">
      <c r="B326" s="95"/>
      <c r="C326" s="63" t="s">
        <v>105</v>
      </c>
      <c r="D326" s="64">
        <v>6</v>
      </c>
      <c r="E326" s="65">
        <v>9.5283468318199996E-4</v>
      </c>
    </row>
    <row r="327" spans="2:5" s="71" customFormat="1" ht="14.45" customHeight="1">
      <c r="B327" s="95"/>
      <c r="C327" s="63" t="s">
        <v>107</v>
      </c>
      <c r="D327" s="64">
        <v>1</v>
      </c>
      <c r="E327" s="65">
        <v>1.5880578052999999E-4</v>
      </c>
    </row>
    <row r="328" spans="2:5" s="71" customFormat="1" ht="14.45" customHeight="1">
      <c r="B328" s="95"/>
      <c r="C328" s="63" t="s">
        <v>123</v>
      </c>
      <c r="D328" s="64">
        <v>1</v>
      </c>
      <c r="E328" s="65">
        <v>1.5880578052999999E-4</v>
      </c>
    </row>
    <row r="329" spans="2:5" s="71" customFormat="1" ht="14.45" customHeight="1">
      <c r="B329" s="95"/>
      <c r="C329" s="63" t="s">
        <v>130</v>
      </c>
      <c r="D329" s="64">
        <v>1</v>
      </c>
      <c r="E329" s="65">
        <v>1.5880578052999999E-4</v>
      </c>
    </row>
    <row r="330" spans="2:5" s="71" customFormat="1" ht="14.45" customHeight="1">
      <c r="B330" s="95"/>
      <c r="C330" s="63" t="s">
        <v>142</v>
      </c>
      <c r="D330" s="64">
        <v>1</v>
      </c>
      <c r="E330" s="65">
        <v>1.5880578052999999E-4</v>
      </c>
    </row>
    <row r="331" spans="2:5" s="71" customFormat="1" ht="14.45" customHeight="1">
      <c r="B331" s="95"/>
      <c r="C331" s="63" t="s">
        <v>146</v>
      </c>
      <c r="D331" s="64">
        <v>1</v>
      </c>
      <c r="E331" s="65">
        <v>1.5880578052999999E-4</v>
      </c>
    </row>
    <row r="332" spans="2:5" s="71" customFormat="1" ht="14.45" customHeight="1">
      <c r="B332" s="96"/>
      <c r="C332" s="36" t="s">
        <v>29</v>
      </c>
      <c r="D332" s="35">
        <v>22</v>
      </c>
      <c r="E332" s="34">
        <v>3.4937271716690001E-3</v>
      </c>
    </row>
    <row r="333" spans="2:5" s="71" customFormat="1" ht="14.45" customHeight="1">
      <c r="B333" s="94" t="s">
        <v>284</v>
      </c>
      <c r="C333" s="63" t="s">
        <v>102</v>
      </c>
      <c r="D333" s="64">
        <v>3</v>
      </c>
      <c r="E333" s="65">
        <v>4.7641734159099998E-4</v>
      </c>
    </row>
    <row r="334" spans="2:5" s="71" customFormat="1" ht="14.45" customHeight="1">
      <c r="B334" s="95"/>
      <c r="C334" s="63" t="s">
        <v>103</v>
      </c>
      <c r="D334" s="64">
        <v>120</v>
      </c>
      <c r="E334" s="65">
        <v>1.9056693663649E-2</v>
      </c>
    </row>
    <row r="335" spans="2:5" s="71" customFormat="1" ht="14.45" customHeight="1">
      <c r="B335" s="95"/>
      <c r="C335" s="63" t="s">
        <v>105</v>
      </c>
      <c r="D335" s="64">
        <v>36</v>
      </c>
      <c r="E335" s="65">
        <v>5.7170080990950004E-3</v>
      </c>
    </row>
    <row r="336" spans="2:5" s="71" customFormat="1" ht="14.45" customHeight="1">
      <c r="B336" s="95"/>
      <c r="C336" s="63" t="s">
        <v>106</v>
      </c>
      <c r="D336" s="64">
        <v>8</v>
      </c>
      <c r="E336" s="65">
        <v>1.2704462442429999E-3</v>
      </c>
    </row>
    <row r="337" spans="2:5" s="71" customFormat="1" ht="14.45" customHeight="1">
      <c r="B337" s="95"/>
      <c r="C337" s="63" t="s">
        <v>112</v>
      </c>
      <c r="D337" s="64">
        <v>1</v>
      </c>
      <c r="E337" s="65">
        <v>1.5880578052999999E-4</v>
      </c>
    </row>
    <row r="338" spans="2:5" s="71" customFormat="1" ht="14.45" customHeight="1">
      <c r="B338" s="95"/>
      <c r="C338" s="63" t="s">
        <v>113</v>
      </c>
      <c r="D338" s="64">
        <v>1</v>
      </c>
      <c r="E338" s="65">
        <v>1.5880578052999999E-4</v>
      </c>
    </row>
    <row r="339" spans="2:5" s="71" customFormat="1" ht="14.45" customHeight="1">
      <c r="B339" s="95"/>
      <c r="C339" s="63" t="s">
        <v>114</v>
      </c>
      <c r="D339" s="64">
        <v>4</v>
      </c>
      <c r="E339" s="65">
        <v>6.3522312212199999E-4</v>
      </c>
    </row>
    <row r="340" spans="2:5" s="71" customFormat="1" ht="14.45" customHeight="1">
      <c r="B340" s="95"/>
      <c r="C340" s="63" t="s">
        <v>117</v>
      </c>
      <c r="D340" s="64">
        <v>3</v>
      </c>
      <c r="E340" s="65">
        <v>4.7641734159099998E-4</v>
      </c>
    </row>
    <row r="341" spans="2:5" s="71" customFormat="1" ht="14.45" customHeight="1">
      <c r="B341" s="95"/>
      <c r="C341" s="63" t="s">
        <v>119</v>
      </c>
      <c r="D341" s="64">
        <v>1</v>
      </c>
      <c r="E341" s="65">
        <v>1.5880578052999999E-4</v>
      </c>
    </row>
    <row r="342" spans="2:5" s="71" customFormat="1" ht="14.45" customHeight="1">
      <c r="B342" s="95"/>
      <c r="C342" s="63" t="s">
        <v>121</v>
      </c>
      <c r="D342" s="64">
        <v>2</v>
      </c>
      <c r="E342" s="65">
        <v>3.1761156106099999E-4</v>
      </c>
    </row>
    <row r="343" spans="2:5" s="71" customFormat="1" ht="14.45" customHeight="1">
      <c r="B343" s="95"/>
      <c r="C343" s="63" t="s">
        <v>122</v>
      </c>
      <c r="D343" s="64">
        <v>1</v>
      </c>
      <c r="E343" s="65">
        <v>1.5880578052999999E-4</v>
      </c>
    </row>
    <row r="344" spans="2:5" s="71" customFormat="1" ht="14.45" customHeight="1">
      <c r="B344" s="95"/>
      <c r="C344" s="63" t="s">
        <v>123</v>
      </c>
      <c r="D344" s="64">
        <v>3</v>
      </c>
      <c r="E344" s="65">
        <v>4.7641734159099998E-4</v>
      </c>
    </row>
    <row r="345" spans="2:5" s="71" customFormat="1" ht="14.45" customHeight="1">
      <c r="B345" s="95"/>
      <c r="C345" s="63" t="s">
        <v>128</v>
      </c>
      <c r="D345" s="64">
        <v>20</v>
      </c>
      <c r="E345" s="65">
        <v>3.1761156106080001E-3</v>
      </c>
    </row>
    <row r="346" spans="2:5" s="71" customFormat="1" ht="14.45" customHeight="1">
      <c r="B346" s="95"/>
      <c r="C346" s="63" t="s">
        <v>130</v>
      </c>
      <c r="D346" s="64">
        <v>5</v>
      </c>
      <c r="E346" s="65">
        <v>7.9402890265200003E-4</v>
      </c>
    </row>
    <row r="347" spans="2:5" s="71" customFormat="1" ht="14.45" customHeight="1">
      <c r="B347" s="95"/>
      <c r="C347" s="63" t="s">
        <v>131</v>
      </c>
      <c r="D347" s="64">
        <v>1</v>
      </c>
      <c r="E347" s="65">
        <v>1.5880578052999999E-4</v>
      </c>
    </row>
    <row r="348" spans="2:5" s="71" customFormat="1" ht="14.45" customHeight="1">
      <c r="B348" s="95"/>
      <c r="C348" s="63" t="s">
        <v>135</v>
      </c>
      <c r="D348" s="64">
        <v>6</v>
      </c>
      <c r="E348" s="65">
        <v>9.5283468318199996E-4</v>
      </c>
    </row>
    <row r="349" spans="2:5" s="71" customFormat="1" ht="14.45" customHeight="1">
      <c r="B349" s="95"/>
      <c r="C349" s="63" t="s">
        <v>136</v>
      </c>
      <c r="D349" s="64">
        <v>1</v>
      </c>
      <c r="E349" s="65">
        <v>1.5880578052999999E-4</v>
      </c>
    </row>
    <row r="350" spans="2:5" s="71" customFormat="1" ht="14.45" customHeight="1">
      <c r="B350" s="95"/>
      <c r="C350" s="63" t="s">
        <v>141</v>
      </c>
      <c r="D350" s="64">
        <v>1</v>
      </c>
      <c r="E350" s="65">
        <v>1.5880578052999999E-4</v>
      </c>
    </row>
    <row r="351" spans="2:5" s="71" customFormat="1" ht="14.45" customHeight="1">
      <c r="B351" s="95"/>
      <c r="C351" s="63" t="s">
        <v>142</v>
      </c>
      <c r="D351" s="64">
        <v>10</v>
      </c>
      <c r="E351" s="65">
        <v>1.5880578053040001E-3</v>
      </c>
    </row>
    <row r="352" spans="2:5" s="71" customFormat="1" ht="14.45" customHeight="1">
      <c r="B352" s="95"/>
      <c r="C352" s="63" t="s">
        <v>143</v>
      </c>
      <c r="D352" s="64">
        <v>3</v>
      </c>
      <c r="E352" s="65">
        <v>4.7641734159099998E-4</v>
      </c>
    </row>
    <row r="353" spans="2:5" s="71" customFormat="1" ht="14.45" customHeight="1">
      <c r="B353" s="95"/>
      <c r="C353" s="63" t="s">
        <v>96</v>
      </c>
      <c r="D353" s="64">
        <v>1</v>
      </c>
      <c r="E353" s="65">
        <v>1.5880578052999999E-4</v>
      </c>
    </row>
    <row r="354" spans="2:5" s="71" customFormat="1" ht="14.45" customHeight="1">
      <c r="B354" s="95"/>
      <c r="C354" s="63" t="s">
        <v>145</v>
      </c>
      <c r="D354" s="64">
        <v>3</v>
      </c>
      <c r="E354" s="65">
        <v>4.7641734159099998E-4</v>
      </c>
    </row>
    <row r="355" spans="2:5" s="71" customFormat="1" ht="14.45" customHeight="1">
      <c r="B355" s="96"/>
      <c r="C355" s="36" t="s">
        <v>29</v>
      </c>
      <c r="D355" s="35">
        <v>234</v>
      </c>
      <c r="E355" s="34">
        <v>3.7160552644116003E-2</v>
      </c>
    </row>
    <row r="356" spans="2:5" s="71" customFormat="1" ht="14.45" customHeight="1">
      <c r="B356" s="94" t="s">
        <v>285</v>
      </c>
      <c r="C356" s="63" t="s">
        <v>102</v>
      </c>
      <c r="D356" s="64">
        <v>1</v>
      </c>
      <c r="E356" s="65">
        <v>1.5880578052999999E-4</v>
      </c>
    </row>
    <row r="357" spans="2:5" s="71" customFormat="1" ht="14.45" customHeight="1">
      <c r="B357" s="95"/>
      <c r="C357" s="63" t="s">
        <v>103</v>
      </c>
      <c r="D357" s="64">
        <v>385</v>
      </c>
      <c r="E357" s="65">
        <v>6.1140225504208001E-2</v>
      </c>
    </row>
    <row r="358" spans="2:5" s="71" customFormat="1" ht="14.45" customHeight="1">
      <c r="B358" s="95"/>
      <c r="C358" s="63" t="s">
        <v>104</v>
      </c>
      <c r="D358" s="64">
        <v>3</v>
      </c>
      <c r="E358" s="65">
        <v>4.7641734159099998E-4</v>
      </c>
    </row>
    <row r="359" spans="2:5" s="71" customFormat="1" ht="14.45" customHeight="1">
      <c r="B359" s="95"/>
      <c r="C359" s="63" t="s">
        <v>105</v>
      </c>
      <c r="D359" s="64">
        <v>118</v>
      </c>
      <c r="E359" s="65">
        <v>1.8739082102589E-2</v>
      </c>
    </row>
    <row r="360" spans="2:5" s="71" customFormat="1" ht="14.45" customHeight="1">
      <c r="B360" s="95"/>
      <c r="C360" s="63" t="s">
        <v>106</v>
      </c>
      <c r="D360" s="64">
        <v>17</v>
      </c>
      <c r="E360" s="65">
        <v>2.699698269017E-3</v>
      </c>
    </row>
    <row r="361" spans="2:5" s="71" customFormat="1" ht="14.45" customHeight="1">
      <c r="B361" s="95"/>
      <c r="C361" s="63" t="s">
        <v>109</v>
      </c>
      <c r="D361" s="64">
        <v>1</v>
      </c>
      <c r="E361" s="65">
        <v>1.5880578052999999E-4</v>
      </c>
    </row>
    <row r="362" spans="2:5" s="71" customFormat="1" ht="14.45" customHeight="1">
      <c r="B362" s="95"/>
      <c r="C362" s="63" t="s">
        <v>110</v>
      </c>
      <c r="D362" s="64">
        <v>3</v>
      </c>
      <c r="E362" s="65">
        <v>4.7641734159099998E-4</v>
      </c>
    </row>
    <row r="363" spans="2:5" s="71" customFormat="1" ht="14.45" customHeight="1">
      <c r="B363" s="95"/>
      <c r="C363" s="63" t="s">
        <v>111</v>
      </c>
      <c r="D363" s="64">
        <v>1</v>
      </c>
      <c r="E363" s="65">
        <v>1.5880578052999999E-4</v>
      </c>
    </row>
    <row r="364" spans="2:5" s="71" customFormat="1" ht="14.45" customHeight="1">
      <c r="B364" s="95"/>
      <c r="C364" s="63" t="s">
        <v>113</v>
      </c>
      <c r="D364" s="64">
        <v>9</v>
      </c>
      <c r="E364" s="65">
        <v>1.4292520247739999E-3</v>
      </c>
    </row>
    <row r="365" spans="2:5" s="71" customFormat="1" ht="14.45" customHeight="1">
      <c r="B365" s="95"/>
      <c r="C365" s="63" t="s">
        <v>114</v>
      </c>
      <c r="D365" s="64">
        <v>10</v>
      </c>
      <c r="E365" s="65">
        <v>1.5880578053040001E-3</v>
      </c>
    </row>
    <row r="366" spans="2:5" s="71" customFormat="1" ht="14.45" customHeight="1">
      <c r="B366" s="95"/>
      <c r="C366" s="63" t="s">
        <v>115</v>
      </c>
      <c r="D366" s="64">
        <v>1</v>
      </c>
      <c r="E366" s="65">
        <v>1.5880578052999999E-4</v>
      </c>
    </row>
    <row r="367" spans="2:5" s="71" customFormat="1" ht="14.45" customHeight="1">
      <c r="B367" s="95"/>
      <c r="C367" s="63" t="s">
        <v>119</v>
      </c>
      <c r="D367" s="64">
        <v>1</v>
      </c>
      <c r="E367" s="65">
        <v>1.5880578052999999E-4</v>
      </c>
    </row>
    <row r="368" spans="2:5" s="71" customFormat="1" ht="14.45" customHeight="1">
      <c r="B368" s="95"/>
      <c r="C368" s="63" t="s">
        <v>121</v>
      </c>
      <c r="D368" s="64">
        <v>2</v>
      </c>
      <c r="E368" s="65">
        <v>3.1761156106099999E-4</v>
      </c>
    </row>
    <row r="369" spans="2:5" s="71" customFormat="1" ht="14.45" customHeight="1">
      <c r="B369" s="95"/>
      <c r="C369" s="63" t="s">
        <v>123</v>
      </c>
      <c r="D369" s="64">
        <v>3</v>
      </c>
      <c r="E369" s="65">
        <v>4.7641734159099998E-4</v>
      </c>
    </row>
    <row r="370" spans="2:5" s="71" customFormat="1" ht="14.45" customHeight="1">
      <c r="B370" s="95"/>
      <c r="C370" s="63" t="s">
        <v>125</v>
      </c>
      <c r="D370" s="64">
        <v>3</v>
      </c>
      <c r="E370" s="65">
        <v>4.7641734159099998E-4</v>
      </c>
    </row>
    <row r="371" spans="2:5" s="71" customFormat="1" ht="14.45" customHeight="1">
      <c r="B371" s="95"/>
      <c r="C371" s="63" t="s">
        <v>127</v>
      </c>
      <c r="D371" s="64">
        <v>1</v>
      </c>
      <c r="E371" s="65">
        <v>1.5880578052999999E-4</v>
      </c>
    </row>
    <row r="372" spans="2:5" s="71" customFormat="1" ht="14.45" customHeight="1">
      <c r="B372" s="95"/>
      <c r="C372" s="63" t="s">
        <v>128</v>
      </c>
      <c r="D372" s="64">
        <v>35</v>
      </c>
      <c r="E372" s="65">
        <v>5.5582023185639998E-3</v>
      </c>
    </row>
    <row r="373" spans="2:5" s="71" customFormat="1" ht="14.45" customHeight="1">
      <c r="B373" s="95"/>
      <c r="C373" s="63" t="s">
        <v>130</v>
      </c>
      <c r="D373" s="64">
        <v>5</v>
      </c>
      <c r="E373" s="65">
        <v>7.9402890265200003E-4</v>
      </c>
    </row>
    <row r="374" spans="2:5" s="71" customFormat="1" ht="14.45" customHeight="1">
      <c r="B374" s="95"/>
      <c r="C374" s="63" t="s">
        <v>131</v>
      </c>
      <c r="D374" s="64">
        <v>1</v>
      </c>
      <c r="E374" s="65">
        <v>1.5880578052999999E-4</v>
      </c>
    </row>
    <row r="375" spans="2:5" s="71" customFormat="1" ht="14.45" customHeight="1">
      <c r="B375" s="95"/>
      <c r="C375" s="63" t="s">
        <v>132</v>
      </c>
      <c r="D375" s="64">
        <v>5</v>
      </c>
      <c r="E375" s="65">
        <v>7.9402890265200003E-4</v>
      </c>
    </row>
    <row r="376" spans="2:5" s="71" customFormat="1" ht="14.45" customHeight="1">
      <c r="B376" s="95"/>
      <c r="C376" s="63" t="s">
        <v>133</v>
      </c>
      <c r="D376" s="64">
        <v>2</v>
      </c>
      <c r="E376" s="65">
        <v>3.1761156106099999E-4</v>
      </c>
    </row>
    <row r="377" spans="2:5" s="71" customFormat="1" ht="14.45" customHeight="1">
      <c r="B377" s="95"/>
      <c r="C377" s="63" t="s">
        <v>134</v>
      </c>
      <c r="D377" s="64">
        <v>2</v>
      </c>
      <c r="E377" s="65">
        <v>3.1761156106099999E-4</v>
      </c>
    </row>
    <row r="378" spans="2:5" s="71" customFormat="1" ht="14.45" customHeight="1">
      <c r="B378" s="95"/>
      <c r="C378" s="63" t="s">
        <v>135</v>
      </c>
      <c r="D378" s="64">
        <v>7</v>
      </c>
      <c r="E378" s="65">
        <v>1.111640463713E-3</v>
      </c>
    </row>
    <row r="379" spans="2:5" s="71" customFormat="1" ht="14.45" customHeight="1">
      <c r="B379" s="95"/>
      <c r="C379" s="63" t="s">
        <v>136</v>
      </c>
      <c r="D379" s="64">
        <v>1</v>
      </c>
      <c r="E379" s="65">
        <v>1.5880578052999999E-4</v>
      </c>
    </row>
    <row r="380" spans="2:5" s="71" customFormat="1" ht="14.45" customHeight="1">
      <c r="B380" s="95"/>
      <c r="C380" s="63" t="s">
        <v>138</v>
      </c>
      <c r="D380" s="64">
        <v>1</v>
      </c>
      <c r="E380" s="65">
        <v>1.5880578052999999E-4</v>
      </c>
    </row>
    <row r="381" spans="2:5" s="71" customFormat="1" ht="14.45" customHeight="1">
      <c r="B381" s="95"/>
      <c r="C381" s="63" t="s">
        <v>139</v>
      </c>
      <c r="D381" s="64">
        <v>1</v>
      </c>
      <c r="E381" s="65">
        <v>1.5880578052999999E-4</v>
      </c>
    </row>
    <row r="382" spans="2:5" s="71" customFormat="1" ht="14.45" customHeight="1">
      <c r="B382" s="95"/>
      <c r="C382" s="63" t="s">
        <v>140</v>
      </c>
      <c r="D382" s="64">
        <v>1</v>
      </c>
      <c r="E382" s="65">
        <v>1.5880578052999999E-4</v>
      </c>
    </row>
    <row r="383" spans="2:5" s="71" customFormat="1" ht="14.45" customHeight="1">
      <c r="B383" s="95"/>
      <c r="C383" s="63" t="s">
        <v>141</v>
      </c>
      <c r="D383" s="64">
        <v>2</v>
      </c>
      <c r="E383" s="65">
        <v>3.1761156106099999E-4</v>
      </c>
    </row>
    <row r="384" spans="2:5" s="71" customFormat="1" ht="14.45" customHeight="1">
      <c r="B384" s="95"/>
      <c r="C384" s="63" t="s">
        <v>142</v>
      </c>
      <c r="D384" s="64">
        <v>37</v>
      </c>
      <c r="E384" s="65">
        <v>5.8758138796250001E-3</v>
      </c>
    </row>
    <row r="385" spans="2:5" s="71" customFormat="1" ht="14.45" customHeight="1">
      <c r="B385" s="95"/>
      <c r="C385" s="63" t="s">
        <v>143</v>
      </c>
      <c r="D385" s="64">
        <v>12</v>
      </c>
      <c r="E385" s="65">
        <v>1.905669366365E-3</v>
      </c>
    </row>
    <row r="386" spans="2:5" s="71" customFormat="1" ht="14.45" customHeight="1">
      <c r="B386" s="95"/>
      <c r="C386" s="63" t="s">
        <v>144</v>
      </c>
      <c r="D386" s="64">
        <v>1</v>
      </c>
      <c r="E386" s="65">
        <v>1.5880578052999999E-4</v>
      </c>
    </row>
    <row r="387" spans="2:5" s="71" customFormat="1" ht="14.45" customHeight="1">
      <c r="B387" s="95"/>
      <c r="C387" s="63" t="s">
        <v>96</v>
      </c>
      <c r="D387" s="64">
        <v>3</v>
      </c>
      <c r="E387" s="65">
        <v>4.7641734159099998E-4</v>
      </c>
    </row>
    <row r="388" spans="2:5" s="71" customFormat="1" ht="14.45" customHeight="1">
      <c r="B388" s="95"/>
      <c r="C388" s="63" t="s">
        <v>145</v>
      </c>
      <c r="D388" s="64">
        <v>3</v>
      </c>
      <c r="E388" s="65">
        <v>4.7641734159099998E-4</v>
      </c>
    </row>
    <row r="389" spans="2:5" s="71" customFormat="1" ht="14.45" customHeight="1">
      <c r="B389" s="95"/>
      <c r="C389" s="63" t="s">
        <v>146</v>
      </c>
      <c r="D389" s="64">
        <v>2</v>
      </c>
      <c r="E389" s="65">
        <v>3.1761156106099999E-4</v>
      </c>
    </row>
    <row r="390" spans="2:5" s="71" customFormat="1" ht="14.45" customHeight="1">
      <c r="B390" s="96"/>
      <c r="C390" s="36" t="s">
        <v>29</v>
      </c>
      <c r="D390" s="35">
        <v>680</v>
      </c>
      <c r="E390" s="34">
        <v>0.10798793076068</v>
      </c>
    </row>
    <row r="391" spans="2:5" s="71" customFormat="1" ht="14.45" customHeight="1">
      <c r="B391" s="94" t="s">
        <v>286</v>
      </c>
      <c r="C391" s="63" t="s">
        <v>103</v>
      </c>
      <c r="D391" s="64">
        <v>5</v>
      </c>
      <c r="E391" s="65">
        <v>7.9402890265200003E-4</v>
      </c>
    </row>
    <row r="392" spans="2:5" s="71" customFormat="1" ht="14.45" customHeight="1">
      <c r="B392" s="95"/>
      <c r="C392" s="63" t="s">
        <v>105</v>
      </c>
      <c r="D392" s="64">
        <v>2</v>
      </c>
      <c r="E392" s="65">
        <v>3.1761156106099999E-4</v>
      </c>
    </row>
    <row r="393" spans="2:5" s="71" customFormat="1" ht="14.45" customHeight="1">
      <c r="B393" s="95"/>
      <c r="C393" s="63" t="s">
        <v>130</v>
      </c>
      <c r="D393" s="64">
        <v>3</v>
      </c>
      <c r="E393" s="65">
        <v>4.7641734159099998E-4</v>
      </c>
    </row>
    <row r="394" spans="2:5" s="71" customFormat="1" ht="14.45" customHeight="1">
      <c r="B394" s="96"/>
      <c r="C394" s="36" t="s">
        <v>29</v>
      </c>
      <c r="D394" s="35">
        <v>10</v>
      </c>
      <c r="E394" s="34">
        <v>1.5880578053040001E-3</v>
      </c>
    </row>
    <row r="395" spans="2:5" s="71" customFormat="1" ht="14.45" customHeight="1">
      <c r="B395" s="94" t="s">
        <v>287</v>
      </c>
      <c r="C395" s="63" t="s">
        <v>103</v>
      </c>
      <c r="D395" s="64">
        <v>36</v>
      </c>
      <c r="E395" s="65">
        <v>5.7170080990950004E-3</v>
      </c>
    </row>
    <row r="396" spans="2:5" s="71" customFormat="1" ht="14.45" customHeight="1">
      <c r="B396" s="95"/>
      <c r="C396" s="63" t="s">
        <v>105</v>
      </c>
      <c r="D396" s="64">
        <v>4</v>
      </c>
      <c r="E396" s="65">
        <v>6.3522312212199999E-4</v>
      </c>
    </row>
    <row r="397" spans="2:5" s="71" customFormat="1" ht="14.45" customHeight="1">
      <c r="B397" s="95"/>
      <c r="C397" s="63" t="s">
        <v>122</v>
      </c>
      <c r="D397" s="64">
        <v>1</v>
      </c>
      <c r="E397" s="65">
        <v>1.5880578052999999E-4</v>
      </c>
    </row>
    <row r="398" spans="2:5" s="71" customFormat="1" ht="14.45" customHeight="1">
      <c r="B398" s="95"/>
      <c r="C398" s="63" t="s">
        <v>125</v>
      </c>
      <c r="D398" s="64">
        <v>1</v>
      </c>
      <c r="E398" s="65">
        <v>1.5880578052999999E-4</v>
      </c>
    </row>
    <row r="399" spans="2:5" s="71" customFormat="1" ht="14.45" customHeight="1">
      <c r="B399" s="95"/>
      <c r="C399" s="63" t="s">
        <v>135</v>
      </c>
      <c r="D399" s="64">
        <v>1</v>
      </c>
      <c r="E399" s="65">
        <v>1.5880578052999999E-4</v>
      </c>
    </row>
    <row r="400" spans="2:5" s="71" customFormat="1" ht="14.45" customHeight="1">
      <c r="B400" s="95"/>
      <c r="C400" s="63" t="s">
        <v>142</v>
      </c>
      <c r="D400" s="64">
        <v>2</v>
      </c>
      <c r="E400" s="65">
        <v>3.1761156106099999E-4</v>
      </c>
    </row>
    <row r="401" spans="2:5" s="71" customFormat="1" ht="14.45" customHeight="1">
      <c r="B401" s="95"/>
      <c r="C401" s="63" t="s">
        <v>143</v>
      </c>
      <c r="D401" s="64">
        <v>1</v>
      </c>
      <c r="E401" s="65">
        <v>1.5880578052999999E-4</v>
      </c>
    </row>
    <row r="402" spans="2:5" s="71" customFormat="1" ht="14.45" customHeight="1">
      <c r="B402" s="95"/>
      <c r="C402" s="63" t="s">
        <v>96</v>
      </c>
      <c r="D402" s="64">
        <v>1</v>
      </c>
      <c r="E402" s="65">
        <v>1.5880578052999999E-4</v>
      </c>
    </row>
    <row r="403" spans="2:5" s="71" customFormat="1" ht="14.45" customHeight="1">
      <c r="B403" s="96"/>
      <c r="C403" s="36" t="s">
        <v>29</v>
      </c>
      <c r="D403" s="35">
        <v>47</v>
      </c>
      <c r="E403" s="34">
        <v>7.4638716849290002E-3</v>
      </c>
    </row>
    <row r="404" spans="2:5" s="71" customFormat="1" ht="14.45" customHeight="1">
      <c r="B404" s="94" t="s">
        <v>288</v>
      </c>
      <c r="C404" s="63" t="s">
        <v>103</v>
      </c>
      <c r="D404" s="64">
        <v>7</v>
      </c>
      <c r="E404" s="65">
        <v>1.111640463713E-3</v>
      </c>
    </row>
    <row r="405" spans="2:5" s="71" customFormat="1" ht="14.45" customHeight="1">
      <c r="B405" s="95"/>
      <c r="C405" s="63" t="s">
        <v>140</v>
      </c>
      <c r="D405" s="64">
        <v>1</v>
      </c>
      <c r="E405" s="65">
        <v>1.5880578052999999E-4</v>
      </c>
    </row>
    <row r="406" spans="2:5" s="71" customFormat="1" ht="14.45" customHeight="1">
      <c r="B406" s="95"/>
      <c r="C406" s="63" t="s">
        <v>142</v>
      </c>
      <c r="D406" s="64">
        <v>1</v>
      </c>
      <c r="E406" s="65">
        <v>1.5880578052999999E-4</v>
      </c>
    </row>
    <row r="407" spans="2:5" s="71" customFormat="1" ht="14.45" customHeight="1">
      <c r="B407" s="96"/>
      <c r="C407" s="36" t="s">
        <v>29</v>
      </c>
      <c r="D407" s="35">
        <v>9</v>
      </c>
      <c r="E407" s="34">
        <v>1.4292520247739999E-3</v>
      </c>
    </row>
    <row r="408" spans="2:5" s="71" customFormat="1" ht="14.45" customHeight="1">
      <c r="B408" s="97" t="s">
        <v>29</v>
      </c>
      <c r="C408" s="98"/>
      <c r="D408" s="61">
        <v>6297</v>
      </c>
      <c r="E408" s="62">
        <v>1</v>
      </c>
    </row>
    <row r="409" spans="2:5" s="71" customFormat="1" ht="14.45" customHeight="1"/>
    <row r="410" spans="2:5" s="71" customFormat="1" ht="14.45" customHeight="1">
      <c r="B410" s="15" t="s">
        <v>47</v>
      </c>
    </row>
    <row r="411" spans="2:5" s="71" customFormat="1" ht="14.45" customHeight="1">
      <c r="B411" s="17" t="s">
        <v>18</v>
      </c>
    </row>
    <row r="412" spans="2:5" s="71" customFormat="1" ht="14.45" customHeight="1">
      <c r="B412" s="16" t="s">
        <v>48</v>
      </c>
    </row>
    <row r="413" spans="2:5" s="71" customFormat="1" ht="14.45" customHeight="1">
      <c r="B413" s="15" t="s">
        <v>17</v>
      </c>
    </row>
    <row r="414" spans="2:5" s="71" customFormat="1" ht="14.45" customHeight="1">
      <c r="B414" s="15" t="s">
        <v>49</v>
      </c>
    </row>
  </sheetData>
  <mergeCells count="26">
    <mergeCell ref="B317:B323"/>
    <mergeCell ref="B324:B332"/>
    <mergeCell ref="B333:B355"/>
    <mergeCell ref="B356:B390"/>
    <mergeCell ref="B391:B394"/>
    <mergeCell ref="B210:B221"/>
    <mergeCell ref="B222:B253"/>
    <mergeCell ref="B254:B293"/>
    <mergeCell ref="B294:B302"/>
    <mergeCell ref="B303:B316"/>
    <mergeCell ref="B395:B403"/>
    <mergeCell ref="B404:B407"/>
    <mergeCell ref="B408:C408"/>
    <mergeCell ref="B10:B16"/>
    <mergeCell ref="B7:E8"/>
    <mergeCell ref="B17:B21"/>
    <mergeCell ref="B22:B28"/>
    <mergeCell ref="B29:B36"/>
    <mergeCell ref="B37:B43"/>
    <mergeCell ref="B44:B55"/>
    <mergeCell ref="B56:B80"/>
    <mergeCell ref="B81:B111"/>
    <mergeCell ref="B112:B125"/>
    <mergeCell ref="B126:B148"/>
    <mergeCell ref="B149:B170"/>
    <mergeCell ref="B171:B2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48"/>
  <sheetViews>
    <sheetView showGridLines="0" view="pageBreakPreview" topLeftCell="A628" zoomScale="85" zoomScaleNormal="100" zoomScaleSheetLayoutView="85" workbookViewId="0">
      <selection activeCell="E642" sqref="B9:E642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9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0" customFormat="1" ht="12" customHeight="1">
      <c r="B1" s="43"/>
      <c r="C1" s="42"/>
      <c r="D1" s="42"/>
      <c r="E1" s="42"/>
    </row>
    <row r="2" spans="1:5" s="40" customFormat="1" ht="15" customHeight="1">
      <c r="C2" s="45"/>
    </row>
    <row r="3" spans="1:5" s="40" customFormat="1" ht="15" customHeight="1">
      <c r="C3" s="45"/>
    </row>
    <row r="4" spans="1:5" s="40" customFormat="1" ht="30" customHeight="1">
      <c r="C4" s="45"/>
      <c r="D4" s="44"/>
    </row>
    <row r="5" spans="1:5" s="40" customFormat="1" ht="15" customHeight="1">
      <c r="C5" s="45"/>
      <c r="D5" s="44"/>
    </row>
    <row r="6" spans="1:5" s="40" customFormat="1" ht="24" customHeight="1">
      <c r="B6" s="43"/>
      <c r="C6" s="42"/>
      <c r="D6" s="42"/>
      <c r="E6" s="42"/>
    </row>
    <row r="7" spans="1:5" s="40" customFormat="1" ht="26.25" customHeight="1">
      <c r="A7" s="41"/>
      <c r="B7" s="99"/>
      <c r="C7" s="99"/>
      <c r="D7" s="99"/>
      <c r="E7" s="99"/>
    </row>
    <row r="8" spans="1:5" s="40" customFormat="1" ht="33" customHeight="1">
      <c r="A8" s="41"/>
      <c r="B8" s="99"/>
      <c r="C8" s="99"/>
      <c r="D8" s="99"/>
      <c r="E8" s="99"/>
    </row>
    <row r="9" spans="1:5" s="25" customFormat="1" ht="40.5" customHeight="1">
      <c r="B9" s="37" t="s">
        <v>22</v>
      </c>
      <c r="C9" s="39" t="s">
        <v>27</v>
      </c>
      <c r="D9" s="38" t="s">
        <v>20</v>
      </c>
      <c r="E9" s="37" t="s">
        <v>19</v>
      </c>
    </row>
    <row r="10" spans="1:5" ht="15" customHeight="1">
      <c r="B10" s="94" t="s">
        <v>70</v>
      </c>
      <c r="C10" s="63" t="s">
        <v>269</v>
      </c>
      <c r="D10" s="64">
        <v>1</v>
      </c>
      <c r="E10" s="65">
        <v>1.5880578052999999E-4</v>
      </c>
    </row>
    <row r="11" spans="1:5" ht="15" customHeight="1">
      <c r="B11" s="95"/>
      <c r="C11" s="63" t="s">
        <v>271</v>
      </c>
      <c r="D11" s="64">
        <v>2</v>
      </c>
      <c r="E11" s="65">
        <v>3.1761156106099999E-4</v>
      </c>
    </row>
    <row r="12" spans="1:5" ht="15" customHeight="1">
      <c r="B12" s="95"/>
      <c r="C12" s="63" t="s">
        <v>272</v>
      </c>
      <c r="D12" s="64">
        <v>5</v>
      </c>
      <c r="E12" s="65">
        <v>7.9402890265200003E-4</v>
      </c>
    </row>
    <row r="13" spans="1:5" ht="15" customHeight="1">
      <c r="B13" s="95"/>
      <c r="C13" s="63" t="s">
        <v>274</v>
      </c>
      <c r="D13" s="64">
        <v>2</v>
      </c>
      <c r="E13" s="65">
        <v>3.1761156106099999E-4</v>
      </c>
    </row>
    <row r="14" spans="1:5" ht="15" customHeight="1">
      <c r="B14" s="95"/>
      <c r="C14" s="63" t="s">
        <v>276</v>
      </c>
      <c r="D14" s="64">
        <v>16</v>
      </c>
      <c r="E14" s="65">
        <v>2.5408924884869999E-3</v>
      </c>
    </row>
    <row r="15" spans="1:5" ht="15" customHeight="1">
      <c r="B15" s="95"/>
      <c r="C15" s="63" t="s">
        <v>277</v>
      </c>
      <c r="D15" s="64">
        <v>1</v>
      </c>
      <c r="E15" s="65">
        <v>1.5880578052999999E-4</v>
      </c>
    </row>
    <row r="16" spans="1:5" ht="15" customHeight="1">
      <c r="B16" s="95"/>
      <c r="C16" s="63" t="s">
        <v>278</v>
      </c>
      <c r="D16" s="64">
        <v>4</v>
      </c>
      <c r="E16" s="65">
        <v>6.3522312212199999E-4</v>
      </c>
    </row>
    <row r="17" spans="2:5" ht="15" customHeight="1">
      <c r="B17" s="95"/>
      <c r="C17" s="63" t="s">
        <v>279</v>
      </c>
      <c r="D17" s="64">
        <v>19</v>
      </c>
      <c r="E17" s="65">
        <v>3.017309830078E-3</v>
      </c>
    </row>
    <row r="18" spans="2:5" ht="15" customHeight="1">
      <c r="B18" s="95"/>
      <c r="C18" s="63" t="s">
        <v>281</v>
      </c>
      <c r="D18" s="64">
        <v>1</v>
      </c>
      <c r="E18" s="65">
        <v>1.5880578052999999E-4</v>
      </c>
    </row>
    <row r="19" spans="2:5" ht="15" customHeight="1">
      <c r="B19" s="95"/>
      <c r="C19" s="63" t="s">
        <v>283</v>
      </c>
      <c r="D19" s="64">
        <v>1</v>
      </c>
      <c r="E19" s="65">
        <v>1.5880578052999999E-4</v>
      </c>
    </row>
    <row r="20" spans="2:5" ht="15" customHeight="1">
      <c r="B20" s="95"/>
      <c r="C20" s="63" t="s">
        <v>284</v>
      </c>
      <c r="D20" s="64">
        <v>4</v>
      </c>
      <c r="E20" s="65">
        <v>6.3522312212199999E-4</v>
      </c>
    </row>
    <row r="21" spans="2:5" ht="15" customHeight="1">
      <c r="B21" s="95"/>
      <c r="C21" s="63" t="s">
        <v>285</v>
      </c>
      <c r="D21" s="64">
        <v>1</v>
      </c>
      <c r="E21" s="65">
        <v>1.5880578052999999E-4</v>
      </c>
    </row>
    <row r="22" spans="2:5" ht="15" customHeight="1">
      <c r="B22" s="95"/>
      <c r="C22" s="63" t="s">
        <v>286</v>
      </c>
      <c r="D22" s="64">
        <v>1</v>
      </c>
      <c r="E22" s="65">
        <v>1.5880578052999999E-4</v>
      </c>
    </row>
    <row r="23" spans="2:5" ht="15" customHeight="1">
      <c r="B23" s="96"/>
      <c r="C23" s="36" t="s">
        <v>29</v>
      </c>
      <c r="D23" s="35">
        <v>58</v>
      </c>
      <c r="E23" s="34">
        <v>9.2107352707639992E-3</v>
      </c>
    </row>
    <row r="24" spans="2:5" ht="15" customHeight="1">
      <c r="B24" s="94" t="s">
        <v>74</v>
      </c>
      <c r="C24" s="63" t="s">
        <v>267</v>
      </c>
      <c r="D24" s="64">
        <v>1</v>
      </c>
      <c r="E24" s="65">
        <v>1.5880578052999999E-4</v>
      </c>
    </row>
    <row r="25" spans="2:5" ht="15" customHeight="1">
      <c r="B25" s="95"/>
      <c r="C25" s="63" t="s">
        <v>272</v>
      </c>
      <c r="D25" s="64">
        <v>3</v>
      </c>
      <c r="E25" s="65">
        <v>4.7641734159099998E-4</v>
      </c>
    </row>
    <row r="26" spans="2:5" ht="15" customHeight="1">
      <c r="B26" s="95"/>
      <c r="C26" s="63" t="s">
        <v>274</v>
      </c>
      <c r="D26" s="64">
        <v>1</v>
      </c>
      <c r="E26" s="65">
        <v>1.5880578052999999E-4</v>
      </c>
    </row>
    <row r="27" spans="2:5" ht="15" customHeight="1">
      <c r="B27" s="95"/>
      <c r="C27" s="63" t="s">
        <v>275</v>
      </c>
      <c r="D27" s="64">
        <v>1</v>
      </c>
      <c r="E27" s="65">
        <v>1.5880578052999999E-4</v>
      </c>
    </row>
    <row r="28" spans="2:5" ht="15" customHeight="1">
      <c r="B28" s="95"/>
      <c r="C28" s="63" t="s">
        <v>276</v>
      </c>
      <c r="D28" s="64">
        <v>12</v>
      </c>
      <c r="E28" s="65">
        <v>1.905669366365E-3</v>
      </c>
    </row>
    <row r="29" spans="2:5" ht="15" customHeight="1">
      <c r="B29" s="95"/>
      <c r="C29" s="63" t="s">
        <v>278</v>
      </c>
      <c r="D29" s="64">
        <v>2</v>
      </c>
      <c r="E29" s="65">
        <v>3.1761156106099999E-4</v>
      </c>
    </row>
    <row r="30" spans="2:5" ht="15" customHeight="1">
      <c r="B30" s="95"/>
      <c r="C30" s="63" t="s">
        <v>279</v>
      </c>
      <c r="D30" s="64">
        <v>9</v>
      </c>
      <c r="E30" s="65">
        <v>1.4292520247739999E-3</v>
      </c>
    </row>
    <row r="31" spans="2:5" ht="15" customHeight="1">
      <c r="B31" s="95"/>
      <c r="C31" s="63" t="s">
        <v>280</v>
      </c>
      <c r="D31" s="64">
        <v>2</v>
      </c>
      <c r="E31" s="65">
        <v>3.1761156106099999E-4</v>
      </c>
    </row>
    <row r="32" spans="2:5" ht="15" customHeight="1">
      <c r="B32" s="95"/>
      <c r="C32" s="63" t="s">
        <v>284</v>
      </c>
      <c r="D32" s="64">
        <v>2</v>
      </c>
      <c r="E32" s="65">
        <v>3.1761156106099999E-4</v>
      </c>
    </row>
    <row r="33" spans="2:5" ht="15" customHeight="1">
      <c r="B33" s="95"/>
      <c r="C33" s="63" t="s">
        <v>285</v>
      </c>
      <c r="D33" s="64">
        <v>2</v>
      </c>
      <c r="E33" s="65">
        <v>3.1761156106099999E-4</v>
      </c>
    </row>
    <row r="34" spans="2:5" ht="15" customHeight="1">
      <c r="B34" s="96"/>
      <c r="C34" s="36" t="s">
        <v>29</v>
      </c>
      <c r="D34" s="35">
        <v>35</v>
      </c>
      <c r="E34" s="34">
        <v>5.5582023185639998E-3</v>
      </c>
    </row>
    <row r="35" spans="2:5" ht="15" customHeight="1">
      <c r="B35" s="94" t="s">
        <v>84</v>
      </c>
      <c r="C35" s="63" t="s">
        <v>268</v>
      </c>
      <c r="D35" s="64">
        <v>1</v>
      </c>
      <c r="E35" s="65">
        <v>1.5880578052999999E-4</v>
      </c>
    </row>
    <row r="36" spans="2:5" ht="15" customHeight="1">
      <c r="B36" s="95"/>
      <c r="C36" s="63" t="s">
        <v>271</v>
      </c>
      <c r="D36" s="64">
        <v>1</v>
      </c>
      <c r="E36" s="65">
        <v>1.5880578052999999E-4</v>
      </c>
    </row>
    <row r="37" spans="2:5" ht="15" customHeight="1">
      <c r="B37" s="95"/>
      <c r="C37" s="63" t="s">
        <v>272</v>
      </c>
      <c r="D37" s="64">
        <v>1</v>
      </c>
      <c r="E37" s="65">
        <v>1.5880578052999999E-4</v>
      </c>
    </row>
    <row r="38" spans="2:5" ht="15" customHeight="1">
      <c r="B38" s="95"/>
      <c r="C38" s="63" t="s">
        <v>276</v>
      </c>
      <c r="D38" s="64">
        <v>3</v>
      </c>
      <c r="E38" s="65">
        <v>4.7641734159099998E-4</v>
      </c>
    </row>
    <row r="39" spans="2:5" ht="15" customHeight="1">
      <c r="B39" s="95"/>
      <c r="C39" s="63" t="s">
        <v>277</v>
      </c>
      <c r="D39" s="64">
        <v>2</v>
      </c>
      <c r="E39" s="65">
        <v>3.1761156106099999E-4</v>
      </c>
    </row>
    <row r="40" spans="2:5" ht="15" customHeight="1">
      <c r="B40" s="95"/>
      <c r="C40" s="63" t="s">
        <v>278</v>
      </c>
      <c r="D40" s="64">
        <v>2</v>
      </c>
      <c r="E40" s="65">
        <v>3.1761156106099999E-4</v>
      </c>
    </row>
    <row r="41" spans="2:5" ht="15" customHeight="1">
      <c r="B41" s="95"/>
      <c r="C41" s="63" t="s">
        <v>279</v>
      </c>
      <c r="D41" s="64">
        <v>7</v>
      </c>
      <c r="E41" s="65">
        <v>1.111640463713E-3</v>
      </c>
    </row>
    <row r="42" spans="2:5" ht="15" customHeight="1">
      <c r="B42" s="95"/>
      <c r="C42" s="63" t="s">
        <v>285</v>
      </c>
      <c r="D42" s="64">
        <v>4</v>
      </c>
      <c r="E42" s="65">
        <v>6.3522312212199999E-4</v>
      </c>
    </row>
    <row r="43" spans="2:5" ht="15" customHeight="1">
      <c r="B43" s="96"/>
      <c r="C43" s="36" t="s">
        <v>29</v>
      </c>
      <c r="D43" s="35">
        <v>21</v>
      </c>
      <c r="E43" s="34">
        <v>3.3349213911389999E-3</v>
      </c>
    </row>
    <row r="44" spans="2:5" ht="15" customHeight="1">
      <c r="B44" s="94" t="s">
        <v>67</v>
      </c>
      <c r="C44" s="63" t="s">
        <v>270</v>
      </c>
      <c r="D44" s="64">
        <v>1</v>
      </c>
      <c r="E44" s="65">
        <v>1.5880578052999999E-4</v>
      </c>
    </row>
    <row r="45" spans="2:5" ht="15" customHeight="1">
      <c r="B45" s="95"/>
      <c r="C45" s="63" t="s">
        <v>271</v>
      </c>
      <c r="D45" s="64">
        <v>6</v>
      </c>
      <c r="E45" s="65">
        <v>9.5283468318199996E-4</v>
      </c>
    </row>
    <row r="46" spans="2:5" ht="15" customHeight="1">
      <c r="B46" s="95"/>
      <c r="C46" s="63" t="s">
        <v>272</v>
      </c>
      <c r="D46" s="64">
        <v>7</v>
      </c>
      <c r="E46" s="65">
        <v>1.111640463713E-3</v>
      </c>
    </row>
    <row r="47" spans="2:5" ht="15" customHeight="1">
      <c r="B47" s="95"/>
      <c r="C47" s="63" t="s">
        <v>274</v>
      </c>
      <c r="D47" s="64">
        <v>4</v>
      </c>
      <c r="E47" s="65">
        <v>6.3522312212199999E-4</v>
      </c>
    </row>
    <row r="48" spans="2:5" ht="15" customHeight="1">
      <c r="B48" s="95"/>
      <c r="C48" s="63" t="s">
        <v>275</v>
      </c>
      <c r="D48" s="64">
        <v>5</v>
      </c>
      <c r="E48" s="65">
        <v>7.9402890265200003E-4</v>
      </c>
    </row>
    <row r="49" spans="2:5" ht="15" customHeight="1">
      <c r="B49" s="95"/>
      <c r="C49" s="63" t="s">
        <v>276</v>
      </c>
      <c r="D49" s="64">
        <v>14</v>
      </c>
      <c r="E49" s="65">
        <v>2.2232809274259999E-3</v>
      </c>
    </row>
    <row r="50" spans="2:5" ht="15" customHeight="1">
      <c r="B50" s="95"/>
      <c r="C50" s="63" t="s">
        <v>278</v>
      </c>
      <c r="D50" s="64">
        <v>8</v>
      </c>
      <c r="E50" s="65">
        <v>1.2704462442429999E-3</v>
      </c>
    </row>
    <row r="51" spans="2:5" ht="15" customHeight="1">
      <c r="B51" s="95"/>
      <c r="C51" s="63" t="s">
        <v>279</v>
      </c>
      <c r="D51" s="64">
        <v>24</v>
      </c>
      <c r="E51" s="65">
        <v>3.81133873273E-3</v>
      </c>
    </row>
    <row r="52" spans="2:5" ht="15" customHeight="1">
      <c r="B52" s="95"/>
      <c r="C52" s="63" t="s">
        <v>281</v>
      </c>
      <c r="D52" s="64">
        <v>1</v>
      </c>
      <c r="E52" s="65">
        <v>1.5880578052999999E-4</v>
      </c>
    </row>
    <row r="53" spans="2:5" ht="15" customHeight="1">
      <c r="B53" s="95"/>
      <c r="C53" s="63" t="s">
        <v>284</v>
      </c>
      <c r="D53" s="64">
        <v>1</v>
      </c>
      <c r="E53" s="65">
        <v>1.5880578052999999E-4</v>
      </c>
    </row>
    <row r="54" spans="2:5" ht="15" customHeight="1">
      <c r="B54" s="95"/>
      <c r="C54" s="63" t="s">
        <v>285</v>
      </c>
      <c r="D54" s="64">
        <v>9</v>
      </c>
      <c r="E54" s="65">
        <v>1.4292520247739999E-3</v>
      </c>
    </row>
    <row r="55" spans="2:5" ht="15" customHeight="1">
      <c r="B55" s="96"/>
      <c r="C55" s="36" t="s">
        <v>29</v>
      </c>
      <c r="D55" s="35">
        <v>80</v>
      </c>
      <c r="E55" s="34">
        <v>1.2704462442433E-2</v>
      </c>
    </row>
    <row r="56" spans="2:5" ht="15" customHeight="1">
      <c r="B56" s="94" t="s">
        <v>87</v>
      </c>
      <c r="C56" s="63" t="s">
        <v>266</v>
      </c>
      <c r="D56" s="64">
        <v>1</v>
      </c>
      <c r="E56" s="65">
        <v>1.5880578052999999E-4</v>
      </c>
    </row>
    <row r="57" spans="2:5" ht="15" customHeight="1">
      <c r="B57" s="95"/>
      <c r="C57" s="63" t="s">
        <v>272</v>
      </c>
      <c r="D57" s="64">
        <v>1</v>
      </c>
      <c r="E57" s="65">
        <v>1.5880578052999999E-4</v>
      </c>
    </row>
    <row r="58" spans="2:5" ht="15" customHeight="1">
      <c r="B58" s="95"/>
      <c r="C58" s="63" t="s">
        <v>276</v>
      </c>
      <c r="D58" s="64">
        <v>4</v>
      </c>
      <c r="E58" s="65">
        <v>6.3522312212199999E-4</v>
      </c>
    </row>
    <row r="59" spans="2:5" ht="15" customHeight="1">
      <c r="B59" s="95"/>
      <c r="C59" s="63" t="s">
        <v>278</v>
      </c>
      <c r="D59" s="64">
        <v>2</v>
      </c>
      <c r="E59" s="65">
        <v>3.1761156106099999E-4</v>
      </c>
    </row>
    <row r="60" spans="2:5" ht="15" customHeight="1">
      <c r="B60" s="95"/>
      <c r="C60" s="63" t="s">
        <v>279</v>
      </c>
      <c r="D60" s="64">
        <v>4</v>
      </c>
      <c r="E60" s="65">
        <v>6.3522312212199999E-4</v>
      </c>
    </row>
    <row r="61" spans="2:5" ht="15" customHeight="1">
      <c r="B61" s="95"/>
      <c r="C61" s="63" t="s">
        <v>283</v>
      </c>
      <c r="D61" s="64">
        <v>1</v>
      </c>
      <c r="E61" s="65">
        <v>1.5880578052999999E-4</v>
      </c>
    </row>
    <row r="62" spans="2:5" ht="15" customHeight="1">
      <c r="B62" s="95"/>
      <c r="C62" s="63" t="s">
        <v>284</v>
      </c>
      <c r="D62" s="64">
        <v>2</v>
      </c>
      <c r="E62" s="65">
        <v>3.1761156106099999E-4</v>
      </c>
    </row>
    <row r="63" spans="2:5" ht="15" customHeight="1">
      <c r="B63" s="95"/>
      <c r="C63" s="63" t="s">
        <v>285</v>
      </c>
      <c r="D63" s="64">
        <v>3</v>
      </c>
      <c r="E63" s="65">
        <v>4.7641734159099998E-4</v>
      </c>
    </row>
    <row r="64" spans="2:5" ht="15" customHeight="1">
      <c r="B64" s="96"/>
      <c r="C64" s="36" t="s">
        <v>29</v>
      </c>
      <c r="D64" s="35">
        <v>18</v>
      </c>
      <c r="E64" s="34">
        <v>2.8585040495470002E-3</v>
      </c>
    </row>
    <row r="65" spans="2:5" ht="15" customHeight="1">
      <c r="B65" s="94" t="s">
        <v>97</v>
      </c>
      <c r="C65" s="63" t="s">
        <v>272</v>
      </c>
      <c r="D65" s="64">
        <v>1</v>
      </c>
      <c r="E65" s="65">
        <v>1.5880578052999999E-4</v>
      </c>
    </row>
    <row r="66" spans="2:5" ht="15" customHeight="1">
      <c r="B66" s="95"/>
      <c r="C66" s="63" t="s">
        <v>276</v>
      </c>
      <c r="D66" s="64">
        <v>2</v>
      </c>
      <c r="E66" s="65">
        <v>3.1761156106099999E-4</v>
      </c>
    </row>
    <row r="67" spans="2:5" ht="15" customHeight="1">
      <c r="B67" s="95"/>
      <c r="C67" s="63" t="s">
        <v>279</v>
      </c>
      <c r="D67" s="64">
        <v>1</v>
      </c>
      <c r="E67" s="65">
        <v>1.5880578052999999E-4</v>
      </c>
    </row>
    <row r="68" spans="2:5" ht="15" customHeight="1">
      <c r="B68" s="95"/>
      <c r="C68" s="63" t="s">
        <v>283</v>
      </c>
      <c r="D68" s="64">
        <v>1</v>
      </c>
      <c r="E68" s="65">
        <v>1.5880578052999999E-4</v>
      </c>
    </row>
    <row r="69" spans="2:5" ht="15" customHeight="1">
      <c r="B69" s="96"/>
      <c r="C69" s="36" t="s">
        <v>29</v>
      </c>
      <c r="D69" s="35">
        <v>5</v>
      </c>
      <c r="E69" s="34">
        <v>7.9402890265200003E-4</v>
      </c>
    </row>
    <row r="70" spans="2:5" ht="15" customHeight="1">
      <c r="B70" s="94" t="s">
        <v>88</v>
      </c>
      <c r="C70" s="63" t="s">
        <v>271</v>
      </c>
      <c r="D70" s="64">
        <v>1</v>
      </c>
      <c r="E70" s="65">
        <v>1.5880578052999999E-4</v>
      </c>
    </row>
    <row r="71" spans="2:5" ht="15" customHeight="1">
      <c r="B71" s="95"/>
      <c r="C71" s="63" t="s">
        <v>275</v>
      </c>
      <c r="D71" s="64">
        <v>1</v>
      </c>
      <c r="E71" s="65">
        <v>1.5880578052999999E-4</v>
      </c>
    </row>
    <row r="72" spans="2:5" ht="15" customHeight="1">
      <c r="B72" s="95"/>
      <c r="C72" s="63" t="s">
        <v>276</v>
      </c>
      <c r="D72" s="64">
        <v>3</v>
      </c>
      <c r="E72" s="65">
        <v>4.7641734159099998E-4</v>
      </c>
    </row>
    <row r="73" spans="2:5" ht="15" customHeight="1">
      <c r="B73" s="95"/>
      <c r="C73" s="63" t="s">
        <v>277</v>
      </c>
      <c r="D73" s="64">
        <v>1</v>
      </c>
      <c r="E73" s="65">
        <v>1.5880578052999999E-4</v>
      </c>
    </row>
    <row r="74" spans="2:5" ht="15" customHeight="1">
      <c r="B74" s="95"/>
      <c r="C74" s="63" t="s">
        <v>278</v>
      </c>
      <c r="D74" s="64">
        <v>2</v>
      </c>
      <c r="E74" s="65">
        <v>3.1761156106099999E-4</v>
      </c>
    </row>
    <row r="75" spans="2:5" ht="15" customHeight="1">
      <c r="B75" s="95"/>
      <c r="C75" s="63" t="s">
        <v>279</v>
      </c>
      <c r="D75" s="64">
        <v>4</v>
      </c>
      <c r="E75" s="65">
        <v>6.3522312212199999E-4</v>
      </c>
    </row>
    <row r="76" spans="2:5" ht="15" customHeight="1">
      <c r="B76" s="95"/>
      <c r="C76" s="63" t="s">
        <v>280</v>
      </c>
      <c r="D76" s="64">
        <v>2</v>
      </c>
      <c r="E76" s="65">
        <v>3.1761156106099999E-4</v>
      </c>
    </row>
    <row r="77" spans="2:5" ht="15" customHeight="1">
      <c r="B77" s="95"/>
      <c r="C77" s="63" t="s">
        <v>281</v>
      </c>
      <c r="D77" s="64">
        <v>1</v>
      </c>
      <c r="E77" s="65">
        <v>1.5880578052999999E-4</v>
      </c>
    </row>
    <row r="78" spans="2:5" ht="15" customHeight="1">
      <c r="B78" s="95"/>
      <c r="C78" s="63" t="s">
        <v>284</v>
      </c>
      <c r="D78" s="64">
        <v>2</v>
      </c>
      <c r="E78" s="65">
        <v>3.1761156106099999E-4</v>
      </c>
    </row>
    <row r="79" spans="2:5" ht="15" customHeight="1">
      <c r="B79" s="95"/>
      <c r="C79" s="63" t="s">
        <v>285</v>
      </c>
      <c r="D79" s="64">
        <v>1</v>
      </c>
      <c r="E79" s="65">
        <v>1.5880578052999999E-4</v>
      </c>
    </row>
    <row r="80" spans="2:5" ht="15" customHeight="1">
      <c r="B80" s="96"/>
      <c r="C80" s="36" t="s">
        <v>29</v>
      </c>
      <c r="D80" s="35">
        <v>18</v>
      </c>
      <c r="E80" s="34">
        <v>2.8585040495470002E-3</v>
      </c>
    </row>
    <row r="81" spans="2:5" ht="15" customHeight="1">
      <c r="B81" s="94" t="s">
        <v>57</v>
      </c>
      <c r="C81" s="63" t="s">
        <v>270</v>
      </c>
      <c r="D81" s="64">
        <v>1</v>
      </c>
      <c r="E81" s="65">
        <v>1.5880578052999999E-4</v>
      </c>
    </row>
    <row r="82" spans="2:5" ht="15" customHeight="1">
      <c r="B82" s="95"/>
      <c r="C82" s="63" t="s">
        <v>271</v>
      </c>
      <c r="D82" s="64">
        <v>2</v>
      </c>
      <c r="E82" s="65">
        <v>3.1761156106099999E-4</v>
      </c>
    </row>
    <row r="83" spans="2:5" ht="15" customHeight="1">
      <c r="B83" s="95"/>
      <c r="C83" s="63" t="s">
        <v>272</v>
      </c>
      <c r="D83" s="64">
        <v>14</v>
      </c>
      <c r="E83" s="65">
        <v>2.2232809274259999E-3</v>
      </c>
    </row>
    <row r="84" spans="2:5" ht="15" customHeight="1">
      <c r="B84" s="95"/>
      <c r="C84" s="63" t="s">
        <v>273</v>
      </c>
      <c r="D84" s="64">
        <v>1</v>
      </c>
      <c r="E84" s="65">
        <v>1.5880578052999999E-4</v>
      </c>
    </row>
    <row r="85" spans="2:5" ht="15" customHeight="1">
      <c r="B85" s="95"/>
      <c r="C85" s="63" t="s">
        <v>274</v>
      </c>
      <c r="D85" s="64">
        <v>2</v>
      </c>
      <c r="E85" s="65">
        <v>3.1761156106099999E-4</v>
      </c>
    </row>
    <row r="86" spans="2:5" ht="15" customHeight="1">
      <c r="B86" s="95"/>
      <c r="C86" s="63" t="s">
        <v>275</v>
      </c>
      <c r="D86" s="64">
        <v>5</v>
      </c>
      <c r="E86" s="65">
        <v>7.9402890265200003E-4</v>
      </c>
    </row>
    <row r="87" spans="2:5" ht="15" customHeight="1">
      <c r="B87" s="95"/>
      <c r="C87" s="63" t="s">
        <v>276</v>
      </c>
      <c r="D87" s="64">
        <v>41</v>
      </c>
      <c r="E87" s="65">
        <v>6.511037001747E-3</v>
      </c>
    </row>
    <row r="88" spans="2:5" ht="15" customHeight="1">
      <c r="B88" s="95"/>
      <c r="C88" s="63" t="s">
        <v>277</v>
      </c>
      <c r="D88" s="64">
        <v>3</v>
      </c>
      <c r="E88" s="65">
        <v>4.7641734159099998E-4</v>
      </c>
    </row>
    <row r="89" spans="2:5" ht="15" customHeight="1">
      <c r="B89" s="95"/>
      <c r="C89" s="63" t="s">
        <v>278</v>
      </c>
      <c r="D89" s="64">
        <v>8</v>
      </c>
      <c r="E89" s="65">
        <v>1.2704462442429999E-3</v>
      </c>
    </row>
    <row r="90" spans="2:5" ht="15" customHeight="1">
      <c r="B90" s="95"/>
      <c r="C90" s="63" t="s">
        <v>279</v>
      </c>
      <c r="D90" s="64">
        <v>45</v>
      </c>
      <c r="E90" s="65">
        <v>7.1462601238689999E-3</v>
      </c>
    </row>
    <row r="91" spans="2:5" ht="15" customHeight="1">
      <c r="B91" s="95"/>
      <c r="C91" s="63" t="s">
        <v>280</v>
      </c>
      <c r="D91" s="64">
        <v>2</v>
      </c>
      <c r="E91" s="65">
        <v>3.1761156106099999E-4</v>
      </c>
    </row>
    <row r="92" spans="2:5" ht="15" customHeight="1">
      <c r="B92" s="95"/>
      <c r="C92" s="63" t="s">
        <v>284</v>
      </c>
      <c r="D92" s="64">
        <v>5</v>
      </c>
      <c r="E92" s="65">
        <v>7.9402890265200003E-4</v>
      </c>
    </row>
    <row r="93" spans="2:5" ht="15" customHeight="1">
      <c r="B93" s="95"/>
      <c r="C93" s="63" t="s">
        <v>285</v>
      </c>
      <c r="D93" s="64">
        <v>13</v>
      </c>
      <c r="E93" s="65">
        <v>2.0644751468950001E-3</v>
      </c>
    </row>
    <row r="94" spans="2:5" ht="15" customHeight="1">
      <c r="B94" s="96"/>
      <c r="C94" s="36" t="s">
        <v>29</v>
      </c>
      <c r="D94" s="35">
        <v>142</v>
      </c>
      <c r="E94" s="34">
        <v>2.2550420835318E-2</v>
      </c>
    </row>
    <row r="95" spans="2:5" ht="15" customHeight="1">
      <c r="B95" s="94" t="s">
        <v>65</v>
      </c>
      <c r="C95" s="63" t="s">
        <v>267</v>
      </c>
      <c r="D95" s="64">
        <v>1</v>
      </c>
      <c r="E95" s="65">
        <v>1.5880578052999999E-4</v>
      </c>
    </row>
    <row r="96" spans="2:5" ht="15" customHeight="1">
      <c r="B96" s="95"/>
      <c r="C96" s="63" t="s">
        <v>268</v>
      </c>
      <c r="D96" s="64">
        <v>1</v>
      </c>
      <c r="E96" s="65">
        <v>1.5880578052999999E-4</v>
      </c>
    </row>
    <row r="97" spans="2:5" ht="15" customHeight="1">
      <c r="B97" s="95"/>
      <c r="C97" s="63" t="s">
        <v>271</v>
      </c>
      <c r="D97" s="64">
        <v>1</v>
      </c>
      <c r="E97" s="65">
        <v>1.5880578052999999E-4</v>
      </c>
    </row>
    <row r="98" spans="2:5" ht="15" customHeight="1">
      <c r="B98" s="95"/>
      <c r="C98" s="63" t="s">
        <v>272</v>
      </c>
      <c r="D98" s="64">
        <v>2</v>
      </c>
      <c r="E98" s="65">
        <v>3.1761156106099999E-4</v>
      </c>
    </row>
    <row r="99" spans="2:5" ht="15" customHeight="1">
      <c r="B99" s="95"/>
      <c r="C99" s="63" t="s">
        <v>273</v>
      </c>
      <c r="D99" s="64">
        <v>2</v>
      </c>
      <c r="E99" s="65">
        <v>3.1761156106099999E-4</v>
      </c>
    </row>
    <row r="100" spans="2:5" ht="15" customHeight="1">
      <c r="B100" s="95"/>
      <c r="C100" s="63" t="s">
        <v>274</v>
      </c>
      <c r="D100" s="64">
        <v>1</v>
      </c>
      <c r="E100" s="65">
        <v>1.5880578052999999E-4</v>
      </c>
    </row>
    <row r="101" spans="2:5" ht="15" customHeight="1">
      <c r="B101" s="95"/>
      <c r="C101" s="63" t="s">
        <v>275</v>
      </c>
      <c r="D101" s="64">
        <v>3</v>
      </c>
      <c r="E101" s="65">
        <v>4.7641734159099998E-4</v>
      </c>
    </row>
    <row r="102" spans="2:5" ht="15" customHeight="1">
      <c r="B102" s="95"/>
      <c r="C102" s="63" t="s">
        <v>276</v>
      </c>
      <c r="D102" s="64">
        <v>24</v>
      </c>
      <c r="E102" s="65">
        <v>3.81133873273E-3</v>
      </c>
    </row>
    <row r="103" spans="2:5" ht="15" customHeight="1">
      <c r="B103" s="95"/>
      <c r="C103" s="63" t="s">
        <v>277</v>
      </c>
      <c r="D103" s="64">
        <v>1</v>
      </c>
      <c r="E103" s="65">
        <v>1.5880578052999999E-4</v>
      </c>
    </row>
    <row r="104" spans="2:5" ht="15" customHeight="1">
      <c r="B104" s="95"/>
      <c r="C104" s="63" t="s">
        <v>278</v>
      </c>
      <c r="D104" s="64">
        <v>7</v>
      </c>
      <c r="E104" s="65">
        <v>1.111640463713E-3</v>
      </c>
    </row>
    <row r="105" spans="2:5" ht="15" customHeight="1">
      <c r="B105" s="95"/>
      <c r="C105" s="63" t="s">
        <v>279</v>
      </c>
      <c r="D105" s="64">
        <v>27</v>
      </c>
      <c r="E105" s="65">
        <v>4.2877560743210001E-3</v>
      </c>
    </row>
    <row r="106" spans="2:5" ht="15" customHeight="1">
      <c r="B106" s="95"/>
      <c r="C106" s="63" t="s">
        <v>281</v>
      </c>
      <c r="D106" s="64">
        <v>2</v>
      </c>
      <c r="E106" s="65">
        <v>3.1761156106099999E-4</v>
      </c>
    </row>
    <row r="107" spans="2:5" ht="15" customHeight="1">
      <c r="B107" s="95"/>
      <c r="C107" s="63" t="s">
        <v>284</v>
      </c>
      <c r="D107" s="64">
        <v>3</v>
      </c>
      <c r="E107" s="65">
        <v>4.7641734159099998E-4</v>
      </c>
    </row>
    <row r="108" spans="2:5" ht="15" customHeight="1">
      <c r="B108" s="95"/>
      <c r="C108" s="63" t="s">
        <v>285</v>
      </c>
      <c r="D108" s="64">
        <v>12</v>
      </c>
      <c r="E108" s="65">
        <v>1.905669366365E-3</v>
      </c>
    </row>
    <row r="109" spans="2:5" ht="15" customHeight="1">
      <c r="B109" s="95"/>
      <c r="C109" s="63" t="s">
        <v>287</v>
      </c>
      <c r="D109" s="64">
        <v>1</v>
      </c>
      <c r="E109" s="65">
        <v>1.5880578052999999E-4</v>
      </c>
    </row>
    <row r="110" spans="2:5" ht="15" customHeight="1">
      <c r="B110" s="96"/>
      <c r="C110" s="36" t="s">
        <v>29</v>
      </c>
      <c r="D110" s="35">
        <v>88</v>
      </c>
      <c r="E110" s="34">
        <v>1.3974908686676E-2</v>
      </c>
    </row>
    <row r="111" spans="2:5" ht="15" customHeight="1">
      <c r="B111" s="94" t="s">
        <v>99</v>
      </c>
      <c r="C111" s="63" t="s">
        <v>276</v>
      </c>
      <c r="D111" s="64">
        <v>1</v>
      </c>
      <c r="E111" s="65">
        <v>1.5880578052999999E-4</v>
      </c>
    </row>
    <row r="112" spans="2:5" ht="15" customHeight="1">
      <c r="B112" s="95"/>
      <c r="C112" s="63" t="s">
        <v>279</v>
      </c>
      <c r="D112" s="64">
        <v>1</v>
      </c>
      <c r="E112" s="65">
        <v>1.5880578052999999E-4</v>
      </c>
    </row>
    <row r="113" spans="2:5" ht="15" customHeight="1">
      <c r="B113" s="96"/>
      <c r="C113" s="36" t="s">
        <v>29</v>
      </c>
      <c r="D113" s="35">
        <v>2</v>
      </c>
      <c r="E113" s="34">
        <v>3.1761156106099999E-4</v>
      </c>
    </row>
    <row r="114" spans="2:5" ht="15" customHeight="1">
      <c r="B114" s="94" t="s">
        <v>59</v>
      </c>
      <c r="C114" s="63" t="s">
        <v>269</v>
      </c>
      <c r="D114" s="64">
        <v>1</v>
      </c>
      <c r="E114" s="65">
        <v>1.5880578052999999E-4</v>
      </c>
    </row>
    <row r="115" spans="2:5" ht="15" customHeight="1">
      <c r="B115" s="95"/>
      <c r="C115" s="63" t="s">
        <v>270</v>
      </c>
      <c r="D115" s="64">
        <v>2</v>
      </c>
      <c r="E115" s="65">
        <v>3.1761156106099999E-4</v>
      </c>
    </row>
    <row r="116" spans="2:5" ht="15" customHeight="1">
      <c r="B116" s="95"/>
      <c r="C116" s="63" t="s">
        <v>271</v>
      </c>
      <c r="D116" s="64">
        <v>4</v>
      </c>
      <c r="E116" s="65">
        <v>6.3522312212199999E-4</v>
      </c>
    </row>
    <row r="117" spans="2:5" ht="15" customHeight="1">
      <c r="B117" s="95"/>
      <c r="C117" s="63" t="s">
        <v>272</v>
      </c>
      <c r="D117" s="64">
        <v>8</v>
      </c>
      <c r="E117" s="65">
        <v>1.2704462442429999E-3</v>
      </c>
    </row>
    <row r="118" spans="2:5" ht="15" customHeight="1">
      <c r="B118" s="95"/>
      <c r="C118" s="63" t="s">
        <v>273</v>
      </c>
      <c r="D118" s="64">
        <v>2</v>
      </c>
      <c r="E118" s="65">
        <v>3.1761156106099999E-4</v>
      </c>
    </row>
    <row r="119" spans="2:5" ht="15" customHeight="1">
      <c r="B119" s="95"/>
      <c r="C119" s="63" t="s">
        <v>274</v>
      </c>
      <c r="D119" s="64">
        <v>1</v>
      </c>
      <c r="E119" s="65">
        <v>1.5880578052999999E-4</v>
      </c>
    </row>
    <row r="120" spans="2:5" ht="15" customHeight="1">
      <c r="B120" s="95"/>
      <c r="C120" s="63" t="s">
        <v>275</v>
      </c>
      <c r="D120" s="64">
        <v>7</v>
      </c>
      <c r="E120" s="65">
        <v>1.111640463713E-3</v>
      </c>
    </row>
    <row r="121" spans="2:5" ht="15" customHeight="1">
      <c r="B121" s="95"/>
      <c r="C121" s="63" t="s">
        <v>276</v>
      </c>
      <c r="D121" s="64">
        <v>25</v>
      </c>
      <c r="E121" s="65">
        <v>3.9701445132599997E-3</v>
      </c>
    </row>
    <row r="122" spans="2:5" ht="15" customHeight="1">
      <c r="B122" s="95"/>
      <c r="C122" s="63" t="s">
        <v>277</v>
      </c>
      <c r="D122" s="64">
        <v>2</v>
      </c>
      <c r="E122" s="65">
        <v>3.1761156106099999E-4</v>
      </c>
    </row>
    <row r="123" spans="2:5" ht="15" customHeight="1">
      <c r="B123" s="95"/>
      <c r="C123" s="63" t="s">
        <v>278</v>
      </c>
      <c r="D123" s="64">
        <v>5</v>
      </c>
      <c r="E123" s="65">
        <v>7.9402890265200003E-4</v>
      </c>
    </row>
    <row r="124" spans="2:5" ht="15" customHeight="1">
      <c r="B124" s="95"/>
      <c r="C124" s="63" t="s">
        <v>279</v>
      </c>
      <c r="D124" s="64">
        <v>30</v>
      </c>
      <c r="E124" s="65">
        <v>4.7641734159120002E-3</v>
      </c>
    </row>
    <row r="125" spans="2:5" ht="15" customHeight="1">
      <c r="B125" s="95"/>
      <c r="C125" s="63" t="s">
        <v>280</v>
      </c>
      <c r="D125" s="64">
        <v>2</v>
      </c>
      <c r="E125" s="65">
        <v>3.1761156106099999E-4</v>
      </c>
    </row>
    <row r="126" spans="2:5" ht="15" customHeight="1">
      <c r="B126" s="95"/>
      <c r="C126" s="63" t="s">
        <v>281</v>
      </c>
      <c r="D126" s="64">
        <v>1</v>
      </c>
      <c r="E126" s="65">
        <v>1.5880578052999999E-4</v>
      </c>
    </row>
    <row r="127" spans="2:5" ht="15" customHeight="1">
      <c r="B127" s="95"/>
      <c r="C127" s="63" t="s">
        <v>282</v>
      </c>
      <c r="D127" s="64">
        <v>1</v>
      </c>
      <c r="E127" s="65">
        <v>1.5880578052999999E-4</v>
      </c>
    </row>
    <row r="128" spans="2:5" ht="15" customHeight="1">
      <c r="B128" s="95"/>
      <c r="C128" s="63" t="s">
        <v>284</v>
      </c>
      <c r="D128" s="64">
        <v>8</v>
      </c>
      <c r="E128" s="65">
        <v>1.2704462442429999E-3</v>
      </c>
    </row>
    <row r="129" spans="2:5" ht="15" customHeight="1">
      <c r="B129" s="95"/>
      <c r="C129" s="63" t="s">
        <v>285</v>
      </c>
      <c r="D129" s="64">
        <v>14</v>
      </c>
      <c r="E129" s="65">
        <v>2.2232809274259999E-3</v>
      </c>
    </row>
    <row r="130" spans="2:5" ht="15" customHeight="1">
      <c r="B130" s="96"/>
      <c r="C130" s="36" t="s">
        <v>29</v>
      </c>
      <c r="D130" s="35">
        <v>113</v>
      </c>
      <c r="E130" s="34">
        <v>1.7945053199936001E-2</v>
      </c>
    </row>
    <row r="131" spans="2:5" ht="15" customHeight="1">
      <c r="B131" s="94" t="s">
        <v>81</v>
      </c>
      <c r="C131" s="63" t="s">
        <v>267</v>
      </c>
      <c r="D131" s="64">
        <v>1</v>
      </c>
      <c r="E131" s="65">
        <v>1.5880578052999999E-4</v>
      </c>
    </row>
    <row r="132" spans="2:5" ht="15" customHeight="1">
      <c r="B132" s="95"/>
      <c r="C132" s="63" t="s">
        <v>271</v>
      </c>
      <c r="D132" s="64">
        <v>2</v>
      </c>
      <c r="E132" s="65">
        <v>3.1761156106099999E-4</v>
      </c>
    </row>
    <row r="133" spans="2:5" ht="15" customHeight="1">
      <c r="B133" s="95"/>
      <c r="C133" s="63" t="s">
        <v>272</v>
      </c>
      <c r="D133" s="64">
        <v>3</v>
      </c>
      <c r="E133" s="65">
        <v>4.7641734159099998E-4</v>
      </c>
    </row>
    <row r="134" spans="2:5" ht="15" customHeight="1">
      <c r="B134" s="95"/>
      <c r="C134" s="63" t="s">
        <v>276</v>
      </c>
      <c r="D134" s="64">
        <v>10</v>
      </c>
      <c r="E134" s="65">
        <v>1.5880578053040001E-3</v>
      </c>
    </row>
    <row r="135" spans="2:5" ht="15" customHeight="1">
      <c r="B135" s="95"/>
      <c r="C135" s="63" t="s">
        <v>278</v>
      </c>
      <c r="D135" s="64">
        <v>2</v>
      </c>
      <c r="E135" s="65">
        <v>3.1761156106099999E-4</v>
      </c>
    </row>
    <row r="136" spans="2:5" ht="15" customHeight="1">
      <c r="B136" s="95"/>
      <c r="C136" s="63" t="s">
        <v>279</v>
      </c>
      <c r="D136" s="64">
        <v>5</v>
      </c>
      <c r="E136" s="65">
        <v>7.9402890265200003E-4</v>
      </c>
    </row>
    <row r="137" spans="2:5" ht="15" customHeight="1">
      <c r="B137" s="95"/>
      <c r="C137" s="63" t="s">
        <v>284</v>
      </c>
      <c r="D137" s="64">
        <v>1</v>
      </c>
      <c r="E137" s="65">
        <v>1.5880578052999999E-4</v>
      </c>
    </row>
    <row r="138" spans="2:5" ht="15" customHeight="1">
      <c r="B138" s="95"/>
      <c r="C138" s="63" t="s">
        <v>287</v>
      </c>
      <c r="D138" s="64">
        <v>1</v>
      </c>
      <c r="E138" s="65">
        <v>1.5880578052999999E-4</v>
      </c>
    </row>
    <row r="139" spans="2:5" ht="15" customHeight="1">
      <c r="B139" s="96"/>
      <c r="C139" s="36" t="s">
        <v>29</v>
      </c>
      <c r="D139" s="35">
        <v>25</v>
      </c>
      <c r="E139" s="34">
        <v>3.9701445132599997E-3</v>
      </c>
    </row>
    <row r="140" spans="2:5" ht="15" customHeight="1">
      <c r="B140" s="94" t="s">
        <v>94</v>
      </c>
      <c r="C140" s="63" t="s">
        <v>268</v>
      </c>
      <c r="D140" s="64">
        <v>1</v>
      </c>
      <c r="E140" s="65">
        <v>1.5880578052999999E-4</v>
      </c>
    </row>
    <row r="141" spans="2:5" ht="15" customHeight="1">
      <c r="B141" s="95"/>
      <c r="C141" s="63" t="s">
        <v>272</v>
      </c>
      <c r="D141" s="64">
        <v>1</v>
      </c>
      <c r="E141" s="65">
        <v>1.5880578052999999E-4</v>
      </c>
    </row>
    <row r="142" spans="2:5" ht="15" customHeight="1">
      <c r="B142" s="95"/>
      <c r="C142" s="63" t="s">
        <v>276</v>
      </c>
      <c r="D142" s="64">
        <v>1</v>
      </c>
      <c r="E142" s="65">
        <v>1.5880578052999999E-4</v>
      </c>
    </row>
    <row r="143" spans="2:5" ht="15" customHeight="1">
      <c r="B143" s="95"/>
      <c r="C143" s="63" t="s">
        <v>278</v>
      </c>
      <c r="D143" s="64">
        <v>1</v>
      </c>
      <c r="E143" s="65">
        <v>1.5880578052999999E-4</v>
      </c>
    </row>
    <row r="144" spans="2:5" ht="15" customHeight="1">
      <c r="B144" s="95"/>
      <c r="C144" s="63" t="s">
        <v>279</v>
      </c>
      <c r="D144" s="64">
        <v>3</v>
      </c>
      <c r="E144" s="65">
        <v>4.7641734159099998E-4</v>
      </c>
    </row>
    <row r="145" spans="2:5" ht="15" customHeight="1">
      <c r="B145" s="95"/>
      <c r="C145" s="63" t="s">
        <v>285</v>
      </c>
      <c r="D145" s="64">
        <v>3</v>
      </c>
      <c r="E145" s="65">
        <v>4.7641734159099998E-4</v>
      </c>
    </row>
    <row r="146" spans="2:5" ht="15" customHeight="1">
      <c r="B146" s="96"/>
      <c r="C146" s="36" t="s">
        <v>29</v>
      </c>
      <c r="D146" s="35">
        <v>10</v>
      </c>
      <c r="E146" s="34">
        <v>1.5880578053040001E-3</v>
      </c>
    </row>
    <row r="147" spans="2:5" ht="15" customHeight="1">
      <c r="B147" s="94" t="s">
        <v>101</v>
      </c>
      <c r="C147" s="63" t="s">
        <v>276</v>
      </c>
      <c r="D147" s="64">
        <v>1</v>
      </c>
      <c r="E147" s="65">
        <v>1.5880578052999999E-4</v>
      </c>
    </row>
    <row r="148" spans="2:5" ht="15" customHeight="1">
      <c r="B148" s="96"/>
      <c r="C148" s="36" t="s">
        <v>29</v>
      </c>
      <c r="D148" s="35">
        <v>1</v>
      </c>
      <c r="E148" s="34">
        <v>1.5880578052999999E-4</v>
      </c>
    </row>
    <row r="149" spans="2:5" ht="15" customHeight="1">
      <c r="B149" s="94" t="s">
        <v>83</v>
      </c>
      <c r="C149" s="63" t="s">
        <v>271</v>
      </c>
      <c r="D149" s="64">
        <v>2</v>
      </c>
      <c r="E149" s="65">
        <v>3.1761156106099999E-4</v>
      </c>
    </row>
    <row r="150" spans="2:5" ht="15" customHeight="1">
      <c r="B150" s="95"/>
      <c r="C150" s="63" t="s">
        <v>276</v>
      </c>
      <c r="D150" s="64">
        <v>7</v>
      </c>
      <c r="E150" s="65">
        <v>1.111640463713E-3</v>
      </c>
    </row>
    <row r="151" spans="2:5" ht="15" customHeight="1">
      <c r="B151" s="95"/>
      <c r="C151" s="63" t="s">
        <v>277</v>
      </c>
      <c r="D151" s="64">
        <v>1</v>
      </c>
      <c r="E151" s="65">
        <v>1.5880578052999999E-4</v>
      </c>
    </row>
    <row r="152" spans="2:5" ht="15" customHeight="1">
      <c r="B152" s="95"/>
      <c r="C152" s="63" t="s">
        <v>278</v>
      </c>
      <c r="D152" s="64">
        <v>4</v>
      </c>
      <c r="E152" s="65">
        <v>6.3522312212199999E-4</v>
      </c>
    </row>
    <row r="153" spans="2:5" ht="15" customHeight="1">
      <c r="B153" s="95"/>
      <c r="C153" s="63" t="s">
        <v>279</v>
      </c>
      <c r="D153" s="64">
        <v>3</v>
      </c>
      <c r="E153" s="65">
        <v>4.7641734159099998E-4</v>
      </c>
    </row>
    <row r="154" spans="2:5" ht="15" customHeight="1">
      <c r="B154" s="95"/>
      <c r="C154" s="63" t="s">
        <v>284</v>
      </c>
      <c r="D154" s="64">
        <v>1</v>
      </c>
      <c r="E154" s="65">
        <v>1.5880578052999999E-4</v>
      </c>
    </row>
    <row r="155" spans="2:5" ht="15" customHeight="1">
      <c r="B155" s="95"/>
      <c r="C155" s="63" t="s">
        <v>285</v>
      </c>
      <c r="D155" s="64">
        <v>6</v>
      </c>
      <c r="E155" s="65">
        <v>9.5283468318199996E-4</v>
      </c>
    </row>
    <row r="156" spans="2:5" ht="15" customHeight="1">
      <c r="B156" s="96"/>
      <c r="C156" s="36" t="s">
        <v>29</v>
      </c>
      <c r="D156" s="35">
        <v>24</v>
      </c>
      <c r="E156" s="34">
        <v>3.81133873273E-3</v>
      </c>
    </row>
    <row r="157" spans="2:5" ht="15" customHeight="1">
      <c r="B157" s="94" t="s">
        <v>95</v>
      </c>
      <c r="C157" s="63" t="s">
        <v>272</v>
      </c>
      <c r="D157" s="64">
        <v>1</v>
      </c>
      <c r="E157" s="65">
        <v>1.5880578052999999E-4</v>
      </c>
    </row>
    <row r="158" spans="2:5" ht="15" customHeight="1">
      <c r="B158" s="95"/>
      <c r="C158" s="63" t="s">
        <v>274</v>
      </c>
      <c r="D158" s="64">
        <v>1</v>
      </c>
      <c r="E158" s="65">
        <v>1.5880578052999999E-4</v>
      </c>
    </row>
    <row r="159" spans="2:5" ht="15" customHeight="1">
      <c r="B159" s="95"/>
      <c r="C159" s="63" t="s">
        <v>276</v>
      </c>
      <c r="D159" s="64">
        <v>1</v>
      </c>
      <c r="E159" s="65">
        <v>1.5880578052999999E-4</v>
      </c>
    </row>
    <row r="160" spans="2:5" ht="15" customHeight="1">
      <c r="B160" s="95"/>
      <c r="C160" s="63" t="s">
        <v>278</v>
      </c>
      <c r="D160" s="64">
        <v>2</v>
      </c>
      <c r="E160" s="65">
        <v>3.1761156106099999E-4</v>
      </c>
    </row>
    <row r="161" spans="2:5" ht="15" customHeight="1">
      <c r="B161" s="95"/>
      <c r="C161" s="63" t="s">
        <v>279</v>
      </c>
      <c r="D161" s="64">
        <v>3</v>
      </c>
      <c r="E161" s="65">
        <v>4.7641734159099998E-4</v>
      </c>
    </row>
    <row r="162" spans="2:5" ht="15" customHeight="1">
      <c r="B162" s="96"/>
      <c r="C162" s="36" t="s">
        <v>29</v>
      </c>
      <c r="D162" s="35">
        <v>8</v>
      </c>
      <c r="E162" s="34">
        <v>1.2704462442429999E-3</v>
      </c>
    </row>
    <row r="163" spans="2:5" ht="15" customHeight="1">
      <c r="B163" s="94" t="s">
        <v>55</v>
      </c>
      <c r="C163" s="63" t="s">
        <v>265</v>
      </c>
      <c r="D163" s="64">
        <v>3</v>
      </c>
      <c r="E163" s="65">
        <v>4.7641734159099998E-4</v>
      </c>
    </row>
    <row r="164" spans="2:5" ht="15" customHeight="1">
      <c r="B164" s="95"/>
      <c r="C164" s="63" t="s">
        <v>266</v>
      </c>
      <c r="D164" s="64">
        <v>1</v>
      </c>
      <c r="E164" s="65">
        <v>1.5880578052999999E-4</v>
      </c>
    </row>
    <row r="165" spans="2:5" ht="15" customHeight="1">
      <c r="B165" s="95"/>
      <c r="C165" s="63" t="s">
        <v>267</v>
      </c>
      <c r="D165" s="64">
        <v>4</v>
      </c>
      <c r="E165" s="65">
        <v>6.3522312212199999E-4</v>
      </c>
    </row>
    <row r="166" spans="2:5" ht="15" customHeight="1">
      <c r="B166" s="95"/>
      <c r="C166" s="63" t="s">
        <v>268</v>
      </c>
      <c r="D166" s="64">
        <v>3</v>
      </c>
      <c r="E166" s="65">
        <v>4.7641734159099998E-4</v>
      </c>
    </row>
    <row r="167" spans="2:5" ht="15" customHeight="1">
      <c r="B167" s="95"/>
      <c r="C167" s="63" t="s">
        <v>269</v>
      </c>
      <c r="D167" s="64">
        <v>7</v>
      </c>
      <c r="E167" s="65">
        <v>1.111640463713E-3</v>
      </c>
    </row>
    <row r="168" spans="2:5" ht="15" customHeight="1">
      <c r="B168" s="95"/>
      <c r="C168" s="63" t="s">
        <v>270</v>
      </c>
      <c r="D168" s="64">
        <v>4</v>
      </c>
      <c r="E168" s="65">
        <v>6.3522312212199999E-4</v>
      </c>
    </row>
    <row r="169" spans="2:5" ht="15" customHeight="1">
      <c r="B169" s="95"/>
      <c r="C169" s="63" t="s">
        <v>271</v>
      </c>
      <c r="D169" s="64">
        <v>18</v>
      </c>
      <c r="E169" s="65">
        <v>2.8585040495470002E-3</v>
      </c>
    </row>
    <row r="170" spans="2:5" ht="15" customHeight="1">
      <c r="B170" s="95"/>
      <c r="C170" s="63" t="s">
        <v>272</v>
      </c>
      <c r="D170" s="64">
        <v>18</v>
      </c>
      <c r="E170" s="65">
        <v>2.8585040495470002E-3</v>
      </c>
    </row>
    <row r="171" spans="2:5" ht="15" customHeight="1">
      <c r="B171" s="95"/>
      <c r="C171" s="63" t="s">
        <v>273</v>
      </c>
      <c r="D171" s="64">
        <v>2</v>
      </c>
      <c r="E171" s="65">
        <v>3.1761156106099999E-4</v>
      </c>
    </row>
    <row r="172" spans="2:5" ht="15" customHeight="1">
      <c r="B172" s="95"/>
      <c r="C172" s="63" t="s">
        <v>274</v>
      </c>
      <c r="D172" s="64">
        <v>5</v>
      </c>
      <c r="E172" s="65">
        <v>7.9402890265200003E-4</v>
      </c>
    </row>
    <row r="173" spans="2:5" ht="15" customHeight="1">
      <c r="B173" s="95"/>
      <c r="C173" s="63" t="s">
        <v>275</v>
      </c>
      <c r="D173" s="64">
        <v>15</v>
      </c>
      <c r="E173" s="65">
        <v>2.3820867079560001E-3</v>
      </c>
    </row>
    <row r="174" spans="2:5" ht="15" customHeight="1">
      <c r="B174" s="95"/>
      <c r="C174" s="63" t="s">
        <v>276</v>
      </c>
      <c r="D174" s="64">
        <v>46</v>
      </c>
      <c r="E174" s="65">
        <v>7.3050659043989996E-3</v>
      </c>
    </row>
    <row r="175" spans="2:5" ht="15" customHeight="1">
      <c r="B175" s="95"/>
      <c r="C175" s="63" t="s">
        <v>277</v>
      </c>
      <c r="D175" s="64">
        <v>3</v>
      </c>
      <c r="E175" s="65">
        <v>4.7641734159099998E-4</v>
      </c>
    </row>
    <row r="176" spans="2:5" ht="15" customHeight="1">
      <c r="B176" s="95"/>
      <c r="C176" s="63" t="s">
        <v>278</v>
      </c>
      <c r="D176" s="64">
        <v>21</v>
      </c>
      <c r="E176" s="65">
        <v>3.3349213911389999E-3</v>
      </c>
    </row>
    <row r="177" spans="2:5" ht="15" customHeight="1">
      <c r="B177" s="95"/>
      <c r="C177" s="63" t="s">
        <v>279</v>
      </c>
      <c r="D177" s="64">
        <v>48</v>
      </c>
      <c r="E177" s="65">
        <v>7.62267746546E-3</v>
      </c>
    </row>
    <row r="178" spans="2:5" ht="15" customHeight="1">
      <c r="B178" s="95"/>
      <c r="C178" s="63" t="s">
        <v>280</v>
      </c>
      <c r="D178" s="64">
        <v>1</v>
      </c>
      <c r="E178" s="65">
        <v>1.5880578052999999E-4</v>
      </c>
    </row>
    <row r="179" spans="2:5" ht="15" customHeight="1">
      <c r="B179" s="95"/>
      <c r="C179" s="63" t="s">
        <v>283</v>
      </c>
      <c r="D179" s="64">
        <v>1</v>
      </c>
      <c r="E179" s="65">
        <v>1.5880578052999999E-4</v>
      </c>
    </row>
    <row r="180" spans="2:5" ht="15" customHeight="1">
      <c r="B180" s="95"/>
      <c r="C180" s="63" t="s">
        <v>284</v>
      </c>
      <c r="D180" s="64">
        <v>3</v>
      </c>
      <c r="E180" s="65">
        <v>4.7641734159099998E-4</v>
      </c>
    </row>
    <row r="181" spans="2:5" ht="15" customHeight="1">
      <c r="B181" s="95"/>
      <c r="C181" s="63" t="s">
        <v>285</v>
      </c>
      <c r="D181" s="64">
        <v>15</v>
      </c>
      <c r="E181" s="65">
        <v>2.3820867079560001E-3</v>
      </c>
    </row>
    <row r="182" spans="2:5" ht="15" customHeight="1">
      <c r="B182" s="95"/>
      <c r="C182" s="63" t="s">
        <v>286</v>
      </c>
      <c r="D182" s="64">
        <v>2</v>
      </c>
      <c r="E182" s="65">
        <v>3.1761156106099999E-4</v>
      </c>
    </row>
    <row r="183" spans="2:5" ht="15" customHeight="1">
      <c r="B183" s="95"/>
      <c r="C183" s="63" t="s">
        <v>287</v>
      </c>
      <c r="D183" s="64">
        <v>1</v>
      </c>
      <c r="E183" s="65">
        <v>1.5880578052999999E-4</v>
      </c>
    </row>
    <row r="184" spans="2:5" ht="15" customHeight="1">
      <c r="B184" s="96"/>
      <c r="C184" s="36" t="s">
        <v>29</v>
      </c>
      <c r="D184" s="35">
        <v>221</v>
      </c>
      <c r="E184" s="34">
        <v>3.5096077497220997E-2</v>
      </c>
    </row>
    <row r="185" spans="2:5" ht="15" customHeight="1">
      <c r="B185" s="94" t="s">
        <v>61</v>
      </c>
      <c r="C185" s="63" t="s">
        <v>265</v>
      </c>
      <c r="D185" s="64">
        <v>1</v>
      </c>
      <c r="E185" s="65">
        <v>1.5880578052999999E-4</v>
      </c>
    </row>
    <row r="186" spans="2:5" ht="15" customHeight="1">
      <c r="B186" s="95"/>
      <c r="C186" s="63" t="s">
        <v>270</v>
      </c>
      <c r="D186" s="64">
        <v>2</v>
      </c>
      <c r="E186" s="65">
        <v>3.1761156106099999E-4</v>
      </c>
    </row>
    <row r="187" spans="2:5" ht="15" customHeight="1">
      <c r="B187" s="95"/>
      <c r="C187" s="63" t="s">
        <v>271</v>
      </c>
      <c r="D187" s="64">
        <v>3</v>
      </c>
      <c r="E187" s="65">
        <v>4.7641734159099998E-4</v>
      </c>
    </row>
    <row r="188" spans="2:5" ht="15" customHeight="1">
      <c r="B188" s="95"/>
      <c r="C188" s="63" t="s">
        <v>272</v>
      </c>
      <c r="D188" s="64">
        <v>5</v>
      </c>
      <c r="E188" s="65">
        <v>7.9402890265200003E-4</v>
      </c>
    </row>
    <row r="189" spans="2:5" ht="15" customHeight="1">
      <c r="B189" s="95"/>
      <c r="C189" s="63" t="s">
        <v>273</v>
      </c>
      <c r="D189" s="64">
        <v>2</v>
      </c>
      <c r="E189" s="65">
        <v>3.1761156106099999E-4</v>
      </c>
    </row>
    <row r="190" spans="2:5" ht="15" customHeight="1">
      <c r="B190" s="95"/>
      <c r="C190" s="63" t="s">
        <v>274</v>
      </c>
      <c r="D190" s="64">
        <v>1</v>
      </c>
      <c r="E190" s="65">
        <v>1.5880578052999999E-4</v>
      </c>
    </row>
    <row r="191" spans="2:5" ht="15" customHeight="1">
      <c r="B191" s="95"/>
      <c r="C191" s="63" t="s">
        <v>275</v>
      </c>
      <c r="D191" s="64">
        <v>2</v>
      </c>
      <c r="E191" s="65">
        <v>3.1761156106099999E-4</v>
      </c>
    </row>
    <row r="192" spans="2:5" ht="15" customHeight="1">
      <c r="B192" s="95"/>
      <c r="C192" s="63" t="s">
        <v>276</v>
      </c>
      <c r="D192" s="64">
        <v>24</v>
      </c>
      <c r="E192" s="65">
        <v>3.81133873273E-3</v>
      </c>
    </row>
    <row r="193" spans="2:5" ht="15" customHeight="1">
      <c r="B193" s="95"/>
      <c r="C193" s="63" t="s">
        <v>277</v>
      </c>
      <c r="D193" s="64">
        <v>2</v>
      </c>
      <c r="E193" s="65">
        <v>3.1761156106099999E-4</v>
      </c>
    </row>
    <row r="194" spans="2:5" ht="15" customHeight="1">
      <c r="B194" s="95"/>
      <c r="C194" s="63" t="s">
        <v>278</v>
      </c>
      <c r="D194" s="64">
        <v>9</v>
      </c>
      <c r="E194" s="65">
        <v>1.4292520247739999E-3</v>
      </c>
    </row>
    <row r="195" spans="2:5" ht="15" customHeight="1">
      <c r="B195" s="95"/>
      <c r="C195" s="63" t="s">
        <v>279</v>
      </c>
      <c r="D195" s="64">
        <v>30</v>
      </c>
      <c r="E195" s="65">
        <v>4.7641734159120002E-3</v>
      </c>
    </row>
    <row r="196" spans="2:5" ht="15" customHeight="1">
      <c r="B196" s="95"/>
      <c r="C196" s="63" t="s">
        <v>280</v>
      </c>
      <c r="D196" s="64">
        <v>2</v>
      </c>
      <c r="E196" s="65">
        <v>3.1761156106099999E-4</v>
      </c>
    </row>
    <row r="197" spans="2:5" ht="15" customHeight="1">
      <c r="B197" s="95"/>
      <c r="C197" s="63" t="s">
        <v>282</v>
      </c>
      <c r="D197" s="64">
        <v>1</v>
      </c>
      <c r="E197" s="65">
        <v>1.5880578052999999E-4</v>
      </c>
    </row>
    <row r="198" spans="2:5" ht="15" customHeight="1">
      <c r="B198" s="95"/>
      <c r="C198" s="63" t="s">
        <v>284</v>
      </c>
      <c r="D198" s="64">
        <v>7</v>
      </c>
      <c r="E198" s="65">
        <v>1.111640463713E-3</v>
      </c>
    </row>
    <row r="199" spans="2:5" ht="15" customHeight="1">
      <c r="B199" s="95"/>
      <c r="C199" s="63" t="s">
        <v>285</v>
      </c>
      <c r="D199" s="64">
        <v>12</v>
      </c>
      <c r="E199" s="65">
        <v>1.905669366365E-3</v>
      </c>
    </row>
    <row r="200" spans="2:5" ht="15" customHeight="1">
      <c r="B200" s="96"/>
      <c r="C200" s="36" t="s">
        <v>29</v>
      </c>
      <c r="D200" s="35">
        <v>103</v>
      </c>
      <c r="E200" s="34">
        <v>1.6356995394632E-2</v>
      </c>
    </row>
    <row r="201" spans="2:5" ht="15" customHeight="1">
      <c r="B201" s="94" t="s">
        <v>76</v>
      </c>
      <c r="C201" s="63" t="s">
        <v>271</v>
      </c>
      <c r="D201" s="64">
        <v>2</v>
      </c>
      <c r="E201" s="65">
        <v>3.1761156106099999E-4</v>
      </c>
    </row>
    <row r="202" spans="2:5" ht="15" customHeight="1">
      <c r="B202" s="95"/>
      <c r="C202" s="63" t="s">
        <v>273</v>
      </c>
      <c r="D202" s="64">
        <v>1</v>
      </c>
      <c r="E202" s="65">
        <v>1.5880578052999999E-4</v>
      </c>
    </row>
    <row r="203" spans="2:5" ht="15" customHeight="1">
      <c r="B203" s="95"/>
      <c r="C203" s="63" t="s">
        <v>274</v>
      </c>
      <c r="D203" s="64">
        <v>1</v>
      </c>
      <c r="E203" s="65">
        <v>1.5880578052999999E-4</v>
      </c>
    </row>
    <row r="204" spans="2:5" ht="15" customHeight="1">
      <c r="B204" s="95"/>
      <c r="C204" s="63" t="s">
        <v>275</v>
      </c>
      <c r="D204" s="64">
        <v>2</v>
      </c>
      <c r="E204" s="65">
        <v>3.1761156106099999E-4</v>
      </c>
    </row>
    <row r="205" spans="2:5" ht="15" customHeight="1">
      <c r="B205" s="95"/>
      <c r="C205" s="63" t="s">
        <v>276</v>
      </c>
      <c r="D205" s="64">
        <v>12</v>
      </c>
      <c r="E205" s="65">
        <v>1.905669366365E-3</v>
      </c>
    </row>
    <row r="206" spans="2:5" ht="15" customHeight="1">
      <c r="B206" s="95"/>
      <c r="C206" s="63" t="s">
        <v>278</v>
      </c>
      <c r="D206" s="64">
        <v>2</v>
      </c>
      <c r="E206" s="65">
        <v>3.1761156106099999E-4</v>
      </c>
    </row>
    <row r="207" spans="2:5" ht="15" customHeight="1">
      <c r="B207" s="95"/>
      <c r="C207" s="63" t="s">
        <v>279</v>
      </c>
      <c r="D207" s="64">
        <v>11</v>
      </c>
      <c r="E207" s="65">
        <v>1.7468635858350001E-3</v>
      </c>
    </row>
    <row r="208" spans="2:5" ht="15" customHeight="1">
      <c r="B208" s="95"/>
      <c r="C208" s="63" t="s">
        <v>280</v>
      </c>
      <c r="D208" s="64">
        <v>1</v>
      </c>
      <c r="E208" s="65">
        <v>1.5880578052999999E-4</v>
      </c>
    </row>
    <row r="209" spans="2:5" ht="15" customHeight="1">
      <c r="B209" s="95"/>
      <c r="C209" s="63" t="s">
        <v>281</v>
      </c>
      <c r="D209" s="64">
        <v>1</v>
      </c>
      <c r="E209" s="65">
        <v>1.5880578052999999E-4</v>
      </c>
    </row>
    <row r="210" spans="2:5" ht="15" customHeight="1">
      <c r="B210" s="96"/>
      <c r="C210" s="36" t="s">
        <v>29</v>
      </c>
      <c r="D210" s="35">
        <v>33</v>
      </c>
      <c r="E210" s="34">
        <v>5.2405907575040003E-3</v>
      </c>
    </row>
    <row r="211" spans="2:5" ht="15" customHeight="1">
      <c r="B211" s="94" t="s">
        <v>69</v>
      </c>
      <c r="C211" s="63" t="s">
        <v>265</v>
      </c>
      <c r="D211" s="64">
        <v>1</v>
      </c>
      <c r="E211" s="65">
        <v>1.5880578052999999E-4</v>
      </c>
    </row>
    <row r="212" spans="2:5" ht="15" customHeight="1">
      <c r="B212" s="95"/>
      <c r="C212" s="63" t="s">
        <v>267</v>
      </c>
      <c r="D212" s="64">
        <v>1</v>
      </c>
      <c r="E212" s="65">
        <v>1.5880578052999999E-4</v>
      </c>
    </row>
    <row r="213" spans="2:5" ht="15" customHeight="1">
      <c r="B213" s="95"/>
      <c r="C213" s="63" t="s">
        <v>268</v>
      </c>
      <c r="D213" s="64">
        <v>1</v>
      </c>
      <c r="E213" s="65">
        <v>1.5880578052999999E-4</v>
      </c>
    </row>
    <row r="214" spans="2:5" ht="15" customHeight="1">
      <c r="B214" s="95"/>
      <c r="C214" s="63" t="s">
        <v>270</v>
      </c>
      <c r="D214" s="64">
        <v>1</v>
      </c>
      <c r="E214" s="65">
        <v>1.5880578052999999E-4</v>
      </c>
    </row>
    <row r="215" spans="2:5" ht="15" customHeight="1">
      <c r="B215" s="95"/>
      <c r="C215" s="63" t="s">
        <v>271</v>
      </c>
      <c r="D215" s="64">
        <v>2</v>
      </c>
      <c r="E215" s="65">
        <v>3.1761156106099999E-4</v>
      </c>
    </row>
    <row r="216" spans="2:5" ht="15" customHeight="1">
      <c r="B216" s="95"/>
      <c r="C216" s="63" t="s">
        <v>272</v>
      </c>
      <c r="D216" s="64">
        <v>3</v>
      </c>
      <c r="E216" s="65">
        <v>4.7641734159099998E-4</v>
      </c>
    </row>
    <row r="217" spans="2:5" ht="15" customHeight="1">
      <c r="B217" s="95"/>
      <c r="C217" s="63" t="s">
        <v>274</v>
      </c>
      <c r="D217" s="64">
        <v>5</v>
      </c>
      <c r="E217" s="65">
        <v>7.9402890265200003E-4</v>
      </c>
    </row>
    <row r="218" spans="2:5" ht="15" customHeight="1">
      <c r="B218" s="95"/>
      <c r="C218" s="63" t="s">
        <v>275</v>
      </c>
      <c r="D218" s="64">
        <v>2</v>
      </c>
      <c r="E218" s="65">
        <v>3.1761156106099999E-4</v>
      </c>
    </row>
    <row r="219" spans="2:5" ht="15" customHeight="1">
      <c r="B219" s="95"/>
      <c r="C219" s="63" t="s">
        <v>276</v>
      </c>
      <c r="D219" s="64">
        <v>12</v>
      </c>
      <c r="E219" s="65">
        <v>1.905669366365E-3</v>
      </c>
    </row>
    <row r="220" spans="2:5" ht="15" customHeight="1">
      <c r="B220" s="95"/>
      <c r="C220" s="63" t="s">
        <v>277</v>
      </c>
      <c r="D220" s="64">
        <v>1</v>
      </c>
      <c r="E220" s="65">
        <v>1.5880578052999999E-4</v>
      </c>
    </row>
    <row r="221" spans="2:5" ht="15" customHeight="1">
      <c r="B221" s="95"/>
      <c r="C221" s="63" t="s">
        <v>278</v>
      </c>
      <c r="D221" s="64">
        <v>7</v>
      </c>
      <c r="E221" s="65">
        <v>1.111640463713E-3</v>
      </c>
    </row>
    <row r="222" spans="2:5" ht="15" customHeight="1">
      <c r="B222" s="95"/>
      <c r="C222" s="63" t="s">
        <v>279</v>
      </c>
      <c r="D222" s="64">
        <v>16</v>
      </c>
      <c r="E222" s="65">
        <v>2.5408924884869999E-3</v>
      </c>
    </row>
    <row r="223" spans="2:5" ht="15" customHeight="1">
      <c r="B223" s="95"/>
      <c r="C223" s="63" t="s">
        <v>281</v>
      </c>
      <c r="D223" s="64">
        <v>1</v>
      </c>
      <c r="E223" s="65">
        <v>1.5880578052999999E-4</v>
      </c>
    </row>
    <row r="224" spans="2:5" ht="15" customHeight="1">
      <c r="B224" s="95"/>
      <c r="C224" s="63" t="s">
        <v>284</v>
      </c>
      <c r="D224" s="64">
        <v>3</v>
      </c>
      <c r="E224" s="65">
        <v>4.7641734159099998E-4</v>
      </c>
    </row>
    <row r="225" spans="2:5" ht="15" customHeight="1">
      <c r="B225" s="95"/>
      <c r="C225" s="63" t="s">
        <v>285</v>
      </c>
      <c r="D225" s="64">
        <v>3</v>
      </c>
      <c r="E225" s="65">
        <v>4.7641734159099998E-4</v>
      </c>
    </row>
    <row r="226" spans="2:5" ht="15" customHeight="1">
      <c r="B226" s="95"/>
      <c r="C226" s="63" t="s">
        <v>287</v>
      </c>
      <c r="D226" s="64">
        <v>1</v>
      </c>
      <c r="E226" s="65">
        <v>1.5880578052999999E-4</v>
      </c>
    </row>
    <row r="227" spans="2:5" ht="15" customHeight="1">
      <c r="B227" s="96"/>
      <c r="C227" s="36" t="s">
        <v>29</v>
      </c>
      <c r="D227" s="35">
        <v>60</v>
      </c>
      <c r="E227" s="34">
        <v>9.5283468318249995E-3</v>
      </c>
    </row>
    <row r="228" spans="2:5" ht="15" customHeight="1">
      <c r="B228" s="94" t="s">
        <v>98</v>
      </c>
      <c r="C228" s="63" t="s">
        <v>271</v>
      </c>
      <c r="D228" s="64">
        <v>1</v>
      </c>
      <c r="E228" s="65">
        <v>1.5880578052999999E-4</v>
      </c>
    </row>
    <row r="229" spans="2:5" ht="15" customHeight="1">
      <c r="B229" s="95"/>
      <c r="C229" s="63" t="s">
        <v>276</v>
      </c>
      <c r="D229" s="64">
        <v>1</v>
      </c>
      <c r="E229" s="65">
        <v>1.5880578052999999E-4</v>
      </c>
    </row>
    <row r="230" spans="2:5" ht="15" customHeight="1">
      <c r="B230" s="95"/>
      <c r="C230" s="63" t="s">
        <v>279</v>
      </c>
      <c r="D230" s="64">
        <v>1</v>
      </c>
      <c r="E230" s="65">
        <v>1.5880578052999999E-4</v>
      </c>
    </row>
    <row r="231" spans="2:5" ht="15" customHeight="1">
      <c r="B231" s="96"/>
      <c r="C231" s="36" t="s">
        <v>29</v>
      </c>
      <c r="D231" s="35">
        <v>3</v>
      </c>
      <c r="E231" s="34">
        <v>4.7641734159099998E-4</v>
      </c>
    </row>
    <row r="232" spans="2:5" ht="15" customHeight="1">
      <c r="B232" s="94" t="s">
        <v>53</v>
      </c>
      <c r="C232" s="63" t="s">
        <v>265</v>
      </c>
      <c r="D232" s="64">
        <v>1</v>
      </c>
      <c r="E232" s="65">
        <v>1.5880578052999999E-4</v>
      </c>
    </row>
    <row r="233" spans="2:5" ht="15" customHeight="1">
      <c r="B233" s="95"/>
      <c r="C233" s="63" t="s">
        <v>270</v>
      </c>
      <c r="D233" s="64">
        <v>3</v>
      </c>
      <c r="E233" s="65">
        <v>4.7641734159099998E-4</v>
      </c>
    </row>
    <row r="234" spans="2:5" ht="15" customHeight="1">
      <c r="B234" s="95"/>
      <c r="C234" s="63" t="s">
        <v>271</v>
      </c>
      <c r="D234" s="64">
        <v>11</v>
      </c>
      <c r="E234" s="65">
        <v>1.7468635858350001E-3</v>
      </c>
    </row>
    <row r="235" spans="2:5" ht="15" customHeight="1">
      <c r="B235" s="95"/>
      <c r="C235" s="63" t="s">
        <v>272</v>
      </c>
      <c r="D235" s="64">
        <v>17</v>
      </c>
      <c r="E235" s="65">
        <v>2.699698269017E-3</v>
      </c>
    </row>
    <row r="236" spans="2:5" ht="15" customHeight="1">
      <c r="B236" s="95"/>
      <c r="C236" s="63" t="s">
        <v>273</v>
      </c>
      <c r="D236" s="64">
        <v>4</v>
      </c>
      <c r="E236" s="65">
        <v>6.3522312212199999E-4</v>
      </c>
    </row>
    <row r="237" spans="2:5" ht="15" customHeight="1">
      <c r="B237" s="95"/>
      <c r="C237" s="63" t="s">
        <v>274</v>
      </c>
      <c r="D237" s="64">
        <v>3</v>
      </c>
      <c r="E237" s="65">
        <v>4.7641734159099998E-4</v>
      </c>
    </row>
    <row r="238" spans="2:5" ht="15" customHeight="1">
      <c r="B238" s="95"/>
      <c r="C238" s="63" t="s">
        <v>275</v>
      </c>
      <c r="D238" s="64">
        <v>15</v>
      </c>
      <c r="E238" s="65">
        <v>2.3820867079560001E-3</v>
      </c>
    </row>
    <row r="239" spans="2:5" ht="15" customHeight="1">
      <c r="B239" s="95"/>
      <c r="C239" s="63" t="s">
        <v>276</v>
      </c>
      <c r="D239" s="64">
        <v>82</v>
      </c>
      <c r="E239" s="65">
        <v>1.3022074003494E-2</v>
      </c>
    </row>
    <row r="240" spans="2:5" ht="15" customHeight="1">
      <c r="B240" s="95"/>
      <c r="C240" s="63" t="s">
        <v>277</v>
      </c>
      <c r="D240" s="64">
        <v>9</v>
      </c>
      <c r="E240" s="65">
        <v>1.4292520247739999E-3</v>
      </c>
    </row>
    <row r="241" spans="2:5" ht="15" customHeight="1">
      <c r="B241" s="95"/>
      <c r="C241" s="63" t="s">
        <v>278</v>
      </c>
      <c r="D241" s="64">
        <v>40</v>
      </c>
      <c r="E241" s="65">
        <v>6.3522312212160002E-3</v>
      </c>
    </row>
    <row r="242" spans="2:5" ht="15" customHeight="1">
      <c r="B242" s="95"/>
      <c r="C242" s="63" t="s">
        <v>279</v>
      </c>
      <c r="D242" s="64">
        <v>84</v>
      </c>
      <c r="E242" s="65">
        <v>1.3339685564555E-2</v>
      </c>
    </row>
    <row r="243" spans="2:5" ht="15" customHeight="1">
      <c r="B243" s="95"/>
      <c r="C243" s="63" t="s">
        <v>281</v>
      </c>
      <c r="D243" s="64">
        <v>5</v>
      </c>
      <c r="E243" s="65">
        <v>7.9402890265200003E-4</v>
      </c>
    </row>
    <row r="244" spans="2:5" ht="15" customHeight="1">
      <c r="B244" s="95"/>
      <c r="C244" s="63" t="s">
        <v>284</v>
      </c>
      <c r="D244" s="64">
        <v>20</v>
      </c>
      <c r="E244" s="65">
        <v>3.1761156106080001E-3</v>
      </c>
    </row>
    <row r="245" spans="2:5" ht="15" customHeight="1">
      <c r="B245" s="95"/>
      <c r="C245" s="63" t="s">
        <v>285</v>
      </c>
      <c r="D245" s="64">
        <v>35</v>
      </c>
      <c r="E245" s="65">
        <v>5.5582023185639998E-3</v>
      </c>
    </row>
    <row r="246" spans="2:5" ht="15" customHeight="1">
      <c r="B246" s="96"/>
      <c r="C246" s="36" t="s">
        <v>29</v>
      </c>
      <c r="D246" s="35">
        <v>329</v>
      </c>
      <c r="E246" s="34">
        <v>5.2247101794505001E-2</v>
      </c>
    </row>
    <row r="247" spans="2:5" ht="15" customHeight="1">
      <c r="B247" s="94" t="s">
        <v>73</v>
      </c>
      <c r="C247" s="63" t="s">
        <v>265</v>
      </c>
      <c r="D247" s="64">
        <v>1</v>
      </c>
      <c r="E247" s="65">
        <v>1.5880578052999999E-4</v>
      </c>
    </row>
    <row r="248" spans="2:5" ht="15" customHeight="1">
      <c r="B248" s="95"/>
      <c r="C248" s="63" t="s">
        <v>271</v>
      </c>
      <c r="D248" s="64">
        <v>1</v>
      </c>
      <c r="E248" s="65">
        <v>1.5880578052999999E-4</v>
      </c>
    </row>
    <row r="249" spans="2:5" ht="15" customHeight="1">
      <c r="B249" s="95"/>
      <c r="C249" s="63" t="s">
        <v>272</v>
      </c>
      <c r="D249" s="64">
        <v>2</v>
      </c>
      <c r="E249" s="65">
        <v>3.1761156106099999E-4</v>
      </c>
    </row>
    <row r="250" spans="2:5" ht="15" customHeight="1">
      <c r="B250" s="95"/>
      <c r="C250" s="63" t="s">
        <v>273</v>
      </c>
      <c r="D250" s="64">
        <v>2</v>
      </c>
      <c r="E250" s="65">
        <v>3.1761156106099999E-4</v>
      </c>
    </row>
    <row r="251" spans="2:5" ht="15" customHeight="1">
      <c r="B251" s="95"/>
      <c r="C251" s="63" t="s">
        <v>274</v>
      </c>
      <c r="D251" s="64">
        <v>1</v>
      </c>
      <c r="E251" s="65">
        <v>1.5880578052999999E-4</v>
      </c>
    </row>
    <row r="252" spans="2:5" ht="15" customHeight="1">
      <c r="B252" s="95"/>
      <c r="C252" s="63" t="s">
        <v>275</v>
      </c>
      <c r="D252" s="64">
        <v>3</v>
      </c>
      <c r="E252" s="65">
        <v>4.7641734159099998E-4</v>
      </c>
    </row>
    <row r="253" spans="2:5" ht="15" customHeight="1">
      <c r="B253" s="95"/>
      <c r="C253" s="63" t="s">
        <v>276</v>
      </c>
      <c r="D253" s="64">
        <v>7</v>
      </c>
      <c r="E253" s="65">
        <v>1.111640463713E-3</v>
      </c>
    </row>
    <row r="254" spans="2:5" ht="15" customHeight="1">
      <c r="B254" s="95"/>
      <c r="C254" s="63" t="s">
        <v>278</v>
      </c>
      <c r="D254" s="64">
        <v>5</v>
      </c>
      <c r="E254" s="65">
        <v>7.9402890265200003E-4</v>
      </c>
    </row>
    <row r="255" spans="2:5" ht="15" customHeight="1">
      <c r="B255" s="95"/>
      <c r="C255" s="63" t="s">
        <v>279</v>
      </c>
      <c r="D255" s="64">
        <v>13</v>
      </c>
      <c r="E255" s="65">
        <v>2.0644751468950001E-3</v>
      </c>
    </row>
    <row r="256" spans="2:5" ht="15" customHeight="1">
      <c r="B256" s="95"/>
      <c r="C256" s="63" t="s">
        <v>283</v>
      </c>
      <c r="D256" s="64">
        <v>1</v>
      </c>
      <c r="E256" s="65">
        <v>1.5880578052999999E-4</v>
      </c>
    </row>
    <row r="257" spans="2:5" ht="15" customHeight="1">
      <c r="B257" s="95"/>
      <c r="C257" s="63" t="s">
        <v>284</v>
      </c>
      <c r="D257" s="64">
        <v>2</v>
      </c>
      <c r="E257" s="65">
        <v>3.1761156106099999E-4</v>
      </c>
    </row>
    <row r="258" spans="2:5" ht="15" customHeight="1">
      <c r="B258" s="95"/>
      <c r="C258" s="63" t="s">
        <v>285</v>
      </c>
      <c r="D258" s="64">
        <v>6</v>
      </c>
      <c r="E258" s="65">
        <v>9.5283468318199996E-4</v>
      </c>
    </row>
    <row r="259" spans="2:5" ht="15" customHeight="1">
      <c r="B259" s="96"/>
      <c r="C259" s="36" t="s">
        <v>29</v>
      </c>
      <c r="D259" s="35">
        <v>44</v>
      </c>
      <c r="E259" s="34">
        <v>6.9874543433380001E-3</v>
      </c>
    </row>
    <row r="260" spans="2:5" ht="15" customHeight="1">
      <c r="B260" s="94" t="s">
        <v>52</v>
      </c>
      <c r="C260" s="63" t="s">
        <v>265</v>
      </c>
      <c r="D260" s="64">
        <v>2</v>
      </c>
      <c r="E260" s="65">
        <v>3.1761156106099999E-4</v>
      </c>
    </row>
    <row r="261" spans="2:5" ht="15" customHeight="1">
      <c r="B261" s="95"/>
      <c r="C261" s="63" t="s">
        <v>267</v>
      </c>
      <c r="D261" s="64">
        <v>3</v>
      </c>
      <c r="E261" s="65">
        <v>4.7641734159099998E-4</v>
      </c>
    </row>
    <row r="262" spans="2:5" ht="15" customHeight="1">
      <c r="B262" s="95"/>
      <c r="C262" s="63" t="s">
        <v>268</v>
      </c>
      <c r="D262" s="64">
        <v>3</v>
      </c>
      <c r="E262" s="65">
        <v>4.7641734159099998E-4</v>
      </c>
    </row>
    <row r="263" spans="2:5" ht="15" customHeight="1">
      <c r="B263" s="95"/>
      <c r="C263" s="63" t="s">
        <v>269</v>
      </c>
      <c r="D263" s="64">
        <v>3</v>
      </c>
      <c r="E263" s="65">
        <v>4.7641734159099998E-4</v>
      </c>
    </row>
    <row r="264" spans="2:5" ht="15" customHeight="1">
      <c r="B264" s="95"/>
      <c r="C264" s="63" t="s">
        <v>270</v>
      </c>
      <c r="D264" s="64">
        <v>6</v>
      </c>
      <c r="E264" s="65">
        <v>9.5283468318199996E-4</v>
      </c>
    </row>
    <row r="265" spans="2:5" ht="15" customHeight="1">
      <c r="B265" s="95"/>
      <c r="C265" s="63" t="s">
        <v>271</v>
      </c>
      <c r="D265" s="64">
        <v>33</v>
      </c>
      <c r="E265" s="65">
        <v>5.2405907575040003E-3</v>
      </c>
    </row>
    <row r="266" spans="2:5" ht="15" customHeight="1">
      <c r="B266" s="95"/>
      <c r="C266" s="63" t="s">
        <v>272</v>
      </c>
      <c r="D266" s="64">
        <v>56</v>
      </c>
      <c r="E266" s="65">
        <v>8.8931237097030005E-3</v>
      </c>
    </row>
    <row r="267" spans="2:5" ht="15" customHeight="1">
      <c r="B267" s="95"/>
      <c r="C267" s="63" t="s">
        <v>273</v>
      </c>
      <c r="D267" s="64">
        <v>6</v>
      </c>
      <c r="E267" s="65">
        <v>9.5283468318199996E-4</v>
      </c>
    </row>
    <row r="268" spans="2:5" ht="15" customHeight="1">
      <c r="B268" s="95"/>
      <c r="C268" s="63" t="s">
        <v>274</v>
      </c>
      <c r="D268" s="64">
        <v>13</v>
      </c>
      <c r="E268" s="65">
        <v>2.0644751468950001E-3</v>
      </c>
    </row>
    <row r="269" spans="2:5" ht="15" customHeight="1">
      <c r="B269" s="95"/>
      <c r="C269" s="63" t="s">
        <v>275</v>
      </c>
      <c r="D269" s="64">
        <v>22</v>
      </c>
      <c r="E269" s="65">
        <v>3.4937271716690001E-3</v>
      </c>
    </row>
    <row r="270" spans="2:5" ht="15" customHeight="1">
      <c r="B270" s="95"/>
      <c r="C270" s="63" t="s">
        <v>276</v>
      </c>
      <c r="D270" s="64">
        <v>141</v>
      </c>
      <c r="E270" s="65">
        <v>2.2391615054788001E-2</v>
      </c>
    </row>
    <row r="271" spans="2:5" ht="15" customHeight="1">
      <c r="B271" s="95"/>
      <c r="C271" s="63" t="s">
        <v>277</v>
      </c>
      <c r="D271" s="64">
        <v>8</v>
      </c>
      <c r="E271" s="65">
        <v>1.2704462442429999E-3</v>
      </c>
    </row>
    <row r="272" spans="2:5" ht="15" customHeight="1">
      <c r="B272" s="95"/>
      <c r="C272" s="63" t="s">
        <v>278</v>
      </c>
      <c r="D272" s="64">
        <v>41</v>
      </c>
      <c r="E272" s="65">
        <v>6.511037001747E-3</v>
      </c>
    </row>
    <row r="273" spans="2:5" ht="15" customHeight="1">
      <c r="B273" s="95"/>
      <c r="C273" s="63" t="s">
        <v>279</v>
      </c>
      <c r="D273" s="64">
        <v>132</v>
      </c>
      <c r="E273" s="65">
        <v>2.0962363030013999E-2</v>
      </c>
    </row>
    <row r="274" spans="2:5" ht="15" customHeight="1">
      <c r="B274" s="95"/>
      <c r="C274" s="63" t="s">
        <v>280</v>
      </c>
      <c r="D274" s="64">
        <v>3</v>
      </c>
      <c r="E274" s="65">
        <v>4.7641734159099998E-4</v>
      </c>
    </row>
    <row r="275" spans="2:5" ht="15" customHeight="1">
      <c r="B275" s="95"/>
      <c r="C275" s="63" t="s">
        <v>281</v>
      </c>
      <c r="D275" s="64">
        <v>3</v>
      </c>
      <c r="E275" s="65">
        <v>4.7641734159099998E-4</v>
      </c>
    </row>
    <row r="276" spans="2:5" ht="15" customHeight="1">
      <c r="B276" s="95"/>
      <c r="C276" s="63" t="s">
        <v>282</v>
      </c>
      <c r="D276" s="64">
        <v>3</v>
      </c>
      <c r="E276" s="65">
        <v>4.7641734159099998E-4</v>
      </c>
    </row>
    <row r="277" spans="2:5" ht="15" customHeight="1">
      <c r="B277" s="95"/>
      <c r="C277" s="63" t="s">
        <v>283</v>
      </c>
      <c r="D277" s="64">
        <v>3</v>
      </c>
      <c r="E277" s="65">
        <v>4.7641734159099998E-4</v>
      </c>
    </row>
    <row r="278" spans="2:5" ht="15" customHeight="1">
      <c r="B278" s="95"/>
      <c r="C278" s="63" t="s">
        <v>284</v>
      </c>
      <c r="D278" s="64">
        <v>15</v>
      </c>
      <c r="E278" s="65">
        <v>2.3820867079560001E-3</v>
      </c>
    </row>
    <row r="279" spans="2:5" ht="15" customHeight="1">
      <c r="B279" s="95"/>
      <c r="C279" s="63" t="s">
        <v>285</v>
      </c>
      <c r="D279" s="64">
        <v>44</v>
      </c>
      <c r="E279" s="65">
        <v>6.9874543433380001E-3</v>
      </c>
    </row>
    <row r="280" spans="2:5" ht="15" customHeight="1">
      <c r="B280" s="95"/>
      <c r="C280" s="63" t="s">
        <v>287</v>
      </c>
      <c r="D280" s="64">
        <v>1</v>
      </c>
      <c r="E280" s="65">
        <v>1.5880578052999999E-4</v>
      </c>
    </row>
    <row r="281" spans="2:5" ht="15" customHeight="1">
      <c r="B281" s="96"/>
      <c r="C281" s="36" t="s">
        <v>29</v>
      </c>
      <c r="D281" s="35">
        <v>541</v>
      </c>
      <c r="E281" s="34">
        <v>8.5913927266953002E-2</v>
      </c>
    </row>
    <row r="282" spans="2:5" ht="15" customHeight="1">
      <c r="B282" s="94" t="s">
        <v>89</v>
      </c>
      <c r="C282" s="63" t="s">
        <v>271</v>
      </c>
      <c r="D282" s="64">
        <v>1</v>
      </c>
      <c r="E282" s="65">
        <v>1.5880578052999999E-4</v>
      </c>
    </row>
    <row r="283" spans="2:5" ht="15" customHeight="1">
      <c r="B283" s="95"/>
      <c r="C283" s="63" t="s">
        <v>272</v>
      </c>
      <c r="D283" s="64">
        <v>2</v>
      </c>
      <c r="E283" s="65">
        <v>3.1761156106099999E-4</v>
      </c>
    </row>
    <row r="284" spans="2:5" ht="15" customHeight="1">
      <c r="B284" s="95"/>
      <c r="C284" s="63" t="s">
        <v>275</v>
      </c>
      <c r="D284" s="64">
        <v>1</v>
      </c>
      <c r="E284" s="65">
        <v>1.5880578052999999E-4</v>
      </c>
    </row>
    <row r="285" spans="2:5" ht="15" customHeight="1">
      <c r="B285" s="95"/>
      <c r="C285" s="63" t="s">
        <v>276</v>
      </c>
      <c r="D285" s="64">
        <v>8</v>
      </c>
      <c r="E285" s="65">
        <v>1.2704462442429999E-3</v>
      </c>
    </row>
    <row r="286" spans="2:5" ht="15" customHeight="1">
      <c r="B286" s="95"/>
      <c r="C286" s="63" t="s">
        <v>278</v>
      </c>
      <c r="D286" s="64">
        <v>1</v>
      </c>
      <c r="E286" s="65">
        <v>1.5880578052999999E-4</v>
      </c>
    </row>
    <row r="287" spans="2:5" ht="15" customHeight="1">
      <c r="B287" s="95"/>
      <c r="C287" s="63" t="s">
        <v>279</v>
      </c>
      <c r="D287" s="64">
        <v>1</v>
      </c>
      <c r="E287" s="65">
        <v>1.5880578052999999E-4</v>
      </c>
    </row>
    <row r="288" spans="2:5" ht="15" customHeight="1">
      <c r="B288" s="95"/>
      <c r="C288" s="63" t="s">
        <v>285</v>
      </c>
      <c r="D288" s="64">
        <v>2</v>
      </c>
      <c r="E288" s="65">
        <v>3.1761156106099999E-4</v>
      </c>
    </row>
    <row r="289" spans="2:5" ht="15" customHeight="1">
      <c r="B289" s="95"/>
      <c r="C289" s="63" t="s">
        <v>287</v>
      </c>
      <c r="D289" s="64">
        <v>1</v>
      </c>
      <c r="E289" s="65">
        <v>1.5880578052999999E-4</v>
      </c>
    </row>
    <row r="290" spans="2:5" ht="15" customHeight="1">
      <c r="B290" s="96"/>
      <c r="C290" s="36" t="s">
        <v>29</v>
      </c>
      <c r="D290" s="35">
        <v>17</v>
      </c>
      <c r="E290" s="34">
        <v>2.699698269017E-3</v>
      </c>
    </row>
    <row r="291" spans="2:5" ht="15" customHeight="1">
      <c r="B291" s="94" t="s">
        <v>92</v>
      </c>
      <c r="C291" s="63" t="s">
        <v>271</v>
      </c>
      <c r="D291" s="64">
        <v>1</v>
      </c>
      <c r="E291" s="65">
        <v>1.5880578052999999E-4</v>
      </c>
    </row>
    <row r="292" spans="2:5" ht="15" customHeight="1">
      <c r="B292" s="95"/>
      <c r="C292" s="63" t="s">
        <v>272</v>
      </c>
      <c r="D292" s="64">
        <v>1</v>
      </c>
      <c r="E292" s="65">
        <v>1.5880578052999999E-4</v>
      </c>
    </row>
    <row r="293" spans="2:5" ht="15" customHeight="1">
      <c r="B293" s="95"/>
      <c r="C293" s="63" t="s">
        <v>274</v>
      </c>
      <c r="D293" s="64">
        <v>2</v>
      </c>
      <c r="E293" s="65">
        <v>3.1761156106099999E-4</v>
      </c>
    </row>
    <row r="294" spans="2:5" ht="15" customHeight="1">
      <c r="B294" s="95"/>
      <c r="C294" s="63" t="s">
        <v>276</v>
      </c>
      <c r="D294" s="64">
        <v>4</v>
      </c>
      <c r="E294" s="65">
        <v>6.3522312212199999E-4</v>
      </c>
    </row>
    <row r="295" spans="2:5" ht="15" customHeight="1">
      <c r="B295" s="95"/>
      <c r="C295" s="63" t="s">
        <v>278</v>
      </c>
      <c r="D295" s="64">
        <v>1</v>
      </c>
      <c r="E295" s="65">
        <v>1.5880578052999999E-4</v>
      </c>
    </row>
    <row r="296" spans="2:5" ht="15" customHeight="1">
      <c r="B296" s="95"/>
      <c r="C296" s="63" t="s">
        <v>279</v>
      </c>
      <c r="D296" s="64">
        <v>4</v>
      </c>
      <c r="E296" s="65">
        <v>6.3522312212199999E-4</v>
      </c>
    </row>
    <row r="297" spans="2:5" ht="15" customHeight="1">
      <c r="B297" s="96"/>
      <c r="C297" s="36" t="s">
        <v>29</v>
      </c>
      <c r="D297" s="35">
        <v>13</v>
      </c>
      <c r="E297" s="34">
        <v>2.0644751468950001E-3</v>
      </c>
    </row>
    <row r="298" spans="2:5" ht="15" customHeight="1">
      <c r="B298" s="94" t="s">
        <v>78</v>
      </c>
      <c r="C298" s="63" t="s">
        <v>270</v>
      </c>
      <c r="D298" s="64">
        <v>1</v>
      </c>
      <c r="E298" s="65">
        <v>1.5880578052999999E-4</v>
      </c>
    </row>
    <row r="299" spans="2:5" ht="15" customHeight="1">
      <c r="B299" s="95"/>
      <c r="C299" s="63" t="s">
        <v>271</v>
      </c>
      <c r="D299" s="64">
        <v>1</v>
      </c>
      <c r="E299" s="65">
        <v>1.5880578052999999E-4</v>
      </c>
    </row>
    <row r="300" spans="2:5" ht="15" customHeight="1">
      <c r="B300" s="95"/>
      <c r="C300" s="63" t="s">
        <v>272</v>
      </c>
      <c r="D300" s="64">
        <v>2</v>
      </c>
      <c r="E300" s="65">
        <v>3.1761156106099999E-4</v>
      </c>
    </row>
    <row r="301" spans="2:5" ht="15" customHeight="1">
      <c r="B301" s="95"/>
      <c r="C301" s="63" t="s">
        <v>275</v>
      </c>
      <c r="D301" s="64">
        <v>1</v>
      </c>
      <c r="E301" s="65">
        <v>1.5880578052999999E-4</v>
      </c>
    </row>
    <row r="302" spans="2:5" ht="15" customHeight="1">
      <c r="B302" s="95"/>
      <c r="C302" s="63" t="s">
        <v>276</v>
      </c>
      <c r="D302" s="64">
        <v>7</v>
      </c>
      <c r="E302" s="65">
        <v>1.111640463713E-3</v>
      </c>
    </row>
    <row r="303" spans="2:5" ht="15" customHeight="1">
      <c r="B303" s="95"/>
      <c r="C303" s="63" t="s">
        <v>277</v>
      </c>
      <c r="D303" s="64">
        <v>1</v>
      </c>
      <c r="E303" s="65">
        <v>1.5880578052999999E-4</v>
      </c>
    </row>
    <row r="304" spans="2:5" ht="15" customHeight="1">
      <c r="B304" s="95"/>
      <c r="C304" s="63" t="s">
        <v>278</v>
      </c>
      <c r="D304" s="64">
        <v>7</v>
      </c>
      <c r="E304" s="65">
        <v>1.111640463713E-3</v>
      </c>
    </row>
    <row r="305" spans="2:5" ht="15" customHeight="1">
      <c r="B305" s="95"/>
      <c r="C305" s="63" t="s">
        <v>279</v>
      </c>
      <c r="D305" s="64">
        <v>4</v>
      </c>
      <c r="E305" s="65">
        <v>6.3522312212199999E-4</v>
      </c>
    </row>
    <row r="306" spans="2:5" ht="15" customHeight="1">
      <c r="B306" s="95"/>
      <c r="C306" s="63" t="s">
        <v>284</v>
      </c>
      <c r="D306" s="64">
        <v>2</v>
      </c>
      <c r="E306" s="65">
        <v>3.1761156106099999E-4</v>
      </c>
    </row>
    <row r="307" spans="2:5" ht="15" customHeight="1">
      <c r="B307" s="95"/>
      <c r="C307" s="63" t="s">
        <v>285</v>
      </c>
      <c r="D307" s="64">
        <v>3</v>
      </c>
      <c r="E307" s="65">
        <v>4.7641734159099998E-4</v>
      </c>
    </row>
    <row r="308" spans="2:5" ht="15" customHeight="1">
      <c r="B308" s="96"/>
      <c r="C308" s="36" t="s">
        <v>29</v>
      </c>
      <c r="D308" s="35">
        <v>29</v>
      </c>
      <c r="E308" s="34">
        <v>4.6053676353819996E-3</v>
      </c>
    </row>
    <row r="309" spans="2:5" ht="15" customHeight="1">
      <c r="B309" s="94" t="s">
        <v>100</v>
      </c>
      <c r="C309" s="63" t="s">
        <v>278</v>
      </c>
      <c r="D309" s="64">
        <v>1</v>
      </c>
      <c r="E309" s="65">
        <v>1.5880578052999999E-4</v>
      </c>
    </row>
    <row r="310" spans="2:5" ht="15" customHeight="1">
      <c r="B310" s="95"/>
      <c r="C310" s="63" t="s">
        <v>279</v>
      </c>
      <c r="D310" s="64">
        <v>1</v>
      </c>
      <c r="E310" s="65">
        <v>1.5880578052999999E-4</v>
      </c>
    </row>
    <row r="311" spans="2:5" ht="15" customHeight="1">
      <c r="B311" s="96"/>
      <c r="C311" s="36" t="s">
        <v>29</v>
      </c>
      <c r="D311" s="35">
        <v>2</v>
      </c>
      <c r="E311" s="34">
        <v>3.1761156106099999E-4</v>
      </c>
    </row>
    <row r="312" spans="2:5" ht="15" customHeight="1">
      <c r="B312" s="94" t="s">
        <v>58</v>
      </c>
      <c r="C312" s="63" t="s">
        <v>269</v>
      </c>
      <c r="D312" s="64">
        <v>1</v>
      </c>
      <c r="E312" s="65">
        <v>1.5880578052999999E-4</v>
      </c>
    </row>
    <row r="313" spans="2:5" ht="15" customHeight="1">
      <c r="B313" s="95"/>
      <c r="C313" s="63" t="s">
        <v>272</v>
      </c>
      <c r="D313" s="64">
        <v>2</v>
      </c>
      <c r="E313" s="65">
        <v>3.1761156106099999E-4</v>
      </c>
    </row>
    <row r="314" spans="2:5" ht="15" customHeight="1">
      <c r="B314" s="95"/>
      <c r="C314" s="63" t="s">
        <v>274</v>
      </c>
      <c r="D314" s="64">
        <v>1</v>
      </c>
      <c r="E314" s="65">
        <v>1.5880578052999999E-4</v>
      </c>
    </row>
    <row r="315" spans="2:5" ht="15" customHeight="1">
      <c r="B315" s="95"/>
      <c r="C315" s="63" t="s">
        <v>275</v>
      </c>
      <c r="D315" s="64">
        <v>1</v>
      </c>
      <c r="E315" s="65">
        <v>1.5880578052999999E-4</v>
      </c>
    </row>
    <row r="316" spans="2:5" ht="15" customHeight="1">
      <c r="B316" s="95"/>
      <c r="C316" s="63" t="s">
        <v>276</v>
      </c>
      <c r="D316" s="64">
        <v>6</v>
      </c>
      <c r="E316" s="65">
        <v>9.5283468318199996E-4</v>
      </c>
    </row>
    <row r="317" spans="2:5" ht="15" customHeight="1">
      <c r="B317" s="95"/>
      <c r="C317" s="63" t="s">
        <v>277</v>
      </c>
      <c r="D317" s="64">
        <v>7</v>
      </c>
      <c r="E317" s="65">
        <v>1.111640463713E-3</v>
      </c>
    </row>
    <row r="318" spans="2:5" ht="15" customHeight="1">
      <c r="B318" s="95"/>
      <c r="C318" s="63" t="s">
        <v>278</v>
      </c>
      <c r="D318" s="64">
        <v>7</v>
      </c>
      <c r="E318" s="65">
        <v>1.111640463713E-3</v>
      </c>
    </row>
    <row r="319" spans="2:5" ht="15" customHeight="1">
      <c r="B319" s="95"/>
      <c r="C319" s="63" t="s">
        <v>279</v>
      </c>
      <c r="D319" s="64">
        <v>29</v>
      </c>
      <c r="E319" s="65">
        <v>4.6053676353819996E-3</v>
      </c>
    </row>
    <row r="320" spans="2:5" ht="15" customHeight="1">
      <c r="B320" s="95"/>
      <c r="C320" s="63" t="s">
        <v>281</v>
      </c>
      <c r="D320" s="64">
        <v>2</v>
      </c>
      <c r="E320" s="65">
        <v>3.1761156106099999E-4</v>
      </c>
    </row>
    <row r="321" spans="2:5" ht="15" customHeight="1">
      <c r="B321" s="95"/>
      <c r="C321" s="63" t="s">
        <v>284</v>
      </c>
      <c r="D321" s="64">
        <v>10</v>
      </c>
      <c r="E321" s="65">
        <v>1.5880578053040001E-3</v>
      </c>
    </row>
    <row r="322" spans="2:5" ht="15" customHeight="1">
      <c r="B322" s="95"/>
      <c r="C322" s="63" t="s">
        <v>285</v>
      </c>
      <c r="D322" s="64">
        <v>56</v>
      </c>
      <c r="E322" s="65">
        <v>8.8931237097030005E-3</v>
      </c>
    </row>
    <row r="323" spans="2:5" ht="15" customHeight="1">
      <c r="B323" s="95"/>
      <c r="C323" s="63" t="s">
        <v>287</v>
      </c>
      <c r="D323" s="64">
        <v>4</v>
      </c>
      <c r="E323" s="65">
        <v>6.3522312212199999E-4</v>
      </c>
    </row>
    <row r="324" spans="2:5" ht="15" customHeight="1">
      <c r="B324" s="95"/>
      <c r="C324" s="63" t="s">
        <v>288</v>
      </c>
      <c r="D324" s="64">
        <v>1</v>
      </c>
      <c r="E324" s="65">
        <v>1.5880578052999999E-4</v>
      </c>
    </row>
    <row r="325" spans="2:5" ht="15" customHeight="1">
      <c r="B325" s="96"/>
      <c r="C325" s="36" t="s">
        <v>29</v>
      </c>
      <c r="D325" s="35">
        <v>127</v>
      </c>
      <c r="E325" s="34">
        <v>2.0168334127361999E-2</v>
      </c>
    </row>
    <row r="326" spans="2:5" ht="15" customHeight="1">
      <c r="B326" s="94" t="s">
        <v>91</v>
      </c>
      <c r="C326" s="63" t="s">
        <v>274</v>
      </c>
      <c r="D326" s="64">
        <v>1</v>
      </c>
      <c r="E326" s="65">
        <v>1.5880578052999999E-4</v>
      </c>
    </row>
    <row r="327" spans="2:5" ht="15" customHeight="1">
      <c r="B327" s="95"/>
      <c r="C327" s="63" t="s">
        <v>276</v>
      </c>
      <c r="D327" s="64">
        <v>7</v>
      </c>
      <c r="E327" s="65">
        <v>1.111640463713E-3</v>
      </c>
    </row>
    <row r="328" spans="2:5" ht="15" customHeight="1">
      <c r="B328" s="95"/>
      <c r="C328" s="63" t="s">
        <v>278</v>
      </c>
      <c r="D328" s="64">
        <v>2</v>
      </c>
      <c r="E328" s="65">
        <v>3.1761156106099999E-4</v>
      </c>
    </row>
    <row r="329" spans="2:5" ht="15" customHeight="1">
      <c r="B329" s="95"/>
      <c r="C329" s="63" t="s">
        <v>279</v>
      </c>
      <c r="D329" s="64">
        <v>1</v>
      </c>
      <c r="E329" s="65">
        <v>1.5880578052999999E-4</v>
      </c>
    </row>
    <row r="330" spans="2:5" ht="15" customHeight="1">
      <c r="B330" s="95"/>
      <c r="C330" s="63" t="s">
        <v>280</v>
      </c>
      <c r="D330" s="64">
        <v>1</v>
      </c>
      <c r="E330" s="65">
        <v>1.5880578052999999E-4</v>
      </c>
    </row>
    <row r="331" spans="2:5" ht="15" customHeight="1">
      <c r="B331" s="95"/>
      <c r="C331" s="63" t="s">
        <v>284</v>
      </c>
      <c r="D331" s="64">
        <v>1</v>
      </c>
      <c r="E331" s="65">
        <v>1.5880578052999999E-4</v>
      </c>
    </row>
    <row r="332" spans="2:5" ht="15" customHeight="1">
      <c r="B332" s="95"/>
      <c r="C332" s="63" t="s">
        <v>285</v>
      </c>
      <c r="D332" s="64">
        <v>2</v>
      </c>
      <c r="E332" s="65">
        <v>3.1761156106099999E-4</v>
      </c>
    </row>
    <row r="333" spans="2:5" ht="15" customHeight="1">
      <c r="B333" s="96"/>
      <c r="C333" s="36" t="s">
        <v>29</v>
      </c>
      <c r="D333" s="35">
        <v>15</v>
      </c>
      <c r="E333" s="34">
        <v>2.3820867079560001E-3</v>
      </c>
    </row>
    <row r="334" spans="2:5" ht="15" customHeight="1">
      <c r="B334" s="94" t="s">
        <v>85</v>
      </c>
      <c r="C334" s="63" t="s">
        <v>272</v>
      </c>
      <c r="D334" s="64">
        <v>2</v>
      </c>
      <c r="E334" s="65">
        <v>3.1761156106099999E-4</v>
      </c>
    </row>
    <row r="335" spans="2:5" ht="15" customHeight="1">
      <c r="B335" s="95"/>
      <c r="C335" s="63" t="s">
        <v>274</v>
      </c>
      <c r="D335" s="64">
        <v>1</v>
      </c>
      <c r="E335" s="65">
        <v>1.5880578052999999E-4</v>
      </c>
    </row>
    <row r="336" spans="2:5" ht="15" customHeight="1">
      <c r="B336" s="95"/>
      <c r="C336" s="63" t="s">
        <v>276</v>
      </c>
      <c r="D336" s="64">
        <v>10</v>
      </c>
      <c r="E336" s="65">
        <v>1.5880578053040001E-3</v>
      </c>
    </row>
    <row r="337" spans="2:5" ht="15" customHeight="1">
      <c r="B337" s="95"/>
      <c r="C337" s="63" t="s">
        <v>278</v>
      </c>
      <c r="D337" s="64">
        <v>1</v>
      </c>
      <c r="E337" s="65">
        <v>1.5880578052999999E-4</v>
      </c>
    </row>
    <row r="338" spans="2:5" ht="15" customHeight="1">
      <c r="B338" s="95"/>
      <c r="C338" s="63" t="s">
        <v>279</v>
      </c>
      <c r="D338" s="64">
        <v>3</v>
      </c>
      <c r="E338" s="65">
        <v>4.7641734159099998E-4</v>
      </c>
    </row>
    <row r="339" spans="2:5" ht="15" customHeight="1">
      <c r="B339" s="95"/>
      <c r="C339" s="63" t="s">
        <v>284</v>
      </c>
      <c r="D339" s="64">
        <v>1</v>
      </c>
      <c r="E339" s="65">
        <v>1.5880578052999999E-4</v>
      </c>
    </row>
    <row r="340" spans="2:5" ht="15" customHeight="1">
      <c r="B340" s="95"/>
      <c r="C340" s="63" t="s">
        <v>285</v>
      </c>
      <c r="D340" s="64">
        <v>1</v>
      </c>
      <c r="E340" s="65">
        <v>1.5880578052999999E-4</v>
      </c>
    </row>
    <row r="341" spans="2:5" ht="15" customHeight="1">
      <c r="B341" s="96"/>
      <c r="C341" s="36" t="s">
        <v>29</v>
      </c>
      <c r="D341" s="35">
        <v>19</v>
      </c>
      <c r="E341" s="34">
        <v>3.017309830078E-3</v>
      </c>
    </row>
    <row r="342" spans="2:5" ht="15" customHeight="1">
      <c r="B342" s="94" t="s">
        <v>71</v>
      </c>
      <c r="C342" s="63" t="s">
        <v>271</v>
      </c>
      <c r="D342" s="64">
        <v>2</v>
      </c>
      <c r="E342" s="65">
        <v>3.1761156106099999E-4</v>
      </c>
    </row>
    <row r="343" spans="2:5" ht="15" customHeight="1">
      <c r="B343" s="95"/>
      <c r="C343" s="63" t="s">
        <v>272</v>
      </c>
      <c r="D343" s="64">
        <v>6</v>
      </c>
      <c r="E343" s="65">
        <v>9.5283468318199996E-4</v>
      </c>
    </row>
    <row r="344" spans="2:5" ht="15" customHeight="1">
      <c r="B344" s="95"/>
      <c r="C344" s="63" t="s">
        <v>273</v>
      </c>
      <c r="D344" s="64">
        <v>2</v>
      </c>
      <c r="E344" s="65">
        <v>3.1761156106099999E-4</v>
      </c>
    </row>
    <row r="345" spans="2:5" ht="15" customHeight="1">
      <c r="B345" s="95"/>
      <c r="C345" s="63" t="s">
        <v>274</v>
      </c>
      <c r="D345" s="64">
        <v>2</v>
      </c>
      <c r="E345" s="65">
        <v>3.1761156106099999E-4</v>
      </c>
    </row>
    <row r="346" spans="2:5" ht="15" customHeight="1">
      <c r="B346" s="95"/>
      <c r="C346" s="63" t="s">
        <v>276</v>
      </c>
      <c r="D346" s="64">
        <v>6</v>
      </c>
      <c r="E346" s="65">
        <v>9.5283468318199996E-4</v>
      </c>
    </row>
    <row r="347" spans="2:5" ht="15" customHeight="1">
      <c r="B347" s="95"/>
      <c r="C347" s="63" t="s">
        <v>278</v>
      </c>
      <c r="D347" s="64">
        <v>10</v>
      </c>
      <c r="E347" s="65">
        <v>1.5880578053040001E-3</v>
      </c>
    </row>
    <row r="348" spans="2:5" ht="15" customHeight="1">
      <c r="B348" s="95"/>
      <c r="C348" s="63" t="s">
        <v>279</v>
      </c>
      <c r="D348" s="64">
        <v>14</v>
      </c>
      <c r="E348" s="65">
        <v>2.2232809274259999E-3</v>
      </c>
    </row>
    <row r="349" spans="2:5" ht="15" customHeight="1">
      <c r="B349" s="95"/>
      <c r="C349" s="63" t="s">
        <v>281</v>
      </c>
      <c r="D349" s="64">
        <v>2</v>
      </c>
      <c r="E349" s="65">
        <v>3.1761156106099999E-4</v>
      </c>
    </row>
    <row r="350" spans="2:5" ht="15" customHeight="1">
      <c r="B350" s="95"/>
      <c r="C350" s="63" t="s">
        <v>284</v>
      </c>
      <c r="D350" s="64">
        <v>5</v>
      </c>
      <c r="E350" s="65">
        <v>7.9402890265200003E-4</v>
      </c>
    </row>
    <row r="351" spans="2:5" ht="15" customHeight="1">
      <c r="B351" s="95"/>
      <c r="C351" s="63" t="s">
        <v>285</v>
      </c>
      <c r="D351" s="64">
        <v>6</v>
      </c>
      <c r="E351" s="65">
        <v>9.5283468318199996E-4</v>
      </c>
    </row>
    <row r="352" spans="2:5" ht="15" customHeight="1">
      <c r="B352" s="95"/>
      <c r="C352" s="63" t="s">
        <v>287</v>
      </c>
      <c r="D352" s="64">
        <v>1</v>
      </c>
      <c r="E352" s="65">
        <v>1.5880578052999999E-4</v>
      </c>
    </row>
    <row r="353" spans="2:5" ht="15" customHeight="1">
      <c r="B353" s="96"/>
      <c r="C353" s="36" t="s">
        <v>29</v>
      </c>
      <c r="D353" s="35">
        <v>56</v>
      </c>
      <c r="E353" s="34">
        <v>8.8931237097030005E-3</v>
      </c>
    </row>
    <row r="354" spans="2:5" ht="15" customHeight="1">
      <c r="B354" s="94" t="s">
        <v>90</v>
      </c>
      <c r="C354" s="63" t="s">
        <v>271</v>
      </c>
      <c r="D354" s="64">
        <v>2</v>
      </c>
      <c r="E354" s="65">
        <v>3.1761156106099999E-4</v>
      </c>
    </row>
    <row r="355" spans="2:5" ht="15" customHeight="1">
      <c r="B355" s="95"/>
      <c r="C355" s="63" t="s">
        <v>272</v>
      </c>
      <c r="D355" s="64">
        <v>1</v>
      </c>
      <c r="E355" s="65">
        <v>1.5880578052999999E-4</v>
      </c>
    </row>
    <row r="356" spans="2:5" ht="15" customHeight="1">
      <c r="B356" s="95"/>
      <c r="C356" s="63" t="s">
        <v>274</v>
      </c>
      <c r="D356" s="64">
        <v>1</v>
      </c>
      <c r="E356" s="65">
        <v>1.5880578052999999E-4</v>
      </c>
    </row>
    <row r="357" spans="2:5" ht="15" customHeight="1">
      <c r="B357" s="95"/>
      <c r="C357" s="63" t="s">
        <v>276</v>
      </c>
      <c r="D357" s="64">
        <v>6</v>
      </c>
      <c r="E357" s="65">
        <v>9.5283468318199996E-4</v>
      </c>
    </row>
    <row r="358" spans="2:5" ht="15" customHeight="1">
      <c r="B358" s="95"/>
      <c r="C358" s="63" t="s">
        <v>277</v>
      </c>
      <c r="D358" s="64">
        <v>1</v>
      </c>
      <c r="E358" s="65">
        <v>1.5880578052999999E-4</v>
      </c>
    </row>
    <row r="359" spans="2:5" ht="15" customHeight="1">
      <c r="B359" s="95"/>
      <c r="C359" s="63" t="s">
        <v>278</v>
      </c>
      <c r="D359" s="64">
        <v>2</v>
      </c>
      <c r="E359" s="65">
        <v>3.1761156106099999E-4</v>
      </c>
    </row>
    <row r="360" spans="2:5" ht="15" customHeight="1">
      <c r="B360" s="95"/>
      <c r="C360" s="63" t="s">
        <v>279</v>
      </c>
      <c r="D360" s="64">
        <v>2</v>
      </c>
      <c r="E360" s="65">
        <v>3.1761156106099999E-4</v>
      </c>
    </row>
    <row r="361" spans="2:5" ht="15" customHeight="1">
      <c r="B361" s="95"/>
      <c r="C361" s="63" t="s">
        <v>285</v>
      </c>
      <c r="D361" s="64">
        <v>1</v>
      </c>
      <c r="E361" s="65">
        <v>1.5880578052999999E-4</v>
      </c>
    </row>
    <row r="362" spans="2:5" ht="15" customHeight="1">
      <c r="B362" s="96"/>
      <c r="C362" s="36" t="s">
        <v>29</v>
      </c>
      <c r="D362" s="35">
        <v>16</v>
      </c>
      <c r="E362" s="34">
        <v>2.5408924884869999E-3</v>
      </c>
    </row>
    <row r="363" spans="2:5" ht="15" customHeight="1">
      <c r="B363" s="94" t="s">
        <v>79</v>
      </c>
      <c r="C363" s="63" t="s">
        <v>268</v>
      </c>
      <c r="D363" s="64">
        <v>2</v>
      </c>
      <c r="E363" s="65">
        <v>3.1761156106099999E-4</v>
      </c>
    </row>
    <row r="364" spans="2:5" ht="15" customHeight="1">
      <c r="B364" s="95"/>
      <c r="C364" s="63" t="s">
        <v>269</v>
      </c>
      <c r="D364" s="64">
        <v>2</v>
      </c>
      <c r="E364" s="65">
        <v>3.1761156106099999E-4</v>
      </c>
    </row>
    <row r="365" spans="2:5" ht="15" customHeight="1">
      <c r="B365" s="95"/>
      <c r="C365" s="63" t="s">
        <v>271</v>
      </c>
      <c r="D365" s="64">
        <v>1</v>
      </c>
      <c r="E365" s="65">
        <v>1.5880578052999999E-4</v>
      </c>
    </row>
    <row r="366" spans="2:5" ht="15" customHeight="1">
      <c r="B366" s="95"/>
      <c r="C366" s="63" t="s">
        <v>272</v>
      </c>
      <c r="D366" s="64">
        <v>1</v>
      </c>
      <c r="E366" s="65">
        <v>1.5880578052999999E-4</v>
      </c>
    </row>
    <row r="367" spans="2:5" ht="15" customHeight="1">
      <c r="B367" s="95"/>
      <c r="C367" s="63" t="s">
        <v>274</v>
      </c>
      <c r="D367" s="64">
        <v>2</v>
      </c>
      <c r="E367" s="65">
        <v>3.1761156106099999E-4</v>
      </c>
    </row>
    <row r="368" spans="2:5" ht="15" customHeight="1">
      <c r="B368" s="95"/>
      <c r="C368" s="63" t="s">
        <v>275</v>
      </c>
      <c r="D368" s="64">
        <v>1</v>
      </c>
      <c r="E368" s="65">
        <v>1.5880578052999999E-4</v>
      </c>
    </row>
    <row r="369" spans="2:5" ht="15" customHeight="1">
      <c r="B369" s="95"/>
      <c r="C369" s="63" t="s">
        <v>276</v>
      </c>
      <c r="D369" s="64">
        <v>5</v>
      </c>
      <c r="E369" s="65">
        <v>7.9402890265200003E-4</v>
      </c>
    </row>
    <row r="370" spans="2:5" ht="15" customHeight="1">
      <c r="B370" s="95"/>
      <c r="C370" s="63" t="s">
        <v>277</v>
      </c>
      <c r="D370" s="64">
        <v>2</v>
      </c>
      <c r="E370" s="65">
        <v>3.1761156106099999E-4</v>
      </c>
    </row>
    <row r="371" spans="2:5" ht="15" customHeight="1">
      <c r="B371" s="95"/>
      <c r="C371" s="63" t="s">
        <v>278</v>
      </c>
      <c r="D371" s="64">
        <v>3</v>
      </c>
      <c r="E371" s="65">
        <v>4.7641734159099998E-4</v>
      </c>
    </row>
    <row r="372" spans="2:5" ht="15" customHeight="1">
      <c r="B372" s="95"/>
      <c r="C372" s="63" t="s">
        <v>279</v>
      </c>
      <c r="D372" s="64">
        <v>7</v>
      </c>
      <c r="E372" s="65">
        <v>1.111640463713E-3</v>
      </c>
    </row>
    <row r="373" spans="2:5" ht="15" customHeight="1">
      <c r="B373" s="95"/>
      <c r="C373" s="63" t="s">
        <v>281</v>
      </c>
      <c r="D373" s="64">
        <v>1</v>
      </c>
      <c r="E373" s="65">
        <v>1.5880578052999999E-4</v>
      </c>
    </row>
    <row r="374" spans="2:5" ht="15" customHeight="1">
      <c r="B374" s="95"/>
      <c r="C374" s="63" t="s">
        <v>285</v>
      </c>
      <c r="D374" s="64">
        <v>2</v>
      </c>
      <c r="E374" s="65">
        <v>3.1761156106099999E-4</v>
      </c>
    </row>
    <row r="375" spans="2:5" ht="15" customHeight="1">
      <c r="B375" s="96"/>
      <c r="C375" s="36" t="s">
        <v>29</v>
      </c>
      <c r="D375" s="35">
        <v>29</v>
      </c>
      <c r="E375" s="34">
        <v>4.6053676353819996E-3</v>
      </c>
    </row>
    <row r="376" spans="2:5" ht="15" customHeight="1">
      <c r="B376" s="94" t="s">
        <v>77</v>
      </c>
      <c r="C376" s="63" t="s">
        <v>265</v>
      </c>
      <c r="D376" s="64">
        <v>1</v>
      </c>
      <c r="E376" s="65">
        <v>1.5880578052999999E-4</v>
      </c>
    </row>
    <row r="377" spans="2:5" ht="15" customHeight="1">
      <c r="B377" s="95"/>
      <c r="C377" s="63" t="s">
        <v>268</v>
      </c>
      <c r="D377" s="64">
        <v>3</v>
      </c>
      <c r="E377" s="65">
        <v>4.7641734159099998E-4</v>
      </c>
    </row>
    <row r="378" spans="2:5" ht="15" customHeight="1">
      <c r="B378" s="95"/>
      <c r="C378" s="63" t="s">
        <v>269</v>
      </c>
      <c r="D378" s="64">
        <v>1</v>
      </c>
      <c r="E378" s="65">
        <v>1.5880578052999999E-4</v>
      </c>
    </row>
    <row r="379" spans="2:5" ht="15" customHeight="1">
      <c r="B379" s="95"/>
      <c r="C379" s="63" t="s">
        <v>270</v>
      </c>
      <c r="D379" s="64">
        <v>1</v>
      </c>
      <c r="E379" s="65">
        <v>1.5880578052999999E-4</v>
      </c>
    </row>
    <row r="380" spans="2:5" ht="15" customHeight="1">
      <c r="B380" s="95"/>
      <c r="C380" s="63" t="s">
        <v>271</v>
      </c>
      <c r="D380" s="64">
        <v>1</v>
      </c>
      <c r="E380" s="65">
        <v>1.5880578052999999E-4</v>
      </c>
    </row>
    <row r="381" spans="2:5" ht="15" customHeight="1">
      <c r="B381" s="95"/>
      <c r="C381" s="63" t="s">
        <v>272</v>
      </c>
      <c r="D381" s="64">
        <v>1</v>
      </c>
      <c r="E381" s="65">
        <v>1.5880578052999999E-4</v>
      </c>
    </row>
    <row r="382" spans="2:5" ht="15" customHeight="1">
      <c r="B382" s="95"/>
      <c r="C382" s="63" t="s">
        <v>274</v>
      </c>
      <c r="D382" s="64">
        <v>2</v>
      </c>
      <c r="E382" s="65">
        <v>3.1761156106099999E-4</v>
      </c>
    </row>
    <row r="383" spans="2:5" ht="15" customHeight="1">
      <c r="B383" s="95"/>
      <c r="C383" s="63" t="s">
        <v>275</v>
      </c>
      <c r="D383" s="64">
        <v>1</v>
      </c>
      <c r="E383" s="65">
        <v>1.5880578052999999E-4</v>
      </c>
    </row>
    <row r="384" spans="2:5" ht="15" customHeight="1">
      <c r="B384" s="95"/>
      <c r="C384" s="63" t="s">
        <v>276</v>
      </c>
      <c r="D384" s="64">
        <v>6</v>
      </c>
      <c r="E384" s="65">
        <v>9.5283468318199996E-4</v>
      </c>
    </row>
    <row r="385" spans="2:5" ht="15" customHeight="1">
      <c r="B385" s="95"/>
      <c r="C385" s="63" t="s">
        <v>278</v>
      </c>
      <c r="D385" s="64">
        <v>4</v>
      </c>
      <c r="E385" s="65">
        <v>6.3522312212199999E-4</v>
      </c>
    </row>
    <row r="386" spans="2:5" ht="15" customHeight="1">
      <c r="B386" s="95"/>
      <c r="C386" s="63" t="s">
        <v>279</v>
      </c>
      <c r="D386" s="64">
        <v>7</v>
      </c>
      <c r="E386" s="65">
        <v>1.111640463713E-3</v>
      </c>
    </row>
    <row r="387" spans="2:5" ht="15" customHeight="1">
      <c r="B387" s="95"/>
      <c r="C387" s="63" t="s">
        <v>280</v>
      </c>
      <c r="D387" s="64">
        <v>1</v>
      </c>
      <c r="E387" s="65">
        <v>1.5880578052999999E-4</v>
      </c>
    </row>
    <row r="388" spans="2:5" ht="15" customHeight="1">
      <c r="B388" s="95"/>
      <c r="C388" s="63" t="s">
        <v>282</v>
      </c>
      <c r="D388" s="64">
        <v>1</v>
      </c>
      <c r="E388" s="65">
        <v>1.5880578052999999E-4</v>
      </c>
    </row>
    <row r="389" spans="2:5" ht="15" customHeight="1">
      <c r="B389" s="95"/>
      <c r="C389" s="63" t="s">
        <v>284</v>
      </c>
      <c r="D389" s="64">
        <v>2</v>
      </c>
      <c r="E389" s="65">
        <v>3.1761156106099999E-4</v>
      </c>
    </row>
    <row r="390" spans="2:5" ht="15" customHeight="1">
      <c r="B390" s="95"/>
      <c r="C390" s="63" t="s">
        <v>285</v>
      </c>
      <c r="D390" s="64">
        <v>1</v>
      </c>
      <c r="E390" s="65">
        <v>1.5880578052999999E-4</v>
      </c>
    </row>
    <row r="391" spans="2:5" ht="15" customHeight="1">
      <c r="B391" s="96"/>
      <c r="C391" s="36" t="s">
        <v>29</v>
      </c>
      <c r="D391" s="35">
        <v>33</v>
      </c>
      <c r="E391" s="34">
        <v>5.2405907575040003E-3</v>
      </c>
    </row>
    <row r="392" spans="2:5" ht="15" customHeight="1">
      <c r="B392" s="94" t="s">
        <v>50</v>
      </c>
      <c r="C392" s="63" t="s">
        <v>265</v>
      </c>
      <c r="D392" s="64">
        <v>4</v>
      </c>
      <c r="E392" s="65">
        <v>6.3522312212199999E-4</v>
      </c>
    </row>
    <row r="393" spans="2:5" ht="15" customHeight="1">
      <c r="B393" s="95"/>
      <c r="C393" s="63" t="s">
        <v>266</v>
      </c>
      <c r="D393" s="64">
        <v>1</v>
      </c>
      <c r="E393" s="65">
        <v>1.5880578052999999E-4</v>
      </c>
    </row>
    <row r="394" spans="2:5" ht="15" customHeight="1">
      <c r="B394" s="95"/>
      <c r="C394" s="63" t="s">
        <v>267</v>
      </c>
      <c r="D394" s="64">
        <v>3</v>
      </c>
      <c r="E394" s="65">
        <v>4.7641734159099998E-4</v>
      </c>
    </row>
    <row r="395" spans="2:5" ht="15" customHeight="1">
      <c r="B395" s="95"/>
      <c r="C395" s="63" t="s">
        <v>268</v>
      </c>
      <c r="D395" s="64">
        <v>9</v>
      </c>
      <c r="E395" s="65">
        <v>1.4292520247739999E-3</v>
      </c>
    </row>
    <row r="396" spans="2:5" ht="15" customHeight="1">
      <c r="B396" s="95"/>
      <c r="C396" s="63" t="s">
        <v>269</v>
      </c>
      <c r="D396" s="64">
        <v>12</v>
      </c>
      <c r="E396" s="65">
        <v>1.905669366365E-3</v>
      </c>
    </row>
    <row r="397" spans="2:5" ht="15" customHeight="1">
      <c r="B397" s="95"/>
      <c r="C397" s="63" t="s">
        <v>270</v>
      </c>
      <c r="D397" s="64">
        <v>16</v>
      </c>
      <c r="E397" s="65">
        <v>2.5408924884869999E-3</v>
      </c>
    </row>
    <row r="398" spans="2:5" ht="15" customHeight="1">
      <c r="B398" s="95"/>
      <c r="C398" s="63" t="s">
        <v>271</v>
      </c>
      <c r="D398" s="64">
        <v>39</v>
      </c>
      <c r="E398" s="65">
        <v>6.1934254406859996E-3</v>
      </c>
    </row>
    <row r="399" spans="2:5" ht="15" customHeight="1">
      <c r="B399" s="95"/>
      <c r="C399" s="63" t="s">
        <v>272</v>
      </c>
      <c r="D399" s="64">
        <v>71</v>
      </c>
      <c r="E399" s="65">
        <v>1.1275210417659E-2</v>
      </c>
    </row>
    <row r="400" spans="2:5" ht="15" customHeight="1">
      <c r="B400" s="95"/>
      <c r="C400" s="63" t="s">
        <v>273</v>
      </c>
      <c r="D400" s="64">
        <v>18</v>
      </c>
      <c r="E400" s="65">
        <v>2.8585040495470002E-3</v>
      </c>
    </row>
    <row r="401" spans="2:5" ht="15" customHeight="1">
      <c r="B401" s="95"/>
      <c r="C401" s="63" t="s">
        <v>274</v>
      </c>
      <c r="D401" s="64">
        <v>38</v>
      </c>
      <c r="E401" s="65">
        <v>6.0346196601559999E-3</v>
      </c>
    </row>
    <row r="402" spans="2:5" ht="15" customHeight="1">
      <c r="B402" s="95"/>
      <c r="C402" s="63" t="s">
        <v>275</v>
      </c>
      <c r="D402" s="64">
        <v>55</v>
      </c>
      <c r="E402" s="65">
        <v>8.7343179291730008E-3</v>
      </c>
    </row>
    <row r="403" spans="2:5" ht="15" customHeight="1">
      <c r="B403" s="95"/>
      <c r="C403" s="63" t="s">
        <v>276</v>
      </c>
      <c r="D403" s="64">
        <v>375</v>
      </c>
      <c r="E403" s="65">
        <v>5.9552167698904E-2</v>
      </c>
    </row>
    <row r="404" spans="2:5" ht="15" customHeight="1">
      <c r="B404" s="95"/>
      <c r="C404" s="63" t="s">
        <v>277</v>
      </c>
      <c r="D404" s="64">
        <v>51</v>
      </c>
      <c r="E404" s="65">
        <v>8.0990948070510001E-3</v>
      </c>
    </row>
    <row r="405" spans="2:5" ht="15" customHeight="1">
      <c r="B405" s="95"/>
      <c r="C405" s="63" t="s">
        <v>278</v>
      </c>
      <c r="D405" s="64">
        <v>192</v>
      </c>
      <c r="E405" s="65">
        <v>3.0490709861839001E-2</v>
      </c>
    </row>
    <row r="406" spans="2:5" ht="15" customHeight="1">
      <c r="B406" s="95"/>
      <c r="C406" s="63" t="s">
        <v>279</v>
      </c>
      <c r="D406" s="64">
        <v>518</v>
      </c>
      <c r="E406" s="65">
        <v>8.2261394314753003E-2</v>
      </c>
    </row>
    <row r="407" spans="2:5" ht="15" customHeight="1">
      <c r="B407" s="95"/>
      <c r="C407" s="63" t="s">
        <v>280</v>
      </c>
      <c r="D407" s="64">
        <v>17</v>
      </c>
      <c r="E407" s="65">
        <v>2.699698269017E-3</v>
      </c>
    </row>
    <row r="408" spans="2:5" ht="15" customHeight="1">
      <c r="B408" s="95"/>
      <c r="C408" s="63" t="s">
        <v>281</v>
      </c>
      <c r="D408" s="64">
        <v>26</v>
      </c>
      <c r="E408" s="65">
        <v>4.1289502937910004E-3</v>
      </c>
    </row>
    <row r="409" spans="2:5" ht="15" customHeight="1">
      <c r="B409" s="95"/>
      <c r="C409" s="63" t="s">
        <v>282</v>
      </c>
      <c r="D409" s="64">
        <v>9</v>
      </c>
      <c r="E409" s="65">
        <v>1.4292520247739999E-3</v>
      </c>
    </row>
    <row r="410" spans="2:5" ht="15" customHeight="1">
      <c r="B410" s="95"/>
      <c r="C410" s="63" t="s">
        <v>283</v>
      </c>
      <c r="D410" s="64">
        <v>5</v>
      </c>
      <c r="E410" s="65">
        <v>7.9402890265200003E-4</v>
      </c>
    </row>
    <row r="411" spans="2:5" ht="15" customHeight="1">
      <c r="B411" s="95"/>
      <c r="C411" s="63" t="s">
        <v>284</v>
      </c>
      <c r="D411" s="64">
        <v>60</v>
      </c>
      <c r="E411" s="65">
        <v>9.5283468318249995E-3</v>
      </c>
    </row>
    <row r="412" spans="2:5" ht="15" customHeight="1">
      <c r="B412" s="95"/>
      <c r="C412" s="63" t="s">
        <v>285</v>
      </c>
      <c r="D412" s="64">
        <v>166</v>
      </c>
      <c r="E412" s="65">
        <v>2.6361759568047999E-2</v>
      </c>
    </row>
    <row r="413" spans="2:5" ht="15" customHeight="1">
      <c r="B413" s="95"/>
      <c r="C413" s="63" t="s">
        <v>286</v>
      </c>
      <c r="D413" s="64">
        <v>7</v>
      </c>
      <c r="E413" s="65">
        <v>1.111640463713E-3</v>
      </c>
    </row>
    <row r="414" spans="2:5" ht="15" customHeight="1">
      <c r="B414" s="95"/>
      <c r="C414" s="63" t="s">
        <v>287</v>
      </c>
      <c r="D414" s="64">
        <v>17</v>
      </c>
      <c r="E414" s="65">
        <v>2.699698269017E-3</v>
      </c>
    </row>
    <row r="415" spans="2:5" ht="15" customHeight="1">
      <c r="B415" s="95"/>
      <c r="C415" s="63" t="s">
        <v>288</v>
      </c>
      <c r="D415" s="64">
        <v>6</v>
      </c>
      <c r="E415" s="65">
        <v>9.5283468318199996E-4</v>
      </c>
    </row>
    <row r="416" spans="2:5" ht="15" customHeight="1">
      <c r="B416" s="96"/>
      <c r="C416" s="36" t="s">
        <v>29</v>
      </c>
      <c r="D416" s="35">
        <v>1715</v>
      </c>
      <c r="E416" s="34">
        <v>0.27235191360965499</v>
      </c>
    </row>
    <row r="417" spans="2:5" ht="15" customHeight="1">
      <c r="B417" s="94" t="s">
        <v>82</v>
      </c>
      <c r="C417" s="63" t="s">
        <v>271</v>
      </c>
      <c r="D417" s="64">
        <v>1</v>
      </c>
      <c r="E417" s="65">
        <v>1.5880578052999999E-4</v>
      </c>
    </row>
    <row r="418" spans="2:5" ht="15" customHeight="1">
      <c r="B418" s="95"/>
      <c r="C418" s="63" t="s">
        <v>272</v>
      </c>
      <c r="D418" s="64">
        <v>1</v>
      </c>
      <c r="E418" s="65">
        <v>1.5880578052999999E-4</v>
      </c>
    </row>
    <row r="419" spans="2:5" ht="15" customHeight="1">
      <c r="B419" s="95"/>
      <c r="C419" s="63" t="s">
        <v>275</v>
      </c>
      <c r="D419" s="64">
        <v>1</v>
      </c>
      <c r="E419" s="65">
        <v>1.5880578052999999E-4</v>
      </c>
    </row>
    <row r="420" spans="2:5" ht="15" customHeight="1">
      <c r="B420" s="95"/>
      <c r="C420" s="63" t="s">
        <v>276</v>
      </c>
      <c r="D420" s="64">
        <v>3</v>
      </c>
      <c r="E420" s="65">
        <v>4.7641734159099998E-4</v>
      </c>
    </row>
    <row r="421" spans="2:5" ht="15" customHeight="1">
      <c r="B421" s="95"/>
      <c r="C421" s="63" t="s">
        <v>278</v>
      </c>
      <c r="D421" s="64">
        <v>4</v>
      </c>
      <c r="E421" s="65">
        <v>6.3522312212199999E-4</v>
      </c>
    </row>
    <row r="422" spans="2:5" ht="15" customHeight="1">
      <c r="B422" s="95"/>
      <c r="C422" s="63" t="s">
        <v>279</v>
      </c>
      <c r="D422" s="64">
        <v>12</v>
      </c>
      <c r="E422" s="65">
        <v>1.905669366365E-3</v>
      </c>
    </row>
    <row r="423" spans="2:5" ht="15" customHeight="1">
      <c r="B423" s="95"/>
      <c r="C423" s="63" t="s">
        <v>284</v>
      </c>
      <c r="D423" s="64">
        <v>1</v>
      </c>
      <c r="E423" s="65">
        <v>1.5880578052999999E-4</v>
      </c>
    </row>
    <row r="424" spans="2:5" ht="15" customHeight="1">
      <c r="B424" s="95"/>
      <c r="C424" s="63" t="s">
        <v>285</v>
      </c>
      <c r="D424" s="64">
        <v>2</v>
      </c>
      <c r="E424" s="65">
        <v>3.1761156106099999E-4</v>
      </c>
    </row>
    <row r="425" spans="2:5" ht="15" customHeight="1">
      <c r="B425" s="96"/>
      <c r="C425" s="36" t="s">
        <v>29</v>
      </c>
      <c r="D425" s="35">
        <v>25</v>
      </c>
      <c r="E425" s="34">
        <v>3.9701445132599997E-3</v>
      </c>
    </row>
    <row r="426" spans="2:5" ht="15" customHeight="1">
      <c r="B426" s="94" t="s">
        <v>93</v>
      </c>
      <c r="C426" s="63" t="s">
        <v>272</v>
      </c>
      <c r="D426" s="64">
        <v>1</v>
      </c>
      <c r="E426" s="65">
        <v>1.5880578052999999E-4</v>
      </c>
    </row>
    <row r="427" spans="2:5" ht="15" customHeight="1">
      <c r="B427" s="95"/>
      <c r="C427" s="63" t="s">
        <v>276</v>
      </c>
      <c r="D427" s="64">
        <v>3</v>
      </c>
      <c r="E427" s="65">
        <v>4.7641734159099998E-4</v>
      </c>
    </row>
    <row r="428" spans="2:5" ht="15" customHeight="1">
      <c r="B428" s="95"/>
      <c r="C428" s="63" t="s">
        <v>278</v>
      </c>
      <c r="D428" s="64">
        <v>2</v>
      </c>
      <c r="E428" s="65">
        <v>3.1761156106099999E-4</v>
      </c>
    </row>
    <row r="429" spans="2:5" ht="15" customHeight="1">
      <c r="B429" s="95"/>
      <c r="C429" s="63" t="s">
        <v>279</v>
      </c>
      <c r="D429" s="64">
        <v>4</v>
      </c>
      <c r="E429" s="65">
        <v>6.3522312212199999E-4</v>
      </c>
    </row>
    <row r="430" spans="2:5" ht="15" customHeight="1">
      <c r="B430" s="95"/>
      <c r="C430" s="63" t="s">
        <v>285</v>
      </c>
      <c r="D430" s="64">
        <v>1</v>
      </c>
      <c r="E430" s="65">
        <v>1.5880578052999999E-4</v>
      </c>
    </row>
    <row r="431" spans="2:5" ht="15" customHeight="1">
      <c r="B431" s="96"/>
      <c r="C431" s="36" t="s">
        <v>29</v>
      </c>
      <c r="D431" s="35">
        <v>11</v>
      </c>
      <c r="E431" s="34">
        <v>1.7468635858350001E-3</v>
      </c>
    </row>
    <row r="432" spans="2:5" ht="15" customHeight="1">
      <c r="B432" s="94" t="s">
        <v>68</v>
      </c>
      <c r="C432" s="63" t="s">
        <v>268</v>
      </c>
      <c r="D432" s="64">
        <v>1</v>
      </c>
      <c r="E432" s="65">
        <v>1.5880578052999999E-4</v>
      </c>
    </row>
    <row r="433" spans="2:5" ht="15" customHeight="1">
      <c r="B433" s="95"/>
      <c r="C433" s="63" t="s">
        <v>270</v>
      </c>
      <c r="D433" s="64">
        <v>1</v>
      </c>
      <c r="E433" s="65">
        <v>1.5880578052999999E-4</v>
      </c>
    </row>
    <row r="434" spans="2:5" ht="15" customHeight="1">
      <c r="B434" s="95"/>
      <c r="C434" s="63" t="s">
        <v>271</v>
      </c>
      <c r="D434" s="64">
        <v>5</v>
      </c>
      <c r="E434" s="65">
        <v>7.9402890265200003E-4</v>
      </c>
    </row>
    <row r="435" spans="2:5" ht="15" customHeight="1">
      <c r="B435" s="95"/>
      <c r="C435" s="63" t="s">
        <v>272</v>
      </c>
      <c r="D435" s="64">
        <v>9</v>
      </c>
      <c r="E435" s="65">
        <v>1.4292520247739999E-3</v>
      </c>
    </row>
    <row r="436" spans="2:5" ht="15" customHeight="1">
      <c r="B436" s="95"/>
      <c r="C436" s="63" t="s">
        <v>273</v>
      </c>
      <c r="D436" s="64">
        <v>2</v>
      </c>
      <c r="E436" s="65">
        <v>3.1761156106099999E-4</v>
      </c>
    </row>
    <row r="437" spans="2:5" ht="15" customHeight="1">
      <c r="B437" s="95"/>
      <c r="C437" s="63" t="s">
        <v>275</v>
      </c>
      <c r="D437" s="64">
        <v>3</v>
      </c>
      <c r="E437" s="65">
        <v>4.7641734159099998E-4</v>
      </c>
    </row>
    <row r="438" spans="2:5" ht="15" customHeight="1">
      <c r="B438" s="95"/>
      <c r="C438" s="63" t="s">
        <v>276</v>
      </c>
      <c r="D438" s="64">
        <v>18</v>
      </c>
      <c r="E438" s="65">
        <v>2.8585040495470002E-3</v>
      </c>
    </row>
    <row r="439" spans="2:5" ht="15" customHeight="1">
      <c r="B439" s="95"/>
      <c r="C439" s="63" t="s">
        <v>278</v>
      </c>
      <c r="D439" s="64">
        <v>5</v>
      </c>
      <c r="E439" s="65">
        <v>7.9402890265200003E-4</v>
      </c>
    </row>
    <row r="440" spans="2:5" ht="15" customHeight="1">
      <c r="B440" s="95"/>
      <c r="C440" s="63" t="s">
        <v>279</v>
      </c>
      <c r="D440" s="64">
        <v>11</v>
      </c>
      <c r="E440" s="65">
        <v>1.7468635858350001E-3</v>
      </c>
    </row>
    <row r="441" spans="2:5" ht="15" customHeight="1">
      <c r="B441" s="95"/>
      <c r="C441" s="63" t="s">
        <v>281</v>
      </c>
      <c r="D441" s="64">
        <v>1</v>
      </c>
      <c r="E441" s="65">
        <v>1.5880578052999999E-4</v>
      </c>
    </row>
    <row r="442" spans="2:5" ht="15" customHeight="1">
      <c r="B442" s="95"/>
      <c r="C442" s="63" t="s">
        <v>285</v>
      </c>
      <c r="D442" s="64">
        <v>7</v>
      </c>
      <c r="E442" s="65">
        <v>1.111640463713E-3</v>
      </c>
    </row>
    <row r="443" spans="2:5" ht="15" customHeight="1">
      <c r="B443" s="96"/>
      <c r="C443" s="36" t="s">
        <v>29</v>
      </c>
      <c r="D443" s="35">
        <v>63</v>
      </c>
      <c r="E443" s="34">
        <v>1.0004764173416E-2</v>
      </c>
    </row>
    <row r="444" spans="2:5" ht="15" customHeight="1">
      <c r="B444" s="94" t="s">
        <v>60</v>
      </c>
      <c r="C444" s="63" t="s">
        <v>268</v>
      </c>
      <c r="D444" s="64">
        <v>1</v>
      </c>
      <c r="E444" s="65">
        <v>1.5880578052999999E-4</v>
      </c>
    </row>
    <row r="445" spans="2:5" ht="15" customHeight="1">
      <c r="B445" s="95"/>
      <c r="C445" s="63" t="s">
        <v>269</v>
      </c>
      <c r="D445" s="64">
        <v>1</v>
      </c>
      <c r="E445" s="65">
        <v>1.5880578052999999E-4</v>
      </c>
    </row>
    <row r="446" spans="2:5" ht="15" customHeight="1">
      <c r="B446" s="95"/>
      <c r="C446" s="63" t="s">
        <v>270</v>
      </c>
      <c r="D446" s="64">
        <v>1</v>
      </c>
      <c r="E446" s="65">
        <v>1.5880578052999999E-4</v>
      </c>
    </row>
    <row r="447" spans="2:5" ht="15" customHeight="1">
      <c r="B447" s="95"/>
      <c r="C447" s="63" t="s">
        <v>271</v>
      </c>
      <c r="D447" s="64">
        <v>5</v>
      </c>
      <c r="E447" s="65">
        <v>7.9402890265200003E-4</v>
      </c>
    </row>
    <row r="448" spans="2:5" ht="15" customHeight="1">
      <c r="B448" s="95"/>
      <c r="C448" s="63" t="s">
        <v>272</v>
      </c>
      <c r="D448" s="64">
        <v>14</v>
      </c>
      <c r="E448" s="65">
        <v>2.2232809274259999E-3</v>
      </c>
    </row>
    <row r="449" spans="2:5" ht="15" customHeight="1">
      <c r="B449" s="95"/>
      <c r="C449" s="63" t="s">
        <v>273</v>
      </c>
      <c r="D449" s="64">
        <v>1</v>
      </c>
      <c r="E449" s="65">
        <v>1.5880578052999999E-4</v>
      </c>
    </row>
    <row r="450" spans="2:5" ht="15" customHeight="1">
      <c r="B450" s="95"/>
      <c r="C450" s="63" t="s">
        <v>274</v>
      </c>
      <c r="D450" s="64">
        <v>3</v>
      </c>
      <c r="E450" s="65">
        <v>4.7641734159099998E-4</v>
      </c>
    </row>
    <row r="451" spans="2:5" ht="15" customHeight="1">
      <c r="B451" s="95"/>
      <c r="C451" s="63" t="s">
        <v>275</v>
      </c>
      <c r="D451" s="64">
        <v>3</v>
      </c>
      <c r="E451" s="65">
        <v>4.7641734159099998E-4</v>
      </c>
    </row>
    <row r="452" spans="2:5" ht="15" customHeight="1">
      <c r="B452" s="95"/>
      <c r="C452" s="63" t="s">
        <v>276</v>
      </c>
      <c r="D452" s="64">
        <v>23</v>
      </c>
      <c r="E452" s="65">
        <v>3.6525329521990002E-3</v>
      </c>
    </row>
    <row r="453" spans="2:5" ht="15" customHeight="1">
      <c r="B453" s="95"/>
      <c r="C453" s="63" t="s">
        <v>277</v>
      </c>
      <c r="D453" s="64">
        <v>2</v>
      </c>
      <c r="E453" s="65">
        <v>3.1761156106099999E-4</v>
      </c>
    </row>
    <row r="454" spans="2:5" ht="15" customHeight="1">
      <c r="B454" s="95"/>
      <c r="C454" s="63" t="s">
        <v>278</v>
      </c>
      <c r="D454" s="64">
        <v>7</v>
      </c>
      <c r="E454" s="65">
        <v>1.111640463713E-3</v>
      </c>
    </row>
    <row r="455" spans="2:5" ht="15" customHeight="1">
      <c r="B455" s="95"/>
      <c r="C455" s="63" t="s">
        <v>279</v>
      </c>
      <c r="D455" s="64">
        <v>34</v>
      </c>
      <c r="E455" s="65">
        <v>5.399396538034E-3</v>
      </c>
    </row>
    <row r="456" spans="2:5" ht="15" customHeight="1">
      <c r="B456" s="95"/>
      <c r="C456" s="63" t="s">
        <v>280</v>
      </c>
      <c r="D456" s="64">
        <v>1</v>
      </c>
      <c r="E456" s="65">
        <v>1.5880578052999999E-4</v>
      </c>
    </row>
    <row r="457" spans="2:5" ht="15" customHeight="1">
      <c r="B457" s="95"/>
      <c r="C457" s="63" t="s">
        <v>281</v>
      </c>
      <c r="D457" s="64">
        <v>2</v>
      </c>
      <c r="E457" s="65">
        <v>3.1761156106099999E-4</v>
      </c>
    </row>
    <row r="458" spans="2:5" ht="15" customHeight="1">
      <c r="B458" s="95"/>
      <c r="C458" s="63" t="s">
        <v>282</v>
      </c>
      <c r="D458" s="64">
        <v>1</v>
      </c>
      <c r="E458" s="65">
        <v>1.5880578052999999E-4</v>
      </c>
    </row>
    <row r="459" spans="2:5" ht="15" customHeight="1">
      <c r="B459" s="95"/>
      <c r="C459" s="63" t="s">
        <v>284</v>
      </c>
      <c r="D459" s="64">
        <v>4</v>
      </c>
      <c r="E459" s="65">
        <v>6.3522312212199999E-4</v>
      </c>
    </row>
    <row r="460" spans="2:5" ht="15" customHeight="1">
      <c r="B460" s="95"/>
      <c r="C460" s="63" t="s">
        <v>285</v>
      </c>
      <c r="D460" s="64">
        <v>5</v>
      </c>
      <c r="E460" s="65">
        <v>7.9402890265200003E-4</v>
      </c>
    </row>
    <row r="461" spans="2:5" ht="15" customHeight="1">
      <c r="B461" s="96"/>
      <c r="C461" s="36" t="s">
        <v>29</v>
      </c>
      <c r="D461" s="35">
        <v>108</v>
      </c>
      <c r="E461" s="34">
        <v>1.7151024297284E-2</v>
      </c>
    </row>
    <row r="462" spans="2:5" ht="15" customHeight="1">
      <c r="B462" s="94" t="s">
        <v>75</v>
      </c>
      <c r="C462" s="63" t="s">
        <v>266</v>
      </c>
      <c r="D462" s="64">
        <v>1</v>
      </c>
      <c r="E462" s="65">
        <v>1.5880578052999999E-4</v>
      </c>
    </row>
    <row r="463" spans="2:5" ht="15" customHeight="1">
      <c r="B463" s="95"/>
      <c r="C463" s="63" t="s">
        <v>272</v>
      </c>
      <c r="D463" s="64">
        <v>2</v>
      </c>
      <c r="E463" s="65">
        <v>3.1761156106099999E-4</v>
      </c>
    </row>
    <row r="464" spans="2:5" ht="15" customHeight="1">
      <c r="B464" s="95"/>
      <c r="C464" s="63" t="s">
        <v>274</v>
      </c>
      <c r="D464" s="64">
        <v>1</v>
      </c>
      <c r="E464" s="65">
        <v>1.5880578052999999E-4</v>
      </c>
    </row>
    <row r="465" spans="2:5" ht="15" customHeight="1">
      <c r="B465" s="95"/>
      <c r="C465" s="63" t="s">
        <v>275</v>
      </c>
      <c r="D465" s="64">
        <v>1</v>
      </c>
      <c r="E465" s="65">
        <v>1.5880578052999999E-4</v>
      </c>
    </row>
    <row r="466" spans="2:5" ht="15" customHeight="1">
      <c r="B466" s="95"/>
      <c r="C466" s="63" t="s">
        <v>276</v>
      </c>
      <c r="D466" s="64">
        <v>9</v>
      </c>
      <c r="E466" s="65">
        <v>1.4292520247739999E-3</v>
      </c>
    </row>
    <row r="467" spans="2:5" ht="15" customHeight="1">
      <c r="B467" s="95"/>
      <c r="C467" s="63" t="s">
        <v>278</v>
      </c>
      <c r="D467" s="64">
        <v>3</v>
      </c>
      <c r="E467" s="65">
        <v>4.7641734159099998E-4</v>
      </c>
    </row>
    <row r="468" spans="2:5" ht="15" customHeight="1">
      <c r="B468" s="95"/>
      <c r="C468" s="63" t="s">
        <v>279</v>
      </c>
      <c r="D468" s="64">
        <v>7</v>
      </c>
      <c r="E468" s="65">
        <v>1.111640463713E-3</v>
      </c>
    </row>
    <row r="469" spans="2:5" ht="15" customHeight="1">
      <c r="B469" s="95"/>
      <c r="C469" s="63" t="s">
        <v>281</v>
      </c>
      <c r="D469" s="64">
        <v>1</v>
      </c>
      <c r="E469" s="65">
        <v>1.5880578052999999E-4</v>
      </c>
    </row>
    <row r="470" spans="2:5" ht="15" customHeight="1">
      <c r="B470" s="95"/>
      <c r="C470" s="63" t="s">
        <v>282</v>
      </c>
      <c r="D470" s="64">
        <v>1</v>
      </c>
      <c r="E470" s="65">
        <v>1.5880578052999999E-4</v>
      </c>
    </row>
    <row r="471" spans="2:5" ht="15" customHeight="1">
      <c r="B471" s="95"/>
      <c r="C471" s="63" t="s">
        <v>283</v>
      </c>
      <c r="D471" s="64">
        <v>1</v>
      </c>
      <c r="E471" s="65">
        <v>1.5880578052999999E-4</v>
      </c>
    </row>
    <row r="472" spans="2:5" ht="15" customHeight="1">
      <c r="B472" s="95"/>
      <c r="C472" s="63" t="s">
        <v>284</v>
      </c>
      <c r="D472" s="64">
        <v>3</v>
      </c>
      <c r="E472" s="65">
        <v>4.7641734159099998E-4</v>
      </c>
    </row>
    <row r="473" spans="2:5" ht="15" customHeight="1">
      <c r="B473" s="95"/>
      <c r="C473" s="63" t="s">
        <v>285</v>
      </c>
      <c r="D473" s="64">
        <v>4</v>
      </c>
      <c r="E473" s="65">
        <v>6.3522312212199999E-4</v>
      </c>
    </row>
    <row r="474" spans="2:5" ht="15" customHeight="1">
      <c r="B474" s="96"/>
      <c r="C474" s="36" t="s">
        <v>29</v>
      </c>
      <c r="D474" s="35">
        <v>34</v>
      </c>
      <c r="E474" s="34">
        <v>5.399396538034E-3</v>
      </c>
    </row>
    <row r="475" spans="2:5" ht="15" customHeight="1">
      <c r="B475" s="94" t="s">
        <v>66</v>
      </c>
      <c r="C475" s="63" t="s">
        <v>271</v>
      </c>
      <c r="D475" s="64">
        <v>2</v>
      </c>
      <c r="E475" s="65">
        <v>3.1761156106099999E-4</v>
      </c>
    </row>
    <row r="476" spans="2:5" ht="15" customHeight="1">
      <c r="B476" s="95"/>
      <c r="C476" s="63" t="s">
        <v>272</v>
      </c>
      <c r="D476" s="64">
        <v>5</v>
      </c>
      <c r="E476" s="65">
        <v>7.9402890265200003E-4</v>
      </c>
    </row>
    <row r="477" spans="2:5" ht="15" customHeight="1">
      <c r="B477" s="95"/>
      <c r="C477" s="63" t="s">
        <v>274</v>
      </c>
      <c r="D477" s="64">
        <v>1</v>
      </c>
      <c r="E477" s="65">
        <v>1.5880578052999999E-4</v>
      </c>
    </row>
    <row r="478" spans="2:5" ht="15" customHeight="1">
      <c r="B478" s="95"/>
      <c r="C478" s="63" t="s">
        <v>275</v>
      </c>
      <c r="D478" s="64">
        <v>4</v>
      </c>
      <c r="E478" s="65">
        <v>6.3522312212199999E-4</v>
      </c>
    </row>
    <row r="479" spans="2:5" ht="15" customHeight="1">
      <c r="B479" s="95"/>
      <c r="C479" s="63" t="s">
        <v>276</v>
      </c>
      <c r="D479" s="64">
        <v>18</v>
      </c>
      <c r="E479" s="65">
        <v>2.8585040495470002E-3</v>
      </c>
    </row>
    <row r="480" spans="2:5" ht="15" customHeight="1">
      <c r="B480" s="95"/>
      <c r="C480" s="63" t="s">
        <v>278</v>
      </c>
      <c r="D480" s="64">
        <v>5</v>
      </c>
      <c r="E480" s="65">
        <v>7.9402890265200003E-4</v>
      </c>
    </row>
    <row r="481" spans="2:5" ht="15" customHeight="1">
      <c r="B481" s="95"/>
      <c r="C481" s="63" t="s">
        <v>279</v>
      </c>
      <c r="D481" s="64">
        <v>25</v>
      </c>
      <c r="E481" s="65">
        <v>3.9701445132599997E-3</v>
      </c>
    </row>
    <row r="482" spans="2:5" ht="15" customHeight="1">
      <c r="B482" s="95"/>
      <c r="C482" s="63" t="s">
        <v>281</v>
      </c>
      <c r="D482" s="64">
        <v>1</v>
      </c>
      <c r="E482" s="65">
        <v>1.5880578052999999E-4</v>
      </c>
    </row>
    <row r="483" spans="2:5" ht="15" customHeight="1">
      <c r="B483" s="95"/>
      <c r="C483" s="63" t="s">
        <v>282</v>
      </c>
      <c r="D483" s="64">
        <v>1</v>
      </c>
      <c r="E483" s="65">
        <v>1.5880578052999999E-4</v>
      </c>
    </row>
    <row r="484" spans="2:5" ht="15" customHeight="1">
      <c r="B484" s="95"/>
      <c r="C484" s="63" t="s">
        <v>283</v>
      </c>
      <c r="D484" s="64">
        <v>1</v>
      </c>
      <c r="E484" s="65">
        <v>1.5880578052999999E-4</v>
      </c>
    </row>
    <row r="485" spans="2:5" ht="15" customHeight="1">
      <c r="B485" s="95"/>
      <c r="C485" s="63" t="s">
        <v>284</v>
      </c>
      <c r="D485" s="64">
        <v>3</v>
      </c>
      <c r="E485" s="65">
        <v>4.7641734159099998E-4</v>
      </c>
    </row>
    <row r="486" spans="2:5" ht="15" customHeight="1">
      <c r="B486" s="95"/>
      <c r="C486" s="63" t="s">
        <v>285</v>
      </c>
      <c r="D486" s="64">
        <v>15</v>
      </c>
      <c r="E486" s="65">
        <v>2.3820867079560001E-3</v>
      </c>
    </row>
    <row r="487" spans="2:5" ht="15" customHeight="1">
      <c r="B487" s="95"/>
      <c r="C487" s="63" t="s">
        <v>287</v>
      </c>
      <c r="D487" s="64">
        <v>1</v>
      </c>
      <c r="E487" s="65">
        <v>1.5880578052999999E-4</v>
      </c>
    </row>
    <row r="488" spans="2:5" ht="15" customHeight="1">
      <c r="B488" s="96"/>
      <c r="C488" s="36" t="s">
        <v>29</v>
      </c>
      <c r="D488" s="35">
        <v>82</v>
      </c>
      <c r="E488" s="34">
        <v>1.3022074003494E-2</v>
      </c>
    </row>
    <row r="489" spans="2:5" ht="15" customHeight="1">
      <c r="B489" s="94" t="s">
        <v>86</v>
      </c>
      <c r="C489" s="63" t="s">
        <v>272</v>
      </c>
      <c r="D489" s="64">
        <v>1</v>
      </c>
      <c r="E489" s="65">
        <v>1.5880578052999999E-4</v>
      </c>
    </row>
    <row r="490" spans="2:5" ht="15" customHeight="1">
      <c r="B490" s="95"/>
      <c r="C490" s="63" t="s">
        <v>275</v>
      </c>
      <c r="D490" s="64">
        <v>1</v>
      </c>
      <c r="E490" s="65">
        <v>1.5880578052999999E-4</v>
      </c>
    </row>
    <row r="491" spans="2:5" ht="15" customHeight="1">
      <c r="B491" s="95"/>
      <c r="C491" s="63" t="s">
        <v>276</v>
      </c>
      <c r="D491" s="64">
        <v>1</v>
      </c>
      <c r="E491" s="65">
        <v>1.5880578052999999E-4</v>
      </c>
    </row>
    <row r="492" spans="2:5" ht="15" customHeight="1">
      <c r="B492" s="95"/>
      <c r="C492" s="63" t="s">
        <v>277</v>
      </c>
      <c r="D492" s="64">
        <v>1</v>
      </c>
      <c r="E492" s="65">
        <v>1.5880578052999999E-4</v>
      </c>
    </row>
    <row r="493" spans="2:5" ht="15" customHeight="1">
      <c r="B493" s="95"/>
      <c r="C493" s="63" t="s">
        <v>278</v>
      </c>
      <c r="D493" s="64">
        <v>1</v>
      </c>
      <c r="E493" s="65">
        <v>1.5880578052999999E-4</v>
      </c>
    </row>
    <row r="494" spans="2:5" ht="15" customHeight="1">
      <c r="B494" s="95"/>
      <c r="C494" s="63" t="s">
        <v>279</v>
      </c>
      <c r="D494" s="64">
        <v>9</v>
      </c>
      <c r="E494" s="65">
        <v>1.4292520247739999E-3</v>
      </c>
    </row>
    <row r="495" spans="2:5" ht="15" customHeight="1">
      <c r="B495" s="95"/>
      <c r="C495" s="63" t="s">
        <v>284</v>
      </c>
      <c r="D495" s="64">
        <v>1</v>
      </c>
      <c r="E495" s="65">
        <v>1.5880578052999999E-4</v>
      </c>
    </row>
    <row r="496" spans="2:5" ht="15" customHeight="1">
      <c r="B496" s="95"/>
      <c r="C496" s="63" t="s">
        <v>285</v>
      </c>
      <c r="D496" s="64">
        <v>4</v>
      </c>
      <c r="E496" s="65">
        <v>6.3522312212199999E-4</v>
      </c>
    </row>
    <row r="497" spans="2:5" ht="15" customHeight="1">
      <c r="B497" s="96"/>
      <c r="C497" s="36" t="s">
        <v>29</v>
      </c>
      <c r="D497" s="35">
        <v>19</v>
      </c>
      <c r="E497" s="34">
        <v>3.017309830078E-3</v>
      </c>
    </row>
    <row r="498" spans="2:5" ht="15" customHeight="1">
      <c r="B498" s="94" t="s">
        <v>54</v>
      </c>
      <c r="C498" s="63" t="s">
        <v>268</v>
      </c>
      <c r="D498" s="64">
        <v>2</v>
      </c>
      <c r="E498" s="65">
        <v>3.1761156106099999E-4</v>
      </c>
    </row>
    <row r="499" spans="2:5" ht="15" customHeight="1">
      <c r="B499" s="95"/>
      <c r="C499" s="63" t="s">
        <v>269</v>
      </c>
      <c r="D499" s="64">
        <v>4</v>
      </c>
      <c r="E499" s="65">
        <v>6.3522312212199999E-4</v>
      </c>
    </row>
    <row r="500" spans="2:5" ht="15" customHeight="1">
      <c r="B500" s="95"/>
      <c r="C500" s="63" t="s">
        <v>270</v>
      </c>
      <c r="D500" s="64">
        <v>3</v>
      </c>
      <c r="E500" s="65">
        <v>4.7641734159099998E-4</v>
      </c>
    </row>
    <row r="501" spans="2:5" ht="15" customHeight="1">
      <c r="B501" s="95"/>
      <c r="C501" s="63" t="s">
        <v>271</v>
      </c>
      <c r="D501" s="64">
        <v>12</v>
      </c>
      <c r="E501" s="65">
        <v>1.905669366365E-3</v>
      </c>
    </row>
    <row r="502" spans="2:5" ht="15" customHeight="1">
      <c r="B502" s="95"/>
      <c r="C502" s="63" t="s">
        <v>272</v>
      </c>
      <c r="D502" s="64">
        <v>14</v>
      </c>
      <c r="E502" s="65">
        <v>2.2232809274259999E-3</v>
      </c>
    </row>
    <row r="503" spans="2:5" ht="15" customHeight="1">
      <c r="B503" s="95"/>
      <c r="C503" s="63" t="s">
        <v>273</v>
      </c>
      <c r="D503" s="64">
        <v>1</v>
      </c>
      <c r="E503" s="65">
        <v>1.5880578052999999E-4</v>
      </c>
    </row>
    <row r="504" spans="2:5" ht="15" customHeight="1">
      <c r="B504" s="95"/>
      <c r="C504" s="63" t="s">
        <v>274</v>
      </c>
      <c r="D504" s="64">
        <v>4</v>
      </c>
      <c r="E504" s="65">
        <v>6.3522312212199999E-4</v>
      </c>
    </row>
    <row r="505" spans="2:5" ht="15" customHeight="1">
      <c r="B505" s="95"/>
      <c r="C505" s="63" t="s">
        <v>275</v>
      </c>
      <c r="D505" s="64">
        <v>15</v>
      </c>
      <c r="E505" s="65">
        <v>2.3820867079560001E-3</v>
      </c>
    </row>
    <row r="506" spans="2:5" ht="15" customHeight="1">
      <c r="B506" s="95"/>
      <c r="C506" s="63" t="s">
        <v>276</v>
      </c>
      <c r="D506" s="64">
        <v>54</v>
      </c>
      <c r="E506" s="65">
        <v>8.5755121486420002E-3</v>
      </c>
    </row>
    <row r="507" spans="2:5" ht="15" customHeight="1">
      <c r="B507" s="95"/>
      <c r="C507" s="63" t="s">
        <v>277</v>
      </c>
      <c r="D507" s="64">
        <v>5</v>
      </c>
      <c r="E507" s="65">
        <v>7.9402890265200003E-4</v>
      </c>
    </row>
    <row r="508" spans="2:5" ht="15" customHeight="1">
      <c r="B508" s="95"/>
      <c r="C508" s="63" t="s">
        <v>278</v>
      </c>
      <c r="D508" s="64">
        <v>24</v>
      </c>
      <c r="E508" s="65">
        <v>3.81133873273E-3</v>
      </c>
    </row>
    <row r="509" spans="2:5" ht="15" customHeight="1">
      <c r="B509" s="95"/>
      <c r="C509" s="63" t="s">
        <v>279</v>
      </c>
      <c r="D509" s="64">
        <v>76</v>
      </c>
      <c r="E509" s="65">
        <v>1.2069239320311001E-2</v>
      </c>
    </row>
    <row r="510" spans="2:5" ht="15" customHeight="1">
      <c r="B510" s="95"/>
      <c r="C510" s="63" t="s">
        <v>280</v>
      </c>
      <c r="D510" s="64">
        <v>1</v>
      </c>
      <c r="E510" s="65">
        <v>1.5880578052999999E-4</v>
      </c>
    </row>
    <row r="511" spans="2:5" ht="15" customHeight="1">
      <c r="B511" s="95"/>
      <c r="C511" s="63" t="s">
        <v>281</v>
      </c>
      <c r="D511" s="64">
        <v>1</v>
      </c>
      <c r="E511" s="65">
        <v>1.5880578052999999E-4</v>
      </c>
    </row>
    <row r="512" spans="2:5" ht="15" customHeight="1">
      <c r="B512" s="95"/>
      <c r="C512" s="63" t="s">
        <v>282</v>
      </c>
      <c r="D512" s="64">
        <v>2</v>
      </c>
      <c r="E512" s="65">
        <v>3.1761156106099999E-4</v>
      </c>
    </row>
    <row r="513" spans="2:5" ht="15" customHeight="1">
      <c r="B513" s="95"/>
      <c r="C513" s="63" t="s">
        <v>283</v>
      </c>
      <c r="D513" s="64">
        <v>1</v>
      </c>
      <c r="E513" s="65">
        <v>1.5880578052999999E-4</v>
      </c>
    </row>
    <row r="514" spans="2:5" ht="15" customHeight="1">
      <c r="B514" s="95"/>
      <c r="C514" s="63" t="s">
        <v>284</v>
      </c>
      <c r="D514" s="64">
        <v>4</v>
      </c>
      <c r="E514" s="65">
        <v>6.3522312212199999E-4</v>
      </c>
    </row>
    <row r="515" spans="2:5" ht="15" customHeight="1">
      <c r="B515" s="95"/>
      <c r="C515" s="63" t="s">
        <v>285</v>
      </c>
      <c r="D515" s="64">
        <v>16</v>
      </c>
      <c r="E515" s="65">
        <v>2.5408924884869999E-3</v>
      </c>
    </row>
    <row r="516" spans="2:5" ht="15" customHeight="1">
      <c r="B516" s="95"/>
      <c r="C516" s="63" t="s">
        <v>287</v>
      </c>
      <c r="D516" s="64">
        <v>1</v>
      </c>
      <c r="E516" s="65">
        <v>1.5880578052999999E-4</v>
      </c>
    </row>
    <row r="517" spans="2:5" ht="15" customHeight="1">
      <c r="B517" s="96"/>
      <c r="C517" s="36" t="s">
        <v>29</v>
      </c>
      <c r="D517" s="35">
        <v>240</v>
      </c>
      <c r="E517" s="34">
        <v>3.8113387327298999E-2</v>
      </c>
    </row>
    <row r="518" spans="2:5" ht="15" customHeight="1">
      <c r="B518" s="94" t="s">
        <v>62</v>
      </c>
      <c r="C518" s="63" t="s">
        <v>267</v>
      </c>
      <c r="D518" s="64">
        <v>1</v>
      </c>
      <c r="E518" s="65">
        <v>1.5880578052999999E-4</v>
      </c>
    </row>
    <row r="519" spans="2:5" ht="15" customHeight="1">
      <c r="B519" s="95"/>
      <c r="C519" s="63" t="s">
        <v>270</v>
      </c>
      <c r="D519" s="64">
        <v>1</v>
      </c>
      <c r="E519" s="65">
        <v>1.5880578052999999E-4</v>
      </c>
    </row>
    <row r="520" spans="2:5" ht="15" customHeight="1">
      <c r="B520" s="95"/>
      <c r="C520" s="63" t="s">
        <v>271</v>
      </c>
      <c r="D520" s="64">
        <v>2</v>
      </c>
      <c r="E520" s="65">
        <v>3.1761156106099999E-4</v>
      </c>
    </row>
    <row r="521" spans="2:5" ht="15" customHeight="1">
      <c r="B521" s="95"/>
      <c r="C521" s="63" t="s">
        <v>272</v>
      </c>
      <c r="D521" s="64">
        <v>7</v>
      </c>
      <c r="E521" s="65">
        <v>1.111640463713E-3</v>
      </c>
    </row>
    <row r="522" spans="2:5" ht="15" customHeight="1">
      <c r="B522" s="95"/>
      <c r="C522" s="63" t="s">
        <v>274</v>
      </c>
      <c r="D522" s="64">
        <v>2</v>
      </c>
      <c r="E522" s="65">
        <v>3.1761156106099999E-4</v>
      </c>
    </row>
    <row r="523" spans="2:5" ht="15" customHeight="1">
      <c r="B523" s="95"/>
      <c r="C523" s="63" t="s">
        <v>275</v>
      </c>
      <c r="D523" s="64">
        <v>3</v>
      </c>
      <c r="E523" s="65">
        <v>4.7641734159099998E-4</v>
      </c>
    </row>
    <row r="524" spans="2:5" ht="15" customHeight="1">
      <c r="B524" s="95"/>
      <c r="C524" s="63" t="s">
        <v>276</v>
      </c>
      <c r="D524" s="64">
        <v>28</v>
      </c>
      <c r="E524" s="65">
        <v>4.4465618548519999E-3</v>
      </c>
    </row>
    <row r="525" spans="2:5" ht="15" customHeight="1">
      <c r="B525" s="95"/>
      <c r="C525" s="63" t="s">
        <v>277</v>
      </c>
      <c r="D525" s="64">
        <v>7</v>
      </c>
      <c r="E525" s="65">
        <v>1.111640463713E-3</v>
      </c>
    </row>
    <row r="526" spans="2:5" ht="15" customHeight="1">
      <c r="B526" s="95"/>
      <c r="C526" s="63" t="s">
        <v>278</v>
      </c>
      <c r="D526" s="64">
        <v>3</v>
      </c>
      <c r="E526" s="65">
        <v>4.7641734159099998E-4</v>
      </c>
    </row>
    <row r="527" spans="2:5" ht="15" customHeight="1">
      <c r="B527" s="95"/>
      <c r="C527" s="63" t="s">
        <v>279</v>
      </c>
      <c r="D527" s="64">
        <v>29</v>
      </c>
      <c r="E527" s="65">
        <v>4.6053676353819996E-3</v>
      </c>
    </row>
    <row r="528" spans="2:5" ht="15" customHeight="1">
      <c r="B528" s="95"/>
      <c r="C528" s="63" t="s">
        <v>280</v>
      </c>
      <c r="D528" s="64">
        <v>1</v>
      </c>
      <c r="E528" s="65">
        <v>1.5880578052999999E-4</v>
      </c>
    </row>
    <row r="529" spans="2:5" ht="15" customHeight="1">
      <c r="B529" s="95"/>
      <c r="C529" s="63" t="s">
        <v>282</v>
      </c>
      <c r="D529" s="64">
        <v>1</v>
      </c>
      <c r="E529" s="65">
        <v>1.5880578052999999E-4</v>
      </c>
    </row>
    <row r="530" spans="2:5" ht="15" customHeight="1">
      <c r="B530" s="95"/>
      <c r="C530" s="63" t="s">
        <v>283</v>
      </c>
      <c r="D530" s="64">
        <v>1</v>
      </c>
      <c r="E530" s="65">
        <v>1.5880578052999999E-4</v>
      </c>
    </row>
    <row r="531" spans="2:5" ht="15" customHeight="1">
      <c r="B531" s="95"/>
      <c r="C531" s="63" t="s">
        <v>285</v>
      </c>
      <c r="D531" s="64">
        <v>16</v>
      </c>
      <c r="E531" s="65">
        <v>2.5408924884869999E-3</v>
      </c>
    </row>
    <row r="532" spans="2:5" ht="15" customHeight="1">
      <c r="B532" s="96"/>
      <c r="C532" s="36" t="s">
        <v>29</v>
      </c>
      <c r="D532" s="35">
        <v>102</v>
      </c>
      <c r="E532" s="34">
        <v>1.6198189614102E-2</v>
      </c>
    </row>
    <row r="533" spans="2:5" ht="15" customHeight="1">
      <c r="B533" s="94" t="s">
        <v>72</v>
      </c>
      <c r="C533" s="63" t="s">
        <v>268</v>
      </c>
      <c r="D533" s="64">
        <v>1</v>
      </c>
      <c r="E533" s="65">
        <v>1.5880578052999999E-4</v>
      </c>
    </row>
    <row r="534" spans="2:5" ht="15" customHeight="1">
      <c r="B534" s="95"/>
      <c r="C534" s="63" t="s">
        <v>270</v>
      </c>
      <c r="D534" s="64">
        <v>2</v>
      </c>
      <c r="E534" s="65">
        <v>3.1761156106099999E-4</v>
      </c>
    </row>
    <row r="535" spans="2:5" ht="15" customHeight="1">
      <c r="B535" s="95"/>
      <c r="C535" s="63" t="s">
        <v>271</v>
      </c>
      <c r="D535" s="64">
        <v>3</v>
      </c>
      <c r="E535" s="65">
        <v>4.7641734159099998E-4</v>
      </c>
    </row>
    <row r="536" spans="2:5" ht="15" customHeight="1">
      <c r="B536" s="95"/>
      <c r="C536" s="63" t="s">
        <v>272</v>
      </c>
      <c r="D536" s="64">
        <v>7</v>
      </c>
      <c r="E536" s="65">
        <v>1.111640463713E-3</v>
      </c>
    </row>
    <row r="537" spans="2:5" ht="15" customHeight="1">
      <c r="B537" s="95"/>
      <c r="C537" s="63" t="s">
        <v>274</v>
      </c>
      <c r="D537" s="64">
        <v>1</v>
      </c>
      <c r="E537" s="65">
        <v>1.5880578052999999E-4</v>
      </c>
    </row>
    <row r="538" spans="2:5" ht="15" customHeight="1">
      <c r="B538" s="95"/>
      <c r="C538" s="63" t="s">
        <v>275</v>
      </c>
      <c r="D538" s="64">
        <v>3</v>
      </c>
      <c r="E538" s="65">
        <v>4.7641734159099998E-4</v>
      </c>
    </row>
    <row r="539" spans="2:5" ht="15" customHeight="1">
      <c r="B539" s="95"/>
      <c r="C539" s="63" t="s">
        <v>276</v>
      </c>
      <c r="D539" s="64">
        <v>13</v>
      </c>
      <c r="E539" s="65">
        <v>2.0644751468950001E-3</v>
      </c>
    </row>
    <row r="540" spans="2:5" ht="15" customHeight="1">
      <c r="B540" s="95"/>
      <c r="C540" s="63" t="s">
        <v>277</v>
      </c>
      <c r="D540" s="64">
        <v>3</v>
      </c>
      <c r="E540" s="65">
        <v>4.7641734159099998E-4</v>
      </c>
    </row>
    <row r="541" spans="2:5" ht="15" customHeight="1">
      <c r="B541" s="95"/>
      <c r="C541" s="63" t="s">
        <v>278</v>
      </c>
      <c r="D541" s="64">
        <v>1</v>
      </c>
      <c r="E541" s="65">
        <v>1.5880578052999999E-4</v>
      </c>
    </row>
    <row r="542" spans="2:5" ht="15" customHeight="1">
      <c r="B542" s="95"/>
      <c r="C542" s="63" t="s">
        <v>279</v>
      </c>
      <c r="D542" s="64">
        <v>9</v>
      </c>
      <c r="E542" s="65">
        <v>1.4292520247739999E-3</v>
      </c>
    </row>
    <row r="543" spans="2:5" ht="15" customHeight="1">
      <c r="B543" s="95"/>
      <c r="C543" s="63" t="s">
        <v>282</v>
      </c>
      <c r="D543" s="64">
        <v>1</v>
      </c>
      <c r="E543" s="65">
        <v>1.5880578052999999E-4</v>
      </c>
    </row>
    <row r="544" spans="2:5" ht="15" customHeight="1">
      <c r="B544" s="95"/>
      <c r="C544" s="63" t="s">
        <v>284</v>
      </c>
      <c r="D544" s="64">
        <v>2</v>
      </c>
      <c r="E544" s="65">
        <v>3.1761156106099999E-4</v>
      </c>
    </row>
    <row r="545" spans="2:5" ht="15" customHeight="1">
      <c r="B545" s="95"/>
      <c r="C545" s="63" t="s">
        <v>285</v>
      </c>
      <c r="D545" s="64">
        <v>5</v>
      </c>
      <c r="E545" s="65">
        <v>7.9402890265200003E-4</v>
      </c>
    </row>
    <row r="546" spans="2:5" ht="15" customHeight="1">
      <c r="B546" s="96"/>
      <c r="C546" s="36" t="s">
        <v>29</v>
      </c>
      <c r="D546" s="35">
        <v>51</v>
      </c>
      <c r="E546" s="34">
        <v>8.0990948070510001E-3</v>
      </c>
    </row>
    <row r="547" spans="2:5" ht="15" customHeight="1">
      <c r="B547" s="94" t="s">
        <v>63</v>
      </c>
      <c r="C547" s="63" t="s">
        <v>265</v>
      </c>
      <c r="D547" s="64">
        <v>1</v>
      </c>
      <c r="E547" s="65">
        <v>1.5880578052999999E-4</v>
      </c>
    </row>
    <row r="548" spans="2:5" ht="15" customHeight="1">
      <c r="B548" s="95"/>
      <c r="C548" s="63" t="s">
        <v>267</v>
      </c>
      <c r="D548" s="64">
        <v>1</v>
      </c>
      <c r="E548" s="65">
        <v>1.5880578052999999E-4</v>
      </c>
    </row>
    <row r="549" spans="2:5" ht="15" customHeight="1">
      <c r="B549" s="95"/>
      <c r="C549" s="63" t="s">
        <v>268</v>
      </c>
      <c r="D549" s="64">
        <v>3</v>
      </c>
      <c r="E549" s="65">
        <v>4.7641734159099998E-4</v>
      </c>
    </row>
    <row r="550" spans="2:5" ht="15" customHeight="1">
      <c r="B550" s="95"/>
      <c r="C550" s="63" t="s">
        <v>269</v>
      </c>
      <c r="D550" s="64">
        <v>1</v>
      </c>
      <c r="E550" s="65">
        <v>1.5880578052999999E-4</v>
      </c>
    </row>
    <row r="551" spans="2:5" ht="15" customHeight="1">
      <c r="B551" s="95"/>
      <c r="C551" s="63" t="s">
        <v>270</v>
      </c>
      <c r="D551" s="64">
        <v>1</v>
      </c>
      <c r="E551" s="65">
        <v>1.5880578052999999E-4</v>
      </c>
    </row>
    <row r="552" spans="2:5" ht="15" customHeight="1">
      <c r="B552" s="95"/>
      <c r="C552" s="63" t="s">
        <v>271</v>
      </c>
      <c r="D552" s="64">
        <v>5</v>
      </c>
      <c r="E552" s="65">
        <v>7.9402890265200003E-4</v>
      </c>
    </row>
    <row r="553" spans="2:5" ht="15" customHeight="1">
      <c r="B553" s="95"/>
      <c r="C553" s="63" t="s">
        <v>272</v>
      </c>
      <c r="D553" s="64">
        <v>6</v>
      </c>
      <c r="E553" s="65">
        <v>9.5283468318199996E-4</v>
      </c>
    </row>
    <row r="554" spans="2:5" ht="15" customHeight="1">
      <c r="B554" s="95"/>
      <c r="C554" s="63" t="s">
        <v>273</v>
      </c>
      <c r="D554" s="64">
        <v>2</v>
      </c>
      <c r="E554" s="65">
        <v>3.1761156106099999E-4</v>
      </c>
    </row>
    <row r="555" spans="2:5" ht="15" customHeight="1">
      <c r="B555" s="95"/>
      <c r="C555" s="63" t="s">
        <v>274</v>
      </c>
      <c r="D555" s="64">
        <v>5</v>
      </c>
      <c r="E555" s="65">
        <v>7.9402890265200003E-4</v>
      </c>
    </row>
    <row r="556" spans="2:5" ht="15" customHeight="1">
      <c r="B556" s="95"/>
      <c r="C556" s="63" t="s">
        <v>275</v>
      </c>
      <c r="D556" s="64">
        <v>3</v>
      </c>
      <c r="E556" s="65">
        <v>4.7641734159099998E-4</v>
      </c>
    </row>
    <row r="557" spans="2:5" ht="15" customHeight="1">
      <c r="B557" s="95"/>
      <c r="C557" s="63" t="s">
        <v>276</v>
      </c>
      <c r="D557" s="64">
        <v>23</v>
      </c>
      <c r="E557" s="65">
        <v>3.6525329521990002E-3</v>
      </c>
    </row>
    <row r="558" spans="2:5" ht="15" customHeight="1">
      <c r="B558" s="95"/>
      <c r="C558" s="63" t="s">
        <v>277</v>
      </c>
      <c r="D558" s="64">
        <v>3</v>
      </c>
      <c r="E558" s="65">
        <v>4.7641734159099998E-4</v>
      </c>
    </row>
    <row r="559" spans="2:5" ht="15" customHeight="1">
      <c r="B559" s="95"/>
      <c r="C559" s="63" t="s">
        <v>278</v>
      </c>
      <c r="D559" s="64">
        <v>8</v>
      </c>
      <c r="E559" s="65">
        <v>1.2704462442429999E-3</v>
      </c>
    </row>
    <row r="560" spans="2:5" ht="15" customHeight="1">
      <c r="B560" s="95"/>
      <c r="C560" s="63" t="s">
        <v>279</v>
      </c>
      <c r="D560" s="64">
        <v>29</v>
      </c>
      <c r="E560" s="65">
        <v>4.6053676353819996E-3</v>
      </c>
    </row>
    <row r="561" spans="2:5" ht="15" customHeight="1">
      <c r="B561" s="95"/>
      <c r="C561" s="63" t="s">
        <v>281</v>
      </c>
      <c r="D561" s="64">
        <v>1</v>
      </c>
      <c r="E561" s="65">
        <v>1.5880578052999999E-4</v>
      </c>
    </row>
    <row r="562" spans="2:5" ht="15" customHeight="1">
      <c r="B562" s="95"/>
      <c r="C562" s="63" t="s">
        <v>282</v>
      </c>
      <c r="D562" s="64">
        <v>1</v>
      </c>
      <c r="E562" s="65">
        <v>1.5880578052999999E-4</v>
      </c>
    </row>
    <row r="563" spans="2:5" ht="15" customHeight="1">
      <c r="B563" s="95"/>
      <c r="C563" s="63" t="s">
        <v>284</v>
      </c>
      <c r="D563" s="64">
        <v>1</v>
      </c>
      <c r="E563" s="65">
        <v>1.5880578052999999E-4</v>
      </c>
    </row>
    <row r="564" spans="2:5" ht="15" customHeight="1">
      <c r="B564" s="95"/>
      <c r="C564" s="63" t="s">
        <v>285</v>
      </c>
      <c r="D564" s="64">
        <v>6</v>
      </c>
      <c r="E564" s="65">
        <v>9.5283468318199996E-4</v>
      </c>
    </row>
    <row r="565" spans="2:5" ht="15" customHeight="1">
      <c r="B565" s="96"/>
      <c r="C565" s="36" t="s">
        <v>29</v>
      </c>
      <c r="D565" s="35">
        <v>100</v>
      </c>
      <c r="E565" s="34">
        <v>1.5880578053041002E-2</v>
      </c>
    </row>
    <row r="566" spans="2:5" ht="15" customHeight="1">
      <c r="B566" s="94" t="s">
        <v>64</v>
      </c>
      <c r="C566" s="63" t="s">
        <v>268</v>
      </c>
      <c r="D566" s="64">
        <v>1</v>
      </c>
      <c r="E566" s="65">
        <v>1.5880578052999999E-4</v>
      </c>
    </row>
    <row r="567" spans="2:5" ht="15" customHeight="1">
      <c r="B567" s="95"/>
      <c r="C567" s="63" t="s">
        <v>269</v>
      </c>
      <c r="D567" s="64">
        <v>1</v>
      </c>
      <c r="E567" s="65">
        <v>1.5880578052999999E-4</v>
      </c>
    </row>
    <row r="568" spans="2:5" ht="15" customHeight="1">
      <c r="B568" s="95"/>
      <c r="C568" s="63" t="s">
        <v>270</v>
      </c>
      <c r="D568" s="64">
        <v>1</v>
      </c>
      <c r="E568" s="65">
        <v>1.5880578052999999E-4</v>
      </c>
    </row>
    <row r="569" spans="2:5" ht="15" customHeight="1">
      <c r="B569" s="95"/>
      <c r="C569" s="63" t="s">
        <v>271</v>
      </c>
      <c r="D569" s="64">
        <v>3</v>
      </c>
      <c r="E569" s="65">
        <v>4.7641734159099998E-4</v>
      </c>
    </row>
    <row r="570" spans="2:5" ht="15" customHeight="1">
      <c r="B570" s="95"/>
      <c r="C570" s="63" t="s">
        <v>272</v>
      </c>
      <c r="D570" s="64">
        <v>6</v>
      </c>
      <c r="E570" s="65">
        <v>9.5283468318199996E-4</v>
      </c>
    </row>
    <row r="571" spans="2:5" ht="15" customHeight="1">
      <c r="B571" s="95"/>
      <c r="C571" s="63" t="s">
        <v>274</v>
      </c>
      <c r="D571" s="64">
        <v>6</v>
      </c>
      <c r="E571" s="65">
        <v>9.5283468318199996E-4</v>
      </c>
    </row>
    <row r="572" spans="2:5" ht="15" customHeight="1">
      <c r="B572" s="95"/>
      <c r="C572" s="63" t="s">
        <v>275</v>
      </c>
      <c r="D572" s="64">
        <v>1</v>
      </c>
      <c r="E572" s="65">
        <v>1.5880578052999999E-4</v>
      </c>
    </row>
    <row r="573" spans="2:5" ht="15" customHeight="1">
      <c r="B573" s="95"/>
      <c r="C573" s="63" t="s">
        <v>276</v>
      </c>
      <c r="D573" s="64">
        <v>21</v>
      </c>
      <c r="E573" s="65">
        <v>3.3349213911389999E-3</v>
      </c>
    </row>
    <row r="574" spans="2:5" ht="15" customHeight="1">
      <c r="B574" s="95"/>
      <c r="C574" s="63" t="s">
        <v>277</v>
      </c>
      <c r="D574" s="64">
        <v>4</v>
      </c>
      <c r="E574" s="65">
        <v>6.3522312212199999E-4</v>
      </c>
    </row>
    <row r="575" spans="2:5" ht="15" customHeight="1">
      <c r="B575" s="95"/>
      <c r="C575" s="63" t="s">
        <v>278</v>
      </c>
      <c r="D575" s="64">
        <v>8</v>
      </c>
      <c r="E575" s="65">
        <v>1.2704462442429999E-3</v>
      </c>
    </row>
    <row r="576" spans="2:5" ht="15" customHeight="1">
      <c r="B576" s="95"/>
      <c r="C576" s="63" t="s">
        <v>279</v>
      </c>
      <c r="D576" s="64">
        <v>25</v>
      </c>
      <c r="E576" s="65">
        <v>3.9701445132599997E-3</v>
      </c>
    </row>
    <row r="577" spans="2:5" ht="15" customHeight="1">
      <c r="B577" s="95"/>
      <c r="C577" s="63" t="s">
        <v>280</v>
      </c>
      <c r="D577" s="64">
        <v>2</v>
      </c>
      <c r="E577" s="65">
        <v>3.1761156106099999E-4</v>
      </c>
    </row>
    <row r="578" spans="2:5" ht="15" customHeight="1">
      <c r="B578" s="95"/>
      <c r="C578" s="63" t="s">
        <v>281</v>
      </c>
      <c r="D578" s="64">
        <v>4</v>
      </c>
      <c r="E578" s="65">
        <v>6.3522312212199999E-4</v>
      </c>
    </row>
    <row r="579" spans="2:5" ht="15" customHeight="1">
      <c r="B579" s="95"/>
      <c r="C579" s="63" t="s">
        <v>282</v>
      </c>
      <c r="D579" s="64">
        <v>2</v>
      </c>
      <c r="E579" s="65">
        <v>3.1761156106099999E-4</v>
      </c>
    </row>
    <row r="580" spans="2:5" ht="15" customHeight="1">
      <c r="B580" s="95"/>
      <c r="C580" s="63" t="s">
        <v>284</v>
      </c>
      <c r="D580" s="64">
        <v>4</v>
      </c>
      <c r="E580" s="65">
        <v>6.3522312212199999E-4</v>
      </c>
    </row>
    <row r="581" spans="2:5" ht="15" customHeight="1">
      <c r="B581" s="95"/>
      <c r="C581" s="63" t="s">
        <v>285</v>
      </c>
      <c r="D581" s="64">
        <v>6</v>
      </c>
      <c r="E581" s="65">
        <v>9.5283468318199996E-4</v>
      </c>
    </row>
    <row r="582" spans="2:5" ht="15" customHeight="1">
      <c r="B582" s="95"/>
      <c r="C582" s="63" t="s">
        <v>287</v>
      </c>
      <c r="D582" s="64">
        <v>1</v>
      </c>
      <c r="E582" s="65">
        <v>1.5880578052999999E-4</v>
      </c>
    </row>
    <row r="583" spans="2:5" ht="15" customHeight="1">
      <c r="B583" s="96"/>
      <c r="C583" s="36" t="s">
        <v>29</v>
      </c>
      <c r="D583" s="35">
        <v>96</v>
      </c>
      <c r="E583" s="34">
        <v>1.5245354930919001E-2</v>
      </c>
    </row>
    <row r="584" spans="2:5" ht="15" customHeight="1">
      <c r="B584" s="94" t="s">
        <v>80</v>
      </c>
      <c r="C584" s="63" t="s">
        <v>268</v>
      </c>
      <c r="D584" s="64">
        <v>1</v>
      </c>
      <c r="E584" s="65">
        <v>1.5880578052999999E-4</v>
      </c>
    </row>
    <row r="585" spans="2:5" ht="15" customHeight="1">
      <c r="B585" s="95"/>
      <c r="C585" s="63" t="s">
        <v>269</v>
      </c>
      <c r="D585" s="64">
        <v>1</v>
      </c>
      <c r="E585" s="65">
        <v>1.5880578052999999E-4</v>
      </c>
    </row>
    <row r="586" spans="2:5" ht="15" customHeight="1">
      <c r="B586" s="95"/>
      <c r="C586" s="63" t="s">
        <v>272</v>
      </c>
      <c r="D586" s="64">
        <v>2</v>
      </c>
      <c r="E586" s="65">
        <v>3.1761156106099999E-4</v>
      </c>
    </row>
    <row r="587" spans="2:5" ht="15" customHeight="1">
      <c r="B587" s="95"/>
      <c r="C587" s="63" t="s">
        <v>273</v>
      </c>
      <c r="D587" s="64">
        <v>1</v>
      </c>
      <c r="E587" s="65">
        <v>1.5880578052999999E-4</v>
      </c>
    </row>
    <row r="588" spans="2:5" ht="15" customHeight="1">
      <c r="B588" s="95"/>
      <c r="C588" s="63" t="s">
        <v>276</v>
      </c>
      <c r="D588" s="64">
        <v>9</v>
      </c>
      <c r="E588" s="65">
        <v>1.4292520247739999E-3</v>
      </c>
    </row>
    <row r="589" spans="2:5" ht="15" customHeight="1">
      <c r="B589" s="95"/>
      <c r="C589" s="63" t="s">
        <v>277</v>
      </c>
      <c r="D589" s="64">
        <v>1</v>
      </c>
      <c r="E589" s="65">
        <v>1.5880578052999999E-4</v>
      </c>
    </row>
    <row r="590" spans="2:5" ht="15" customHeight="1">
      <c r="B590" s="95"/>
      <c r="C590" s="63" t="s">
        <v>278</v>
      </c>
      <c r="D590" s="64">
        <v>5</v>
      </c>
      <c r="E590" s="65">
        <v>7.9402890265200003E-4</v>
      </c>
    </row>
    <row r="591" spans="2:5" ht="15" customHeight="1">
      <c r="B591" s="95"/>
      <c r="C591" s="63" t="s">
        <v>279</v>
      </c>
      <c r="D591" s="64">
        <v>4</v>
      </c>
      <c r="E591" s="65">
        <v>6.3522312212199999E-4</v>
      </c>
    </row>
    <row r="592" spans="2:5" ht="15" customHeight="1">
      <c r="B592" s="95"/>
      <c r="C592" s="63" t="s">
        <v>284</v>
      </c>
      <c r="D592" s="64">
        <v>1</v>
      </c>
      <c r="E592" s="65">
        <v>1.5880578052999999E-4</v>
      </c>
    </row>
    <row r="593" spans="2:5" ht="15" customHeight="1">
      <c r="B593" s="95"/>
      <c r="C593" s="63" t="s">
        <v>285</v>
      </c>
      <c r="D593" s="64">
        <v>2</v>
      </c>
      <c r="E593" s="65">
        <v>3.1761156106099999E-4</v>
      </c>
    </row>
    <row r="594" spans="2:5" ht="15" customHeight="1">
      <c r="B594" s="95"/>
      <c r="C594" s="63" t="s">
        <v>287</v>
      </c>
      <c r="D594" s="64">
        <v>1</v>
      </c>
      <c r="E594" s="65">
        <v>1.5880578052999999E-4</v>
      </c>
    </row>
    <row r="595" spans="2:5" ht="15" customHeight="1">
      <c r="B595" s="96"/>
      <c r="C595" s="36" t="s">
        <v>29</v>
      </c>
      <c r="D595" s="35">
        <v>28</v>
      </c>
      <c r="E595" s="34">
        <v>4.4465618548519999E-3</v>
      </c>
    </row>
    <row r="596" spans="2:5" ht="15" customHeight="1">
      <c r="B596" s="94" t="s">
        <v>51</v>
      </c>
      <c r="C596" s="63" t="s">
        <v>265</v>
      </c>
      <c r="D596" s="64">
        <v>5</v>
      </c>
      <c r="E596" s="65">
        <v>7.9402890265200003E-4</v>
      </c>
    </row>
    <row r="597" spans="2:5" ht="15" customHeight="1">
      <c r="B597" s="95"/>
      <c r="C597" s="63" t="s">
        <v>266</v>
      </c>
      <c r="D597" s="64">
        <v>2</v>
      </c>
      <c r="E597" s="65">
        <v>3.1761156106099999E-4</v>
      </c>
    </row>
    <row r="598" spans="2:5" ht="15" customHeight="1">
      <c r="B598" s="95"/>
      <c r="C598" s="63" t="s">
        <v>267</v>
      </c>
      <c r="D598" s="64">
        <v>2</v>
      </c>
      <c r="E598" s="65">
        <v>3.1761156106099999E-4</v>
      </c>
    </row>
    <row r="599" spans="2:5" ht="15" customHeight="1">
      <c r="B599" s="95"/>
      <c r="C599" s="63" t="s">
        <v>268</v>
      </c>
      <c r="D599" s="64">
        <v>8</v>
      </c>
      <c r="E599" s="65">
        <v>1.2704462442429999E-3</v>
      </c>
    </row>
    <row r="600" spans="2:5" ht="15" customHeight="1">
      <c r="B600" s="95"/>
      <c r="C600" s="63" t="s">
        <v>269</v>
      </c>
      <c r="D600" s="64">
        <v>3</v>
      </c>
      <c r="E600" s="65">
        <v>4.7641734159099998E-4</v>
      </c>
    </row>
    <row r="601" spans="2:5" ht="15" customHeight="1">
      <c r="B601" s="95"/>
      <c r="C601" s="63" t="s">
        <v>270</v>
      </c>
      <c r="D601" s="64">
        <v>9</v>
      </c>
      <c r="E601" s="65">
        <v>1.4292520247739999E-3</v>
      </c>
    </row>
    <row r="602" spans="2:5" ht="15" customHeight="1">
      <c r="B602" s="95"/>
      <c r="C602" s="63" t="s">
        <v>271</v>
      </c>
      <c r="D602" s="64">
        <v>25</v>
      </c>
      <c r="E602" s="65">
        <v>3.9701445132599997E-3</v>
      </c>
    </row>
    <row r="603" spans="2:5" ht="15" customHeight="1">
      <c r="B603" s="95"/>
      <c r="C603" s="63" t="s">
        <v>272</v>
      </c>
      <c r="D603" s="64">
        <v>56</v>
      </c>
      <c r="E603" s="65">
        <v>8.8931237097030005E-3</v>
      </c>
    </row>
    <row r="604" spans="2:5" ht="15" customHeight="1">
      <c r="B604" s="95"/>
      <c r="C604" s="63" t="s">
        <v>273</v>
      </c>
      <c r="D604" s="64">
        <v>5</v>
      </c>
      <c r="E604" s="65">
        <v>7.9402890265200003E-4</v>
      </c>
    </row>
    <row r="605" spans="2:5" ht="15" customHeight="1">
      <c r="B605" s="95"/>
      <c r="C605" s="63" t="s">
        <v>274</v>
      </c>
      <c r="D605" s="64">
        <v>30</v>
      </c>
      <c r="E605" s="65">
        <v>4.7641734159120002E-3</v>
      </c>
    </row>
    <row r="606" spans="2:5" ht="15" customHeight="1">
      <c r="B606" s="95"/>
      <c r="C606" s="63" t="s">
        <v>275</v>
      </c>
      <c r="D606" s="64">
        <v>40</v>
      </c>
      <c r="E606" s="65">
        <v>6.3522312212160002E-3</v>
      </c>
    </row>
    <row r="607" spans="2:5" ht="15" customHeight="1">
      <c r="B607" s="95"/>
      <c r="C607" s="63" t="s">
        <v>276</v>
      </c>
      <c r="D607" s="64">
        <v>211</v>
      </c>
      <c r="E607" s="65">
        <v>3.3508019691917003E-2</v>
      </c>
    </row>
    <row r="608" spans="2:5" ht="15" customHeight="1">
      <c r="B608" s="95"/>
      <c r="C608" s="63" t="s">
        <v>277</v>
      </c>
      <c r="D608" s="64">
        <v>47</v>
      </c>
      <c r="E608" s="65">
        <v>7.4638716849290002E-3</v>
      </c>
    </row>
    <row r="609" spans="2:5" ht="15" customHeight="1">
      <c r="B609" s="95"/>
      <c r="C609" s="63" t="s">
        <v>278</v>
      </c>
      <c r="D609" s="64">
        <v>94</v>
      </c>
      <c r="E609" s="65">
        <v>1.4927743369859E-2</v>
      </c>
    </row>
    <row r="610" spans="2:5" ht="15" customHeight="1">
      <c r="B610" s="95"/>
      <c r="C610" s="63" t="s">
        <v>279</v>
      </c>
      <c r="D610" s="64">
        <v>376</v>
      </c>
      <c r="E610" s="65">
        <v>5.9710973479434999E-2</v>
      </c>
    </row>
    <row r="611" spans="2:5" ht="15" customHeight="1">
      <c r="B611" s="95"/>
      <c r="C611" s="63" t="s">
        <v>280</v>
      </c>
      <c r="D611" s="64">
        <v>6</v>
      </c>
      <c r="E611" s="65">
        <v>9.5283468318199996E-4</v>
      </c>
    </row>
    <row r="612" spans="2:5" ht="15" customHeight="1">
      <c r="B612" s="95"/>
      <c r="C612" s="63" t="s">
        <v>281</v>
      </c>
      <c r="D612" s="64">
        <v>9</v>
      </c>
      <c r="E612" s="65">
        <v>1.4292520247739999E-3</v>
      </c>
    </row>
    <row r="613" spans="2:5" ht="15" customHeight="1">
      <c r="B613" s="95"/>
      <c r="C613" s="63" t="s">
        <v>282</v>
      </c>
      <c r="D613" s="64">
        <v>4</v>
      </c>
      <c r="E613" s="65">
        <v>6.3522312212199999E-4</v>
      </c>
    </row>
    <row r="614" spans="2:5" ht="15" customHeight="1">
      <c r="B614" s="95"/>
      <c r="C614" s="63" t="s">
        <v>284</v>
      </c>
      <c r="D614" s="64">
        <v>41</v>
      </c>
      <c r="E614" s="65">
        <v>6.511037001747E-3</v>
      </c>
    </row>
    <row r="615" spans="2:5" ht="15" customHeight="1">
      <c r="B615" s="95"/>
      <c r="C615" s="63" t="s">
        <v>285</v>
      </c>
      <c r="D615" s="64">
        <v>122</v>
      </c>
      <c r="E615" s="65">
        <v>1.9374305224709999E-2</v>
      </c>
    </row>
    <row r="616" spans="2:5" ht="15" customHeight="1">
      <c r="B616" s="95"/>
      <c r="C616" s="63" t="s">
        <v>287</v>
      </c>
      <c r="D616" s="64">
        <v>10</v>
      </c>
      <c r="E616" s="65">
        <v>1.5880578053040001E-3</v>
      </c>
    </row>
    <row r="617" spans="2:5" ht="15" customHeight="1">
      <c r="B617" s="95"/>
      <c r="C617" s="63" t="s">
        <v>288</v>
      </c>
      <c r="D617" s="64">
        <v>1</v>
      </c>
      <c r="E617" s="65">
        <v>1.5880578052999999E-4</v>
      </c>
    </row>
    <row r="618" spans="2:5" ht="15" customHeight="1">
      <c r="B618" s="96"/>
      <c r="C618" s="36" t="s">
        <v>29</v>
      </c>
      <c r="D618" s="35">
        <v>1106</v>
      </c>
      <c r="E618" s="34">
        <v>0.17563919326663499</v>
      </c>
    </row>
    <row r="619" spans="2:5" ht="15" customHeight="1">
      <c r="B619" s="94" t="s">
        <v>96</v>
      </c>
      <c r="C619" s="63" t="s">
        <v>271</v>
      </c>
      <c r="D619" s="64">
        <v>1</v>
      </c>
      <c r="E619" s="65">
        <v>1.5880578052999999E-4</v>
      </c>
    </row>
    <row r="620" spans="2:5" ht="15" customHeight="1">
      <c r="B620" s="95"/>
      <c r="C620" s="63" t="s">
        <v>276</v>
      </c>
      <c r="D620" s="64">
        <v>4</v>
      </c>
      <c r="E620" s="65">
        <v>6.3522312212199999E-4</v>
      </c>
    </row>
    <row r="621" spans="2:5" ht="15" customHeight="1">
      <c r="B621" s="95"/>
      <c r="C621" s="63" t="s">
        <v>279</v>
      </c>
      <c r="D621" s="64">
        <v>1</v>
      </c>
      <c r="E621" s="65">
        <v>1.5880578052999999E-4</v>
      </c>
    </row>
    <row r="622" spans="2:5" ht="15" customHeight="1">
      <c r="B622" s="95"/>
      <c r="C622" s="63" t="s">
        <v>285</v>
      </c>
      <c r="D622" s="64">
        <v>2</v>
      </c>
      <c r="E622" s="65">
        <v>3.1761156106099999E-4</v>
      </c>
    </row>
    <row r="623" spans="2:5" ht="15" customHeight="1">
      <c r="B623" s="96"/>
      <c r="C623" s="36" t="s">
        <v>29</v>
      </c>
      <c r="D623" s="35">
        <v>8</v>
      </c>
      <c r="E623" s="34">
        <v>1.2704462442429999E-3</v>
      </c>
    </row>
    <row r="624" spans="2:5" ht="15" customHeight="1">
      <c r="B624" s="94" t="s">
        <v>56</v>
      </c>
      <c r="C624" s="63" t="s">
        <v>265</v>
      </c>
      <c r="D624" s="64">
        <v>2</v>
      </c>
      <c r="E624" s="65">
        <v>3.1761156106099999E-4</v>
      </c>
    </row>
    <row r="625" spans="2:5" ht="15" customHeight="1">
      <c r="B625" s="95"/>
      <c r="C625" s="63" t="s">
        <v>271</v>
      </c>
      <c r="D625" s="64">
        <v>6</v>
      </c>
      <c r="E625" s="65">
        <v>9.5283468318199996E-4</v>
      </c>
    </row>
    <row r="626" spans="2:5" ht="15" customHeight="1">
      <c r="B626" s="95"/>
      <c r="C626" s="63" t="s">
        <v>272</v>
      </c>
      <c r="D626" s="64">
        <v>1</v>
      </c>
      <c r="E626" s="65">
        <v>1.5880578052999999E-4</v>
      </c>
    </row>
    <row r="627" spans="2:5" ht="15" customHeight="1">
      <c r="B627" s="95"/>
      <c r="C627" s="63" t="s">
        <v>273</v>
      </c>
      <c r="D627" s="64">
        <v>3</v>
      </c>
      <c r="E627" s="65">
        <v>4.7641734159099998E-4</v>
      </c>
    </row>
    <row r="628" spans="2:5" ht="15" customHeight="1">
      <c r="B628" s="95"/>
      <c r="C628" s="63" t="s">
        <v>274</v>
      </c>
      <c r="D628" s="64">
        <v>2</v>
      </c>
      <c r="E628" s="65">
        <v>3.1761156106099999E-4</v>
      </c>
    </row>
    <row r="629" spans="2:5" ht="15" customHeight="1">
      <c r="B629" s="95"/>
      <c r="C629" s="63" t="s">
        <v>275</v>
      </c>
      <c r="D629" s="64">
        <v>4</v>
      </c>
      <c r="E629" s="65">
        <v>6.3522312212199999E-4</v>
      </c>
    </row>
    <row r="630" spans="2:5" ht="15" customHeight="1">
      <c r="B630" s="95"/>
      <c r="C630" s="63" t="s">
        <v>276</v>
      </c>
      <c r="D630" s="64">
        <v>20</v>
      </c>
      <c r="E630" s="65">
        <v>3.1761156106080001E-3</v>
      </c>
    </row>
    <row r="631" spans="2:5" ht="15" customHeight="1">
      <c r="B631" s="95"/>
      <c r="C631" s="63" t="s">
        <v>277</v>
      </c>
      <c r="D631" s="64">
        <v>6</v>
      </c>
      <c r="E631" s="65">
        <v>9.5283468318199996E-4</v>
      </c>
    </row>
    <row r="632" spans="2:5" ht="15" customHeight="1">
      <c r="B632" s="95"/>
      <c r="C632" s="63" t="s">
        <v>278</v>
      </c>
      <c r="D632" s="64">
        <v>11</v>
      </c>
      <c r="E632" s="65">
        <v>1.7468635858350001E-3</v>
      </c>
    </row>
    <row r="633" spans="2:5" ht="15" customHeight="1">
      <c r="B633" s="95"/>
      <c r="C633" s="63" t="s">
        <v>279</v>
      </c>
      <c r="D633" s="64">
        <v>47</v>
      </c>
      <c r="E633" s="65">
        <v>7.4638716849290002E-3</v>
      </c>
    </row>
    <row r="634" spans="2:5" ht="15" customHeight="1">
      <c r="B634" s="95"/>
      <c r="C634" s="63" t="s">
        <v>281</v>
      </c>
      <c r="D634" s="64">
        <v>4</v>
      </c>
      <c r="E634" s="65">
        <v>6.3522312212199999E-4</v>
      </c>
    </row>
    <row r="635" spans="2:5" ht="15" customHeight="1">
      <c r="B635" s="95"/>
      <c r="C635" s="63" t="s">
        <v>282</v>
      </c>
      <c r="D635" s="64">
        <v>1</v>
      </c>
      <c r="E635" s="65">
        <v>1.5880578052999999E-4</v>
      </c>
    </row>
    <row r="636" spans="2:5" ht="15" customHeight="1">
      <c r="B636" s="95"/>
      <c r="C636" s="63" t="s">
        <v>283</v>
      </c>
      <c r="D636" s="64">
        <v>5</v>
      </c>
      <c r="E636" s="65">
        <v>7.9402890265200003E-4</v>
      </c>
    </row>
    <row r="637" spans="2:5" ht="15" customHeight="1">
      <c r="B637" s="95"/>
      <c r="C637" s="63" t="s">
        <v>284</v>
      </c>
      <c r="D637" s="64">
        <v>9</v>
      </c>
      <c r="E637" s="65">
        <v>1.4292520247739999E-3</v>
      </c>
    </row>
    <row r="638" spans="2:5" ht="15" customHeight="1">
      <c r="B638" s="95"/>
      <c r="C638" s="63" t="s">
        <v>285</v>
      </c>
      <c r="D638" s="64">
        <v>44</v>
      </c>
      <c r="E638" s="65">
        <v>6.9874543433380001E-3</v>
      </c>
    </row>
    <row r="639" spans="2:5" ht="15" customHeight="1">
      <c r="B639" s="95"/>
      <c r="C639" s="63" t="s">
        <v>287</v>
      </c>
      <c r="D639" s="64">
        <v>5</v>
      </c>
      <c r="E639" s="65">
        <v>7.9402890265200003E-4</v>
      </c>
    </row>
    <row r="640" spans="2:5" ht="15" customHeight="1">
      <c r="B640" s="95"/>
      <c r="C640" s="63" t="s">
        <v>288</v>
      </c>
      <c r="D640" s="64">
        <v>1</v>
      </c>
      <c r="E640" s="65">
        <v>1.5880578052999999E-4</v>
      </c>
    </row>
    <row r="641" spans="2:5" ht="15" customHeight="1">
      <c r="B641" s="96"/>
      <c r="C641" s="36" t="s">
        <v>29</v>
      </c>
      <c r="D641" s="35">
        <v>171</v>
      </c>
      <c r="E641" s="34">
        <v>2.71557884707E-2</v>
      </c>
    </row>
    <row r="642" spans="2:5" ht="15" customHeight="1">
      <c r="B642" s="97" t="s">
        <v>29</v>
      </c>
      <c r="C642" s="98"/>
      <c r="D642" s="61">
        <v>6297</v>
      </c>
      <c r="E642" s="62">
        <v>1</v>
      </c>
    </row>
    <row r="644" spans="2:5" ht="15" customHeight="1">
      <c r="B644" s="15" t="s">
        <v>47</v>
      </c>
    </row>
    <row r="645" spans="2:5" ht="15" customHeight="1">
      <c r="B645" s="17" t="s">
        <v>18</v>
      </c>
    </row>
    <row r="646" spans="2:5" ht="15" customHeight="1">
      <c r="B646" s="16" t="s">
        <v>48</v>
      </c>
    </row>
    <row r="647" spans="2:5" ht="15" customHeight="1">
      <c r="B647" s="15" t="s">
        <v>17</v>
      </c>
    </row>
    <row r="648" spans="2:5" ht="15" customHeight="1">
      <c r="B648" s="15" t="s">
        <v>49</v>
      </c>
    </row>
  </sheetData>
  <mergeCells count="54">
    <mergeCell ref="B376:B391"/>
    <mergeCell ref="B392:B416"/>
    <mergeCell ref="B475:B488"/>
    <mergeCell ref="B489:B497"/>
    <mergeCell ref="B498:B517"/>
    <mergeCell ref="B326:B333"/>
    <mergeCell ref="B334:B341"/>
    <mergeCell ref="B342:B353"/>
    <mergeCell ref="B354:B362"/>
    <mergeCell ref="B363:B375"/>
    <mergeCell ref="B282:B290"/>
    <mergeCell ref="B291:B297"/>
    <mergeCell ref="B298:B308"/>
    <mergeCell ref="B309:B311"/>
    <mergeCell ref="B312:B325"/>
    <mergeCell ref="B211:B227"/>
    <mergeCell ref="B228:B231"/>
    <mergeCell ref="B232:B246"/>
    <mergeCell ref="B247:B259"/>
    <mergeCell ref="B260:B281"/>
    <mergeCell ref="B149:B156"/>
    <mergeCell ref="B157:B162"/>
    <mergeCell ref="B163:B184"/>
    <mergeCell ref="B185:B200"/>
    <mergeCell ref="B201:B210"/>
    <mergeCell ref="B7:E8"/>
    <mergeCell ref="B114:B130"/>
    <mergeCell ref="B131:B139"/>
    <mergeCell ref="B140:B146"/>
    <mergeCell ref="B147:B148"/>
    <mergeCell ref="B10:B23"/>
    <mergeCell ref="B24:B34"/>
    <mergeCell ref="B35:B43"/>
    <mergeCell ref="B44:B55"/>
    <mergeCell ref="B56:B64"/>
    <mergeCell ref="B65:B69"/>
    <mergeCell ref="B70:B80"/>
    <mergeCell ref="B81:B94"/>
    <mergeCell ref="B95:B110"/>
    <mergeCell ref="B111:B113"/>
    <mergeCell ref="B596:B618"/>
    <mergeCell ref="B619:B623"/>
    <mergeCell ref="B624:B641"/>
    <mergeCell ref="B642:C642"/>
    <mergeCell ref="B417:B425"/>
    <mergeCell ref="B426:B431"/>
    <mergeCell ref="B432:B443"/>
    <mergeCell ref="B444:B461"/>
    <mergeCell ref="B462:B474"/>
    <mergeCell ref="B518:B532"/>
    <mergeCell ref="B533:B546"/>
    <mergeCell ref="B547:B565"/>
    <mergeCell ref="B566:B583"/>
    <mergeCell ref="B584:B5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topLeftCell="A5" zoomScale="115" zoomScaleNormal="85" zoomScaleSheetLayoutView="115" workbookViewId="0">
      <selection activeCell="L43" sqref="L4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38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>
      <c r="B12" s="23" t="s">
        <v>147</v>
      </c>
      <c r="C12" s="22">
        <v>3076</v>
      </c>
      <c r="D12" s="21">
        <v>0.48848658091154501</v>
      </c>
    </row>
    <row r="13" spans="2:5">
      <c r="B13" s="23" t="s">
        <v>148</v>
      </c>
      <c r="C13" s="22">
        <v>3221</v>
      </c>
      <c r="D13" s="21">
        <v>0.51151341908845505</v>
      </c>
    </row>
    <row r="14" spans="2:5">
      <c r="B14" s="20" t="s">
        <v>29</v>
      </c>
      <c r="C14" s="19">
        <v>6297</v>
      </c>
      <c r="D14" s="18">
        <v>1</v>
      </c>
    </row>
    <row r="15" spans="2:5">
      <c r="B15" s="24"/>
      <c r="C15" s="49"/>
      <c r="D15" s="49"/>
      <c r="E15" s="24"/>
    </row>
    <row r="16" spans="2:5">
      <c r="B16" s="15" t="s">
        <v>47</v>
      </c>
      <c r="C16" s="49"/>
      <c r="D16" s="49"/>
      <c r="E16" s="24"/>
    </row>
    <row r="17" spans="2:4">
      <c r="B17" s="17" t="s">
        <v>18</v>
      </c>
      <c r="C17" s="48"/>
      <c r="D17" s="48"/>
    </row>
    <row r="18" spans="2:4">
      <c r="B18" s="16" t="s">
        <v>48</v>
      </c>
      <c r="C18" s="47"/>
      <c r="D18" s="47"/>
    </row>
    <row r="19" spans="2:4">
      <c r="B19" s="15" t="s">
        <v>17</v>
      </c>
    </row>
    <row r="20" spans="2:4">
      <c r="B2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2"/>
  <sheetViews>
    <sheetView showGridLines="0" view="pageBreakPreview" zoomScaleNormal="100" zoomScaleSheetLayoutView="100" workbookViewId="0">
      <selection activeCell="F167" sqref="F167"/>
    </sheetView>
  </sheetViews>
  <sheetFormatPr baseColWidth="10" defaultColWidth="11.42578125" defaultRowHeight="11.25"/>
  <cols>
    <col min="1" max="1" width="5.7109375" style="25" customWidth="1"/>
    <col min="2" max="3" width="23.7109375" style="40" customWidth="1"/>
    <col min="4" max="4" width="15.7109375" style="44" customWidth="1"/>
    <col min="5" max="5" width="15.7109375" style="40" customWidth="1"/>
    <col min="6" max="6" width="5.7109375" style="25" customWidth="1"/>
    <col min="7" max="16384" width="11.42578125" style="25"/>
  </cols>
  <sheetData>
    <row r="1" spans="2:6" s="13" customFormat="1" ht="15">
      <c r="B1" s="40"/>
      <c r="C1" s="40"/>
    </row>
    <row r="2" spans="2:6" s="40" customFormat="1">
      <c r="B2" s="51"/>
    </row>
    <row r="3" spans="2:6" ht="15" customHeight="1">
      <c r="B3" s="52"/>
      <c r="C3" s="31"/>
      <c r="D3" s="25"/>
      <c r="F3" s="40"/>
    </row>
    <row r="4" spans="2:6" ht="30" customHeight="1">
      <c r="B4" s="52"/>
      <c r="C4" s="31"/>
      <c r="D4" s="25"/>
      <c r="F4" s="40"/>
    </row>
    <row r="5" spans="2:6" ht="15" customHeight="1">
      <c r="B5" s="52"/>
      <c r="C5" s="31"/>
      <c r="D5" s="25"/>
      <c r="F5" s="40"/>
    </row>
    <row r="6" spans="2:6" s="40" customFormat="1">
      <c r="B6" s="43"/>
      <c r="C6" s="42"/>
    </row>
    <row r="7" spans="2:6" s="40" customFormat="1">
      <c r="B7" s="51"/>
    </row>
    <row r="8" spans="2:6" s="13" customFormat="1" ht="15" customHeight="1">
      <c r="B8" s="93" t="s">
        <v>40</v>
      </c>
      <c r="C8" s="93"/>
      <c r="D8" s="93"/>
      <c r="E8" s="93"/>
    </row>
    <row r="9" spans="2:6" s="13" customFormat="1" ht="15" customHeight="1">
      <c r="B9" s="93"/>
      <c r="C9" s="93"/>
      <c r="D9" s="93"/>
      <c r="E9" s="93"/>
      <c r="F9" s="50"/>
    </row>
    <row r="10" spans="2:6" s="13" customFormat="1" ht="15" customHeight="1">
      <c r="B10" s="93"/>
      <c r="C10" s="93"/>
      <c r="D10" s="93"/>
      <c r="E10" s="93"/>
    </row>
    <row r="11" spans="2:6" s="13" customFormat="1" ht="15" customHeight="1">
      <c r="B11" s="53"/>
      <c r="C11" s="53"/>
      <c r="D11" s="53"/>
      <c r="E11" s="53"/>
    </row>
    <row r="12" spans="2:6" s="13" customFormat="1" ht="36.950000000000003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.45" customHeight="1">
      <c r="B13" s="94" t="s">
        <v>70</v>
      </c>
      <c r="C13" s="63" t="s">
        <v>147</v>
      </c>
      <c r="D13" s="64">
        <v>23</v>
      </c>
      <c r="E13" s="65">
        <v>3.6525329521990002E-3</v>
      </c>
    </row>
    <row r="14" spans="2:6" ht="14.45" customHeight="1">
      <c r="B14" s="95"/>
      <c r="C14" s="63" t="s">
        <v>148</v>
      </c>
      <c r="D14" s="64">
        <v>35</v>
      </c>
      <c r="E14" s="65">
        <v>5.5582023185639998E-3</v>
      </c>
    </row>
    <row r="15" spans="2:6" ht="14.45" customHeight="1">
      <c r="B15" s="96"/>
      <c r="C15" s="58" t="s">
        <v>29</v>
      </c>
      <c r="D15" s="59">
        <v>58</v>
      </c>
      <c r="E15" s="60">
        <v>9.2107352707639992E-3</v>
      </c>
    </row>
    <row r="16" spans="2:6" ht="14.45" customHeight="1">
      <c r="B16" s="94" t="s">
        <v>74</v>
      </c>
      <c r="C16" s="63" t="s">
        <v>147</v>
      </c>
      <c r="D16" s="64">
        <v>19</v>
      </c>
      <c r="E16" s="65">
        <v>3.017309830078E-3</v>
      </c>
    </row>
    <row r="17" spans="2:5" ht="14.45" customHeight="1">
      <c r="B17" s="95"/>
      <c r="C17" s="63" t="s">
        <v>148</v>
      </c>
      <c r="D17" s="64">
        <v>16</v>
      </c>
      <c r="E17" s="65">
        <v>2.5408924884869999E-3</v>
      </c>
    </row>
    <row r="18" spans="2:5" ht="14.45" customHeight="1">
      <c r="B18" s="96" t="s">
        <v>348</v>
      </c>
      <c r="C18" s="58" t="s">
        <v>29</v>
      </c>
      <c r="D18" s="59">
        <v>35</v>
      </c>
      <c r="E18" s="60">
        <v>5.5582023185639998E-3</v>
      </c>
    </row>
    <row r="19" spans="2:5" ht="14.45" customHeight="1">
      <c r="B19" s="94" t="s">
        <v>84</v>
      </c>
      <c r="C19" s="63" t="s">
        <v>147</v>
      </c>
      <c r="D19" s="64">
        <v>11</v>
      </c>
      <c r="E19" s="65">
        <v>1.7468635858350001E-3</v>
      </c>
    </row>
    <row r="20" spans="2:5" ht="14.45" customHeight="1">
      <c r="B20" s="95"/>
      <c r="C20" s="63" t="s">
        <v>148</v>
      </c>
      <c r="D20" s="64">
        <v>10</v>
      </c>
      <c r="E20" s="65">
        <v>1.5880578053040001E-3</v>
      </c>
    </row>
    <row r="21" spans="2:5" ht="14.45" customHeight="1">
      <c r="B21" s="96" t="s">
        <v>349</v>
      </c>
      <c r="C21" s="58" t="s">
        <v>29</v>
      </c>
      <c r="D21" s="59">
        <v>21</v>
      </c>
      <c r="E21" s="60">
        <v>3.3349213911389999E-3</v>
      </c>
    </row>
    <row r="22" spans="2:5" ht="14.45" customHeight="1">
      <c r="B22" s="94" t="s">
        <v>67</v>
      </c>
      <c r="C22" s="63" t="s">
        <v>147</v>
      </c>
      <c r="D22" s="64">
        <v>36</v>
      </c>
      <c r="E22" s="65">
        <v>5.7170080990950004E-3</v>
      </c>
    </row>
    <row r="23" spans="2:5" ht="14.45" customHeight="1">
      <c r="B23" s="95"/>
      <c r="C23" s="63" t="s">
        <v>148</v>
      </c>
      <c r="D23" s="64">
        <v>44</v>
      </c>
      <c r="E23" s="65">
        <v>6.9874543433380001E-3</v>
      </c>
    </row>
    <row r="24" spans="2:5" ht="14.45" customHeight="1">
      <c r="B24" s="96" t="s">
        <v>350</v>
      </c>
      <c r="C24" s="58" t="s">
        <v>29</v>
      </c>
      <c r="D24" s="59">
        <v>80</v>
      </c>
      <c r="E24" s="60">
        <v>1.2704462442433E-2</v>
      </c>
    </row>
    <row r="25" spans="2:5" ht="14.45" customHeight="1">
      <c r="B25" s="94" t="s">
        <v>87</v>
      </c>
      <c r="C25" s="63" t="s">
        <v>147</v>
      </c>
      <c r="D25" s="64">
        <v>7</v>
      </c>
      <c r="E25" s="65">
        <v>1.111640463713E-3</v>
      </c>
    </row>
    <row r="26" spans="2:5" ht="14.45" customHeight="1">
      <c r="B26" s="95"/>
      <c r="C26" s="63" t="s">
        <v>148</v>
      </c>
      <c r="D26" s="64">
        <v>11</v>
      </c>
      <c r="E26" s="65">
        <v>1.7468635858350001E-3</v>
      </c>
    </row>
    <row r="27" spans="2:5" ht="14.45" customHeight="1">
      <c r="B27" s="96" t="s">
        <v>351</v>
      </c>
      <c r="C27" s="58" t="s">
        <v>29</v>
      </c>
      <c r="D27" s="59">
        <v>18</v>
      </c>
      <c r="E27" s="60">
        <v>2.8585040495470002E-3</v>
      </c>
    </row>
    <row r="28" spans="2:5" ht="14.45" customHeight="1">
      <c r="B28" s="94" t="s">
        <v>97</v>
      </c>
      <c r="C28" s="63" t="s">
        <v>147</v>
      </c>
      <c r="D28" s="64">
        <v>3</v>
      </c>
      <c r="E28" s="65">
        <v>4.7641734159099998E-4</v>
      </c>
    </row>
    <row r="29" spans="2:5" ht="14.45" customHeight="1">
      <c r="B29" s="95"/>
      <c r="C29" s="63" t="s">
        <v>148</v>
      </c>
      <c r="D29" s="64">
        <v>2</v>
      </c>
      <c r="E29" s="65">
        <v>3.1761156106099999E-4</v>
      </c>
    </row>
    <row r="30" spans="2:5" ht="14.45" customHeight="1">
      <c r="B30" s="96" t="s">
        <v>352</v>
      </c>
      <c r="C30" s="58" t="s">
        <v>29</v>
      </c>
      <c r="D30" s="59">
        <v>5</v>
      </c>
      <c r="E30" s="60">
        <v>7.9402890265200003E-4</v>
      </c>
    </row>
    <row r="31" spans="2:5" ht="14.45" customHeight="1">
      <c r="B31" s="94" t="s">
        <v>88</v>
      </c>
      <c r="C31" s="63" t="s">
        <v>147</v>
      </c>
      <c r="D31" s="64">
        <v>9</v>
      </c>
      <c r="E31" s="65">
        <v>1.4292520247739999E-3</v>
      </c>
    </row>
    <row r="32" spans="2:5" ht="14.45" customHeight="1">
      <c r="B32" s="95"/>
      <c r="C32" s="63" t="s">
        <v>148</v>
      </c>
      <c r="D32" s="64">
        <v>9</v>
      </c>
      <c r="E32" s="65">
        <v>1.4292520247739999E-3</v>
      </c>
    </row>
    <row r="33" spans="2:5" ht="14.45" customHeight="1">
      <c r="B33" s="96" t="s">
        <v>353</v>
      </c>
      <c r="C33" s="58" t="s">
        <v>29</v>
      </c>
      <c r="D33" s="59">
        <v>18</v>
      </c>
      <c r="E33" s="60">
        <v>2.8585040495470002E-3</v>
      </c>
    </row>
    <row r="34" spans="2:5" ht="14.45" customHeight="1">
      <c r="B34" s="94" t="s">
        <v>57</v>
      </c>
      <c r="C34" s="63" t="s">
        <v>147</v>
      </c>
      <c r="D34" s="64">
        <v>73</v>
      </c>
      <c r="E34" s="65">
        <v>1.1592821978720001E-2</v>
      </c>
    </row>
    <row r="35" spans="2:5" ht="14.45" customHeight="1">
      <c r="B35" s="95"/>
      <c r="C35" s="63" t="s">
        <v>148</v>
      </c>
      <c r="D35" s="64">
        <v>69</v>
      </c>
      <c r="E35" s="65">
        <v>1.0957598856598E-2</v>
      </c>
    </row>
    <row r="36" spans="2:5" ht="14.45" customHeight="1">
      <c r="B36" s="96" t="s">
        <v>354</v>
      </c>
      <c r="C36" s="58" t="s">
        <v>29</v>
      </c>
      <c r="D36" s="59">
        <v>142</v>
      </c>
      <c r="E36" s="60">
        <v>2.2550420835318E-2</v>
      </c>
    </row>
    <row r="37" spans="2:5" ht="14.45" customHeight="1">
      <c r="B37" s="94" t="s">
        <v>65</v>
      </c>
      <c r="C37" s="63" t="s">
        <v>147</v>
      </c>
      <c r="D37" s="64">
        <v>35</v>
      </c>
      <c r="E37" s="65">
        <v>5.5582023185639998E-3</v>
      </c>
    </row>
    <row r="38" spans="2:5" ht="14.45" customHeight="1">
      <c r="B38" s="95"/>
      <c r="C38" s="63" t="s">
        <v>148</v>
      </c>
      <c r="D38" s="64">
        <v>53</v>
      </c>
      <c r="E38" s="65">
        <v>8.4167063681120004E-3</v>
      </c>
    </row>
    <row r="39" spans="2:5" ht="14.45" customHeight="1">
      <c r="B39" s="96" t="s">
        <v>355</v>
      </c>
      <c r="C39" s="58" t="s">
        <v>29</v>
      </c>
      <c r="D39" s="59">
        <v>88</v>
      </c>
      <c r="E39" s="60">
        <v>1.3974908686676E-2</v>
      </c>
    </row>
    <row r="40" spans="2:5" ht="14.45" customHeight="1">
      <c r="B40" s="94" t="s">
        <v>99</v>
      </c>
      <c r="C40" s="63" t="s">
        <v>148</v>
      </c>
      <c r="D40" s="64">
        <v>2</v>
      </c>
      <c r="E40" s="65">
        <v>3.1761156106099999E-4</v>
      </c>
    </row>
    <row r="41" spans="2:5" ht="14.45" customHeight="1">
      <c r="B41" s="96" t="s">
        <v>356</v>
      </c>
      <c r="C41" s="58" t="s">
        <v>29</v>
      </c>
      <c r="D41" s="59">
        <v>2</v>
      </c>
      <c r="E41" s="60">
        <v>3.1761156106099999E-4</v>
      </c>
    </row>
    <row r="42" spans="2:5" ht="14.45" customHeight="1">
      <c r="B42" s="94" t="s">
        <v>59</v>
      </c>
      <c r="C42" s="63" t="s">
        <v>147</v>
      </c>
      <c r="D42" s="64">
        <v>52</v>
      </c>
      <c r="E42" s="65">
        <v>8.2579005875809998E-3</v>
      </c>
    </row>
    <row r="43" spans="2:5" ht="14.45" customHeight="1">
      <c r="B43" s="95"/>
      <c r="C43" s="63" t="s">
        <v>148</v>
      </c>
      <c r="D43" s="64">
        <v>61</v>
      </c>
      <c r="E43" s="65">
        <v>9.6871526123549993E-3</v>
      </c>
    </row>
    <row r="44" spans="2:5" ht="14.45" customHeight="1">
      <c r="B44" s="96" t="s">
        <v>357</v>
      </c>
      <c r="C44" s="58" t="s">
        <v>29</v>
      </c>
      <c r="D44" s="59">
        <v>113</v>
      </c>
      <c r="E44" s="60">
        <v>1.7945053199936001E-2</v>
      </c>
    </row>
    <row r="45" spans="2:5" ht="14.45" customHeight="1">
      <c r="B45" s="94" t="s">
        <v>81</v>
      </c>
      <c r="C45" s="63" t="s">
        <v>147</v>
      </c>
      <c r="D45" s="64">
        <v>17</v>
      </c>
      <c r="E45" s="65">
        <v>2.699698269017E-3</v>
      </c>
    </row>
    <row r="46" spans="2:5" ht="14.45" customHeight="1">
      <c r="B46" s="95"/>
      <c r="C46" s="63" t="s">
        <v>148</v>
      </c>
      <c r="D46" s="64">
        <v>8</v>
      </c>
      <c r="E46" s="65">
        <v>1.2704462442429999E-3</v>
      </c>
    </row>
    <row r="47" spans="2:5" ht="14.45" customHeight="1">
      <c r="B47" s="96" t="s">
        <v>358</v>
      </c>
      <c r="C47" s="58" t="s">
        <v>29</v>
      </c>
      <c r="D47" s="59">
        <v>25</v>
      </c>
      <c r="E47" s="60">
        <v>3.9701445132599997E-3</v>
      </c>
    </row>
    <row r="48" spans="2:5" ht="14.45" customHeight="1">
      <c r="B48" s="94" t="s">
        <v>94</v>
      </c>
      <c r="C48" s="63" t="s">
        <v>147</v>
      </c>
      <c r="D48" s="64">
        <v>4</v>
      </c>
      <c r="E48" s="65">
        <v>6.3522312212199999E-4</v>
      </c>
    </row>
    <row r="49" spans="2:5" ht="14.45" customHeight="1">
      <c r="B49" s="95"/>
      <c r="C49" s="63" t="s">
        <v>148</v>
      </c>
      <c r="D49" s="64">
        <v>6</v>
      </c>
      <c r="E49" s="65">
        <v>9.5283468318199996E-4</v>
      </c>
    </row>
    <row r="50" spans="2:5" ht="14.45" customHeight="1">
      <c r="B50" s="96" t="s">
        <v>359</v>
      </c>
      <c r="C50" s="58" t="s">
        <v>29</v>
      </c>
      <c r="D50" s="59">
        <v>10</v>
      </c>
      <c r="E50" s="60">
        <v>1.5880578053040001E-3</v>
      </c>
    </row>
    <row r="51" spans="2:5" ht="14.45" customHeight="1">
      <c r="B51" s="94" t="s">
        <v>101</v>
      </c>
      <c r="C51" s="63" t="s">
        <v>148</v>
      </c>
      <c r="D51" s="64">
        <v>1</v>
      </c>
      <c r="E51" s="65">
        <v>1.5880578052999999E-4</v>
      </c>
    </row>
    <row r="52" spans="2:5" ht="14.45" customHeight="1">
      <c r="B52" s="96" t="s">
        <v>360</v>
      </c>
      <c r="C52" s="58" t="s">
        <v>29</v>
      </c>
      <c r="D52" s="59">
        <v>1</v>
      </c>
      <c r="E52" s="60">
        <v>1.5880578052999999E-4</v>
      </c>
    </row>
    <row r="53" spans="2:5" ht="14.45" customHeight="1">
      <c r="B53" s="94" t="s">
        <v>83</v>
      </c>
      <c r="C53" s="63" t="s">
        <v>147</v>
      </c>
      <c r="D53" s="64">
        <v>14</v>
      </c>
      <c r="E53" s="65">
        <v>2.2232809274259999E-3</v>
      </c>
    </row>
    <row r="54" spans="2:5" ht="14.45" customHeight="1">
      <c r="B54" s="95"/>
      <c r="C54" s="63" t="s">
        <v>148</v>
      </c>
      <c r="D54" s="64">
        <v>10</v>
      </c>
      <c r="E54" s="65">
        <v>1.5880578053040001E-3</v>
      </c>
    </row>
    <row r="55" spans="2:5" ht="14.45" customHeight="1">
      <c r="B55" s="96" t="s">
        <v>361</v>
      </c>
      <c r="C55" s="58" t="s">
        <v>29</v>
      </c>
      <c r="D55" s="59">
        <v>24</v>
      </c>
      <c r="E55" s="60">
        <v>3.81133873273E-3</v>
      </c>
    </row>
    <row r="56" spans="2:5" ht="14.45" customHeight="1">
      <c r="B56" s="94" t="s">
        <v>95</v>
      </c>
      <c r="C56" s="63" t="s">
        <v>147</v>
      </c>
      <c r="D56" s="64">
        <v>2</v>
      </c>
      <c r="E56" s="65">
        <v>3.1761156106099999E-4</v>
      </c>
    </row>
    <row r="57" spans="2:5" ht="14.45" customHeight="1">
      <c r="B57" s="95"/>
      <c r="C57" s="63" t="s">
        <v>148</v>
      </c>
      <c r="D57" s="64">
        <v>6</v>
      </c>
      <c r="E57" s="65">
        <v>9.5283468318199996E-4</v>
      </c>
    </row>
    <row r="58" spans="2:5" ht="14.45" customHeight="1">
      <c r="B58" s="96" t="s">
        <v>362</v>
      </c>
      <c r="C58" s="58" t="s">
        <v>29</v>
      </c>
      <c r="D58" s="59">
        <v>8</v>
      </c>
      <c r="E58" s="60">
        <v>1.2704462442429999E-3</v>
      </c>
    </row>
    <row r="59" spans="2:5" ht="14.45" customHeight="1">
      <c r="B59" s="94" t="s">
        <v>55</v>
      </c>
      <c r="C59" s="63" t="s">
        <v>147</v>
      </c>
      <c r="D59" s="64">
        <v>110</v>
      </c>
      <c r="E59" s="65">
        <v>1.7468635858344999E-2</v>
      </c>
    </row>
    <row r="60" spans="2:5" ht="14.45" customHeight="1">
      <c r="B60" s="95"/>
      <c r="C60" s="63" t="s">
        <v>148</v>
      </c>
      <c r="D60" s="64">
        <v>111</v>
      </c>
      <c r="E60" s="65">
        <v>1.7627441638876001E-2</v>
      </c>
    </row>
    <row r="61" spans="2:5" ht="14.45" customHeight="1">
      <c r="B61" s="96" t="s">
        <v>363</v>
      </c>
      <c r="C61" s="58" t="s">
        <v>29</v>
      </c>
      <c r="D61" s="59">
        <v>221</v>
      </c>
      <c r="E61" s="60">
        <v>3.5096077497220997E-2</v>
      </c>
    </row>
    <row r="62" spans="2:5" ht="14.45" customHeight="1">
      <c r="B62" s="94" t="s">
        <v>61</v>
      </c>
      <c r="C62" s="63" t="s">
        <v>147</v>
      </c>
      <c r="D62" s="64">
        <v>61</v>
      </c>
      <c r="E62" s="65">
        <v>9.6871526123549993E-3</v>
      </c>
    </row>
    <row r="63" spans="2:5" ht="14.45" customHeight="1">
      <c r="B63" s="95"/>
      <c r="C63" s="63" t="s">
        <v>148</v>
      </c>
      <c r="D63" s="64">
        <v>42</v>
      </c>
      <c r="E63" s="65">
        <v>6.6698427822769997E-3</v>
      </c>
    </row>
    <row r="64" spans="2:5" ht="14.45" customHeight="1">
      <c r="B64" s="96" t="s">
        <v>364</v>
      </c>
      <c r="C64" s="58" t="s">
        <v>29</v>
      </c>
      <c r="D64" s="59">
        <v>103</v>
      </c>
      <c r="E64" s="60">
        <v>1.6356995394632E-2</v>
      </c>
    </row>
    <row r="65" spans="2:5" ht="14.45" customHeight="1">
      <c r="B65" s="94" t="s">
        <v>76</v>
      </c>
      <c r="C65" s="63" t="s">
        <v>147</v>
      </c>
      <c r="D65" s="64">
        <v>20</v>
      </c>
      <c r="E65" s="65">
        <v>3.1761156106080001E-3</v>
      </c>
    </row>
    <row r="66" spans="2:5" ht="14.45" customHeight="1">
      <c r="B66" s="95"/>
      <c r="C66" s="63" t="s">
        <v>148</v>
      </c>
      <c r="D66" s="64">
        <v>13</v>
      </c>
      <c r="E66" s="65">
        <v>2.0644751468950001E-3</v>
      </c>
    </row>
    <row r="67" spans="2:5" ht="14.45" customHeight="1">
      <c r="B67" s="96" t="s">
        <v>365</v>
      </c>
      <c r="C67" s="58" t="s">
        <v>29</v>
      </c>
      <c r="D67" s="59">
        <v>33</v>
      </c>
      <c r="E67" s="60">
        <v>5.2405907575040003E-3</v>
      </c>
    </row>
    <row r="68" spans="2:5" ht="14.45" customHeight="1">
      <c r="B68" s="94" t="s">
        <v>69</v>
      </c>
      <c r="C68" s="63" t="s">
        <v>147</v>
      </c>
      <c r="D68" s="64">
        <v>27</v>
      </c>
      <c r="E68" s="65">
        <v>4.2877560743210001E-3</v>
      </c>
    </row>
    <row r="69" spans="2:5" ht="14.45" customHeight="1">
      <c r="B69" s="95"/>
      <c r="C69" s="63" t="s">
        <v>148</v>
      </c>
      <c r="D69" s="64">
        <v>33</v>
      </c>
      <c r="E69" s="65">
        <v>5.2405907575040003E-3</v>
      </c>
    </row>
    <row r="70" spans="2:5" ht="14.45" customHeight="1">
      <c r="B70" s="96" t="s">
        <v>366</v>
      </c>
      <c r="C70" s="58" t="s">
        <v>29</v>
      </c>
      <c r="D70" s="59">
        <v>60</v>
      </c>
      <c r="E70" s="60">
        <v>9.5283468318249995E-3</v>
      </c>
    </row>
    <row r="71" spans="2:5" ht="14.45" customHeight="1">
      <c r="B71" s="94" t="s">
        <v>98</v>
      </c>
      <c r="C71" s="63" t="s">
        <v>147</v>
      </c>
      <c r="D71" s="64">
        <v>3</v>
      </c>
      <c r="E71" s="65">
        <v>4.7641734159099998E-4</v>
      </c>
    </row>
    <row r="72" spans="2:5" ht="14.45" customHeight="1">
      <c r="B72" s="96"/>
      <c r="C72" s="58" t="s">
        <v>29</v>
      </c>
      <c r="D72" s="59">
        <v>3</v>
      </c>
      <c r="E72" s="60">
        <v>4.7641734159099998E-4</v>
      </c>
    </row>
    <row r="73" spans="2:5" ht="14.45" customHeight="1">
      <c r="B73" s="94" t="s">
        <v>53</v>
      </c>
      <c r="C73" s="63" t="s">
        <v>147</v>
      </c>
      <c r="D73" s="64">
        <v>158</v>
      </c>
      <c r="E73" s="65">
        <v>2.5091313323805001E-2</v>
      </c>
    </row>
    <row r="74" spans="2:5" ht="14.45" customHeight="1">
      <c r="B74" s="95"/>
      <c r="C74" s="63" t="s">
        <v>148</v>
      </c>
      <c r="D74" s="64">
        <v>171</v>
      </c>
      <c r="E74" s="65">
        <v>2.71557884707E-2</v>
      </c>
    </row>
    <row r="75" spans="2:5" ht="14.45" customHeight="1">
      <c r="B75" s="96" t="s">
        <v>367</v>
      </c>
      <c r="C75" s="58" t="s">
        <v>29</v>
      </c>
      <c r="D75" s="59">
        <v>329</v>
      </c>
      <c r="E75" s="60">
        <v>5.2247101794505001E-2</v>
      </c>
    </row>
    <row r="76" spans="2:5" ht="14.45" customHeight="1">
      <c r="B76" s="94" t="s">
        <v>73</v>
      </c>
      <c r="C76" s="63" t="s">
        <v>147</v>
      </c>
      <c r="D76" s="64">
        <v>19</v>
      </c>
      <c r="E76" s="65">
        <v>3.017309830078E-3</v>
      </c>
    </row>
    <row r="77" spans="2:5" ht="14.45" customHeight="1">
      <c r="B77" s="95"/>
      <c r="C77" s="63" t="s">
        <v>148</v>
      </c>
      <c r="D77" s="64">
        <v>25</v>
      </c>
      <c r="E77" s="65">
        <v>3.9701445132599997E-3</v>
      </c>
    </row>
    <row r="78" spans="2:5" ht="14.45" customHeight="1">
      <c r="B78" s="96" t="s">
        <v>368</v>
      </c>
      <c r="C78" s="58" t="s">
        <v>29</v>
      </c>
      <c r="D78" s="59">
        <v>44</v>
      </c>
      <c r="E78" s="60">
        <v>6.9874543433380001E-3</v>
      </c>
    </row>
    <row r="79" spans="2:5" ht="14.45" customHeight="1">
      <c r="B79" s="94" t="s">
        <v>52</v>
      </c>
      <c r="C79" s="63" t="s">
        <v>147</v>
      </c>
      <c r="D79" s="64">
        <v>273</v>
      </c>
      <c r="E79" s="65">
        <v>4.3353978084802E-2</v>
      </c>
    </row>
    <row r="80" spans="2:5" ht="14.45" customHeight="1">
      <c r="B80" s="95"/>
      <c r="C80" s="63" t="s">
        <v>148</v>
      </c>
      <c r="D80" s="64">
        <v>268</v>
      </c>
      <c r="E80" s="65">
        <v>4.2559949182150003E-2</v>
      </c>
    </row>
    <row r="81" spans="2:5" ht="14.45" customHeight="1">
      <c r="B81" s="96" t="s">
        <v>369</v>
      </c>
      <c r="C81" s="58" t="s">
        <v>29</v>
      </c>
      <c r="D81" s="59">
        <v>541</v>
      </c>
      <c r="E81" s="60">
        <v>8.5913927266953002E-2</v>
      </c>
    </row>
    <row r="82" spans="2:5" ht="14.45" customHeight="1">
      <c r="B82" s="94" t="s">
        <v>89</v>
      </c>
      <c r="C82" s="63" t="s">
        <v>147</v>
      </c>
      <c r="D82" s="64">
        <v>10</v>
      </c>
      <c r="E82" s="65">
        <v>1.5880578053040001E-3</v>
      </c>
    </row>
    <row r="83" spans="2:5" ht="14.45" customHeight="1">
      <c r="B83" s="95"/>
      <c r="C83" s="63" t="s">
        <v>148</v>
      </c>
      <c r="D83" s="64">
        <v>7</v>
      </c>
      <c r="E83" s="65">
        <v>1.111640463713E-3</v>
      </c>
    </row>
    <row r="84" spans="2:5" ht="14.45" customHeight="1">
      <c r="B84" s="96" t="s">
        <v>370</v>
      </c>
      <c r="C84" s="58" t="s">
        <v>29</v>
      </c>
      <c r="D84" s="59">
        <v>17</v>
      </c>
      <c r="E84" s="60">
        <v>2.699698269017E-3</v>
      </c>
    </row>
    <row r="85" spans="2:5" ht="14.45" customHeight="1">
      <c r="B85" s="94" t="s">
        <v>92</v>
      </c>
      <c r="C85" s="63" t="s">
        <v>147</v>
      </c>
      <c r="D85" s="64">
        <v>6</v>
      </c>
      <c r="E85" s="65">
        <v>9.5283468318199996E-4</v>
      </c>
    </row>
    <row r="86" spans="2:5" ht="14.45" customHeight="1">
      <c r="B86" s="95"/>
      <c r="C86" s="63" t="s">
        <v>148</v>
      </c>
      <c r="D86" s="64">
        <v>7</v>
      </c>
      <c r="E86" s="65">
        <v>1.111640463713E-3</v>
      </c>
    </row>
    <row r="87" spans="2:5" ht="14.45" customHeight="1">
      <c r="B87" s="96" t="s">
        <v>371</v>
      </c>
      <c r="C87" s="58" t="s">
        <v>29</v>
      </c>
      <c r="D87" s="59">
        <v>13</v>
      </c>
      <c r="E87" s="60">
        <v>2.0644751468950001E-3</v>
      </c>
    </row>
    <row r="88" spans="2:5" ht="14.45" customHeight="1">
      <c r="B88" s="94" t="s">
        <v>78</v>
      </c>
      <c r="C88" s="63" t="s">
        <v>147</v>
      </c>
      <c r="D88" s="64">
        <v>11</v>
      </c>
      <c r="E88" s="65">
        <v>1.7468635858350001E-3</v>
      </c>
    </row>
    <row r="89" spans="2:5" ht="14.45" customHeight="1">
      <c r="B89" s="95"/>
      <c r="C89" s="63" t="s">
        <v>148</v>
      </c>
      <c r="D89" s="64">
        <v>18</v>
      </c>
      <c r="E89" s="65">
        <v>2.8585040495470002E-3</v>
      </c>
    </row>
    <row r="90" spans="2:5" ht="14.45" customHeight="1">
      <c r="B90" s="96" t="s">
        <v>372</v>
      </c>
      <c r="C90" s="58" t="s">
        <v>29</v>
      </c>
      <c r="D90" s="59">
        <v>29</v>
      </c>
      <c r="E90" s="60">
        <v>4.6053676353819996E-3</v>
      </c>
    </row>
    <row r="91" spans="2:5" ht="14.45" customHeight="1">
      <c r="B91" s="94" t="s">
        <v>100</v>
      </c>
      <c r="C91" s="63" t="s">
        <v>147</v>
      </c>
      <c r="D91" s="64">
        <v>1</v>
      </c>
      <c r="E91" s="65">
        <v>1.5880578052999999E-4</v>
      </c>
    </row>
    <row r="92" spans="2:5" ht="14.45" customHeight="1">
      <c r="B92" s="95"/>
      <c r="C92" s="63" t="s">
        <v>148</v>
      </c>
      <c r="D92" s="64">
        <v>1</v>
      </c>
      <c r="E92" s="65">
        <v>1.5880578052999999E-4</v>
      </c>
    </row>
    <row r="93" spans="2:5" ht="14.45" customHeight="1">
      <c r="B93" s="96" t="s">
        <v>373</v>
      </c>
      <c r="C93" s="58" t="s">
        <v>29</v>
      </c>
      <c r="D93" s="59">
        <v>2</v>
      </c>
      <c r="E93" s="60">
        <v>3.1761156106099999E-4</v>
      </c>
    </row>
    <row r="94" spans="2:5" ht="14.45" customHeight="1">
      <c r="B94" s="94" t="s">
        <v>58</v>
      </c>
      <c r="C94" s="63" t="s">
        <v>147</v>
      </c>
      <c r="D94" s="64">
        <v>82</v>
      </c>
      <c r="E94" s="65">
        <v>1.3022074003494E-2</v>
      </c>
    </row>
    <row r="95" spans="2:5" ht="14.45" customHeight="1">
      <c r="B95" s="95"/>
      <c r="C95" s="63" t="s">
        <v>148</v>
      </c>
      <c r="D95" s="64">
        <v>45</v>
      </c>
      <c r="E95" s="65">
        <v>7.1462601238689999E-3</v>
      </c>
    </row>
    <row r="96" spans="2:5" ht="14.45" customHeight="1">
      <c r="B96" s="96" t="s">
        <v>374</v>
      </c>
      <c r="C96" s="58" t="s">
        <v>29</v>
      </c>
      <c r="D96" s="59">
        <v>127</v>
      </c>
      <c r="E96" s="60">
        <v>2.0168334127361999E-2</v>
      </c>
    </row>
    <row r="97" spans="2:5" ht="14.45" customHeight="1">
      <c r="B97" s="94" t="s">
        <v>91</v>
      </c>
      <c r="C97" s="63" t="s">
        <v>147</v>
      </c>
      <c r="D97" s="64">
        <v>9</v>
      </c>
      <c r="E97" s="65">
        <v>1.4292520247739999E-3</v>
      </c>
    </row>
    <row r="98" spans="2:5" ht="14.45" customHeight="1">
      <c r="B98" s="95"/>
      <c r="C98" s="63" t="s">
        <v>148</v>
      </c>
      <c r="D98" s="64">
        <v>6</v>
      </c>
      <c r="E98" s="65">
        <v>9.5283468318199996E-4</v>
      </c>
    </row>
    <row r="99" spans="2:5" ht="14.45" customHeight="1">
      <c r="B99" s="96" t="s">
        <v>375</v>
      </c>
      <c r="C99" s="58" t="s">
        <v>29</v>
      </c>
      <c r="D99" s="59">
        <v>15</v>
      </c>
      <c r="E99" s="60">
        <v>2.3820867079560001E-3</v>
      </c>
    </row>
    <row r="100" spans="2:5" ht="14.45" customHeight="1">
      <c r="B100" s="94" t="s">
        <v>85</v>
      </c>
      <c r="C100" s="63" t="s">
        <v>147</v>
      </c>
      <c r="D100" s="64">
        <v>5</v>
      </c>
      <c r="E100" s="65">
        <v>7.9402890265200003E-4</v>
      </c>
    </row>
    <row r="101" spans="2:5" ht="14.45" customHeight="1">
      <c r="B101" s="95"/>
      <c r="C101" s="63" t="s">
        <v>148</v>
      </c>
      <c r="D101" s="64">
        <v>14</v>
      </c>
      <c r="E101" s="65">
        <v>2.2232809274259999E-3</v>
      </c>
    </row>
    <row r="102" spans="2:5" ht="14.45" customHeight="1">
      <c r="B102" s="96" t="s">
        <v>376</v>
      </c>
      <c r="C102" s="58" t="s">
        <v>29</v>
      </c>
      <c r="D102" s="59">
        <v>19</v>
      </c>
      <c r="E102" s="60">
        <v>3.017309830078E-3</v>
      </c>
    </row>
    <row r="103" spans="2:5" ht="14.45" customHeight="1">
      <c r="B103" s="94" t="s">
        <v>71</v>
      </c>
      <c r="C103" s="63" t="s">
        <v>147</v>
      </c>
      <c r="D103" s="64">
        <v>29</v>
      </c>
      <c r="E103" s="65">
        <v>4.6053676353819996E-3</v>
      </c>
    </row>
    <row r="104" spans="2:5" ht="14.45" customHeight="1">
      <c r="B104" s="95"/>
      <c r="C104" s="63" t="s">
        <v>148</v>
      </c>
      <c r="D104" s="64">
        <v>27</v>
      </c>
      <c r="E104" s="65">
        <v>4.2877560743210001E-3</v>
      </c>
    </row>
    <row r="105" spans="2:5" ht="14.45" customHeight="1">
      <c r="B105" s="96" t="s">
        <v>377</v>
      </c>
      <c r="C105" s="58" t="s">
        <v>29</v>
      </c>
      <c r="D105" s="59">
        <v>56</v>
      </c>
      <c r="E105" s="60">
        <v>8.8931237097030005E-3</v>
      </c>
    </row>
    <row r="106" spans="2:5" ht="14.45" customHeight="1">
      <c r="B106" s="94" t="s">
        <v>90</v>
      </c>
      <c r="C106" s="63" t="s">
        <v>147</v>
      </c>
      <c r="D106" s="64">
        <v>7</v>
      </c>
      <c r="E106" s="65">
        <v>1.111640463713E-3</v>
      </c>
    </row>
    <row r="107" spans="2:5" ht="14.45" customHeight="1">
      <c r="B107" s="95"/>
      <c r="C107" s="63" t="s">
        <v>148</v>
      </c>
      <c r="D107" s="64">
        <v>9</v>
      </c>
      <c r="E107" s="65">
        <v>1.4292520247739999E-3</v>
      </c>
    </row>
    <row r="108" spans="2:5" ht="14.45" customHeight="1">
      <c r="B108" s="96" t="s">
        <v>378</v>
      </c>
      <c r="C108" s="58" t="s">
        <v>29</v>
      </c>
      <c r="D108" s="59">
        <v>16</v>
      </c>
      <c r="E108" s="60">
        <v>2.5408924884869999E-3</v>
      </c>
    </row>
    <row r="109" spans="2:5" ht="14.45" customHeight="1">
      <c r="B109" s="94" t="s">
        <v>79</v>
      </c>
      <c r="C109" s="63" t="s">
        <v>147</v>
      </c>
      <c r="D109" s="64">
        <v>9</v>
      </c>
      <c r="E109" s="65">
        <v>1.4292520247739999E-3</v>
      </c>
    </row>
    <row r="110" spans="2:5" ht="14.45" customHeight="1">
      <c r="B110" s="95"/>
      <c r="C110" s="63" t="s">
        <v>148</v>
      </c>
      <c r="D110" s="64">
        <v>20</v>
      </c>
      <c r="E110" s="65">
        <v>3.1761156106080001E-3</v>
      </c>
    </row>
    <row r="111" spans="2:5" ht="14.45" customHeight="1">
      <c r="B111" s="96" t="s">
        <v>379</v>
      </c>
      <c r="C111" s="58" t="s">
        <v>29</v>
      </c>
      <c r="D111" s="59">
        <v>29</v>
      </c>
      <c r="E111" s="60">
        <v>4.6053676353819996E-3</v>
      </c>
    </row>
    <row r="112" spans="2:5" ht="14.45" customHeight="1">
      <c r="B112" s="94" t="s">
        <v>77</v>
      </c>
      <c r="C112" s="63" t="s">
        <v>147</v>
      </c>
      <c r="D112" s="64">
        <v>21</v>
      </c>
      <c r="E112" s="65">
        <v>3.3349213911389999E-3</v>
      </c>
    </row>
    <row r="113" spans="2:5" ht="14.45" customHeight="1">
      <c r="B113" s="95"/>
      <c r="C113" s="63" t="s">
        <v>148</v>
      </c>
      <c r="D113" s="64">
        <v>12</v>
      </c>
      <c r="E113" s="65">
        <v>1.905669366365E-3</v>
      </c>
    </row>
    <row r="114" spans="2:5" ht="14.45" customHeight="1">
      <c r="B114" s="96" t="s">
        <v>380</v>
      </c>
      <c r="C114" s="58" t="s">
        <v>29</v>
      </c>
      <c r="D114" s="59">
        <v>33</v>
      </c>
      <c r="E114" s="60">
        <v>5.2405907575040003E-3</v>
      </c>
    </row>
    <row r="115" spans="2:5" ht="14.45" customHeight="1">
      <c r="B115" s="94" t="s">
        <v>50</v>
      </c>
      <c r="C115" s="63" t="s">
        <v>147</v>
      </c>
      <c r="D115" s="64">
        <v>799</v>
      </c>
      <c r="E115" s="65">
        <v>0.126885818643799</v>
      </c>
    </row>
    <row r="116" spans="2:5" ht="14.45" customHeight="1">
      <c r="B116" s="95"/>
      <c r="C116" s="63" t="s">
        <v>148</v>
      </c>
      <c r="D116" s="64">
        <v>916</v>
      </c>
      <c r="E116" s="65">
        <v>0.145466094965857</v>
      </c>
    </row>
    <row r="117" spans="2:5" ht="14.45" customHeight="1">
      <c r="B117" s="96" t="s">
        <v>381</v>
      </c>
      <c r="C117" s="58" t="s">
        <v>29</v>
      </c>
      <c r="D117" s="59">
        <v>1715</v>
      </c>
      <c r="E117" s="60">
        <v>0.27235191360965499</v>
      </c>
    </row>
    <row r="118" spans="2:5" ht="14.45" customHeight="1">
      <c r="B118" s="94" t="s">
        <v>82</v>
      </c>
      <c r="C118" s="63" t="s">
        <v>147</v>
      </c>
      <c r="D118" s="64">
        <v>6</v>
      </c>
      <c r="E118" s="65">
        <v>9.5283468318199996E-4</v>
      </c>
    </row>
    <row r="119" spans="2:5" ht="14.45" customHeight="1">
      <c r="B119" s="95"/>
      <c r="C119" s="63" t="s">
        <v>148</v>
      </c>
      <c r="D119" s="64">
        <v>19</v>
      </c>
      <c r="E119" s="65">
        <v>3.017309830078E-3</v>
      </c>
    </row>
    <row r="120" spans="2:5" ht="14.45" customHeight="1">
      <c r="B120" s="96" t="s">
        <v>382</v>
      </c>
      <c r="C120" s="58" t="s">
        <v>29</v>
      </c>
      <c r="D120" s="59">
        <v>25</v>
      </c>
      <c r="E120" s="60">
        <v>3.9701445132599997E-3</v>
      </c>
    </row>
    <row r="121" spans="2:5" ht="14.45" customHeight="1">
      <c r="B121" s="94" t="s">
        <v>93</v>
      </c>
      <c r="C121" s="63" t="s">
        <v>147</v>
      </c>
      <c r="D121" s="64">
        <v>2</v>
      </c>
      <c r="E121" s="65">
        <v>3.1761156106099999E-4</v>
      </c>
    </row>
    <row r="122" spans="2:5" ht="14.45" customHeight="1">
      <c r="B122" s="95"/>
      <c r="C122" s="63" t="s">
        <v>148</v>
      </c>
      <c r="D122" s="64">
        <v>9</v>
      </c>
      <c r="E122" s="65">
        <v>1.4292520247739999E-3</v>
      </c>
    </row>
    <row r="123" spans="2:5" ht="14.45" customHeight="1">
      <c r="B123" s="96" t="s">
        <v>383</v>
      </c>
      <c r="C123" s="58" t="s">
        <v>29</v>
      </c>
      <c r="D123" s="59">
        <v>11</v>
      </c>
      <c r="E123" s="60">
        <v>1.7468635858350001E-3</v>
      </c>
    </row>
    <row r="124" spans="2:5" ht="14.45" customHeight="1">
      <c r="B124" s="94" t="s">
        <v>68</v>
      </c>
      <c r="C124" s="63" t="s">
        <v>147</v>
      </c>
      <c r="D124" s="64">
        <v>29</v>
      </c>
      <c r="E124" s="65">
        <v>4.6053676353819996E-3</v>
      </c>
    </row>
    <row r="125" spans="2:5" ht="14.45" customHeight="1">
      <c r="B125" s="95"/>
      <c r="C125" s="63" t="s">
        <v>148</v>
      </c>
      <c r="D125" s="64">
        <v>34</v>
      </c>
      <c r="E125" s="65">
        <v>5.399396538034E-3</v>
      </c>
    </row>
    <row r="126" spans="2:5" ht="14.45" customHeight="1">
      <c r="B126" s="96" t="s">
        <v>384</v>
      </c>
      <c r="C126" s="58" t="s">
        <v>29</v>
      </c>
      <c r="D126" s="59">
        <v>63</v>
      </c>
      <c r="E126" s="60">
        <v>1.0004764173416E-2</v>
      </c>
    </row>
    <row r="127" spans="2:5" ht="14.45" customHeight="1">
      <c r="B127" s="94" t="s">
        <v>60</v>
      </c>
      <c r="C127" s="63" t="s">
        <v>147</v>
      </c>
      <c r="D127" s="64">
        <v>48</v>
      </c>
      <c r="E127" s="65">
        <v>7.62267746546E-3</v>
      </c>
    </row>
    <row r="128" spans="2:5" ht="14.45" customHeight="1">
      <c r="B128" s="95"/>
      <c r="C128" s="63" t="s">
        <v>148</v>
      </c>
      <c r="D128" s="64">
        <v>60</v>
      </c>
      <c r="E128" s="65">
        <v>9.5283468318249995E-3</v>
      </c>
    </row>
    <row r="129" spans="2:5" ht="14.45" customHeight="1">
      <c r="B129" s="96" t="s">
        <v>385</v>
      </c>
      <c r="C129" s="58" t="s">
        <v>29</v>
      </c>
      <c r="D129" s="59">
        <v>108</v>
      </c>
      <c r="E129" s="60">
        <v>1.7151024297284E-2</v>
      </c>
    </row>
    <row r="130" spans="2:5" ht="14.45" customHeight="1">
      <c r="B130" s="94" t="s">
        <v>75</v>
      </c>
      <c r="C130" s="63" t="s">
        <v>147</v>
      </c>
      <c r="D130" s="64">
        <v>8</v>
      </c>
      <c r="E130" s="65">
        <v>1.2704462442429999E-3</v>
      </c>
    </row>
    <row r="131" spans="2:5" ht="14.45" customHeight="1">
      <c r="B131" s="95"/>
      <c r="C131" s="63" t="s">
        <v>148</v>
      </c>
      <c r="D131" s="64">
        <v>26</v>
      </c>
      <c r="E131" s="65">
        <v>4.1289502937910004E-3</v>
      </c>
    </row>
    <row r="132" spans="2:5" ht="14.45" customHeight="1">
      <c r="B132" s="96" t="s">
        <v>386</v>
      </c>
      <c r="C132" s="58" t="s">
        <v>29</v>
      </c>
      <c r="D132" s="59">
        <v>34</v>
      </c>
      <c r="E132" s="60">
        <v>5.399396538034E-3</v>
      </c>
    </row>
    <row r="133" spans="2:5" ht="14.45" customHeight="1">
      <c r="B133" s="94" t="s">
        <v>66</v>
      </c>
      <c r="C133" s="63" t="s">
        <v>147</v>
      </c>
      <c r="D133" s="64">
        <v>37</v>
      </c>
      <c r="E133" s="65">
        <v>5.8758138796250001E-3</v>
      </c>
    </row>
    <row r="134" spans="2:5" ht="14.45" customHeight="1">
      <c r="B134" s="95"/>
      <c r="C134" s="63" t="s">
        <v>148</v>
      </c>
      <c r="D134" s="64">
        <v>45</v>
      </c>
      <c r="E134" s="65">
        <v>7.1462601238689999E-3</v>
      </c>
    </row>
    <row r="135" spans="2:5" ht="14.45" customHeight="1">
      <c r="B135" s="96" t="s">
        <v>387</v>
      </c>
      <c r="C135" s="58" t="s">
        <v>29</v>
      </c>
      <c r="D135" s="59">
        <v>82</v>
      </c>
      <c r="E135" s="60">
        <v>1.3022074003494E-2</v>
      </c>
    </row>
    <row r="136" spans="2:5" ht="14.45" customHeight="1">
      <c r="B136" s="94" t="s">
        <v>86</v>
      </c>
      <c r="C136" s="63" t="s">
        <v>147</v>
      </c>
      <c r="D136" s="64">
        <v>10</v>
      </c>
      <c r="E136" s="65">
        <v>1.5880578053040001E-3</v>
      </c>
    </row>
    <row r="137" spans="2:5" ht="14.45" customHeight="1">
      <c r="B137" s="95"/>
      <c r="C137" s="63" t="s">
        <v>148</v>
      </c>
      <c r="D137" s="64">
        <v>9</v>
      </c>
      <c r="E137" s="65">
        <v>1.4292520247739999E-3</v>
      </c>
    </row>
    <row r="138" spans="2:5" ht="14.45" customHeight="1">
      <c r="B138" s="96" t="s">
        <v>388</v>
      </c>
      <c r="C138" s="58" t="s">
        <v>29</v>
      </c>
      <c r="D138" s="59">
        <v>19</v>
      </c>
      <c r="E138" s="60">
        <v>3.017309830078E-3</v>
      </c>
    </row>
    <row r="139" spans="2:5" ht="14.45" customHeight="1">
      <c r="B139" s="94" t="s">
        <v>54</v>
      </c>
      <c r="C139" s="63" t="s">
        <v>147</v>
      </c>
      <c r="D139" s="64">
        <v>149</v>
      </c>
      <c r="E139" s="65">
        <v>2.3662061299030999E-2</v>
      </c>
    </row>
    <row r="140" spans="2:5" ht="14.45" customHeight="1">
      <c r="B140" s="95"/>
      <c r="C140" s="63" t="s">
        <v>148</v>
      </c>
      <c r="D140" s="64">
        <v>91</v>
      </c>
      <c r="E140" s="65">
        <v>1.4451326028267E-2</v>
      </c>
    </row>
    <row r="141" spans="2:5" ht="14.45" customHeight="1">
      <c r="B141" s="96" t="s">
        <v>389</v>
      </c>
      <c r="C141" s="58" t="s">
        <v>29</v>
      </c>
      <c r="D141" s="59">
        <v>240</v>
      </c>
      <c r="E141" s="60">
        <v>3.8113387327298999E-2</v>
      </c>
    </row>
    <row r="142" spans="2:5" ht="14.45" customHeight="1">
      <c r="B142" s="94" t="s">
        <v>62</v>
      </c>
      <c r="C142" s="63" t="s">
        <v>147</v>
      </c>
      <c r="D142" s="64">
        <v>53</v>
      </c>
      <c r="E142" s="65">
        <v>8.4167063681120004E-3</v>
      </c>
    </row>
    <row r="143" spans="2:5" ht="14.45" customHeight="1">
      <c r="B143" s="95"/>
      <c r="C143" s="63" t="s">
        <v>148</v>
      </c>
      <c r="D143" s="64">
        <v>49</v>
      </c>
      <c r="E143" s="65">
        <v>7.7814832459899997E-3</v>
      </c>
    </row>
    <row r="144" spans="2:5" ht="14.45" customHeight="1">
      <c r="B144" s="96" t="s">
        <v>390</v>
      </c>
      <c r="C144" s="58" t="s">
        <v>29</v>
      </c>
      <c r="D144" s="59">
        <v>102</v>
      </c>
      <c r="E144" s="60">
        <v>1.6198189614102E-2</v>
      </c>
    </row>
    <row r="145" spans="2:5" ht="14.45" customHeight="1">
      <c r="B145" s="94" t="s">
        <v>72</v>
      </c>
      <c r="C145" s="63" t="s">
        <v>147</v>
      </c>
      <c r="D145" s="64">
        <v>20</v>
      </c>
      <c r="E145" s="65">
        <v>3.1761156106080001E-3</v>
      </c>
    </row>
    <row r="146" spans="2:5" ht="14.45" customHeight="1">
      <c r="B146" s="95"/>
      <c r="C146" s="63" t="s">
        <v>148</v>
      </c>
      <c r="D146" s="64">
        <v>31</v>
      </c>
      <c r="E146" s="65">
        <v>4.922979196443E-3</v>
      </c>
    </row>
    <row r="147" spans="2:5" ht="14.45" customHeight="1">
      <c r="B147" s="96" t="s">
        <v>391</v>
      </c>
      <c r="C147" s="58" t="s">
        <v>29</v>
      </c>
      <c r="D147" s="59">
        <v>51</v>
      </c>
      <c r="E147" s="60">
        <v>8.0990948070510001E-3</v>
      </c>
    </row>
    <row r="148" spans="2:5" ht="14.45" customHeight="1">
      <c r="B148" s="94" t="s">
        <v>63</v>
      </c>
      <c r="C148" s="63" t="s">
        <v>147</v>
      </c>
      <c r="D148" s="64">
        <v>53</v>
      </c>
      <c r="E148" s="65">
        <v>8.4167063681120004E-3</v>
      </c>
    </row>
    <row r="149" spans="2:5" ht="14.45" customHeight="1">
      <c r="B149" s="95"/>
      <c r="C149" s="63" t="s">
        <v>148</v>
      </c>
      <c r="D149" s="64">
        <v>47</v>
      </c>
      <c r="E149" s="65">
        <v>7.4638716849290002E-3</v>
      </c>
    </row>
    <row r="150" spans="2:5" ht="14.45" customHeight="1">
      <c r="B150" s="96" t="s">
        <v>392</v>
      </c>
      <c r="C150" s="58" t="s">
        <v>29</v>
      </c>
      <c r="D150" s="59">
        <v>100</v>
      </c>
      <c r="E150" s="60">
        <v>1.5880578053041002E-2</v>
      </c>
    </row>
    <row r="151" spans="2:5" ht="14.45" customHeight="1">
      <c r="B151" s="94" t="s">
        <v>64</v>
      </c>
      <c r="C151" s="63" t="s">
        <v>147</v>
      </c>
      <c r="D151" s="64">
        <v>55</v>
      </c>
      <c r="E151" s="65">
        <v>8.7343179291730008E-3</v>
      </c>
    </row>
    <row r="152" spans="2:5" ht="14.45" customHeight="1">
      <c r="B152" s="95"/>
      <c r="C152" s="63" t="s">
        <v>148</v>
      </c>
      <c r="D152" s="64">
        <v>41</v>
      </c>
      <c r="E152" s="65">
        <v>6.511037001747E-3</v>
      </c>
    </row>
    <row r="153" spans="2:5" ht="14.45" customHeight="1">
      <c r="B153" s="96" t="s">
        <v>393</v>
      </c>
      <c r="C153" s="58" t="s">
        <v>29</v>
      </c>
      <c r="D153" s="59">
        <v>96</v>
      </c>
      <c r="E153" s="60">
        <v>1.5245354930919001E-2</v>
      </c>
    </row>
    <row r="154" spans="2:5" ht="14.45" customHeight="1">
      <c r="B154" s="94" t="s">
        <v>80</v>
      </c>
      <c r="C154" s="63" t="s">
        <v>147</v>
      </c>
      <c r="D154" s="64">
        <v>8</v>
      </c>
      <c r="E154" s="65">
        <v>1.2704462442429999E-3</v>
      </c>
    </row>
    <row r="155" spans="2:5" ht="14.45" customHeight="1">
      <c r="B155" s="95"/>
      <c r="C155" s="63" t="s">
        <v>148</v>
      </c>
      <c r="D155" s="64">
        <v>20</v>
      </c>
      <c r="E155" s="65">
        <v>3.1761156106080001E-3</v>
      </c>
    </row>
    <row r="156" spans="2:5" ht="14.45" customHeight="1">
      <c r="B156" s="96" t="s">
        <v>394</v>
      </c>
      <c r="C156" s="58" t="s">
        <v>29</v>
      </c>
      <c r="D156" s="59">
        <v>28</v>
      </c>
      <c r="E156" s="60">
        <v>4.4465618548519999E-3</v>
      </c>
    </row>
    <row r="157" spans="2:5" ht="14.45" customHeight="1">
      <c r="B157" s="94" t="s">
        <v>51</v>
      </c>
      <c r="C157" s="63" t="s">
        <v>147</v>
      </c>
      <c r="D157" s="64">
        <v>526</v>
      </c>
      <c r="E157" s="65">
        <v>8.3531840558995998E-2</v>
      </c>
    </row>
    <row r="158" spans="2:5" ht="14.45" customHeight="1">
      <c r="B158" s="95"/>
      <c r="C158" s="63" t="s">
        <v>148</v>
      </c>
      <c r="D158" s="64">
        <v>580</v>
      </c>
      <c r="E158" s="65">
        <v>9.2107352707639006E-2</v>
      </c>
    </row>
    <row r="159" spans="2:5" ht="14.45" customHeight="1">
      <c r="B159" s="96" t="s">
        <v>395</v>
      </c>
      <c r="C159" s="58" t="s">
        <v>29</v>
      </c>
      <c r="D159" s="59">
        <v>1106</v>
      </c>
      <c r="E159" s="60">
        <v>0.17563919326663499</v>
      </c>
    </row>
    <row r="160" spans="2:5" ht="14.45" customHeight="1">
      <c r="B160" s="94" t="s">
        <v>96</v>
      </c>
      <c r="C160" s="63" t="s">
        <v>147</v>
      </c>
      <c r="D160" s="64">
        <v>4</v>
      </c>
      <c r="E160" s="65">
        <v>6.3522312212199999E-4</v>
      </c>
    </row>
    <row r="161" spans="2:5" ht="14.45" customHeight="1">
      <c r="B161" s="95"/>
      <c r="C161" s="63" t="s">
        <v>148</v>
      </c>
      <c r="D161" s="64">
        <v>4</v>
      </c>
      <c r="E161" s="65">
        <v>6.3522312212199999E-4</v>
      </c>
    </row>
    <row r="162" spans="2:5" ht="14.45" customHeight="1">
      <c r="B162" s="96" t="s">
        <v>190</v>
      </c>
      <c r="C162" s="58" t="s">
        <v>29</v>
      </c>
      <c r="D162" s="59">
        <v>8</v>
      </c>
      <c r="E162" s="60">
        <v>1.2704462442429999E-3</v>
      </c>
    </row>
    <row r="163" spans="2:5" ht="14.45" customHeight="1">
      <c r="B163" s="94" t="s">
        <v>56</v>
      </c>
      <c r="C163" s="63" t="s">
        <v>147</v>
      </c>
      <c r="D163" s="64">
        <v>103</v>
      </c>
      <c r="E163" s="65">
        <v>1.6356995394632E-2</v>
      </c>
    </row>
    <row r="164" spans="2:5" ht="14.45" customHeight="1">
      <c r="B164" s="95"/>
      <c r="C164" s="63" t="s">
        <v>148</v>
      </c>
      <c r="D164" s="64">
        <v>68</v>
      </c>
      <c r="E164" s="65">
        <v>1.0798793076068E-2</v>
      </c>
    </row>
    <row r="165" spans="2:5" ht="14.45" customHeight="1">
      <c r="B165" s="96" t="s">
        <v>396</v>
      </c>
      <c r="C165" s="58" t="s">
        <v>29</v>
      </c>
      <c r="D165" s="59">
        <v>171</v>
      </c>
      <c r="E165" s="60">
        <v>2.71557884707E-2</v>
      </c>
    </row>
    <row r="166" spans="2:5" ht="14.45" customHeight="1">
      <c r="B166" s="102" t="s">
        <v>29</v>
      </c>
      <c r="C166" s="103"/>
      <c r="D166" s="56">
        <v>6297</v>
      </c>
      <c r="E166" s="57">
        <v>1</v>
      </c>
    </row>
    <row r="167" spans="2:5" ht="14.45" customHeight="1"/>
    <row r="168" spans="2:5" ht="14.45" customHeight="1">
      <c r="B168" s="15" t="s">
        <v>47</v>
      </c>
    </row>
    <row r="169" spans="2:5" ht="14.45" customHeight="1">
      <c r="B169" s="17" t="s">
        <v>18</v>
      </c>
    </row>
    <row r="170" spans="2:5" ht="14.45" customHeight="1">
      <c r="B170" s="16" t="s">
        <v>48</v>
      </c>
    </row>
    <row r="171" spans="2:5" ht="14.45" customHeight="1">
      <c r="B171" s="15" t="s">
        <v>17</v>
      </c>
    </row>
    <row r="172" spans="2:5" ht="14.45" customHeight="1">
      <c r="B172" s="15" t="s">
        <v>49</v>
      </c>
    </row>
  </sheetData>
  <mergeCells count="54">
    <mergeCell ref="B45:B47"/>
    <mergeCell ref="B121:B123"/>
    <mergeCell ref="B124:B126"/>
    <mergeCell ref="B127:B129"/>
    <mergeCell ref="B130:B132"/>
    <mergeCell ref="B48:B50"/>
    <mergeCell ref="B51:B52"/>
    <mergeCell ref="B53:B55"/>
    <mergeCell ref="B56:B58"/>
    <mergeCell ref="B59:B61"/>
    <mergeCell ref="B62:B64"/>
    <mergeCell ref="B65:B67"/>
    <mergeCell ref="B68:B70"/>
    <mergeCell ref="B71:B72"/>
    <mergeCell ref="B31:B33"/>
    <mergeCell ref="B34:B36"/>
    <mergeCell ref="B37:B39"/>
    <mergeCell ref="B40:B41"/>
    <mergeCell ref="B42:B44"/>
    <mergeCell ref="B28:B30"/>
    <mergeCell ref="B8:E10"/>
    <mergeCell ref="B13:B15"/>
    <mergeCell ref="B16:B18"/>
    <mergeCell ref="B19:B21"/>
    <mergeCell ref="B22:B24"/>
    <mergeCell ref="B25:B27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57:B159"/>
    <mergeCell ref="B160:B162"/>
    <mergeCell ref="B163:B165"/>
    <mergeCell ref="B166:C166"/>
    <mergeCell ref="B139:B141"/>
    <mergeCell ref="B142:B144"/>
    <mergeCell ref="B145:B147"/>
    <mergeCell ref="B148:B150"/>
    <mergeCell ref="B151:B153"/>
    <mergeCell ref="B154:B156"/>
    <mergeCell ref="B133:B135"/>
    <mergeCell ref="B136:B1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1"/>
  <sheetViews>
    <sheetView showGridLines="0" view="pageBreakPreview" topLeftCell="A131" zoomScaleNormal="100" zoomScaleSheetLayoutView="100" workbookViewId="0">
      <selection activeCell="C149" sqref="C149"/>
    </sheetView>
  </sheetViews>
  <sheetFormatPr baseColWidth="10" defaultColWidth="11.42578125" defaultRowHeight="11.25"/>
  <cols>
    <col min="1" max="1" width="5.7109375" style="25" customWidth="1"/>
    <col min="2" max="3" width="23.7109375" style="40" customWidth="1"/>
    <col min="4" max="4" width="15.7109375" style="44" customWidth="1"/>
    <col min="5" max="5" width="15.7109375" style="40" customWidth="1"/>
    <col min="6" max="6" width="5.7109375" style="25" customWidth="1"/>
    <col min="7" max="16384" width="11.42578125" style="25"/>
  </cols>
  <sheetData>
    <row r="1" spans="2:6" s="13" customFormat="1" ht="15">
      <c r="B1" s="40"/>
      <c r="C1" s="40"/>
    </row>
    <row r="2" spans="2:6" s="40" customFormat="1">
      <c r="B2" s="51"/>
    </row>
    <row r="3" spans="2:6" ht="15" customHeight="1">
      <c r="B3" s="52"/>
      <c r="C3" s="31"/>
      <c r="D3" s="25"/>
      <c r="F3" s="40"/>
    </row>
    <row r="4" spans="2:6" ht="30" customHeight="1">
      <c r="B4" s="52"/>
      <c r="C4" s="31"/>
      <c r="D4" s="25"/>
      <c r="F4" s="40"/>
    </row>
    <row r="5" spans="2:6" ht="15" customHeight="1">
      <c r="B5" s="52"/>
      <c r="C5" s="31"/>
      <c r="D5" s="25"/>
      <c r="F5" s="40"/>
    </row>
    <row r="6" spans="2:6" s="40" customFormat="1">
      <c r="B6" s="43"/>
      <c r="C6" s="42"/>
    </row>
    <row r="7" spans="2:6" s="40" customFormat="1">
      <c r="B7" s="51"/>
    </row>
    <row r="8" spans="2:6" s="13" customFormat="1" ht="15" customHeight="1">
      <c r="B8" s="93" t="s">
        <v>41</v>
      </c>
      <c r="C8" s="93"/>
      <c r="D8" s="93"/>
      <c r="E8" s="93"/>
    </row>
    <row r="9" spans="2:6" s="13" customFormat="1" ht="15" customHeight="1">
      <c r="B9" s="93"/>
      <c r="C9" s="93"/>
      <c r="D9" s="93"/>
      <c r="E9" s="93"/>
      <c r="F9" s="50"/>
    </row>
    <row r="10" spans="2:6" s="13" customFormat="1" ht="15" customHeight="1">
      <c r="B10" s="93"/>
      <c r="C10" s="93"/>
      <c r="D10" s="93"/>
      <c r="E10" s="93"/>
    </row>
    <row r="11" spans="2:6" s="13" customFormat="1" ht="15" customHeight="1">
      <c r="B11" s="53"/>
      <c r="C11" s="53"/>
      <c r="D11" s="53"/>
      <c r="E11" s="53"/>
    </row>
    <row r="12" spans="2:6" s="13" customFormat="1" ht="36.950000000000003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45" customHeight="1">
      <c r="B13" s="94" t="s">
        <v>102</v>
      </c>
      <c r="C13" s="63" t="s">
        <v>147</v>
      </c>
      <c r="D13" s="64">
        <v>7</v>
      </c>
      <c r="E13" s="65">
        <v>1.111640463713E-3</v>
      </c>
    </row>
    <row r="14" spans="2:6" ht="14.45" customHeight="1">
      <c r="B14" s="95"/>
      <c r="C14" s="63" t="s">
        <v>148</v>
      </c>
      <c r="D14" s="64">
        <v>2</v>
      </c>
      <c r="E14" s="65">
        <v>3.1761156106099999E-4</v>
      </c>
    </row>
    <row r="15" spans="2:6" ht="14.45" customHeight="1">
      <c r="B15" s="96"/>
      <c r="C15" s="58" t="s">
        <v>29</v>
      </c>
      <c r="D15" s="59">
        <v>9</v>
      </c>
      <c r="E15" s="60">
        <v>1.4292520247739999E-3</v>
      </c>
    </row>
    <row r="16" spans="2:6" ht="14.45" customHeight="1">
      <c r="B16" s="94" t="s">
        <v>103</v>
      </c>
      <c r="C16" s="63" t="s">
        <v>147</v>
      </c>
      <c r="D16" s="64">
        <v>1497</v>
      </c>
      <c r="E16" s="65">
        <v>0.23773225345402599</v>
      </c>
    </row>
    <row r="17" spans="2:5" ht="14.45" customHeight="1">
      <c r="B17" s="95"/>
      <c r="C17" s="63" t="s">
        <v>148</v>
      </c>
      <c r="D17" s="64">
        <v>1596</v>
      </c>
      <c r="E17" s="65">
        <v>0.25345402572653603</v>
      </c>
    </row>
    <row r="18" spans="2:5" ht="14.45" customHeight="1">
      <c r="B18" s="96" t="s">
        <v>149</v>
      </c>
      <c r="C18" s="58" t="s">
        <v>29</v>
      </c>
      <c r="D18" s="59">
        <v>3093</v>
      </c>
      <c r="E18" s="60">
        <v>0.49118627918056201</v>
      </c>
    </row>
    <row r="19" spans="2:5" ht="14.45" customHeight="1">
      <c r="B19" s="94" t="s">
        <v>104</v>
      </c>
      <c r="C19" s="63" t="s">
        <v>147</v>
      </c>
      <c r="D19" s="64">
        <v>8</v>
      </c>
      <c r="E19" s="65">
        <v>1.2704462442429999E-3</v>
      </c>
    </row>
    <row r="20" spans="2:5" ht="14.45" customHeight="1">
      <c r="B20" s="95"/>
      <c r="C20" s="63" t="s">
        <v>148</v>
      </c>
      <c r="D20" s="64">
        <v>10</v>
      </c>
      <c r="E20" s="65">
        <v>1.5880578053040001E-3</v>
      </c>
    </row>
    <row r="21" spans="2:5" ht="14.45" customHeight="1">
      <c r="B21" s="96" t="s">
        <v>150</v>
      </c>
      <c r="C21" s="58" t="s">
        <v>29</v>
      </c>
      <c r="D21" s="59">
        <v>18</v>
      </c>
      <c r="E21" s="60">
        <v>2.8585040495470002E-3</v>
      </c>
    </row>
    <row r="22" spans="2:5" ht="14.45" customHeight="1">
      <c r="B22" s="94" t="s">
        <v>105</v>
      </c>
      <c r="C22" s="63" t="s">
        <v>147</v>
      </c>
      <c r="D22" s="64">
        <v>794</v>
      </c>
      <c r="E22" s="65">
        <v>0.12609178974114699</v>
      </c>
    </row>
    <row r="23" spans="2:5" ht="14.45" customHeight="1">
      <c r="B23" s="95"/>
      <c r="C23" s="63" t="s">
        <v>148</v>
      </c>
      <c r="D23" s="64">
        <v>721</v>
      </c>
      <c r="E23" s="65">
        <v>0.114498967762427</v>
      </c>
    </row>
    <row r="24" spans="2:5" ht="14.45" customHeight="1">
      <c r="B24" s="96" t="s">
        <v>151</v>
      </c>
      <c r="C24" s="58" t="s">
        <v>29</v>
      </c>
      <c r="D24" s="59">
        <v>1515</v>
      </c>
      <c r="E24" s="60">
        <v>0.24059075750357301</v>
      </c>
    </row>
    <row r="25" spans="2:5" ht="14.45" customHeight="1">
      <c r="B25" s="94" t="s">
        <v>106</v>
      </c>
      <c r="C25" s="63" t="s">
        <v>147</v>
      </c>
      <c r="D25" s="64">
        <v>54</v>
      </c>
      <c r="E25" s="65">
        <v>8.5755121486420002E-3</v>
      </c>
    </row>
    <row r="26" spans="2:5" ht="14.45" customHeight="1">
      <c r="B26" s="95"/>
      <c r="C26" s="63" t="s">
        <v>148</v>
      </c>
      <c r="D26" s="64">
        <v>62</v>
      </c>
      <c r="E26" s="65">
        <v>9.8459583928859999E-3</v>
      </c>
    </row>
    <row r="27" spans="2:5" ht="14.45" customHeight="1">
      <c r="B27" s="96" t="s">
        <v>152</v>
      </c>
      <c r="C27" s="58" t="s">
        <v>29</v>
      </c>
      <c r="D27" s="59">
        <v>116</v>
      </c>
      <c r="E27" s="60">
        <v>1.8421470541527998E-2</v>
      </c>
    </row>
    <row r="28" spans="2:5" ht="14.45" customHeight="1">
      <c r="B28" s="94" t="s">
        <v>107</v>
      </c>
      <c r="C28" s="63" t="s">
        <v>148</v>
      </c>
      <c r="D28" s="64">
        <v>1</v>
      </c>
      <c r="E28" s="65">
        <v>1.5880578052999999E-4</v>
      </c>
    </row>
    <row r="29" spans="2:5" ht="14.45" customHeight="1">
      <c r="B29" s="96" t="s">
        <v>153</v>
      </c>
      <c r="C29" s="58" t="s">
        <v>29</v>
      </c>
      <c r="D29" s="59">
        <v>1</v>
      </c>
      <c r="E29" s="60">
        <v>1.5880578052999999E-4</v>
      </c>
    </row>
    <row r="30" spans="2:5" ht="14.45" customHeight="1">
      <c r="B30" s="94" t="s">
        <v>108</v>
      </c>
      <c r="C30" s="63" t="s">
        <v>148</v>
      </c>
      <c r="D30" s="64">
        <v>1</v>
      </c>
      <c r="E30" s="65">
        <v>1.5880578052999999E-4</v>
      </c>
    </row>
    <row r="31" spans="2:5" ht="14.45" customHeight="1">
      <c r="B31" s="96" t="s">
        <v>154</v>
      </c>
      <c r="C31" s="58" t="s">
        <v>29</v>
      </c>
      <c r="D31" s="59">
        <v>1</v>
      </c>
      <c r="E31" s="60">
        <v>1.5880578052999999E-4</v>
      </c>
    </row>
    <row r="32" spans="2:5" ht="14.45" customHeight="1">
      <c r="B32" s="94" t="s">
        <v>109</v>
      </c>
      <c r="C32" s="63" t="s">
        <v>147</v>
      </c>
      <c r="D32" s="64">
        <v>1</v>
      </c>
      <c r="E32" s="65">
        <v>1.5880578052999999E-4</v>
      </c>
    </row>
    <row r="33" spans="2:5" ht="14.45" customHeight="1">
      <c r="B33" s="96" t="s">
        <v>155</v>
      </c>
      <c r="C33" s="58" t="s">
        <v>29</v>
      </c>
      <c r="D33" s="59">
        <v>1</v>
      </c>
      <c r="E33" s="60">
        <v>1.5880578052999999E-4</v>
      </c>
    </row>
    <row r="34" spans="2:5" ht="14.45" customHeight="1">
      <c r="B34" s="94" t="s">
        <v>110</v>
      </c>
      <c r="C34" s="63" t="s">
        <v>147</v>
      </c>
      <c r="D34" s="64">
        <v>15</v>
      </c>
      <c r="E34" s="65">
        <v>2.3820867079560001E-3</v>
      </c>
    </row>
    <row r="35" spans="2:5" ht="14.45" customHeight="1">
      <c r="B35" s="95"/>
      <c r="C35" s="63" t="s">
        <v>148</v>
      </c>
      <c r="D35" s="64">
        <v>27</v>
      </c>
      <c r="E35" s="65">
        <v>4.2877560743210001E-3</v>
      </c>
    </row>
    <row r="36" spans="2:5" ht="14.45" customHeight="1">
      <c r="B36" s="96" t="s">
        <v>156</v>
      </c>
      <c r="C36" s="58" t="s">
        <v>29</v>
      </c>
      <c r="D36" s="59">
        <v>42</v>
      </c>
      <c r="E36" s="60">
        <v>6.6698427822769997E-3</v>
      </c>
    </row>
    <row r="37" spans="2:5" ht="14.45" customHeight="1">
      <c r="B37" s="94" t="s">
        <v>111</v>
      </c>
      <c r="C37" s="63" t="s">
        <v>147</v>
      </c>
      <c r="D37" s="64">
        <v>9</v>
      </c>
      <c r="E37" s="65">
        <v>1.4292520247739999E-3</v>
      </c>
    </row>
    <row r="38" spans="2:5" ht="14.45" customHeight="1">
      <c r="B38" s="95"/>
      <c r="C38" s="63" t="s">
        <v>148</v>
      </c>
      <c r="D38" s="64">
        <v>9</v>
      </c>
      <c r="E38" s="65">
        <v>1.4292520247739999E-3</v>
      </c>
    </row>
    <row r="39" spans="2:5" ht="14.45" customHeight="1">
      <c r="B39" s="96" t="s">
        <v>157</v>
      </c>
      <c r="C39" s="58" t="s">
        <v>29</v>
      </c>
      <c r="D39" s="59">
        <v>18</v>
      </c>
      <c r="E39" s="60">
        <v>2.8585040495470002E-3</v>
      </c>
    </row>
    <row r="40" spans="2:5" ht="14.45" customHeight="1">
      <c r="B40" s="94" t="s">
        <v>112</v>
      </c>
      <c r="C40" s="63" t="s">
        <v>148</v>
      </c>
      <c r="D40" s="64">
        <v>1</v>
      </c>
      <c r="E40" s="65">
        <v>1.5880578052999999E-4</v>
      </c>
    </row>
    <row r="41" spans="2:5" ht="14.45" customHeight="1">
      <c r="B41" s="96" t="s">
        <v>158</v>
      </c>
      <c r="C41" s="58" t="s">
        <v>29</v>
      </c>
      <c r="D41" s="59">
        <v>1</v>
      </c>
      <c r="E41" s="60">
        <v>1.5880578052999999E-4</v>
      </c>
    </row>
    <row r="42" spans="2:5" ht="14.45" customHeight="1">
      <c r="B42" s="94" t="s">
        <v>113</v>
      </c>
      <c r="C42" s="63" t="s">
        <v>147</v>
      </c>
      <c r="D42" s="64">
        <v>35</v>
      </c>
      <c r="E42" s="65">
        <v>5.5582023185639998E-3</v>
      </c>
    </row>
    <row r="43" spans="2:5" ht="14.45" customHeight="1">
      <c r="B43" s="95"/>
      <c r="C43" s="63" t="s">
        <v>148</v>
      </c>
      <c r="D43" s="64">
        <v>43</v>
      </c>
      <c r="E43" s="65">
        <v>6.8286485628080004E-3</v>
      </c>
    </row>
    <row r="44" spans="2:5" ht="14.45" customHeight="1">
      <c r="B44" s="96" t="s">
        <v>159</v>
      </c>
      <c r="C44" s="58" t="s">
        <v>29</v>
      </c>
      <c r="D44" s="59">
        <v>78</v>
      </c>
      <c r="E44" s="60">
        <v>1.2386850881371999E-2</v>
      </c>
    </row>
    <row r="45" spans="2:5" ht="14.45" customHeight="1">
      <c r="B45" s="94" t="s">
        <v>114</v>
      </c>
      <c r="C45" s="63" t="s">
        <v>147</v>
      </c>
      <c r="D45" s="64">
        <v>62</v>
      </c>
      <c r="E45" s="65">
        <v>9.8459583928859999E-3</v>
      </c>
    </row>
    <row r="46" spans="2:5" ht="14.45" customHeight="1">
      <c r="B46" s="95"/>
      <c r="C46" s="63" t="s">
        <v>148</v>
      </c>
      <c r="D46" s="64">
        <v>55</v>
      </c>
      <c r="E46" s="65">
        <v>8.7343179291730008E-3</v>
      </c>
    </row>
    <row r="47" spans="2:5" ht="14.45" customHeight="1">
      <c r="B47" s="96" t="s">
        <v>160</v>
      </c>
      <c r="C47" s="58" t="s">
        <v>29</v>
      </c>
      <c r="D47" s="59">
        <v>117</v>
      </c>
      <c r="E47" s="60">
        <v>1.8580276322058002E-2</v>
      </c>
    </row>
    <row r="48" spans="2:5" ht="14.45" customHeight="1">
      <c r="B48" s="94" t="s">
        <v>115</v>
      </c>
      <c r="C48" s="63" t="s">
        <v>147</v>
      </c>
      <c r="D48" s="64">
        <v>15</v>
      </c>
      <c r="E48" s="65">
        <v>2.3820867079560001E-3</v>
      </c>
    </row>
    <row r="49" spans="2:5" ht="14.45" customHeight="1">
      <c r="B49" s="95"/>
      <c r="C49" s="63" t="s">
        <v>148</v>
      </c>
      <c r="D49" s="64">
        <v>12</v>
      </c>
      <c r="E49" s="65">
        <v>1.905669366365E-3</v>
      </c>
    </row>
    <row r="50" spans="2:5" ht="14.45" customHeight="1">
      <c r="B50" s="96" t="s">
        <v>161</v>
      </c>
      <c r="C50" s="58" t="s">
        <v>29</v>
      </c>
      <c r="D50" s="59">
        <v>27</v>
      </c>
      <c r="E50" s="60">
        <v>4.2877560743210001E-3</v>
      </c>
    </row>
    <row r="51" spans="2:5" ht="14.45" customHeight="1">
      <c r="B51" s="94" t="s">
        <v>116</v>
      </c>
      <c r="C51" s="63" t="s">
        <v>147</v>
      </c>
      <c r="D51" s="64">
        <v>2</v>
      </c>
      <c r="E51" s="65">
        <v>3.1761156106099999E-4</v>
      </c>
    </row>
    <row r="52" spans="2:5" ht="14.45" customHeight="1">
      <c r="B52" s="95"/>
      <c r="C52" s="63" t="s">
        <v>148</v>
      </c>
      <c r="D52" s="64">
        <v>2</v>
      </c>
      <c r="E52" s="65">
        <v>3.1761156106099999E-4</v>
      </c>
    </row>
    <row r="53" spans="2:5" ht="14.45" customHeight="1">
      <c r="B53" s="96" t="s">
        <v>162</v>
      </c>
      <c r="C53" s="58" t="s">
        <v>29</v>
      </c>
      <c r="D53" s="59">
        <v>4</v>
      </c>
      <c r="E53" s="60">
        <v>6.3522312212199999E-4</v>
      </c>
    </row>
    <row r="54" spans="2:5" ht="14.45" customHeight="1">
      <c r="B54" s="94" t="s">
        <v>117</v>
      </c>
      <c r="C54" s="63" t="s">
        <v>147</v>
      </c>
      <c r="D54" s="64">
        <v>17</v>
      </c>
      <c r="E54" s="65">
        <v>2.699698269017E-3</v>
      </c>
    </row>
    <row r="55" spans="2:5" ht="14.45" customHeight="1">
      <c r="B55" s="95"/>
      <c r="C55" s="63" t="s">
        <v>148</v>
      </c>
      <c r="D55" s="64">
        <v>20</v>
      </c>
      <c r="E55" s="65">
        <v>3.1761156106080001E-3</v>
      </c>
    </row>
    <row r="56" spans="2:5" ht="14.45" customHeight="1">
      <c r="B56" s="96" t="s">
        <v>163</v>
      </c>
      <c r="C56" s="58" t="s">
        <v>29</v>
      </c>
      <c r="D56" s="59">
        <v>37</v>
      </c>
      <c r="E56" s="60">
        <v>5.8758138796250001E-3</v>
      </c>
    </row>
    <row r="57" spans="2:5" ht="14.45" customHeight="1">
      <c r="B57" s="94" t="s">
        <v>118</v>
      </c>
      <c r="C57" s="63" t="s">
        <v>147</v>
      </c>
      <c r="D57" s="64">
        <v>9</v>
      </c>
      <c r="E57" s="65">
        <v>1.4292520247739999E-3</v>
      </c>
    </row>
    <row r="58" spans="2:5" ht="14.45" customHeight="1">
      <c r="B58" s="95"/>
      <c r="C58" s="63" t="s">
        <v>148</v>
      </c>
      <c r="D58" s="64">
        <v>5</v>
      </c>
      <c r="E58" s="65">
        <v>7.9402890265200003E-4</v>
      </c>
    </row>
    <row r="59" spans="2:5" ht="14.45" customHeight="1">
      <c r="B59" s="96" t="s">
        <v>164</v>
      </c>
      <c r="C59" s="58" t="s">
        <v>29</v>
      </c>
      <c r="D59" s="59">
        <v>14</v>
      </c>
      <c r="E59" s="60">
        <v>2.2232809274259999E-3</v>
      </c>
    </row>
    <row r="60" spans="2:5" ht="14.45" customHeight="1">
      <c r="B60" s="94" t="s">
        <v>119</v>
      </c>
      <c r="C60" s="63" t="s">
        <v>147</v>
      </c>
      <c r="D60" s="64">
        <v>5</v>
      </c>
      <c r="E60" s="65">
        <v>7.9402890265200003E-4</v>
      </c>
    </row>
    <row r="61" spans="2:5" ht="14.45" customHeight="1">
      <c r="B61" s="95"/>
      <c r="C61" s="63" t="s">
        <v>148</v>
      </c>
      <c r="D61" s="64">
        <v>4</v>
      </c>
      <c r="E61" s="65">
        <v>6.3522312212199999E-4</v>
      </c>
    </row>
    <row r="62" spans="2:5" ht="14.45" customHeight="1">
      <c r="B62" s="96" t="s">
        <v>165</v>
      </c>
      <c r="C62" s="58" t="s">
        <v>29</v>
      </c>
      <c r="D62" s="59">
        <v>9</v>
      </c>
      <c r="E62" s="60">
        <v>1.4292520247739999E-3</v>
      </c>
    </row>
    <row r="63" spans="2:5" ht="14.45" customHeight="1">
      <c r="B63" s="94" t="s">
        <v>120</v>
      </c>
      <c r="C63" s="63" t="s">
        <v>147</v>
      </c>
      <c r="D63" s="64">
        <v>1</v>
      </c>
      <c r="E63" s="65">
        <v>1.5880578052999999E-4</v>
      </c>
    </row>
    <row r="64" spans="2:5" ht="14.45" customHeight="1">
      <c r="B64" s="96" t="s">
        <v>166</v>
      </c>
      <c r="C64" s="58" t="s">
        <v>29</v>
      </c>
      <c r="D64" s="59">
        <v>1</v>
      </c>
      <c r="E64" s="60">
        <v>1.5880578052999999E-4</v>
      </c>
    </row>
    <row r="65" spans="2:5" ht="14.45" customHeight="1">
      <c r="B65" s="94" t="s">
        <v>121</v>
      </c>
      <c r="C65" s="63" t="s">
        <v>147</v>
      </c>
      <c r="D65" s="64">
        <v>6</v>
      </c>
      <c r="E65" s="65">
        <v>9.5283468318199996E-4</v>
      </c>
    </row>
    <row r="66" spans="2:5" ht="14.45" customHeight="1">
      <c r="B66" s="95"/>
      <c r="C66" s="63" t="s">
        <v>148</v>
      </c>
      <c r="D66" s="64">
        <v>9</v>
      </c>
      <c r="E66" s="65">
        <v>1.4292520247739999E-3</v>
      </c>
    </row>
    <row r="67" spans="2:5" ht="14.45" customHeight="1">
      <c r="B67" s="96" t="s">
        <v>167</v>
      </c>
      <c r="C67" s="58" t="s">
        <v>29</v>
      </c>
      <c r="D67" s="59">
        <v>15</v>
      </c>
      <c r="E67" s="60">
        <v>2.3820867079560001E-3</v>
      </c>
    </row>
    <row r="68" spans="2:5" ht="14.45" customHeight="1">
      <c r="B68" s="94" t="s">
        <v>122</v>
      </c>
      <c r="C68" s="63" t="s">
        <v>147</v>
      </c>
      <c r="D68" s="64">
        <v>8</v>
      </c>
      <c r="E68" s="65">
        <v>1.2704462442429999E-3</v>
      </c>
    </row>
    <row r="69" spans="2:5" ht="14.45" customHeight="1">
      <c r="B69" s="95"/>
      <c r="C69" s="63" t="s">
        <v>148</v>
      </c>
      <c r="D69" s="64">
        <v>6</v>
      </c>
      <c r="E69" s="65">
        <v>9.5283468318199996E-4</v>
      </c>
    </row>
    <row r="70" spans="2:5" ht="14.45" customHeight="1">
      <c r="B70" s="96" t="s">
        <v>168</v>
      </c>
      <c r="C70" s="58" t="s">
        <v>29</v>
      </c>
      <c r="D70" s="59">
        <v>14</v>
      </c>
      <c r="E70" s="60">
        <v>2.2232809274259999E-3</v>
      </c>
    </row>
    <row r="71" spans="2:5" ht="14.45" customHeight="1">
      <c r="B71" s="94" t="s">
        <v>123</v>
      </c>
      <c r="C71" s="63" t="s">
        <v>147</v>
      </c>
      <c r="D71" s="64">
        <v>5</v>
      </c>
      <c r="E71" s="65">
        <v>7.9402890265200003E-4</v>
      </c>
    </row>
    <row r="72" spans="2:5" ht="14.45" customHeight="1">
      <c r="B72" s="95"/>
      <c r="C72" s="63" t="s">
        <v>148</v>
      </c>
      <c r="D72" s="64">
        <v>20</v>
      </c>
      <c r="E72" s="65">
        <v>3.1761156106080001E-3</v>
      </c>
    </row>
    <row r="73" spans="2:5" ht="14.45" customHeight="1">
      <c r="B73" s="96" t="s">
        <v>169</v>
      </c>
      <c r="C73" s="58" t="s">
        <v>29</v>
      </c>
      <c r="D73" s="59">
        <v>25</v>
      </c>
      <c r="E73" s="60">
        <v>3.9701445132599997E-3</v>
      </c>
    </row>
    <row r="74" spans="2:5" ht="14.45" customHeight="1">
      <c r="B74" s="94" t="s">
        <v>124</v>
      </c>
      <c r="C74" s="63" t="s">
        <v>147</v>
      </c>
      <c r="D74" s="64">
        <v>3</v>
      </c>
      <c r="E74" s="65">
        <v>4.7641734159099998E-4</v>
      </c>
    </row>
    <row r="75" spans="2:5" ht="14.45" customHeight="1">
      <c r="B75" s="95"/>
      <c r="C75" s="63" t="s">
        <v>148</v>
      </c>
      <c r="D75" s="64">
        <v>3</v>
      </c>
      <c r="E75" s="65">
        <v>4.7641734159099998E-4</v>
      </c>
    </row>
    <row r="76" spans="2:5" ht="14.45" customHeight="1">
      <c r="B76" s="96" t="s">
        <v>170</v>
      </c>
      <c r="C76" s="58" t="s">
        <v>29</v>
      </c>
      <c r="D76" s="59">
        <v>6</v>
      </c>
      <c r="E76" s="60">
        <v>9.5283468318199996E-4</v>
      </c>
    </row>
    <row r="77" spans="2:5" ht="14.45" customHeight="1">
      <c r="B77" s="94" t="s">
        <v>125</v>
      </c>
      <c r="C77" s="63" t="s">
        <v>147</v>
      </c>
      <c r="D77" s="64">
        <v>11</v>
      </c>
      <c r="E77" s="65">
        <v>1.7468635858350001E-3</v>
      </c>
    </row>
    <row r="78" spans="2:5" ht="14.45" customHeight="1">
      <c r="B78" s="95"/>
      <c r="C78" s="63" t="s">
        <v>148</v>
      </c>
      <c r="D78" s="64">
        <v>16</v>
      </c>
      <c r="E78" s="65">
        <v>2.5408924884869999E-3</v>
      </c>
    </row>
    <row r="79" spans="2:5" ht="14.45" customHeight="1">
      <c r="B79" s="96" t="s">
        <v>171</v>
      </c>
      <c r="C79" s="58" t="s">
        <v>29</v>
      </c>
      <c r="D79" s="59">
        <v>27</v>
      </c>
      <c r="E79" s="60">
        <v>4.2877560743210001E-3</v>
      </c>
    </row>
    <row r="80" spans="2:5" ht="14.45" customHeight="1">
      <c r="B80" s="94" t="s">
        <v>126</v>
      </c>
      <c r="C80" s="63" t="s">
        <v>148</v>
      </c>
      <c r="D80" s="64">
        <v>1</v>
      </c>
      <c r="E80" s="65">
        <v>1.5880578052999999E-4</v>
      </c>
    </row>
    <row r="81" spans="2:5" ht="14.45" customHeight="1">
      <c r="B81" s="96"/>
      <c r="C81" s="58" t="s">
        <v>29</v>
      </c>
      <c r="D81" s="59">
        <v>1</v>
      </c>
      <c r="E81" s="60">
        <v>1.5880578052999999E-4</v>
      </c>
    </row>
    <row r="82" spans="2:5" ht="14.45" customHeight="1">
      <c r="B82" s="94" t="s">
        <v>127</v>
      </c>
      <c r="C82" s="63" t="s">
        <v>147</v>
      </c>
      <c r="D82" s="64">
        <v>6</v>
      </c>
      <c r="E82" s="65">
        <v>9.5283468318199996E-4</v>
      </c>
    </row>
    <row r="83" spans="2:5" ht="14.45" customHeight="1">
      <c r="B83" s="95"/>
      <c r="C83" s="63" t="s">
        <v>148</v>
      </c>
      <c r="D83" s="64">
        <v>6</v>
      </c>
      <c r="E83" s="65">
        <v>9.5283468318199996E-4</v>
      </c>
    </row>
    <row r="84" spans="2:5" ht="14.45" customHeight="1">
      <c r="B84" s="96" t="s">
        <v>172</v>
      </c>
      <c r="C84" s="58" t="s">
        <v>29</v>
      </c>
      <c r="D84" s="59">
        <v>12</v>
      </c>
      <c r="E84" s="60">
        <v>1.905669366365E-3</v>
      </c>
    </row>
    <row r="85" spans="2:5" ht="14.45" customHeight="1">
      <c r="B85" s="94" t="s">
        <v>128</v>
      </c>
      <c r="C85" s="63" t="s">
        <v>147</v>
      </c>
      <c r="D85" s="64">
        <v>162</v>
      </c>
      <c r="E85" s="65">
        <v>2.5726536445927001E-2</v>
      </c>
    </row>
    <row r="86" spans="2:5" ht="14.45" customHeight="1">
      <c r="B86" s="95"/>
      <c r="C86" s="63" t="s">
        <v>148</v>
      </c>
      <c r="D86" s="64">
        <v>178</v>
      </c>
      <c r="E86" s="65">
        <v>2.8267428934412999E-2</v>
      </c>
    </row>
    <row r="87" spans="2:5" ht="14.45" customHeight="1">
      <c r="B87" s="96" t="s">
        <v>173</v>
      </c>
      <c r="C87" s="58" t="s">
        <v>29</v>
      </c>
      <c r="D87" s="59">
        <v>340</v>
      </c>
      <c r="E87" s="60">
        <v>5.399396538034E-2</v>
      </c>
    </row>
    <row r="88" spans="2:5" ht="14.45" customHeight="1">
      <c r="B88" s="94" t="s">
        <v>129</v>
      </c>
      <c r="C88" s="63" t="s">
        <v>147</v>
      </c>
      <c r="D88" s="64">
        <v>4</v>
      </c>
      <c r="E88" s="65">
        <v>6.3522312212199999E-4</v>
      </c>
    </row>
    <row r="89" spans="2:5" ht="14.45" customHeight="1">
      <c r="B89" s="95"/>
      <c r="C89" s="63" t="s">
        <v>148</v>
      </c>
      <c r="D89" s="64">
        <v>8</v>
      </c>
      <c r="E89" s="65">
        <v>1.2704462442429999E-3</v>
      </c>
    </row>
    <row r="90" spans="2:5" ht="14.45" customHeight="1">
      <c r="B90" s="96" t="s">
        <v>174</v>
      </c>
      <c r="C90" s="58" t="s">
        <v>29</v>
      </c>
      <c r="D90" s="59">
        <v>12</v>
      </c>
      <c r="E90" s="60">
        <v>1.905669366365E-3</v>
      </c>
    </row>
    <row r="91" spans="2:5" ht="14.45" customHeight="1">
      <c r="B91" s="94" t="s">
        <v>130</v>
      </c>
      <c r="C91" s="63" t="s">
        <v>147</v>
      </c>
      <c r="D91" s="64">
        <v>21</v>
      </c>
      <c r="E91" s="65">
        <v>3.3349213911389999E-3</v>
      </c>
    </row>
    <row r="92" spans="2:5" ht="14.45" customHeight="1">
      <c r="B92" s="95"/>
      <c r="C92" s="63" t="s">
        <v>148</v>
      </c>
      <c r="D92" s="64">
        <v>37</v>
      </c>
      <c r="E92" s="65">
        <v>5.8758138796250001E-3</v>
      </c>
    </row>
    <row r="93" spans="2:5" ht="14.45" customHeight="1">
      <c r="B93" s="96" t="s">
        <v>175</v>
      </c>
      <c r="C93" s="58" t="s">
        <v>29</v>
      </c>
      <c r="D93" s="59">
        <v>58</v>
      </c>
      <c r="E93" s="60">
        <v>9.2107352707639992E-3</v>
      </c>
    </row>
    <row r="94" spans="2:5" ht="14.45" customHeight="1">
      <c r="B94" s="94" t="s">
        <v>131</v>
      </c>
      <c r="C94" s="63" t="s">
        <v>147</v>
      </c>
      <c r="D94" s="64">
        <v>2</v>
      </c>
      <c r="E94" s="65">
        <v>3.1761156106099999E-4</v>
      </c>
    </row>
    <row r="95" spans="2:5" ht="14.45" customHeight="1">
      <c r="B95" s="95"/>
      <c r="C95" s="63" t="s">
        <v>148</v>
      </c>
      <c r="D95" s="64">
        <v>9</v>
      </c>
      <c r="E95" s="65">
        <v>1.4292520247739999E-3</v>
      </c>
    </row>
    <row r="96" spans="2:5" ht="14.45" customHeight="1">
      <c r="B96" s="96" t="s">
        <v>176</v>
      </c>
      <c r="C96" s="58" t="s">
        <v>29</v>
      </c>
      <c r="D96" s="59">
        <v>11</v>
      </c>
      <c r="E96" s="60">
        <v>1.7468635858350001E-3</v>
      </c>
    </row>
    <row r="97" spans="2:5" ht="14.45" customHeight="1">
      <c r="B97" s="94" t="s">
        <v>132</v>
      </c>
      <c r="C97" s="63" t="s">
        <v>147</v>
      </c>
      <c r="D97" s="64">
        <v>19</v>
      </c>
      <c r="E97" s="65">
        <v>3.017309830078E-3</v>
      </c>
    </row>
    <row r="98" spans="2:5" ht="14.45" customHeight="1">
      <c r="B98" s="95"/>
      <c r="C98" s="63" t="s">
        <v>148</v>
      </c>
      <c r="D98" s="64">
        <v>24</v>
      </c>
      <c r="E98" s="65">
        <v>3.81133873273E-3</v>
      </c>
    </row>
    <row r="99" spans="2:5" ht="14.45" customHeight="1">
      <c r="B99" s="96" t="s">
        <v>177</v>
      </c>
      <c r="C99" s="58" t="s">
        <v>29</v>
      </c>
      <c r="D99" s="59">
        <v>43</v>
      </c>
      <c r="E99" s="60">
        <v>6.8286485628080004E-3</v>
      </c>
    </row>
    <row r="100" spans="2:5" ht="14.45" customHeight="1">
      <c r="B100" s="94" t="s">
        <v>133</v>
      </c>
      <c r="C100" s="63" t="s">
        <v>147</v>
      </c>
      <c r="D100" s="64">
        <v>4</v>
      </c>
      <c r="E100" s="65">
        <v>6.3522312212199999E-4</v>
      </c>
    </row>
    <row r="101" spans="2:5" ht="14.45" customHeight="1">
      <c r="B101" s="95"/>
      <c r="C101" s="63" t="s">
        <v>148</v>
      </c>
      <c r="D101" s="64">
        <v>2</v>
      </c>
      <c r="E101" s="65">
        <v>3.1761156106099999E-4</v>
      </c>
    </row>
    <row r="102" spans="2:5" ht="14.45" customHeight="1">
      <c r="B102" s="96" t="s">
        <v>178</v>
      </c>
      <c r="C102" s="58" t="s">
        <v>29</v>
      </c>
      <c r="D102" s="59">
        <v>6</v>
      </c>
      <c r="E102" s="60">
        <v>9.5283468318199996E-4</v>
      </c>
    </row>
    <row r="103" spans="2:5" ht="14.45" customHeight="1">
      <c r="B103" s="94" t="s">
        <v>134</v>
      </c>
      <c r="C103" s="63" t="s">
        <v>147</v>
      </c>
      <c r="D103" s="64">
        <v>15</v>
      </c>
      <c r="E103" s="65">
        <v>2.3820867079560001E-3</v>
      </c>
    </row>
    <row r="104" spans="2:5" ht="14.45" customHeight="1">
      <c r="B104" s="95"/>
      <c r="C104" s="63" t="s">
        <v>148</v>
      </c>
      <c r="D104" s="64">
        <v>6</v>
      </c>
      <c r="E104" s="65">
        <v>9.5283468318199996E-4</v>
      </c>
    </row>
    <row r="105" spans="2:5" ht="14.45" customHeight="1">
      <c r="B105" s="96" t="s">
        <v>179</v>
      </c>
      <c r="C105" s="58" t="s">
        <v>29</v>
      </c>
      <c r="D105" s="59">
        <v>21</v>
      </c>
      <c r="E105" s="60">
        <v>3.3349213911389999E-3</v>
      </c>
    </row>
    <row r="106" spans="2:5" ht="14.45" customHeight="1">
      <c r="B106" s="94" t="s">
        <v>135</v>
      </c>
      <c r="C106" s="63" t="s">
        <v>147</v>
      </c>
      <c r="D106" s="64">
        <v>34</v>
      </c>
      <c r="E106" s="65">
        <v>5.399396538034E-3</v>
      </c>
    </row>
    <row r="107" spans="2:5" ht="14.45" customHeight="1">
      <c r="B107" s="95"/>
      <c r="C107" s="63" t="s">
        <v>148</v>
      </c>
      <c r="D107" s="64">
        <v>33</v>
      </c>
      <c r="E107" s="65">
        <v>5.2405907575040003E-3</v>
      </c>
    </row>
    <row r="108" spans="2:5" ht="14.45" customHeight="1">
      <c r="B108" s="96" t="s">
        <v>180</v>
      </c>
      <c r="C108" s="58" t="s">
        <v>29</v>
      </c>
      <c r="D108" s="59">
        <v>67</v>
      </c>
      <c r="E108" s="60">
        <v>1.0639987295538E-2</v>
      </c>
    </row>
    <row r="109" spans="2:5" ht="14.45" customHeight="1">
      <c r="B109" s="94" t="s">
        <v>136</v>
      </c>
      <c r="C109" s="63" t="s">
        <v>147</v>
      </c>
      <c r="D109" s="64">
        <v>6</v>
      </c>
      <c r="E109" s="65">
        <v>9.5283468318199996E-4</v>
      </c>
    </row>
    <row r="110" spans="2:5" ht="14.45" customHeight="1">
      <c r="B110" s="95"/>
      <c r="C110" s="63" t="s">
        <v>148</v>
      </c>
      <c r="D110" s="64">
        <v>17</v>
      </c>
      <c r="E110" s="65">
        <v>2.699698269017E-3</v>
      </c>
    </row>
    <row r="111" spans="2:5" ht="14.45" customHeight="1">
      <c r="B111" s="96" t="s">
        <v>181</v>
      </c>
      <c r="C111" s="58" t="s">
        <v>29</v>
      </c>
      <c r="D111" s="59">
        <v>23</v>
      </c>
      <c r="E111" s="60">
        <v>3.6525329521990002E-3</v>
      </c>
    </row>
    <row r="112" spans="2:5" ht="14.45" customHeight="1">
      <c r="B112" s="94" t="s">
        <v>137</v>
      </c>
      <c r="C112" s="63" t="s">
        <v>147</v>
      </c>
      <c r="D112" s="64">
        <v>2</v>
      </c>
      <c r="E112" s="65">
        <v>3.1761156106099999E-4</v>
      </c>
    </row>
    <row r="113" spans="2:5" ht="14.45" customHeight="1">
      <c r="B113" s="95"/>
      <c r="C113" s="63" t="s">
        <v>148</v>
      </c>
      <c r="D113" s="64">
        <v>3</v>
      </c>
      <c r="E113" s="65">
        <v>4.7641734159099998E-4</v>
      </c>
    </row>
    <row r="114" spans="2:5" ht="14.45" customHeight="1">
      <c r="B114" s="96" t="s">
        <v>182</v>
      </c>
      <c r="C114" s="58" t="s">
        <v>29</v>
      </c>
      <c r="D114" s="59">
        <v>5</v>
      </c>
      <c r="E114" s="60">
        <v>7.9402890265200003E-4</v>
      </c>
    </row>
    <row r="115" spans="2:5" ht="14.45" customHeight="1">
      <c r="B115" s="94" t="s">
        <v>138</v>
      </c>
      <c r="C115" s="63" t="s">
        <v>147</v>
      </c>
      <c r="D115" s="64">
        <v>1</v>
      </c>
      <c r="E115" s="65">
        <v>1.5880578052999999E-4</v>
      </c>
    </row>
    <row r="116" spans="2:5" ht="14.45" customHeight="1">
      <c r="B116" s="95"/>
      <c r="C116" s="63" t="s">
        <v>148</v>
      </c>
      <c r="D116" s="64">
        <v>1</v>
      </c>
      <c r="E116" s="65">
        <v>1.5880578052999999E-4</v>
      </c>
    </row>
    <row r="117" spans="2:5" ht="14.45" customHeight="1">
      <c r="B117" s="96" t="s">
        <v>183</v>
      </c>
      <c r="C117" s="58" t="s">
        <v>29</v>
      </c>
      <c r="D117" s="59">
        <v>2</v>
      </c>
      <c r="E117" s="60">
        <v>3.1761156106099999E-4</v>
      </c>
    </row>
    <row r="118" spans="2:5" ht="14.45" customHeight="1">
      <c r="B118" s="94" t="s">
        <v>139</v>
      </c>
      <c r="C118" s="63" t="s">
        <v>147</v>
      </c>
      <c r="D118" s="64">
        <v>9</v>
      </c>
      <c r="E118" s="65">
        <v>1.4292520247739999E-3</v>
      </c>
    </row>
    <row r="119" spans="2:5" ht="14.45" customHeight="1">
      <c r="B119" s="95"/>
      <c r="C119" s="63" t="s">
        <v>148</v>
      </c>
      <c r="D119" s="64">
        <v>9</v>
      </c>
      <c r="E119" s="65">
        <v>1.4292520247739999E-3</v>
      </c>
    </row>
    <row r="120" spans="2:5" ht="14.45" customHeight="1">
      <c r="B120" s="96" t="s">
        <v>184</v>
      </c>
      <c r="C120" s="58" t="s">
        <v>29</v>
      </c>
      <c r="D120" s="59">
        <v>18</v>
      </c>
      <c r="E120" s="60">
        <v>2.8585040495470002E-3</v>
      </c>
    </row>
    <row r="121" spans="2:5" ht="14.45" customHeight="1">
      <c r="B121" s="94" t="s">
        <v>140</v>
      </c>
      <c r="C121" s="63" t="s">
        <v>147</v>
      </c>
      <c r="D121" s="64">
        <v>1</v>
      </c>
      <c r="E121" s="65">
        <v>1.5880578052999999E-4</v>
      </c>
    </row>
    <row r="122" spans="2:5" ht="14.45" customHeight="1">
      <c r="B122" s="95"/>
      <c r="C122" s="63" t="s">
        <v>148</v>
      </c>
      <c r="D122" s="64">
        <v>3</v>
      </c>
      <c r="E122" s="65">
        <v>4.7641734159099998E-4</v>
      </c>
    </row>
    <row r="123" spans="2:5" ht="14.45" customHeight="1">
      <c r="B123" s="96" t="s">
        <v>185</v>
      </c>
      <c r="C123" s="58" t="s">
        <v>29</v>
      </c>
      <c r="D123" s="59">
        <v>4</v>
      </c>
      <c r="E123" s="60">
        <v>6.3522312212199999E-4</v>
      </c>
    </row>
    <row r="124" spans="2:5" ht="14.45" customHeight="1">
      <c r="B124" s="94" t="s">
        <v>141</v>
      </c>
      <c r="C124" s="63" t="s">
        <v>147</v>
      </c>
      <c r="D124" s="64">
        <v>8</v>
      </c>
      <c r="E124" s="65">
        <v>1.2704462442429999E-3</v>
      </c>
    </row>
    <row r="125" spans="2:5" ht="14.45" customHeight="1">
      <c r="B125" s="95"/>
      <c r="C125" s="63" t="s">
        <v>148</v>
      </c>
      <c r="D125" s="64">
        <v>14</v>
      </c>
      <c r="E125" s="65">
        <v>2.2232809274259999E-3</v>
      </c>
    </row>
    <row r="126" spans="2:5" ht="14.45" customHeight="1">
      <c r="B126" s="96" t="s">
        <v>186</v>
      </c>
      <c r="C126" s="58" t="s">
        <v>29</v>
      </c>
      <c r="D126" s="59">
        <v>22</v>
      </c>
      <c r="E126" s="60">
        <v>3.4937271716690001E-3</v>
      </c>
    </row>
    <row r="127" spans="2:5" ht="14.45" customHeight="1">
      <c r="B127" s="94" t="s">
        <v>142</v>
      </c>
      <c r="C127" s="63" t="s">
        <v>147</v>
      </c>
      <c r="D127" s="64">
        <v>154</v>
      </c>
      <c r="E127" s="65">
        <v>2.4456090201683E-2</v>
      </c>
    </row>
    <row r="128" spans="2:5" ht="14.45" customHeight="1">
      <c r="B128" s="95"/>
      <c r="C128" s="63" t="s">
        <v>148</v>
      </c>
      <c r="D128" s="64">
        <v>144</v>
      </c>
      <c r="E128" s="65">
        <v>2.2868032396378999E-2</v>
      </c>
    </row>
    <row r="129" spans="2:5" ht="14.45" customHeight="1">
      <c r="B129" s="96" t="s">
        <v>187</v>
      </c>
      <c r="C129" s="58" t="s">
        <v>29</v>
      </c>
      <c r="D129" s="59">
        <v>298</v>
      </c>
      <c r="E129" s="60">
        <v>4.7324122598062998E-2</v>
      </c>
    </row>
    <row r="130" spans="2:5" ht="14.45" customHeight="1">
      <c r="B130" s="94" t="s">
        <v>143</v>
      </c>
      <c r="C130" s="63" t="s">
        <v>147</v>
      </c>
      <c r="D130" s="64">
        <v>34</v>
      </c>
      <c r="E130" s="65">
        <v>5.399396538034E-3</v>
      </c>
    </row>
    <row r="131" spans="2:5" ht="14.45" customHeight="1">
      <c r="B131" s="95"/>
      <c r="C131" s="63" t="s">
        <v>148</v>
      </c>
      <c r="D131" s="64">
        <v>42</v>
      </c>
      <c r="E131" s="65">
        <v>6.6698427822769997E-3</v>
      </c>
    </row>
    <row r="132" spans="2:5" ht="14.45" customHeight="1">
      <c r="B132" s="96" t="s">
        <v>188</v>
      </c>
      <c r="C132" s="58" t="s">
        <v>29</v>
      </c>
      <c r="D132" s="59">
        <v>76</v>
      </c>
      <c r="E132" s="60">
        <v>1.2069239320311001E-2</v>
      </c>
    </row>
    <row r="133" spans="2:5" ht="14.45" customHeight="1">
      <c r="B133" s="94" t="s">
        <v>144</v>
      </c>
      <c r="C133" s="63" t="s">
        <v>147</v>
      </c>
      <c r="D133" s="64">
        <v>3</v>
      </c>
      <c r="E133" s="65">
        <v>4.7641734159099998E-4</v>
      </c>
    </row>
    <row r="134" spans="2:5" ht="14.45" customHeight="1">
      <c r="B134" s="95"/>
      <c r="C134" s="63" t="s">
        <v>148</v>
      </c>
      <c r="D134" s="64">
        <v>4</v>
      </c>
      <c r="E134" s="65">
        <v>6.3522312212199999E-4</v>
      </c>
    </row>
    <row r="135" spans="2:5" ht="14.45" customHeight="1">
      <c r="B135" s="96" t="s">
        <v>189</v>
      </c>
      <c r="C135" s="58" t="s">
        <v>29</v>
      </c>
      <c r="D135" s="59">
        <v>7</v>
      </c>
      <c r="E135" s="60">
        <v>1.111640463713E-3</v>
      </c>
    </row>
    <row r="136" spans="2:5" ht="14.45" customHeight="1">
      <c r="B136" s="94" t="s">
        <v>96</v>
      </c>
      <c r="C136" s="63" t="s">
        <v>147</v>
      </c>
      <c r="D136" s="64">
        <v>10</v>
      </c>
      <c r="E136" s="65">
        <v>1.5880578053040001E-3</v>
      </c>
    </row>
    <row r="137" spans="2:5" ht="14.45" customHeight="1">
      <c r="B137" s="95"/>
      <c r="C137" s="63" t="s">
        <v>148</v>
      </c>
      <c r="D137" s="64">
        <v>24</v>
      </c>
      <c r="E137" s="65">
        <v>3.81133873273E-3</v>
      </c>
    </row>
    <row r="138" spans="2:5" ht="14.45" customHeight="1">
      <c r="B138" s="96" t="s">
        <v>190</v>
      </c>
      <c r="C138" s="58" t="s">
        <v>29</v>
      </c>
      <c r="D138" s="59">
        <v>34</v>
      </c>
      <c r="E138" s="60">
        <v>5.399396538034E-3</v>
      </c>
    </row>
    <row r="139" spans="2:5" ht="14.45" customHeight="1">
      <c r="B139" s="94" t="s">
        <v>145</v>
      </c>
      <c r="C139" s="63" t="s">
        <v>147</v>
      </c>
      <c r="D139" s="64">
        <v>13</v>
      </c>
      <c r="E139" s="65">
        <v>2.0644751468950001E-3</v>
      </c>
    </row>
    <row r="140" spans="2:5" ht="14.45" customHeight="1">
      <c r="B140" s="95"/>
      <c r="C140" s="63" t="s">
        <v>148</v>
      </c>
      <c r="D140" s="64">
        <v>25</v>
      </c>
      <c r="E140" s="65">
        <v>3.9701445132599997E-3</v>
      </c>
    </row>
    <row r="141" spans="2:5" ht="14.45" customHeight="1">
      <c r="B141" s="96" t="s">
        <v>191</v>
      </c>
      <c r="C141" s="58" t="s">
        <v>29</v>
      </c>
      <c r="D141" s="59">
        <v>38</v>
      </c>
      <c r="E141" s="60">
        <v>6.0346196601559999E-3</v>
      </c>
    </row>
    <row r="142" spans="2:5" ht="14.45" customHeight="1">
      <c r="B142" s="94" t="s">
        <v>146</v>
      </c>
      <c r="C142" s="63" t="s">
        <v>147</v>
      </c>
      <c r="D142" s="64">
        <v>4</v>
      </c>
      <c r="E142" s="65">
        <v>6.3522312212199999E-4</v>
      </c>
    </row>
    <row r="143" spans="2:5" ht="14.45" customHeight="1">
      <c r="B143" s="95"/>
      <c r="C143" s="63" t="s">
        <v>148</v>
      </c>
      <c r="D143" s="64">
        <v>6</v>
      </c>
      <c r="E143" s="65">
        <v>9.5283468318199996E-4</v>
      </c>
    </row>
    <row r="144" spans="2:5" ht="14.45" customHeight="1">
      <c r="B144" s="96" t="s">
        <v>192</v>
      </c>
      <c r="C144" s="58" t="s">
        <v>29</v>
      </c>
      <c r="D144" s="59">
        <v>10</v>
      </c>
      <c r="E144" s="60">
        <v>1.5880578053040001E-3</v>
      </c>
    </row>
    <row r="145" spans="1:6" s="40" customFormat="1" ht="14.45" customHeight="1">
      <c r="A145" s="25"/>
      <c r="B145" s="102" t="s">
        <v>29</v>
      </c>
      <c r="C145" s="103"/>
      <c r="D145" s="56">
        <v>6297</v>
      </c>
      <c r="E145" s="57">
        <v>1</v>
      </c>
      <c r="F145" s="25"/>
    </row>
    <row r="146" spans="1:6" s="40" customFormat="1" ht="14.45" customHeight="1">
      <c r="A146" s="25"/>
      <c r="B146" s="15"/>
      <c r="D146" s="44"/>
      <c r="F146" s="25"/>
    </row>
    <row r="147" spans="1:6" s="40" customFormat="1" ht="14.45" customHeight="1">
      <c r="A147" s="25"/>
      <c r="B147" s="15" t="s">
        <v>47</v>
      </c>
      <c r="D147" s="44"/>
      <c r="F147" s="25"/>
    </row>
    <row r="148" spans="1:6" ht="14.45" customHeight="1">
      <c r="B148" s="17" t="s">
        <v>18</v>
      </c>
    </row>
    <row r="149" spans="1:6" ht="14.45" customHeight="1">
      <c r="B149" s="16" t="s">
        <v>48</v>
      </c>
    </row>
    <row r="150" spans="1:6" ht="14.45" customHeight="1">
      <c r="B150" s="15" t="s">
        <v>17</v>
      </c>
    </row>
    <row r="151" spans="1:6" ht="14.45" customHeight="1">
      <c r="B151" s="15" t="s">
        <v>49</v>
      </c>
    </row>
  </sheetData>
  <mergeCells count="48">
    <mergeCell ref="B118:B120"/>
    <mergeCell ref="B130:B132"/>
    <mergeCell ref="B133:B135"/>
    <mergeCell ref="B136:B138"/>
    <mergeCell ref="B139:B141"/>
    <mergeCell ref="B121:B123"/>
    <mergeCell ref="B124:B126"/>
    <mergeCell ref="B127:B129"/>
    <mergeCell ref="B30:B31"/>
    <mergeCell ref="B32:B33"/>
    <mergeCell ref="B82:B84"/>
    <mergeCell ref="B85:B87"/>
    <mergeCell ref="B88:B90"/>
    <mergeCell ref="B60:B62"/>
    <mergeCell ref="B48:B50"/>
    <mergeCell ref="B51:B53"/>
    <mergeCell ref="B54:B56"/>
    <mergeCell ref="B57:B59"/>
    <mergeCell ref="B91:B93"/>
    <mergeCell ref="B94:B96"/>
    <mergeCell ref="B97:B99"/>
    <mergeCell ref="B63:B64"/>
    <mergeCell ref="B74:B76"/>
    <mergeCell ref="B77:B79"/>
    <mergeCell ref="B80:B81"/>
    <mergeCell ref="B71:B73"/>
    <mergeCell ref="B100:B102"/>
    <mergeCell ref="B106:B108"/>
    <mergeCell ref="B109:B111"/>
    <mergeCell ref="B112:B114"/>
    <mergeCell ref="B115:B117"/>
    <mergeCell ref="B103:B105"/>
    <mergeCell ref="B142:B144"/>
    <mergeCell ref="B145:C145"/>
    <mergeCell ref="B34:B36"/>
    <mergeCell ref="B37:B39"/>
    <mergeCell ref="B8:E10"/>
    <mergeCell ref="B13:B15"/>
    <mergeCell ref="B16:B18"/>
    <mergeCell ref="B19:B21"/>
    <mergeCell ref="B22:B24"/>
    <mergeCell ref="B25:B27"/>
    <mergeCell ref="B28:B29"/>
    <mergeCell ref="B40:B41"/>
    <mergeCell ref="B42:B44"/>
    <mergeCell ref="B45:B47"/>
    <mergeCell ref="B65:B67"/>
    <mergeCell ref="B68:B7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topLeftCell="A15" zoomScaleNormal="95" zoomScaleSheetLayoutView="100" workbookViewId="0">
      <selection activeCell="G13" sqref="G13"/>
    </sheetView>
  </sheetViews>
  <sheetFormatPr baseColWidth="10" defaultColWidth="11.42578125" defaultRowHeight="11.25"/>
  <cols>
    <col min="1" max="1" width="5.7109375" style="25" customWidth="1"/>
    <col min="2" max="2" width="19" style="40" customWidth="1"/>
    <col min="3" max="3" width="26.28515625" style="40" customWidth="1"/>
    <col min="4" max="4" width="17.140625" style="44" customWidth="1"/>
    <col min="5" max="5" width="16.5703125" style="44" customWidth="1"/>
    <col min="6" max="6" width="16.5703125" style="40" customWidth="1"/>
    <col min="7" max="7" width="5.7109375" style="25" customWidth="1"/>
    <col min="8" max="8" width="11.42578125" style="25" customWidth="1"/>
    <col min="9" max="16384" width="11.42578125" style="25"/>
  </cols>
  <sheetData>
    <row r="1" spans="2:7" s="13" customFormat="1" ht="15">
      <c r="B1" s="40"/>
      <c r="C1" s="40"/>
    </row>
    <row r="2" spans="2:7" s="40" customFormat="1">
      <c r="B2" s="51"/>
    </row>
    <row r="3" spans="2:7" ht="15" customHeight="1">
      <c r="B3" s="52"/>
      <c r="C3" s="31"/>
      <c r="D3" s="25"/>
      <c r="E3" s="25"/>
      <c r="G3" s="40"/>
    </row>
    <row r="4" spans="2:7" ht="30" customHeight="1">
      <c r="B4" s="52"/>
      <c r="C4" s="31"/>
      <c r="D4" s="25"/>
      <c r="E4" s="25"/>
      <c r="G4" s="40"/>
    </row>
    <row r="5" spans="2:7" ht="15" customHeight="1">
      <c r="B5" s="52"/>
      <c r="C5" s="31"/>
      <c r="D5" s="25"/>
      <c r="E5" s="25"/>
      <c r="G5" s="40"/>
    </row>
    <row r="6" spans="2:7" s="40" customFormat="1">
      <c r="B6" s="43"/>
      <c r="C6" s="42"/>
    </row>
    <row r="7" spans="2:7" s="40" customFormat="1">
      <c r="B7" s="51"/>
    </row>
    <row r="8" spans="2:7" s="13" customFormat="1" ht="15" customHeight="1">
      <c r="B8" s="93" t="s">
        <v>34</v>
      </c>
      <c r="C8" s="93"/>
      <c r="D8" s="93"/>
      <c r="E8" s="93"/>
      <c r="F8" s="93"/>
    </row>
    <row r="9" spans="2:7" s="13" customFormat="1" ht="15" customHeight="1">
      <c r="B9" s="93"/>
      <c r="C9" s="93"/>
      <c r="D9" s="93"/>
      <c r="E9" s="93"/>
      <c r="F9" s="93"/>
      <c r="G9" s="50"/>
    </row>
    <row r="10" spans="2:7" s="13" customFormat="1" ht="15" customHeight="1">
      <c r="B10" s="93"/>
      <c r="C10" s="93"/>
      <c r="D10" s="93"/>
      <c r="E10" s="93"/>
      <c r="F10" s="93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48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45" customHeight="1">
      <c r="B13" s="94" t="s">
        <v>147</v>
      </c>
      <c r="C13" s="63" t="s">
        <v>289</v>
      </c>
      <c r="D13" s="64">
        <v>19</v>
      </c>
      <c r="E13" s="65">
        <v>6.1768530559169997E-3</v>
      </c>
      <c r="F13" s="65">
        <v>3.017309830078E-3</v>
      </c>
    </row>
    <row r="14" spans="2:7" ht="14.45" customHeight="1">
      <c r="B14" s="95"/>
      <c r="C14" s="63" t="s">
        <v>290</v>
      </c>
      <c r="D14" s="64">
        <v>458</v>
      </c>
      <c r="E14" s="65">
        <v>0.14889466840052001</v>
      </c>
      <c r="F14" s="65">
        <v>7.2733047482927998E-2</v>
      </c>
    </row>
    <row r="15" spans="2:7" ht="14.45" customHeight="1">
      <c r="B15" s="95"/>
      <c r="C15" s="63" t="s">
        <v>291</v>
      </c>
      <c r="D15" s="64">
        <v>735</v>
      </c>
      <c r="E15" s="65">
        <v>0.238946684005202</v>
      </c>
      <c r="F15" s="65">
        <v>0.116722248689852</v>
      </c>
    </row>
    <row r="16" spans="2:7" ht="14.45" customHeight="1">
      <c r="B16" s="95"/>
      <c r="C16" s="63" t="s">
        <v>292</v>
      </c>
      <c r="D16" s="64">
        <v>930</v>
      </c>
      <c r="E16" s="65">
        <v>0.302340702210663</v>
      </c>
      <c r="F16" s="65">
        <v>0.14768937589328299</v>
      </c>
    </row>
    <row r="17" spans="2:6" ht="14.45" customHeight="1">
      <c r="B17" s="95"/>
      <c r="C17" s="63" t="s">
        <v>293</v>
      </c>
      <c r="D17" s="64">
        <v>835</v>
      </c>
      <c r="E17" s="65">
        <v>0.27145643693107901</v>
      </c>
      <c r="F17" s="65">
        <v>0.132602826742893</v>
      </c>
    </row>
    <row r="18" spans="2:6" ht="14.45" customHeight="1">
      <c r="B18" s="95"/>
      <c r="C18" s="63" t="s">
        <v>294</v>
      </c>
      <c r="D18" s="64">
        <v>80</v>
      </c>
      <c r="E18" s="65">
        <v>2.6007802340702001E-2</v>
      </c>
      <c r="F18" s="65">
        <v>1.2704462442433E-2</v>
      </c>
    </row>
    <row r="19" spans="2:6" ht="14.45" customHeight="1">
      <c r="B19" s="95"/>
      <c r="C19" s="63" t="s">
        <v>295</v>
      </c>
      <c r="D19" s="64">
        <v>4</v>
      </c>
      <c r="E19" s="65">
        <v>1.300390117035E-3</v>
      </c>
      <c r="F19" s="65">
        <v>6.3522312212199999E-4</v>
      </c>
    </row>
    <row r="20" spans="2:6" ht="14.45" customHeight="1">
      <c r="B20" s="96"/>
      <c r="C20" s="63" t="s">
        <v>296</v>
      </c>
      <c r="D20" s="64">
        <v>15</v>
      </c>
      <c r="E20" s="65">
        <v>4.8764629388819997E-3</v>
      </c>
      <c r="F20" s="65">
        <v>2.3820867079560001E-3</v>
      </c>
    </row>
    <row r="21" spans="2:6" ht="14.45" customHeight="1">
      <c r="B21" s="94" t="s">
        <v>148</v>
      </c>
      <c r="C21" s="63" t="s">
        <v>289</v>
      </c>
      <c r="D21" s="64">
        <v>19</v>
      </c>
      <c r="E21" s="65">
        <v>5.8987891959020001E-3</v>
      </c>
      <c r="F21" s="65">
        <v>3.017309830078E-3</v>
      </c>
    </row>
    <row r="22" spans="2:6" ht="14.45" customHeight="1">
      <c r="B22" s="95"/>
      <c r="C22" s="63" t="s">
        <v>290</v>
      </c>
      <c r="D22" s="64">
        <v>647</v>
      </c>
      <c r="E22" s="65">
        <v>0.200869295249922</v>
      </c>
      <c r="F22" s="65">
        <v>0.10274734000317599</v>
      </c>
    </row>
    <row r="23" spans="2:6" ht="14.45" customHeight="1">
      <c r="B23" s="95"/>
      <c r="C23" s="63" t="s">
        <v>291</v>
      </c>
      <c r="D23" s="64">
        <v>759</v>
      </c>
      <c r="E23" s="65">
        <v>0.235641105246818</v>
      </c>
      <c r="F23" s="65">
        <v>0.12053358742258199</v>
      </c>
    </row>
    <row r="24" spans="2:6" ht="14.45" customHeight="1">
      <c r="B24" s="95"/>
      <c r="C24" s="63" t="s">
        <v>292</v>
      </c>
      <c r="D24" s="64">
        <v>892</v>
      </c>
      <c r="E24" s="65">
        <v>0.27693262961813098</v>
      </c>
      <c r="F24" s="65">
        <v>0.14165475623312701</v>
      </c>
    </row>
    <row r="25" spans="2:6" ht="14.45" customHeight="1">
      <c r="B25" s="95"/>
      <c r="C25" s="63" t="s">
        <v>293</v>
      </c>
      <c r="D25" s="64">
        <v>811</v>
      </c>
      <c r="E25" s="65">
        <v>0.25178515988823302</v>
      </c>
      <c r="F25" s="65">
        <v>0.12879148801016399</v>
      </c>
    </row>
    <row r="26" spans="2:6" ht="14.45" customHeight="1">
      <c r="B26" s="95"/>
      <c r="C26" s="63" t="s">
        <v>294</v>
      </c>
      <c r="D26" s="64">
        <v>77</v>
      </c>
      <c r="E26" s="65">
        <v>2.3905619372866001E-2</v>
      </c>
      <c r="F26" s="65">
        <v>1.2228045100842E-2</v>
      </c>
    </row>
    <row r="27" spans="2:6" ht="14.45" customHeight="1">
      <c r="B27" s="95"/>
      <c r="C27" s="63" t="s">
        <v>295</v>
      </c>
      <c r="D27" s="64">
        <v>2</v>
      </c>
      <c r="E27" s="65">
        <v>6.2092517851599998E-4</v>
      </c>
      <c r="F27" s="65">
        <v>3.1761156106099999E-4</v>
      </c>
    </row>
    <row r="28" spans="2:6" ht="14.45" customHeight="1">
      <c r="B28" s="96"/>
      <c r="C28" s="63" t="s">
        <v>296</v>
      </c>
      <c r="D28" s="64">
        <v>14</v>
      </c>
      <c r="E28" s="65">
        <v>4.3464762496119996E-3</v>
      </c>
      <c r="F28" s="65">
        <v>2.2232809274259999E-3</v>
      </c>
    </row>
    <row r="29" spans="2:6" ht="14.45" customHeight="1">
      <c r="B29" s="102" t="s">
        <v>29</v>
      </c>
      <c r="C29" s="103"/>
      <c r="D29" s="56">
        <v>6297</v>
      </c>
      <c r="E29" s="57">
        <v>1</v>
      </c>
      <c r="F29" s="57">
        <v>1</v>
      </c>
    </row>
    <row r="30" spans="2:6" ht="14.45" customHeight="1">
      <c r="B30" s="81"/>
      <c r="C30" s="82"/>
      <c r="D30" s="83"/>
      <c r="E30" s="83"/>
      <c r="F30" s="82"/>
    </row>
    <row r="31" spans="2:6" ht="14.45" customHeight="1">
      <c r="B31" s="15" t="s">
        <v>47</v>
      </c>
      <c r="C31" s="82"/>
      <c r="D31" s="83"/>
      <c r="E31" s="83"/>
      <c r="F31" s="82"/>
    </row>
    <row r="32" spans="2:6" ht="14.45" customHeight="1">
      <c r="B32" s="17" t="s">
        <v>18</v>
      </c>
      <c r="C32" s="82"/>
      <c r="D32" s="83"/>
      <c r="E32" s="83"/>
      <c r="F32" s="82"/>
    </row>
    <row r="33" spans="2:6" ht="14.45" customHeight="1">
      <c r="B33" s="16" t="s">
        <v>48</v>
      </c>
      <c r="C33" s="82"/>
      <c r="D33" s="83"/>
      <c r="E33" s="83"/>
      <c r="F33" s="82"/>
    </row>
    <row r="34" spans="2:6" ht="14.45" customHeight="1">
      <c r="B34" s="15" t="s">
        <v>17</v>
      </c>
      <c r="C34" s="82"/>
      <c r="D34" s="83"/>
      <c r="E34" s="83"/>
      <c r="F34" s="82"/>
    </row>
    <row r="35" spans="2:6" ht="14.45" customHeight="1">
      <c r="B35" s="15" t="s">
        <v>49</v>
      </c>
      <c r="C35" s="82"/>
      <c r="D35" s="83"/>
      <c r="E35" s="83"/>
      <c r="F35" s="82"/>
    </row>
  </sheetData>
  <mergeCells count="4">
    <mergeCell ref="B8:F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70"/>
  <sheetViews>
    <sheetView showGridLines="0" tabSelected="1" view="pageBreakPreview" topLeftCell="B42" zoomScale="115" zoomScaleNormal="100" zoomScaleSheetLayoutView="115" workbookViewId="0">
      <selection activeCell="C64" sqref="C64"/>
    </sheetView>
  </sheetViews>
  <sheetFormatPr baseColWidth="10" defaultColWidth="11.42578125" defaultRowHeight="15"/>
  <cols>
    <col min="1" max="1" width="9.28515625" style="13" customWidth="1"/>
    <col min="2" max="2" width="44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3" t="s">
        <v>397</v>
      </c>
      <c r="C7" s="93"/>
      <c r="D7" s="93"/>
    </row>
    <row r="8" spans="2:5" s="25" customFormat="1" ht="15" customHeight="1">
      <c r="B8" s="93"/>
      <c r="C8" s="93"/>
      <c r="D8" s="93"/>
    </row>
    <row r="9" spans="2:5" s="25" customFormat="1" ht="33" customHeight="1">
      <c r="B9" s="93"/>
      <c r="C9" s="93"/>
      <c r="D9" s="9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>
      <c r="B12" s="23" t="s">
        <v>297</v>
      </c>
      <c r="C12" s="22">
        <v>3336</v>
      </c>
      <c r="D12" s="21">
        <v>0.52977608384945196</v>
      </c>
    </row>
    <row r="13" spans="2:5">
      <c r="B13" s="23" t="s">
        <v>298</v>
      </c>
      <c r="C13" s="22">
        <v>1690</v>
      </c>
      <c r="D13" s="21">
        <v>0.268381769096395</v>
      </c>
    </row>
    <row r="14" spans="2:5">
      <c r="B14" s="23" t="s">
        <v>299</v>
      </c>
      <c r="C14" s="22">
        <v>235</v>
      </c>
      <c r="D14" s="21">
        <v>3.7319358424647002E-2</v>
      </c>
      <c r="E14" s="24"/>
    </row>
    <row r="15" spans="2:5">
      <c r="B15" s="23" t="s">
        <v>300</v>
      </c>
      <c r="C15" s="22">
        <v>203</v>
      </c>
      <c r="D15" s="21">
        <v>3.2237573447673001E-2</v>
      </c>
      <c r="E15" s="24"/>
    </row>
    <row r="16" spans="2:5">
      <c r="B16" s="23" t="s">
        <v>301</v>
      </c>
      <c r="C16" s="22">
        <v>103</v>
      </c>
      <c r="D16" s="21">
        <v>1.6356995394632E-2</v>
      </c>
    </row>
    <row r="17" spans="2:4">
      <c r="B17" s="23" t="s">
        <v>302</v>
      </c>
      <c r="C17" s="22">
        <v>76</v>
      </c>
      <c r="D17" s="21">
        <v>1.2069239320311001E-2</v>
      </c>
    </row>
    <row r="18" spans="2:4" ht="27">
      <c r="B18" s="23" t="s">
        <v>303</v>
      </c>
      <c r="C18" s="22">
        <v>70</v>
      </c>
      <c r="D18" s="21">
        <v>1.1116404637129E-2</v>
      </c>
    </row>
    <row r="19" spans="2:4">
      <c r="B19" s="23" t="s">
        <v>304</v>
      </c>
      <c r="C19" s="22">
        <v>65</v>
      </c>
      <c r="D19" s="21">
        <v>1.0322375734477E-2</v>
      </c>
    </row>
    <row r="20" spans="2:4">
      <c r="B20" s="23" t="s">
        <v>305</v>
      </c>
      <c r="C20" s="22">
        <v>58</v>
      </c>
      <c r="D20" s="21">
        <v>9.2107352707639992E-3</v>
      </c>
    </row>
    <row r="21" spans="2:4">
      <c r="B21" s="23" t="s">
        <v>306</v>
      </c>
      <c r="C21" s="22">
        <v>53</v>
      </c>
      <c r="D21" s="21">
        <v>8.4167063681120004E-3</v>
      </c>
    </row>
    <row r="22" spans="2:4">
      <c r="B22" s="23" t="s">
        <v>307</v>
      </c>
      <c r="C22" s="22">
        <v>47</v>
      </c>
      <c r="D22" s="21">
        <v>7.4638716849290002E-3</v>
      </c>
    </row>
    <row r="23" spans="2:4">
      <c r="B23" s="23" t="s">
        <v>308</v>
      </c>
      <c r="C23" s="22">
        <v>44</v>
      </c>
      <c r="D23" s="21">
        <v>6.9874543433380001E-3</v>
      </c>
    </row>
    <row r="24" spans="2:4">
      <c r="B24" s="23" t="s">
        <v>309</v>
      </c>
      <c r="C24" s="22">
        <v>39</v>
      </c>
      <c r="D24" s="21">
        <v>6.1934254406859996E-3</v>
      </c>
    </row>
    <row r="25" spans="2:4">
      <c r="B25" s="23" t="s">
        <v>310</v>
      </c>
      <c r="C25" s="22">
        <v>30</v>
      </c>
      <c r="D25" s="21">
        <v>4.7641734159120002E-3</v>
      </c>
    </row>
    <row r="26" spans="2:4">
      <c r="B26" s="23" t="s">
        <v>311</v>
      </c>
      <c r="C26" s="22">
        <v>29</v>
      </c>
      <c r="D26" s="21">
        <v>4.6053676353819996E-3</v>
      </c>
    </row>
    <row r="27" spans="2:4">
      <c r="B27" s="23" t="s">
        <v>312</v>
      </c>
      <c r="C27" s="22">
        <v>29</v>
      </c>
      <c r="D27" s="21">
        <v>4.6053676353819996E-3</v>
      </c>
    </row>
    <row r="28" spans="2:4">
      <c r="B28" s="23" t="s">
        <v>313</v>
      </c>
      <c r="C28" s="22">
        <v>28</v>
      </c>
      <c r="D28" s="21">
        <v>4.4465618548519999E-3</v>
      </c>
    </row>
    <row r="29" spans="2:4">
      <c r="B29" s="23" t="s">
        <v>314</v>
      </c>
      <c r="C29" s="22">
        <v>27</v>
      </c>
      <c r="D29" s="21">
        <v>4.2877560743210001E-3</v>
      </c>
    </row>
    <row r="30" spans="2:4">
      <c r="B30" s="23" t="s">
        <v>315</v>
      </c>
      <c r="C30" s="22">
        <v>13</v>
      </c>
      <c r="D30" s="21">
        <v>2.0644751468950001E-3</v>
      </c>
    </row>
    <row r="31" spans="2:4">
      <c r="B31" s="23" t="s">
        <v>316</v>
      </c>
      <c r="C31" s="22">
        <v>13</v>
      </c>
      <c r="D31" s="21">
        <v>2.0644751468950001E-3</v>
      </c>
    </row>
    <row r="32" spans="2:4">
      <c r="B32" s="23" t="s">
        <v>317</v>
      </c>
      <c r="C32" s="22">
        <v>12</v>
      </c>
      <c r="D32" s="21">
        <v>1.905669366365E-3</v>
      </c>
    </row>
    <row r="33" spans="2:4">
      <c r="B33" s="23" t="s">
        <v>318</v>
      </c>
      <c r="C33" s="22">
        <v>10</v>
      </c>
      <c r="D33" s="21">
        <v>1.5880578053040001E-3</v>
      </c>
    </row>
    <row r="34" spans="2:4">
      <c r="B34" s="23" t="s">
        <v>319</v>
      </c>
      <c r="C34" s="22">
        <v>8</v>
      </c>
      <c r="D34" s="21">
        <v>1.2704462442429999E-3</v>
      </c>
    </row>
    <row r="35" spans="2:4">
      <c r="B35" s="23" t="s">
        <v>320</v>
      </c>
      <c r="C35" s="22">
        <v>7</v>
      </c>
      <c r="D35" s="21">
        <v>1.111640463713E-3</v>
      </c>
    </row>
    <row r="36" spans="2:4">
      <c r="B36" s="23" t="s">
        <v>321</v>
      </c>
      <c r="C36" s="22">
        <v>7</v>
      </c>
      <c r="D36" s="21">
        <v>1.111640463713E-3</v>
      </c>
    </row>
    <row r="37" spans="2:4">
      <c r="B37" s="23" t="s">
        <v>322</v>
      </c>
      <c r="C37" s="22">
        <v>6</v>
      </c>
      <c r="D37" s="21">
        <v>9.5283468318199996E-4</v>
      </c>
    </row>
    <row r="38" spans="2:4">
      <c r="B38" s="23" t="s">
        <v>323</v>
      </c>
      <c r="C38" s="22">
        <v>5</v>
      </c>
      <c r="D38" s="21">
        <v>7.9402890265200003E-4</v>
      </c>
    </row>
    <row r="39" spans="2:4">
      <c r="B39" s="23" t="s">
        <v>324</v>
      </c>
      <c r="C39" s="22">
        <v>5</v>
      </c>
      <c r="D39" s="21">
        <v>7.9402890265200003E-4</v>
      </c>
    </row>
    <row r="40" spans="2:4">
      <c r="B40" s="23" t="s">
        <v>325</v>
      </c>
      <c r="C40" s="22">
        <v>4</v>
      </c>
      <c r="D40" s="21">
        <v>6.3522312212199999E-4</v>
      </c>
    </row>
    <row r="41" spans="2:4">
      <c r="B41" s="23" t="s">
        <v>326</v>
      </c>
      <c r="C41" s="22">
        <v>4</v>
      </c>
      <c r="D41" s="21">
        <v>6.3522312212199999E-4</v>
      </c>
    </row>
    <row r="42" spans="2:4">
      <c r="B42" s="23" t="s">
        <v>327</v>
      </c>
      <c r="C42" s="22">
        <v>4</v>
      </c>
      <c r="D42" s="21">
        <v>6.3522312212199999E-4</v>
      </c>
    </row>
    <row r="43" spans="2:4">
      <c r="B43" s="23" t="s">
        <v>328</v>
      </c>
      <c r="C43" s="22">
        <v>4</v>
      </c>
      <c r="D43" s="21">
        <v>6.3522312212199999E-4</v>
      </c>
    </row>
    <row r="44" spans="2:4">
      <c r="B44" s="23" t="s">
        <v>329</v>
      </c>
      <c r="C44" s="22">
        <v>3</v>
      </c>
      <c r="D44" s="21">
        <v>4.7641734159099998E-4</v>
      </c>
    </row>
    <row r="45" spans="2:4">
      <c r="B45" s="23" t="s">
        <v>330</v>
      </c>
      <c r="C45" s="22">
        <v>3</v>
      </c>
      <c r="D45" s="21">
        <v>4.7641734159099998E-4</v>
      </c>
    </row>
    <row r="46" spans="2:4">
      <c r="B46" s="23" t="s">
        <v>331</v>
      </c>
      <c r="C46" s="22">
        <v>3</v>
      </c>
      <c r="D46" s="21">
        <v>4.7641734159099998E-4</v>
      </c>
    </row>
    <row r="47" spans="2:4">
      <c r="B47" s="23" t="s">
        <v>332</v>
      </c>
      <c r="C47" s="22">
        <v>3</v>
      </c>
      <c r="D47" s="21">
        <v>4.7641734159099998E-4</v>
      </c>
    </row>
    <row r="48" spans="2:4">
      <c r="B48" s="23" t="s">
        <v>333</v>
      </c>
      <c r="C48" s="22">
        <v>2</v>
      </c>
      <c r="D48" s="21">
        <v>3.1761156106099999E-4</v>
      </c>
    </row>
    <row r="49" spans="2:4">
      <c r="B49" s="23" t="s">
        <v>334</v>
      </c>
      <c r="C49" s="22">
        <v>2</v>
      </c>
      <c r="D49" s="21">
        <v>3.1761156106099999E-4</v>
      </c>
    </row>
    <row r="50" spans="2:4">
      <c r="B50" s="23" t="s">
        <v>335</v>
      </c>
      <c r="C50" s="22">
        <v>2</v>
      </c>
      <c r="D50" s="21">
        <v>3.1761156106099999E-4</v>
      </c>
    </row>
    <row r="51" spans="2:4">
      <c r="B51" s="23" t="s">
        <v>336</v>
      </c>
      <c r="C51" s="22">
        <v>2</v>
      </c>
      <c r="D51" s="21">
        <v>3.1761156106099999E-4</v>
      </c>
    </row>
    <row r="52" spans="2:4">
      <c r="B52" s="23" t="s">
        <v>337</v>
      </c>
      <c r="C52" s="22">
        <v>2</v>
      </c>
      <c r="D52" s="21">
        <v>3.1761156106099999E-4</v>
      </c>
    </row>
    <row r="53" spans="2:4">
      <c r="B53" s="23" t="s">
        <v>338</v>
      </c>
      <c r="C53" s="22">
        <v>1</v>
      </c>
      <c r="D53" s="21">
        <v>1.5880578052999999E-4</v>
      </c>
    </row>
    <row r="54" spans="2:4">
      <c r="B54" s="23" t="s">
        <v>339</v>
      </c>
      <c r="C54" s="22">
        <v>1</v>
      </c>
      <c r="D54" s="21">
        <v>1.5880578052999999E-4</v>
      </c>
    </row>
    <row r="55" spans="2:4">
      <c r="B55" s="23" t="s">
        <v>340</v>
      </c>
      <c r="C55" s="22">
        <v>1</v>
      </c>
      <c r="D55" s="21">
        <v>1.5880578052999999E-4</v>
      </c>
    </row>
    <row r="56" spans="2:4">
      <c r="B56" s="23" t="s">
        <v>341</v>
      </c>
      <c r="C56" s="22">
        <v>1</v>
      </c>
      <c r="D56" s="21">
        <v>1.5880578052999999E-4</v>
      </c>
    </row>
    <row r="57" spans="2:4">
      <c r="B57" s="23" t="s">
        <v>342</v>
      </c>
      <c r="C57" s="22">
        <v>1</v>
      </c>
      <c r="D57" s="21">
        <v>1.5880578052999999E-4</v>
      </c>
    </row>
    <row r="58" spans="2:4">
      <c r="B58" s="23" t="s">
        <v>343</v>
      </c>
      <c r="C58" s="22">
        <v>1</v>
      </c>
      <c r="D58" s="21">
        <v>1.5880578052999999E-4</v>
      </c>
    </row>
    <row r="59" spans="2:4">
      <c r="B59" s="23" t="s">
        <v>344</v>
      </c>
      <c r="C59" s="22">
        <v>1</v>
      </c>
      <c r="D59" s="21">
        <v>1.5880578052999999E-4</v>
      </c>
    </row>
    <row r="60" spans="2:4">
      <c r="B60" s="23" t="s">
        <v>345</v>
      </c>
      <c r="C60" s="22">
        <v>1</v>
      </c>
      <c r="D60" s="21">
        <v>1.5880578052999999E-4</v>
      </c>
    </row>
    <row r="61" spans="2:4">
      <c r="B61" s="23" t="s">
        <v>346</v>
      </c>
      <c r="C61" s="22">
        <v>1</v>
      </c>
      <c r="D61" s="21">
        <v>1.5880578052999999E-4</v>
      </c>
    </row>
    <row r="62" spans="2:4">
      <c r="B62" s="23" t="s">
        <v>286</v>
      </c>
      <c r="C62" s="22">
        <v>1</v>
      </c>
      <c r="D62" s="21">
        <v>1.5880578052999999E-4</v>
      </c>
    </row>
    <row r="63" spans="2:4">
      <c r="B63" s="23" t="s">
        <v>347</v>
      </c>
      <c r="C63" s="22">
        <v>1</v>
      </c>
      <c r="D63" s="21">
        <v>1.5880578052999999E-4</v>
      </c>
    </row>
    <row r="64" spans="2:4">
      <c r="B64" s="20" t="s">
        <v>29</v>
      </c>
      <c r="C64" s="19">
        <v>6297</v>
      </c>
      <c r="D64" s="18">
        <v>1</v>
      </c>
    </row>
    <row r="66" spans="2:2">
      <c r="B66" s="15" t="s">
        <v>47</v>
      </c>
    </row>
    <row r="67" spans="2:2">
      <c r="B67" s="17" t="s">
        <v>18</v>
      </c>
    </row>
    <row r="68" spans="2:2">
      <c r="B68" s="16" t="s">
        <v>48</v>
      </c>
    </row>
    <row r="69" spans="2:2">
      <c r="B69" s="15" t="s">
        <v>17</v>
      </c>
    </row>
    <row r="70" spans="2:2">
      <c r="B7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Sonora_GENERO_EUA</vt:lpstr>
      <vt:lpstr>Sonora_Gen_Edad</vt:lpstr>
      <vt:lpstr>Sonora_ocup_gral</vt:lpstr>
      <vt:lpstr>Sonora_educ_gral!Área_de_impresión</vt:lpstr>
      <vt:lpstr>Sonora_EducCons!Área_de_impresión</vt:lpstr>
      <vt:lpstr>Sonora_MUNICIPIO!Área_de_impresión</vt:lpstr>
      <vt:lpstr>Sonora_NivelE_Cons!Área_de_impresión</vt:lpstr>
      <vt:lpstr>Sonora_ocup_gral!Área_de_impresión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Sonora_GENERO_EUA!Títulos_a_imprimir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2020-06-03T23:59:40Z</dcterms:created>
  <dcterms:modified xsi:type="dcterms:W3CDTF">2024-12-31T16:54:07Z</dcterms:modified>
</cp:coreProperties>
</file>