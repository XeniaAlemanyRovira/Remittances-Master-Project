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DAA87CF1-3FA5-4E17-ABFE-261FA325364C}" xr6:coauthVersionLast="47" xr6:coauthVersionMax="47" xr10:uidLastSave="{00000000-0000-0000-0000-000000000000}"/>
  <bookViews>
    <workbookView xWindow="13845" yWindow="300" windowWidth="12105" windowHeight="13740" tabRatio="856" firstSheet="13" activeTab="14" xr2:uid="{00000000-000D-0000-FFFF-FFFF00000000}"/>
  </bookViews>
  <sheets>
    <sheet name="Índice" sheetId="1" r:id="rId1"/>
    <sheet name="Baja California_EdoUsa" sheetId="2" r:id="rId2"/>
    <sheet name="Baja California_Cons" sheetId="16" r:id="rId3"/>
    <sheet name="Baja CaliforniaXCons" sheetId="17" r:id="rId4"/>
    <sheet name="Baja California_EdoMun" sheetId="5" r:id="rId5"/>
    <sheet name="Baja California_USAMuni" sheetId="6" r:id="rId6"/>
    <sheet name="Baja California_MUNICIPIO" sheetId="7" r:id="rId7"/>
    <sheet name="Baja California_educ_gral" sheetId="8" r:id="rId8"/>
    <sheet name="Baja California_NivelE_Cons" sheetId="9" r:id="rId9"/>
    <sheet name="Baja California_EducCons" sheetId="10" r:id="rId10"/>
    <sheet name="Baja California_GenGral" sheetId="11" r:id="rId11"/>
    <sheet name="Baja California_GENERO" sheetId="12" r:id="rId12"/>
    <sheet name="Baja California_GENERO_EUA" sheetId="18" r:id="rId13"/>
    <sheet name="Baja California_Gen_Edad" sheetId="14" r:id="rId14"/>
    <sheet name="Baja California_ocup_gral" sheetId="15" r:id="rId15"/>
  </sheets>
  <definedNames>
    <definedName name="_xlnm._FilterDatabase" localSheetId="2" hidden="1">'Baja California_Cons'!$B$11:$D$11</definedName>
    <definedName name="_xlnm._FilterDatabase" localSheetId="4" hidden="1">'Baja California_EdoMun'!$B$11:$D$11</definedName>
    <definedName name="_xlnm._FilterDatabase" localSheetId="1" hidden="1">'Baja California_EdoUsa'!$B$11:$D$11</definedName>
    <definedName name="_xlnm._FilterDatabase" localSheetId="7" hidden="1">'Baja California_educ_gral'!$B$11:$D$11</definedName>
    <definedName name="_xlnm._FilterDatabase" localSheetId="9" hidden="1">'Baja California_EducCons'!$B$9:$E$9</definedName>
    <definedName name="_xlnm._FilterDatabase" localSheetId="11" hidden="1">'Baja California_GENERO'!$B$12:$F$12</definedName>
    <definedName name="_xlnm._FilterDatabase" localSheetId="12" hidden="1">'Baja California_GENERO_EUA'!$B$12:$F$12</definedName>
    <definedName name="_xlnm._FilterDatabase" localSheetId="10" hidden="1">'Baja California_GenGral'!$B$11:$D$11</definedName>
    <definedName name="_xlnm._FilterDatabase" localSheetId="6" hidden="1">'Baja California_MUNICIPIO'!$B$10:$E$10</definedName>
    <definedName name="_xlnm._FilterDatabase" localSheetId="8" hidden="1">'Baja California_NivelE_Cons'!$B$9:$E$9</definedName>
    <definedName name="_xlnm._FilterDatabase" localSheetId="14" hidden="1">'Baja California_ocup_gral'!$B$11:$D$11</definedName>
    <definedName name="_xlnm._FilterDatabase" localSheetId="5" hidden="1">'Baja California_USAMuni'!$B$9:$E$9</definedName>
    <definedName name="_xlnm._FilterDatabase" localSheetId="3" hidden="1">'Baja CaliforniaXCons'!$B$11:$D$11</definedName>
    <definedName name="_xlnm.Print_Area" localSheetId="4">'Baja California_EdoMun'!$A$1:$F$26</definedName>
    <definedName name="_xlnm.Print_Area" localSheetId="7">'Baja California_educ_gral'!$A$1:$F$42</definedName>
    <definedName name="_xlnm.Print_Area" localSheetId="9">'Baja California_EducCons'!$A$1:$E$656</definedName>
    <definedName name="_xlnm.Print_Area" localSheetId="13">'Baja California_Gen_Edad'!$A$1:$H$38</definedName>
    <definedName name="_xlnm.Print_Area" localSheetId="6">'Baja California_MUNICIPIO'!$A$1:$E$280</definedName>
    <definedName name="_xlnm.Print_Area" localSheetId="8">'Baja California_NivelE_Cons'!$A$1:$E$447</definedName>
    <definedName name="_xlnm.Print_Area" localSheetId="5">'Baja California_USAMuni'!$A$1:$E$226</definedName>
    <definedName name="_xlnm.Print_Titles" localSheetId="2">'Baja California_Cons'!$1:$11</definedName>
    <definedName name="_xlnm.Print_Titles" localSheetId="4">'Baja California_EdoMun'!$1:$11</definedName>
    <definedName name="_xlnm.Print_Titles" localSheetId="1">'Baja California_EdoUsa'!$1:$11</definedName>
    <definedName name="_xlnm.Print_Titles" localSheetId="7">'Baja California_educ_gral'!$1:$11</definedName>
    <definedName name="_xlnm.Print_Titles" localSheetId="9">'Baja California_EducCons'!$1:$9</definedName>
    <definedName name="_xlnm.Print_Titles" localSheetId="13">'Baja California_Gen_Edad'!$1:$13</definedName>
    <definedName name="_xlnm.Print_Titles" localSheetId="11">'Baja California_GENERO'!$1:$12</definedName>
    <definedName name="_xlnm.Print_Titles" localSheetId="12">'Baja California_GENERO_EUA'!$1:$12</definedName>
    <definedName name="_xlnm.Print_Titles" localSheetId="10">'Baja California_GenGral'!$1:$11</definedName>
    <definedName name="_xlnm.Print_Titles" localSheetId="6">'Baja California_MUNICIPIO'!$1:$10</definedName>
    <definedName name="_xlnm.Print_Titles" localSheetId="8">'Baja California_NivelE_Cons'!$1:$9</definedName>
    <definedName name="_xlnm.Print_Titles" localSheetId="14">'Baja California_ocup_gral'!$1:$11</definedName>
    <definedName name="_xlnm.Print_Titles" localSheetId="5">'Baja California_USAMuni'!$1:$9</definedName>
    <definedName name="_xlnm.Print_Titles" localSheetId="3">'Baja CaliforniaXCons'!$1:$11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7" l="1"/>
  <c r="C22" i="17"/>
  <c r="D13" i="17" l="1"/>
  <c r="D17" i="17"/>
  <c r="D14" i="17"/>
  <c r="D16" i="17" l="1"/>
  <c r="D18" i="17"/>
  <c r="D20" i="17"/>
  <c r="D15" i="17"/>
  <c r="D21" i="17"/>
  <c r="D22" i="17"/>
  <c r="D12" i="17"/>
</calcChain>
</file>

<file path=xl/sharedStrings.xml><?xml version="1.0" encoding="utf-8"?>
<sst xmlns="http://schemas.openxmlformats.org/spreadsheetml/2006/main" count="2466" uniqueCount="240">
  <si>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</si>
  <si>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</si>
  <si>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</si>
  <si>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</si>
  <si>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</si>
  <si>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</si>
  <si>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</si>
  <si>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</si>
  <si>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</si>
  <si>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</si>
  <si>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</si>
  <si>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</si>
  <si>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</si>
  <si>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</si>
  <si>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</si>
  <si>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</si>
  <si>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</si>
  <si>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</si>
  <si>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</si>
  <si>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</si>
  <si>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</si>
  <si>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</si>
  <si>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</si>
  <si>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</si>
  <si>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</si>
  <si>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</si>
  <si>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</si>
  <si>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</si>
  <si>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</si>
  <si>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</si>
  <si>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</si>
  <si>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</si>
  <si>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</si>
  <si>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Ocupación</t>
  </si>
  <si>
    <t>5.2 Por Circunscripción Consular</t>
  </si>
  <si>
    <t>MATRÍCULAS CONSULARES DE ALTA SEGURIDAD EXPEDIDAS A ORIGINARIOS DE BAJA CALIFORNIA EN LOS CONSULADOS DE MÉXICO EN EE.UU.</t>
  </si>
  <si>
    <t>MATRÍCULAS CONSULARES EXPEDIDAS A ORIGINARIOS DE BAJA CALIFORNIA POR GÉNERO EN EE.UU</t>
  </si>
  <si>
    <t>MATRÍCULAS CONSULARES EXPEDIDAS EN EE.UU. A ORIGINARIOS DE BAJA CALIFORNIA POR NIVEL DE EDUCACIÓN</t>
  </si>
  <si>
    <t>MATRÍCULAS CONSULARES DE ALTA SEGURIDAD EXPEDIDAS POR MUNICIPIO A ORIGINARIOS DEL ESTADO DE BAJA CALIFORNIA EN LOS CONSULADOS DE MÉXICO EN EE.UU.</t>
  </si>
  <si>
    <t>MATRÍCULAS CONSULARES DE ALTA SEGURIDAD EXPEDIDAS A ORIGINARIOS DE BAJA CALIFORNIA POR ESTADO DE LA UNIÓN AMERICANA</t>
  </si>
  <si>
    <t>MATRÍCULAS CONSULARES EXPEDIDAS A ORIGINARIOS DE BAJA CALIFORNIA POR GÉNERO Y CONSULADO</t>
  </si>
  <si>
    <t>MATRÍCULAS CONSULARES EXPEDIDAS A ORIGINARIOS DE AGUASCALIENTES POR GÉNERO Y POR ESTADO DE LA UNIÓN AMERICANA</t>
  </si>
  <si>
    <t>5.3 Por Estado de la Unión Americana</t>
  </si>
  <si>
    <t>LOS 10 CONSULADOS  DE MÉXICO EN EE.UU., CON MAYOR NÚMERO DE EXPEDICIÓN DE  MATRÍCULAS CONSULARES DE ALTA SEGURIDAD A ORIGINARIOS DE BAJA CALIFORNIA</t>
  </si>
  <si>
    <t>TOTAL TOP 10</t>
  </si>
  <si>
    <t>TOTAL GENERAL</t>
  </si>
  <si>
    <t>Matrículas consulares expedidas a originarios de Baja California  en el 2023</t>
  </si>
  <si>
    <t>Tamaño de la muestra: 789,030</t>
  </si>
  <si>
    <t>Elaborado por: Análisis de Información, Instituto de Mexicanas y Mexicanos en el Exterior</t>
  </si>
  <si>
    <t>Noviembre de 2024</t>
  </si>
  <si>
    <t>LOS ANGELES</t>
  </si>
  <si>
    <t>SAN BERNARDINO</t>
  </si>
  <si>
    <t>SAN DIEGO</t>
  </si>
  <si>
    <t>FRESNO</t>
  </si>
  <si>
    <t>LAS VEGAS</t>
  </si>
  <si>
    <t>SANTA ANA</t>
  </si>
  <si>
    <t>CALEXICO</t>
  </si>
  <si>
    <t>CHICAGO</t>
  </si>
  <si>
    <t>PHOENIX</t>
  </si>
  <si>
    <t>SACRAMENTO</t>
  </si>
  <si>
    <t>SAN JOSE</t>
  </si>
  <si>
    <t>OXNARD</t>
  </si>
  <si>
    <t>DALLAS</t>
  </si>
  <si>
    <t>HOUSTON</t>
  </si>
  <si>
    <t>SAN FRANCISCO</t>
  </si>
  <si>
    <t>YUMA</t>
  </si>
  <si>
    <t>SALT LAKE CITY</t>
  </si>
  <si>
    <t>ATLANTA</t>
  </si>
  <si>
    <t>RALEIGH</t>
  </si>
  <si>
    <t>KANSAS CITY</t>
  </si>
  <si>
    <t>DENVER</t>
  </si>
  <si>
    <t>OKLAHOMA CITY</t>
  </si>
  <si>
    <t>LITTLE ROCK</t>
  </si>
  <si>
    <t>PORTLAND</t>
  </si>
  <si>
    <t>BOISE</t>
  </si>
  <si>
    <t>ORLANDO</t>
  </si>
  <si>
    <t>SAINT PAUL</t>
  </si>
  <si>
    <t>SEATTLE</t>
  </si>
  <si>
    <t>MILWAUKEE</t>
  </si>
  <si>
    <t>INDIANAPOLIS</t>
  </si>
  <si>
    <t>NUEVA YORK</t>
  </si>
  <si>
    <t>EL PASO</t>
  </si>
  <si>
    <t>MIAMI</t>
  </si>
  <si>
    <t>FILADELFIA</t>
  </si>
  <si>
    <t>OMAHA</t>
  </si>
  <si>
    <t>TUCSON</t>
  </si>
  <si>
    <t>ALBUQUERQUE</t>
  </si>
  <si>
    <t>AUSTIN</t>
  </si>
  <si>
    <t>DETROIT</t>
  </si>
  <si>
    <t>MCALLEN</t>
  </si>
  <si>
    <t>SAN ANTONIO</t>
  </si>
  <si>
    <t>WASHINGTON</t>
  </si>
  <si>
    <t>NUEVA ORLEANS</t>
  </si>
  <si>
    <t>BROWNSVILLE</t>
  </si>
  <si>
    <t>NEW BRUNSWICK</t>
  </si>
  <si>
    <t>PRESIDIO</t>
  </si>
  <si>
    <t>BOSTON</t>
  </si>
  <si>
    <t>EAGLE PASS</t>
  </si>
  <si>
    <t>LAREDO</t>
  </si>
  <si>
    <t>NOGALES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</si>
  <si>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</si>
  <si>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</si>
  <si>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</si>
  <si>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</si>
  <si>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</si>
  <si>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</si>
  <si>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</si>
  <si>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</si>
  <si>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</si>
  <si>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</si>
  <si>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</si>
  <si>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</si>
  <si>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</si>
  <si>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</si>
  <si>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</si>
  <si>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</si>
  <si>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</si>
  <si>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</si>
  <si>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</si>
  <si>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</si>
  <si>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</si>
  <si>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</si>
  <si>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</si>
  <si>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</si>
  <si>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</si>
  <si>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</si>
  <si>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</si>
  <si>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</si>
  <si>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</si>
  <si>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</si>
  <si>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</si>
  <si>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</si>
  <si>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</si>
  <si>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</si>
  <si>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</si>
  <si>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</si>
  <si>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</si>
  <si>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SOUTH DAKOTA</t>
  </si>
  <si>
    <t>TENNESSEE</t>
  </si>
  <si>
    <t>TEXAS</t>
  </si>
  <si>
    <t>UTAH</t>
  </si>
  <si>
    <t>VIRGINIA</t>
  </si>
  <si>
    <t>WISCONSIN</t>
  </si>
  <si>
    <t>WYOMING</t>
  </si>
  <si>
    <t>FEMENINO</t>
  </si>
  <si>
    <t>MASCULINO</t>
  </si>
  <si>
    <t>NO BINARIO</t>
  </si>
  <si>
    <t>MEXICALI</t>
  </si>
  <si>
    <t>TIJUANA</t>
  </si>
  <si>
    <t>ENSENADA</t>
  </si>
  <si>
    <t>NO SE REGISTRÓ EL MUNICIPIO/CONDADO/ALCALDÍA DE NACIMIENTO</t>
  </si>
  <si>
    <t>PLAYAS DE ROSARITO</t>
  </si>
  <si>
    <t>TECATE</t>
  </si>
  <si>
    <t>SAN QUINTÍN</t>
  </si>
  <si>
    <t>GUADALUPE VICTORIA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</si>
  <si>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</si>
  <si>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</si>
  <si>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</si>
  <si>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</si>
  <si>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</si>
  <si>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</si>
  <si>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</si>
  <si>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</si>
  <si>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</si>
  <si>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</si>
  <si>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</si>
  <si>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</si>
  <si>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</si>
  <si>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</si>
  <si>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</si>
  <si>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</si>
  <si>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</si>
  <si>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</si>
  <si>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</si>
  <si>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</si>
  <si>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</si>
  <si>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</si>
  <si>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</si>
  <si>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</si>
  <si>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</si>
  <si>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</si>
  <si>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</si>
  <si>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</si>
  <si>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</si>
  <si>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</si>
  <si>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</si>
  <si>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</si>
  <si>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EMPLEADO(A)</t>
  </si>
  <si>
    <t>HOGAR</t>
  </si>
  <si>
    <t>ESTUDIANTE</t>
  </si>
  <si>
    <t>AGROPECUARIA, TRAB. DE LA INDUSTRIA</t>
  </si>
  <si>
    <t>CONSTRUCCIÓN, TRAB. DE LA IND. DE LA</t>
  </si>
  <si>
    <t>PROFESIONISTA</t>
  </si>
  <si>
    <t>ALIMENTOS Y BEBIDAS, ESP. EN PREPARACIÓN DE</t>
  </si>
  <si>
    <t>OBRERO(A)</t>
  </si>
  <si>
    <t>JUBILADO(A)/PENSIONADO(A)</t>
  </si>
  <si>
    <t>JARDINERO(A)</t>
  </si>
  <si>
    <t>DESEMPLEADO</t>
  </si>
  <si>
    <t>EMPRESARIO(A)</t>
  </si>
  <si>
    <t>PINTOR(A)</t>
  </si>
  <si>
    <t>MECÁNICO(A)</t>
  </si>
  <si>
    <t>SIN ESPECIFICAR</t>
  </si>
  <si>
    <t>VENDEDOR(A)</t>
  </si>
  <si>
    <t>LIMPIEZA, EMPLEADO DE</t>
  </si>
  <si>
    <t>CHOFER</t>
  </si>
  <si>
    <t>CAJERO(A)/COBRADOR(A)</t>
  </si>
  <si>
    <t>OPERARIO(A)</t>
  </si>
  <si>
    <t>MESERO(A)</t>
  </si>
  <si>
    <t>AEROCOMERCIAL, TRAB. DE LA INDUSTRIA</t>
  </si>
  <si>
    <t>CARPINTERO/TAPICERO</t>
  </si>
  <si>
    <t>DISCAPACITADO</t>
  </si>
  <si>
    <t>ENFERMERO(A)/TRAB. DE APOYO EN SALUD</t>
  </si>
  <si>
    <t>GERENTE/DIRECTOR(A)</t>
  </si>
  <si>
    <t>PROFESOR(A)</t>
  </si>
  <si>
    <t>BELLEZA, PROFESIONAL DE SERVICIOS DE</t>
  </si>
  <si>
    <t>TÉCNICO(A) EN MANTENIMIENTO</t>
  </si>
  <si>
    <t>PROFESIONAL TÉCNICO</t>
  </si>
  <si>
    <t>SOLDADOR</t>
  </si>
  <si>
    <t>TRABAJADOR(A) DOMÉSTICO(A)</t>
  </si>
  <si>
    <t>ADMINISTRADOR(A)/CONTADOR(A)</t>
  </si>
  <si>
    <t>ARTISTA INTERPRETATIVO(A)</t>
  </si>
  <si>
    <t>CARNICERO(A)</t>
  </si>
  <si>
    <t>MINISTRO(A) RELIGIOSO(A)</t>
  </si>
  <si>
    <t>AUXILIARES ADMINISTRATIVOS Y DE OFICINA</t>
  </si>
  <si>
    <t>HERRERO(A)/CERRAJERO(A)/JOYERO(A)</t>
  </si>
  <si>
    <t>INGENIERO(A)</t>
  </si>
  <si>
    <t>INVESTIGADOR(A)</t>
  </si>
  <si>
    <t>MÉDICO(A) /ESP. EN SALUD</t>
  </si>
  <si>
    <t>POLICÍA/ SERV. SEGURIDAD Y PROTECCIÓN</t>
  </si>
  <si>
    <t>SUPERVISOR(A)</t>
  </si>
  <si>
    <t>ARTESANO(A)</t>
  </si>
  <si>
    <t>ARTISTA PLÁSTICO/PINTOR(A)</t>
  </si>
  <si>
    <t>COMERCIANTE</t>
  </si>
  <si>
    <t>DEPORTISTA/ENTRENADOR DEPORTIVO</t>
  </si>
  <si>
    <t>EXTRACCIÓN, TRAB. DE LA INDUSTRIA DE LA</t>
  </si>
  <si>
    <t>FOTÓGRAFO(A)</t>
  </si>
  <si>
    <t>MODISTA/SASTRE</t>
  </si>
  <si>
    <t>TRABAJADOR(A) SOCIAL</t>
  </si>
  <si>
    <t>MATRÍCULAS CONSULARES EXPEDIDAS A ORIGINARIOS DE BAJA CALIFORNIA POR GÉNERO Y EDAD 
EN EE.UU.</t>
  </si>
  <si>
    <t>MATRÍCULAS CONSULARES EXPEDIDAS EN EE.UU. ORIGINARIOS DE BAJA CALIFORNIA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</si>
</sst>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0.499984740745262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19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/>
    <xf numFmtId="0" fontId="16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9" fillId="3" borderId="0" xfId="0" applyFont="1" applyFill="1"/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5" fillId="6" borderId="9" xfId="3" applyFont="1" applyFill="1" applyBorder="1" applyAlignment="1">
      <alignment horizontal="center" vertical="center" wrapText="1"/>
    </xf>
    <xf numFmtId="3" fontId="25" fillId="7" borderId="9" xfId="0" applyNumberFormat="1" applyFont="1" applyFill="1" applyBorder="1" applyAlignment="1">
      <alignment horizontal="right" vertical="center" wrapText="1"/>
    </xf>
    <xf numFmtId="164" fontId="25" fillId="7" borderId="9" xfId="0" applyNumberFormat="1" applyFont="1" applyFill="1" applyBorder="1" applyAlignment="1">
      <alignment horizontal="right" vertical="center" wrapText="1"/>
    </xf>
    <xf numFmtId="0" fontId="25" fillId="6" borderId="10" xfId="3" applyFont="1" applyFill="1" applyBorder="1" applyAlignment="1">
      <alignment horizontal="center" vertical="center" wrapText="1"/>
    </xf>
    <xf numFmtId="0" fontId="24" fillId="0" borderId="0" xfId="1" applyFont="1" applyBorder="1" applyAlignment="1">
      <alignment horizontal="left"/>
    </xf>
    <xf numFmtId="3" fontId="6" fillId="8" borderId="9" xfId="0" applyNumberFormat="1" applyFont="1" applyFill="1" applyBorder="1" applyAlignment="1">
      <alignment horizontal="right" wrapText="1"/>
    </xf>
    <xf numFmtId="164" fontId="6" fillId="8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horizontal="left" vertical="center" wrapText="1"/>
    </xf>
    <xf numFmtId="3" fontId="6" fillId="8" borderId="9" xfId="0" applyNumberFormat="1" applyFont="1" applyFill="1" applyBorder="1" applyAlignment="1">
      <alignment horizontal="right" vertical="center" wrapText="1"/>
    </xf>
    <xf numFmtId="164" fontId="6" fillId="8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165" fontId="6" fillId="4" borderId="9" xfId="0" applyNumberFormat="1" applyFont="1" applyFill="1" applyBorder="1" applyAlignment="1">
      <alignment horizontal="right" vertical="top" wrapText="1"/>
    </xf>
    <xf numFmtId="164" fontId="6" fillId="4" borderId="9" xfId="0" applyNumberFormat="1" applyFont="1" applyFill="1" applyBorder="1" applyAlignment="1">
      <alignment horizontal="right" vertical="top" wrapText="1"/>
    </xf>
    <xf numFmtId="49" fontId="25" fillId="9" borderId="9" xfId="2" applyNumberFormat="1" applyFont="1" applyFill="1" applyBorder="1" applyAlignment="1">
      <alignment vertical="top" wrapText="1"/>
    </xf>
    <xf numFmtId="49" fontId="7" fillId="10" borderId="9" xfId="0" applyNumberFormat="1" applyFont="1" applyFill="1" applyBorder="1" applyAlignment="1">
      <alignment vertical="top" wrapText="1"/>
    </xf>
    <xf numFmtId="165" fontId="7" fillId="10" borderId="9" xfId="0" applyNumberFormat="1" applyFont="1" applyFill="1" applyBorder="1" applyAlignment="1">
      <alignment horizontal="right" vertical="top" wrapText="1"/>
    </xf>
    <xf numFmtId="164" fontId="7" fillId="10" borderId="9" xfId="0" applyNumberFormat="1" applyFont="1" applyFill="1" applyBorder="1" applyAlignment="1">
      <alignment horizontal="right" vertical="top" wrapText="1"/>
    </xf>
    <xf numFmtId="165" fontId="25" fillId="9" borderId="9" xfId="2" applyNumberFormat="1" applyFont="1" applyFill="1" applyBorder="1" applyAlignment="1">
      <alignment horizontal="right" vertical="top" wrapText="1"/>
    </xf>
    <xf numFmtId="164" fontId="25" fillId="9" borderId="9" xfId="2" applyNumberFormat="1" applyFont="1" applyFill="1" applyBorder="1" applyAlignment="1">
      <alignment horizontal="right" vertical="top" wrapText="1"/>
    </xf>
    <xf numFmtId="49" fontId="15" fillId="10" borderId="9" xfId="2" applyNumberFormat="1" applyFont="1" applyFill="1" applyBorder="1" applyAlignment="1">
      <alignment vertical="top" wrapText="1"/>
    </xf>
    <xf numFmtId="165" fontId="15" fillId="10" borderId="9" xfId="2" applyNumberFormat="1" applyFont="1" applyFill="1" applyBorder="1" applyAlignment="1">
      <alignment horizontal="right" vertical="top" wrapText="1"/>
    </xf>
    <xf numFmtId="164" fontId="15" fillId="10" borderId="9" xfId="2" applyNumberFormat="1" applyFont="1" applyFill="1" applyBorder="1" applyAlignment="1">
      <alignment horizontal="right" vertical="top" wrapText="1"/>
    </xf>
    <xf numFmtId="3" fontId="25" fillId="11" borderId="9" xfId="0" applyNumberFormat="1" applyFont="1" applyFill="1" applyBorder="1" applyAlignment="1">
      <alignment horizontal="right" wrapText="1"/>
    </xf>
    <xf numFmtId="164" fontId="25" fillId="11" borderId="9" xfId="0" applyNumberFormat="1" applyFont="1" applyFill="1" applyBorder="1" applyAlignment="1">
      <alignment horizontal="right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1" fontId="25" fillId="6" borderId="9" xfId="3" applyNumberFormat="1" applyFont="1" applyFill="1" applyBorder="1" applyAlignment="1">
      <alignment horizontal="center" vertical="center" wrapText="1"/>
    </xf>
    <xf numFmtId="0" fontId="21" fillId="3" borderId="0" xfId="0" applyFont="1" applyFill="1" applyAlignment="1">
      <alignment horizontal="center" vertical="center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4" fillId="0" borderId="5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6" fillId="8" borderId="9" xfId="0" applyNumberFormat="1" applyFont="1" applyFill="1" applyBorder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6" fillId="8" borderId="13" xfId="0" applyNumberFormat="1" applyFont="1" applyFill="1" applyBorder="1" applyAlignment="1">
      <alignment horizontal="center" vertical="center" wrapText="1"/>
    </xf>
    <xf numFmtId="49" fontId="6" fillId="8" borderId="12" xfId="0" applyNumberFormat="1" applyFont="1" applyFill="1" applyBorder="1" applyAlignment="1">
      <alignment horizontal="center" vertical="center" wrapText="1"/>
    </xf>
    <xf numFmtId="49" fontId="7" fillId="10" borderId="9" xfId="0" applyNumberFormat="1" applyFont="1" applyFill="1" applyBorder="1" applyAlignment="1">
      <alignment horizontal="center" vertical="center" wrapText="1"/>
    </xf>
    <xf numFmtId="49" fontId="25" fillId="11" borderId="9" xfId="0" applyNumberFormat="1" applyFont="1" applyFill="1" applyBorder="1" applyAlignment="1">
      <alignment horizontal="center" vertical="center" wrapText="1"/>
    </xf>
    <xf numFmtId="49" fontId="25" fillId="7" borderId="13" xfId="0" applyNumberFormat="1" applyFont="1" applyFill="1" applyBorder="1" applyAlignment="1">
      <alignment horizontal="center" vertical="center" wrapText="1"/>
    </xf>
    <xf numFmtId="49" fontId="25" fillId="7" borderId="12" xfId="0" applyNumberFormat="1" applyFont="1" applyFill="1" applyBorder="1" applyAlignment="1">
      <alignment horizontal="center" vertical="center" wrapText="1"/>
    </xf>
    <xf numFmtId="0" fontId="21" fillId="3" borderId="0" xfId="0" applyFont="1" applyFill="1" applyAlignment="1">
      <alignment horizontal="center" vertical="center" wrapText="1"/>
    </xf>
    <xf numFmtId="0" fontId="21" fillId="3" borderId="0" xfId="0" applyFont="1" applyFill="1" applyAlignment="1">
      <alignment horizontal="center" vertical="center"/>
    </xf>
    <xf numFmtId="49" fontId="6" fillId="4" borderId="13" xfId="0" applyNumberFormat="1" applyFont="1" applyFill="1" applyBorder="1" applyAlignment="1">
      <alignment horizontal="center" vertical="top" wrapText="1"/>
    </xf>
    <xf numFmtId="49" fontId="6" fillId="4" borderId="12" xfId="0" applyNumberFormat="1" applyFont="1" applyFill="1" applyBorder="1" applyAlignment="1">
      <alignment horizontal="center"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384891</xdr:colOff>
      <xdr:row>2</xdr:row>
      <xdr:rowOff>9217</xdr:rowOff>
    </xdr:from>
    <xdr:to>
      <xdr:col>3</xdr:col>
      <xdr:colOff>896988</xdr:colOff>
      <xdr:row>3</xdr:row>
      <xdr:rowOff>9217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1041" y="75216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133350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3305175" y="14668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76200</xdr:colOff>
      <xdr:row>0</xdr:row>
      <xdr:rowOff>152400</xdr:rowOff>
    </xdr:from>
    <xdr:to>
      <xdr:col>1</xdr:col>
      <xdr:colOff>381559</xdr:colOff>
      <xdr:row>3</xdr:row>
      <xdr:rowOff>295274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EADA141-3FA9-42D2-A995-AC576CBE99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5240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1</xdr:row>
      <xdr:rowOff>0</xdr:rowOff>
    </xdr:from>
    <xdr:to>
      <xdr:col>1</xdr:col>
      <xdr:colOff>429184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CF31503E-3B01-4047-BCDB-FD1ABAFA0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61010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0</xdr:row>
      <xdr:rowOff>171450</xdr:rowOff>
    </xdr:from>
    <xdr:to>
      <xdr:col>1</xdr:col>
      <xdr:colOff>448234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A417304D-E0B3-4FB6-A75C-50C9EA90BF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85725</xdr:rowOff>
    </xdr:from>
    <xdr:to>
      <xdr:col>5</xdr:col>
      <xdr:colOff>102522</xdr:colOff>
      <xdr:row>8</xdr:row>
      <xdr:rowOff>85725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3257550" y="141922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0</xdr:row>
      <xdr:rowOff>171450</xdr:rowOff>
    </xdr:from>
    <xdr:to>
      <xdr:col>1</xdr:col>
      <xdr:colOff>429184</xdr:colOff>
      <xdr:row>3</xdr:row>
      <xdr:rowOff>314324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4D9609A-B32A-4F1E-AC94-520D4B981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BAJA CALIFORNIA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492673</xdr:colOff>
      <xdr:row>7</xdr:row>
      <xdr:rowOff>87585</xdr:rowOff>
    </xdr:from>
    <xdr:to>
      <xdr:col>4</xdr:col>
      <xdr:colOff>1004770</xdr:colOff>
      <xdr:row>7</xdr:row>
      <xdr:rowOff>273705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23794" y="1817413"/>
          <a:ext cx="512097" cy="18612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0</xdr:row>
      <xdr:rowOff>142875</xdr:rowOff>
    </xdr:from>
    <xdr:to>
      <xdr:col>1</xdr:col>
      <xdr:colOff>1000684</xdr:colOff>
      <xdr:row>3</xdr:row>
      <xdr:rowOff>323849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71E3A70-F6F1-4C35-A37C-BC6256F12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42875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8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BAJA CALIFORNIA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382269</xdr:colOff>
      <xdr:row>7</xdr:row>
      <xdr:rowOff>167488</xdr:rowOff>
    </xdr:from>
    <xdr:to>
      <xdr:col>4</xdr:col>
      <xdr:colOff>894366</xdr:colOff>
      <xdr:row>8</xdr:row>
      <xdr:rowOff>176897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230681" y="1915606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95250</xdr:colOff>
      <xdr:row>0</xdr:row>
      <xdr:rowOff>142875</xdr:rowOff>
    </xdr:from>
    <xdr:to>
      <xdr:col>1</xdr:col>
      <xdr:colOff>1019734</xdr:colOff>
      <xdr:row>3</xdr:row>
      <xdr:rowOff>323849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A086CE0-D346-4F58-B0EC-F49C39A59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142875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114300</xdr:rowOff>
    </xdr:from>
    <xdr:to>
      <xdr:col>5</xdr:col>
      <xdr:colOff>26322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56247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28575</xdr:rowOff>
    </xdr:from>
    <xdr:to>
      <xdr:col>1</xdr:col>
      <xdr:colOff>419659</xdr:colOff>
      <xdr:row>3</xdr:row>
      <xdr:rowOff>361949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8FE345C5-BAA7-4E74-B67C-EEE16F47D3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19075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BAJA CALIFORNIA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481263</xdr:colOff>
      <xdr:row>7</xdr:row>
      <xdr:rowOff>110289</xdr:rowOff>
    </xdr:from>
    <xdr:to>
      <xdr:col>4</xdr:col>
      <xdr:colOff>993360</xdr:colOff>
      <xdr:row>7</xdr:row>
      <xdr:rowOff>300789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9815763" y="1443789"/>
          <a:ext cx="512097" cy="762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95250</xdr:colOff>
      <xdr:row>1</xdr:row>
      <xdr:rowOff>9525</xdr:rowOff>
    </xdr:from>
    <xdr:to>
      <xdr:col>1</xdr:col>
      <xdr:colOff>1019734</xdr:colOff>
      <xdr:row>3</xdr:row>
      <xdr:rowOff>342899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EB65B9B-E0BA-4ABA-9C55-639F8440B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BAJA CALIFORNIA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510268</xdr:colOff>
      <xdr:row>7</xdr:row>
      <xdr:rowOff>136071</xdr:rowOff>
    </xdr:from>
    <xdr:to>
      <xdr:col>4</xdr:col>
      <xdr:colOff>1022365</xdr:colOff>
      <xdr:row>7</xdr:row>
      <xdr:rowOff>323169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844768" y="1469571"/>
          <a:ext cx="512097" cy="5374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19050</xdr:colOff>
      <xdr:row>0</xdr:row>
      <xdr:rowOff>123825</xdr:rowOff>
    </xdr:from>
    <xdr:to>
      <xdr:col>1</xdr:col>
      <xdr:colOff>943534</xdr:colOff>
      <xdr:row>3</xdr:row>
      <xdr:rowOff>304799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D097B0C-6192-4247-ADE6-0E8E44B392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23825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7</xdr:row>
      <xdr:rowOff>76200</xdr:rowOff>
    </xdr:from>
    <xdr:to>
      <xdr:col>5</xdr:col>
      <xdr:colOff>140622</xdr:colOff>
      <xdr:row>8</xdr:row>
      <xdr:rowOff>76200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3295650" y="14097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0</xdr:row>
      <xdr:rowOff>171450</xdr:rowOff>
    </xdr:from>
    <xdr:to>
      <xdr:col>1</xdr:col>
      <xdr:colOff>429184</xdr:colOff>
      <xdr:row>3</xdr:row>
      <xdr:rowOff>314324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A2D0488-B081-4A2B-B318-4A817EF7B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15421</xdr:colOff>
      <xdr:row>9</xdr:row>
      <xdr:rowOff>26307</xdr:rowOff>
    </xdr:from>
    <xdr:to>
      <xdr:col>6</xdr:col>
      <xdr:colOff>146518</xdr:colOff>
      <xdr:row>10</xdr:row>
      <xdr:rowOff>26307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597071" y="1740807"/>
          <a:ext cx="5311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57978</xdr:colOff>
      <xdr:row>0</xdr:row>
      <xdr:rowOff>66261</xdr:rowOff>
    </xdr:from>
    <xdr:to>
      <xdr:col>1</xdr:col>
      <xdr:colOff>982462</xdr:colOff>
      <xdr:row>3</xdr:row>
      <xdr:rowOff>258831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EC1094C9-F580-4729-BDD1-BC47D541D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978" y="66261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28121</xdr:colOff>
      <xdr:row>8</xdr:row>
      <xdr:rowOff>166007</xdr:rowOff>
    </xdr:from>
    <xdr:to>
      <xdr:col>6</xdr:col>
      <xdr:colOff>159218</xdr:colOff>
      <xdr:row>9</xdr:row>
      <xdr:rowOff>166007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851071" y="1690007"/>
          <a:ext cx="53114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0</xdr:colOff>
      <xdr:row>0</xdr:row>
      <xdr:rowOff>66675</xdr:rowOff>
    </xdr:from>
    <xdr:to>
      <xdr:col>1</xdr:col>
      <xdr:colOff>924484</xdr:colOff>
      <xdr:row>3</xdr:row>
      <xdr:rowOff>257174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467987F-1E8E-4DEE-8B06-3B3F6903CB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66675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606927</xdr:colOff>
      <xdr:row>9</xdr:row>
      <xdr:rowOff>118979</xdr:rowOff>
    </xdr:from>
    <xdr:to>
      <xdr:col>5</xdr:col>
      <xdr:colOff>1138074</xdr:colOff>
      <xdr:row>10</xdr:row>
      <xdr:rowOff>118979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753727" y="1833479"/>
          <a:ext cx="531147" cy="190500"/>
        </a:xfrm>
        <a:prstGeom prst="roundRect">
          <a:avLst>
            <a:gd name="adj" fmla="val 0"/>
          </a:avLst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80211</xdr:colOff>
      <xdr:row>0</xdr:row>
      <xdr:rowOff>120316</xdr:rowOff>
    </xdr:from>
    <xdr:to>
      <xdr:col>1</xdr:col>
      <xdr:colOff>1004695</xdr:colOff>
      <xdr:row>3</xdr:row>
      <xdr:rowOff>313322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65F4BC7-1FD1-4940-8309-57425B1F3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1211" y="120316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226392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51371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BAJA CALIFORNIA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1040159</xdr:colOff>
      <xdr:row>1</xdr:row>
      <xdr:rowOff>146878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01724" y="340139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115956</xdr:colOff>
      <xdr:row>8</xdr:row>
      <xdr:rowOff>38652</xdr:rowOff>
    </xdr:from>
    <xdr:to>
      <xdr:col>4</xdr:col>
      <xdr:colOff>628053</xdr:colOff>
      <xdr:row>8</xdr:row>
      <xdr:rowOff>229152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814391" y="177247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95250</xdr:colOff>
      <xdr:row>0</xdr:row>
      <xdr:rowOff>180975</xdr:rowOff>
    </xdr:from>
    <xdr:to>
      <xdr:col>1</xdr:col>
      <xdr:colOff>400609</xdr:colOff>
      <xdr:row>3</xdr:row>
      <xdr:rowOff>323849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94E2EEC-6E05-4CD1-84E8-AE50EBF26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80975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N7" sqref="N7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95" t="s">
        <v>46</v>
      </c>
      <c r="B1" s="96"/>
      <c r="C1" s="96"/>
      <c r="D1" s="97"/>
    </row>
    <row r="2" spans="1:4">
      <c r="A2" s="2"/>
      <c r="B2" s="3"/>
      <c r="C2" s="3"/>
      <c r="D2" s="4"/>
    </row>
    <row r="3" spans="1:4">
      <c r="A3" s="98" t="s">
        <v>0</v>
      </c>
      <c r="B3" s="99"/>
      <c r="C3" s="99"/>
      <c r="D3" s="100"/>
    </row>
    <row r="4" spans="1:4">
      <c r="A4" s="98"/>
      <c r="B4" s="99"/>
      <c r="C4" s="99"/>
      <c r="D4" s="100"/>
    </row>
    <row r="5" spans="1:4">
      <c r="A5" s="5"/>
      <c r="B5" s="6"/>
      <c r="C5" s="6"/>
      <c r="D5" s="7"/>
    </row>
    <row r="6" spans="1:4" ht="18.75">
      <c r="A6" s="92" t="s">
        <v>1</v>
      </c>
      <c r="B6" s="93"/>
      <c r="C6" s="93"/>
      <c r="D6" s="94"/>
    </row>
    <row r="7" spans="1:4">
      <c r="A7" s="8"/>
      <c r="D7" s="9"/>
    </row>
    <row r="8" spans="1:4" ht="18.75">
      <c r="A8" s="92" t="s">
        <v>2</v>
      </c>
      <c r="B8" s="93"/>
      <c r="C8" s="93"/>
      <c r="D8" s="94"/>
    </row>
    <row r="9" spans="1:4" ht="18.75">
      <c r="A9" s="8"/>
      <c r="B9" s="92" t="s">
        <v>3</v>
      </c>
      <c r="C9" s="93"/>
      <c r="D9" s="93"/>
    </row>
    <row r="10" spans="1:4">
      <c r="A10" s="8"/>
      <c r="D10" s="9"/>
    </row>
    <row r="11" spans="1:4" ht="18.75">
      <c r="A11" s="57" t="s">
        <v>4</v>
      </c>
      <c r="D11" s="9"/>
    </row>
    <row r="12" spans="1:4" ht="18.75">
      <c r="A12" s="8"/>
      <c r="B12" s="92" t="s">
        <v>5</v>
      </c>
      <c r="C12" s="93"/>
      <c r="D12" s="93"/>
    </row>
    <row r="13" spans="1:4" ht="18.75">
      <c r="A13" s="8"/>
      <c r="B13" s="92" t="s">
        <v>6</v>
      </c>
      <c r="C13" s="93"/>
      <c r="D13" s="93"/>
    </row>
    <row r="14" spans="1:4" ht="18.75">
      <c r="A14" s="8"/>
      <c r="B14" s="92" t="s">
        <v>7</v>
      </c>
      <c r="C14" s="93"/>
      <c r="D14" s="93"/>
    </row>
    <row r="15" spans="1:4">
      <c r="A15" s="8"/>
      <c r="D15" s="9"/>
    </row>
    <row r="16" spans="1:4" ht="18.75">
      <c r="A16" s="57" t="s">
        <v>8</v>
      </c>
      <c r="D16" s="9"/>
    </row>
    <row r="17" spans="1:4" ht="18.75">
      <c r="A17" s="8"/>
      <c r="B17" s="92" t="s">
        <v>9</v>
      </c>
      <c r="C17" s="93"/>
      <c r="D17" s="93"/>
    </row>
    <row r="18" spans="1:4" ht="18.75">
      <c r="A18" s="8"/>
      <c r="B18" s="92" t="s">
        <v>10</v>
      </c>
      <c r="C18" s="93"/>
      <c r="D18" s="93"/>
    </row>
    <row r="19" spans="1:4" ht="18.75">
      <c r="A19" s="8"/>
      <c r="B19" s="92" t="s">
        <v>11</v>
      </c>
      <c r="C19" s="93"/>
      <c r="D19" s="93"/>
    </row>
    <row r="20" spans="1:4">
      <c r="A20" s="8"/>
      <c r="D20" s="9"/>
    </row>
    <row r="21" spans="1:4" ht="18.75">
      <c r="A21" s="57" t="s">
        <v>12</v>
      </c>
      <c r="D21" s="9"/>
    </row>
    <row r="22" spans="1:4" ht="18.75">
      <c r="A22" s="8"/>
      <c r="B22" s="92" t="s">
        <v>13</v>
      </c>
      <c r="C22" s="93"/>
      <c r="D22" s="93"/>
    </row>
    <row r="23" spans="1:4" ht="18.75">
      <c r="A23" s="8"/>
      <c r="B23" s="92" t="s">
        <v>34</v>
      </c>
      <c r="C23" s="93"/>
      <c r="D23" s="93"/>
    </row>
    <row r="24" spans="1:4" ht="18.75">
      <c r="A24" s="8"/>
      <c r="B24" s="92" t="s">
        <v>42</v>
      </c>
      <c r="C24" s="93"/>
      <c r="D24" s="93"/>
    </row>
    <row r="25" spans="1:4" ht="18.75">
      <c r="A25" s="8"/>
      <c r="B25" s="62"/>
      <c r="C25" s="62"/>
      <c r="D25" s="62"/>
    </row>
    <row r="26" spans="1:4" ht="18.75">
      <c r="A26" s="92" t="s">
        <v>14</v>
      </c>
      <c r="B26" s="93"/>
      <c r="C26" s="93"/>
      <c r="D26" s="94"/>
    </row>
    <row r="27" spans="1:4">
      <c r="A27" s="8"/>
      <c r="D27" s="9"/>
    </row>
    <row r="28" spans="1:4" ht="18.75">
      <c r="A28" s="92" t="s">
        <v>15</v>
      </c>
      <c r="B28" s="93"/>
      <c r="C28" s="93"/>
      <c r="D28" s="94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'Baja California_USAMuni'!A1" display="3.2 Por Estado de USA" xr:uid="{00000000-0004-0000-0000-00000D000000}"/>
    <hyperlink ref="A8:D8" location="'Baja California_Cons'!A1" display="2. Por Circunscripción Consular" xr:uid="{00000000-0004-0000-0000-00000E000000}"/>
    <hyperlink ref="B9:D9" location="'Baja CaliforniaXCons'!A1" display="2.1 Top ten por circunscripción consular" xr:uid="{00000000-0004-0000-0000-00000F000000}"/>
    <hyperlink ref="A6:D6" location="'Baja California_EdoUsa'!A1" display="1. Por Estados de USA" xr:uid="{00000000-0004-0000-0000-000010000000}"/>
    <hyperlink ref="B12:D12" location="'Baja California_EdoMun'!A1" display="3.1 Municipio general" xr:uid="{00000000-0004-0000-0000-000011000000}"/>
    <hyperlink ref="B14:D14" location="'Baja California_MUNICIPIO'!A1" display="3.3 Por Circunscripción Consular" xr:uid="{00000000-0004-0000-0000-000012000000}"/>
    <hyperlink ref="B17:D17" location="'Baja California_educ_gral'!A1" display="4.1 Educación general" xr:uid="{00000000-0004-0000-0000-000013000000}"/>
    <hyperlink ref="B18:D18" location="'Baja California_NivelE_Cons'!A1" display="4.2 Por Estado de USA" xr:uid="{00000000-0004-0000-0000-000014000000}"/>
    <hyperlink ref="B19:D19" location="'Baja California_EducCons'!A1" display="4.3 Por Circunscripción Consular" xr:uid="{00000000-0004-0000-0000-000015000000}"/>
    <hyperlink ref="B22:D22" location="'Baja California_GenGral'!A1" display="5.1 Género General" xr:uid="{00000000-0004-0000-0000-000016000000}"/>
    <hyperlink ref="B23:D23" location="'Baja California_GENERO'!A1" display="5.2 Por Circunscripción Consular" xr:uid="{00000000-0004-0000-0000-000017000000}"/>
    <hyperlink ref="A26:D26" location="'Baja California_Gen_Edad'!A1" display="6. Por estructura de Edad" xr:uid="{00000000-0004-0000-0000-000018000000}"/>
    <hyperlink ref="A28:D28" location="'Baja California_ocup_gral'!A1" display="7. Por Ocupación" xr:uid="{00000000-0004-0000-0000-000019000000}"/>
    <hyperlink ref="B24:D24" location="'Baja California_GENERO_EUA'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D63"/>
  <sheetViews>
    <sheetView showGridLines="0" view="pageBreakPreview" topLeftCell="A63" zoomScale="115" zoomScaleNormal="100" zoomScaleSheetLayoutView="115" workbookViewId="0">
      <selection activeCell="B11" sqref="B11:D11"/>
    </sheetView>
  </sheetViews>
  <sheetFormatPr baseColWidth="10" defaultColWidth="11.42578125" defaultRowHeight="15"/>
  <cols>
    <col min="1" max="1" width="9.28515625" style="13" customWidth="1"/>
    <col min="2" max="2" width="25.855468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101" t="s">
        <v>39</v>
      </c>
      <c r="C7" s="101"/>
      <c r="D7" s="101"/>
    </row>
    <row r="8" spans="2:4" s="25" customFormat="1" ht="15" customHeight="1">
      <c r="B8" s="101"/>
      <c r="C8" s="101"/>
      <c r="D8" s="101"/>
    </row>
    <row r="9" spans="2:4" s="25" customFormat="1" ht="33" customHeight="1">
      <c r="B9" s="101"/>
      <c r="C9" s="101"/>
      <c r="D9" s="101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20</v>
      </c>
      <c r="C11" s="27" t="s">
        <v>19</v>
      </c>
      <c r="D11" s="26" t="s">
        <v>18</v>
      </c>
    </row>
    <row r="12" spans="2:4" ht="15" customHeight="1">
      <c r="B12" s="23" t="s">
        <v>104</v>
      </c>
      <c r="C12" s="22">
        <v>4513</v>
      </c>
      <c r="D12" s="21">
        <v>0.65739257101238202</v>
      </c>
    </row>
    <row r="13" spans="2:4" ht="15" customHeight="1">
      <c r="B13" s="23" t="s">
        <v>126</v>
      </c>
      <c r="C13" s="22">
        <v>403</v>
      </c>
      <c r="D13" s="21">
        <v>5.8703568827384998E-2</v>
      </c>
    </row>
    <row r="14" spans="2:4" ht="15" customHeight="1">
      <c r="B14" s="23" t="s">
        <v>139</v>
      </c>
      <c r="C14" s="22">
        <v>369</v>
      </c>
      <c r="D14" s="21">
        <v>5.3750910415148997E-2</v>
      </c>
    </row>
    <row r="15" spans="2:4" ht="15" customHeight="1">
      <c r="B15" s="23" t="s">
        <v>102</v>
      </c>
      <c r="C15" s="22">
        <v>336</v>
      </c>
      <c r="D15" s="21">
        <v>4.8943918426802999E-2</v>
      </c>
    </row>
    <row r="16" spans="2:4" ht="15" customHeight="1">
      <c r="B16" s="23" t="s">
        <v>113</v>
      </c>
      <c r="C16" s="22">
        <v>175</v>
      </c>
      <c r="D16" s="21">
        <v>2.5491624180626001E-2</v>
      </c>
    </row>
    <row r="17" spans="2:4" ht="15" customHeight="1">
      <c r="B17" s="23" t="s">
        <v>140</v>
      </c>
      <c r="C17" s="22">
        <v>86</v>
      </c>
      <c r="D17" s="21">
        <v>1.2527312454479E-2</v>
      </c>
    </row>
    <row r="18" spans="2:4" ht="15" customHeight="1">
      <c r="B18" s="23" t="s">
        <v>109</v>
      </c>
      <c r="C18" s="22">
        <v>75</v>
      </c>
      <c r="D18" s="21">
        <v>1.0924981791697E-2</v>
      </c>
    </row>
    <row r="19" spans="2:4" ht="15" customHeight="1">
      <c r="B19" s="23" t="s">
        <v>133</v>
      </c>
      <c r="C19" s="22">
        <v>70</v>
      </c>
      <c r="D19" s="21">
        <v>1.0196649672251E-2</v>
      </c>
    </row>
    <row r="20" spans="2:4" ht="15" customHeight="1">
      <c r="B20" s="23" t="s">
        <v>105</v>
      </c>
      <c r="C20" s="22">
        <v>61</v>
      </c>
      <c r="D20" s="21">
        <v>8.8856518572470004E-3</v>
      </c>
    </row>
    <row r="21" spans="2:4" ht="15" customHeight="1">
      <c r="B21" s="23" t="s">
        <v>114</v>
      </c>
      <c r="C21" s="22">
        <v>58</v>
      </c>
      <c r="D21" s="21">
        <v>8.4486525855789994E-3</v>
      </c>
    </row>
    <row r="22" spans="2:4" ht="15" customHeight="1">
      <c r="B22" s="23" t="s">
        <v>130</v>
      </c>
      <c r="C22" s="22">
        <v>56</v>
      </c>
      <c r="D22" s="21">
        <v>8.1573197377999996E-3</v>
      </c>
    </row>
    <row r="23" spans="2:4" ht="15" customHeight="1">
      <c r="B23" s="23" t="s">
        <v>110</v>
      </c>
      <c r="C23" s="22">
        <v>54</v>
      </c>
      <c r="D23" s="21">
        <v>7.8659868900220007E-3</v>
      </c>
    </row>
    <row r="24" spans="2:4" ht="15" customHeight="1">
      <c r="B24" s="23" t="s">
        <v>116</v>
      </c>
      <c r="C24" s="22">
        <v>53</v>
      </c>
      <c r="D24" s="21">
        <v>7.7203204661330004E-3</v>
      </c>
    </row>
    <row r="25" spans="2:4" ht="15" customHeight="1">
      <c r="B25" s="23" t="s">
        <v>91</v>
      </c>
      <c r="C25" s="22">
        <v>50</v>
      </c>
      <c r="D25" s="21">
        <v>7.2833211944650002E-3</v>
      </c>
    </row>
    <row r="26" spans="2:4" ht="15" customHeight="1">
      <c r="B26" s="23" t="s">
        <v>134</v>
      </c>
      <c r="C26" s="22">
        <v>47</v>
      </c>
      <c r="D26" s="21">
        <v>6.8463219227970001E-3</v>
      </c>
    </row>
    <row r="27" spans="2:4" ht="15" customHeight="1">
      <c r="B27" s="23" t="s">
        <v>112</v>
      </c>
      <c r="C27" s="22">
        <v>42</v>
      </c>
      <c r="D27" s="21">
        <v>6.1179898033500001E-3</v>
      </c>
    </row>
    <row r="28" spans="2:4" ht="15" customHeight="1">
      <c r="B28" s="23" t="s">
        <v>142</v>
      </c>
      <c r="C28" s="22">
        <v>42</v>
      </c>
      <c r="D28" s="21">
        <v>6.1179898033500001E-3</v>
      </c>
    </row>
    <row r="29" spans="2:4" ht="15" customHeight="1">
      <c r="B29" s="23" t="s">
        <v>122</v>
      </c>
      <c r="C29" s="22">
        <v>38</v>
      </c>
      <c r="D29" s="21">
        <v>5.5353241077929997E-3</v>
      </c>
    </row>
    <row r="30" spans="2:4" ht="15" customHeight="1">
      <c r="B30" s="23" t="s">
        <v>138</v>
      </c>
      <c r="C30" s="22">
        <v>35</v>
      </c>
      <c r="D30" s="21">
        <v>5.0983248361250004E-3</v>
      </c>
    </row>
    <row r="31" spans="2:4" ht="15" customHeight="1">
      <c r="B31" s="23" t="s">
        <v>129</v>
      </c>
      <c r="C31" s="22">
        <v>31</v>
      </c>
      <c r="D31" s="21">
        <v>4.5156591405679999E-3</v>
      </c>
    </row>
    <row r="32" spans="2:4" ht="15" customHeight="1">
      <c r="B32" s="23" t="s">
        <v>128</v>
      </c>
      <c r="C32" s="22">
        <v>27</v>
      </c>
      <c r="D32" s="21">
        <v>3.9329934450110004E-3</v>
      </c>
    </row>
    <row r="33" spans="2:4" ht="15" customHeight="1">
      <c r="B33" s="23" t="s">
        <v>124</v>
      </c>
      <c r="C33" s="22">
        <v>23</v>
      </c>
      <c r="D33" s="21">
        <v>3.3503277494539999E-3</v>
      </c>
    </row>
    <row r="34" spans="2:4" ht="15" customHeight="1">
      <c r="B34" s="23" t="s">
        <v>103</v>
      </c>
      <c r="C34" s="22">
        <v>22</v>
      </c>
      <c r="D34" s="21">
        <v>3.2046613255639999E-3</v>
      </c>
    </row>
    <row r="35" spans="2:4" ht="15" customHeight="1">
      <c r="B35" s="23" t="s">
        <v>100</v>
      </c>
      <c r="C35" s="22">
        <v>20</v>
      </c>
      <c r="D35" s="21">
        <v>2.9133284777860002E-3</v>
      </c>
    </row>
    <row r="36" spans="2:4" ht="15" customHeight="1">
      <c r="B36" s="23" t="s">
        <v>127</v>
      </c>
      <c r="C36" s="22">
        <v>19</v>
      </c>
      <c r="D36" s="21">
        <v>2.7676620538969999E-3</v>
      </c>
    </row>
    <row r="37" spans="2:4" ht="15" customHeight="1">
      <c r="B37" s="23" t="s">
        <v>135</v>
      </c>
      <c r="C37" s="22">
        <v>18</v>
      </c>
      <c r="D37" s="21">
        <v>2.6219956300069999E-3</v>
      </c>
    </row>
    <row r="38" spans="2:4" ht="15" customHeight="1">
      <c r="B38" s="23" t="s">
        <v>115</v>
      </c>
      <c r="C38" s="22">
        <v>16</v>
      </c>
      <c r="D38" s="21">
        <v>2.3306627822290002E-3</v>
      </c>
    </row>
    <row r="39" spans="2:4" ht="15" customHeight="1">
      <c r="B39" s="23" t="s">
        <v>136</v>
      </c>
      <c r="C39" s="22">
        <v>16</v>
      </c>
      <c r="D39" s="21">
        <v>2.3306627822290002E-3</v>
      </c>
    </row>
    <row r="40" spans="2:4" ht="15" customHeight="1">
      <c r="B40" s="23" t="s">
        <v>117</v>
      </c>
      <c r="C40" s="22">
        <v>15</v>
      </c>
      <c r="D40" s="21">
        <v>2.1849963583390002E-3</v>
      </c>
    </row>
    <row r="41" spans="2:4" ht="15" customHeight="1">
      <c r="B41" s="23" t="s">
        <v>121</v>
      </c>
      <c r="C41" s="22">
        <v>15</v>
      </c>
      <c r="D41" s="21">
        <v>2.1849963583390002E-3</v>
      </c>
    </row>
    <row r="42" spans="2:4" ht="15" customHeight="1">
      <c r="B42" s="23" t="s">
        <v>125</v>
      </c>
      <c r="C42" s="22">
        <v>14</v>
      </c>
      <c r="D42" s="21">
        <v>2.0393299344499999E-3</v>
      </c>
    </row>
    <row r="43" spans="2:4" ht="15" customHeight="1">
      <c r="B43" s="23" t="s">
        <v>132</v>
      </c>
      <c r="C43" s="22">
        <v>14</v>
      </c>
      <c r="D43" s="21">
        <v>2.0393299344499999E-3</v>
      </c>
    </row>
    <row r="44" spans="2:4" ht="15" customHeight="1">
      <c r="B44" s="23" t="s">
        <v>141</v>
      </c>
      <c r="C44" s="22">
        <v>11</v>
      </c>
      <c r="D44" s="21">
        <v>1.602330662782E-3</v>
      </c>
    </row>
    <row r="45" spans="2:4" ht="15" customHeight="1">
      <c r="B45" s="23" t="s">
        <v>123</v>
      </c>
      <c r="C45" s="22">
        <v>8</v>
      </c>
      <c r="D45" s="21">
        <v>1.165331391114E-3</v>
      </c>
    </row>
    <row r="46" spans="2:4" ht="15" customHeight="1">
      <c r="B46" s="23" t="s">
        <v>118</v>
      </c>
      <c r="C46" s="22">
        <v>5</v>
      </c>
      <c r="D46" s="21">
        <v>7.2833211944600001E-4</v>
      </c>
    </row>
    <row r="47" spans="2:4" ht="15" customHeight="1">
      <c r="B47" s="23" t="s">
        <v>143</v>
      </c>
      <c r="C47" s="22">
        <v>5</v>
      </c>
      <c r="D47" s="21">
        <v>7.2833211944600001E-4</v>
      </c>
    </row>
    <row r="48" spans="2:4" ht="15" customHeight="1">
      <c r="B48" s="23" t="s">
        <v>107</v>
      </c>
      <c r="C48" s="22">
        <v>4</v>
      </c>
      <c r="D48" s="21">
        <v>5.8266569555700002E-4</v>
      </c>
    </row>
    <row r="49" spans="2:4" ht="15" customHeight="1">
      <c r="B49" s="23" t="s">
        <v>119</v>
      </c>
      <c r="C49" s="22">
        <v>4</v>
      </c>
      <c r="D49" s="21">
        <v>5.8266569555700002E-4</v>
      </c>
    </row>
    <row r="50" spans="2:4" ht="15" customHeight="1">
      <c r="B50" s="23" t="s">
        <v>137</v>
      </c>
      <c r="C50" s="22">
        <v>4</v>
      </c>
      <c r="D50" s="21">
        <v>5.8266569555700002E-4</v>
      </c>
    </row>
    <row r="51" spans="2:4" ht="15" customHeight="1">
      <c r="B51" s="23" t="s">
        <v>111</v>
      </c>
      <c r="C51" s="22">
        <v>3</v>
      </c>
      <c r="D51" s="21">
        <v>4.3699927166799998E-4</v>
      </c>
    </row>
    <row r="52" spans="2:4" ht="15" customHeight="1">
      <c r="B52" s="23" t="s">
        <v>106</v>
      </c>
      <c r="C52" s="22">
        <v>2</v>
      </c>
      <c r="D52" s="21">
        <v>2.9133284777899999E-4</v>
      </c>
    </row>
    <row r="53" spans="2:4" ht="15" customHeight="1">
      <c r="B53" s="23" t="s">
        <v>120</v>
      </c>
      <c r="C53" s="22">
        <v>2</v>
      </c>
      <c r="D53" s="21">
        <v>2.9133284777899999E-4</v>
      </c>
    </row>
    <row r="54" spans="2:4" ht="15" customHeight="1">
      <c r="B54" s="23" t="s">
        <v>131</v>
      </c>
      <c r="C54" s="22">
        <v>2</v>
      </c>
      <c r="D54" s="21">
        <v>2.9133284777899999E-4</v>
      </c>
    </row>
    <row r="55" spans="2:4" ht="15" customHeight="1">
      <c r="B55" s="23" t="s">
        <v>101</v>
      </c>
      <c r="C55" s="22">
        <v>1</v>
      </c>
      <c r="D55" s="21">
        <v>1.4566642388899999E-4</v>
      </c>
    </row>
    <row r="56" spans="2:4" ht="15" customHeight="1">
      <c r="B56" s="23" t="s">
        <v>108</v>
      </c>
      <c r="C56" s="22">
        <v>1</v>
      </c>
      <c r="D56" s="21">
        <v>1.4566642388899999E-4</v>
      </c>
    </row>
    <row r="57" spans="2:4" ht="15" customHeight="1">
      <c r="B57" s="20" t="s">
        <v>28</v>
      </c>
      <c r="C57" s="19">
        <v>6865</v>
      </c>
      <c r="D57" s="18">
        <v>1</v>
      </c>
    </row>
    <row r="59" spans="2:4">
      <c r="B59" s="15" t="s">
        <v>47</v>
      </c>
    </row>
    <row r="60" spans="2:4">
      <c r="B60" s="17" t="s">
        <v>17</v>
      </c>
    </row>
    <row r="61" spans="2:4">
      <c r="B61" s="16" t="s">
        <v>48</v>
      </c>
    </row>
    <row r="62" spans="2:4">
      <c r="B62" s="15" t="s">
        <v>16</v>
      </c>
    </row>
    <row r="63" spans="2:4">
      <c r="B63" s="15" t="s">
        <v>49</v>
      </c>
      <c r="C63" s="13"/>
    </row>
  </sheetData>
  <sortState xmlns:xlrd2="http://schemas.microsoft.com/office/spreadsheetml/2017/richdata2" ref="B12:D57">
    <sortCondition descending="1" ref="C12:C57"/>
  </sortState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68"/>
  <sheetViews>
    <sheetView showGridLines="0" view="pageBreakPreview" topLeftCell="A57" zoomScale="115" zoomScaleNormal="100" zoomScaleSheetLayoutView="115" workbookViewId="0">
      <selection activeCell="D66" sqref="D66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101" t="s">
        <v>35</v>
      </c>
      <c r="C7" s="101"/>
      <c r="D7" s="101"/>
    </row>
    <row r="8" spans="2:4" s="25" customFormat="1" ht="15" customHeight="1">
      <c r="B8" s="101"/>
      <c r="C8" s="101"/>
      <c r="D8" s="101"/>
    </row>
    <row r="9" spans="2:4" s="25" customFormat="1" ht="33" customHeight="1">
      <c r="B9" s="101"/>
      <c r="C9" s="101"/>
      <c r="D9" s="101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21</v>
      </c>
      <c r="C11" s="27" t="s">
        <v>19</v>
      </c>
      <c r="D11" s="26" t="s">
        <v>18</v>
      </c>
    </row>
    <row r="12" spans="2:4">
      <c r="B12" s="23" t="s">
        <v>50</v>
      </c>
      <c r="C12" s="22">
        <v>1438</v>
      </c>
      <c r="D12" s="21">
        <v>0.20946831755280401</v>
      </c>
    </row>
    <row r="13" spans="2:4">
      <c r="B13" s="23" t="s">
        <v>51</v>
      </c>
      <c r="C13" s="22">
        <v>710</v>
      </c>
      <c r="D13" s="21">
        <v>0.103423160961398</v>
      </c>
    </row>
    <row r="14" spans="2:4">
      <c r="B14" s="23" t="s">
        <v>52</v>
      </c>
      <c r="C14" s="22">
        <v>610</v>
      </c>
      <c r="D14" s="21">
        <v>8.8856518572468998E-2</v>
      </c>
    </row>
    <row r="15" spans="2:4">
      <c r="B15" s="23" t="s">
        <v>53</v>
      </c>
      <c r="C15" s="22">
        <v>540</v>
      </c>
      <c r="D15" s="21">
        <v>7.8659868900219004E-2</v>
      </c>
    </row>
    <row r="16" spans="2:4">
      <c r="B16" s="23" t="s">
        <v>54</v>
      </c>
      <c r="C16" s="22">
        <v>385</v>
      </c>
      <c r="D16" s="21">
        <v>5.6081573197377999E-2</v>
      </c>
    </row>
    <row r="17" spans="2:4">
      <c r="B17" s="23" t="s">
        <v>55</v>
      </c>
      <c r="C17" s="22">
        <v>326</v>
      </c>
      <c r="D17" s="21">
        <v>4.748725418791E-2</v>
      </c>
    </row>
    <row r="18" spans="2:4">
      <c r="B18" s="23" t="s">
        <v>56</v>
      </c>
      <c r="C18" s="22">
        <v>256</v>
      </c>
      <c r="D18" s="21">
        <v>3.7290604515659E-2</v>
      </c>
    </row>
    <row r="19" spans="2:4">
      <c r="B19" s="23" t="s">
        <v>57</v>
      </c>
      <c r="C19" s="22">
        <v>229</v>
      </c>
      <c r="D19" s="21">
        <v>3.3357611070647997E-2</v>
      </c>
    </row>
    <row r="20" spans="2:4">
      <c r="B20" s="23" t="s">
        <v>58</v>
      </c>
      <c r="C20" s="22">
        <v>228</v>
      </c>
      <c r="D20" s="21">
        <v>3.3211944646759001E-2</v>
      </c>
    </row>
    <row r="21" spans="2:4">
      <c r="B21" s="23" t="s">
        <v>59</v>
      </c>
      <c r="C21" s="22">
        <v>196</v>
      </c>
      <c r="D21" s="21">
        <v>2.8550619082302001E-2</v>
      </c>
    </row>
    <row r="22" spans="2:4">
      <c r="B22" s="23" t="s">
        <v>60</v>
      </c>
      <c r="C22" s="22">
        <v>189</v>
      </c>
      <c r="D22" s="21">
        <v>2.7530954115076001E-2</v>
      </c>
    </row>
    <row r="23" spans="2:4">
      <c r="B23" s="23" t="s">
        <v>61</v>
      </c>
      <c r="C23" s="22">
        <v>172</v>
      </c>
      <c r="D23" s="21">
        <v>2.5054624908958E-2</v>
      </c>
    </row>
    <row r="24" spans="2:4">
      <c r="B24" s="23" t="s">
        <v>62</v>
      </c>
      <c r="C24" s="22">
        <v>146</v>
      </c>
      <c r="D24" s="21">
        <v>2.1267297887836999E-2</v>
      </c>
    </row>
    <row r="25" spans="2:4">
      <c r="B25" s="23" t="s">
        <v>63</v>
      </c>
      <c r="C25" s="22">
        <v>131</v>
      </c>
      <c r="D25" s="21">
        <v>1.9082301529497001E-2</v>
      </c>
    </row>
    <row r="26" spans="2:4">
      <c r="B26" s="23" t="s">
        <v>64</v>
      </c>
      <c r="C26" s="22">
        <v>91</v>
      </c>
      <c r="D26" s="21">
        <v>1.3255644573925999E-2</v>
      </c>
    </row>
    <row r="27" spans="2:4">
      <c r="B27" s="23" t="s">
        <v>65</v>
      </c>
      <c r="C27" s="22">
        <v>89</v>
      </c>
      <c r="D27" s="21">
        <v>1.2964311726146999E-2</v>
      </c>
    </row>
    <row r="28" spans="2:4">
      <c r="B28" s="23" t="s">
        <v>66</v>
      </c>
      <c r="C28" s="22">
        <v>82</v>
      </c>
      <c r="D28" s="21">
        <v>1.1944646758922E-2</v>
      </c>
    </row>
    <row r="29" spans="2:4">
      <c r="B29" s="23" t="s">
        <v>67</v>
      </c>
      <c r="C29" s="22">
        <v>80</v>
      </c>
      <c r="D29" s="21">
        <v>1.1653313911143E-2</v>
      </c>
    </row>
    <row r="30" spans="2:4">
      <c r="B30" s="23" t="s">
        <v>68</v>
      </c>
      <c r="C30" s="22">
        <v>77</v>
      </c>
      <c r="D30" s="21">
        <v>1.1216314639476E-2</v>
      </c>
    </row>
    <row r="31" spans="2:4">
      <c r="B31" s="23" t="s">
        <v>69</v>
      </c>
      <c r="C31" s="22">
        <v>70</v>
      </c>
      <c r="D31" s="21">
        <v>1.0196649672251E-2</v>
      </c>
    </row>
    <row r="32" spans="2:4">
      <c r="B32" s="23" t="s">
        <v>70</v>
      </c>
      <c r="C32" s="22">
        <v>61</v>
      </c>
      <c r="D32" s="21">
        <v>8.8856518572470004E-3</v>
      </c>
    </row>
    <row r="33" spans="2:4">
      <c r="B33" s="23" t="s">
        <v>71</v>
      </c>
      <c r="C33" s="22">
        <v>59</v>
      </c>
      <c r="D33" s="21">
        <v>8.5943190094680006E-3</v>
      </c>
    </row>
    <row r="34" spans="2:4">
      <c r="B34" s="23" t="s">
        <v>72</v>
      </c>
      <c r="C34" s="22">
        <v>57</v>
      </c>
      <c r="D34" s="21">
        <v>8.30298616169E-3</v>
      </c>
    </row>
    <row r="35" spans="2:4">
      <c r="B35" s="23" t="s">
        <v>73</v>
      </c>
      <c r="C35" s="22">
        <v>53</v>
      </c>
      <c r="D35" s="21">
        <v>7.7203204661330004E-3</v>
      </c>
    </row>
    <row r="36" spans="2:4">
      <c r="B36" s="23" t="s">
        <v>74</v>
      </c>
      <c r="C36" s="22">
        <v>49</v>
      </c>
      <c r="D36" s="21">
        <v>7.1376547705749999E-3</v>
      </c>
    </row>
    <row r="37" spans="2:4">
      <c r="B37" s="23" t="s">
        <v>75</v>
      </c>
      <c r="C37" s="22">
        <v>42</v>
      </c>
      <c r="D37" s="21">
        <v>6.1179898033500001E-3</v>
      </c>
    </row>
    <row r="38" spans="2:4">
      <c r="B38" s="23" t="s">
        <v>76</v>
      </c>
      <c r="C38" s="22">
        <v>40</v>
      </c>
      <c r="D38" s="21">
        <v>5.8266569555720004E-3</v>
      </c>
    </row>
    <row r="39" spans="2:4">
      <c r="B39" s="23" t="s">
        <v>77</v>
      </c>
      <c r="C39" s="22">
        <v>40</v>
      </c>
      <c r="D39" s="21">
        <v>5.8266569555720004E-3</v>
      </c>
    </row>
    <row r="40" spans="2:4">
      <c r="B40" s="23" t="s">
        <v>78</v>
      </c>
      <c r="C40" s="22">
        <v>39</v>
      </c>
      <c r="D40" s="21">
        <v>5.680990531682E-3</v>
      </c>
    </row>
    <row r="41" spans="2:4">
      <c r="B41" s="23" t="s">
        <v>79</v>
      </c>
      <c r="C41" s="22">
        <v>38</v>
      </c>
      <c r="D41" s="21">
        <v>5.5353241077929997E-3</v>
      </c>
    </row>
    <row r="42" spans="2:4">
      <c r="B42" s="23" t="s">
        <v>80</v>
      </c>
      <c r="C42" s="22">
        <v>38</v>
      </c>
      <c r="D42" s="21">
        <v>5.5353241077929997E-3</v>
      </c>
    </row>
    <row r="43" spans="2:4">
      <c r="B43" s="23" t="s">
        <v>81</v>
      </c>
      <c r="C43" s="22">
        <v>33</v>
      </c>
      <c r="D43" s="21">
        <v>4.8069919883469998E-3</v>
      </c>
    </row>
    <row r="44" spans="2:4">
      <c r="B44" s="23" t="s">
        <v>82</v>
      </c>
      <c r="C44" s="22">
        <v>33</v>
      </c>
      <c r="D44" s="21">
        <v>4.8069919883469998E-3</v>
      </c>
    </row>
    <row r="45" spans="2:4">
      <c r="B45" s="23" t="s">
        <v>83</v>
      </c>
      <c r="C45" s="22">
        <v>30</v>
      </c>
      <c r="D45" s="21">
        <v>4.3699927166789996E-3</v>
      </c>
    </row>
    <row r="46" spans="2:4">
      <c r="B46" s="23" t="s">
        <v>84</v>
      </c>
      <c r="C46" s="22">
        <v>29</v>
      </c>
      <c r="D46" s="21">
        <v>4.2243262927900002E-3</v>
      </c>
    </row>
    <row r="47" spans="2:4">
      <c r="B47" s="23" t="s">
        <v>85</v>
      </c>
      <c r="C47" s="22">
        <v>28</v>
      </c>
      <c r="D47" s="21">
        <v>4.0786598688999998E-3</v>
      </c>
    </row>
    <row r="48" spans="2:4">
      <c r="B48" s="23" t="s">
        <v>86</v>
      </c>
      <c r="C48" s="22">
        <v>24</v>
      </c>
      <c r="D48" s="21">
        <v>3.4959941733430002E-3</v>
      </c>
    </row>
    <row r="49" spans="2:4">
      <c r="B49" s="23" t="s">
        <v>87</v>
      </c>
      <c r="C49" s="22">
        <v>23</v>
      </c>
      <c r="D49" s="21">
        <v>3.3503277494539999E-3</v>
      </c>
    </row>
    <row r="50" spans="2:4">
      <c r="B50" s="23" t="s">
        <v>88</v>
      </c>
      <c r="C50" s="22">
        <v>21</v>
      </c>
      <c r="D50" s="21">
        <v>3.0589949016750001E-3</v>
      </c>
    </row>
    <row r="51" spans="2:4">
      <c r="B51" s="23" t="s">
        <v>89</v>
      </c>
      <c r="C51" s="22">
        <v>18</v>
      </c>
      <c r="D51" s="21">
        <v>2.6219956300069999E-3</v>
      </c>
    </row>
    <row r="52" spans="2:4">
      <c r="B52" s="23" t="s">
        <v>90</v>
      </c>
      <c r="C52" s="22">
        <v>15</v>
      </c>
      <c r="D52" s="21">
        <v>2.1849963583390002E-3</v>
      </c>
    </row>
    <row r="53" spans="2:4">
      <c r="B53" s="23" t="s">
        <v>91</v>
      </c>
      <c r="C53" s="22">
        <v>15</v>
      </c>
      <c r="D53" s="21">
        <v>2.1849963583390002E-3</v>
      </c>
    </row>
    <row r="54" spans="2:4">
      <c r="B54" s="23" t="s">
        <v>92</v>
      </c>
      <c r="C54" s="22">
        <v>11</v>
      </c>
      <c r="D54" s="21">
        <v>1.602330662782E-3</v>
      </c>
    </row>
    <row r="55" spans="2:4">
      <c r="B55" s="23" t="s">
        <v>93</v>
      </c>
      <c r="C55" s="22">
        <v>6</v>
      </c>
      <c r="D55" s="21">
        <v>8.7399854333599996E-4</v>
      </c>
    </row>
    <row r="56" spans="2:4">
      <c r="B56" s="23" t="s">
        <v>94</v>
      </c>
      <c r="C56" s="22">
        <v>6</v>
      </c>
      <c r="D56" s="21">
        <v>8.7399854333599996E-4</v>
      </c>
    </row>
    <row r="57" spans="2:4">
      <c r="B57" s="23" t="s">
        <v>95</v>
      </c>
      <c r="C57" s="22">
        <v>6</v>
      </c>
      <c r="D57" s="21">
        <v>8.7399854333599996E-4</v>
      </c>
    </row>
    <row r="58" spans="2:4">
      <c r="B58" s="23" t="s">
        <v>96</v>
      </c>
      <c r="C58" s="22">
        <v>3</v>
      </c>
      <c r="D58" s="21">
        <v>4.3699927166799998E-4</v>
      </c>
    </row>
    <row r="59" spans="2:4">
      <c r="B59" s="23" t="s">
        <v>97</v>
      </c>
      <c r="C59" s="22">
        <v>1</v>
      </c>
      <c r="D59" s="21">
        <v>1.4566642388899999E-4</v>
      </c>
    </row>
    <row r="60" spans="2:4">
      <c r="B60" s="23" t="s">
        <v>98</v>
      </c>
      <c r="C60" s="22">
        <v>1</v>
      </c>
      <c r="D60" s="21">
        <v>1.4566642388899999E-4</v>
      </c>
    </row>
    <row r="61" spans="2:4">
      <c r="B61" s="23" t="s">
        <v>99</v>
      </c>
      <c r="C61" s="22">
        <v>1</v>
      </c>
      <c r="D61" s="21">
        <v>1.4566642388899999E-4</v>
      </c>
    </row>
    <row r="62" spans="2:4">
      <c r="B62" s="20" t="s">
        <v>28</v>
      </c>
      <c r="C62" s="19">
        <v>6865</v>
      </c>
      <c r="D62" s="18">
        <v>1</v>
      </c>
    </row>
    <row r="64" spans="2:4">
      <c r="B64" s="15" t="s">
        <v>47</v>
      </c>
    </row>
    <row r="65" spans="2:2">
      <c r="B65" s="17" t="s">
        <v>17</v>
      </c>
    </row>
    <row r="66" spans="2:2">
      <c r="B66" s="16" t="s">
        <v>48</v>
      </c>
    </row>
    <row r="67" spans="2:2">
      <c r="B67" s="15" t="s">
        <v>16</v>
      </c>
    </row>
    <row r="68" spans="2:2">
      <c r="B68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D29"/>
  <sheetViews>
    <sheetView showGridLines="0" view="pageBreakPreview" topLeftCell="A7" zoomScale="115" zoomScaleNormal="100" zoomScaleSheetLayoutView="115" workbookViewId="0">
      <selection activeCell="D12" sqref="D12:D2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101" t="s">
        <v>43</v>
      </c>
      <c r="C7" s="101"/>
      <c r="D7" s="101"/>
    </row>
    <row r="8" spans="2:4" s="25" customFormat="1" ht="15" customHeight="1">
      <c r="B8" s="101"/>
      <c r="C8" s="101"/>
      <c r="D8" s="101"/>
    </row>
    <row r="9" spans="2:4" s="25" customFormat="1" ht="33" customHeight="1">
      <c r="B9" s="101"/>
      <c r="C9" s="101"/>
      <c r="D9" s="101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21</v>
      </c>
      <c r="C11" s="27" t="s">
        <v>19</v>
      </c>
      <c r="D11" s="26" t="s">
        <v>18</v>
      </c>
    </row>
    <row r="12" spans="2:4">
      <c r="B12" s="23" t="s">
        <v>50</v>
      </c>
      <c r="C12" s="22">
        <v>1438</v>
      </c>
      <c r="D12" s="21">
        <f t="shared" ref="D12:D22" si="0">C12/$C$22</f>
        <v>0.29239528263521758</v>
      </c>
    </row>
    <row r="13" spans="2:4">
      <c r="B13" s="23" t="s">
        <v>51</v>
      </c>
      <c r="C13" s="22">
        <v>710</v>
      </c>
      <c r="D13" s="21">
        <f t="shared" si="0"/>
        <v>0.14436762911752746</v>
      </c>
    </row>
    <row r="14" spans="2:4">
      <c r="B14" s="23" t="s">
        <v>52</v>
      </c>
      <c r="C14" s="22">
        <v>610</v>
      </c>
      <c r="D14" s="21">
        <f t="shared" si="0"/>
        <v>0.12403416022773485</v>
      </c>
    </row>
    <row r="15" spans="2:4">
      <c r="B15" s="23" t="s">
        <v>53</v>
      </c>
      <c r="C15" s="22">
        <v>540</v>
      </c>
      <c r="D15" s="21">
        <f t="shared" si="0"/>
        <v>0.10980073200488004</v>
      </c>
    </row>
    <row r="16" spans="2:4">
      <c r="B16" s="23" t="s">
        <v>54</v>
      </c>
      <c r="C16" s="22">
        <v>385</v>
      </c>
      <c r="D16" s="21">
        <f t="shared" si="0"/>
        <v>7.8283855225701499E-2</v>
      </c>
    </row>
    <row r="17" spans="2:4">
      <c r="B17" s="23" t="s">
        <v>55</v>
      </c>
      <c r="C17" s="22">
        <v>326</v>
      </c>
      <c r="D17" s="21">
        <f t="shared" si="0"/>
        <v>6.6287108580723869E-2</v>
      </c>
    </row>
    <row r="18" spans="2:4">
      <c r="B18" s="23" t="s">
        <v>56</v>
      </c>
      <c r="C18" s="22">
        <v>256</v>
      </c>
      <c r="D18" s="21">
        <f t="shared" si="0"/>
        <v>5.2053680357869052E-2</v>
      </c>
    </row>
    <row r="19" spans="2:4">
      <c r="B19" s="23" t="s">
        <v>57</v>
      </c>
      <c r="C19" s="22">
        <v>229</v>
      </c>
      <c r="D19" s="21">
        <f>C19/$C$22</f>
        <v>4.6563643757625048E-2</v>
      </c>
    </row>
    <row r="20" spans="2:4">
      <c r="B20" s="23" t="s">
        <v>58</v>
      </c>
      <c r="C20" s="22">
        <v>228</v>
      </c>
      <c r="D20" s="21">
        <f t="shared" si="0"/>
        <v>4.6360309068727124E-2</v>
      </c>
    </row>
    <row r="21" spans="2:4">
      <c r="B21" s="23" t="s">
        <v>59</v>
      </c>
      <c r="C21" s="22">
        <v>196</v>
      </c>
      <c r="D21" s="21">
        <f t="shared" si="0"/>
        <v>3.9853599023993491E-2</v>
      </c>
    </row>
    <row r="22" spans="2:4">
      <c r="B22" s="20" t="s">
        <v>44</v>
      </c>
      <c r="C22" s="19">
        <f>SUM(C12:C21)</f>
        <v>4918</v>
      </c>
      <c r="D22" s="18">
        <f t="shared" si="0"/>
        <v>1</v>
      </c>
    </row>
    <row r="23" spans="2:4">
      <c r="B23" s="20" t="s">
        <v>45</v>
      </c>
      <c r="C23" s="19">
        <v>6865</v>
      </c>
    </row>
    <row r="24" spans="2:4">
      <c r="B24" s="15"/>
      <c r="C24" s="13"/>
    </row>
    <row r="25" spans="2:4">
      <c r="B25" s="15" t="s">
        <v>47</v>
      </c>
      <c r="C25" s="13"/>
    </row>
    <row r="26" spans="2:4">
      <c r="B26" s="17" t="s">
        <v>17</v>
      </c>
      <c r="C26" s="13"/>
    </row>
    <row r="27" spans="2:4">
      <c r="B27" s="16" t="s">
        <v>48</v>
      </c>
      <c r="C27" s="13"/>
    </row>
    <row r="28" spans="2:4">
      <c r="B28" s="15" t="s">
        <v>16</v>
      </c>
      <c r="C28" s="13"/>
    </row>
    <row r="29" spans="2:4">
      <c r="B29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D26"/>
  <sheetViews>
    <sheetView showGridLines="0" view="pageBreakPreview" topLeftCell="A18" zoomScale="115" zoomScaleNormal="100" zoomScaleSheetLayoutView="115" workbookViewId="0">
      <selection activeCell="B20" sqref="B20"/>
    </sheetView>
  </sheetViews>
  <sheetFormatPr baseColWidth="10" defaultColWidth="11.42578125" defaultRowHeight="15"/>
  <cols>
    <col min="1" max="1" width="9.28515625" style="13" customWidth="1"/>
    <col min="2" max="2" width="29.140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101" t="s">
        <v>38</v>
      </c>
      <c r="C7" s="101"/>
      <c r="D7" s="101"/>
    </row>
    <row r="8" spans="2:4" s="25" customFormat="1" ht="15" customHeight="1">
      <c r="B8" s="101"/>
      <c r="C8" s="101"/>
      <c r="D8" s="101"/>
    </row>
    <row r="9" spans="2:4" s="25" customFormat="1" ht="33" customHeight="1">
      <c r="B9" s="101"/>
      <c r="C9" s="101"/>
      <c r="D9" s="101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22</v>
      </c>
      <c r="C11" s="27" t="s">
        <v>19</v>
      </c>
      <c r="D11" s="26" t="s">
        <v>18</v>
      </c>
    </row>
    <row r="12" spans="2:4">
      <c r="B12" s="23" t="s">
        <v>148</v>
      </c>
      <c r="C12" s="22">
        <v>3446</v>
      </c>
      <c r="D12" s="21">
        <v>0.50196649672250604</v>
      </c>
    </row>
    <row r="13" spans="2:4">
      <c r="B13" s="23" t="s">
        <v>147</v>
      </c>
      <c r="C13" s="22">
        <v>2148</v>
      </c>
      <c r="D13" s="21">
        <v>0.31289147851420201</v>
      </c>
    </row>
    <row r="14" spans="2:4">
      <c r="B14" s="23" t="s">
        <v>149</v>
      </c>
      <c r="C14" s="22">
        <v>1019</v>
      </c>
      <c r="D14" s="21">
        <v>0.14843408594318999</v>
      </c>
    </row>
    <row r="15" spans="2:4">
      <c r="B15" s="23" t="s">
        <v>152</v>
      </c>
      <c r="C15" s="22">
        <v>172</v>
      </c>
      <c r="D15" s="21">
        <v>2.5054624908958E-2</v>
      </c>
    </row>
    <row r="16" spans="2:4">
      <c r="B16" s="23" t="s">
        <v>151</v>
      </c>
      <c r="C16" s="22">
        <v>45</v>
      </c>
      <c r="D16" s="21">
        <v>6.5549890750180003E-3</v>
      </c>
    </row>
    <row r="17" spans="2:4">
      <c r="B17" s="23" t="s">
        <v>153</v>
      </c>
      <c r="C17" s="22">
        <v>23</v>
      </c>
      <c r="D17" s="21">
        <v>3.3503277494539999E-3</v>
      </c>
    </row>
    <row r="18" spans="2:4" ht="40.5">
      <c r="B18" s="23" t="s">
        <v>150</v>
      </c>
      <c r="C18" s="22">
        <v>11</v>
      </c>
      <c r="D18" s="21">
        <v>1.602330662782E-3</v>
      </c>
    </row>
    <row r="19" spans="2:4">
      <c r="B19" s="23" t="s">
        <v>154</v>
      </c>
      <c r="C19" s="22">
        <v>1</v>
      </c>
      <c r="D19" s="21">
        <v>1.4566642388899999E-4</v>
      </c>
    </row>
    <row r="20" spans="2:4">
      <c r="B20" s="20" t="s">
        <v>28</v>
      </c>
      <c r="C20" s="19">
        <v>6865</v>
      </c>
      <c r="D20" s="18">
        <v>1</v>
      </c>
    </row>
    <row r="21" spans="2:4">
      <c r="B21" s="16"/>
    </row>
    <row r="22" spans="2:4">
      <c r="B22" s="15" t="s">
        <v>47</v>
      </c>
    </row>
    <row r="23" spans="2:4">
      <c r="B23" s="17" t="s">
        <v>17</v>
      </c>
    </row>
    <row r="24" spans="2:4">
      <c r="B24" s="16" t="s">
        <v>48</v>
      </c>
      <c r="C24" s="13"/>
    </row>
    <row r="25" spans="2:4">
      <c r="B25" s="15" t="s">
        <v>16</v>
      </c>
      <c r="C25" s="13"/>
    </row>
    <row r="26" spans="2:4">
      <c r="B26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226"/>
  <sheetViews>
    <sheetView showGridLines="0" view="pageBreakPreview" topLeftCell="A217" zoomScale="112" zoomScaleNormal="100" zoomScaleSheetLayoutView="112" workbookViewId="0">
      <selection activeCell="B226" sqref="B226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4" customFormat="1" ht="12" customHeight="1">
      <c r="B1" s="46"/>
      <c r="C1" s="40"/>
      <c r="D1" s="40"/>
      <c r="E1" s="40"/>
    </row>
    <row r="2" spans="1:5" s="44" customFormat="1" ht="15" customHeight="1">
      <c r="C2" s="48"/>
    </row>
    <row r="3" spans="1:5" s="44" customFormat="1" ht="15" customHeight="1">
      <c r="C3" s="48"/>
    </row>
    <row r="4" spans="1:5" s="44" customFormat="1" ht="30" customHeight="1">
      <c r="C4" s="48"/>
      <c r="D4" s="47"/>
    </row>
    <row r="5" spans="1:5" s="44" customFormat="1" ht="15" customHeight="1">
      <c r="C5" s="48"/>
      <c r="D5" s="47"/>
    </row>
    <row r="6" spans="1:5" s="44" customFormat="1" ht="24" customHeight="1">
      <c r="B6" s="46"/>
      <c r="C6" s="40"/>
      <c r="D6" s="40"/>
      <c r="E6" s="40"/>
    </row>
    <row r="7" spans="1:5" s="44" customFormat="1" ht="26.25" customHeight="1">
      <c r="A7" s="45"/>
      <c r="B7" s="105"/>
      <c r="C7" s="105"/>
      <c r="D7" s="105"/>
      <c r="E7" s="105"/>
    </row>
    <row r="8" spans="1:5" s="44" customFormat="1" ht="33" customHeight="1">
      <c r="A8" s="45"/>
      <c r="B8" s="105"/>
      <c r="C8" s="105"/>
      <c r="D8" s="105"/>
      <c r="E8" s="105"/>
    </row>
    <row r="9" spans="1:5" s="25" customFormat="1" ht="40.5" customHeight="1">
      <c r="B9" s="41" t="s">
        <v>24</v>
      </c>
      <c r="C9" s="43" t="s">
        <v>23</v>
      </c>
      <c r="D9" s="42" t="s">
        <v>19</v>
      </c>
      <c r="E9" s="41" t="s">
        <v>18</v>
      </c>
    </row>
    <row r="10" spans="1:5" ht="15" customHeight="1">
      <c r="B10" s="102" t="s">
        <v>100</v>
      </c>
      <c r="C10" s="68" t="s">
        <v>147</v>
      </c>
      <c r="D10" s="69">
        <v>3</v>
      </c>
      <c r="E10" s="70">
        <v>4.3699927166799998E-4</v>
      </c>
    </row>
    <row r="11" spans="1:5" ht="15" customHeight="1">
      <c r="B11" s="102"/>
      <c r="C11" s="68" t="s">
        <v>148</v>
      </c>
      <c r="D11" s="69">
        <v>17</v>
      </c>
      <c r="E11" s="70">
        <v>2.476329206118E-3</v>
      </c>
    </row>
    <row r="12" spans="1:5" ht="15" customHeight="1">
      <c r="B12" s="102"/>
      <c r="C12" s="36" t="s">
        <v>28</v>
      </c>
      <c r="D12" s="35">
        <v>20</v>
      </c>
      <c r="E12" s="34">
        <v>2.9133284777860002E-3</v>
      </c>
    </row>
    <row r="13" spans="1:5" ht="15" customHeight="1">
      <c r="B13" s="102" t="s">
        <v>101</v>
      </c>
      <c r="C13" s="68" t="s">
        <v>147</v>
      </c>
      <c r="D13" s="69">
        <v>1</v>
      </c>
      <c r="E13" s="70">
        <v>1.4566642388899999E-4</v>
      </c>
    </row>
    <row r="14" spans="1:5" ht="15" customHeight="1">
      <c r="B14" s="102"/>
      <c r="C14" s="36" t="s">
        <v>28</v>
      </c>
      <c r="D14" s="35">
        <v>1</v>
      </c>
      <c r="E14" s="34">
        <v>1.4566642388899999E-4</v>
      </c>
    </row>
    <row r="15" spans="1:5" ht="15" customHeight="1">
      <c r="B15" s="102" t="s">
        <v>102</v>
      </c>
      <c r="C15" s="68" t="s">
        <v>149</v>
      </c>
      <c r="D15" s="69">
        <v>23</v>
      </c>
      <c r="E15" s="70">
        <v>3.3503277494539999E-3</v>
      </c>
    </row>
    <row r="16" spans="1:5" ht="15" customHeight="1">
      <c r="B16" s="102"/>
      <c r="C16" s="68" t="s">
        <v>147</v>
      </c>
      <c r="D16" s="69">
        <v>205</v>
      </c>
      <c r="E16" s="70">
        <v>2.9861616897305002E-2</v>
      </c>
    </row>
    <row r="17" spans="2:5" ht="15" customHeight="1">
      <c r="B17" s="102"/>
      <c r="C17" s="68" t="s">
        <v>150</v>
      </c>
      <c r="D17" s="69">
        <v>3</v>
      </c>
      <c r="E17" s="70">
        <v>4.3699927166799998E-4</v>
      </c>
    </row>
    <row r="18" spans="2:5" ht="15" customHeight="1">
      <c r="B18" s="102"/>
      <c r="C18" s="68" t="s">
        <v>151</v>
      </c>
      <c r="D18" s="69">
        <v>4</v>
      </c>
      <c r="E18" s="70">
        <v>5.8266569555700002E-4</v>
      </c>
    </row>
    <row r="19" spans="2:5" ht="15" customHeight="1">
      <c r="B19" s="102"/>
      <c r="C19" s="68" t="s">
        <v>152</v>
      </c>
      <c r="D19" s="69">
        <v>5</v>
      </c>
      <c r="E19" s="70">
        <v>7.2833211944600001E-4</v>
      </c>
    </row>
    <row r="20" spans="2:5" ht="15" customHeight="1">
      <c r="B20" s="102"/>
      <c r="C20" s="68" t="s">
        <v>148</v>
      </c>
      <c r="D20" s="69">
        <v>96</v>
      </c>
      <c r="E20" s="70">
        <v>1.3983976693372001E-2</v>
      </c>
    </row>
    <row r="21" spans="2:5" ht="15" customHeight="1">
      <c r="B21" s="102"/>
      <c r="C21" s="36" t="s">
        <v>28</v>
      </c>
      <c r="D21" s="35">
        <v>336</v>
      </c>
      <c r="E21" s="34">
        <v>4.8943918426802999E-2</v>
      </c>
    </row>
    <row r="22" spans="2:5" ht="15" customHeight="1">
      <c r="B22" s="102" t="s">
        <v>103</v>
      </c>
      <c r="C22" s="68" t="s">
        <v>149</v>
      </c>
      <c r="D22" s="69">
        <v>2</v>
      </c>
      <c r="E22" s="70">
        <v>2.9133284777899999E-4</v>
      </c>
    </row>
    <row r="23" spans="2:5" ht="15" customHeight="1">
      <c r="B23" s="102"/>
      <c r="C23" s="68" t="s">
        <v>147</v>
      </c>
      <c r="D23" s="69">
        <v>4</v>
      </c>
      <c r="E23" s="70">
        <v>5.8266569555700002E-4</v>
      </c>
    </row>
    <row r="24" spans="2:5" ht="15" customHeight="1">
      <c r="B24" s="102"/>
      <c r="C24" s="68" t="s">
        <v>151</v>
      </c>
      <c r="D24" s="69">
        <v>1</v>
      </c>
      <c r="E24" s="70">
        <v>1.4566642388899999E-4</v>
      </c>
    </row>
    <row r="25" spans="2:5" ht="15" customHeight="1">
      <c r="B25" s="102"/>
      <c r="C25" s="68" t="s">
        <v>152</v>
      </c>
      <c r="D25" s="69">
        <v>2</v>
      </c>
      <c r="E25" s="70">
        <v>2.9133284777899999E-4</v>
      </c>
    </row>
    <row r="26" spans="2:5" ht="15" customHeight="1">
      <c r="B26" s="102"/>
      <c r="C26" s="68" t="s">
        <v>148</v>
      </c>
      <c r="D26" s="69">
        <v>13</v>
      </c>
      <c r="E26" s="70">
        <v>1.893663510561E-3</v>
      </c>
    </row>
    <row r="27" spans="2:5" ht="15" customHeight="1">
      <c r="B27" s="102"/>
      <c r="C27" s="36" t="s">
        <v>28</v>
      </c>
      <c r="D27" s="35">
        <v>22</v>
      </c>
      <c r="E27" s="34">
        <v>3.2046613255639999E-3</v>
      </c>
    </row>
    <row r="28" spans="2:5" ht="15" customHeight="1">
      <c r="B28" s="102" t="s">
        <v>104</v>
      </c>
      <c r="C28" s="68" t="s">
        <v>149</v>
      </c>
      <c r="D28" s="69">
        <v>670</v>
      </c>
      <c r="E28" s="70">
        <v>9.7596504005827006E-2</v>
      </c>
    </row>
    <row r="29" spans="2:5" ht="15" customHeight="1">
      <c r="B29" s="102"/>
      <c r="C29" s="68" t="s">
        <v>147</v>
      </c>
      <c r="D29" s="69">
        <v>1437</v>
      </c>
      <c r="E29" s="70">
        <v>0.20932265112891499</v>
      </c>
    </row>
    <row r="30" spans="2:5" ht="15" customHeight="1">
      <c r="B30" s="102"/>
      <c r="C30" s="68" t="s">
        <v>150</v>
      </c>
      <c r="D30" s="69">
        <v>3</v>
      </c>
      <c r="E30" s="70">
        <v>4.3699927166799998E-4</v>
      </c>
    </row>
    <row r="31" spans="2:5" ht="15" customHeight="1">
      <c r="B31" s="102"/>
      <c r="C31" s="68" t="s">
        <v>151</v>
      </c>
      <c r="D31" s="69">
        <v>26</v>
      </c>
      <c r="E31" s="70">
        <v>3.787327021122E-3</v>
      </c>
    </row>
    <row r="32" spans="2:5" ht="15" customHeight="1">
      <c r="B32" s="102"/>
      <c r="C32" s="68" t="s">
        <v>153</v>
      </c>
      <c r="D32" s="69">
        <v>11</v>
      </c>
      <c r="E32" s="70">
        <v>1.602330662782E-3</v>
      </c>
    </row>
    <row r="33" spans="2:5" ht="15" customHeight="1">
      <c r="B33" s="102"/>
      <c r="C33" s="68" t="s">
        <v>152</v>
      </c>
      <c r="D33" s="69">
        <v>111</v>
      </c>
      <c r="E33" s="70">
        <v>1.6168973051711999E-2</v>
      </c>
    </row>
    <row r="34" spans="2:5" ht="15" customHeight="1">
      <c r="B34" s="102"/>
      <c r="C34" s="68" t="s">
        <v>148</v>
      </c>
      <c r="D34" s="69">
        <v>2255</v>
      </c>
      <c r="E34" s="70">
        <v>0.32847778587035698</v>
      </c>
    </row>
    <row r="35" spans="2:5" ht="15" customHeight="1">
      <c r="B35" s="102"/>
      <c r="C35" s="36" t="s">
        <v>28</v>
      </c>
      <c r="D35" s="35">
        <v>4513</v>
      </c>
      <c r="E35" s="34">
        <v>0.65739257101238202</v>
      </c>
    </row>
    <row r="36" spans="2:5" ht="15" customHeight="1">
      <c r="B36" s="102" t="s">
        <v>105</v>
      </c>
      <c r="C36" s="68" t="s">
        <v>149</v>
      </c>
      <c r="D36" s="69">
        <v>7</v>
      </c>
      <c r="E36" s="70">
        <v>1.0196649672249999E-3</v>
      </c>
    </row>
    <row r="37" spans="2:5" ht="15" customHeight="1">
      <c r="B37" s="102"/>
      <c r="C37" s="68" t="s">
        <v>147</v>
      </c>
      <c r="D37" s="69">
        <v>17</v>
      </c>
      <c r="E37" s="70">
        <v>2.476329206118E-3</v>
      </c>
    </row>
    <row r="38" spans="2:5" ht="15" customHeight="1">
      <c r="B38" s="102"/>
      <c r="C38" s="68" t="s">
        <v>153</v>
      </c>
      <c r="D38" s="69">
        <v>1</v>
      </c>
      <c r="E38" s="70">
        <v>1.4566642388899999E-4</v>
      </c>
    </row>
    <row r="39" spans="2:5" ht="15" customHeight="1">
      <c r="B39" s="102"/>
      <c r="C39" s="68" t="s">
        <v>152</v>
      </c>
      <c r="D39" s="69">
        <v>2</v>
      </c>
      <c r="E39" s="70">
        <v>2.9133284777899999E-4</v>
      </c>
    </row>
    <row r="40" spans="2:5" ht="15" customHeight="1">
      <c r="B40" s="102"/>
      <c r="C40" s="68" t="s">
        <v>148</v>
      </c>
      <c r="D40" s="69">
        <v>34</v>
      </c>
      <c r="E40" s="70">
        <v>4.9526584122360001E-3</v>
      </c>
    </row>
    <row r="41" spans="2:5" ht="15" customHeight="1">
      <c r="B41" s="102"/>
      <c r="C41" s="36" t="s">
        <v>28</v>
      </c>
      <c r="D41" s="35">
        <v>61</v>
      </c>
      <c r="E41" s="34">
        <v>8.8856518572470004E-3</v>
      </c>
    </row>
    <row r="42" spans="2:5" ht="15" customHeight="1">
      <c r="B42" s="102" t="s">
        <v>106</v>
      </c>
      <c r="C42" s="68" t="s">
        <v>148</v>
      </c>
      <c r="D42" s="69">
        <v>2</v>
      </c>
      <c r="E42" s="70">
        <v>2.9133284777899999E-4</v>
      </c>
    </row>
    <row r="43" spans="2:5" ht="15" customHeight="1">
      <c r="B43" s="102"/>
      <c r="C43" s="36" t="s">
        <v>28</v>
      </c>
      <c r="D43" s="35">
        <v>2</v>
      </c>
      <c r="E43" s="34">
        <v>2.9133284777899999E-4</v>
      </c>
    </row>
    <row r="44" spans="2:5" ht="15" customHeight="1">
      <c r="B44" s="102" t="s">
        <v>107</v>
      </c>
      <c r="C44" s="68" t="s">
        <v>148</v>
      </c>
      <c r="D44" s="69">
        <v>4</v>
      </c>
      <c r="E44" s="70">
        <v>5.8266569555700002E-4</v>
      </c>
    </row>
    <row r="45" spans="2:5" ht="15" customHeight="1">
      <c r="B45" s="102"/>
      <c r="C45" s="36" t="s">
        <v>28</v>
      </c>
      <c r="D45" s="35">
        <v>4</v>
      </c>
      <c r="E45" s="34">
        <v>5.8266569555700002E-4</v>
      </c>
    </row>
    <row r="46" spans="2:5" ht="15" customHeight="1">
      <c r="B46" s="102" t="s">
        <v>108</v>
      </c>
      <c r="C46" s="68" t="s">
        <v>148</v>
      </c>
      <c r="D46" s="69">
        <v>1</v>
      </c>
      <c r="E46" s="70">
        <v>1.4566642388899999E-4</v>
      </c>
    </row>
    <row r="47" spans="2:5" ht="15" customHeight="1">
      <c r="B47" s="102"/>
      <c r="C47" s="36" t="s">
        <v>28</v>
      </c>
      <c r="D47" s="35">
        <v>1</v>
      </c>
      <c r="E47" s="34">
        <v>1.4566642388899999E-4</v>
      </c>
    </row>
    <row r="48" spans="2:5" ht="15" customHeight="1">
      <c r="B48" s="104" t="s">
        <v>109</v>
      </c>
      <c r="C48" s="68" t="s">
        <v>149</v>
      </c>
      <c r="D48" s="69">
        <v>23</v>
      </c>
      <c r="E48" s="70">
        <v>3.3503277494539999E-3</v>
      </c>
    </row>
    <row r="49" spans="2:5" ht="15" customHeight="1">
      <c r="B49" s="104"/>
      <c r="C49" s="68" t="s">
        <v>147</v>
      </c>
      <c r="D49" s="69">
        <v>13</v>
      </c>
      <c r="E49" s="70">
        <v>1.893663510561E-3</v>
      </c>
    </row>
    <row r="50" spans="2:5" ht="15" customHeight="1">
      <c r="B50" s="104"/>
      <c r="C50" s="68" t="s">
        <v>153</v>
      </c>
      <c r="D50" s="69">
        <v>4</v>
      </c>
      <c r="E50" s="70">
        <v>5.8266569555700002E-4</v>
      </c>
    </row>
    <row r="51" spans="2:5" ht="15" customHeight="1">
      <c r="B51" s="104"/>
      <c r="C51" s="68" t="s">
        <v>152</v>
      </c>
      <c r="D51" s="69">
        <v>1</v>
      </c>
      <c r="E51" s="70">
        <v>1.4566642388899999E-4</v>
      </c>
    </row>
    <row r="52" spans="2:5" ht="15" customHeight="1">
      <c r="B52" s="104"/>
      <c r="C52" s="68" t="s">
        <v>148</v>
      </c>
      <c r="D52" s="69">
        <v>34</v>
      </c>
      <c r="E52" s="70">
        <v>4.9526584122360001E-3</v>
      </c>
    </row>
    <row r="53" spans="2:5" ht="15" customHeight="1">
      <c r="B53" s="104"/>
      <c r="C53" s="36" t="s">
        <v>28</v>
      </c>
      <c r="D53" s="35">
        <v>75</v>
      </c>
      <c r="E53" s="34">
        <v>1.0924981791697E-2</v>
      </c>
    </row>
    <row r="54" spans="2:5" ht="15" customHeight="1">
      <c r="B54" s="102" t="s">
        <v>110</v>
      </c>
      <c r="C54" s="68" t="s">
        <v>149</v>
      </c>
      <c r="D54" s="69">
        <v>10</v>
      </c>
      <c r="E54" s="70">
        <v>1.4566642388930001E-3</v>
      </c>
    </row>
    <row r="55" spans="2:5" ht="15" customHeight="1">
      <c r="B55" s="102"/>
      <c r="C55" s="68" t="s">
        <v>147</v>
      </c>
      <c r="D55" s="69">
        <v>11</v>
      </c>
      <c r="E55" s="70">
        <v>1.602330662782E-3</v>
      </c>
    </row>
    <row r="56" spans="2:5" ht="15" customHeight="1">
      <c r="B56" s="102"/>
      <c r="C56" s="68" t="s">
        <v>152</v>
      </c>
      <c r="D56" s="69">
        <v>3</v>
      </c>
      <c r="E56" s="70">
        <v>4.3699927166799998E-4</v>
      </c>
    </row>
    <row r="57" spans="2:5" ht="15" customHeight="1">
      <c r="B57" s="102"/>
      <c r="C57" s="68" t="s">
        <v>148</v>
      </c>
      <c r="D57" s="69">
        <v>30</v>
      </c>
      <c r="E57" s="70">
        <v>4.3699927166789996E-3</v>
      </c>
    </row>
    <row r="58" spans="2:5" ht="15" customHeight="1">
      <c r="B58" s="102"/>
      <c r="C58" s="36" t="s">
        <v>28</v>
      </c>
      <c r="D58" s="35">
        <v>54</v>
      </c>
      <c r="E58" s="34">
        <v>7.8659868900220007E-3</v>
      </c>
    </row>
    <row r="59" spans="2:5" ht="15" customHeight="1">
      <c r="B59" s="102" t="s">
        <v>111</v>
      </c>
      <c r="C59" s="68" t="s">
        <v>147</v>
      </c>
      <c r="D59" s="69">
        <v>1</v>
      </c>
      <c r="E59" s="70">
        <v>1.4566642388899999E-4</v>
      </c>
    </row>
    <row r="60" spans="2:5" ht="15" customHeight="1">
      <c r="B60" s="102"/>
      <c r="C60" s="68" t="s">
        <v>152</v>
      </c>
      <c r="D60" s="69">
        <v>1</v>
      </c>
      <c r="E60" s="70">
        <v>1.4566642388899999E-4</v>
      </c>
    </row>
    <row r="61" spans="2:5" ht="15" customHeight="1">
      <c r="B61" s="102"/>
      <c r="C61" s="68" t="s">
        <v>148</v>
      </c>
      <c r="D61" s="69">
        <v>1</v>
      </c>
      <c r="E61" s="70">
        <v>1.4566642388899999E-4</v>
      </c>
    </row>
    <row r="62" spans="2:5" ht="15" customHeight="1">
      <c r="B62" s="102"/>
      <c r="C62" s="36" t="s">
        <v>28</v>
      </c>
      <c r="D62" s="35">
        <v>3</v>
      </c>
      <c r="E62" s="34">
        <v>4.3699927166799998E-4</v>
      </c>
    </row>
    <row r="63" spans="2:5" ht="15" customHeight="1">
      <c r="B63" s="102" t="s">
        <v>112</v>
      </c>
      <c r="C63" s="68" t="s">
        <v>149</v>
      </c>
      <c r="D63" s="69">
        <v>6</v>
      </c>
      <c r="E63" s="70">
        <v>8.7399854333599996E-4</v>
      </c>
    </row>
    <row r="64" spans="2:5" ht="15" customHeight="1">
      <c r="B64" s="102"/>
      <c r="C64" s="68" t="s">
        <v>147</v>
      </c>
      <c r="D64" s="69">
        <v>11</v>
      </c>
      <c r="E64" s="70">
        <v>1.602330662782E-3</v>
      </c>
    </row>
    <row r="65" spans="2:5" ht="15" customHeight="1">
      <c r="B65" s="102"/>
      <c r="C65" s="68" t="s">
        <v>152</v>
      </c>
      <c r="D65" s="69">
        <v>3</v>
      </c>
      <c r="E65" s="70">
        <v>4.3699927166799998E-4</v>
      </c>
    </row>
    <row r="66" spans="2:5" ht="15" customHeight="1">
      <c r="B66" s="102"/>
      <c r="C66" s="68" t="s">
        <v>148</v>
      </c>
      <c r="D66" s="69">
        <v>22</v>
      </c>
      <c r="E66" s="70">
        <v>3.2046613255639999E-3</v>
      </c>
    </row>
    <row r="67" spans="2:5" ht="15" customHeight="1">
      <c r="B67" s="102"/>
      <c r="C67" s="36" t="s">
        <v>28</v>
      </c>
      <c r="D67" s="35">
        <v>42</v>
      </c>
      <c r="E67" s="34">
        <v>6.1179898033500001E-3</v>
      </c>
    </row>
    <row r="68" spans="2:5" ht="15" customHeight="1">
      <c r="B68" s="102" t="s">
        <v>113</v>
      </c>
      <c r="C68" s="68" t="s">
        <v>149</v>
      </c>
      <c r="D68" s="69">
        <v>25</v>
      </c>
      <c r="E68" s="70">
        <v>3.6416605972320001E-3</v>
      </c>
    </row>
    <row r="69" spans="2:5" ht="15" customHeight="1">
      <c r="B69" s="102"/>
      <c r="C69" s="68" t="s">
        <v>147</v>
      </c>
      <c r="D69" s="69">
        <v>41</v>
      </c>
      <c r="E69" s="70">
        <v>5.9723233794609998E-3</v>
      </c>
    </row>
    <row r="70" spans="2:5" ht="15" customHeight="1">
      <c r="B70" s="102"/>
      <c r="C70" s="68" t="s">
        <v>151</v>
      </c>
      <c r="D70" s="69">
        <v>2</v>
      </c>
      <c r="E70" s="70">
        <v>2.9133284777899999E-4</v>
      </c>
    </row>
    <row r="71" spans="2:5" ht="15" customHeight="1">
      <c r="B71" s="102"/>
      <c r="C71" s="68" t="s">
        <v>153</v>
      </c>
      <c r="D71" s="69">
        <v>2</v>
      </c>
      <c r="E71" s="70">
        <v>2.9133284777899999E-4</v>
      </c>
    </row>
    <row r="72" spans="2:5" ht="15" customHeight="1">
      <c r="B72" s="102"/>
      <c r="C72" s="68" t="s">
        <v>152</v>
      </c>
      <c r="D72" s="69">
        <v>4</v>
      </c>
      <c r="E72" s="70">
        <v>5.8266569555700002E-4</v>
      </c>
    </row>
    <row r="73" spans="2:5" ht="15" customHeight="1">
      <c r="B73" s="102"/>
      <c r="C73" s="68" t="s">
        <v>148</v>
      </c>
      <c r="D73" s="69">
        <v>101</v>
      </c>
      <c r="E73" s="70">
        <v>1.4712308812819E-2</v>
      </c>
    </row>
    <row r="74" spans="2:5" ht="15" customHeight="1">
      <c r="B74" s="102"/>
      <c r="C74" s="36" t="s">
        <v>28</v>
      </c>
      <c r="D74" s="35">
        <v>175</v>
      </c>
      <c r="E74" s="34">
        <v>2.5491624180626001E-2</v>
      </c>
    </row>
    <row r="75" spans="2:5" ht="15" customHeight="1">
      <c r="B75" s="102" t="s">
        <v>114</v>
      </c>
      <c r="C75" s="68" t="s">
        <v>149</v>
      </c>
      <c r="D75" s="69">
        <v>18</v>
      </c>
      <c r="E75" s="70">
        <v>2.6219956300069999E-3</v>
      </c>
    </row>
    <row r="76" spans="2:5" ht="15" customHeight="1">
      <c r="B76" s="102"/>
      <c r="C76" s="68" t="s">
        <v>147</v>
      </c>
      <c r="D76" s="69">
        <v>8</v>
      </c>
      <c r="E76" s="70">
        <v>1.165331391114E-3</v>
      </c>
    </row>
    <row r="77" spans="2:5" ht="15" customHeight="1">
      <c r="B77" s="102"/>
      <c r="C77" s="68" t="s">
        <v>153</v>
      </c>
      <c r="D77" s="69">
        <v>1</v>
      </c>
      <c r="E77" s="70">
        <v>1.4566642388899999E-4</v>
      </c>
    </row>
    <row r="78" spans="2:5" ht="15" customHeight="1">
      <c r="B78" s="102"/>
      <c r="C78" s="68" t="s">
        <v>152</v>
      </c>
      <c r="D78" s="69">
        <v>2</v>
      </c>
      <c r="E78" s="70">
        <v>2.9133284777899999E-4</v>
      </c>
    </row>
    <row r="79" spans="2:5" ht="15" customHeight="1">
      <c r="B79" s="102"/>
      <c r="C79" s="68" t="s">
        <v>148</v>
      </c>
      <c r="D79" s="69">
        <v>29</v>
      </c>
      <c r="E79" s="70">
        <v>4.2243262927900002E-3</v>
      </c>
    </row>
    <row r="80" spans="2:5" ht="15" customHeight="1">
      <c r="B80" s="102"/>
      <c r="C80" s="36" t="s">
        <v>28</v>
      </c>
      <c r="D80" s="35">
        <v>58</v>
      </c>
      <c r="E80" s="34">
        <v>8.4486525855789994E-3</v>
      </c>
    </row>
    <row r="81" spans="2:5" ht="15" customHeight="1">
      <c r="B81" s="102" t="s">
        <v>115</v>
      </c>
      <c r="C81" s="68" t="s">
        <v>149</v>
      </c>
      <c r="D81" s="69">
        <v>6</v>
      </c>
      <c r="E81" s="70">
        <v>8.7399854333599996E-4</v>
      </c>
    </row>
    <row r="82" spans="2:5" ht="15" customHeight="1">
      <c r="B82" s="102"/>
      <c r="C82" s="68" t="s">
        <v>147</v>
      </c>
      <c r="D82" s="69">
        <v>5</v>
      </c>
      <c r="E82" s="70">
        <v>7.2833211944600001E-4</v>
      </c>
    </row>
    <row r="83" spans="2:5" ht="15" customHeight="1">
      <c r="B83" s="102"/>
      <c r="C83" s="68" t="s">
        <v>148</v>
      </c>
      <c r="D83" s="69">
        <v>5</v>
      </c>
      <c r="E83" s="70">
        <v>7.2833211944600001E-4</v>
      </c>
    </row>
    <row r="84" spans="2:5" ht="15" customHeight="1">
      <c r="B84" s="102"/>
      <c r="C84" s="36" t="s">
        <v>28</v>
      </c>
      <c r="D84" s="35">
        <v>16</v>
      </c>
      <c r="E84" s="34">
        <v>2.3306627822290002E-3</v>
      </c>
    </row>
    <row r="85" spans="2:5" ht="15" customHeight="1">
      <c r="B85" s="102" t="s">
        <v>116</v>
      </c>
      <c r="C85" s="68" t="s">
        <v>149</v>
      </c>
      <c r="D85" s="69">
        <v>15</v>
      </c>
      <c r="E85" s="70">
        <v>2.1849963583390002E-3</v>
      </c>
    </row>
    <row r="86" spans="2:5" ht="15" customHeight="1">
      <c r="B86" s="102"/>
      <c r="C86" s="68" t="s">
        <v>147</v>
      </c>
      <c r="D86" s="69">
        <v>5</v>
      </c>
      <c r="E86" s="70">
        <v>7.2833211944600001E-4</v>
      </c>
    </row>
    <row r="87" spans="2:5" ht="15" customHeight="1">
      <c r="B87" s="102"/>
      <c r="C87" s="68" t="s">
        <v>148</v>
      </c>
      <c r="D87" s="69">
        <v>33</v>
      </c>
      <c r="E87" s="70">
        <v>4.8069919883469998E-3</v>
      </c>
    </row>
    <row r="88" spans="2:5" ht="15" customHeight="1">
      <c r="B88" s="102"/>
      <c r="C88" s="36" t="s">
        <v>28</v>
      </c>
      <c r="D88" s="35">
        <v>53</v>
      </c>
      <c r="E88" s="34">
        <v>7.7203204661330004E-3</v>
      </c>
    </row>
    <row r="89" spans="2:5" ht="15" customHeight="1">
      <c r="B89" s="102" t="s">
        <v>117</v>
      </c>
      <c r="C89" s="68" t="s">
        <v>147</v>
      </c>
      <c r="D89" s="69">
        <v>4</v>
      </c>
      <c r="E89" s="70">
        <v>5.8266569555700002E-4</v>
      </c>
    </row>
    <row r="90" spans="2:5" ht="15" customHeight="1">
      <c r="B90" s="102"/>
      <c r="C90" s="68" t="s">
        <v>152</v>
      </c>
      <c r="D90" s="69">
        <v>1</v>
      </c>
      <c r="E90" s="70">
        <v>1.4566642388899999E-4</v>
      </c>
    </row>
    <row r="91" spans="2:5" ht="15" customHeight="1">
      <c r="B91" s="102"/>
      <c r="C91" s="68" t="s">
        <v>148</v>
      </c>
      <c r="D91" s="69">
        <v>10</v>
      </c>
      <c r="E91" s="70">
        <v>1.4566642388930001E-3</v>
      </c>
    </row>
    <row r="92" spans="2:5" ht="15" customHeight="1">
      <c r="B92" s="102"/>
      <c r="C92" s="36" t="s">
        <v>28</v>
      </c>
      <c r="D92" s="35">
        <v>15</v>
      </c>
      <c r="E92" s="34">
        <v>2.1849963583390002E-3</v>
      </c>
    </row>
    <row r="93" spans="2:5" ht="15" customHeight="1">
      <c r="B93" s="102" t="s">
        <v>118</v>
      </c>
      <c r="C93" s="68" t="s">
        <v>149</v>
      </c>
      <c r="D93" s="69">
        <v>1</v>
      </c>
      <c r="E93" s="70">
        <v>1.4566642388899999E-4</v>
      </c>
    </row>
    <row r="94" spans="2:5" ht="15" customHeight="1">
      <c r="B94" s="102"/>
      <c r="C94" s="68" t="s">
        <v>147</v>
      </c>
      <c r="D94" s="69">
        <v>1</v>
      </c>
      <c r="E94" s="70">
        <v>1.4566642388899999E-4</v>
      </c>
    </row>
    <row r="95" spans="2:5" ht="15" customHeight="1">
      <c r="B95" s="102"/>
      <c r="C95" s="68" t="s">
        <v>148</v>
      </c>
      <c r="D95" s="69">
        <v>3</v>
      </c>
      <c r="E95" s="70">
        <v>4.3699927166799998E-4</v>
      </c>
    </row>
    <row r="96" spans="2:5" ht="15" customHeight="1">
      <c r="B96" s="102"/>
      <c r="C96" s="36" t="s">
        <v>28</v>
      </c>
      <c r="D96" s="35">
        <v>5</v>
      </c>
      <c r="E96" s="34">
        <v>7.2833211944600001E-4</v>
      </c>
    </row>
    <row r="97" spans="2:5" ht="15" customHeight="1">
      <c r="B97" s="102" t="s">
        <v>119</v>
      </c>
      <c r="C97" s="68" t="s">
        <v>149</v>
      </c>
      <c r="D97" s="69">
        <v>1</v>
      </c>
      <c r="E97" s="70">
        <v>1.4566642388899999E-4</v>
      </c>
    </row>
    <row r="98" spans="2:5" ht="15" customHeight="1">
      <c r="B98" s="102"/>
      <c r="C98" s="68" t="s">
        <v>147</v>
      </c>
      <c r="D98" s="69">
        <v>1</v>
      </c>
      <c r="E98" s="70">
        <v>1.4566642388899999E-4</v>
      </c>
    </row>
    <row r="99" spans="2:5" ht="15" customHeight="1">
      <c r="B99" s="102"/>
      <c r="C99" s="68" t="s">
        <v>148</v>
      </c>
      <c r="D99" s="69">
        <v>2</v>
      </c>
      <c r="E99" s="70">
        <v>2.9133284777899999E-4</v>
      </c>
    </row>
    <row r="100" spans="2:5" ht="15" customHeight="1">
      <c r="B100" s="102"/>
      <c r="C100" s="36" t="s">
        <v>28</v>
      </c>
      <c r="D100" s="35">
        <v>4</v>
      </c>
      <c r="E100" s="34">
        <v>5.8266569555700002E-4</v>
      </c>
    </row>
    <row r="101" spans="2:5" ht="15" customHeight="1">
      <c r="B101" s="102" t="s">
        <v>120</v>
      </c>
      <c r="C101" s="68" t="s">
        <v>147</v>
      </c>
      <c r="D101" s="69">
        <v>1</v>
      </c>
      <c r="E101" s="70">
        <v>1.4566642388899999E-4</v>
      </c>
    </row>
    <row r="102" spans="2:5" ht="15" customHeight="1">
      <c r="B102" s="102"/>
      <c r="C102" s="68" t="s">
        <v>148</v>
      </c>
      <c r="D102" s="69">
        <v>1</v>
      </c>
      <c r="E102" s="70">
        <v>1.4566642388899999E-4</v>
      </c>
    </row>
    <row r="103" spans="2:5" ht="15" customHeight="1">
      <c r="B103" s="102"/>
      <c r="C103" s="36" t="s">
        <v>28</v>
      </c>
      <c r="D103" s="35">
        <v>2</v>
      </c>
      <c r="E103" s="34">
        <v>2.9133284777899999E-4</v>
      </c>
    </row>
    <row r="104" spans="2:5" ht="15" customHeight="1">
      <c r="B104" s="102" t="s">
        <v>121</v>
      </c>
      <c r="C104" s="68" t="s">
        <v>149</v>
      </c>
      <c r="D104" s="69">
        <v>1</v>
      </c>
      <c r="E104" s="70">
        <v>1.4566642388899999E-4</v>
      </c>
    </row>
    <row r="105" spans="2:5" ht="15" customHeight="1">
      <c r="B105" s="102"/>
      <c r="C105" s="68" t="s">
        <v>147</v>
      </c>
      <c r="D105" s="69">
        <v>1</v>
      </c>
      <c r="E105" s="70">
        <v>1.4566642388899999E-4</v>
      </c>
    </row>
    <row r="106" spans="2:5" ht="15" customHeight="1">
      <c r="B106" s="102"/>
      <c r="C106" s="68" t="s">
        <v>152</v>
      </c>
      <c r="D106" s="69">
        <v>1</v>
      </c>
      <c r="E106" s="70">
        <v>1.4566642388899999E-4</v>
      </c>
    </row>
    <row r="107" spans="2:5" ht="15" customHeight="1">
      <c r="B107" s="102"/>
      <c r="C107" s="68" t="s">
        <v>148</v>
      </c>
      <c r="D107" s="69">
        <v>12</v>
      </c>
      <c r="E107" s="70">
        <v>1.7479970866719999E-3</v>
      </c>
    </row>
    <row r="108" spans="2:5" ht="15" customHeight="1">
      <c r="B108" s="102"/>
      <c r="C108" s="36" t="s">
        <v>28</v>
      </c>
      <c r="D108" s="35">
        <v>15</v>
      </c>
      <c r="E108" s="34">
        <v>2.1849963583390002E-3</v>
      </c>
    </row>
    <row r="109" spans="2:5" ht="15" customHeight="1">
      <c r="B109" s="102" t="s">
        <v>122</v>
      </c>
      <c r="C109" s="68" t="s">
        <v>149</v>
      </c>
      <c r="D109" s="69">
        <v>5</v>
      </c>
      <c r="E109" s="70">
        <v>7.2833211944600001E-4</v>
      </c>
    </row>
    <row r="110" spans="2:5" ht="15" customHeight="1">
      <c r="B110" s="102"/>
      <c r="C110" s="68" t="s">
        <v>147</v>
      </c>
      <c r="D110" s="69">
        <v>4</v>
      </c>
      <c r="E110" s="70">
        <v>5.8266569555700002E-4</v>
      </c>
    </row>
    <row r="111" spans="2:5" ht="15" customHeight="1">
      <c r="B111" s="102"/>
      <c r="C111" s="68" t="s">
        <v>151</v>
      </c>
      <c r="D111" s="69">
        <v>1</v>
      </c>
      <c r="E111" s="70">
        <v>1.4566642388899999E-4</v>
      </c>
    </row>
    <row r="112" spans="2:5" ht="15" customHeight="1">
      <c r="B112" s="102"/>
      <c r="C112" s="68" t="s">
        <v>148</v>
      </c>
      <c r="D112" s="69">
        <v>28</v>
      </c>
      <c r="E112" s="70">
        <v>4.0786598688999998E-3</v>
      </c>
    </row>
    <row r="113" spans="2:5" ht="15" customHeight="1">
      <c r="B113" s="102"/>
      <c r="C113" s="36" t="s">
        <v>28</v>
      </c>
      <c r="D113" s="35">
        <v>38</v>
      </c>
      <c r="E113" s="34">
        <v>5.5353241077929997E-3</v>
      </c>
    </row>
    <row r="114" spans="2:5" ht="15" customHeight="1">
      <c r="B114" s="102" t="s">
        <v>123</v>
      </c>
      <c r="C114" s="68" t="s">
        <v>149</v>
      </c>
      <c r="D114" s="69">
        <v>3</v>
      </c>
      <c r="E114" s="70">
        <v>4.3699927166799998E-4</v>
      </c>
    </row>
    <row r="115" spans="2:5" ht="15" customHeight="1">
      <c r="B115" s="102"/>
      <c r="C115" s="68" t="s">
        <v>147</v>
      </c>
      <c r="D115" s="69">
        <v>1</v>
      </c>
      <c r="E115" s="70">
        <v>1.4566642388899999E-4</v>
      </c>
    </row>
    <row r="116" spans="2:5" ht="15" customHeight="1">
      <c r="B116" s="102"/>
      <c r="C116" s="68" t="s">
        <v>148</v>
      </c>
      <c r="D116" s="69">
        <v>4</v>
      </c>
      <c r="E116" s="70">
        <v>5.8266569555700002E-4</v>
      </c>
    </row>
    <row r="117" spans="2:5" ht="15" customHeight="1">
      <c r="B117" s="102"/>
      <c r="C117" s="36" t="s">
        <v>28</v>
      </c>
      <c r="D117" s="35">
        <v>8</v>
      </c>
      <c r="E117" s="34">
        <v>1.165331391114E-3</v>
      </c>
    </row>
    <row r="118" spans="2:5" ht="15" customHeight="1">
      <c r="B118" s="102" t="s">
        <v>124</v>
      </c>
      <c r="C118" s="68" t="s">
        <v>149</v>
      </c>
      <c r="D118" s="69">
        <v>4</v>
      </c>
      <c r="E118" s="70">
        <v>5.8266569555700002E-4</v>
      </c>
    </row>
    <row r="119" spans="2:5" ht="15" customHeight="1">
      <c r="B119" s="102"/>
      <c r="C119" s="68" t="s">
        <v>147</v>
      </c>
      <c r="D119" s="69">
        <v>4</v>
      </c>
      <c r="E119" s="70">
        <v>5.8266569555700002E-4</v>
      </c>
    </row>
    <row r="120" spans="2:5" ht="15" customHeight="1">
      <c r="B120" s="102"/>
      <c r="C120" s="68" t="s">
        <v>152</v>
      </c>
      <c r="D120" s="69">
        <v>2</v>
      </c>
      <c r="E120" s="70">
        <v>2.9133284777899999E-4</v>
      </c>
    </row>
    <row r="121" spans="2:5" ht="15" customHeight="1">
      <c r="B121" s="102"/>
      <c r="C121" s="68" t="s">
        <v>148</v>
      </c>
      <c r="D121" s="69">
        <v>13</v>
      </c>
      <c r="E121" s="70">
        <v>1.893663510561E-3</v>
      </c>
    </row>
    <row r="122" spans="2:5" ht="15" customHeight="1">
      <c r="B122" s="102"/>
      <c r="C122" s="36" t="s">
        <v>28</v>
      </c>
      <c r="D122" s="35">
        <v>23</v>
      </c>
      <c r="E122" s="34">
        <v>3.3503277494539999E-3</v>
      </c>
    </row>
    <row r="123" spans="2:5" ht="15" customHeight="1">
      <c r="B123" s="102" t="s">
        <v>125</v>
      </c>
      <c r="C123" s="68" t="s">
        <v>149</v>
      </c>
      <c r="D123" s="69">
        <v>2</v>
      </c>
      <c r="E123" s="70">
        <v>2.9133284777899999E-4</v>
      </c>
    </row>
    <row r="124" spans="2:5" ht="15" customHeight="1">
      <c r="B124" s="102"/>
      <c r="C124" s="68" t="s">
        <v>147</v>
      </c>
      <c r="D124" s="69">
        <v>7</v>
      </c>
      <c r="E124" s="70">
        <v>1.0196649672249999E-3</v>
      </c>
    </row>
    <row r="125" spans="2:5" ht="15" customHeight="1">
      <c r="B125" s="102"/>
      <c r="C125" s="68" t="s">
        <v>152</v>
      </c>
      <c r="D125" s="69">
        <v>1</v>
      </c>
      <c r="E125" s="70">
        <v>1.4566642388899999E-4</v>
      </c>
    </row>
    <row r="126" spans="2:5" ht="15" customHeight="1">
      <c r="B126" s="102"/>
      <c r="C126" s="68" t="s">
        <v>148</v>
      </c>
      <c r="D126" s="69">
        <v>4</v>
      </c>
      <c r="E126" s="70">
        <v>5.8266569555700002E-4</v>
      </c>
    </row>
    <row r="127" spans="2:5" ht="15" customHeight="1">
      <c r="B127" s="102"/>
      <c r="C127" s="36" t="s">
        <v>28</v>
      </c>
      <c r="D127" s="35">
        <v>14</v>
      </c>
      <c r="E127" s="34">
        <v>2.0393299344499999E-3</v>
      </c>
    </row>
    <row r="128" spans="2:5" ht="15" customHeight="1">
      <c r="B128" s="102" t="s">
        <v>126</v>
      </c>
      <c r="C128" s="68" t="s">
        <v>149</v>
      </c>
      <c r="D128" s="69">
        <v>58</v>
      </c>
      <c r="E128" s="70">
        <v>8.4486525855789994E-3</v>
      </c>
    </row>
    <row r="129" spans="2:5" ht="15" customHeight="1">
      <c r="B129" s="102"/>
      <c r="C129" s="68" t="s">
        <v>154</v>
      </c>
      <c r="D129" s="69">
        <v>1</v>
      </c>
      <c r="E129" s="70">
        <v>1.4566642388899999E-4</v>
      </c>
    </row>
    <row r="130" spans="2:5" ht="15" customHeight="1">
      <c r="B130" s="102"/>
      <c r="C130" s="68" t="s">
        <v>147</v>
      </c>
      <c r="D130" s="69">
        <v>139</v>
      </c>
      <c r="E130" s="70">
        <v>2.0247632920612001E-2</v>
      </c>
    </row>
    <row r="131" spans="2:5" ht="15" customHeight="1">
      <c r="B131" s="102"/>
      <c r="C131" s="68" t="s">
        <v>150</v>
      </c>
      <c r="D131" s="69">
        <v>4</v>
      </c>
      <c r="E131" s="70">
        <v>5.8266569555700002E-4</v>
      </c>
    </row>
    <row r="132" spans="2:5" ht="15" customHeight="1">
      <c r="B132" s="102"/>
      <c r="C132" s="68" t="s">
        <v>151</v>
      </c>
      <c r="D132" s="69">
        <v>3</v>
      </c>
      <c r="E132" s="70">
        <v>4.3699927166799998E-4</v>
      </c>
    </row>
    <row r="133" spans="2:5" ht="15" customHeight="1">
      <c r="B133" s="102"/>
      <c r="C133" s="68" t="s">
        <v>152</v>
      </c>
      <c r="D133" s="69">
        <v>9</v>
      </c>
      <c r="E133" s="70">
        <v>1.310997815004E-3</v>
      </c>
    </row>
    <row r="134" spans="2:5" ht="15" customHeight="1">
      <c r="B134" s="102"/>
      <c r="C134" s="68" t="s">
        <v>148</v>
      </c>
      <c r="D134" s="69">
        <v>189</v>
      </c>
      <c r="E134" s="70">
        <v>2.7530954115076001E-2</v>
      </c>
    </row>
    <row r="135" spans="2:5" ht="15" customHeight="1">
      <c r="B135" s="102"/>
      <c r="C135" s="36" t="s">
        <v>28</v>
      </c>
      <c r="D135" s="35">
        <v>403</v>
      </c>
      <c r="E135" s="34">
        <v>5.8703568827384998E-2</v>
      </c>
    </row>
    <row r="136" spans="2:5" ht="15" customHeight="1">
      <c r="B136" s="102" t="s">
        <v>127</v>
      </c>
      <c r="C136" s="68" t="s">
        <v>149</v>
      </c>
      <c r="D136" s="69">
        <v>5</v>
      </c>
      <c r="E136" s="70">
        <v>7.2833211944600001E-4</v>
      </c>
    </row>
    <row r="137" spans="2:5" ht="15" customHeight="1">
      <c r="B137" s="102"/>
      <c r="C137" s="68" t="s">
        <v>147</v>
      </c>
      <c r="D137" s="69">
        <v>3</v>
      </c>
      <c r="E137" s="70">
        <v>4.3699927166799998E-4</v>
      </c>
    </row>
    <row r="138" spans="2:5" ht="15" customHeight="1">
      <c r="B138" s="102"/>
      <c r="C138" s="68" t="s">
        <v>148</v>
      </c>
      <c r="D138" s="69">
        <v>11</v>
      </c>
      <c r="E138" s="70">
        <v>1.602330662782E-3</v>
      </c>
    </row>
    <row r="139" spans="2:5" ht="15" customHeight="1">
      <c r="B139" s="102"/>
      <c r="C139" s="36" t="s">
        <v>28</v>
      </c>
      <c r="D139" s="35">
        <v>19</v>
      </c>
      <c r="E139" s="34">
        <v>2.7676620538969999E-3</v>
      </c>
    </row>
    <row r="140" spans="2:5" ht="15" customHeight="1">
      <c r="B140" s="102" t="s">
        <v>128</v>
      </c>
      <c r="C140" s="68" t="s">
        <v>149</v>
      </c>
      <c r="D140" s="69">
        <v>3</v>
      </c>
      <c r="E140" s="70">
        <v>4.3699927166799998E-4</v>
      </c>
    </row>
    <row r="141" spans="2:5" ht="15" customHeight="1">
      <c r="B141" s="102"/>
      <c r="C141" s="68" t="s">
        <v>147</v>
      </c>
      <c r="D141" s="69">
        <v>11</v>
      </c>
      <c r="E141" s="70">
        <v>1.602330662782E-3</v>
      </c>
    </row>
    <row r="142" spans="2:5" ht="15" customHeight="1">
      <c r="B142" s="102"/>
      <c r="C142" s="68" t="s">
        <v>148</v>
      </c>
      <c r="D142" s="69">
        <v>13</v>
      </c>
      <c r="E142" s="70">
        <v>1.893663510561E-3</v>
      </c>
    </row>
    <row r="143" spans="2:5" ht="15" customHeight="1">
      <c r="B143" s="102"/>
      <c r="C143" s="36" t="s">
        <v>28</v>
      </c>
      <c r="D143" s="35">
        <v>27</v>
      </c>
      <c r="E143" s="34">
        <v>3.9329934450110004E-3</v>
      </c>
    </row>
    <row r="144" spans="2:5" ht="15" customHeight="1">
      <c r="B144" s="102" t="s">
        <v>129</v>
      </c>
      <c r="C144" s="68" t="s">
        <v>149</v>
      </c>
      <c r="D144" s="69">
        <v>9</v>
      </c>
      <c r="E144" s="70">
        <v>1.310997815004E-3</v>
      </c>
    </row>
    <row r="145" spans="2:5" ht="15" customHeight="1">
      <c r="B145" s="102"/>
      <c r="C145" s="68" t="s">
        <v>147</v>
      </c>
      <c r="D145" s="69">
        <v>7</v>
      </c>
      <c r="E145" s="70">
        <v>1.0196649672249999E-3</v>
      </c>
    </row>
    <row r="146" spans="2:5" ht="15" customHeight="1">
      <c r="B146" s="102"/>
      <c r="C146" s="68" t="s">
        <v>148</v>
      </c>
      <c r="D146" s="69">
        <v>15</v>
      </c>
      <c r="E146" s="70">
        <v>2.1849963583390002E-3</v>
      </c>
    </row>
    <row r="147" spans="2:5" ht="15" customHeight="1">
      <c r="B147" s="102"/>
      <c r="C147" s="36" t="s">
        <v>28</v>
      </c>
      <c r="D147" s="35">
        <v>31</v>
      </c>
      <c r="E147" s="34">
        <v>4.5156591405679999E-3</v>
      </c>
    </row>
    <row r="148" spans="2:5" ht="15" customHeight="1">
      <c r="B148" s="102" t="s">
        <v>130</v>
      </c>
      <c r="C148" s="68" t="s">
        <v>149</v>
      </c>
      <c r="D148" s="69">
        <v>10</v>
      </c>
      <c r="E148" s="70">
        <v>1.4566642388930001E-3</v>
      </c>
    </row>
    <row r="149" spans="2:5" ht="15" customHeight="1">
      <c r="B149" s="102"/>
      <c r="C149" s="68" t="s">
        <v>147</v>
      </c>
      <c r="D149" s="69">
        <v>11</v>
      </c>
      <c r="E149" s="70">
        <v>1.602330662782E-3</v>
      </c>
    </row>
    <row r="150" spans="2:5" ht="15" customHeight="1">
      <c r="B150" s="102"/>
      <c r="C150" s="68" t="s">
        <v>153</v>
      </c>
      <c r="D150" s="69">
        <v>1</v>
      </c>
      <c r="E150" s="70">
        <v>1.4566642388899999E-4</v>
      </c>
    </row>
    <row r="151" spans="2:5" ht="15" customHeight="1">
      <c r="B151" s="102"/>
      <c r="C151" s="68" t="s">
        <v>152</v>
      </c>
      <c r="D151" s="69">
        <v>2</v>
      </c>
      <c r="E151" s="70">
        <v>2.9133284777899999E-4</v>
      </c>
    </row>
    <row r="152" spans="2:5" ht="15" customHeight="1">
      <c r="B152" s="102"/>
      <c r="C152" s="68" t="s">
        <v>148</v>
      </c>
      <c r="D152" s="69">
        <v>32</v>
      </c>
      <c r="E152" s="70">
        <v>4.6613255644570003E-3</v>
      </c>
    </row>
    <row r="153" spans="2:5" ht="15" customHeight="1">
      <c r="B153" s="102"/>
      <c r="C153" s="36" t="s">
        <v>28</v>
      </c>
      <c r="D153" s="35">
        <v>56</v>
      </c>
      <c r="E153" s="34">
        <v>8.1573197377999996E-3</v>
      </c>
    </row>
    <row r="154" spans="2:5" ht="15" customHeight="1">
      <c r="B154" s="102" t="s">
        <v>131</v>
      </c>
      <c r="C154" s="68" t="s">
        <v>148</v>
      </c>
      <c r="D154" s="69">
        <v>2</v>
      </c>
      <c r="E154" s="70">
        <v>2.9133284777899999E-4</v>
      </c>
    </row>
    <row r="155" spans="2:5" ht="15" customHeight="1">
      <c r="B155" s="102"/>
      <c r="C155" s="36" t="s">
        <v>28</v>
      </c>
      <c r="D155" s="35">
        <v>2</v>
      </c>
      <c r="E155" s="34">
        <v>2.9133284777899999E-4</v>
      </c>
    </row>
    <row r="156" spans="2:5" ht="15" customHeight="1">
      <c r="B156" s="102" t="s">
        <v>132</v>
      </c>
      <c r="C156" s="68" t="s">
        <v>149</v>
      </c>
      <c r="D156" s="69">
        <v>5</v>
      </c>
      <c r="E156" s="70">
        <v>7.2833211944600001E-4</v>
      </c>
    </row>
    <row r="157" spans="2:5" ht="15" customHeight="1">
      <c r="B157" s="102"/>
      <c r="C157" s="68" t="s">
        <v>147</v>
      </c>
      <c r="D157" s="69">
        <v>4</v>
      </c>
      <c r="E157" s="70">
        <v>5.8266569555700002E-4</v>
      </c>
    </row>
    <row r="158" spans="2:5" ht="15" customHeight="1">
      <c r="B158" s="102"/>
      <c r="C158" s="68" t="s">
        <v>148</v>
      </c>
      <c r="D158" s="69">
        <v>5</v>
      </c>
      <c r="E158" s="70">
        <v>7.2833211944600001E-4</v>
      </c>
    </row>
    <row r="159" spans="2:5" ht="15" customHeight="1">
      <c r="B159" s="102"/>
      <c r="C159" s="36" t="s">
        <v>28</v>
      </c>
      <c r="D159" s="35">
        <v>14</v>
      </c>
      <c r="E159" s="34">
        <v>2.0393299344499999E-3</v>
      </c>
    </row>
    <row r="160" spans="2:5" ht="15" customHeight="1">
      <c r="B160" s="102" t="s">
        <v>133</v>
      </c>
      <c r="C160" s="68" t="s">
        <v>149</v>
      </c>
      <c r="D160" s="69">
        <v>10</v>
      </c>
      <c r="E160" s="70">
        <v>1.4566642388930001E-3</v>
      </c>
    </row>
    <row r="161" spans="2:5" ht="15" customHeight="1">
      <c r="B161" s="102"/>
      <c r="C161" s="68" t="s">
        <v>147</v>
      </c>
      <c r="D161" s="69">
        <v>20</v>
      </c>
      <c r="E161" s="70">
        <v>2.9133284777860002E-3</v>
      </c>
    </row>
    <row r="162" spans="2:5" ht="15" customHeight="1">
      <c r="B162" s="102"/>
      <c r="C162" s="68" t="s">
        <v>148</v>
      </c>
      <c r="D162" s="69">
        <v>40</v>
      </c>
      <c r="E162" s="70">
        <v>5.8266569555720004E-3</v>
      </c>
    </row>
    <row r="163" spans="2:5" ht="15" customHeight="1">
      <c r="B163" s="102"/>
      <c r="C163" s="36" t="s">
        <v>28</v>
      </c>
      <c r="D163" s="35">
        <v>70</v>
      </c>
      <c r="E163" s="34">
        <v>1.0196649672251E-2</v>
      </c>
    </row>
    <row r="164" spans="2:5" ht="15" customHeight="1">
      <c r="B164" s="102" t="s">
        <v>134</v>
      </c>
      <c r="C164" s="68" t="s">
        <v>149</v>
      </c>
      <c r="D164" s="69">
        <v>12</v>
      </c>
      <c r="E164" s="70">
        <v>1.7479970866719999E-3</v>
      </c>
    </row>
    <row r="165" spans="2:5" ht="15" customHeight="1">
      <c r="B165" s="102"/>
      <c r="C165" s="68" t="s">
        <v>147</v>
      </c>
      <c r="D165" s="69">
        <v>17</v>
      </c>
      <c r="E165" s="70">
        <v>2.476329206118E-3</v>
      </c>
    </row>
    <row r="166" spans="2:5" ht="15" customHeight="1">
      <c r="B166" s="102"/>
      <c r="C166" s="68" t="s">
        <v>148</v>
      </c>
      <c r="D166" s="69">
        <v>18</v>
      </c>
      <c r="E166" s="70">
        <v>2.6219956300069999E-3</v>
      </c>
    </row>
    <row r="167" spans="2:5" ht="15" customHeight="1">
      <c r="B167" s="102"/>
      <c r="C167" s="36" t="s">
        <v>28</v>
      </c>
      <c r="D167" s="35">
        <v>47</v>
      </c>
      <c r="E167" s="34">
        <v>6.8463219227970001E-3</v>
      </c>
    </row>
    <row r="168" spans="2:5" ht="15" customHeight="1">
      <c r="B168" s="102" t="s">
        <v>135</v>
      </c>
      <c r="C168" s="68" t="s">
        <v>149</v>
      </c>
      <c r="D168" s="69">
        <v>3</v>
      </c>
      <c r="E168" s="70">
        <v>4.3699927166799998E-4</v>
      </c>
    </row>
    <row r="169" spans="2:5" ht="15" customHeight="1">
      <c r="B169" s="102"/>
      <c r="C169" s="68" t="s">
        <v>147</v>
      </c>
      <c r="D169" s="69">
        <v>4</v>
      </c>
      <c r="E169" s="70">
        <v>5.8266569555700002E-4</v>
      </c>
    </row>
    <row r="170" spans="2:5" ht="15" customHeight="1">
      <c r="B170" s="102"/>
      <c r="C170" s="68" t="s">
        <v>151</v>
      </c>
      <c r="D170" s="69">
        <v>1</v>
      </c>
      <c r="E170" s="70">
        <v>1.4566642388899999E-4</v>
      </c>
    </row>
    <row r="171" spans="2:5" ht="15" customHeight="1">
      <c r="B171" s="102"/>
      <c r="C171" s="68" t="s">
        <v>152</v>
      </c>
      <c r="D171" s="69">
        <v>1</v>
      </c>
      <c r="E171" s="70">
        <v>1.4566642388899999E-4</v>
      </c>
    </row>
    <row r="172" spans="2:5" ht="15" customHeight="1">
      <c r="B172" s="102"/>
      <c r="C172" s="68" t="s">
        <v>148</v>
      </c>
      <c r="D172" s="69">
        <v>9</v>
      </c>
      <c r="E172" s="70">
        <v>1.310997815004E-3</v>
      </c>
    </row>
    <row r="173" spans="2:5" ht="15" customHeight="1">
      <c r="B173" s="102"/>
      <c r="C173" s="36" t="s">
        <v>28</v>
      </c>
      <c r="D173" s="35">
        <v>18</v>
      </c>
      <c r="E173" s="34">
        <v>2.6219956300069999E-3</v>
      </c>
    </row>
    <row r="174" spans="2:5" ht="15" customHeight="1">
      <c r="B174" s="102" t="s">
        <v>136</v>
      </c>
      <c r="C174" s="68" t="s">
        <v>149</v>
      </c>
      <c r="D174" s="69">
        <v>2</v>
      </c>
      <c r="E174" s="70">
        <v>2.9133284777899999E-4</v>
      </c>
    </row>
    <row r="175" spans="2:5" ht="15" customHeight="1">
      <c r="B175" s="102"/>
      <c r="C175" s="68" t="s">
        <v>147</v>
      </c>
      <c r="D175" s="69">
        <v>2</v>
      </c>
      <c r="E175" s="70">
        <v>2.9133284777899999E-4</v>
      </c>
    </row>
    <row r="176" spans="2:5" ht="15" customHeight="1">
      <c r="B176" s="102"/>
      <c r="C176" s="68" t="s">
        <v>148</v>
      </c>
      <c r="D176" s="69">
        <v>12</v>
      </c>
      <c r="E176" s="70">
        <v>1.7479970866719999E-3</v>
      </c>
    </row>
    <row r="177" spans="2:5" ht="15" customHeight="1">
      <c r="B177" s="102"/>
      <c r="C177" s="36" t="s">
        <v>28</v>
      </c>
      <c r="D177" s="35">
        <v>16</v>
      </c>
      <c r="E177" s="34">
        <v>2.3306627822290002E-3</v>
      </c>
    </row>
    <row r="178" spans="2:5" ht="15" customHeight="1">
      <c r="B178" s="102" t="s">
        <v>137</v>
      </c>
      <c r="C178" s="68" t="s">
        <v>149</v>
      </c>
      <c r="D178" s="69">
        <v>1</v>
      </c>
      <c r="E178" s="70">
        <v>1.4566642388899999E-4</v>
      </c>
    </row>
    <row r="179" spans="2:5" ht="15" customHeight="1">
      <c r="B179" s="102"/>
      <c r="C179" s="68" t="s">
        <v>147</v>
      </c>
      <c r="D179" s="69">
        <v>1</v>
      </c>
      <c r="E179" s="70">
        <v>1.4566642388899999E-4</v>
      </c>
    </row>
    <row r="180" spans="2:5" ht="15" customHeight="1">
      <c r="B180" s="102"/>
      <c r="C180" s="68" t="s">
        <v>148</v>
      </c>
      <c r="D180" s="69">
        <v>2</v>
      </c>
      <c r="E180" s="70">
        <v>2.9133284777899999E-4</v>
      </c>
    </row>
    <row r="181" spans="2:5" ht="15" customHeight="1">
      <c r="B181" s="102"/>
      <c r="C181" s="36" t="s">
        <v>28</v>
      </c>
      <c r="D181" s="35">
        <v>4</v>
      </c>
      <c r="E181" s="34">
        <v>5.8266569555700002E-4</v>
      </c>
    </row>
    <row r="182" spans="2:5" ht="15" customHeight="1">
      <c r="B182" s="102" t="s">
        <v>138</v>
      </c>
      <c r="C182" s="68" t="s">
        <v>149</v>
      </c>
      <c r="D182" s="69">
        <v>5</v>
      </c>
      <c r="E182" s="70">
        <v>7.2833211944600001E-4</v>
      </c>
    </row>
    <row r="183" spans="2:5" ht="15" customHeight="1">
      <c r="B183" s="102"/>
      <c r="C183" s="68" t="s">
        <v>147</v>
      </c>
      <c r="D183" s="69">
        <v>6</v>
      </c>
      <c r="E183" s="70">
        <v>8.7399854333599996E-4</v>
      </c>
    </row>
    <row r="184" spans="2:5" ht="15" customHeight="1">
      <c r="B184" s="102"/>
      <c r="C184" s="68" t="s">
        <v>148</v>
      </c>
      <c r="D184" s="69">
        <v>24</v>
      </c>
      <c r="E184" s="70">
        <v>3.4959941733430002E-3</v>
      </c>
    </row>
    <row r="185" spans="2:5" ht="15" customHeight="1">
      <c r="B185" s="102"/>
      <c r="C185" s="36" t="s">
        <v>28</v>
      </c>
      <c r="D185" s="35">
        <v>35</v>
      </c>
      <c r="E185" s="34">
        <v>5.0983248361250004E-3</v>
      </c>
    </row>
    <row r="186" spans="2:5" ht="15" customHeight="1">
      <c r="B186" s="102" t="s">
        <v>139</v>
      </c>
      <c r="C186" s="68" t="s">
        <v>149</v>
      </c>
      <c r="D186" s="69">
        <v>47</v>
      </c>
      <c r="E186" s="70">
        <v>6.8463219227970001E-3</v>
      </c>
    </row>
    <row r="187" spans="2:5" ht="15" customHeight="1">
      <c r="B187" s="102"/>
      <c r="C187" s="68" t="s">
        <v>147</v>
      </c>
      <c r="D187" s="69">
        <v>87</v>
      </c>
      <c r="E187" s="70">
        <v>1.2672978878369E-2</v>
      </c>
    </row>
    <row r="188" spans="2:5" ht="15" customHeight="1">
      <c r="B188" s="102"/>
      <c r="C188" s="68" t="s">
        <v>150</v>
      </c>
      <c r="D188" s="69">
        <v>1</v>
      </c>
      <c r="E188" s="70">
        <v>1.4566642388899999E-4</v>
      </c>
    </row>
    <row r="189" spans="2:5" ht="15" customHeight="1">
      <c r="B189" s="102"/>
      <c r="C189" s="68" t="s">
        <v>151</v>
      </c>
      <c r="D189" s="69">
        <v>4</v>
      </c>
      <c r="E189" s="70">
        <v>5.8266569555700002E-4</v>
      </c>
    </row>
    <row r="190" spans="2:5" ht="15" customHeight="1">
      <c r="B190" s="102"/>
      <c r="C190" s="68" t="s">
        <v>153</v>
      </c>
      <c r="D190" s="69">
        <v>1</v>
      </c>
      <c r="E190" s="70">
        <v>1.4566642388899999E-4</v>
      </c>
    </row>
    <row r="191" spans="2:5" ht="15" customHeight="1">
      <c r="B191" s="102"/>
      <c r="C191" s="68" t="s">
        <v>152</v>
      </c>
      <c r="D191" s="69">
        <v>14</v>
      </c>
      <c r="E191" s="70">
        <v>2.0393299344499999E-3</v>
      </c>
    </row>
    <row r="192" spans="2:5" ht="15" customHeight="1">
      <c r="B192" s="102"/>
      <c r="C192" s="68" t="s">
        <v>148</v>
      </c>
      <c r="D192" s="69">
        <v>215</v>
      </c>
      <c r="E192" s="70">
        <v>3.1318281136198001E-2</v>
      </c>
    </row>
    <row r="193" spans="2:5" ht="15" customHeight="1">
      <c r="B193" s="102"/>
      <c r="C193" s="36" t="s">
        <v>28</v>
      </c>
      <c r="D193" s="35">
        <v>369</v>
      </c>
      <c r="E193" s="34">
        <v>5.3750910415148997E-2</v>
      </c>
    </row>
    <row r="194" spans="2:5" ht="15" customHeight="1">
      <c r="B194" s="102" t="s">
        <v>140</v>
      </c>
      <c r="C194" s="68" t="s">
        <v>149</v>
      </c>
      <c r="D194" s="69">
        <v>10</v>
      </c>
      <c r="E194" s="70">
        <v>1.4566642388930001E-3</v>
      </c>
    </row>
    <row r="195" spans="2:5" ht="15" customHeight="1">
      <c r="B195" s="102"/>
      <c r="C195" s="68" t="s">
        <v>147</v>
      </c>
      <c r="D195" s="69">
        <v>23</v>
      </c>
      <c r="E195" s="70">
        <v>3.3503277494539999E-3</v>
      </c>
    </row>
    <row r="196" spans="2:5" ht="15" customHeight="1">
      <c r="B196" s="102"/>
      <c r="C196" s="68" t="s">
        <v>152</v>
      </c>
      <c r="D196" s="69">
        <v>2</v>
      </c>
      <c r="E196" s="70">
        <v>2.9133284777899999E-4</v>
      </c>
    </row>
    <row r="197" spans="2:5" ht="15" customHeight="1">
      <c r="B197" s="102"/>
      <c r="C197" s="68" t="s">
        <v>148</v>
      </c>
      <c r="D197" s="69">
        <v>51</v>
      </c>
      <c r="E197" s="70">
        <v>7.4289876183539997E-3</v>
      </c>
    </row>
    <row r="198" spans="2:5" ht="15" customHeight="1">
      <c r="B198" s="102"/>
      <c r="C198" s="36" t="s">
        <v>28</v>
      </c>
      <c r="D198" s="35">
        <v>86</v>
      </c>
      <c r="E198" s="34">
        <v>1.2527312454479E-2</v>
      </c>
    </row>
    <row r="199" spans="2:5" ht="15" customHeight="1">
      <c r="B199" s="102" t="s">
        <v>141</v>
      </c>
      <c r="C199" s="68" t="s">
        <v>149</v>
      </c>
      <c r="D199" s="69">
        <v>2</v>
      </c>
      <c r="E199" s="70">
        <v>2.9133284777899999E-4</v>
      </c>
    </row>
    <row r="200" spans="2:5" ht="15" customHeight="1">
      <c r="B200" s="102"/>
      <c r="C200" s="68" t="s">
        <v>147</v>
      </c>
      <c r="D200" s="69">
        <v>2</v>
      </c>
      <c r="E200" s="70">
        <v>2.9133284777899999E-4</v>
      </c>
    </row>
    <row r="201" spans="2:5" ht="15" customHeight="1">
      <c r="B201" s="102"/>
      <c r="C201" s="68" t="s">
        <v>151</v>
      </c>
      <c r="D201" s="69">
        <v>1</v>
      </c>
      <c r="E201" s="70">
        <v>1.4566642388899999E-4</v>
      </c>
    </row>
    <row r="202" spans="2:5" ht="15" customHeight="1">
      <c r="B202" s="102"/>
      <c r="C202" s="68" t="s">
        <v>153</v>
      </c>
      <c r="D202" s="69">
        <v>1</v>
      </c>
      <c r="E202" s="70">
        <v>1.4566642388899999E-4</v>
      </c>
    </row>
    <row r="203" spans="2:5" ht="15" customHeight="1">
      <c r="B203" s="102"/>
      <c r="C203" s="68" t="s">
        <v>148</v>
      </c>
      <c r="D203" s="69">
        <v>5</v>
      </c>
      <c r="E203" s="70">
        <v>7.2833211944600001E-4</v>
      </c>
    </row>
    <row r="204" spans="2:5" ht="15" customHeight="1">
      <c r="B204" s="102"/>
      <c r="C204" s="36" t="s">
        <v>28</v>
      </c>
      <c r="D204" s="35">
        <v>11</v>
      </c>
      <c r="E204" s="34">
        <v>1.602330662782E-3</v>
      </c>
    </row>
    <row r="205" spans="2:5" ht="15" customHeight="1">
      <c r="B205" s="102" t="s">
        <v>91</v>
      </c>
      <c r="C205" s="68" t="s">
        <v>149</v>
      </c>
      <c r="D205" s="69">
        <v>14</v>
      </c>
      <c r="E205" s="70">
        <v>2.0393299344499999E-3</v>
      </c>
    </row>
    <row r="206" spans="2:5" ht="15" customHeight="1">
      <c r="B206" s="102"/>
      <c r="C206" s="68" t="s">
        <v>147</v>
      </c>
      <c r="D206" s="69">
        <v>11</v>
      </c>
      <c r="E206" s="70">
        <v>1.602330662782E-3</v>
      </c>
    </row>
    <row r="207" spans="2:5" ht="15" customHeight="1">
      <c r="B207" s="102"/>
      <c r="C207" s="68" t="s">
        <v>151</v>
      </c>
      <c r="D207" s="69">
        <v>2</v>
      </c>
      <c r="E207" s="70">
        <v>2.9133284777899999E-4</v>
      </c>
    </row>
    <row r="208" spans="2:5" ht="15" customHeight="1">
      <c r="B208" s="102"/>
      <c r="C208" s="68" t="s">
        <v>153</v>
      </c>
      <c r="D208" s="69">
        <v>1</v>
      </c>
      <c r="E208" s="70">
        <v>1.4566642388899999E-4</v>
      </c>
    </row>
    <row r="209" spans="2:5" ht="15" customHeight="1">
      <c r="B209" s="102"/>
      <c r="C209" s="68" t="s">
        <v>152</v>
      </c>
      <c r="D209" s="69">
        <v>3</v>
      </c>
      <c r="E209" s="70">
        <v>4.3699927166799998E-4</v>
      </c>
    </row>
    <row r="210" spans="2:5" ht="15" customHeight="1">
      <c r="B210" s="102"/>
      <c r="C210" s="68" t="s">
        <v>148</v>
      </c>
      <c r="D210" s="69">
        <v>19</v>
      </c>
      <c r="E210" s="70">
        <v>2.7676620538969999E-3</v>
      </c>
    </row>
    <row r="211" spans="2:5" ht="15" customHeight="1">
      <c r="B211" s="102"/>
      <c r="C211" s="36" t="s">
        <v>28</v>
      </c>
      <c r="D211" s="35">
        <v>50</v>
      </c>
      <c r="E211" s="34">
        <v>7.2833211944650002E-3</v>
      </c>
    </row>
    <row r="212" spans="2:5" ht="15" customHeight="1">
      <c r="B212" s="102" t="s">
        <v>142</v>
      </c>
      <c r="C212" s="68" t="s">
        <v>149</v>
      </c>
      <c r="D212" s="69">
        <v>1</v>
      </c>
      <c r="E212" s="70">
        <v>1.4566642388899999E-4</v>
      </c>
    </row>
    <row r="213" spans="2:5" ht="15" customHeight="1">
      <c r="B213" s="102"/>
      <c r="C213" s="68" t="s">
        <v>147</v>
      </c>
      <c r="D213" s="69">
        <v>12</v>
      </c>
      <c r="E213" s="70">
        <v>1.7479970866719999E-3</v>
      </c>
    </row>
    <row r="214" spans="2:5" ht="15" customHeight="1">
      <c r="B214" s="102"/>
      <c r="C214" s="68" t="s">
        <v>152</v>
      </c>
      <c r="D214" s="69">
        <v>2</v>
      </c>
      <c r="E214" s="70">
        <v>2.9133284777899999E-4</v>
      </c>
    </row>
    <row r="215" spans="2:5" ht="15" customHeight="1">
      <c r="B215" s="102"/>
      <c r="C215" s="68" t="s">
        <v>148</v>
      </c>
      <c r="D215" s="69">
        <v>27</v>
      </c>
      <c r="E215" s="70">
        <v>3.9329934450110004E-3</v>
      </c>
    </row>
    <row r="216" spans="2:5" ht="15" customHeight="1">
      <c r="B216" s="102"/>
      <c r="C216" s="36" t="s">
        <v>28</v>
      </c>
      <c r="D216" s="35">
        <v>42</v>
      </c>
      <c r="E216" s="34">
        <v>6.1179898033500001E-3</v>
      </c>
    </row>
    <row r="217" spans="2:5" ht="15" customHeight="1">
      <c r="B217" s="102" t="s">
        <v>143</v>
      </c>
      <c r="C217" s="68" t="s">
        <v>147</v>
      </c>
      <c r="D217" s="69">
        <v>2</v>
      </c>
      <c r="E217" s="70">
        <v>2.9133284777899999E-4</v>
      </c>
    </row>
    <row r="218" spans="2:5" ht="15" customHeight="1">
      <c r="B218" s="102"/>
      <c r="C218" s="68" t="s">
        <v>148</v>
      </c>
      <c r="D218" s="69">
        <v>3</v>
      </c>
      <c r="E218" s="70">
        <v>4.3699927166799998E-4</v>
      </c>
    </row>
    <row r="219" spans="2:5" ht="15" customHeight="1">
      <c r="B219" s="102"/>
      <c r="C219" s="36" t="s">
        <v>28</v>
      </c>
      <c r="D219" s="35">
        <v>5</v>
      </c>
      <c r="E219" s="34">
        <v>7.2833211944600001E-4</v>
      </c>
    </row>
    <row r="220" spans="2:5" ht="15" customHeight="1">
      <c r="B220" s="103" t="s">
        <v>28</v>
      </c>
      <c r="C220" s="103"/>
      <c r="D220" s="63">
        <v>6865</v>
      </c>
      <c r="E220" s="64">
        <v>1</v>
      </c>
    </row>
    <row r="222" spans="2:5" ht="15" customHeight="1">
      <c r="B222" s="15" t="s">
        <v>47</v>
      </c>
    </row>
    <row r="223" spans="2:5" ht="15" customHeight="1">
      <c r="B223" s="17" t="s">
        <v>17</v>
      </c>
    </row>
    <row r="224" spans="2:5" ht="15" customHeight="1">
      <c r="B224" s="16" t="s">
        <v>48</v>
      </c>
    </row>
    <row r="225" spans="2:2" ht="15" customHeight="1">
      <c r="B225" s="15" t="s">
        <v>16</v>
      </c>
    </row>
    <row r="226" spans="2:2" ht="15" customHeight="1">
      <c r="B226" s="15" t="s">
        <v>49</v>
      </c>
    </row>
  </sheetData>
  <mergeCells count="47">
    <mergeCell ref="B28:B35"/>
    <mergeCell ref="B36:B41"/>
    <mergeCell ref="B7:E8"/>
    <mergeCell ref="B10:B12"/>
    <mergeCell ref="B13:B14"/>
    <mergeCell ref="B15:B21"/>
    <mergeCell ref="B22:B27"/>
    <mergeCell ref="B42:B43"/>
    <mergeCell ref="B136:B139"/>
    <mergeCell ref="B140:B143"/>
    <mergeCell ref="B144:B147"/>
    <mergeCell ref="B148:B153"/>
    <mergeCell ref="B44:B45"/>
    <mergeCell ref="B46:B47"/>
    <mergeCell ref="B48:B53"/>
    <mergeCell ref="B54:B58"/>
    <mergeCell ref="B59:B62"/>
    <mergeCell ref="B63:B67"/>
    <mergeCell ref="B68:B74"/>
    <mergeCell ref="B75:B80"/>
    <mergeCell ref="B81:B84"/>
    <mergeCell ref="B85:B88"/>
    <mergeCell ref="B89:B92"/>
    <mergeCell ref="B93:B96"/>
    <mergeCell ref="B97:B100"/>
    <mergeCell ref="B101:B103"/>
    <mergeCell ref="B104:B108"/>
    <mergeCell ref="B109:B113"/>
    <mergeCell ref="B114:B117"/>
    <mergeCell ref="B118:B122"/>
    <mergeCell ref="B123:B127"/>
    <mergeCell ref="B128:B135"/>
    <mergeCell ref="B168:B173"/>
    <mergeCell ref="B156:B159"/>
    <mergeCell ref="B160:B163"/>
    <mergeCell ref="B164:B167"/>
    <mergeCell ref="B154:B155"/>
    <mergeCell ref="B205:B211"/>
    <mergeCell ref="B212:B216"/>
    <mergeCell ref="B217:B219"/>
    <mergeCell ref="B220:C220"/>
    <mergeCell ref="B174:B177"/>
    <mergeCell ref="B178:B181"/>
    <mergeCell ref="B182:B185"/>
    <mergeCell ref="B186:B193"/>
    <mergeCell ref="B199:B204"/>
    <mergeCell ref="B194:B19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280"/>
  <sheetViews>
    <sheetView showGridLines="0" view="pageBreakPreview" zoomScale="85" zoomScaleNormal="100" zoomScaleSheetLayoutView="85" workbookViewId="0">
      <selection activeCell="F8" sqref="F8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4" customFormat="1" ht="12" customHeight="1">
      <c r="B1" s="46"/>
      <c r="C1" s="40"/>
      <c r="D1" s="40"/>
      <c r="E1" s="40"/>
    </row>
    <row r="2" spans="1:5" s="44" customFormat="1" ht="15" customHeight="1">
      <c r="C2" s="48"/>
    </row>
    <row r="3" spans="1:5" s="44" customFormat="1" ht="15" customHeight="1">
      <c r="C3" s="48"/>
    </row>
    <row r="4" spans="1:5" s="44" customFormat="1" ht="30" customHeight="1">
      <c r="C4" s="48"/>
      <c r="D4" s="47"/>
    </row>
    <row r="5" spans="1:5" s="44" customFormat="1" ht="15" customHeight="1">
      <c r="C5" s="48"/>
      <c r="D5" s="47"/>
    </row>
    <row r="6" spans="1:5" s="44" customFormat="1" ht="24" customHeight="1">
      <c r="B6" s="46"/>
      <c r="C6" s="40"/>
      <c r="D6" s="40"/>
      <c r="E6" s="40"/>
    </row>
    <row r="7" spans="1:5" s="44" customFormat="1" ht="26.25" customHeight="1">
      <c r="A7" s="45"/>
      <c r="B7" s="105"/>
      <c r="C7" s="105"/>
      <c r="D7" s="105"/>
      <c r="E7" s="105"/>
    </row>
    <row r="8" spans="1:5" s="44" customFormat="1" ht="14.1" customHeight="1">
      <c r="A8" s="45"/>
      <c r="B8" s="105"/>
      <c r="C8" s="105"/>
      <c r="D8" s="105"/>
      <c r="E8" s="105"/>
    </row>
    <row r="9" spans="1:5" s="44" customFormat="1" ht="27.95" customHeight="1">
      <c r="A9" s="45"/>
      <c r="B9" s="105"/>
      <c r="C9" s="105"/>
      <c r="D9" s="105"/>
      <c r="E9" s="105"/>
    </row>
    <row r="10" spans="1:5" s="25" customFormat="1" ht="40.5" customHeight="1">
      <c r="B10" s="41" t="s">
        <v>21</v>
      </c>
      <c r="C10" s="43" t="s">
        <v>23</v>
      </c>
      <c r="D10" s="42" t="s">
        <v>19</v>
      </c>
      <c r="E10" s="41" t="s">
        <v>18</v>
      </c>
    </row>
    <row r="11" spans="1:5" ht="15" customHeight="1">
      <c r="B11" s="106" t="s">
        <v>86</v>
      </c>
      <c r="C11" s="68" t="s">
        <v>149</v>
      </c>
      <c r="D11" s="69">
        <v>4</v>
      </c>
      <c r="E11" s="70">
        <v>5.8266569555700002E-4</v>
      </c>
    </row>
    <row r="12" spans="1:5" ht="15" customHeight="1">
      <c r="B12" s="107"/>
      <c r="C12" s="68" t="s">
        <v>147</v>
      </c>
      <c r="D12" s="69">
        <v>9</v>
      </c>
      <c r="E12" s="70">
        <v>1.310997815004E-3</v>
      </c>
    </row>
    <row r="13" spans="1:5" ht="15" customHeight="1">
      <c r="B13" s="107"/>
      <c r="C13" s="68" t="s">
        <v>150</v>
      </c>
      <c r="D13" s="69">
        <v>1</v>
      </c>
      <c r="E13" s="70">
        <v>1.4566642388899999E-4</v>
      </c>
    </row>
    <row r="14" spans="1:5" ht="15" customHeight="1">
      <c r="B14" s="107"/>
      <c r="C14" s="68" t="s">
        <v>148</v>
      </c>
      <c r="D14" s="69">
        <v>10</v>
      </c>
      <c r="E14" s="70">
        <v>1.4566642388930001E-3</v>
      </c>
    </row>
    <row r="15" spans="1:5" ht="15" customHeight="1">
      <c r="B15" s="108"/>
      <c r="C15" s="36" t="s">
        <v>28</v>
      </c>
      <c r="D15" s="35">
        <v>24</v>
      </c>
      <c r="E15" s="34">
        <v>3.4959941733430002E-3</v>
      </c>
    </row>
    <row r="16" spans="1:5" ht="15" customHeight="1">
      <c r="B16" s="106" t="s">
        <v>67</v>
      </c>
      <c r="C16" s="68" t="s">
        <v>149</v>
      </c>
      <c r="D16" s="69">
        <v>11</v>
      </c>
      <c r="E16" s="70">
        <v>1.602330662782E-3</v>
      </c>
    </row>
    <row r="17" spans="2:5" ht="15" customHeight="1">
      <c r="B17" s="107"/>
      <c r="C17" s="68" t="s">
        <v>147</v>
      </c>
      <c r="D17" s="69">
        <v>14</v>
      </c>
      <c r="E17" s="70">
        <v>2.0393299344499999E-3</v>
      </c>
    </row>
    <row r="18" spans="2:5" ht="15" customHeight="1">
      <c r="B18" s="107"/>
      <c r="C18" s="68" t="s">
        <v>152</v>
      </c>
      <c r="D18" s="69">
        <v>3</v>
      </c>
      <c r="E18" s="70">
        <v>4.3699927166799998E-4</v>
      </c>
    </row>
    <row r="19" spans="2:5" ht="15" customHeight="1">
      <c r="B19" s="107"/>
      <c r="C19" s="68" t="s">
        <v>148</v>
      </c>
      <c r="D19" s="69">
        <v>52</v>
      </c>
      <c r="E19" s="70">
        <v>7.574654042243E-3</v>
      </c>
    </row>
    <row r="20" spans="2:5" ht="15" customHeight="1">
      <c r="B20" s="108"/>
      <c r="C20" s="36" t="s">
        <v>28</v>
      </c>
      <c r="D20" s="35">
        <v>80</v>
      </c>
      <c r="E20" s="34">
        <v>1.1653313911143E-2</v>
      </c>
    </row>
    <row r="21" spans="2:5" ht="15" customHeight="1">
      <c r="B21" s="106" t="s">
        <v>87</v>
      </c>
      <c r="C21" s="68" t="s">
        <v>149</v>
      </c>
      <c r="D21" s="69">
        <v>1</v>
      </c>
      <c r="E21" s="70">
        <v>1.4566642388899999E-4</v>
      </c>
    </row>
    <row r="22" spans="2:5" ht="15" customHeight="1">
      <c r="B22" s="107"/>
      <c r="C22" s="68" t="s">
        <v>147</v>
      </c>
      <c r="D22" s="69">
        <v>4</v>
      </c>
      <c r="E22" s="70">
        <v>5.8266569555700002E-4</v>
      </c>
    </row>
    <row r="23" spans="2:5" ht="15" customHeight="1">
      <c r="B23" s="107"/>
      <c r="C23" s="68" t="s">
        <v>151</v>
      </c>
      <c r="D23" s="69">
        <v>1</v>
      </c>
      <c r="E23" s="70">
        <v>1.4566642388899999E-4</v>
      </c>
    </row>
    <row r="24" spans="2:5" ht="15" customHeight="1">
      <c r="B24" s="107"/>
      <c r="C24" s="68" t="s">
        <v>148</v>
      </c>
      <c r="D24" s="69">
        <v>17</v>
      </c>
      <c r="E24" s="70">
        <v>2.476329206118E-3</v>
      </c>
    </row>
    <row r="25" spans="2:5" ht="15" customHeight="1">
      <c r="B25" s="108"/>
      <c r="C25" s="36" t="s">
        <v>28</v>
      </c>
      <c r="D25" s="35">
        <v>23</v>
      </c>
      <c r="E25" s="34">
        <v>3.3503277494539999E-3</v>
      </c>
    </row>
    <row r="26" spans="2:5" ht="15" customHeight="1">
      <c r="B26" s="106" t="s">
        <v>74</v>
      </c>
      <c r="C26" s="68" t="s">
        <v>149</v>
      </c>
      <c r="D26" s="69">
        <v>7</v>
      </c>
      <c r="E26" s="70">
        <v>1.0196649672249999E-3</v>
      </c>
    </row>
    <row r="27" spans="2:5" ht="15" customHeight="1">
      <c r="B27" s="107"/>
      <c r="C27" s="68" t="s">
        <v>147</v>
      </c>
      <c r="D27" s="69">
        <v>12</v>
      </c>
      <c r="E27" s="70">
        <v>1.7479970866719999E-3</v>
      </c>
    </row>
    <row r="28" spans="2:5" ht="15" customHeight="1">
      <c r="B28" s="107"/>
      <c r="C28" s="68" t="s">
        <v>152</v>
      </c>
      <c r="D28" s="69">
        <v>4</v>
      </c>
      <c r="E28" s="70">
        <v>5.8266569555700002E-4</v>
      </c>
    </row>
    <row r="29" spans="2:5" ht="15" customHeight="1">
      <c r="B29" s="107"/>
      <c r="C29" s="68" t="s">
        <v>148</v>
      </c>
      <c r="D29" s="69">
        <v>26</v>
      </c>
      <c r="E29" s="70">
        <v>3.787327021122E-3</v>
      </c>
    </row>
    <row r="30" spans="2:5" ht="15" customHeight="1">
      <c r="B30" s="108"/>
      <c r="C30" s="36" t="s">
        <v>28</v>
      </c>
      <c r="D30" s="35">
        <v>49</v>
      </c>
      <c r="E30" s="34">
        <v>7.1376547705749999E-3</v>
      </c>
    </row>
    <row r="31" spans="2:5" ht="15" customHeight="1">
      <c r="B31" s="106" t="s">
        <v>96</v>
      </c>
      <c r="C31" s="68" t="s">
        <v>147</v>
      </c>
      <c r="D31" s="69">
        <v>1</v>
      </c>
      <c r="E31" s="70">
        <v>1.4566642388899999E-4</v>
      </c>
    </row>
    <row r="32" spans="2:5" ht="15" customHeight="1">
      <c r="B32" s="107"/>
      <c r="C32" s="68" t="s">
        <v>148</v>
      </c>
      <c r="D32" s="69">
        <v>2</v>
      </c>
      <c r="E32" s="70">
        <v>2.9133284777899999E-4</v>
      </c>
    </row>
    <row r="33" spans="2:5" ht="15" customHeight="1">
      <c r="B33" s="108"/>
      <c r="C33" s="36" t="s">
        <v>28</v>
      </c>
      <c r="D33" s="35">
        <v>3</v>
      </c>
      <c r="E33" s="34">
        <v>4.3699927166799998E-4</v>
      </c>
    </row>
    <row r="34" spans="2:5" ht="15" customHeight="1">
      <c r="B34" s="106" t="s">
        <v>93</v>
      </c>
      <c r="C34" s="68" t="s">
        <v>149</v>
      </c>
      <c r="D34" s="69">
        <v>1</v>
      </c>
      <c r="E34" s="70">
        <v>1.4566642388899999E-4</v>
      </c>
    </row>
    <row r="35" spans="2:5" ht="15" customHeight="1">
      <c r="B35" s="107"/>
      <c r="C35" s="68" t="s">
        <v>152</v>
      </c>
      <c r="D35" s="69">
        <v>1</v>
      </c>
      <c r="E35" s="70">
        <v>1.4566642388899999E-4</v>
      </c>
    </row>
    <row r="36" spans="2:5" ht="15" customHeight="1">
      <c r="B36" s="107"/>
      <c r="C36" s="68" t="s">
        <v>148</v>
      </c>
      <c r="D36" s="69">
        <v>4</v>
      </c>
      <c r="E36" s="70">
        <v>5.8266569555700002E-4</v>
      </c>
    </row>
    <row r="37" spans="2:5" ht="15" customHeight="1">
      <c r="B37" s="108"/>
      <c r="C37" s="36" t="s">
        <v>28</v>
      </c>
      <c r="D37" s="35">
        <v>6</v>
      </c>
      <c r="E37" s="34">
        <v>8.7399854333599996E-4</v>
      </c>
    </row>
    <row r="38" spans="2:5" ht="15" customHeight="1">
      <c r="B38" s="106" t="s">
        <v>56</v>
      </c>
      <c r="C38" s="68" t="s">
        <v>149</v>
      </c>
      <c r="D38" s="69">
        <v>5</v>
      </c>
      <c r="E38" s="70">
        <v>7.2833211944600001E-4</v>
      </c>
    </row>
    <row r="39" spans="2:5" ht="15" customHeight="1">
      <c r="B39" s="107"/>
      <c r="C39" s="68" t="s">
        <v>147</v>
      </c>
      <c r="D39" s="69">
        <v>236</v>
      </c>
      <c r="E39" s="70">
        <v>3.4377276037873002E-2</v>
      </c>
    </row>
    <row r="40" spans="2:5" ht="15" customHeight="1">
      <c r="B40" s="107"/>
      <c r="C40" s="68" t="s">
        <v>152</v>
      </c>
      <c r="D40" s="69">
        <v>1</v>
      </c>
      <c r="E40" s="70">
        <v>1.4566642388899999E-4</v>
      </c>
    </row>
    <row r="41" spans="2:5" ht="15" customHeight="1">
      <c r="B41" s="107"/>
      <c r="C41" s="68" t="s">
        <v>148</v>
      </c>
      <c r="D41" s="69">
        <v>14</v>
      </c>
      <c r="E41" s="70">
        <v>2.0393299344499999E-3</v>
      </c>
    </row>
    <row r="42" spans="2:5" ht="15" customHeight="1">
      <c r="B42" s="108"/>
      <c r="C42" s="36" t="s">
        <v>28</v>
      </c>
      <c r="D42" s="35">
        <v>256</v>
      </c>
      <c r="E42" s="34">
        <v>3.7290604515659E-2</v>
      </c>
    </row>
    <row r="43" spans="2:5" ht="15" customHeight="1">
      <c r="B43" s="106" t="s">
        <v>57</v>
      </c>
      <c r="C43" s="68" t="s">
        <v>149</v>
      </c>
      <c r="D43" s="69">
        <v>37</v>
      </c>
      <c r="E43" s="70">
        <v>5.3896576839040002E-3</v>
      </c>
    </row>
    <row r="44" spans="2:5" ht="15" customHeight="1">
      <c r="B44" s="107"/>
      <c r="C44" s="68" t="s">
        <v>147</v>
      </c>
      <c r="D44" s="69">
        <v>55</v>
      </c>
      <c r="E44" s="70">
        <v>8.0116533139110001E-3</v>
      </c>
    </row>
    <row r="45" spans="2:5" ht="15" customHeight="1">
      <c r="B45" s="107"/>
      <c r="C45" s="68" t="s">
        <v>151</v>
      </c>
      <c r="D45" s="69">
        <v>2</v>
      </c>
      <c r="E45" s="70">
        <v>2.9133284777899999E-4</v>
      </c>
    </row>
    <row r="46" spans="2:5" ht="15" customHeight="1">
      <c r="B46" s="107"/>
      <c r="C46" s="68" t="s">
        <v>153</v>
      </c>
      <c r="D46" s="69">
        <v>3</v>
      </c>
      <c r="E46" s="70">
        <v>4.3699927166799998E-4</v>
      </c>
    </row>
    <row r="47" spans="2:5" ht="15" customHeight="1">
      <c r="B47" s="107"/>
      <c r="C47" s="68" t="s">
        <v>152</v>
      </c>
      <c r="D47" s="69">
        <v>6</v>
      </c>
      <c r="E47" s="70">
        <v>8.7399854333599996E-4</v>
      </c>
    </row>
    <row r="48" spans="2:5" ht="15" customHeight="1">
      <c r="B48" s="107"/>
      <c r="C48" s="68" t="s">
        <v>148</v>
      </c>
      <c r="D48" s="69">
        <v>126</v>
      </c>
      <c r="E48" s="70">
        <v>1.8353969410051001E-2</v>
      </c>
    </row>
    <row r="49" spans="2:5" ht="15" customHeight="1">
      <c r="B49" s="108"/>
      <c r="C49" s="36" t="s">
        <v>28</v>
      </c>
      <c r="D49" s="35">
        <v>229</v>
      </c>
      <c r="E49" s="34">
        <v>3.3357611070647997E-2</v>
      </c>
    </row>
    <row r="50" spans="2:5" ht="15" customHeight="1">
      <c r="B50" s="106" t="s">
        <v>62</v>
      </c>
      <c r="C50" s="68" t="s">
        <v>149</v>
      </c>
      <c r="D50" s="69">
        <v>26</v>
      </c>
      <c r="E50" s="70">
        <v>3.787327021122E-3</v>
      </c>
    </row>
    <row r="51" spans="2:5" ht="15" customHeight="1">
      <c r="B51" s="107"/>
      <c r="C51" s="68" t="s">
        <v>147</v>
      </c>
      <c r="D51" s="69">
        <v>34</v>
      </c>
      <c r="E51" s="70">
        <v>4.9526584122360001E-3</v>
      </c>
    </row>
    <row r="52" spans="2:5" ht="15" customHeight="1">
      <c r="B52" s="107"/>
      <c r="C52" s="68" t="s">
        <v>151</v>
      </c>
      <c r="D52" s="69">
        <v>1</v>
      </c>
      <c r="E52" s="70">
        <v>1.4566642388899999E-4</v>
      </c>
    </row>
    <row r="53" spans="2:5" ht="15" customHeight="1">
      <c r="B53" s="107"/>
      <c r="C53" s="68" t="s">
        <v>153</v>
      </c>
      <c r="D53" s="69">
        <v>1</v>
      </c>
      <c r="E53" s="70">
        <v>1.4566642388899999E-4</v>
      </c>
    </row>
    <row r="54" spans="2:5" ht="15" customHeight="1">
      <c r="B54" s="107"/>
      <c r="C54" s="68" t="s">
        <v>152</v>
      </c>
      <c r="D54" s="69">
        <v>5</v>
      </c>
      <c r="E54" s="70">
        <v>7.2833211944600001E-4</v>
      </c>
    </row>
    <row r="55" spans="2:5" ht="15" customHeight="1">
      <c r="B55" s="107"/>
      <c r="C55" s="68" t="s">
        <v>148</v>
      </c>
      <c r="D55" s="69">
        <v>79</v>
      </c>
      <c r="E55" s="70">
        <v>1.1507647487254E-2</v>
      </c>
    </row>
    <row r="56" spans="2:5" ht="15" customHeight="1">
      <c r="B56" s="108"/>
      <c r="C56" s="36" t="s">
        <v>28</v>
      </c>
      <c r="D56" s="35">
        <v>146</v>
      </c>
      <c r="E56" s="34">
        <v>2.1267297887836999E-2</v>
      </c>
    </row>
    <row r="57" spans="2:5" ht="15" customHeight="1">
      <c r="B57" s="106" t="s">
        <v>70</v>
      </c>
      <c r="C57" s="68" t="s">
        <v>149</v>
      </c>
      <c r="D57" s="69">
        <v>7</v>
      </c>
      <c r="E57" s="70">
        <v>1.0196649672249999E-3</v>
      </c>
    </row>
    <row r="58" spans="2:5" ht="15" customHeight="1">
      <c r="B58" s="107"/>
      <c r="C58" s="68" t="s">
        <v>147</v>
      </c>
      <c r="D58" s="69">
        <v>17</v>
      </c>
      <c r="E58" s="70">
        <v>2.476329206118E-3</v>
      </c>
    </row>
    <row r="59" spans="2:5" ht="15" customHeight="1">
      <c r="B59" s="107"/>
      <c r="C59" s="68" t="s">
        <v>153</v>
      </c>
      <c r="D59" s="69">
        <v>1</v>
      </c>
      <c r="E59" s="70">
        <v>1.4566642388899999E-4</v>
      </c>
    </row>
    <row r="60" spans="2:5" ht="15" customHeight="1">
      <c r="B60" s="107"/>
      <c r="C60" s="68" t="s">
        <v>152</v>
      </c>
      <c r="D60" s="69">
        <v>1</v>
      </c>
      <c r="E60" s="70">
        <v>1.4566642388899999E-4</v>
      </c>
    </row>
    <row r="61" spans="2:5" ht="15" customHeight="1">
      <c r="B61" s="107"/>
      <c r="C61" s="68" t="s">
        <v>148</v>
      </c>
      <c r="D61" s="69">
        <v>35</v>
      </c>
      <c r="E61" s="70">
        <v>5.0983248361250004E-3</v>
      </c>
    </row>
    <row r="62" spans="2:5" ht="15" customHeight="1">
      <c r="B62" s="108"/>
      <c r="C62" s="36" t="s">
        <v>28</v>
      </c>
      <c r="D62" s="35">
        <v>61</v>
      </c>
      <c r="E62" s="34">
        <v>8.8856518572470004E-3</v>
      </c>
    </row>
    <row r="63" spans="2:5" ht="15" customHeight="1">
      <c r="B63" s="106" t="s">
        <v>88</v>
      </c>
      <c r="C63" s="68" t="s">
        <v>149</v>
      </c>
      <c r="D63" s="69">
        <v>3</v>
      </c>
      <c r="E63" s="70">
        <v>4.3699927166799998E-4</v>
      </c>
    </row>
    <row r="64" spans="2:5" ht="15" customHeight="1">
      <c r="B64" s="107"/>
      <c r="C64" s="68" t="s">
        <v>147</v>
      </c>
      <c r="D64" s="69">
        <v>3</v>
      </c>
      <c r="E64" s="70">
        <v>4.3699927166799998E-4</v>
      </c>
    </row>
    <row r="65" spans="2:5" ht="15" customHeight="1">
      <c r="B65" s="107"/>
      <c r="C65" s="68" t="s">
        <v>152</v>
      </c>
      <c r="D65" s="69">
        <v>1</v>
      </c>
      <c r="E65" s="70">
        <v>1.4566642388899999E-4</v>
      </c>
    </row>
    <row r="66" spans="2:5" ht="15" customHeight="1">
      <c r="B66" s="107"/>
      <c r="C66" s="68" t="s">
        <v>148</v>
      </c>
      <c r="D66" s="69">
        <v>14</v>
      </c>
      <c r="E66" s="70">
        <v>2.0393299344499999E-3</v>
      </c>
    </row>
    <row r="67" spans="2:5" ht="15" customHeight="1">
      <c r="B67" s="108"/>
      <c r="C67" s="36" t="s">
        <v>28</v>
      </c>
      <c r="D67" s="35">
        <v>21</v>
      </c>
      <c r="E67" s="34">
        <v>3.0589949016750001E-3</v>
      </c>
    </row>
    <row r="68" spans="2:5" ht="15" customHeight="1">
      <c r="B68" s="106" t="s">
        <v>97</v>
      </c>
      <c r="C68" s="68" t="s">
        <v>147</v>
      </c>
      <c r="D68" s="69">
        <v>1</v>
      </c>
      <c r="E68" s="70">
        <v>1.4566642388899999E-4</v>
      </c>
    </row>
    <row r="69" spans="2:5" ht="15" customHeight="1">
      <c r="B69" s="108"/>
      <c r="C69" s="36" t="s">
        <v>28</v>
      </c>
      <c r="D69" s="35">
        <v>1</v>
      </c>
      <c r="E69" s="34">
        <v>1.4566642388899999E-4</v>
      </c>
    </row>
    <row r="70" spans="2:5" ht="15" customHeight="1">
      <c r="B70" s="106" t="s">
        <v>81</v>
      </c>
      <c r="C70" s="68" t="s">
        <v>149</v>
      </c>
      <c r="D70" s="69">
        <v>1</v>
      </c>
      <c r="E70" s="70">
        <v>1.4566642388899999E-4</v>
      </c>
    </row>
    <row r="71" spans="2:5" ht="15" customHeight="1">
      <c r="B71" s="107"/>
      <c r="C71" s="68" t="s">
        <v>147</v>
      </c>
      <c r="D71" s="69">
        <v>13</v>
      </c>
      <c r="E71" s="70">
        <v>1.893663510561E-3</v>
      </c>
    </row>
    <row r="72" spans="2:5" ht="15" customHeight="1">
      <c r="B72" s="107"/>
      <c r="C72" s="68" t="s">
        <v>148</v>
      </c>
      <c r="D72" s="69">
        <v>19</v>
      </c>
      <c r="E72" s="70">
        <v>2.7676620538969999E-3</v>
      </c>
    </row>
    <row r="73" spans="2:5" ht="15" customHeight="1">
      <c r="B73" s="108"/>
      <c r="C73" s="36" t="s">
        <v>28</v>
      </c>
      <c r="D73" s="35">
        <v>33</v>
      </c>
      <c r="E73" s="34">
        <v>4.8069919883469998E-3</v>
      </c>
    </row>
    <row r="74" spans="2:5" ht="15" customHeight="1">
      <c r="B74" s="106" t="s">
        <v>83</v>
      </c>
      <c r="C74" s="68" t="s">
        <v>149</v>
      </c>
      <c r="D74" s="69">
        <v>4</v>
      </c>
      <c r="E74" s="70">
        <v>5.8266569555700002E-4</v>
      </c>
    </row>
    <row r="75" spans="2:5" ht="15" customHeight="1">
      <c r="B75" s="107"/>
      <c r="C75" s="68" t="s">
        <v>147</v>
      </c>
      <c r="D75" s="69">
        <v>5</v>
      </c>
      <c r="E75" s="70">
        <v>7.2833211944600001E-4</v>
      </c>
    </row>
    <row r="76" spans="2:5" ht="15" customHeight="1">
      <c r="B76" s="107"/>
      <c r="C76" s="68" t="s">
        <v>151</v>
      </c>
      <c r="D76" s="69">
        <v>1</v>
      </c>
      <c r="E76" s="70">
        <v>1.4566642388899999E-4</v>
      </c>
    </row>
    <row r="77" spans="2:5" ht="15" customHeight="1">
      <c r="B77" s="107"/>
      <c r="C77" s="68" t="s">
        <v>152</v>
      </c>
      <c r="D77" s="69">
        <v>1</v>
      </c>
      <c r="E77" s="70">
        <v>1.4566642388899999E-4</v>
      </c>
    </row>
    <row r="78" spans="2:5" ht="15" customHeight="1">
      <c r="B78" s="107"/>
      <c r="C78" s="68" t="s">
        <v>148</v>
      </c>
      <c r="D78" s="69">
        <v>19</v>
      </c>
      <c r="E78" s="70">
        <v>2.7676620538969999E-3</v>
      </c>
    </row>
    <row r="79" spans="2:5" ht="15" customHeight="1">
      <c r="B79" s="108"/>
      <c r="C79" s="36" t="s">
        <v>28</v>
      </c>
      <c r="D79" s="35">
        <v>30</v>
      </c>
      <c r="E79" s="34">
        <v>4.3699927166789996E-3</v>
      </c>
    </row>
    <row r="80" spans="2:5" ht="15" customHeight="1">
      <c r="B80" s="106" t="s">
        <v>53</v>
      </c>
      <c r="C80" s="68" t="s">
        <v>149</v>
      </c>
      <c r="D80" s="69">
        <v>98</v>
      </c>
      <c r="E80" s="70">
        <v>1.4275309541151001E-2</v>
      </c>
    </row>
    <row r="81" spans="2:5" ht="15" customHeight="1">
      <c r="B81" s="107"/>
      <c r="C81" s="68" t="s">
        <v>147</v>
      </c>
      <c r="D81" s="69">
        <v>196</v>
      </c>
      <c r="E81" s="70">
        <v>2.8550619082302001E-2</v>
      </c>
    </row>
    <row r="82" spans="2:5" ht="15" customHeight="1">
      <c r="B82" s="107"/>
      <c r="C82" s="68" t="s">
        <v>151</v>
      </c>
      <c r="D82" s="69">
        <v>2</v>
      </c>
      <c r="E82" s="70">
        <v>2.9133284777899999E-4</v>
      </c>
    </row>
    <row r="83" spans="2:5" ht="15" customHeight="1">
      <c r="B83" s="107"/>
      <c r="C83" s="68" t="s">
        <v>153</v>
      </c>
      <c r="D83" s="69">
        <v>1</v>
      </c>
      <c r="E83" s="70">
        <v>1.4566642388899999E-4</v>
      </c>
    </row>
    <row r="84" spans="2:5" ht="15" customHeight="1">
      <c r="B84" s="107"/>
      <c r="C84" s="68" t="s">
        <v>152</v>
      </c>
      <c r="D84" s="69">
        <v>14</v>
      </c>
      <c r="E84" s="70">
        <v>2.0393299344499999E-3</v>
      </c>
    </row>
    <row r="85" spans="2:5" ht="15" customHeight="1">
      <c r="B85" s="107"/>
      <c r="C85" s="68" t="s">
        <v>148</v>
      </c>
      <c r="D85" s="69">
        <v>229</v>
      </c>
      <c r="E85" s="70">
        <v>3.3357611070647997E-2</v>
      </c>
    </row>
    <row r="86" spans="2:5" ht="15" customHeight="1">
      <c r="B86" s="108"/>
      <c r="C86" s="36" t="s">
        <v>28</v>
      </c>
      <c r="D86" s="35">
        <v>540</v>
      </c>
      <c r="E86" s="34">
        <v>7.8659868900219004E-2</v>
      </c>
    </row>
    <row r="87" spans="2:5" ht="15" customHeight="1">
      <c r="B87" s="106" t="s">
        <v>63</v>
      </c>
      <c r="C87" s="68" t="s">
        <v>149</v>
      </c>
      <c r="D87" s="69">
        <v>18</v>
      </c>
      <c r="E87" s="70">
        <v>2.6219956300069999E-3</v>
      </c>
    </row>
    <row r="88" spans="2:5" ht="15" customHeight="1">
      <c r="B88" s="107"/>
      <c r="C88" s="68" t="s">
        <v>147</v>
      </c>
      <c r="D88" s="69">
        <v>28</v>
      </c>
      <c r="E88" s="70">
        <v>4.0786598688999998E-3</v>
      </c>
    </row>
    <row r="89" spans="2:5" ht="15" customHeight="1">
      <c r="B89" s="107"/>
      <c r="C89" s="68" t="s">
        <v>151</v>
      </c>
      <c r="D89" s="69">
        <v>2</v>
      </c>
      <c r="E89" s="70">
        <v>2.9133284777899999E-4</v>
      </c>
    </row>
    <row r="90" spans="2:5" ht="15" customHeight="1">
      <c r="B90" s="107"/>
      <c r="C90" s="68" t="s">
        <v>152</v>
      </c>
      <c r="D90" s="69">
        <v>8</v>
      </c>
      <c r="E90" s="70">
        <v>1.165331391114E-3</v>
      </c>
    </row>
    <row r="91" spans="2:5" ht="15" customHeight="1">
      <c r="B91" s="107"/>
      <c r="C91" s="68" t="s">
        <v>148</v>
      </c>
      <c r="D91" s="69">
        <v>75</v>
      </c>
      <c r="E91" s="70">
        <v>1.0924981791697E-2</v>
      </c>
    </row>
    <row r="92" spans="2:5" ht="15" customHeight="1">
      <c r="B92" s="108"/>
      <c r="C92" s="36" t="s">
        <v>28</v>
      </c>
      <c r="D92" s="35">
        <v>131</v>
      </c>
      <c r="E92" s="34">
        <v>1.9082301529497001E-2</v>
      </c>
    </row>
    <row r="93" spans="2:5" ht="15" customHeight="1">
      <c r="B93" s="106" t="s">
        <v>79</v>
      </c>
      <c r="C93" s="68" t="s">
        <v>149</v>
      </c>
      <c r="D93" s="69">
        <v>14</v>
      </c>
      <c r="E93" s="70">
        <v>2.0393299344499999E-3</v>
      </c>
    </row>
    <row r="94" spans="2:5" ht="15" customHeight="1">
      <c r="B94" s="107"/>
      <c r="C94" s="68" t="s">
        <v>147</v>
      </c>
      <c r="D94" s="69">
        <v>2</v>
      </c>
      <c r="E94" s="70">
        <v>2.9133284777899999E-4</v>
      </c>
    </row>
    <row r="95" spans="2:5" ht="15" customHeight="1">
      <c r="B95" s="107"/>
      <c r="C95" s="68" t="s">
        <v>152</v>
      </c>
      <c r="D95" s="69">
        <v>1</v>
      </c>
      <c r="E95" s="70">
        <v>1.4566642388899999E-4</v>
      </c>
    </row>
    <row r="96" spans="2:5" ht="15" customHeight="1">
      <c r="B96" s="107"/>
      <c r="C96" s="68" t="s">
        <v>148</v>
      </c>
      <c r="D96" s="69">
        <v>21</v>
      </c>
      <c r="E96" s="70">
        <v>3.0589949016750001E-3</v>
      </c>
    </row>
    <row r="97" spans="2:5" ht="15" customHeight="1">
      <c r="B97" s="108"/>
      <c r="C97" s="36" t="s">
        <v>28</v>
      </c>
      <c r="D97" s="35">
        <v>38</v>
      </c>
      <c r="E97" s="34">
        <v>5.5353241077929997E-3</v>
      </c>
    </row>
    <row r="98" spans="2:5" ht="15" customHeight="1">
      <c r="B98" s="106" t="s">
        <v>69</v>
      </c>
      <c r="C98" s="68" t="s">
        <v>149</v>
      </c>
      <c r="D98" s="69">
        <v>17</v>
      </c>
      <c r="E98" s="70">
        <v>2.476329206118E-3</v>
      </c>
    </row>
    <row r="99" spans="2:5" ht="15" customHeight="1">
      <c r="B99" s="107"/>
      <c r="C99" s="68" t="s">
        <v>147</v>
      </c>
      <c r="D99" s="69">
        <v>8</v>
      </c>
      <c r="E99" s="70">
        <v>1.165331391114E-3</v>
      </c>
    </row>
    <row r="100" spans="2:5" ht="15" customHeight="1">
      <c r="B100" s="107"/>
      <c r="C100" s="68" t="s">
        <v>152</v>
      </c>
      <c r="D100" s="69">
        <v>2</v>
      </c>
      <c r="E100" s="70">
        <v>2.9133284777899999E-4</v>
      </c>
    </row>
    <row r="101" spans="2:5" ht="15" customHeight="1">
      <c r="B101" s="107"/>
      <c r="C101" s="68" t="s">
        <v>148</v>
      </c>
      <c r="D101" s="69">
        <v>43</v>
      </c>
      <c r="E101" s="70">
        <v>6.2636562272399996E-3</v>
      </c>
    </row>
    <row r="102" spans="2:5" ht="15" customHeight="1">
      <c r="B102" s="108"/>
      <c r="C102" s="36" t="s">
        <v>28</v>
      </c>
      <c r="D102" s="35">
        <v>70</v>
      </c>
      <c r="E102" s="34">
        <v>1.0196649672251E-2</v>
      </c>
    </row>
    <row r="103" spans="2:5" ht="15" customHeight="1">
      <c r="B103" s="106" t="s">
        <v>98</v>
      </c>
      <c r="C103" s="68" t="s">
        <v>147</v>
      </c>
      <c r="D103" s="69">
        <v>1</v>
      </c>
      <c r="E103" s="70">
        <v>1.4566642388899999E-4</v>
      </c>
    </row>
    <row r="104" spans="2:5" ht="15" customHeight="1">
      <c r="B104" s="108"/>
      <c r="C104" s="36" t="s">
        <v>28</v>
      </c>
      <c r="D104" s="35">
        <v>1</v>
      </c>
      <c r="E104" s="34">
        <v>1.4566642388899999E-4</v>
      </c>
    </row>
    <row r="105" spans="2:5" ht="15" customHeight="1">
      <c r="B105" s="106" t="s">
        <v>54</v>
      </c>
      <c r="C105" s="68" t="s">
        <v>149</v>
      </c>
      <c r="D105" s="69">
        <v>58</v>
      </c>
      <c r="E105" s="70">
        <v>8.4486525855789994E-3</v>
      </c>
    </row>
    <row r="106" spans="2:5" ht="15" customHeight="1">
      <c r="B106" s="107"/>
      <c r="C106" s="68" t="s">
        <v>154</v>
      </c>
      <c r="D106" s="69">
        <v>1</v>
      </c>
      <c r="E106" s="70">
        <v>1.4566642388899999E-4</v>
      </c>
    </row>
    <row r="107" spans="2:5" ht="15" customHeight="1">
      <c r="B107" s="107"/>
      <c r="C107" s="68" t="s">
        <v>147</v>
      </c>
      <c r="D107" s="69">
        <v>133</v>
      </c>
      <c r="E107" s="70">
        <v>1.9373634377275999E-2</v>
      </c>
    </row>
    <row r="108" spans="2:5" ht="15" customHeight="1">
      <c r="B108" s="107"/>
      <c r="C108" s="68" t="s">
        <v>150</v>
      </c>
      <c r="D108" s="69">
        <v>4</v>
      </c>
      <c r="E108" s="70">
        <v>5.8266569555700002E-4</v>
      </c>
    </row>
    <row r="109" spans="2:5" ht="15" customHeight="1">
      <c r="B109" s="107"/>
      <c r="C109" s="68" t="s">
        <v>151</v>
      </c>
      <c r="D109" s="69">
        <v>3</v>
      </c>
      <c r="E109" s="70">
        <v>4.3699927166799998E-4</v>
      </c>
    </row>
    <row r="110" spans="2:5" ht="15" customHeight="1">
      <c r="B110" s="107"/>
      <c r="C110" s="68" t="s">
        <v>152</v>
      </c>
      <c r="D110" s="69">
        <v>9</v>
      </c>
      <c r="E110" s="70">
        <v>1.310997815004E-3</v>
      </c>
    </row>
    <row r="111" spans="2:5" ht="15" customHeight="1">
      <c r="B111" s="107"/>
      <c r="C111" s="68" t="s">
        <v>148</v>
      </c>
      <c r="D111" s="69">
        <v>177</v>
      </c>
      <c r="E111" s="70">
        <v>2.5782957028404999E-2</v>
      </c>
    </row>
    <row r="112" spans="2:5" ht="15" customHeight="1">
      <c r="B112" s="108"/>
      <c r="C112" s="36" t="s">
        <v>28</v>
      </c>
      <c r="D112" s="35">
        <v>385</v>
      </c>
      <c r="E112" s="34">
        <v>5.6081573197377999E-2</v>
      </c>
    </row>
    <row r="113" spans="2:5" ht="15" customHeight="1">
      <c r="B113" s="106" t="s">
        <v>72</v>
      </c>
      <c r="C113" s="68" t="s">
        <v>149</v>
      </c>
      <c r="D113" s="69">
        <v>3</v>
      </c>
      <c r="E113" s="70">
        <v>4.3699927166799998E-4</v>
      </c>
    </row>
    <row r="114" spans="2:5" ht="15" customHeight="1">
      <c r="B114" s="107"/>
      <c r="C114" s="68" t="s">
        <v>147</v>
      </c>
      <c r="D114" s="69">
        <v>12</v>
      </c>
      <c r="E114" s="70">
        <v>1.7479970866719999E-3</v>
      </c>
    </row>
    <row r="115" spans="2:5" ht="15" customHeight="1">
      <c r="B115" s="107"/>
      <c r="C115" s="68" t="s">
        <v>151</v>
      </c>
      <c r="D115" s="69">
        <v>1</v>
      </c>
      <c r="E115" s="70">
        <v>1.4566642388899999E-4</v>
      </c>
    </row>
    <row r="116" spans="2:5" ht="15" customHeight="1">
      <c r="B116" s="107"/>
      <c r="C116" s="68" t="s">
        <v>152</v>
      </c>
      <c r="D116" s="69">
        <v>2</v>
      </c>
      <c r="E116" s="70">
        <v>2.9133284777899999E-4</v>
      </c>
    </row>
    <row r="117" spans="2:5" ht="15" customHeight="1">
      <c r="B117" s="107"/>
      <c r="C117" s="68" t="s">
        <v>148</v>
      </c>
      <c r="D117" s="69">
        <v>39</v>
      </c>
      <c r="E117" s="70">
        <v>5.680990531682E-3</v>
      </c>
    </row>
    <row r="118" spans="2:5" ht="15" customHeight="1">
      <c r="B118" s="108"/>
      <c r="C118" s="36" t="s">
        <v>28</v>
      </c>
      <c r="D118" s="35">
        <v>57</v>
      </c>
      <c r="E118" s="34">
        <v>8.30298616169E-3</v>
      </c>
    </row>
    <row r="119" spans="2:5" ht="15" customHeight="1">
      <c r="B119" s="106" t="s">
        <v>50</v>
      </c>
      <c r="C119" s="68" t="s">
        <v>149</v>
      </c>
      <c r="D119" s="69">
        <v>188</v>
      </c>
      <c r="E119" s="70">
        <v>2.7385287691187001E-2</v>
      </c>
    </row>
    <row r="120" spans="2:5" ht="15" customHeight="1">
      <c r="B120" s="107"/>
      <c r="C120" s="68" t="s">
        <v>147</v>
      </c>
      <c r="D120" s="69">
        <v>415</v>
      </c>
      <c r="E120" s="70">
        <v>6.0451565914057002E-2</v>
      </c>
    </row>
    <row r="121" spans="2:5" ht="15" customHeight="1">
      <c r="B121" s="107"/>
      <c r="C121" s="68" t="s">
        <v>151</v>
      </c>
      <c r="D121" s="69">
        <v>8</v>
      </c>
      <c r="E121" s="70">
        <v>1.165331391114E-3</v>
      </c>
    </row>
    <row r="122" spans="2:5" ht="15" customHeight="1">
      <c r="B122" s="107"/>
      <c r="C122" s="68" t="s">
        <v>153</v>
      </c>
      <c r="D122" s="69">
        <v>4</v>
      </c>
      <c r="E122" s="70">
        <v>5.8266569555700002E-4</v>
      </c>
    </row>
    <row r="123" spans="2:5" ht="15" customHeight="1">
      <c r="B123" s="107"/>
      <c r="C123" s="68" t="s">
        <v>152</v>
      </c>
      <c r="D123" s="69">
        <v>31</v>
      </c>
      <c r="E123" s="70">
        <v>4.5156591405679999E-3</v>
      </c>
    </row>
    <row r="124" spans="2:5" ht="15" customHeight="1">
      <c r="B124" s="107"/>
      <c r="C124" s="68" t="s">
        <v>148</v>
      </c>
      <c r="D124" s="69">
        <v>792</v>
      </c>
      <c r="E124" s="70">
        <v>0.11536780772032</v>
      </c>
    </row>
    <row r="125" spans="2:5" ht="15" customHeight="1">
      <c r="B125" s="108"/>
      <c r="C125" s="36" t="s">
        <v>28</v>
      </c>
      <c r="D125" s="35">
        <v>1438</v>
      </c>
      <c r="E125" s="34">
        <v>0.20946831755280401</v>
      </c>
    </row>
    <row r="126" spans="2:5" ht="15" customHeight="1">
      <c r="B126" s="106" t="s">
        <v>89</v>
      </c>
      <c r="C126" s="68" t="s">
        <v>149</v>
      </c>
      <c r="D126" s="69">
        <v>1</v>
      </c>
      <c r="E126" s="70">
        <v>1.4566642388899999E-4</v>
      </c>
    </row>
    <row r="127" spans="2:5" ht="15" customHeight="1">
      <c r="B127" s="107"/>
      <c r="C127" s="68" t="s">
        <v>147</v>
      </c>
      <c r="D127" s="69">
        <v>6</v>
      </c>
      <c r="E127" s="70">
        <v>8.7399854333599996E-4</v>
      </c>
    </row>
    <row r="128" spans="2:5" ht="15" customHeight="1">
      <c r="B128" s="107"/>
      <c r="C128" s="68" t="s">
        <v>148</v>
      </c>
      <c r="D128" s="69">
        <v>11</v>
      </c>
      <c r="E128" s="70">
        <v>1.602330662782E-3</v>
      </c>
    </row>
    <row r="129" spans="2:5" ht="15" customHeight="1">
      <c r="B129" s="108"/>
      <c r="C129" s="36" t="s">
        <v>28</v>
      </c>
      <c r="D129" s="35">
        <v>18</v>
      </c>
      <c r="E129" s="34">
        <v>2.6219956300069999E-3</v>
      </c>
    </row>
    <row r="130" spans="2:5" ht="15" customHeight="1">
      <c r="B130" s="106" t="s">
        <v>82</v>
      </c>
      <c r="C130" s="68" t="s">
        <v>149</v>
      </c>
      <c r="D130" s="69">
        <v>9</v>
      </c>
      <c r="E130" s="70">
        <v>1.310997815004E-3</v>
      </c>
    </row>
    <row r="131" spans="2:5" ht="15" customHeight="1">
      <c r="B131" s="107"/>
      <c r="C131" s="68" t="s">
        <v>147</v>
      </c>
      <c r="D131" s="69">
        <v>7</v>
      </c>
      <c r="E131" s="70">
        <v>1.0196649672249999E-3</v>
      </c>
    </row>
    <row r="132" spans="2:5" ht="15" customHeight="1">
      <c r="B132" s="107"/>
      <c r="C132" s="68" t="s">
        <v>153</v>
      </c>
      <c r="D132" s="69">
        <v>1</v>
      </c>
      <c r="E132" s="70">
        <v>1.4566642388899999E-4</v>
      </c>
    </row>
    <row r="133" spans="2:5" ht="15" customHeight="1">
      <c r="B133" s="107"/>
      <c r="C133" s="68" t="s">
        <v>152</v>
      </c>
      <c r="D133" s="69">
        <v>1</v>
      </c>
      <c r="E133" s="70">
        <v>1.4566642388899999E-4</v>
      </c>
    </row>
    <row r="134" spans="2:5" ht="15" customHeight="1">
      <c r="B134" s="107"/>
      <c r="C134" s="68" t="s">
        <v>148</v>
      </c>
      <c r="D134" s="69">
        <v>15</v>
      </c>
      <c r="E134" s="70">
        <v>2.1849963583390002E-3</v>
      </c>
    </row>
    <row r="135" spans="2:5" ht="15" customHeight="1">
      <c r="B135" s="108"/>
      <c r="C135" s="36" t="s">
        <v>28</v>
      </c>
      <c r="D135" s="35">
        <v>33</v>
      </c>
      <c r="E135" s="34">
        <v>4.8069919883469998E-3</v>
      </c>
    </row>
    <row r="136" spans="2:5" ht="15" customHeight="1">
      <c r="B136" s="106" t="s">
        <v>78</v>
      </c>
      <c r="C136" s="68" t="s">
        <v>149</v>
      </c>
      <c r="D136" s="69">
        <v>3</v>
      </c>
      <c r="E136" s="70">
        <v>4.3699927166799998E-4</v>
      </c>
    </row>
    <row r="137" spans="2:5" ht="15" customHeight="1">
      <c r="B137" s="107"/>
      <c r="C137" s="68" t="s">
        <v>147</v>
      </c>
      <c r="D137" s="69">
        <v>11</v>
      </c>
      <c r="E137" s="70">
        <v>1.602330662782E-3</v>
      </c>
    </row>
    <row r="138" spans="2:5" ht="15" customHeight="1">
      <c r="B138" s="107"/>
      <c r="C138" s="68" t="s">
        <v>152</v>
      </c>
      <c r="D138" s="69">
        <v>2</v>
      </c>
      <c r="E138" s="70">
        <v>2.9133284777899999E-4</v>
      </c>
    </row>
    <row r="139" spans="2:5" ht="15" customHeight="1">
      <c r="B139" s="107"/>
      <c r="C139" s="68" t="s">
        <v>148</v>
      </c>
      <c r="D139" s="69">
        <v>23</v>
      </c>
      <c r="E139" s="70">
        <v>3.3503277494539999E-3</v>
      </c>
    </row>
    <row r="140" spans="2:5" ht="15" customHeight="1">
      <c r="B140" s="108"/>
      <c r="C140" s="36" t="s">
        <v>28</v>
      </c>
      <c r="D140" s="35">
        <v>39</v>
      </c>
      <c r="E140" s="34">
        <v>5.680990531682E-3</v>
      </c>
    </row>
    <row r="141" spans="2:5" ht="15" customHeight="1">
      <c r="B141" s="106" t="s">
        <v>94</v>
      </c>
      <c r="C141" s="68" t="s">
        <v>149</v>
      </c>
      <c r="D141" s="69">
        <v>1</v>
      </c>
      <c r="E141" s="70">
        <v>1.4566642388899999E-4</v>
      </c>
    </row>
    <row r="142" spans="2:5" ht="15" customHeight="1">
      <c r="B142" s="107"/>
      <c r="C142" s="68" t="s">
        <v>147</v>
      </c>
      <c r="D142" s="69">
        <v>2</v>
      </c>
      <c r="E142" s="70">
        <v>2.9133284777899999E-4</v>
      </c>
    </row>
    <row r="143" spans="2:5" ht="15" customHeight="1">
      <c r="B143" s="107"/>
      <c r="C143" s="68" t="s">
        <v>148</v>
      </c>
      <c r="D143" s="69">
        <v>3</v>
      </c>
      <c r="E143" s="70">
        <v>4.3699927166799998E-4</v>
      </c>
    </row>
    <row r="144" spans="2:5" ht="15" customHeight="1">
      <c r="B144" s="108"/>
      <c r="C144" s="36" t="s">
        <v>28</v>
      </c>
      <c r="D144" s="35">
        <v>6</v>
      </c>
      <c r="E144" s="34">
        <v>8.7399854333599996E-4</v>
      </c>
    </row>
    <row r="145" spans="2:5" ht="15" customHeight="1">
      <c r="B145" s="106" t="s">
        <v>99</v>
      </c>
      <c r="C145" s="68" t="s">
        <v>149</v>
      </c>
      <c r="D145" s="69">
        <v>1</v>
      </c>
      <c r="E145" s="70">
        <v>1.4566642388899999E-4</v>
      </c>
    </row>
    <row r="146" spans="2:5" ht="15" customHeight="1">
      <c r="B146" s="108"/>
      <c r="C146" s="36" t="s">
        <v>28</v>
      </c>
      <c r="D146" s="35">
        <v>1</v>
      </c>
      <c r="E146" s="34">
        <v>1.4566642388899999E-4</v>
      </c>
    </row>
    <row r="147" spans="2:5" ht="15" customHeight="1">
      <c r="B147" s="106" t="s">
        <v>92</v>
      </c>
      <c r="C147" s="68" t="s">
        <v>149</v>
      </c>
      <c r="D147" s="69">
        <v>4</v>
      </c>
      <c r="E147" s="70">
        <v>5.8266569555700002E-4</v>
      </c>
    </row>
    <row r="148" spans="2:5" ht="15" customHeight="1">
      <c r="B148" s="107"/>
      <c r="C148" s="68" t="s">
        <v>147</v>
      </c>
      <c r="D148" s="69">
        <v>1</v>
      </c>
      <c r="E148" s="70">
        <v>1.4566642388899999E-4</v>
      </c>
    </row>
    <row r="149" spans="2:5" ht="15" customHeight="1">
      <c r="B149" s="107"/>
      <c r="C149" s="68" t="s">
        <v>148</v>
      </c>
      <c r="D149" s="69">
        <v>6</v>
      </c>
      <c r="E149" s="70">
        <v>8.7399854333599996E-4</v>
      </c>
    </row>
    <row r="150" spans="2:5" ht="15" customHeight="1">
      <c r="B150" s="108"/>
      <c r="C150" s="36" t="s">
        <v>28</v>
      </c>
      <c r="D150" s="35">
        <v>11</v>
      </c>
      <c r="E150" s="34">
        <v>1.602330662782E-3</v>
      </c>
    </row>
    <row r="151" spans="2:5" ht="15" customHeight="1">
      <c r="B151" s="106" t="s">
        <v>80</v>
      </c>
      <c r="C151" s="68" t="s">
        <v>149</v>
      </c>
      <c r="D151" s="69">
        <v>12</v>
      </c>
      <c r="E151" s="70">
        <v>1.7479970866719999E-3</v>
      </c>
    </row>
    <row r="152" spans="2:5" ht="15" customHeight="1">
      <c r="B152" s="107"/>
      <c r="C152" s="68" t="s">
        <v>147</v>
      </c>
      <c r="D152" s="69">
        <v>7</v>
      </c>
      <c r="E152" s="70">
        <v>1.0196649672249999E-3</v>
      </c>
    </row>
    <row r="153" spans="2:5" ht="15" customHeight="1">
      <c r="B153" s="107"/>
      <c r="C153" s="68" t="s">
        <v>148</v>
      </c>
      <c r="D153" s="69">
        <v>19</v>
      </c>
      <c r="E153" s="70">
        <v>2.7676620538969999E-3</v>
      </c>
    </row>
    <row r="154" spans="2:5" ht="15" customHeight="1">
      <c r="B154" s="108"/>
      <c r="C154" s="36" t="s">
        <v>28</v>
      </c>
      <c r="D154" s="35">
        <v>38</v>
      </c>
      <c r="E154" s="34">
        <v>5.5353241077929997E-3</v>
      </c>
    </row>
    <row r="155" spans="2:5" ht="15" customHeight="1">
      <c r="B155" s="106" t="s">
        <v>71</v>
      </c>
      <c r="C155" s="68" t="s">
        <v>149</v>
      </c>
      <c r="D155" s="69">
        <v>10</v>
      </c>
      <c r="E155" s="70">
        <v>1.4566642388930001E-3</v>
      </c>
    </row>
    <row r="156" spans="2:5" ht="15" customHeight="1">
      <c r="B156" s="107"/>
      <c r="C156" s="68" t="s">
        <v>147</v>
      </c>
      <c r="D156" s="69">
        <v>17</v>
      </c>
      <c r="E156" s="70">
        <v>2.476329206118E-3</v>
      </c>
    </row>
    <row r="157" spans="2:5" ht="15" customHeight="1">
      <c r="B157" s="107"/>
      <c r="C157" s="68" t="s">
        <v>148</v>
      </c>
      <c r="D157" s="69">
        <v>32</v>
      </c>
      <c r="E157" s="70">
        <v>4.6613255644570003E-3</v>
      </c>
    </row>
    <row r="158" spans="2:5" ht="15" customHeight="1">
      <c r="B158" s="108"/>
      <c r="C158" s="36" t="s">
        <v>28</v>
      </c>
      <c r="D158" s="35">
        <v>59</v>
      </c>
      <c r="E158" s="34">
        <v>8.5943190094680006E-3</v>
      </c>
    </row>
    <row r="159" spans="2:5" ht="15" customHeight="1">
      <c r="B159" s="106" t="s">
        <v>84</v>
      </c>
      <c r="C159" s="68" t="s">
        <v>149</v>
      </c>
      <c r="D159" s="69">
        <v>5</v>
      </c>
      <c r="E159" s="70">
        <v>7.2833211944600001E-4</v>
      </c>
    </row>
    <row r="160" spans="2:5" ht="15" customHeight="1">
      <c r="B160" s="107"/>
      <c r="C160" s="68" t="s">
        <v>147</v>
      </c>
      <c r="D160" s="69">
        <v>11</v>
      </c>
      <c r="E160" s="70">
        <v>1.602330662782E-3</v>
      </c>
    </row>
    <row r="161" spans="2:5" ht="15" customHeight="1">
      <c r="B161" s="107"/>
      <c r="C161" s="68" t="s">
        <v>152</v>
      </c>
      <c r="D161" s="69">
        <v>1</v>
      </c>
      <c r="E161" s="70">
        <v>1.4566642388899999E-4</v>
      </c>
    </row>
    <row r="162" spans="2:5" ht="15" customHeight="1">
      <c r="B162" s="107"/>
      <c r="C162" s="68" t="s">
        <v>148</v>
      </c>
      <c r="D162" s="69">
        <v>12</v>
      </c>
      <c r="E162" s="70">
        <v>1.7479970866719999E-3</v>
      </c>
    </row>
    <row r="163" spans="2:5" ht="15" customHeight="1">
      <c r="B163" s="108"/>
      <c r="C163" s="36" t="s">
        <v>28</v>
      </c>
      <c r="D163" s="35">
        <v>29</v>
      </c>
      <c r="E163" s="34">
        <v>4.2243262927900002E-3</v>
      </c>
    </row>
    <row r="164" spans="2:5" ht="15" customHeight="1">
      <c r="B164" s="106" t="s">
        <v>75</v>
      </c>
      <c r="C164" s="68" t="s">
        <v>149</v>
      </c>
      <c r="D164" s="69">
        <v>14</v>
      </c>
      <c r="E164" s="70">
        <v>2.0393299344499999E-3</v>
      </c>
    </row>
    <row r="165" spans="2:5" ht="15" customHeight="1">
      <c r="B165" s="107"/>
      <c r="C165" s="68" t="s">
        <v>147</v>
      </c>
      <c r="D165" s="69">
        <v>6</v>
      </c>
      <c r="E165" s="70">
        <v>8.7399854333599996E-4</v>
      </c>
    </row>
    <row r="166" spans="2:5" ht="15" customHeight="1">
      <c r="B166" s="107"/>
      <c r="C166" s="68" t="s">
        <v>153</v>
      </c>
      <c r="D166" s="69">
        <v>3</v>
      </c>
      <c r="E166" s="70">
        <v>4.3699927166799998E-4</v>
      </c>
    </row>
    <row r="167" spans="2:5" ht="15" customHeight="1">
      <c r="B167" s="107"/>
      <c r="C167" s="68" t="s">
        <v>148</v>
      </c>
      <c r="D167" s="69">
        <v>19</v>
      </c>
      <c r="E167" s="70">
        <v>2.7676620538969999E-3</v>
      </c>
    </row>
    <row r="168" spans="2:5" ht="15" customHeight="1">
      <c r="B168" s="108"/>
      <c r="C168" s="36" t="s">
        <v>28</v>
      </c>
      <c r="D168" s="35">
        <v>42</v>
      </c>
      <c r="E168" s="34">
        <v>6.1179898033500001E-3</v>
      </c>
    </row>
    <row r="169" spans="2:5" ht="15" customHeight="1">
      <c r="B169" s="106" t="s">
        <v>61</v>
      </c>
      <c r="C169" s="68" t="s">
        <v>149</v>
      </c>
      <c r="D169" s="69">
        <v>93</v>
      </c>
      <c r="E169" s="70">
        <v>1.3546977421704E-2</v>
      </c>
    </row>
    <row r="170" spans="2:5" ht="15" customHeight="1">
      <c r="B170" s="107"/>
      <c r="C170" s="68" t="s">
        <v>147</v>
      </c>
      <c r="D170" s="69">
        <v>20</v>
      </c>
      <c r="E170" s="70">
        <v>2.9133284777860002E-3</v>
      </c>
    </row>
    <row r="171" spans="2:5" ht="15" customHeight="1">
      <c r="B171" s="107"/>
      <c r="C171" s="68" t="s">
        <v>153</v>
      </c>
      <c r="D171" s="69">
        <v>2</v>
      </c>
      <c r="E171" s="70">
        <v>2.9133284777899999E-4</v>
      </c>
    </row>
    <row r="172" spans="2:5" ht="15" customHeight="1">
      <c r="B172" s="107"/>
      <c r="C172" s="68" t="s">
        <v>152</v>
      </c>
      <c r="D172" s="69">
        <v>3</v>
      </c>
      <c r="E172" s="70">
        <v>4.3699927166799998E-4</v>
      </c>
    </row>
    <row r="173" spans="2:5" ht="15" customHeight="1">
      <c r="B173" s="107"/>
      <c r="C173" s="68" t="s">
        <v>148</v>
      </c>
      <c r="D173" s="69">
        <v>54</v>
      </c>
      <c r="E173" s="70">
        <v>7.8659868900220007E-3</v>
      </c>
    </row>
    <row r="174" spans="2:5" ht="15" customHeight="1">
      <c r="B174" s="108"/>
      <c r="C174" s="36" t="s">
        <v>28</v>
      </c>
      <c r="D174" s="35">
        <v>172</v>
      </c>
      <c r="E174" s="34">
        <v>2.5054624908958E-2</v>
      </c>
    </row>
    <row r="175" spans="2:5" ht="15" customHeight="1">
      <c r="B175" s="106" t="s">
        <v>58</v>
      </c>
      <c r="C175" s="68" t="s">
        <v>149</v>
      </c>
      <c r="D175" s="69">
        <v>17</v>
      </c>
      <c r="E175" s="70">
        <v>2.476329206118E-3</v>
      </c>
    </row>
    <row r="176" spans="2:5" ht="15" customHeight="1">
      <c r="B176" s="107"/>
      <c r="C176" s="68" t="s">
        <v>147</v>
      </c>
      <c r="D176" s="69">
        <v>126</v>
      </c>
      <c r="E176" s="70">
        <v>1.8353969410051001E-2</v>
      </c>
    </row>
    <row r="177" spans="2:5" ht="15" customHeight="1">
      <c r="B177" s="107"/>
      <c r="C177" s="68" t="s">
        <v>151</v>
      </c>
      <c r="D177" s="69">
        <v>2</v>
      </c>
      <c r="E177" s="70">
        <v>2.9133284777899999E-4</v>
      </c>
    </row>
    <row r="178" spans="2:5" ht="15" customHeight="1">
      <c r="B178" s="107"/>
      <c r="C178" s="68" t="s">
        <v>152</v>
      </c>
      <c r="D178" s="69">
        <v>4</v>
      </c>
      <c r="E178" s="70">
        <v>5.8266569555700002E-4</v>
      </c>
    </row>
    <row r="179" spans="2:5" ht="15" customHeight="1">
      <c r="B179" s="107"/>
      <c r="C179" s="68" t="s">
        <v>148</v>
      </c>
      <c r="D179" s="69">
        <v>79</v>
      </c>
      <c r="E179" s="70">
        <v>1.1507647487254E-2</v>
      </c>
    </row>
    <row r="180" spans="2:5" ht="15" customHeight="1">
      <c r="B180" s="108"/>
      <c r="C180" s="36" t="s">
        <v>28</v>
      </c>
      <c r="D180" s="35">
        <v>228</v>
      </c>
      <c r="E180" s="34">
        <v>3.3211944646759001E-2</v>
      </c>
    </row>
    <row r="181" spans="2:5" ht="15" customHeight="1">
      <c r="B181" s="106" t="s">
        <v>73</v>
      </c>
      <c r="C181" s="68" t="s">
        <v>149</v>
      </c>
      <c r="D181" s="69">
        <v>14</v>
      </c>
      <c r="E181" s="70">
        <v>2.0393299344499999E-3</v>
      </c>
    </row>
    <row r="182" spans="2:5" ht="15" customHeight="1">
      <c r="B182" s="107"/>
      <c r="C182" s="68" t="s">
        <v>147</v>
      </c>
      <c r="D182" s="69">
        <v>19</v>
      </c>
      <c r="E182" s="70">
        <v>2.7676620538969999E-3</v>
      </c>
    </row>
    <row r="183" spans="2:5" ht="15" customHeight="1">
      <c r="B183" s="107"/>
      <c r="C183" s="68" t="s">
        <v>148</v>
      </c>
      <c r="D183" s="69">
        <v>20</v>
      </c>
      <c r="E183" s="70">
        <v>2.9133284777860002E-3</v>
      </c>
    </row>
    <row r="184" spans="2:5" ht="15" customHeight="1">
      <c r="B184" s="108"/>
      <c r="C184" s="36" t="s">
        <v>28</v>
      </c>
      <c r="D184" s="35">
        <v>53</v>
      </c>
      <c r="E184" s="34">
        <v>7.7203204661330004E-3</v>
      </c>
    </row>
    <row r="185" spans="2:5" ht="15" customHeight="1">
      <c r="B185" s="106" t="s">
        <v>95</v>
      </c>
      <c r="C185" s="68" t="s">
        <v>147</v>
      </c>
      <c r="D185" s="69">
        <v>2</v>
      </c>
      <c r="E185" s="70">
        <v>2.9133284777899999E-4</v>
      </c>
    </row>
    <row r="186" spans="2:5" ht="15" customHeight="1">
      <c r="B186" s="107"/>
      <c r="C186" s="68" t="s">
        <v>148</v>
      </c>
      <c r="D186" s="69">
        <v>4</v>
      </c>
      <c r="E186" s="70">
        <v>5.8266569555700002E-4</v>
      </c>
    </row>
    <row r="187" spans="2:5" ht="15" customHeight="1">
      <c r="B187" s="108"/>
      <c r="C187" s="36" t="s">
        <v>28</v>
      </c>
      <c r="D187" s="35">
        <v>6</v>
      </c>
      <c r="E187" s="34">
        <v>8.7399854333599996E-4</v>
      </c>
    </row>
    <row r="188" spans="2:5" ht="15" customHeight="1">
      <c r="B188" s="106" t="s">
        <v>68</v>
      </c>
      <c r="C188" s="68" t="s">
        <v>149</v>
      </c>
      <c r="D188" s="69">
        <v>14</v>
      </c>
      <c r="E188" s="70">
        <v>2.0393299344499999E-3</v>
      </c>
    </row>
    <row r="189" spans="2:5" ht="15" customHeight="1">
      <c r="B189" s="107"/>
      <c r="C189" s="68" t="s">
        <v>147</v>
      </c>
      <c r="D189" s="69">
        <v>13</v>
      </c>
      <c r="E189" s="70">
        <v>1.893663510561E-3</v>
      </c>
    </row>
    <row r="190" spans="2:5" ht="15" customHeight="1">
      <c r="B190" s="107"/>
      <c r="C190" s="68" t="s">
        <v>153</v>
      </c>
      <c r="D190" s="69">
        <v>1</v>
      </c>
      <c r="E190" s="70">
        <v>1.4566642388899999E-4</v>
      </c>
    </row>
    <row r="191" spans="2:5" ht="15" customHeight="1">
      <c r="B191" s="107"/>
      <c r="C191" s="68" t="s">
        <v>152</v>
      </c>
      <c r="D191" s="69">
        <v>2</v>
      </c>
      <c r="E191" s="70">
        <v>2.9133284777899999E-4</v>
      </c>
    </row>
    <row r="192" spans="2:5" ht="15" customHeight="1">
      <c r="B192" s="107"/>
      <c r="C192" s="68" t="s">
        <v>148</v>
      </c>
      <c r="D192" s="69">
        <v>47</v>
      </c>
      <c r="E192" s="70">
        <v>6.8463219227970001E-3</v>
      </c>
    </row>
    <row r="193" spans="2:5" ht="15" customHeight="1">
      <c r="B193" s="108"/>
      <c r="C193" s="36" t="s">
        <v>28</v>
      </c>
      <c r="D193" s="35">
        <v>77</v>
      </c>
      <c r="E193" s="34">
        <v>1.1216314639476E-2</v>
      </c>
    </row>
    <row r="194" spans="2:5" ht="15" customHeight="1">
      <c r="B194" s="106" t="s">
        <v>59</v>
      </c>
      <c r="C194" s="68" t="s">
        <v>149</v>
      </c>
      <c r="D194" s="69">
        <v>34</v>
      </c>
      <c r="E194" s="70">
        <v>4.9526584122360001E-3</v>
      </c>
    </row>
    <row r="195" spans="2:5" ht="15" customHeight="1">
      <c r="B195" s="107"/>
      <c r="C195" s="68" t="s">
        <v>147</v>
      </c>
      <c r="D195" s="69">
        <v>61</v>
      </c>
      <c r="E195" s="70">
        <v>8.8856518572470004E-3</v>
      </c>
    </row>
    <row r="196" spans="2:5" ht="15" customHeight="1">
      <c r="B196" s="107"/>
      <c r="C196" s="68" t="s">
        <v>151</v>
      </c>
      <c r="D196" s="69">
        <v>1</v>
      </c>
      <c r="E196" s="70">
        <v>1.4566642388899999E-4</v>
      </c>
    </row>
    <row r="197" spans="2:5" ht="15" customHeight="1">
      <c r="B197" s="107"/>
      <c r="C197" s="68" t="s">
        <v>152</v>
      </c>
      <c r="D197" s="69">
        <v>7</v>
      </c>
      <c r="E197" s="70">
        <v>1.0196649672249999E-3</v>
      </c>
    </row>
    <row r="198" spans="2:5" ht="15" customHeight="1">
      <c r="B198" s="107"/>
      <c r="C198" s="68" t="s">
        <v>148</v>
      </c>
      <c r="D198" s="69">
        <v>93</v>
      </c>
      <c r="E198" s="70">
        <v>1.3546977421704E-2</v>
      </c>
    </row>
    <row r="199" spans="2:5" ht="15" customHeight="1">
      <c r="B199" s="108"/>
      <c r="C199" s="36" t="s">
        <v>28</v>
      </c>
      <c r="D199" s="35">
        <v>196</v>
      </c>
      <c r="E199" s="34">
        <v>2.8550619082302001E-2</v>
      </c>
    </row>
    <row r="200" spans="2:5" ht="15" customHeight="1">
      <c r="B200" s="106" t="s">
        <v>76</v>
      </c>
      <c r="C200" s="68" t="s">
        <v>149</v>
      </c>
      <c r="D200" s="69">
        <v>5</v>
      </c>
      <c r="E200" s="70">
        <v>7.2833211944600001E-4</v>
      </c>
    </row>
    <row r="201" spans="2:5" ht="15" customHeight="1">
      <c r="B201" s="107"/>
      <c r="C201" s="68" t="s">
        <v>147</v>
      </c>
      <c r="D201" s="69">
        <v>5</v>
      </c>
      <c r="E201" s="70">
        <v>7.2833211944600001E-4</v>
      </c>
    </row>
    <row r="202" spans="2:5" ht="15" customHeight="1">
      <c r="B202" s="107"/>
      <c r="C202" s="68" t="s">
        <v>151</v>
      </c>
      <c r="D202" s="69">
        <v>1</v>
      </c>
      <c r="E202" s="70">
        <v>1.4566642388899999E-4</v>
      </c>
    </row>
    <row r="203" spans="2:5" ht="15" customHeight="1">
      <c r="B203" s="107"/>
      <c r="C203" s="68" t="s">
        <v>148</v>
      </c>
      <c r="D203" s="69">
        <v>29</v>
      </c>
      <c r="E203" s="70">
        <v>4.2243262927900002E-3</v>
      </c>
    </row>
    <row r="204" spans="2:5" ht="15" customHeight="1">
      <c r="B204" s="108"/>
      <c r="C204" s="36" t="s">
        <v>28</v>
      </c>
      <c r="D204" s="35">
        <v>40</v>
      </c>
      <c r="E204" s="34">
        <v>5.8266569555720004E-3</v>
      </c>
    </row>
    <row r="205" spans="2:5" ht="15" customHeight="1">
      <c r="B205" s="106" t="s">
        <v>66</v>
      </c>
      <c r="C205" s="68" t="s">
        <v>149</v>
      </c>
      <c r="D205" s="69">
        <v>8</v>
      </c>
      <c r="E205" s="70">
        <v>1.165331391114E-3</v>
      </c>
    </row>
    <row r="206" spans="2:5" ht="15" customHeight="1">
      <c r="B206" s="107"/>
      <c r="C206" s="68" t="s">
        <v>147</v>
      </c>
      <c r="D206" s="69">
        <v>23</v>
      </c>
      <c r="E206" s="70">
        <v>3.3503277494539999E-3</v>
      </c>
    </row>
    <row r="207" spans="2:5" ht="15" customHeight="1">
      <c r="B207" s="107"/>
      <c r="C207" s="68" t="s">
        <v>152</v>
      </c>
      <c r="D207" s="69">
        <v>3</v>
      </c>
      <c r="E207" s="70">
        <v>4.3699927166799998E-4</v>
      </c>
    </row>
    <row r="208" spans="2:5" ht="15" customHeight="1">
      <c r="B208" s="107"/>
      <c r="C208" s="68" t="s">
        <v>148</v>
      </c>
      <c r="D208" s="69">
        <v>48</v>
      </c>
      <c r="E208" s="70">
        <v>6.9919883466860004E-3</v>
      </c>
    </row>
    <row r="209" spans="2:5" ht="15" customHeight="1">
      <c r="B209" s="108"/>
      <c r="C209" s="36" t="s">
        <v>28</v>
      </c>
      <c r="D209" s="35">
        <v>82</v>
      </c>
      <c r="E209" s="34">
        <v>1.1944646758922E-2</v>
      </c>
    </row>
    <row r="210" spans="2:5" ht="15" customHeight="1">
      <c r="B210" s="106" t="s">
        <v>90</v>
      </c>
      <c r="C210" s="68" t="s">
        <v>149</v>
      </c>
      <c r="D210" s="69">
        <v>1</v>
      </c>
      <c r="E210" s="70">
        <v>1.4566642388899999E-4</v>
      </c>
    </row>
    <row r="211" spans="2:5" ht="15" customHeight="1">
      <c r="B211" s="107"/>
      <c r="C211" s="68" t="s">
        <v>147</v>
      </c>
      <c r="D211" s="69">
        <v>4</v>
      </c>
      <c r="E211" s="70">
        <v>5.8266569555700002E-4</v>
      </c>
    </row>
    <row r="212" spans="2:5" ht="15" customHeight="1">
      <c r="B212" s="107"/>
      <c r="C212" s="68" t="s">
        <v>148</v>
      </c>
      <c r="D212" s="69">
        <v>10</v>
      </c>
      <c r="E212" s="70">
        <v>1.4566642388930001E-3</v>
      </c>
    </row>
    <row r="213" spans="2:5" ht="15" customHeight="1">
      <c r="B213" s="108"/>
      <c r="C213" s="36" t="s">
        <v>28</v>
      </c>
      <c r="D213" s="35">
        <v>15</v>
      </c>
      <c r="E213" s="34">
        <v>2.1849963583390002E-3</v>
      </c>
    </row>
    <row r="214" spans="2:5" ht="15" customHeight="1">
      <c r="B214" s="106" t="s">
        <v>51</v>
      </c>
      <c r="C214" s="68" t="s">
        <v>149</v>
      </c>
      <c r="D214" s="69">
        <v>78</v>
      </c>
      <c r="E214" s="70">
        <v>1.1361981063364999E-2</v>
      </c>
    </row>
    <row r="215" spans="2:5" ht="15" customHeight="1">
      <c r="B215" s="107"/>
      <c r="C215" s="68" t="s">
        <v>147</v>
      </c>
      <c r="D215" s="69">
        <v>334</v>
      </c>
      <c r="E215" s="70">
        <v>4.8652585579024001E-2</v>
      </c>
    </row>
    <row r="216" spans="2:5" ht="15" customHeight="1">
      <c r="B216" s="107"/>
      <c r="C216" s="68" t="s">
        <v>150</v>
      </c>
      <c r="D216" s="69">
        <v>1</v>
      </c>
      <c r="E216" s="70">
        <v>1.4566642388899999E-4</v>
      </c>
    </row>
    <row r="217" spans="2:5" ht="15" customHeight="1">
      <c r="B217" s="107"/>
      <c r="C217" s="68" t="s">
        <v>151</v>
      </c>
      <c r="D217" s="69">
        <v>6</v>
      </c>
      <c r="E217" s="70">
        <v>8.7399854333599996E-4</v>
      </c>
    </row>
    <row r="218" spans="2:5" ht="15" customHeight="1">
      <c r="B218" s="107"/>
      <c r="C218" s="68" t="s">
        <v>153</v>
      </c>
      <c r="D218" s="69">
        <v>1</v>
      </c>
      <c r="E218" s="70">
        <v>1.4566642388899999E-4</v>
      </c>
    </row>
    <row r="219" spans="2:5" ht="15" customHeight="1">
      <c r="B219" s="107"/>
      <c r="C219" s="68" t="s">
        <v>152</v>
      </c>
      <c r="D219" s="69">
        <v>11</v>
      </c>
      <c r="E219" s="70">
        <v>1.602330662782E-3</v>
      </c>
    </row>
    <row r="220" spans="2:5" ht="15" customHeight="1">
      <c r="B220" s="107"/>
      <c r="C220" s="68" t="s">
        <v>148</v>
      </c>
      <c r="D220" s="69">
        <v>279</v>
      </c>
      <c r="E220" s="70">
        <v>4.0640932265112999E-2</v>
      </c>
    </row>
    <row r="221" spans="2:5" ht="15" customHeight="1">
      <c r="B221" s="108"/>
      <c r="C221" s="36" t="s">
        <v>28</v>
      </c>
      <c r="D221" s="35">
        <v>710</v>
      </c>
      <c r="E221" s="34">
        <v>0.103423160961398</v>
      </c>
    </row>
    <row r="222" spans="2:5" ht="15" customHeight="1">
      <c r="B222" s="106" t="s">
        <v>52</v>
      </c>
      <c r="C222" s="68" t="s">
        <v>149</v>
      </c>
      <c r="D222" s="69">
        <v>68</v>
      </c>
      <c r="E222" s="70">
        <v>9.9053168244720002E-3</v>
      </c>
    </row>
    <row r="223" spans="2:5" ht="15" customHeight="1">
      <c r="B223" s="107"/>
      <c r="C223" s="68" t="s">
        <v>147</v>
      </c>
      <c r="D223" s="69">
        <v>47</v>
      </c>
      <c r="E223" s="70">
        <v>6.8463219227970001E-3</v>
      </c>
    </row>
    <row r="224" spans="2:5" ht="15" customHeight="1">
      <c r="B224" s="107"/>
      <c r="C224" s="68" t="s">
        <v>150</v>
      </c>
      <c r="D224" s="69">
        <v>1</v>
      </c>
      <c r="E224" s="70">
        <v>1.4566642388899999E-4</v>
      </c>
    </row>
    <row r="225" spans="2:5" ht="15" customHeight="1">
      <c r="B225" s="107"/>
      <c r="C225" s="68" t="s">
        <v>151</v>
      </c>
      <c r="D225" s="69">
        <v>4</v>
      </c>
      <c r="E225" s="70">
        <v>5.8266569555700002E-4</v>
      </c>
    </row>
    <row r="226" spans="2:5" ht="15" customHeight="1">
      <c r="B226" s="107"/>
      <c r="C226" s="68" t="s">
        <v>153</v>
      </c>
      <c r="D226" s="69">
        <v>1</v>
      </c>
      <c r="E226" s="70">
        <v>1.4566642388899999E-4</v>
      </c>
    </row>
    <row r="227" spans="2:5" ht="15" customHeight="1">
      <c r="B227" s="107"/>
      <c r="C227" s="68" t="s">
        <v>152</v>
      </c>
      <c r="D227" s="69">
        <v>31</v>
      </c>
      <c r="E227" s="70">
        <v>4.5156591405679999E-3</v>
      </c>
    </row>
    <row r="228" spans="2:5" ht="15" customHeight="1">
      <c r="B228" s="107"/>
      <c r="C228" s="68" t="s">
        <v>148</v>
      </c>
      <c r="D228" s="69">
        <v>458</v>
      </c>
      <c r="E228" s="70">
        <v>6.6715222141295993E-2</v>
      </c>
    </row>
    <row r="229" spans="2:5" ht="15" customHeight="1">
      <c r="B229" s="108"/>
      <c r="C229" s="36" t="s">
        <v>28</v>
      </c>
      <c r="D229" s="35">
        <v>610</v>
      </c>
      <c r="E229" s="34">
        <v>8.8856518572468998E-2</v>
      </c>
    </row>
    <row r="230" spans="2:5" ht="15" customHeight="1">
      <c r="B230" s="106" t="s">
        <v>64</v>
      </c>
      <c r="C230" s="68" t="s">
        <v>149</v>
      </c>
      <c r="D230" s="69">
        <v>19</v>
      </c>
      <c r="E230" s="70">
        <v>2.7676620538969999E-3</v>
      </c>
    </row>
    <row r="231" spans="2:5" ht="15" customHeight="1">
      <c r="B231" s="107"/>
      <c r="C231" s="68" t="s">
        <v>147</v>
      </c>
      <c r="D231" s="69">
        <v>20</v>
      </c>
      <c r="E231" s="70">
        <v>2.9133284777860002E-3</v>
      </c>
    </row>
    <row r="232" spans="2:5" ht="15" customHeight="1">
      <c r="B232" s="107"/>
      <c r="C232" s="68" t="s">
        <v>151</v>
      </c>
      <c r="D232" s="69">
        <v>1</v>
      </c>
      <c r="E232" s="70">
        <v>1.4566642388899999E-4</v>
      </c>
    </row>
    <row r="233" spans="2:5" ht="15" customHeight="1">
      <c r="B233" s="107"/>
      <c r="C233" s="68" t="s">
        <v>152</v>
      </c>
      <c r="D233" s="69">
        <v>4</v>
      </c>
      <c r="E233" s="70">
        <v>5.8266569555700002E-4</v>
      </c>
    </row>
    <row r="234" spans="2:5" ht="15" customHeight="1">
      <c r="B234" s="107"/>
      <c r="C234" s="68" t="s">
        <v>148</v>
      </c>
      <c r="D234" s="69">
        <v>47</v>
      </c>
      <c r="E234" s="70">
        <v>6.8463219227970001E-3</v>
      </c>
    </row>
    <row r="235" spans="2:5" ht="15" customHeight="1">
      <c r="B235" s="108"/>
      <c r="C235" s="36" t="s">
        <v>28</v>
      </c>
      <c r="D235" s="35">
        <v>91</v>
      </c>
      <c r="E235" s="34">
        <v>1.3255644573925999E-2</v>
      </c>
    </row>
    <row r="236" spans="2:5" ht="15" customHeight="1">
      <c r="B236" s="106" t="s">
        <v>60</v>
      </c>
      <c r="C236" s="68" t="s">
        <v>149</v>
      </c>
      <c r="D236" s="69">
        <v>47</v>
      </c>
      <c r="E236" s="70">
        <v>6.8463219227970001E-3</v>
      </c>
    </row>
    <row r="237" spans="2:5" ht="15" customHeight="1">
      <c r="B237" s="107"/>
      <c r="C237" s="68" t="s">
        <v>147</v>
      </c>
      <c r="D237" s="69">
        <v>55</v>
      </c>
      <c r="E237" s="70">
        <v>8.0116533139110001E-3</v>
      </c>
    </row>
    <row r="238" spans="2:5" ht="15" customHeight="1">
      <c r="B238" s="107"/>
      <c r="C238" s="68" t="s">
        <v>153</v>
      </c>
      <c r="D238" s="69">
        <v>1</v>
      </c>
      <c r="E238" s="70">
        <v>1.4566642388899999E-4</v>
      </c>
    </row>
    <row r="239" spans="2:5" ht="15" customHeight="1">
      <c r="B239" s="107"/>
      <c r="C239" s="68" t="s">
        <v>152</v>
      </c>
      <c r="D239" s="69">
        <v>2</v>
      </c>
      <c r="E239" s="70">
        <v>2.9133284777899999E-4</v>
      </c>
    </row>
    <row r="240" spans="2:5" ht="15" customHeight="1">
      <c r="B240" s="107"/>
      <c r="C240" s="68" t="s">
        <v>148</v>
      </c>
      <c r="D240" s="69">
        <v>84</v>
      </c>
      <c r="E240" s="70">
        <v>1.2235979606700999E-2</v>
      </c>
    </row>
    <row r="241" spans="2:5" ht="15" customHeight="1">
      <c r="B241" s="108"/>
      <c r="C241" s="36" t="s">
        <v>28</v>
      </c>
      <c r="D241" s="35">
        <v>189</v>
      </c>
      <c r="E241" s="34">
        <v>2.7530954115076001E-2</v>
      </c>
    </row>
    <row r="242" spans="2:5" ht="15" customHeight="1">
      <c r="B242" s="106" t="s">
        <v>55</v>
      </c>
      <c r="C242" s="68" t="s">
        <v>149</v>
      </c>
      <c r="D242" s="69">
        <v>40</v>
      </c>
      <c r="E242" s="70">
        <v>5.8266569555720004E-3</v>
      </c>
    </row>
    <row r="243" spans="2:5" ht="15" customHeight="1">
      <c r="B243" s="107"/>
      <c r="C243" s="68" t="s">
        <v>147</v>
      </c>
      <c r="D243" s="69">
        <v>53</v>
      </c>
      <c r="E243" s="70">
        <v>7.7203204661330004E-3</v>
      </c>
    </row>
    <row r="244" spans="2:5" ht="15" customHeight="1">
      <c r="B244" s="107"/>
      <c r="C244" s="68" t="s">
        <v>150</v>
      </c>
      <c r="D244" s="69">
        <v>1</v>
      </c>
      <c r="E244" s="70">
        <v>1.4566642388899999E-4</v>
      </c>
    </row>
    <row r="245" spans="2:5" ht="15" customHeight="1">
      <c r="B245" s="107"/>
      <c r="C245" s="68" t="s">
        <v>151</v>
      </c>
      <c r="D245" s="69">
        <v>4</v>
      </c>
      <c r="E245" s="70">
        <v>5.8266569555700002E-4</v>
      </c>
    </row>
    <row r="246" spans="2:5" ht="15" customHeight="1">
      <c r="B246" s="107"/>
      <c r="C246" s="68" t="s">
        <v>153</v>
      </c>
      <c r="D246" s="69">
        <v>1</v>
      </c>
      <c r="E246" s="70">
        <v>1.4566642388899999E-4</v>
      </c>
    </row>
    <row r="247" spans="2:5" ht="15" customHeight="1">
      <c r="B247" s="107"/>
      <c r="C247" s="68" t="s">
        <v>152</v>
      </c>
      <c r="D247" s="69">
        <v>8</v>
      </c>
      <c r="E247" s="70">
        <v>1.165331391114E-3</v>
      </c>
    </row>
    <row r="248" spans="2:5" ht="15" customHeight="1">
      <c r="B248" s="107"/>
      <c r="C248" s="68" t="s">
        <v>148</v>
      </c>
      <c r="D248" s="69">
        <v>219</v>
      </c>
      <c r="E248" s="70">
        <v>3.1900946831754998E-2</v>
      </c>
    </row>
    <row r="249" spans="2:5" ht="15" customHeight="1">
      <c r="B249" s="108"/>
      <c r="C249" s="36" t="s">
        <v>28</v>
      </c>
      <c r="D249" s="35">
        <v>326</v>
      </c>
      <c r="E249" s="34">
        <v>4.748725418791E-2</v>
      </c>
    </row>
    <row r="250" spans="2:5" ht="15" customHeight="1">
      <c r="B250" s="106" t="s">
        <v>77</v>
      </c>
      <c r="C250" s="68" t="s">
        <v>149</v>
      </c>
      <c r="D250" s="69">
        <v>11</v>
      </c>
      <c r="E250" s="70">
        <v>1.602330662782E-3</v>
      </c>
    </row>
    <row r="251" spans="2:5" ht="15" customHeight="1">
      <c r="B251" s="107"/>
      <c r="C251" s="68" t="s">
        <v>147</v>
      </c>
      <c r="D251" s="69">
        <v>8</v>
      </c>
      <c r="E251" s="70">
        <v>1.165331391114E-3</v>
      </c>
    </row>
    <row r="252" spans="2:5" ht="15" customHeight="1">
      <c r="B252" s="107"/>
      <c r="C252" s="68" t="s">
        <v>151</v>
      </c>
      <c r="D252" s="69">
        <v>2</v>
      </c>
      <c r="E252" s="70">
        <v>2.9133284777899999E-4</v>
      </c>
    </row>
    <row r="253" spans="2:5" ht="15" customHeight="1">
      <c r="B253" s="107"/>
      <c r="C253" s="68" t="s">
        <v>153</v>
      </c>
      <c r="D253" s="69">
        <v>1</v>
      </c>
      <c r="E253" s="70">
        <v>1.4566642388899999E-4</v>
      </c>
    </row>
    <row r="254" spans="2:5" ht="15" customHeight="1">
      <c r="B254" s="107"/>
      <c r="C254" s="68" t="s">
        <v>152</v>
      </c>
      <c r="D254" s="69">
        <v>2</v>
      </c>
      <c r="E254" s="70">
        <v>2.9133284777899999E-4</v>
      </c>
    </row>
    <row r="255" spans="2:5" ht="15" customHeight="1">
      <c r="B255" s="107"/>
      <c r="C255" s="68" t="s">
        <v>148</v>
      </c>
      <c r="D255" s="69">
        <v>16</v>
      </c>
      <c r="E255" s="70">
        <v>2.3306627822290002E-3</v>
      </c>
    </row>
    <row r="256" spans="2:5" ht="15" customHeight="1">
      <c r="B256" s="108"/>
      <c r="C256" s="36" t="s">
        <v>28</v>
      </c>
      <c r="D256" s="35">
        <v>40</v>
      </c>
      <c r="E256" s="34">
        <v>5.8266569555720004E-3</v>
      </c>
    </row>
    <row r="257" spans="2:5" ht="15" customHeight="1">
      <c r="B257" s="106" t="s">
        <v>85</v>
      </c>
      <c r="C257" s="68" t="s">
        <v>149</v>
      </c>
      <c r="D257" s="69">
        <v>4</v>
      </c>
      <c r="E257" s="70">
        <v>5.8266569555700002E-4</v>
      </c>
    </row>
    <row r="258" spans="2:5" ht="15" customHeight="1">
      <c r="B258" s="107"/>
      <c r="C258" s="68" t="s">
        <v>147</v>
      </c>
      <c r="D258" s="69">
        <v>8</v>
      </c>
      <c r="E258" s="70">
        <v>1.165331391114E-3</v>
      </c>
    </row>
    <row r="259" spans="2:5" ht="15" customHeight="1">
      <c r="B259" s="107"/>
      <c r="C259" s="68" t="s">
        <v>151</v>
      </c>
      <c r="D259" s="69">
        <v>2</v>
      </c>
      <c r="E259" s="70">
        <v>2.9133284777899999E-4</v>
      </c>
    </row>
    <row r="260" spans="2:5" ht="15" customHeight="1">
      <c r="B260" s="107"/>
      <c r="C260" s="68" t="s">
        <v>152</v>
      </c>
      <c r="D260" s="69">
        <v>1</v>
      </c>
      <c r="E260" s="70">
        <v>1.4566642388899999E-4</v>
      </c>
    </row>
    <row r="261" spans="2:5" ht="15" customHeight="1">
      <c r="B261" s="107"/>
      <c r="C261" s="68" t="s">
        <v>148</v>
      </c>
      <c r="D261" s="69">
        <v>13</v>
      </c>
      <c r="E261" s="70">
        <v>1.893663510561E-3</v>
      </c>
    </row>
    <row r="262" spans="2:5" ht="15" customHeight="1">
      <c r="B262" s="108"/>
      <c r="C262" s="36" t="s">
        <v>28</v>
      </c>
      <c r="D262" s="35">
        <v>28</v>
      </c>
      <c r="E262" s="34">
        <v>4.0786598688999998E-3</v>
      </c>
    </row>
    <row r="263" spans="2:5" ht="15" customHeight="1">
      <c r="B263" s="106" t="s">
        <v>91</v>
      </c>
      <c r="C263" s="68" t="s">
        <v>149</v>
      </c>
      <c r="D263" s="69">
        <v>2</v>
      </c>
      <c r="E263" s="70">
        <v>2.9133284777899999E-4</v>
      </c>
    </row>
    <row r="264" spans="2:5" ht="15" customHeight="1">
      <c r="B264" s="107"/>
      <c r="C264" s="68" t="s">
        <v>147</v>
      </c>
      <c r="D264" s="69">
        <v>3</v>
      </c>
      <c r="E264" s="70">
        <v>4.3699927166799998E-4</v>
      </c>
    </row>
    <row r="265" spans="2:5" ht="15" customHeight="1">
      <c r="B265" s="107"/>
      <c r="C265" s="68" t="s">
        <v>151</v>
      </c>
      <c r="D265" s="69">
        <v>1</v>
      </c>
      <c r="E265" s="70">
        <v>1.4566642388899999E-4</v>
      </c>
    </row>
    <row r="266" spans="2:5" ht="15" customHeight="1">
      <c r="B266" s="107"/>
      <c r="C266" s="68" t="s">
        <v>153</v>
      </c>
      <c r="D266" s="69">
        <v>1</v>
      </c>
      <c r="E266" s="70">
        <v>1.4566642388899999E-4</v>
      </c>
    </row>
    <row r="267" spans="2:5" ht="15" customHeight="1">
      <c r="B267" s="107"/>
      <c r="C267" s="68" t="s">
        <v>148</v>
      </c>
      <c r="D267" s="69">
        <v>8</v>
      </c>
      <c r="E267" s="70">
        <v>1.165331391114E-3</v>
      </c>
    </row>
    <row r="268" spans="2:5" ht="15" customHeight="1">
      <c r="B268" s="108"/>
      <c r="C268" s="36" t="s">
        <v>28</v>
      </c>
      <c r="D268" s="35">
        <v>15</v>
      </c>
      <c r="E268" s="34">
        <v>2.1849963583390002E-3</v>
      </c>
    </row>
    <row r="269" spans="2:5" ht="15" customHeight="1">
      <c r="B269" s="106" t="s">
        <v>65</v>
      </c>
      <c r="C269" s="68" t="s">
        <v>149</v>
      </c>
      <c r="D269" s="69">
        <v>1</v>
      </c>
      <c r="E269" s="70">
        <v>1.4566642388899999E-4</v>
      </c>
    </row>
    <row r="270" spans="2:5" ht="15" customHeight="1">
      <c r="B270" s="107"/>
      <c r="C270" s="68" t="s">
        <v>147</v>
      </c>
      <c r="D270" s="69">
        <v>80</v>
      </c>
      <c r="E270" s="70">
        <v>1.1653313911143E-2</v>
      </c>
    </row>
    <row r="271" spans="2:5" ht="15" customHeight="1">
      <c r="B271" s="107"/>
      <c r="C271" s="68" t="s">
        <v>150</v>
      </c>
      <c r="D271" s="69">
        <v>3</v>
      </c>
      <c r="E271" s="70">
        <v>4.3699927166799998E-4</v>
      </c>
    </row>
    <row r="272" spans="2:5" ht="15" customHeight="1">
      <c r="B272" s="107"/>
      <c r="C272" s="68" t="s">
        <v>148</v>
      </c>
      <c r="D272" s="69">
        <v>5</v>
      </c>
      <c r="E272" s="70">
        <v>7.2833211944600001E-4</v>
      </c>
    </row>
    <row r="273" spans="2:5" ht="15" customHeight="1">
      <c r="B273" s="108"/>
      <c r="C273" s="36" t="s">
        <v>28</v>
      </c>
      <c r="D273" s="35">
        <v>89</v>
      </c>
      <c r="E273" s="34">
        <v>1.2964311726146999E-2</v>
      </c>
    </row>
    <row r="274" spans="2:5" ht="15" customHeight="1">
      <c r="B274" s="109" t="s">
        <v>28</v>
      </c>
      <c r="C274" s="110"/>
      <c r="D274" s="63">
        <v>6865</v>
      </c>
      <c r="E274" s="64">
        <v>1</v>
      </c>
    </row>
    <row r="276" spans="2:5" ht="15" customHeight="1">
      <c r="B276" s="15" t="s">
        <v>47</v>
      </c>
    </row>
    <row r="277" spans="2:5" ht="15" customHeight="1">
      <c r="B277" s="17" t="s">
        <v>17</v>
      </c>
    </row>
    <row r="278" spans="2:5" ht="15" customHeight="1">
      <c r="B278" s="16" t="s">
        <v>48</v>
      </c>
    </row>
    <row r="279" spans="2:5" ht="15" customHeight="1">
      <c r="B279" s="15" t="s">
        <v>16</v>
      </c>
    </row>
    <row r="280" spans="2:5" ht="15" customHeight="1">
      <c r="B280" s="15" t="s">
        <v>49</v>
      </c>
    </row>
  </sheetData>
  <mergeCells count="52">
    <mergeCell ref="B269:B273"/>
    <mergeCell ref="B274:C274"/>
    <mergeCell ref="B236:B241"/>
    <mergeCell ref="B242:B249"/>
    <mergeCell ref="B250:B256"/>
    <mergeCell ref="B257:B262"/>
    <mergeCell ref="B263:B268"/>
    <mergeCell ref="B7:E9"/>
    <mergeCell ref="B11:B15"/>
    <mergeCell ref="B16:B20"/>
    <mergeCell ref="B21:B25"/>
    <mergeCell ref="B26:B30"/>
    <mergeCell ref="B31:B33"/>
    <mergeCell ref="B34:B37"/>
    <mergeCell ref="B38:B42"/>
    <mergeCell ref="B43:B49"/>
    <mergeCell ref="B50:B56"/>
    <mergeCell ref="B57:B62"/>
    <mergeCell ref="B63:B67"/>
    <mergeCell ref="B93:B97"/>
    <mergeCell ref="B98:B102"/>
    <mergeCell ref="B103:B104"/>
    <mergeCell ref="B68:B69"/>
    <mergeCell ref="B70:B73"/>
    <mergeCell ref="B74:B79"/>
    <mergeCell ref="B80:B86"/>
    <mergeCell ref="B87:B92"/>
    <mergeCell ref="B105:B112"/>
    <mergeCell ref="B113:B118"/>
    <mergeCell ref="B119:B125"/>
    <mergeCell ref="B126:B129"/>
    <mergeCell ref="B130:B135"/>
    <mergeCell ref="B136:B140"/>
    <mergeCell ref="B159:B163"/>
    <mergeCell ref="B164:B168"/>
    <mergeCell ref="B194:B199"/>
    <mergeCell ref="B200:B204"/>
    <mergeCell ref="B141:B144"/>
    <mergeCell ref="B145:B146"/>
    <mergeCell ref="B147:B150"/>
    <mergeCell ref="B151:B154"/>
    <mergeCell ref="B155:B158"/>
    <mergeCell ref="B169:B174"/>
    <mergeCell ref="B175:B180"/>
    <mergeCell ref="B181:B184"/>
    <mergeCell ref="B185:B187"/>
    <mergeCell ref="B188:B193"/>
    <mergeCell ref="B205:B209"/>
    <mergeCell ref="B210:B213"/>
    <mergeCell ref="B214:B221"/>
    <mergeCell ref="B222:B229"/>
    <mergeCell ref="B230:B23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D74"/>
  <sheetViews>
    <sheetView showGridLines="0" view="pageBreakPreview" zoomScale="115" zoomScaleNormal="116" zoomScaleSheetLayoutView="115" workbookViewId="0">
      <selection activeCell="F11" sqref="F11"/>
    </sheetView>
  </sheetViews>
  <sheetFormatPr baseColWidth="10" defaultColWidth="11.42578125" defaultRowHeight="15"/>
  <cols>
    <col min="1" max="1" width="9.28515625" style="13" customWidth="1"/>
    <col min="2" max="2" width="33.855468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101" t="s">
        <v>37</v>
      </c>
      <c r="C7" s="101"/>
      <c r="D7" s="101"/>
    </row>
    <row r="8" spans="2:4" s="25" customFormat="1" ht="15" customHeight="1">
      <c r="B8" s="101"/>
      <c r="C8" s="101"/>
      <c r="D8" s="101"/>
    </row>
    <row r="9" spans="2:4" s="25" customFormat="1" ht="33" customHeight="1">
      <c r="B9" s="101"/>
      <c r="C9" s="101"/>
      <c r="D9" s="101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26</v>
      </c>
      <c r="C11" s="27" t="s">
        <v>25</v>
      </c>
      <c r="D11" s="26" t="s">
        <v>18</v>
      </c>
    </row>
    <row r="12" spans="2:4" ht="15" customHeight="1">
      <c r="B12" s="23" t="s">
        <v>155</v>
      </c>
      <c r="C12" s="22">
        <v>55</v>
      </c>
      <c r="D12" s="21">
        <v>8.0116533139110001E-3</v>
      </c>
    </row>
    <row r="13" spans="2:4" ht="15" customHeight="1">
      <c r="B13" s="23" t="s">
        <v>156</v>
      </c>
      <c r="C13" s="22">
        <v>10</v>
      </c>
      <c r="D13" s="21">
        <v>1.4566642388930001E-3</v>
      </c>
    </row>
    <row r="14" spans="2:4" ht="15" customHeight="1">
      <c r="B14" s="23" t="s">
        <v>157</v>
      </c>
      <c r="C14" s="22">
        <v>25</v>
      </c>
      <c r="D14" s="21">
        <v>3.6416605972320001E-3</v>
      </c>
    </row>
    <row r="15" spans="2:4" ht="15" customHeight="1">
      <c r="B15" s="23" t="s">
        <v>158</v>
      </c>
      <c r="C15" s="22">
        <v>54</v>
      </c>
      <c r="D15" s="21">
        <v>7.8659868900220007E-3</v>
      </c>
    </row>
    <row r="16" spans="2:4" ht="15" customHeight="1">
      <c r="B16" s="23" t="s">
        <v>159</v>
      </c>
      <c r="C16" s="22">
        <v>37</v>
      </c>
      <c r="D16" s="21">
        <v>5.3896576839040002E-3</v>
      </c>
    </row>
    <row r="17" spans="2:4" ht="15" customHeight="1">
      <c r="B17" s="23" t="s">
        <v>160</v>
      </c>
      <c r="C17" s="22">
        <v>59</v>
      </c>
      <c r="D17" s="21">
        <v>8.5943190094680006E-3</v>
      </c>
    </row>
    <row r="18" spans="2:4" ht="15" customHeight="1">
      <c r="B18" s="23" t="s">
        <v>161</v>
      </c>
      <c r="C18" s="22">
        <v>331</v>
      </c>
      <c r="D18" s="21">
        <v>4.8215586307356E-2</v>
      </c>
    </row>
    <row r="19" spans="2:4" ht="15" customHeight="1">
      <c r="B19" s="23" t="s">
        <v>162</v>
      </c>
      <c r="C19" s="22">
        <v>431</v>
      </c>
      <c r="D19" s="21">
        <v>6.2782228696285997E-2</v>
      </c>
    </row>
    <row r="20" spans="2:4" ht="15" customHeight="1">
      <c r="B20" s="23" t="s">
        <v>163</v>
      </c>
      <c r="C20" s="22">
        <v>86</v>
      </c>
      <c r="D20" s="21">
        <v>1.2527312454479E-2</v>
      </c>
    </row>
    <row r="21" spans="2:4" ht="15" customHeight="1">
      <c r="B21" s="23" t="s">
        <v>164</v>
      </c>
      <c r="C21" s="22">
        <v>157</v>
      </c>
      <c r="D21" s="21">
        <v>2.2869628550619001E-2</v>
      </c>
    </row>
    <row r="22" spans="2:4" ht="15" customHeight="1">
      <c r="B22" s="23" t="s">
        <v>165</v>
      </c>
      <c r="C22" s="22">
        <v>264</v>
      </c>
      <c r="D22" s="21">
        <v>3.8455935906773001E-2</v>
      </c>
    </row>
    <row r="23" spans="2:4" ht="15" customHeight="1">
      <c r="B23" s="23" t="s">
        <v>166</v>
      </c>
      <c r="C23" s="22">
        <v>1499</v>
      </c>
      <c r="D23" s="21">
        <v>0.218353969410051</v>
      </c>
    </row>
    <row r="24" spans="2:4" ht="15" customHeight="1">
      <c r="B24" s="23" t="s">
        <v>167</v>
      </c>
      <c r="C24" s="22">
        <v>131</v>
      </c>
      <c r="D24" s="21">
        <v>1.9082301529497001E-2</v>
      </c>
    </row>
    <row r="25" spans="2:4" ht="15" customHeight="1">
      <c r="B25" s="23" t="s">
        <v>168</v>
      </c>
      <c r="C25" s="22">
        <v>689</v>
      </c>
      <c r="D25" s="21">
        <v>0.100364166059723</v>
      </c>
    </row>
    <row r="26" spans="2:4" ht="15" customHeight="1">
      <c r="B26" s="23" t="s">
        <v>169</v>
      </c>
      <c r="C26" s="22">
        <v>2174</v>
      </c>
      <c r="D26" s="21">
        <v>0.31667880553532401</v>
      </c>
    </row>
    <row r="27" spans="2:4" ht="15" customHeight="1">
      <c r="B27" s="23" t="s">
        <v>170</v>
      </c>
      <c r="C27" s="22">
        <v>68</v>
      </c>
      <c r="D27" s="21">
        <v>9.9053168244720002E-3</v>
      </c>
    </row>
    <row r="28" spans="2:4" ht="15" customHeight="1">
      <c r="B28" s="23" t="s">
        <v>171</v>
      </c>
      <c r="C28" s="22">
        <v>49</v>
      </c>
      <c r="D28" s="21">
        <v>7.1376547705749999E-3</v>
      </c>
    </row>
    <row r="29" spans="2:4" ht="15" customHeight="1">
      <c r="B29" s="23" t="s">
        <v>172</v>
      </c>
      <c r="C29" s="22">
        <v>24</v>
      </c>
      <c r="D29" s="21">
        <v>3.4959941733430002E-3</v>
      </c>
    </row>
    <row r="30" spans="2:4" ht="15" customHeight="1">
      <c r="B30" s="23" t="s">
        <v>173</v>
      </c>
      <c r="C30" s="22">
        <v>18</v>
      </c>
      <c r="D30" s="21">
        <v>2.6219956300069999E-3</v>
      </c>
    </row>
    <row r="31" spans="2:4" ht="15" customHeight="1">
      <c r="B31" s="23" t="s">
        <v>174</v>
      </c>
      <c r="C31" s="22">
        <v>182</v>
      </c>
      <c r="D31" s="21">
        <v>2.6511289147850999E-2</v>
      </c>
    </row>
    <row r="32" spans="2:4" ht="15" customHeight="1">
      <c r="B32" s="23" t="s">
        <v>175</v>
      </c>
      <c r="C32" s="22">
        <v>471</v>
      </c>
      <c r="D32" s="21">
        <v>6.8608885651856993E-2</v>
      </c>
    </row>
    <row r="33" spans="1:4" ht="15" customHeight="1">
      <c r="B33" s="23" t="s">
        <v>176</v>
      </c>
      <c r="C33" s="22">
        <v>7</v>
      </c>
      <c r="D33" s="21">
        <v>1.0196649672249999E-3</v>
      </c>
    </row>
    <row r="34" spans="1:4" ht="15" customHeight="1">
      <c r="B34" s="23" t="s">
        <v>177</v>
      </c>
      <c r="C34" s="22">
        <v>37</v>
      </c>
      <c r="D34" s="21">
        <v>5.3896576839040002E-3</v>
      </c>
    </row>
    <row r="35" spans="1:4" ht="15" customHeight="1">
      <c r="B35" s="23" t="s">
        <v>178</v>
      </c>
      <c r="C35" s="22">
        <v>7</v>
      </c>
      <c r="D35" s="21">
        <v>1.0196649672249999E-3</v>
      </c>
    </row>
    <row r="36" spans="1:4" ht="15" customHeight="1">
      <c r="B36" s="20" t="s">
        <v>28</v>
      </c>
      <c r="C36" s="19">
        <v>6865</v>
      </c>
      <c r="D36" s="18">
        <v>1</v>
      </c>
    </row>
    <row r="38" spans="1:4">
      <c r="A38" s="49"/>
      <c r="B38" s="15" t="s">
        <v>47</v>
      </c>
    </row>
    <row r="39" spans="1:4">
      <c r="A39" s="49"/>
      <c r="B39" s="17" t="s">
        <v>17</v>
      </c>
    </row>
    <row r="40" spans="1:4">
      <c r="A40" s="49"/>
      <c r="B40" s="16" t="s">
        <v>48</v>
      </c>
    </row>
    <row r="41" spans="1:4">
      <c r="A41" s="49"/>
      <c r="B41" s="15" t="s">
        <v>16</v>
      </c>
    </row>
    <row r="42" spans="1:4">
      <c r="A42" s="49"/>
      <c r="B42" s="15" t="s">
        <v>49</v>
      </c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447"/>
  <sheetViews>
    <sheetView showGridLines="0" view="pageBreakPreview" zoomScale="85" zoomScaleNormal="100" zoomScaleSheetLayoutView="85" workbookViewId="0">
      <selection activeCell="B443" sqref="B443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0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4" customFormat="1" ht="12" customHeight="1">
      <c r="B1" s="46"/>
      <c r="C1" s="40"/>
      <c r="D1" s="40"/>
      <c r="E1" s="40"/>
    </row>
    <row r="2" spans="1:5" s="44" customFormat="1" ht="15" customHeight="1">
      <c r="C2" s="48"/>
    </row>
    <row r="3" spans="1:5" s="44" customFormat="1" ht="15" customHeight="1">
      <c r="C3" s="48"/>
    </row>
    <row r="4" spans="1:5" s="44" customFormat="1" ht="30" customHeight="1">
      <c r="C4" s="48"/>
      <c r="D4" s="47"/>
    </row>
    <row r="5" spans="1:5" s="44" customFormat="1" ht="15" customHeight="1">
      <c r="C5" s="48"/>
      <c r="D5" s="47"/>
    </row>
    <row r="6" spans="1:5" s="44" customFormat="1" ht="24" customHeight="1">
      <c r="B6" s="46"/>
      <c r="C6" s="40"/>
      <c r="D6" s="40"/>
      <c r="E6" s="40"/>
    </row>
    <row r="7" spans="1:5" s="44" customFormat="1" ht="26.25" customHeight="1">
      <c r="A7" s="45"/>
      <c r="B7" s="105"/>
      <c r="C7" s="105"/>
      <c r="D7" s="105"/>
      <c r="E7" s="105"/>
    </row>
    <row r="8" spans="1:5" s="44" customFormat="1" ht="33" customHeight="1">
      <c r="A8" s="45"/>
      <c r="B8" s="105"/>
      <c r="C8" s="105"/>
      <c r="D8" s="105"/>
      <c r="E8" s="105"/>
    </row>
    <row r="9" spans="1:5" s="25" customFormat="1" ht="40.5" customHeight="1">
      <c r="B9" s="41" t="s">
        <v>27</v>
      </c>
      <c r="C9" s="43" t="s">
        <v>24</v>
      </c>
      <c r="D9" s="42" t="s">
        <v>19</v>
      </c>
      <c r="E9" s="41" t="s">
        <v>18</v>
      </c>
    </row>
    <row r="10" spans="1:5" ht="15" customHeight="1">
      <c r="B10" s="106" t="s">
        <v>155</v>
      </c>
      <c r="C10" s="68" t="s">
        <v>102</v>
      </c>
      <c r="D10" s="69">
        <v>3</v>
      </c>
      <c r="E10" s="70">
        <v>4.3699927166799998E-4</v>
      </c>
    </row>
    <row r="11" spans="1:5" ht="15" customHeight="1">
      <c r="B11" s="107"/>
      <c r="C11" s="68" t="s">
        <v>103</v>
      </c>
      <c r="D11" s="69">
        <v>1</v>
      </c>
      <c r="E11" s="70">
        <v>1.4566642388899999E-4</v>
      </c>
    </row>
    <row r="12" spans="1:5" ht="15" customHeight="1">
      <c r="B12" s="107"/>
      <c r="C12" s="68" t="s">
        <v>104</v>
      </c>
      <c r="D12" s="69">
        <v>41</v>
      </c>
      <c r="E12" s="70">
        <v>5.9723233794609998E-3</v>
      </c>
    </row>
    <row r="13" spans="1:5" ht="15" customHeight="1">
      <c r="B13" s="107"/>
      <c r="C13" s="68" t="s">
        <v>109</v>
      </c>
      <c r="D13" s="69">
        <v>2</v>
      </c>
      <c r="E13" s="70">
        <v>2.9133284777899999E-4</v>
      </c>
    </row>
    <row r="14" spans="1:5" ht="15" customHeight="1">
      <c r="B14" s="107"/>
      <c r="C14" s="68" t="s">
        <v>110</v>
      </c>
      <c r="D14" s="69">
        <v>2</v>
      </c>
      <c r="E14" s="70">
        <v>2.9133284777899999E-4</v>
      </c>
    </row>
    <row r="15" spans="1:5" ht="15" customHeight="1">
      <c r="B15" s="107"/>
      <c r="C15" s="68" t="s">
        <v>114</v>
      </c>
      <c r="D15" s="69">
        <v>1</v>
      </c>
      <c r="E15" s="70">
        <v>1.4566642388899999E-4</v>
      </c>
    </row>
    <row r="16" spans="1:5" ht="15" customHeight="1">
      <c r="B16" s="107"/>
      <c r="C16" s="68" t="s">
        <v>126</v>
      </c>
      <c r="D16" s="69">
        <v>2</v>
      </c>
      <c r="E16" s="70">
        <v>2.9133284777899999E-4</v>
      </c>
    </row>
    <row r="17" spans="2:5" ht="15" customHeight="1">
      <c r="B17" s="107"/>
      <c r="C17" s="68" t="s">
        <v>128</v>
      </c>
      <c r="D17" s="69">
        <v>1</v>
      </c>
      <c r="E17" s="70">
        <v>1.4566642388899999E-4</v>
      </c>
    </row>
    <row r="18" spans="2:5" ht="15" customHeight="1">
      <c r="B18" s="107"/>
      <c r="C18" s="68" t="s">
        <v>139</v>
      </c>
      <c r="D18" s="69">
        <v>2</v>
      </c>
      <c r="E18" s="70">
        <v>2.9133284777899999E-4</v>
      </c>
    </row>
    <row r="19" spans="2:5" ht="15" customHeight="1">
      <c r="B19" s="108"/>
      <c r="C19" s="36" t="s">
        <v>28</v>
      </c>
      <c r="D19" s="35">
        <v>55</v>
      </c>
      <c r="E19" s="34">
        <v>8.0116533139110001E-3</v>
      </c>
    </row>
    <row r="20" spans="2:5" ht="15" customHeight="1">
      <c r="B20" s="106" t="s">
        <v>156</v>
      </c>
      <c r="C20" s="68" t="s">
        <v>104</v>
      </c>
      <c r="D20" s="69">
        <v>8</v>
      </c>
      <c r="E20" s="70">
        <v>1.165331391114E-3</v>
      </c>
    </row>
    <row r="21" spans="2:5" ht="15" customHeight="1">
      <c r="B21" s="107"/>
      <c r="C21" s="68" t="s">
        <v>126</v>
      </c>
      <c r="D21" s="69">
        <v>1</v>
      </c>
      <c r="E21" s="70">
        <v>1.4566642388899999E-4</v>
      </c>
    </row>
    <row r="22" spans="2:5" ht="15" customHeight="1">
      <c r="B22" s="107"/>
      <c r="C22" s="68" t="s">
        <v>140</v>
      </c>
      <c r="D22" s="69">
        <v>1</v>
      </c>
      <c r="E22" s="70">
        <v>1.4566642388899999E-4</v>
      </c>
    </row>
    <row r="23" spans="2:5" ht="15" customHeight="1">
      <c r="B23" s="108"/>
      <c r="C23" s="36" t="s">
        <v>28</v>
      </c>
      <c r="D23" s="35">
        <v>10</v>
      </c>
      <c r="E23" s="34">
        <v>1.4566642388930001E-3</v>
      </c>
    </row>
    <row r="24" spans="2:5" ht="15" customHeight="1">
      <c r="B24" s="106" t="s">
        <v>157</v>
      </c>
      <c r="C24" s="68" t="s">
        <v>102</v>
      </c>
      <c r="D24" s="69">
        <v>1</v>
      </c>
      <c r="E24" s="70">
        <v>1.4566642388899999E-4</v>
      </c>
    </row>
    <row r="25" spans="2:5" ht="15" customHeight="1">
      <c r="B25" s="107"/>
      <c r="C25" s="68" t="s">
        <v>104</v>
      </c>
      <c r="D25" s="69">
        <v>13</v>
      </c>
      <c r="E25" s="70">
        <v>1.893663510561E-3</v>
      </c>
    </row>
    <row r="26" spans="2:5" ht="15" customHeight="1">
      <c r="B26" s="107"/>
      <c r="C26" s="68" t="s">
        <v>109</v>
      </c>
      <c r="D26" s="69">
        <v>3</v>
      </c>
      <c r="E26" s="70">
        <v>4.3699927166799998E-4</v>
      </c>
    </row>
    <row r="27" spans="2:5" ht="15" customHeight="1">
      <c r="B27" s="107"/>
      <c r="C27" s="68" t="s">
        <v>126</v>
      </c>
      <c r="D27" s="69">
        <v>1</v>
      </c>
      <c r="E27" s="70">
        <v>1.4566642388899999E-4</v>
      </c>
    </row>
    <row r="28" spans="2:5" ht="15" customHeight="1">
      <c r="B28" s="107"/>
      <c r="C28" s="68" t="s">
        <v>130</v>
      </c>
      <c r="D28" s="69">
        <v>1</v>
      </c>
      <c r="E28" s="70">
        <v>1.4566642388899999E-4</v>
      </c>
    </row>
    <row r="29" spans="2:5" ht="15" customHeight="1">
      <c r="B29" s="107"/>
      <c r="C29" s="68" t="s">
        <v>139</v>
      </c>
      <c r="D29" s="69">
        <v>2</v>
      </c>
      <c r="E29" s="70">
        <v>2.9133284777899999E-4</v>
      </c>
    </row>
    <row r="30" spans="2:5" ht="15" customHeight="1">
      <c r="B30" s="107"/>
      <c r="C30" s="68" t="s">
        <v>140</v>
      </c>
      <c r="D30" s="69">
        <v>1</v>
      </c>
      <c r="E30" s="70">
        <v>1.4566642388899999E-4</v>
      </c>
    </row>
    <row r="31" spans="2:5" ht="15" customHeight="1">
      <c r="B31" s="107"/>
      <c r="C31" s="68" t="s">
        <v>141</v>
      </c>
      <c r="D31" s="69">
        <v>1</v>
      </c>
      <c r="E31" s="70">
        <v>1.4566642388899999E-4</v>
      </c>
    </row>
    <row r="32" spans="2:5" ht="15" customHeight="1">
      <c r="B32" s="107"/>
      <c r="C32" s="68" t="s">
        <v>91</v>
      </c>
      <c r="D32" s="69">
        <v>2</v>
      </c>
      <c r="E32" s="70">
        <v>2.9133284777899999E-4</v>
      </c>
    </row>
    <row r="33" spans="2:5" ht="15" customHeight="1">
      <c r="B33" s="108"/>
      <c r="C33" s="36" t="s">
        <v>28</v>
      </c>
      <c r="D33" s="35">
        <v>25</v>
      </c>
      <c r="E33" s="34">
        <v>3.6416605972320001E-3</v>
      </c>
    </row>
    <row r="34" spans="2:5" ht="15" customHeight="1">
      <c r="B34" s="106" t="s">
        <v>158</v>
      </c>
      <c r="C34" s="68" t="s">
        <v>102</v>
      </c>
      <c r="D34" s="69">
        <v>1</v>
      </c>
      <c r="E34" s="70">
        <v>1.4566642388899999E-4</v>
      </c>
    </row>
    <row r="35" spans="2:5" ht="15" customHeight="1">
      <c r="B35" s="107"/>
      <c r="C35" s="68" t="s">
        <v>104</v>
      </c>
      <c r="D35" s="69">
        <v>40</v>
      </c>
      <c r="E35" s="70">
        <v>5.8266569555720004E-3</v>
      </c>
    </row>
    <row r="36" spans="2:5" ht="15" customHeight="1">
      <c r="B36" s="107"/>
      <c r="C36" s="68" t="s">
        <v>109</v>
      </c>
      <c r="D36" s="69">
        <v>3</v>
      </c>
      <c r="E36" s="70">
        <v>4.3699927166799998E-4</v>
      </c>
    </row>
    <row r="37" spans="2:5" ht="15" customHeight="1">
      <c r="B37" s="107"/>
      <c r="C37" s="68" t="s">
        <v>112</v>
      </c>
      <c r="D37" s="69">
        <v>1</v>
      </c>
      <c r="E37" s="70">
        <v>1.4566642388899999E-4</v>
      </c>
    </row>
    <row r="38" spans="2:5" ht="15" customHeight="1">
      <c r="B38" s="107"/>
      <c r="C38" s="68" t="s">
        <v>113</v>
      </c>
      <c r="D38" s="69">
        <v>1</v>
      </c>
      <c r="E38" s="70">
        <v>1.4566642388899999E-4</v>
      </c>
    </row>
    <row r="39" spans="2:5" ht="15" customHeight="1">
      <c r="B39" s="107"/>
      <c r="C39" s="68" t="s">
        <v>122</v>
      </c>
      <c r="D39" s="69">
        <v>1</v>
      </c>
      <c r="E39" s="70">
        <v>1.4566642388899999E-4</v>
      </c>
    </row>
    <row r="40" spans="2:5" ht="15" customHeight="1">
      <c r="B40" s="107"/>
      <c r="C40" s="68" t="s">
        <v>124</v>
      </c>
      <c r="D40" s="69">
        <v>1</v>
      </c>
      <c r="E40" s="70">
        <v>1.4566642388899999E-4</v>
      </c>
    </row>
    <row r="41" spans="2:5" ht="15" customHeight="1">
      <c r="B41" s="107"/>
      <c r="C41" s="68" t="s">
        <v>126</v>
      </c>
      <c r="D41" s="69">
        <v>1</v>
      </c>
      <c r="E41" s="70">
        <v>1.4566642388899999E-4</v>
      </c>
    </row>
    <row r="42" spans="2:5" ht="15" customHeight="1">
      <c r="B42" s="107"/>
      <c r="C42" s="68" t="s">
        <v>134</v>
      </c>
      <c r="D42" s="69">
        <v>1</v>
      </c>
      <c r="E42" s="70">
        <v>1.4566642388899999E-4</v>
      </c>
    </row>
    <row r="43" spans="2:5" ht="15" customHeight="1">
      <c r="B43" s="107"/>
      <c r="C43" s="68" t="s">
        <v>139</v>
      </c>
      <c r="D43" s="69">
        <v>2</v>
      </c>
      <c r="E43" s="70">
        <v>2.9133284777899999E-4</v>
      </c>
    </row>
    <row r="44" spans="2:5" ht="15" customHeight="1">
      <c r="B44" s="107"/>
      <c r="C44" s="68" t="s">
        <v>140</v>
      </c>
      <c r="D44" s="69">
        <v>1</v>
      </c>
      <c r="E44" s="70">
        <v>1.4566642388899999E-4</v>
      </c>
    </row>
    <row r="45" spans="2:5" ht="15" customHeight="1">
      <c r="B45" s="107"/>
      <c r="C45" s="68" t="s">
        <v>142</v>
      </c>
      <c r="D45" s="69">
        <v>1</v>
      </c>
      <c r="E45" s="70">
        <v>1.4566642388899999E-4</v>
      </c>
    </row>
    <row r="46" spans="2:5" ht="15" customHeight="1">
      <c r="B46" s="108"/>
      <c r="C46" s="36" t="s">
        <v>28</v>
      </c>
      <c r="D46" s="35">
        <v>54</v>
      </c>
      <c r="E46" s="34">
        <v>7.8659868900220007E-3</v>
      </c>
    </row>
    <row r="47" spans="2:5" ht="15" customHeight="1">
      <c r="B47" s="106" t="s">
        <v>159</v>
      </c>
      <c r="C47" s="68" t="s">
        <v>102</v>
      </c>
      <c r="D47" s="69">
        <v>1</v>
      </c>
      <c r="E47" s="70">
        <v>1.4566642388899999E-4</v>
      </c>
    </row>
    <row r="48" spans="2:5" ht="15" customHeight="1">
      <c r="B48" s="107"/>
      <c r="C48" s="68" t="s">
        <v>104</v>
      </c>
      <c r="D48" s="69">
        <v>26</v>
      </c>
      <c r="E48" s="70">
        <v>3.787327021122E-3</v>
      </c>
    </row>
    <row r="49" spans="2:5" ht="15" customHeight="1">
      <c r="B49" s="107"/>
      <c r="C49" s="68" t="s">
        <v>109</v>
      </c>
      <c r="D49" s="69">
        <v>3</v>
      </c>
      <c r="E49" s="70">
        <v>4.3699927166799998E-4</v>
      </c>
    </row>
    <row r="50" spans="2:5" ht="15" customHeight="1">
      <c r="B50" s="107"/>
      <c r="C50" s="68" t="s">
        <v>114</v>
      </c>
      <c r="D50" s="69">
        <v>1</v>
      </c>
      <c r="E50" s="70">
        <v>1.4566642388899999E-4</v>
      </c>
    </row>
    <row r="51" spans="2:5" ht="15" customHeight="1">
      <c r="B51" s="107"/>
      <c r="C51" s="68" t="s">
        <v>115</v>
      </c>
      <c r="D51" s="69">
        <v>2</v>
      </c>
      <c r="E51" s="70">
        <v>2.9133284777899999E-4</v>
      </c>
    </row>
    <row r="52" spans="2:5" ht="15" customHeight="1">
      <c r="B52" s="107"/>
      <c r="C52" s="68" t="s">
        <v>126</v>
      </c>
      <c r="D52" s="69">
        <v>1</v>
      </c>
      <c r="E52" s="70">
        <v>1.4566642388899999E-4</v>
      </c>
    </row>
    <row r="53" spans="2:5" ht="15" customHeight="1">
      <c r="B53" s="107"/>
      <c r="C53" s="68" t="s">
        <v>130</v>
      </c>
      <c r="D53" s="69">
        <v>1</v>
      </c>
      <c r="E53" s="70">
        <v>1.4566642388899999E-4</v>
      </c>
    </row>
    <row r="54" spans="2:5" ht="15" customHeight="1">
      <c r="B54" s="107"/>
      <c r="C54" s="68" t="s">
        <v>139</v>
      </c>
      <c r="D54" s="69">
        <v>1</v>
      </c>
      <c r="E54" s="70">
        <v>1.4566642388899999E-4</v>
      </c>
    </row>
    <row r="55" spans="2:5" ht="15" customHeight="1">
      <c r="B55" s="107"/>
      <c r="C55" s="68" t="s">
        <v>141</v>
      </c>
      <c r="D55" s="69">
        <v>1</v>
      </c>
      <c r="E55" s="70">
        <v>1.4566642388899999E-4</v>
      </c>
    </row>
    <row r="56" spans="2:5" ht="15" customHeight="1">
      <c r="B56" s="108"/>
      <c r="C56" s="36" t="s">
        <v>28</v>
      </c>
      <c r="D56" s="35">
        <v>37</v>
      </c>
      <c r="E56" s="34">
        <v>5.3896576839040002E-3</v>
      </c>
    </row>
    <row r="57" spans="2:5" ht="15" customHeight="1">
      <c r="B57" s="106" t="s">
        <v>160</v>
      </c>
      <c r="C57" s="68" t="s">
        <v>102</v>
      </c>
      <c r="D57" s="69">
        <v>2</v>
      </c>
      <c r="E57" s="70">
        <v>2.9133284777899999E-4</v>
      </c>
    </row>
    <row r="58" spans="2:5" ht="15" customHeight="1">
      <c r="B58" s="107"/>
      <c r="C58" s="68" t="s">
        <v>103</v>
      </c>
      <c r="D58" s="69">
        <v>1</v>
      </c>
      <c r="E58" s="70">
        <v>1.4566642388899999E-4</v>
      </c>
    </row>
    <row r="59" spans="2:5" ht="15" customHeight="1">
      <c r="B59" s="107"/>
      <c r="C59" s="68" t="s">
        <v>104</v>
      </c>
      <c r="D59" s="69">
        <v>42</v>
      </c>
      <c r="E59" s="70">
        <v>6.1179898033500001E-3</v>
      </c>
    </row>
    <row r="60" spans="2:5" ht="15" customHeight="1">
      <c r="B60" s="107"/>
      <c r="C60" s="68" t="s">
        <v>109</v>
      </c>
      <c r="D60" s="69">
        <v>1</v>
      </c>
      <c r="E60" s="70">
        <v>1.4566642388899999E-4</v>
      </c>
    </row>
    <row r="61" spans="2:5" ht="15" customHeight="1">
      <c r="B61" s="107"/>
      <c r="C61" s="68" t="s">
        <v>114</v>
      </c>
      <c r="D61" s="69">
        <v>1</v>
      </c>
      <c r="E61" s="70">
        <v>1.4566642388899999E-4</v>
      </c>
    </row>
    <row r="62" spans="2:5" ht="15" customHeight="1">
      <c r="B62" s="107"/>
      <c r="C62" s="68" t="s">
        <v>116</v>
      </c>
      <c r="D62" s="69">
        <v>1</v>
      </c>
      <c r="E62" s="70">
        <v>1.4566642388899999E-4</v>
      </c>
    </row>
    <row r="63" spans="2:5" ht="15" customHeight="1">
      <c r="B63" s="107"/>
      <c r="C63" s="68" t="s">
        <v>126</v>
      </c>
      <c r="D63" s="69">
        <v>4</v>
      </c>
      <c r="E63" s="70">
        <v>5.8266569555700002E-4</v>
      </c>
    </row>
    <row r="64" spans="2:5" ht="15" customHeight="1">
      <c r="B64" s="107"/>
      <c r="C64" s="68" t="s">
        <v>134</v>
      </c>
      <c r="D64" s="69">
        <v>3</v>
      </c>
      <c r="E64" s="70">
        <v>4.3699927166799998E-4</v>
      </c>
    </row>
    <row r="65" spans="2:5" ht="15" customHeight="1">
      <c r="B65" s="107"/>
      <c r="C65" s="68" t="s">
        <v>135</v>
      </c>
      <c r="D65" s="69">
        <v>1</v>
      </c>
      <c r="E65" s="70">
        <v>1.4566642388899999E-4</v>
      </c>
    </row>
    <row r="66" spans="2:5" ht="15" customHeight="1">
      <c r="B66" s="107"/>
      <c r="C66" s="68" t="s">
        <v>139</v>
      </c>
      <c r="D66" s="69">
        <v>1</v>
      </c>
      <c r="E66" s="70">
        <v>1.4566642388899999E-4</v>
      </c>
    </row>
    <row r="67" spans="2:5" ht="15" customHeight="1">
      <c r="B67" s="107"/>
      <c r="C67" s="68" t="s">
        <v>91</v>
      </c>
      <c r="D67" s="69">
        <v>2</v>
      </c>
      <c r="E67" s="70">
        <v>2.9133284777899999E-4</v>
      </c>
    </row>
    <row r="68" spans="2:5" ht="15" customHeight="1">
      <c r="B68" s="108"/>
      <c r="C68" s="36" t="s">
        <v>28</v>
      </c>
      <c r="D68" s="35">
        <v>59</v>
      </c>
      <c r="E68" s="34">
        <v>8.5943190094680006E-3</v>
      </c>
    </row>
    <row r="69" spans="2:5" ht="15" customHeight="1">
      <c r="B69" s="106" t="s">
        <v>161</v>
      </c>
      <c r="C69" s="68" t="s">
        <v>100</v>
      </c>
      <c r="D69" s="69">
        <v>1</v>
      </c>
      <c r="E69" s="70">
        <v>1.4566642388899999E-4</v>
      </c>
    </row>
    <row r="70" spans="2:5" ht="15" customHeight="1">
      <c r="B70" s="107"/>
      <c r="C70" s="68" t="s">
        <v>102</v>
      </c>
      <c r="D70" s="69">
        <v>17</v>
      </c>
      <c r="E70" s="70">
        <v>2.476329206118E-3</v>
      </c>
    </row>
    <row r="71" spans="2:5" ht="15" customHeight="1">
      <c r="B71" s="107"/>
      <c r="C71" s="68" t="s">
        <v>104</v>
      </c>
      <c r="D71" s="69">
        <v>231</v>
      </c>
      <c r="E71" s="70">
        <v>3.3648943918427002E-2</v>
      </c>
    </row>
    <row r="72" spans="2:5" ht="15" customHeight="1">
      <c r="B72" s="107"/>
      <c r="C72" s="68" t="s">
        <v>105</v>
      </c>
      <c r="D72" s="69">
        <v>2</v>
      </c>
      <c r="E72" s="70">
        <v>2.9133284777899999E-4</v>
      </c>
    </row>
    <row r="73" spans="2:5" ht="15" customHeight="1">
      <c r="B73" s="107"/>
      <c r="C73" s="68" t="s">
        <v>109</v>
      </c>
      <c r="D73" s="69">
        <v>3</v>
      </c>
      <c r="E73" s="70">
        <v>4.3699927166799998E-4</v>
      </c>
    </row>
    <row r="74" spans="2:5" ht="15" customHeight="1">
      <c r="B74" s="107"/>
      <c r="C74" s="68" t="s">
        <v>110</v>
      </c>
      <c r="D74" s="69">
        <v>2</v>
      </c>
      <c r="E74" s="70">
        <v>2.9133284777899999E-4</v>
      </c>
    </row>
    <row r="75" spans="2:5" ht="15" customHeight="1">
      <c r="B75" s="107"/>
      <c r="C75" s="68" t="s">
        <v>112</v>
      </c>
      <c r="D75" s="69">
        <v>1</v>
      </c>
      <c r="E75" s="70">
        <v>1.4566642388899999E-4</v>
      </c>
    </row>
    <row r="76" spans="2:5" ht="15" customHeight="1">
      <c r="B76" s="107"/>
      <c r="C76" s="68" t="s">
        <v>113</v>
      </c>
      <c r="D76" s="69">
        <v>7</v>
      </c>
      <c r="E76" s="70">
        <v>1.0196649672249999E-3</v>
      </c>
    </row>
    <row r="77" spans="2:5" ht="15" customHeight="1">
      <c r="B77" s="107"/>
      <c r="C77" s="68" t="s">
        <v>114</v>
      </c>
      <c r="D77" s="69">
        <v>3</v>
      </c>
      <c r="E77" s="70">
        <v>4.3699927166799998E-4</v>
      </c>
    </row>
    <row r="78" spans="2:5" ht="15" customHeight="1">
      <c r="B78" s="107"/>
      <c r="C78" s="68" t="s">
        <v>115</v>
      </c>
      <c r="D78" s="69">
        <v>2</v>
      </c>
      <c r="E78" s="70">
        <v>2.9133284777899999E-4</v>
      </c>
    </row>
    <row r="79" spans="2:5" ht="15" customHeight="1">
      <c r="B79" s="107"/>
      <c r="C79" s="68" t="s">
        <v>116</v>
      </c>
      <c r="D79" s="69">
        <v>3</v>
      </c>
      <c r="E79" s="70">
        <v>4.3699927166799998E-4</v>
      </c>
    </row>
    <row r="80" spans="2:5" ht="15" customHeight="1">
      <c r="B80" s="107"/>
      <c r="C80" s="68" t="s">
        <v>121</v>
      </c>
      <c r="D80" s="69">
        <v>1</v>
      </c>
      <c r="E80" s="70">
        <v>1.4566642388899999E-4</v>
      </c>
    </row>
    <row r="81" spans="2:5" ht="15" customHeight="1">
      <c r="B81" s="107"/>
      <c r="C81" s="68" t="s">
        <v>124</v>
      </c>
      <c r="D81" s="69">
        <v>2</v>
      </c>
      <c r="E81" s="70">
        <v>2.9133284777899999E-4</v>
      </c>
    </row>
    <row r="82" spans="2:5" ht="15" customHeight="1">
      <c r="B82" s="107"/>
      <c r="C82" s="68" t="s">
        <v>126</v>
      </c>
      <c r="D82" s="69">
        <v>15</v>
      </c>
      <c r="E82" s="70">
        <v>2.1849963583390002E-3</v>
      </c>
    </row>
    <row r="83" spans="2:5" ht="15" customHeight="1">
      <c r="B83" s="107"/>
      <c r="C83" s="68" t="s">
        <v>128</v>
      </c>
      <c r="D83" s="69">
        <v>1</v>
      </c>
      <c r="E83" s="70">
        <v>1.4566642388899999E-4</v>
      </c>
    </row>
    <row r="84" spans="2:5" ht="15" customHeight="1">
      <c r="B84" s="107"/>
      <c r="C84" s="68" t="s">
        <v>129</v>
      </c>
      <c r="D84" s="69">
        <v>1</v>
      </c>
      <c r="E84" s="70">
        <v>1.4566642388899999E-4</v>
      </c>
    </row>
    <row r="85" spans="2:5" ht="15" customHeight="1">
      <c r="B85" s="107"/>
      <c r="C85" s="68" t="s">
        <v>130</v>
      </c>
      <c r="D85" s="69">
        <v>3</v>
      </c>
      <c r="E85" s="70">
        <v>4.3699927166799998E-4</v>
      </c>
    </row>
    <row r="86" spans="2:5" ht="15" customHeight="1">
      <c r="B86" s="107"/>
      <c r="C86" s="68" t="s">
        <v>132</v>
      </c>
      <c r="D86" s="69">
        <v>5</v>
      </c>
      <c r="E86" s="70">
        <v>7.2833211944600001E-4</v>
      </c>
    </row>
    <row r="87" spans="2:5" ht="15" customHeight="1">
      <c r="B87" s="107"/>
      <c r="C87" s="68" t="s">
        <v>133</v>
      </c>
      <c r="D87" s="69">
        <v>3</v>
      </c>
      <c r="E87" s="70">
        <v>4.3699927166799998E-4</v>
      </c>
    </row>
    <row r="88" spans="2:5" ht="15" customHeight="1">
      <c r="B88" s="107"/>
      <c r="C88" s="68" t="s">
        <v>134</v>
      </c>
      <c r="D88" s="69">
        <v>4</v>
      </c>
      <c r="E88" s="70">
        <v>5.8266569555700002E-4</v>
      </c>
    </row>
    <row r="89" spans="2:5" ht="15" customHeight="1">
      <c r="B89" s="107"/>
      <c r="C89" s="68" t="s">
        <v>138</v>
      </c>
      <c r="D89" s="69">
        <v>3</v>
      </c>
      <c r="E89" s="70">
        <v>4.3699927166799998E-4</v>
      </c>
    </row>
    <row r="90" spans="2:5" ht="15" customHeight="1">
      <c r="B90" s="107"/>
      <c r="C90" s="68" t="s">
        <v>139</v>
      </c>
      <c r="D90" s="69">
        <v>16</v>
      </c>
      <c r="E90" s="70">
        <v>2.3306627822290002E-3</v>
      </c>
    </row>
    <row r="91" spans="2:5" ht="15" customHeight="1">
      <c r="B91" s="107"/>
      <c r="C91" s="68" t="s">
        <v>140</v>
      </c>
      <c r="D91" s="69">
        <v>2</v>
      </c>
      <c r="E91" s="70">
        <v>2.9133284777899999E-4</v>
      </c>
    </row>
    <row r="92" spans="2:5" ht="15" customHeight="1">
      <c r="B92" s="107"/>
      <c r="C92" s="68" t="s">
        <v>91</v>
      </c>
      <c r="D92" s="69">
        <v>1</v>
      </c>
      <c r="E92" s="70">
        <v>1.4566642388899999E-4</v>
      </c>
    </row>
    <row r="93" spans="2:5" ht="15" customHeight="1">
      <c r="B93" s="107"/>
      <c r="C93" s="68" t="s">
        <v>142</v>
      </c>
      <c r="D93" s="69">
        <v>1</v>
      </c>
      <c r="E93" s="70">
        <v>1.4566642388899999E-4</v>
      </c>
    </row>
    <row r="94" spans="2:5" ht="15" customHeight="1">
      <c r="B94" s="107"/>
      <c r="C94" s="68" t="s">
        <v>143</v>
      </c>
      <c r="D94" s="69">
        <v>1</v>
      </c>
      <c r="E94" s="70">
        <v>1.4566642388899999E-4</v>
      </c>
    </row>
    <row r="95" spans="2:5" ht="15" customHeight="1">
      <c r="B95" s="108"/>
      <c r="C95" s="36" t="s">
        <v>28</v>
      </c>
      <c r="D95" s="35">
        <v>331</v>
      </c>
      <c r="E95" s="34">
        <v>4.8215586307356E-2</v>
      </c>
    </row>
    <row r="96" spans="2:5" ht="15" customHeight="1">
      <c r="B96" s="106" t="s">
        <v>162</v>
      </c>
      <c r="C96" s="68" t="s">
        <v>102</v>
      </c>
      <c r="D96" s="69">
        <v>18</v>
      </c>
      <c r="E96" s="70">
        <v>2.6219956300069999E-3</v>
      </c>
    </row>
    <row r="97" spans="2:5" ht="15" customHeight="1">
      <c r="B97" s="107"/>
      <c r="C97" s="68" t="s">
        <v>103</v>
      </c>
      <c r="D97" s="69">
        <v>1</v>
      </c>
      <c r="E97" s="70">
        <v>1.4566642388899999E-4</v>
      </c>
    </row>
    <row r="98" spans="2:5" ht="15" customHeight="1">
      <c r="B98" s="107"/>
      <c r="C98" s="68" t="s">
        <v>104</v>
      </c>
      <c r="D98" s="69">
        <v>315</v>
      </c>
      <c r="E98" s="70">
        <v>4.5884923525126999E-2</v>
      </c>
    </row>
    <row r="99" spans="2:5" ht="15" customHeight="1">
      <c r="B99" s="107"/>
      <c r="C99" s="68" t="s">
        <v>105</v>
      </c>
      <c r="D99" s="69">
        <v>4</v>
      </c>
      <c r="E99" s="70">
        <v>5.8266569555700002E-4</v>
      </c>
    </row>
    <row r="100" spans="2:5" ht="15" customHeight="1">
      <c r="B100" s="107"/>
      <c r="C100" s="68" t="s">
        <v>109</v>
      </c>
      <c r="D100" s="69">
        <v>5</v>
      </c>
      <c r="E100" s="70">
        <v>7.2833211944600001E-4</v>
      </c>
    </row>
    <row r="101" spans="2:5" ht="15" customHeight="1">
      <c r="B101" s="107"/>
      <c r="C101" s="68" t="s">
        <v>110</v>
      </c>
      <c r="D101" s="69">
        <v>1</v>
      </c>
      <c r="E101" s="70">
        <v>1.4566642388899999E-4</v>
      </c>
    </row>
    <row r="102" spans="2:5" ht="15" customHeight="1">
      <c r="B102" s="107"/>
      <c r="C102" s="68" t="s">
        <v>112</v>
      </c>
      <c r="D102" s="69">
        <v>4</v>
      </c>
      <c r="E102" s="70">
        <v>5.8266569555700002E-4</v>
      </c>
    </row>
    <row r="103" spans="2:5" ht="15" customHeight="1">
      <c r="B103" s="107"/>
      <c r="C103" s="68" t="s">
        <v>113</v>
      </c>
      <c r="D103" s="69">
        <v>12</v>
      </c>
      <c r="E103" s="70">
        <v>1.7479970866719999E-3</v>
      </c>
    </row>
    <row r="104" spans="2:5" ht="15" customHeight="1">
      <c r="B104" s="107"/>
      <c r="C104" s="68" t="s">
        <v>114</v>
      </c>
      <c r="D104" s="69">
        <v>3</v>
      </c>
      <c r="E104" s="70">
        <v>4.3699927166799998E-4</v>
      </c>
    </row>
    <row r="105" spans="2:5" ht="15" customHeight="1">
      <c r="B105" s="107"/>
      <c r="C105" s="68" t="s">
        <v>115</v>
      </c>
      <c r="D105" s="69">
        <v>2</v>
      </c>
      <c r="E105" s="70">
        <v>2.9133284777899999E-4</v>
      </c>
    </row>
    <row r="106" spans="2:5" ht="15" customHeight="1">
      <c r="B106" s="107"/>
      <c r="C106" s="68" t="s">
        <v>116</v>
      </c>
      <c r="D106" s="69">
        <v>1</v>
      </c>
      <c r="E106" s="70">
        <v>1.4566642388899999E-4</v>
      </c>
    </row>
    <row r="107" spans="2:5" ht="15" customHeight="1">
      <c r="B107" s="107"/>
      <c r="C107" s="68" t="s">
        <v>121</v>
      </c>
      <c r="D107" s="69">
        <v>2</v>
      </c>
      <c r="E107" s="70">
        <v>2.9133284777899999E-4</v>
      </c>
    </row>
    <row r="108" spans="2:5" ht="15" customHeight="1">
      <c r="B108" s="107"/>
      <c r="C108" s="68" t="s">
        <v>122</v>
      </c>
      <c r="D108" s="69">
        <v>2</v>
      </c>
      <c r="E108" s="70">
        <v>2.9133284777899999E-4</v>
      </c>
    </row>
    <row r="109" spans="2:5" ht="15" customHeight="1">
      <c r="B109" s="107"/>
      <c r="C109" s="68" t="s">
        <v>124</v>
      </c>
      <c r="D109" s="69">
        <v>1</v>
      </c>
      <c r="E109" s="70">
        <v>1.4566642388899999E-4</v>
      </c>
    </row>
    <row r="110" spans="2:5" ht="15" customHeight="1">
      <c r="B110" s="107"/>
      <c r="C110" s="68" t="s">
        <v>126</v>
      </c>
      <c r="D110" s="69">
        <v>15</v>
      </c>
      <c r="E110" s="70">
        <v>2.1849963583390002E-3</v>
      </c>
    </row>
    <row r="111" spans="2:5" ht="15" customHeight="1">
      <c r="B111" s="107"/>
      <c r="C111" s="68" t="s">
        <v>127</v>
      </c>
      <c r="D111" s="69">
        <v>1</v>
      </c>
      <c r="E111" s="70">
        <v>1.4566642388899999E-4</v>
      </c>
    </row>
    <row r="112" spans="2:5" ht="15" customHeight="1">
      <c r="B112" s="107"/>
      <c r="C112" s="68" t="s">
        <v>128</v>
      </c>
      <c r="D112" s="69">
        <v>1</v>
      </c>
      <c r="E112" s="70">
        <v>1.4566642388899999E-4</v>
      </c>
    </row>
    <row r="113" spans="2:5" ht="15" customHeight="1">
      <c r="B113" s="107"/>
      <c r="C113" s="68" t="s">
        <v>129</v>
      </c>
      <c r="D113" s="69">
        <v>1</v>
      </c>
      <c r="E113" s="70">
        <v>1.4566642388899999E-4</v>
      </c>
    </row>
    <row r="114" spans="2:5" ht="15" customHeight="1">
      <c r="B114" s="107"/>
      <c r="C114" s="68" t="s">
        <v>130</v>
      </c>
      <c r="D114" s="69">
        <v>6</v>
      </c>
      <c r="E114" s="70">
        <v>8.7399854333599996E-4</v>
      </c>
    </row>
    <row r="115" spans="2:5" ht="15" customHeight="1">
      <c r="B115" s="107"/>
      <c r="C115" s="68" t="s">
        <v>131</v>
      </c>
      <c r="D115" s="69">
        <v>1</v>
      </c>
      <c r="E115" s="70">
        <v>1.4566642388899999E-4</v>
      </c>
    </row>
    <row r="116" spans="2:5" ht="15" customHeight="1">
      <c r="B116" s="107"/>
      <c r="C116" s="68" t="s">
        <v>133</v>
      </c>
      <c r="D116" s="69">
        <v>8</v>
      </c>
      <c r="E116" s="70">
        <v>1.165331391114E-3</v>
      </c>
    </row>
    <row r="117" spans="2:5" ht="15" customHeight="1">
      <c r="B117" s="107"/>
      <c r="C117" s="68" t="s">
        <v>134</v>
      </c>
      <c r="D117" s="69">
        <v>1</v>
      </c>
      <c r="E117" s="70">
        <v>1.4566642388899999E-4</v>
      </c>
    </row>
    <row r="118" spans="2:5" ht="15" customHeight="1">
      <c r="B118" s="107"/>
      <c r="C118" s="68" t="s">
        <v>135</v>
      </c>
      <c r="D118" s="69">
        <v>1</v>
      </c>
      <c r="E118" s="70">
        <v>1.4566642388899999E-4</v>
      </c>
    </row>
    <row r="119" spans="2:5" ht="15" customHeight="1">
      <c r="B119" s="107"/>
      <c r="C119" s="68" t="s">
        <v>137</v>
      </c>
      <c r="D119" s="69">
        <v>1</v>
      </c>
      <c r="E119" s="70">
        <v>1.4566642388899999E-4</v>
      </c>
    </row>
    <row r="120" spans="2:5" ht="15" customHeight="1">
      <c r="B120" s="107"/>
      <c r="C120" s="68" t="s">
        <v>139</v>
      </c>
      <c r="D120" s="69">
        <v>12</v>
      </c>
      <c r="E120" s="70">
        <v>1.7479970866719999E-3</v>
      </c>
    </row>
    <row r="121" spans="2:5" ht="15" customHeight="1">
      <c r="B121" s="107"/>
      <c r="C121" s="68" t="s">
        <v>141</v>
      </c>
      <c r="D121" s="69">
        <v>1</v>
      </c>
      <c r="E121" s="70">
        <v>1.4566642388899999E-4</v>
      </c>
    </row>
    <row r="122" spans="2:5" ht="15" customHeight="1">
      <c r="B122" s="107"/>
      <c r="C122" s="68" t="s">
        <v>91</v>
      </c>
      <c r="D122" s="69">
        <v>7</v>
      </c>
      <c r="E122" s="70">
        <v>1.0196649672249999E-3</v>
      </c>
    </row>
    <row r="123" spans="2:5" ht="15" customHeight="1">
      <c r="B123" s="107"/>
      <c r="C123" s="68" t="s">
        <v>142</v>
      </c>
      <c r="D123" s="69">
        <v>4</v>
      </c>
      <c r="E123" s="70">
        <v>5.8266569555700002E-4</v>
      </c>
    </row>
    <row r="124" spans="2:5" ht="15" customHeight="1">
      <c r="B124" s="108"/>
      <c r="C124" s="36" t="s">
        <v>28</v>
      </c>
      <c r="D124" s="35">
        <v>431</v>
      </c>
      <c r="E124" s="34">
        <v>6.2782228696285997E-2</v>
      </c>
    </row>
    <row r="125" spans="2:5" ht="15" customHeight="1">
      <c r="B125" s="106" t="s">
        <v>163</v>
      </c>
      <c r="C125" s="68" t="s">
        <v>102</v>
      </c>
      <c r="D125" s="69">
        <v>3</v>
      </c>
      <c r="E125" s="70">
        <v>4.3699927166799998E-4</v>
      </c>
    </row>
    <row r="126" spans="2:5" ht="15" customHeight="1">
      <c r="B126" s="107"/>
      <c r="C126" s="68" t="s">
        <v>104</v>
      </c>
      <c r="D126" s="69">
        <v>63</v>
      </c>
      <c r="E126" s="70">
        <v>9.1769847050249993E-3</v>
      </c>
    </row>
    <row r="127" spans="2:5" ht="15" customHeight="1">
      <c r="B127" s="107"/>
      <c r="C127" s="68" t="s">
        <v>109</v>
      </c>
      <c r="D127" s="69">
        <v>1</v>
      </c>
      <c r="E127" s="70">
        <v>1.4566642388899999E-4</v>
      </c>
    </row>
    <row r="128" spans="2:5" ht="15" customHeight="1">
      <c r="B128" s="107"/>
      <c r="C128" s="68" t="s">
        <v>110</v>
      </c>
      <c r="D128" s="69">
        <v>2</v>
      </c>
      <c r="E128" s="70">
        <v>2.9133284777899999E-4</v>
      </c>
    </row>
    <row r="129" spans="2:5" ht="15" customHeight="1">
      <c r="B129" s="107"/>
      <c r="C129" s="68" t="s">
        <v>113</v>
      </c>
      <c r="D129" s="69">
        <v>4</v>
      </c>
      <c r="E129" s="70">
        <v>5.8266569555700002E-4</v>
      </c>
    </row>
    <row r="130" spans="2:5" ht="15" customHeight="1">
      <c r="B130" s="107"/>
      <c r="C130" s="68" t="s">
        <v>115</v>
      </c>
      <c r="D130" s="69">
        <v>1</v>
      </c>
      <c r="E130" s="70">
        <v>1.4566642388899999E-4</v>
      </c>
    </row>
    <row r="131" spans="2:5" ht="15" customHeight="1">
      <c r="B131" s="107"/>
      <c r="C131" s="68" t="s">
        <v>122</v>
      </c>
      <c r="D131" s="69">
        <v>1</v>
      </c>
      <c r="E131" s="70">
        <v>1.4566642388899999E-4</v>
      </c>
    </row>
    <row r="132" spans="2:5" ht="15" customHeight="1">
      <c r="B132" s="107"/>
      <c r="C132" s="68" t="s">
        <v>124</v>
      </c>
      <c r="D132" s="69">
        <v>1</v>
      </c>
      <c r="E132" s="70">
        <v>1.4566642388899999E-4</v>
      </c>
    </row>
    <row r="133" spans="2:5" ht="15" customHeight="1">
      <c r="B133" s="107"/>
      <c r="C133" s="68" t="s">
        <v>126</v>
      </c>
      <c r="D133" s="69">
        <v>5</v>
      </c>
      <c r="E133" s="70">
        <v>7.2833211944600001E-4</v>
      </c>
    </row>
    <row r="134" spans="2:5" ht="15" customHeight="1">
      <c r="B134" s="107"/>
      <c r="C134" s="68" t="s">
        <v>130</v>
      </c>
      <c r="D134" s="69">
        <v>1</v>
      </c>
      <c r="E134" s="70">
        <v>1.4566642388899999E-4</v>
      </c>
    </row>
    <row r="135" spans="2:5" ht="15" customHeight="1">
      <c r="B135" s="107"/>
      <c r="C135" s="68" t="s">
        <v>134</v>
      </c>
      <c r="D135" s="69">
        <v>1</v>
      </c>
      <c r="E135" s="70">
        <v>1.4566642388899999E-4</v>
      </c>
    </row>
    <row r="136" spans="2:5" ht="15" customHeight="1">
      <c r="B136" s="107"/>
      <c r="C136" s="68" t="s">
        <v>139</v>
      </c>
      <c r="D136" s="69">
        <v>1</v>
      </c>
      <c r="E136" s="70">
        <v>1.4566642388899999E-4</v>
      </c>
    </row>
    <row r="137" spans="2:5" ht="15" customHeight="1">
      <c r="B137" s="107"/>
      <c r="C137" s="68" t="s">
        <v>140</v>
      </c>
      <c r="D137" s="69">
        <v>1</v>
      </c>
      <c r="E137" s="70">
        <v>1.4566642388899999E-4</v>
      </c>
    </row>
    <row r="138" spans="2:5" ht="15" customHeight="1">
      <c r="B138" s="107"/>
      <c r="C138" s="68" t="s">
        <v>142</v>
      </c>
      <c r="D138" s="69">
        <v>1</v>
      </c>
      <c r="E138" s="70">
        <v>1.4566642388899999E-4</v>
      </c>
    </row>
    <row r="139" spans="2:5" ht="15" customHeight="1">
      <c r="B139" s="108"/>
      <c r="C139" s="36" t="s">
        <v>28</v>
      </c>
      <c r="D139" s="35">
        <v>86</v>
      </c>
      <c r="E139" s="34">
        <v>1.2527312454479E-2</v>
      </c>
    </row>
    <row r="140" spans="2:5" ht="15" customHeight="1">
      <c r="B140" s="106" t="s">
        <v>164</v>
      </c>
      <c r="C140" s="68" t="s">
        <v>100</v>
      </c>
      <c r="D140" s="69">
        <v>2</v>
      </c>
      <c r="E140" s="70">
        <v>2.9133284777899999E-4</v>
      </c>
    </row>
    <row r="141" spans="2:5" ht="15" customHeight="1">
      <c r="B141" s="107"/>
      <c r="C141" s="68" t="s">
        <v>102</v>
      </c>
      <c r="D141" s="69">
        <v>10</v>
      </c>
      <c r="E141" s="70">
        <v>1.4566642388930001E-3</v>
      </c>
    </row>
    <row r="142" spans="2:5" ht="15" customHeight="1">
      <c r="B142" s="107"/>
      <c r="C142" s="68" t="s">
        <v>104</v>
      </c>
      <c r="D142" s="69">
        <v>102</v>
      </c>
      <c r="E142" s="70">
        <v>1.4857975236707999E-2</v>
      </c>
    </row>
    <row r="143" spans="2:5" ht="15" customHeight="1">
      <c r="B143" s="107"/>
      <c r="C143" s="68" t="s">
        <v>105</v>
      </c>
      <c r="D143" s="69">
        <v>1</v>
      </c>
      <c r="E143" s="70">
        <v>1.4566642388899999E-4</v>
      </c>
    </row>
    <row r="144" spans="2:5" ht="15" customHeight="1">
      <c r="B144" s="107"/>
      <c r="C144" s="68" t="s">
        <v>109</v>
      </c>
      <c r="D144" s="69">
        <v>2</v>
      </c>
      <c r="E144" s="70">
        <v>2.9133284777899999E-4</v>
      </c>
    </row>
    <row r="145" spans="2:5" ht="15" customHeight="1">
      <c r="B145" s="107"/>
      <c r="C145" s="68" t="s">
        <v>110</v>
      </c>
      <c r="D145" s="69">
        <v>1</v>
      </c>
      <c r="E145" s="70">
        <v>1.4566642388899999E-4</v>
      </c>
    </row>
    <row r="146" spans="2:5" ht="15" customHeight="1">
      <c r="B146" s="107"/>
      <c r="C146" s="68" t="s">
        <v>112</v>
      </c>
      <c r="D146" s="69">
        <v>1</v>
      </c>
      <c r="E146" s="70">
        <v>1.4566642388899999E-4</v>
      </c>
    </row>
    <row r="147" spans="2:5" ht="15" customHeight="1">
      <c r="B147" s="107"/>
      <c r="C147" s="68" t="s">
        <v>114</v>
      </c>
      <c r="D147" s="69">
        <v>2</v>
      </c>
      <c r="E147" s="70">
        <v>2.9133284777899999E-4</v>
      </c>
    </row>
    <row r="148" spans="2:5" ht="15" customHeight="1">
      <c r="B148" s="107"/>
      <c r="C148" s="68" t="s">
        <v>116</v>
      </c>
      <c r="D148" s="69">
        <v>3</v>
      </c>
      <c r="E148" s="70">
        <v>4.3699927166799998E-4</v>
      </c>
    </row>
    <row r="149" spans="2:5" ht="15" customHeight="1">
      <c r="B149" s="107"/>
      <c r="C149" s="68" t="s">
        <v>122</v>
      </c>
      <c r="D149" s="69">
        <v>1</v>
      </c>
      <c r="E149" s="70">
        <v>1.4566642388899999E-4</v>
      </c>
    </row>
    <row r="150" spans="2:5" ht="15" customHeight="1">
      <c r="B150" s="107"/>
      <c r="C150" s="68" t="s">
        <v>126</v>
      </c>
      <c r="D150" s="69">
        <v>10</v>
      </c>
      <c r="E150" s="70">
        <v>1.4566642388930001E-3</v>
      </c>
    </row>
    <row r="151" spans="2:5" ht="15" customHeight="1">
      <c r="B151" s="107"/>
      <c r="C151" s="68" t="s">
        <v>127</v>
      </c>
      <c r="D151" s="69">
        <v>1</v>
      </c>
      <c r="E151" s="70">
        <v>1.4566642388899999E-4</v>
      </c>
    </row>
    <row r="152" spans="2:5" ht="15" customHeight="1">
      <c r="B152" s="107"/>
      <c r="C152" s="68" t="s">
        <v>129</v>
      </c>
      <c r="D152" s="69">
        <v>1</v>
      </c>
      <c r="E152" s="70">
        <v>1.4566642388899999E-4</v>
      </c>
    </row>
    <row r="153" spans="2:5" ht="15" customHeight="1">
      <c r="B153" s="107"/>
      <c r="C153" s="68" t="s">
        <v>130</v>
      </c>
      <c r="D153" s="69">
        <v>1</v>
      </c>
      <c r="E153" s="70">
        <v>1.4566642388899999E-4</v>
      </c>
    </row>
    <row r="154" spans="2:5" ht="15" customHeight="1">
      <c r="B154" s="107"/>
      <c r="C154" s="68" t="s">
        <v>132</v>
      </c>
      <c r="D154" s="69">
        <v>1</v>
      </c>
      <c r="E154" s="70">
        <v>1.4566642388899999E-4</v>
      </c>
    </row>
    <row r="155" spans="2:5" ht="15" customHeight="1">
      <c r="B155" s="107"/>
      <c r="C155" s="68" t="s">
        <v>133</v>
      </c>
      <c r="D155" s="69">
        <v>1</v>
      </c>
      <c r="E155" s="70">
        <v>1.4566642388899999E-4</v>
      </c>
    </row>
    <row r="156" spans="2:5" ht="15" customHeight="1">
      <c r="B156" s="107"/>
      <c r="C156" s="68" t="s">
        <v>134</v>
      </c>
      <c r="D156" s="69">
        <v>2</v>
      </c>
      <c r="E156" s="70">
        <v>2.9133284777899999E-4</v>
      </c>
    </row>
    <row r="157" spans="2:5" ht="15" customHeight="1">
      <c r="B157" s="107"/>
      <c r="C157" s="68" t="s">
        <v>135</v>
      </c>
      <c r="D157" s="69">
        <v>1</v>
      </c>
      <c r="E157" s="70">
        <v>1.4566642388899999E-4</v>
      </c>
    </row>
    <row r="158" spans="2:5" ht="15" customHeight="1">
      <c r="B158" s="107"/>
      <c r="C158" s="68" t="s">
        <v>136</v>
      </c>
      <c r="D158" s="69">
        <v>1</v>
      </c>
      <c r="E158" s="70">
        <v>1.4566642388899999E-4</v>
      </c>
    </row>
    <row r="159" spans="2:5" ht="15" customHeight="1">
      <c r="B159" s="107"/>
      <c r="C159" s="68" t="s">
        <v>138</v>
      </c>
      <c r="D159" s="69">
        <v>1</v>
      </c>
      <c r="E159" s="70">
        <v>1.4566642388899999E-4</v>
      </c>
    </row>
    <row r="160" spans="2:5" ht="15" customHeight="1">
      <c r="B160" s="107"/>
      <c r="C160" s="68" t="s">
        <v>139</v>
      </c>
      <c r="D160" s="69">
        <v>7</v>
      </c>
      <c r="E160" s="70">
        <v>1.0196649672249999E-3</v>
      </c>
    </row>
    <row r="161" spans="2:5" ht="15" customHeight="1">
      <c r="B161" s="107"/>
      <c r="C161" s="68" t="s">
        <v>140</v>
      </c>
      <c r="D161" s="69">
        <v>3</v>
      </c>
      <c r="E161" s="70">
        <v>4.3699927166799998E-4</v>
      </c>
    </row>
    <row r="162" spans="2:5" ht="15" customHeight="1">
      <c r="B162" s="107"/>
      <c r="C162" s="68" t="s">
        <v>91</v>
      </c>
      <c r="D162" s="69">
        <v>1</v>
      </c>
      <c r="E162" s="70">
        <v>1.4566642388899999E-4</v>
      </c>
    </row>
    <row r="163" spans="2:5" ht="15" customHeight="1">
      <c r="B163" s="107"/>
      <c r="C163" s="68" t="s">
        <v>142</v>
      </c>
      <c r="D163" s="69">
        <v>1</v>
      </c>
      <c r="E163" s="70">
        <v>1.4566642388899999E-4</v>
      </c>
    </row>
    <row r="164" spans="2:5" ht="15" customHeight="1">
      <c r="B164" s="108"/>
      <c r="C164" s="36" t="s">
        <v>28</v>
      </c>
      <c r="D164" s="35">
        <v>157</v>
      </c>
      <c r="E164" s="34">
        <v>2.2869628550619001E-2</v>
      </c>
    </row>
    <row r="165" spans="2:5" ht="15" customHeight="1">
      <c r="B165" s="106" t="s">
        <v>165</v>
      </c>
      <c r="C165" s="68" t="s">
        <v>100</v>
      </c>
      <c r="D165" s="69">
        <v>1</v>
      </c>
      <c r="E165" s="70">
        <v>1.4566642388899999E-4</v>
      </c>
    </row>
    <row r="166" spans="2:5" ht="15" customHeight="1">
      <c r="B166" s="107"/>
      <c r="C166" s="68" t="s">
        <v>102</v>
      </c>
      <c r="D166" s="69">
        <v>10</v>
      </c>
      <c r="E166" s="70">
        <v>1.4566642388930001E-3</v>
      </c>
    </row>
    <row r="167" spans="2:5" ht="15" customHeight="1">
      <c r="B167" s="107"/>
      <c r="C167" s="68" t="s">
        <v>103</v>
      </c>
      <c r="D167" s="69">
        <v>1</v>
      </c>
      <c r="E167" s="70">
        <v>1.4566642388899999E-4</v>
      </c>
    </row>
    <row r="168" spans="2:5" ht="15" customHeight="1">
      <c r="B168" s="107"/>
      <c r="C168" s="68" t="s">
        <v>104</v>
      </c>
      <c r="D168" s="69">
        <v>168</v>
      </c>
      <c r="E168" s="70">
        <v>2.4471959213401E-2</v>
      </c>
    </row>
    <row r="169" spans="2:5" ht="15" customHeight="1">
      <c r="B169" s="107"/>
      <c r="C169" s="68" t="s">
        <v>105</v>
      </c>
      <c r="D169" s="69">
        <v>4</v>
      </c>
      <c r="E169" s="70">
        <v>5.8266569555700002E-4</v>
      </c>
    </row>
    <row r="170" spans="2:5" ht="15" customHeight="1">
      <c r="B170" s="107"/>
      <c r="C170" s="68" t="s">
        <v>112</v>
      </c>
      <c r="D170" s="69">
        <v>1</v>
      </c>
      <c r="E170" s="70">
        <v>1.4566642388899999E-4</v>
      </c>
    </row>
    <row r="171" spans="2:5" ht="15" customHeight="1">
      <c r="B171" s="107"/>
      <c r="C171" s="68" t="s">
        <v>113</v>
      </c>
      <c r="D171" s="69">
        <v>8</v>
      </c>
      <c r="E171" s="70">
        <v>1.165331391114E-3</v>
      </c>
    </row>
    <row r="172" spans="2:5" ht="15" customHeight="1">
      <c r="B172" s="107"/>
      <c r="C172" s="68" t="s">
        <v>114</v>
      </c>
      <c r="D172" s="69">
        <v>1</v>
      </c>
      <c r="E172" s="70">
        <v>1.4566642388899999E-4</v>
      </c>
    </row>
    <row r="173" spans="2:5" ht="15" customHeight="1">
      <c r="B173" s="107"/>
      <c r="C173" s="68" t="s">
        <v>115</v>
      </c>
      <c r="D173" s="69">
        <v>3</v>
      </c>
      <c r="E173" s="70">
        <v>4.3699927166799998E-4</v>
      </c>
    </row>
    <row r="174" spans="2:5" ht="15" customHeight="1">
      <c r="B174" s="107"/>
      <c r="C174" s="68" t="s">
        <v>116</v>
      </c>
      <c r="D174" s="69">
        <v>4</v>
      </c>
      <c r="E174" s="70">
        <v>5.8266569555700002E-4</v>
      </c>
    </row>
    <row r="175" spans="2:5" ht="15" customHeight="1">
      <c r="B175" s="107"/>
      <c r="C175" s="68" t="s">
        <v>122</v>
      </c>
      <c r="D175" s="69">
        <v>1</v>
      </c>
      <c r="E175" s="70">
        <v>1.4566642388899999E-4</v>
      </c>
    </row>
    <row r="176" spans="2:5" ht="15" customHeight="1">
      <c r="B176" s="107"/>
      <c r="C176" s="68" t="s">
        <v>124</v>
      </c>
      <c r="D176" s="69">
        <v>1</v>
      </c>
      <c r="E176" s="70">
        <v>1.4566642388899999E-4</v>
      </c>
    </row>
    <row r="177" spans="2:5" ht="15" customHeight="1">
      <c r="B177" s="107"/>
      <c r="C177" s="68" t="s">
        <v>126</v>
      </c>
      <c r="D177" s="69">
        <v>20</v>
      </c>
      <c r="E177" s="70">
        <v>2.9133284777860002E-3</v>
      </c>
    </row>
    <row r="178" spans="2:5" ht="15" customHeight="1">
      <c r="B178" s="107"/>
      <c r="C178" s="68" t="s">
        <v>127</v>
      </c>
      <c r="D178" s="69">
        <v>1</v>
      </c>
      <c r="E178" s="70">
        <v>1.4566642388899999E-4</v>
      </c>
    </row>
    <row r="179" spans="2:5" ht="15" customHeight="1">
      <c r="B179" s="107"/>
      <c r="C179" s="68" t="s">
        <v>128</v>
      </c>
      <c r="D179" s="69">
        <v>1</v>
      </c>
      <c r="E179" s="70">
        <v>1.4566642388899999E-4</v>
      </c>
    </row>
    <row r="180" spans="2:5" ht="15" customHeight="1">
      <c r="B180" s="107"/>
      <c r="C180" s="68" t="s">
        <v>129</v>
      </c>
      <c r="D180" s="69">
        <v>2</v>
      </c>
      <c r="E180" s="70">
        <v>2.9133284777899999E-4</v>
      </c>
    </row>
    <row r="181" spans="2:5" ht="15" customHeight="1">
      <c r="B181" s="107"/>
      <c r="C181" s="68" t="s">
        <v>130</v>
      </c>
      <c r="D181" s="69">
        <v>3</v>
      </c>
      <c r="E181" s="70">
        <v>4.3699927166799998E-4</v>
      </c>
    </row>
    <row r="182" spans="2:5" ht="15" customHeight="1">
      <c r="B182" s="107"/>
      <c r="C182" s="68" t="s">
        <v>132</v>
      </c>
      <c r="D182" s="69">
        <v>1</v>
      </c>
      <c r="E182" s="70">
        <v>1.4566642388899999E-4</v>
      </c>
    </row>
    <row r="183" spans="2:5" ht="15" customHeight="1">
      <c r="B183" s="107"/>
      <c r="C183" s="68" t="s">
        <v>133</v>
      </c>
      <c r="D183" s="69">
        <v>1</v>
      </c>
      <c r="E183" s="70">
        <v>1.4566642388899999E-4</v>
      </c>
    </row>
    <row r="184" spans="2:5" ht="15" customHeight="1">
      <c r="B184" s="107"/>
      <c r="C184" s="68" t="s">
        <v>134</v>
      </c>
      <c r="D184" s="69">
        <v>1</v>
      </c>
      <c r="E184" s="70">
        <v>1.4566642388899999E-4</v>
      </c>
    </row>
    <row r="185" spans="2:5" ht="15" customHeight="1">
      <c r="B185" s="107"/>
      <c r="C185" s="68" t="s">
        <v>136</v>
      </c>
      <c r="D185" s="69">
        <v>2</v>
      </c>
      <c r="E185" s="70">
        <v>2.9133284777899999E-4</v>
      </c>
    </row>
    <row r="186" spans="2:5" ht="15" customHeight="1">
      <c r="B186" s="107"/>
      <c r="C186" s="68" t="s">
        <v>137</v>
      </c>
      <c r="D186" s="69">
        <v>1</v>
      </c>
      <c r="E186" s="70">
        <v>1.4566642388899999E-4</v>
      </c>
    </row>
    <row r="187" spans="2:5" ht="15" customHeight="1">
      <c r="B187" s="107"/>
      <c r="C187" s="68" t="s">
        <v>138</v>
      </c>
      <c r="D187" s="69">
        <v>2</v>
      </c>
      <c r="E187" s="70">
        <v>2.9133284777899999E-4</v>
      </c>
    </row>
    <row r="188" spans="2:5" ht="15" customHeight="1">
      <c r="B188" s="107"/>
      <c r="C188" s="68" t="s">
        <v>139</v>
      </c>
      <c r="D188" s="69">
        <v>15</v>
      </c>
      <c r="E188" s="70">
        <v>2.1849963583390002E-3</v>
      </c>
    </row>
    <row r="189" spans="2:5" ht="15" customHeight="1">
      <c r="B189" s="107"/>
      <c r="C189" s="68" t="s">
        <v>140</v>
      </c>
      <c r="D189" s="69">
        <v>5</v>
      </c>
      <c r="E189" s="70">
        <v>7.2833211944600001E-4</v>
      </c>
    </row>
    <row r="190" spans="2:5" ht="15" customHeight="1">
      <c r="B190" s="107"/>
      <c r="C190" s="68" t="s">
        <v>141</v>
      </c>
      <c r="D190" s="69">
        <v>1</v>
      </c>
      <c r="E190" s="70">
        <v>1.4566642388899999E-4</v>
      </c>
    </row>
    <row r="191" spans="2:5" ht="15" customHeight="1">
      <c r="B191" s="107"/>
      <c r="C191" s="68" t="s">
        <v>91</v>
      </c>
      <c r="D191" s="69">
        <v>2</v>
      </c>
      <c r="E191" s="70">
        <v>2.9133284777899999E-4</v>
      </c>
    </row>
    <row r="192" spans="2:5" ht="15" customHeight="1">
      <c r="B192" s="107"/>
      <c r="C192" s="68" t="s">
        <v>142</v>
      </c>
      <c r="D192" s="69">
        <v>3</v>
      </c>
      <c r="E192" s="70">
        <v>4.3699927166799998E-4</v>
      </c>
    </row>
    <row r="193" spans="2:5" ht="15" customHeight="1">
      <c r="B193" s="108"/>
      <c r="C193" s="36" t="s">
        <v>28</v>
      </c>
      <c r="D193" s="35">
        <v>264</v>
      </c>
      <c r="E193" s="34">
        <v>3.8455935906773001E-2</v>
      </c>
    </row>
    <row r="194" spans="2:5" ht="15" customHeight="1">
      <c r="B194" s="106" t="s">
        <v>166</v>
      </c>
      <c r="C194" s="68" t="s">
        <v>100</v>
      </c>
      <c r="D194" s="69">
        <v>1</v>
      </c>
      <c r="E194" s="70">
        <v>1.4566642388899999E-4</v>
      </c>
    </row>
    <row r="195" spans="2:5" ht="15" customHeight="1">
      <c r="B195" s="107"/>
      <c r="C195" s="68" t="s">
        <v>102</v>
      </c>
      <c r="D195" s="69">
        <v>69</v>
      </c>
      <c r="E195" s="70">
        <v>1.0050983248361E-2</v>
      </c>
    </row>
    <row r="196" spans="2:5" ht="15" customHeight="1">
      <c r="B196" s="107"/>
      <c r="C196" s="68" t="s">
        <v>103</v>
      </c>
      <c r="D196" s="69">
        <v>5</v>
      </c>
      <c r="E196" s="70">
        <v>7.2833211944600001E-4</v>
      </c>
    </row>
    <row r="197" spans="2:5" ht="15" customHeight="1">
      <c r="B197" s="107"/>
      <c r="C197" s="68" t="s">
        <v>104</v>
      </c>
      <c r="D197" s="69">
        <v>990</v>
      </c>
      <c r="E197" s="70">
        <v>0.144209759650401</v>
      </c>
    </row>
    <row r="198" spans="2:5" ht="15" customHeight="1">
      <c r="B198" s="107"/>
      <c r="C198" s="68" t="s">
        <v>105</v>
      </c>
      <c r="D198" s="69">
        <v>8</v>
      </c>
      <c r="E198" s="70">
        <v>1.165331391114E-3</v>
      </c>
    </row>
    <row r="199" spans="2:5" ht="15" customHeight="1">
      <c r="B199" s="107"/>
      <c r="C199" s="68" t="s">
        <v>107</v>
      </c>
      <c r="D199" s="69">
        <v>1</v>
      </c>
      <c r="E199" s="70">
        <v>1.4566642388899999E-4</v>
      </c>
    </row>
    <row r="200" spans="2:5" ht="15" customHeight="1">
      <c r="B200" s="107"/>
      <c r="C200" s="68" t="s">
        <v>108</v>
      </c>
      <c r="D200" s="69">
        <v>1</v>
      </c>
      <c r="E200" s="70">
        <v>1.4566642388899999E-4</v>
      </c>
    </row>
    <row r="201" spans="2:5" ht="15" customHeight="1">
      <c r="B201" s="107"/>
      <c r="C201" s="68" t="s">
        <v>109</v>
      </c>
      <c r="D201" s="69">
        <v>20</v>
      </c>
      <c r="E201" s="70">
        <v>2.9133284777860002E-3</v>
      </c>
    </row>
    <row r="202" spans="2:5" ht="15" customHeight="1">
      <c r="B202" s="107"/>
      <c r="C202" s="68" t="s">
        <v>110</v>
      </c>
      <c r="D202" s="69">
        <v>12</v>
      </c>
      <c r="E202" s="70">
        <v>1.7479970866719999E-3</v>
      </c>
    </row>
    <row r="203" spans="2:5" ht="15" customHeight="1">
      <c r="B203" s="107"/>
      <c r="C203" s="68" t="s">
        <v>111</v>
      </c>
      <c r="D203" s="69">
        <v>1</v>
      </c>
      <c r="E203" s="70">
        <v>1.4566642388899999E-4</v>
      </c>
    </row>
    <row r="204" spans="2:5" ht="15" customHeight="1">
      <c r="B204" s="107"/>
      <c r="C204" s="68" t="s">
        <v>112</v>
      </c>
      <c r="D204" s="69">
        <v>6</v>
      </c>
      <c r="E204" s="70">
        <v>8.7399854333599996E-4</v>
      </c>
    </row>
    <row r="205" spans="2:5" ht="15" customHeight="1">
      <c r="B205" s="107"/>
      <c r="C205" s="68" t="s">
        <v>113</v>
      </c>
      <c r="D205" s="69">
        <v>51</v>
      </c>
      <c r="E205" s="70">
        <v>7.4289876183539997E-3</v>
      </c>
    </row>
    <row r="206" spans="2:5" ht="15" customHeight="1">
      <c r="B206" s="107"/>
      <c r="C206" s="68" t="s">
        <v>114</v>
      </c>
      <c r="D206" s="69">
        <v>13</v>
      </c>
      <c r="E206" s="70">
        <v>1.893663510561E-3</v>
      </c>
    </row>
    <row r="207" spans="2:5" ht="15" customHeight="1">
      <c r="B207" s="107"/>
      <c r="C207" s="68" t="s">
        <v>115</v>
      </c>
      <c r="D207" s="69">
        <v>1</v>
      </c>
      <c r="E207" s="70">
        <v>1.4566642388899999E-4</v>
      </c>
    </row>
    <row r="208" spans="2:5" ht="15" customHeight="1">
      <c r="B208" s="107"/>
      <c r="C208" s="68" t="s">
        <v>116</v>
      </c>
      <c r="D208" s="69">
        <v>15</v>
      </c>
      <c r="E208" s="70">
        <v>2.1849963583390002E-3</v>
      </c>
    </row>
    <row r="209" spans="2:5" ht="15" customHeight="1">
      <c r="B209" s="107"/>
      <c r="C209" s="68" t="s">
        <v>117</v>
      </c>
      <c r="D209" s="69">
        <v>2</v>
      </c>
      <c r="E209" s="70">
        <v>2.9133284777899999E-4</v>
      </c>
    </row>
    <row r="210" spans="2:5" ht="15" customHeight="1">
      <c r="B210" s="107"/>
      <c r="C210" s="68" t="s">
        <v>121</v>
      </c>
      <c r="D210" s="69">
        <v>2</v>
      </c>
      <c r="E210" s="70">
        <v>2.9133284777899999E-4</v>
      </c>
    </row>
    <row r="211" spans="2:5" ht="15" customHeight="1">
      <c r="B211" s="107"/>
      <c r="C211" s="68" t="s">
        <v>122</v>
      </c>
      <c r="D211" s="69">
        <v>8</v>
      </c>
      <c r="E211" s="70">
        <v>1.165331391114E-3</v>
      </c>
    </row>
    <row r="212" spans="2:5" ht="15" customHeight="1">
      <c r="B212" s="107"/>
      <c r="C212" s="68" t="s">
        <v>123</v>
      </c>
      <c r="D212" s="69">
        <v>2</v>
      </c>
      <c r="E212" s="70">
        <v>2.9133284777899999E-4</v>
      </c>
    </row>
    <row r="213" spans="2:5" ht="15" customHeight="1">
      <c r="B213" s="107"/>
      <c r="C213" s="68" t="s">
        <v>124</v>
      </c>
      <c r="D213" s="69">
        <v>4</v>
      </c>
      <c r="E213" s="70">
        <v>5.8266569555700002E-4</v>
      </c>
    </row>
    <row r="214" spans="2:5" ht="15" customHeight="1">
      <c r="B214" s="107"/>
      <c r="C214" s="68" t="s">
        <v>125</v>
      </c>
      <c r="D214" s="69">
        <v>4</v>
      </c>
      <c r="E214" s="70">
        <v>5.8266569555700002E-4</v>
      </c>
    </row>
    <row r="215" spans="2:5" ht="15" customHeight="1">
      <c r="B215" s="107"/>
      <c r="C215" s="68" t="s">
        <v>126</v>
      </c>
      <c r="D215" s="69">
        <v>68</v>
      </c>
      <c r="E215" s="70">
        <v>9.9053168244720002E-3</v>
      </c>
    </row>
    <row r="216" spans="2:5" ht="15" customHeight="1">
      <c r="B216" s="107"/>
      <c r="C216" s="68" t="s">
        <v>127</v>
      </c>
      <c r="D216" s="69">
        <v>5</v>
      </c>
      <c r="E216" s="70">
        <v>7.2833211944600001E-4</v>
      </c>
    </row>
    <row r="217" spans="2:5" ht="15" customHeight="1">
      <c r="B217" s="107"/>
      <c r="C217" s="68" t="s">
        <v>128</v>
      </c>
      <c r="D217" s="69">
        <v>9</v>
      </c>
      <c r="E217" s="70">
        <v>1.310997815004E-3</v>
      </c>
    </row>
    <row r="218" spans="2:5" ht="15" customHeight="1">
      <c r="B218" s="107"/>
      <c r="C218" s="68" t="s">
        <v>129</v>
      </c>
      <c r="D218" s="69">
        <v>8</v>
      </c>
      <c r="E218" s="70">
        <v>1.165331391114E-3</v>
      </c>
    </row>
    <row r="219" spans="2:5" ht="15" customHeight="1">
      <c r="B219" s="107"/>
      <c r="C219" s="68" t="s">
        <v>130</v>
      </c>
      <c r="D219" s="69">
        <v>15</v>
      </c>
      <c r="E219" s="70">
        <v>2.1849963583390002E-3</v>
      </c>
    </row>
    <row r="220" spans="2:5" ht="15" customHeight="1">
      <c r="B220" s="107"/>
      <c r="C220" s="68" t="s">
        <v>132</v>
      </c>
      <c r="D220" s="69">
        <v>3</v>
      </c>
      <c r="E220" s="70">
        <v>4.3699927166799998E-4</v>
      </c>
    </row>
    <row r="221" spans="2:5" ht="15" customHeight="1">
      <c r="B221" s="107"/>
      <c r="C221" s="68" t="s">
        <v>133</v>
      </c>
      <c r="D221" s="69">
        <v>19</v>
      </c>
      <c r="E221" s="70">
        <v>2.7676620538969999E-3</v>
      </c>
    </row>
    <row r="222" spans="2:5" ht="15" customHeight="1">
      <c r="B222" s="107"/>
      <c r="C222" s="68" t="s">
        <v>134</v>
      </c>
      <c r="D222" s="69">
        <v>7</v>
      </c>
      <c r="E222" s="70">
        <v>1.0196649672249999E-3</v>
      </c>
    </row>
    <row r="223" spans="2:5" ht="15" customHeight="1">
      <c r="B223" s="107"/>
      <c r="C223" s="68" t="s">
        <v>135</v>
      </c>
      <c r="D223" s="69">
        <v>6</v>
      </c>
      <c r="E223" s="70">
        <v>8.7399854333599996E-4</v>
      </c>
    </row>
    <row r="224" spans="2:5" ht="15" customHeight="1">
      <c r="B224" s="107"/>
      <c r="C224" s="68" t="s">
        <v>136</v>
      </c>
      <c r="D224" s="69">
        <v>8</v>
      </c>
      <c r="E224" s="70">
        <v>1.165331391114E-3</v>
      </c>
    </row>
    <row r="225" spans="2:5" ht="15" customHeight="1">
      <c r="B225" s="107"/>
      <c r="C225" s="68" t="s">
        <v>138</v>
      </c>
      <c r="D225" s="69">
        <v>8</v>
      </c>
      <c r="E225" s="70">
        <v>1.165331391114E-3</v>
      </c>
    </row>
    <row r="226" spans="2:5" ht="15" customHeight="1">
      <c r="B226" s="107"/>
      <c r="C226" s="68" t="s">
        <v>139</v>
      </c>
      <c r="D226" s="69">
        <v>85</v>
      </c>
      <c r="E226" s="70">
        <v>1.2381646030590001E-2</v>
      </c>
    </row>
    <row r="227" spans="2:5" ht="15" customHeight="1">
      <c r="B227" s="107"/>
      <c r="C227" s="68" t="s">
        <v>140</v>
      </c>
      <c r="D227" s="69">
        <v>19</v>
      </c>
      <c r="E227" s="70">
        <v>2.7676620538969999E-3</v>
      </c>
    </row>
    <row r="228" spans="2:5" ht="15" customHeight="1">
      <c r="B228" s="107"/>
      <c r="C228" s="68" t="s">
        <v>141</v>
      </c>
      <c r="D228" s="69">
        <v>2</v>
      </c>
      <c r="E228" s="70">
        <v>2.9133284777899999E-4</v>
      </c>
    </row>
    <row r="229" spans="2:5" ht="15" customHeight="1">
      <c r="B229" s="107"/>
      <c r="C229" s="68" t="s">
        <v>91</v>
      </c>
      <c r="D229" s="69">
        <v>10</v>
      </c>
      <c r="E229" s="70">
        <v>1.4566642388930001E-3</v>
      </c>
    </row>
    <row r="230" spans="2:5" ht="15" customHeight="1">
      <c r="B230" s="107"/>
      <c r="C230" s="68" t="s">
        <v>142</v>
      </c>
      <c r="D230" s="69">
        <v>10</v>
      </c>
      <c r="E230" s="70">
        <v>1.4566642388930001E-3</v>
      </c>
    </row>
    <row r="231" spans="2:5" ht="15" customHeight="1">
      <c r="B231" s="107"/>
      <c r="C231" s="68" t="s">
        <v>143</v>
      </c>
      <c r="D231" s="69">
        <v>1</v>
      </c>
      <c r="E231" s="70">
        <v>1.4566642388899999E-4</v>
      </c>
    </row>
    <row r="232" spans="2:5" ht="15" customHeight="1">
      <c r="B232" s="108"/>
      <c r="C232" s="36" t="s">
        <v>28</v>
      </c>
      <c r="D232" s="35">
        <v>1499</v>
      </c>
      <c r="E232" s="34">
        <v>0.218353969410051</v>
      </c>
    </row>
    <row r="233" spans="2:5" ht="15" customHeight="1">
      <c r="B233" s="106" t="s">
        <v>167</v>
      </c>
      <c r="C233" s="68" t="s">
        <v>101</v>
      </c>
      <c r="D233" s="69">
        <v>1</v>
      </c>
      <c r="E233" s="70">
        <v>1.4566642388899999E-4</v>
      </c>
    </row>
    <row r="234" spans="2:5" ht="15" customHeight="1">
      <c r="B234" s="107"/>
      <c r="C234" s="68" t="s">
        <v>102</v>
      </c>
      <c r="D234" s="69">
        <v>9</v>
      </c>
      <c r="E234" s="70">
        <v>1.310997815004E-3</v>
      </c>
    </row>
    <row r="235" spans="2:5" ht="15" customHeight="1">
      <c r="B235" s="107"/>
      <c r="C235" s="68" t="s">
        <v>104</v>
      </c>
      <c r="D235" s="69">
        <v>99</v>
      </c>
      <c r="E235" s="70">
        <v>1.442097596504E-2</v>
      </c>
    </row>
    <row r="236" spans="2:5" ht="15" customHeight="1">
      <c r="B236" s="107"/>
      <c r="C236" s="68" t="s">
        <v>105</v>
      </c>
      <c r="D236" s="69">
        <v>1</v>
      </c>
      <c r="E236" s="70">
        <v>1.4566642388899999E-4</v>
      </c>
    </row>
    <row r="237" spans="2:5" ht="15" customHeight="1">
      <c r="B237" s="107"/>
      <c r="C237" s="68" t="s">
        <v>109</v>
      </c>
      <c r="D237" s="69">
        <v>1</v>
      </c>
      <c r="E237" s="70">
        <v>1.4566642388899999E-4</v>
      </c>
    </row>
    <row r="238" spans="2:5" ht="15" customHeight="1">
      <c r="B238" s="107"/>
      <c r="C238" s="68" t="s">
        <v>112</v>
      </c>
      <c r="D238" s="69">
        <v>2</v>
      </c>
      <c r="E238" s="70">
        <v>2.9133284777899999E-4</v>
      </c>
    </row>
    <row r="239" spans="2:5" ht="15" customHeight="1">
      <c r="B239" s="107"/>
      <c r="C239" s="68" t="s">
        <v>113</v>
      </c>
      <c r="D239" s="69">
        <v>1</v>
      </c>
      <c r="E239" s="70">
        <v>1.4566642388899999E-4</v>
      </c>
    </row>
    <row r="240" spans="2:5" ht="15" customHeight="1">
      <c r="B240" s="107"/>
      <c r="C240" s="68" t="s">
        <v>114</v>
      </c>
      <c r="D240" s="69">
        <v>1</v>
      </c>
      <c r="E240" s="70">
        <v>1.4566642388899999E-4</v>
      </c>
    </row>
    <row r="241" spans="2:5" ht="15" customHeight="1">
      <c r="B241" s="107"/>
      <c r="C241" s="68" t="s">
        <v>117</v>
      </c>
      <c r="D241" s="69">
        <v>1</v>
      </c>
      <c r="E241" s="70">
        <v>1.4566642388899999E-4</v>
      </c>
    </row>
    <row r="242" spans="2:5" ht="15" customHeight="1">
      <c r="B242" s="107"/>
      <c r="C242" s="68" t="s">
        <v>122</v>
      </c>
      <c r="D242" s="69">
        <v>2</v>
      </c>
      <c r="E242" s="70">
        <v>2.9133284777899999E-4</v>
      </c>
    </row>
    <row r="243" spans="2:5" ht="15" customHeight="1">
      <c r="B243" s="107"/>
      <c r="C243" s="68" t="s">
        <v>126</v>
      </c>
      <c r="D243" s="69">
        <v>5</v>
      </c>
      <c r="E243" s="70">
        <v>7.2833211944600001E-4</v>
      </c>
    </row>
    <row r="244" spans="2:5" ht="15" customHeight="1">
      <c r="B244" s="107"/>
      <c r="C244" s="68" t="s">
        <v>129</v>
      </c>
      <c r="D244" s="69">
        <v>1</v>
      </c>
      <c r="E244" s="70">
        <v>1.4566642388899999E-4</v>
      </c>
    </row>
    <row r="245" spans="2:5" ht="15" customHeight="1">
      <c r="B245" s="107"/>
      <c r="C245" s="68" t="s">
        <v>133</v>
      </c>
      <c r="D245" s="69">
        <v>2</v>
      </c>
      <c r="E245" s="70">
        <v>2.9133284777899999E-4</v>
      </c>
    </row>
    <row r="246" spans="2:5" ht="15" customHeight="1">
      <c r="B246" s="107"/>
      <c r="C246" s="68" t="s">
        <v>139</v>
      </c>
      <c r="D246" s="69">
        <v>4</v>
      </c>
      <c r="E246" s="70">
        <v>5.8266569555700002E-4</v>
      </c>
    </row>
    <row r="247" spans="2:5" ht="15" customHeight="1">
      <c r="B247" s="107"/>
      <c r="C247" s="68" t="s">
        <v>140</v>
      </c>
      <c r="D247" s="69">
        <v>1</v>
      </c>
      <c r="E247" s="70">
        <v>1.4566642388899999E-4</v>
      </c>
    </row>
    <row r="248" spans="2:5" ht="15" customHeight="1">
      <c r="B248" s="108"/>
      <c r="C248" s="36" t="s">
        <v>28</v>
      </c>
      <c r="D248" s="35">
        <v>131</v>
      </c>
      <c r="E248" s="34">
        <v>1.9082301529497001E-2</v>
      </c>
    </row>
    <row r="249" spans="2:5" ht="15" customHeight="1">
      <c r="B249" s="106" t="s">
        <v>168</v>
      </c>
      <c r="C249" s="68" t="s">
        <v>100</v>
      </c>
      <c r="D249" s="69">
        <v>4</v>
      </c>
      <c r="E249" s="70">
        <v>5.8266569555700002E-4</v>
      </c>
    </row>
    <row r="250" spans="2:5" ht="15" customHeight="1">
      <c r="B250" s="107"/>
      <c r="C250" s="68" t="s">
        <v>102</v>
      </c>
      <c r="D250" s="69">
        <v>17</v>
      </c>
      <c r="E250" s="70">
        <v>2.476329206118E-3</v>
      </c>
    </row>
    <row r="251" spans="2:5" ht="15" customHeight="1">
      <c r="B251" s="107"/>
      <c r="C251" s="68" t="s">
        <v>103</v>
      </c>
      <c r="D251" s="69">
        <v>2</v>
      </c>
      <c r="E251" s="70">
        <v>2.9133284777899999E-4</v>
      </c>
    </row>
    <row r="252" spans="2:5" ht="15" customHeight="1">
      <c r="B252" s="107"/>
      <c r="C252" s="68" t="s">
        <v>104</v>
      </c>
      <c r="D252" s="69">
        <v>415</v>
      </c>
      <c r="E252" s="70">
        <v>6.0451565914057002E-2</v>
      </c>
    </row>
    <row r="253" spans="2:5" ht="15" customHeight="1">
      <c r="B253" s="107"/>
      <c r="C253" s="68" t="s">
        <v>105</v>
      </c>
      <c r="D253" s="69">
        <v>10</v>
      </c>
      <c r="E253" s="70">
        <v>1.4566642388930001E-3</v>
      </c>
    </row>
    <row r="254" spans="2:5" ht="15" customHeight="1">
      <c r="B254" s="107"/>
      <c r="C254" s="68" t="s">
        <v>107</v>
      </c>
      <c r="D254" s="69">
        <v>1</v>
      </c>
      <c r="E254" s="70">
        <v>1.4566642388899999E-4</v>
      </c>
    </row>
    <row r="255" spans="2:5" ht="15" customHeight="1">
      <c r="B255" s="107"/>
      <c r="C255" s="68" t="s">
        <v>109</v>
      </c>
      <c r="D255" s="69">
        <v>7</v>
      </c>
      <c r="E255" s="70">
        <v>1.0196649672249999E-3</v>
      </c>
    </row>
    <row r="256" spans="2:5" ht="15" customHeight="1">
      <c r="B256" s="107"/>
      <c r="C256" s="68" t="s">
        <v>110</v>
      </c>
      <c r="D256" s="69">
        <v>12</v>
      </c>
      <c r="E256" s="70">
        <v>1.7479970866719999E-3</v>
      </c>
    </row>
    <row r="257" spans="2:5" ht="15" customHeight="1">
      <c r="B257" s="107"/>
      <c r="C257" s="68" t="s">
        <v>111</v>
      </c>
      <c r="D257" s="69">
        <v>1</v>
      </c>
      <c r="E257" s="70">
        <v>1.4566642388899999E-4</v>
      </c>
    </row>
    <row r="258" spans="2:5" ht="15" customHeight="1">
      <c r="B258" s="107"/>
      <c r="C258" s="68" t="s">
        <v>112</v>
      </c>
      <c r="D258" s="69">
        <v>6</v>
      </c>
      <c r="E258" s="70">
        <v>8.7399854333599996E-4</v>
      </c>
    </row>
    <row r="259" spans="2:5" ht="15" customHeight="1">
      <c r="B259" s="107"/>
      <c r="C259" s="68" t="s">
        <v>113</v>
      </c>
      <c r="D259" s="69">
        <v>19</v>
      </c>
      <c r="E259" s="70">
        <v>2.7676620538969999E-3</v>
      </c>
    </row>
    <row r="260" spans="2:5" ht="15" customHeight="1">
      <c r="B260" s="107"/>
      <c r="C260" s="68" t="s">
        <v>114</v>
      </c>
      <c r="D260" s="69">
        <v>7</v>
      </c>
      <c r="E260" s="70">
        <v>1.0196649672249999E-3</v>
      </c>
    </row>
    <row r="261" spans="2:5" ht="15" customHeight="1">
      <c r="B261" s="107"/>
      <c r="C261" s="68" t="s">
        <v>115</v>
      </c>
      <c r="D261" s="69">
        <v>3</v>
      </c>
      <c r="E261" s="70">
        <v>4.3699927166799998E-4</v>
      </c>
    </row>
    <row r="262" spans="2:5" ht="15" customHeight="1">
      <c r="B262" s="107"/>
      <c r="C262" s="68" t="s">
        <v>116</v>
      </c>
      <c r="D262" s="69">
        <v>5</v>
      </c>
      <c r="E262" s="70">
        <v>7.2833211944600001E-4</v>
      </c>
    </row>
    <row r="263" spans="2:5" ht="15" customHeight="1">
      <c r="B263" s="107"/>
      <c r="C263" s="68" t="s">
        <v>117</v>
      </c>
      <c r="D263" s="69">
        <v>2</v>
      </c>
      <c r="E263" s="70">
        <v>2.9133284777899999E-4</v>
      </c>
    </row>
    <row r="264" spans="2:5" ht="15" customHeight="1">
      <c r="B264" s="107"/>
      <c r="C264" s="68" t="s">
        <v>118</v>
      </c>
      <c r="D264" s="69">
        <v>1</v>
      </c>
      <c r="E264" s="70">
        <v>1.4566642388899999E-4</v>
      </c>
    </row>
    <row r="265" spans="2:5" ht="15" customHeight="1">
      <c r="B265" s="107"/>
      <c r="C265" s="68" t="s">
        <v>119</v>
      </c>
      <c r="D265" s="69">
        <v>1</v>
      </c>
      <c r="E265" s="70">
        <v>1.4566642388899999E-4</v>
      </c>
    </row>
    <row r="266" spans="2:5" ht="15" customHeight="1">
      <c r="B266" s="107"/>
      <c r="C266" s="68" t="s">
        <v>121</v>
      </c>
      <c r="D266" s="69">
        <v>3</v>
      </c>
      <c r="E266" s="70">
        <v>4.3699927166799998E-4</v>
      </c>
    </row>
    <row r="267" spans="2:5" ht="15" customHeight="1">
      <c r="B267" s="107"/>
      <c r="C267" s="68" t="s">
        <v>122</v>
      </c>
      <c r="D267" s="69">
        <v>2</v>
      </c>
      <c r="E267" s="70">
        <v>2.9133284777899999E-4</v>
      </c>
    </row>
    <row r="268" spans="2:5" ht="15" customHeight="1">
      <c r="B268" s="107"/>
      <c r="C268" s="68" t="s">
        <v>123</v>
      </c>
      <c r="D268" s="69">
        <v>2</v>
      </c>
      <c r="E268" s="70">
        <v>2.9133284777899999E-4</v>
      </c>
    </row>
    <row r="269" spans="2:5" ht="15" customHeight="1">
      <c r="B269" s="107"/>
      <c r="C269" s="68" t="s">
        <v>124</v>
      </c>
      <c r="D269" s="69">
        <v>4</v>
      </c>
      <c r="E269" s="70">
        <v>5.8266569555700002E-4</v>
      </c>
    </row>
    <row r="270" spans="2:5" ht="15" customHeight="1">
      <c r="B270" s="107"/>
      <c r="C270" s="68" t="s">
        <v>125</v>
      </c>
      <c r="D270" s="69">
        <v>4</v>
      </c>
      <c r="E270" s="70">
        <v>5.8266569555700002E-4</v>
      </c>
    </row>
    <row r="271" spans="2:5" ht="15" customHeight="1">
      <c r="B271" s="107"/>
      <c r="C271" s="68" t="s">
        <v>126</v>
      </c>
      <c r="D271" s="69">
        <v>62</v>
      </c>
      <c r="E271" s="70">
        <v>9.0313182811359999E-3</v>
      </c>
    </row>
    <row r="272" spans="2:5" ht="15" customHeight="1">
      <c r="B272" s="107"/>
      <c r="C272" s="68" t="s">
        <v>127</v>
      </c>
      <c r="D272" s="69">
        <v>2</v>
      </c>
      <c r="E272" s="70">
        <v>2.9133284777899999E-4</v>
      </c>
    </row>
    <row r="273" spans="2:5" ht="15" customHeight="1">
      <c r="B273" s="107"/>
      <c r="C273" s="68" t="s">
        <v>128</v>
      </c>
      <c r="D273" s="69">
        <v>1</v>
      </c>
      <c r="E273" s="70">
        <v>1.4566642388899999E-4</v>
      </c>
    </row>
    <row r="274" spans="2:5" ht="15" customHeight="1">
      <c r="B274" s="107"/>
      <c r="C274" s="68" t="s">
        <v>129</v>
      </c>
      <c r="D274" s="69">
        <v>3</v>
      </c>
      <c r="E274" s="70">
        <v>4.3699927166799998E-4</v>
      </c>
    </row>
    <row r="275" spans="2:5" ht="15" customHeight="1">
      <c r="B275" s="107"/>
      <c r="C275" s="68" t="s">
        <v>130</v>
      </c>
      <c r="D275" s="69">
        <v>7</v>
      </c>
      <c r="E275" s="70">
        <v>1.0196649672249999E-3</v>
      </c>
    </row>
    <row r="276" spans="2:5" ht="15" customHeight="1">
      <c r="B276" s="107"/>
      <c r="C276" s="68" t="s">
        <v>133</v>
      </c>
      <c r="D276" s="69">
        <v>9</v>
      </c>
      <c r="E276" s="70">
        <v>1.310997815004E-3</v>
      </c>
    </row>
    <row r="277" spans="2:5" ht="15" customHeight="1">
      <c r="B277" s="107"/>
      <c r="C277" s="68" t="s">
        <v>134</v>
      </c>
      <c r="D277" s="69">
        <v>8</v>
      </c>
      <c r="E277" s="70">
        <v>1.165331391114E-3</v>
      </c>
    </row>
    <row r="278" spans="2:5" ht="15" customHeight="1">
      <c r="B278" s="107"/>
      <c r="C278" s="68" t="s">
        <v>135</v>
      </c>
      <c r="D278" s="69">
        <v>1</v>
      </c>
      <c r="E278" s="70">
        <v>1.4566642388899999E-4</v>
      </c>
    </row>
    <row r="279" spans="2:5" ht="15" customHeight="1">
      <c r="B279" s="107"/>
      <c r="C279" s="68" t="s">
        <v>136</v>
      </c>
      <c r="D279" s="69">
        <v>2</v>
      </c>
      <c r="E279" s="70">
        <v>2.9133284777899999E-4</v>
      </c>
    </row>
    <row r="280" spans="2:5" ht="15" customHeight="1">
      <c r="B280" s="107"/>
      <c r="C280" s="68" t="s">
        <v>138</v>
      </c>
      <c r="D280" s="69">
        <v>2</v>
      </c>
      <c r="E280" s="70">
        <v>2.9133284777899999E-4</v>
      </c>
    </row>
    <row r="281" spans="2:5" ht="15" customHeight="1">
      <c r="B281" s="107"/>
      <c r="C281" s="68" t="s">
        <v>139</v>
      </c>
      <c r="D281" s="69">
        <v>52</v>
      </c>
      <c r="E281" s="70">
        <v>7.574654042243E-3</v>
      </c>
    </row>
    <row r="282" spans="2:5" ht="15" customHeight="1">
      <c r="B282" s="107"/>
      <c r="C282" s="68" t="s">
        <v>140</v>
      </c>
      <c r="D282" s="69">
        <v>9</v>
      </c>
      <c r="E282" s="70">
        <v>1.310997815004E-3</v>
      </c>
    </row>
    <row r="283" spans="2:5" ht="15" customHeight="1">
      <c r="B283" s="107"/>
      <c r="C283" s="68" t="s">
        <v>91</v>
      </c>
      <c r="D283" s="69">
        <v>1</v>
      </c>
      <c r="E283" s="70">
        <v>1.4566642388899999E-4</v>
      </c>
    </row>
    <row r="284" spans="2:5" ht="15" customHeight="1">
      <c r="B284" s="107"/>
      <c r="C284" s="68" t="s">
        <v>142</v>
      </c>
      <c r="D284" s="69">
        <v>2</v>
      </c>
      <c r="E284" s="70">
        <v>2.9133284777899999E-4</v>
      </c>
    </row>
    <row r="285" spans="2:5" ht="15" customHeight="1">
      <c r="B285" s="108"/>
      <c r="C285" s="36" t="s">
        <v>28</v>
      </c>
      <c r="D285" s="35">
        <v>689</v>
      </c>
      <c r="E285" s="34">
        <v>0.100364166059723</v>
      </c>
    </row>
    <row r="286" spans="2:5" ht="15" customHeight="1">
      <c r="B286" s="106" t="s">
        <v>169</v>
      </c>
      <c r="C286" s="68" t="s">
        <v>100</v>
      </c>
      <c r="D286" s="69">
        <v>9</v>
      </c>
      <c r="E286" s="70">
        <v>1.310997815004E-3</v>
      </c>
    </row>
    <row r="287" spans="2:5" ht="15" customHeight="1">
      <c r="B287" s="107"/>
      <c r="C287" s="68" t="s">
        <v>102</v>
      </c>
      <c r="D287" s="69">
        <v>120</v>
      </c>
      <c r="E287" s="70">
        <v>1.7479970866714999E-2</v>
      </c>
    </row>
    <row r="288" spans="2:5" ht="15" customHeight="1">
      <c r="B288" s="107"/>
      <c r="C288" s="68" t="s">
        <v>103</v>
      </c>
      <c r="D288" s="69">
        <v>9</v>
      </c>
      <c r="E288" s="70">
        <v>1.310997815004E-3</v>
      </c>
    </row>
    <row r="289" spans="2:5" ht="15" customHeight="1">
      <c r="B289" s="107"/>
      <c r="C289" s="68" t="s">
        <v>104</v>
      </c>
      <c r="D289" s="69">
        <v>1390</v>
      </c>
      <c r="E289" s="70">
        <v>0.20247632920611799</v>
      </c>
    </row>
    <row r="290" spans="2:5" ht="15" customHeight="1">
      <c r="B290" s="107"/>
      <c r="C290" s="68" t="s">
        <v>105</v>
      </c>
      <c r="D290" s="69">
        <v>23</v>
      </c>
      <c r="E290" s="70">
        <v>3.3503277494539999E-3</v>
      </c>
    </row>
    <row r="291" spans="2:5" ht="15" customHeight="1">
      <c r="B291" s="107"/>
      <c r="C291" s="68" t="s">
        <v>106</v>
      </c>
      <c r="D291" s="69">
        <v>1</v>
      </c>
      <c r="E291" s="70">
        <v>1.4566642388899999E-4</v>
      </c>
    </row>
    <row r="292" spans="2:5" ht="15" customHeight="1">
      <c r="B292" s="107"/>
      <c r="C292" s="68" t="s">
        <v>107</v>
      </c>
      <c r="D292" s="69">
        <v>1</v>
      </c>
      <c r="E292" s="70">
        <v>1.4566642388899999E-4</v>
      </c>
    </row>
    <row r="293" spans="2:5" ht="15" customHeight="1">
      <c r="B293" s="107"/>
      <c r="C293" s="68" t="s">
        <v>109</v>
      </c>
      <c r="D293" s="69">
        <v>16</v>
      </c>
      <c r="E293" s="70">
        <v>2.3306627822290002E-3</v>
      </c>
    </row>
    <row r="294" spans="2:5" ht="15" customHeight="1">
      <c r="B294" s="107"/>
      <c r="C294" s="68" t="s">
        <v>110</v>
      </c>
      <c r="D294" s="69">
        <v>18</v>
      </c>
      <c r="E294" s="70">
        <v>2.6219956300069999E-3</v>
      </c>
    </row>
    <row r="295" spans="2:5" ht="15" customHeight="1">
      <c r="B295" s="107"/>
      <c r="C295" s="68" t="s">
        <v>111</v>
      </c>
      <c r="D295" s="69">
        <v>1</v>
      </c>
      <c r="E295" s="70">
        <v>1.4566642388899999E-4</v>
      </c>
    </row>
    <row r="296" spans="2:5" ht="15" customHeight="1">
      <c r="B296" s="107"/>
      <c r="C296" s="68" t="s">
        <v>112</v>
      </c>
      <c r="D296" s="69">
        <v>17</v>
      </c>
      <c r="E296" s="70">
        <v>2.476329206118E-3</v>
      </c>
    </row>
    <row r="297" spans="2:5" ht="15" customHeight="1">
      <c r="B297" s="107"/>
      <c r="C297" s="68" t="s">
        <v>113</v>
      </c>
      <c r="D297" s="69">
        <v>57</v>
      </c>
      <c r="E297" s="70">
        <v>8.30298616169E-3</v>
      </c>
    </row>
    <row r="298" spans="2:5" ht="15" customHeight="1">
      <c r="B298" s="107"/>
      <c r="C298" s="68" t="s">
        <v>114</v>
      </c>
      <c r="D298" s="69">
        <v>19</v>
      </c>
      <c r="E298" s="70">
        <v>2.7676620538969999E-3</v>
      </c>
    </row>
    <row r="299" spans="2:5" ht="15" customHeight="1">
      <c r="B299" s="107"/>
      <c r="C299" s="68" t="s">
        <v>115</v>
      </c>
      <c r="D299" s="69">
        <v>2</v>
      </c>
      <c r="E299" s="70">
        <v>2.9133284777899999E-4</v>
      </c>
    </row>
    <row r="300" spans="2:5" ht="15" customHeight="1">
      <c r="B300" s="107"/>
      <c r="C300" s="68" t="s">
        <v>116</v>
      </c>
      <c r="D300" s="69">
        <v>18</v>
      </c>
      <c r="E300" s="70">
        <v>2.6219956300069999E-3</v>
      </c>
    </row>
    <row r="301" spans="2:5" ht="15" customHeight="1">
      <c r="B301" s="107"/>
      <c r="C301" s="68" t="s">
        <v>117</v>
      </c>
      <c r="D301" s="69">
        <v>5</v>
      </c>
      <c r="E301" s="70">
        <v>7.2833211944600001E-4</v>
      </c>
    </row>
    <row r="302" spans="2:5" ht="15" customHeight="1">
      <c r="B302" s="107"/>
      <c r="C302" s="68" t="s">
        <v>118</v>
      </c>
      <c r="D302" s="69">
        <v>2</v>
      </c>
      <c r="E302" s="70">
        <v>2.9133284777899999E-4</v>
      </c>
    </row>
    <row r="303" spans="2:5" ht="15" customHeight="1">
      <c r="B303" s="107"/>
      <c r="C303" s="68" t="s">
        <v>119</v>
      </c>
      <c r="D303" s="69">
        <v>2</v>
      </c>
      <c r="E303" s="70">
        <v>2.9133284777899999E-4</v>
      </c>
    </row>
    <row r="304" spans="2:5" ht="15" customHeight="1">
      <c r="B304" s="107"/>
      <c r="C304" s="68" t="s">
        <v>121</v>
      </c>
      <c r="D304" s="69">
        <v>6</v>
      </c>
      <c r="E304" s="70">
        <v>8.7399854333599996E-4</v>
      </c>
    </row>
    <row r="305" spans="2:5" ht="15" customHeight="1">
      <c r="B305" s="107"/>
      <c r="C305" s="68" t="s">
        <v>122</v>
      </c>
      <c r="D305" s="69">
        <v>15</v>
      </c>
      <c r="E305" s="70">
        <v>2.1849963583390002E-3</v>
      </c>
    </row>
    <row r="306" spans="2:5" ht="15" customHeight="1">
      <c r="B306" s="107"/>
      <c r="C306" s="68" t="s">
        <v>123</v>
      </c>
      <c r="D306" s="69">
        <v>3</v>
      </c>
      <c r="E306" s="70">
        <v>4.3699927166799998E-4</v>
      </c>
    </row>
    <row r="307" spans="2:5" ht="15" customHeight="1">
      <c r="B307" s="107"/>
      <c r="C307" s="68" t="s">
        <v>124</v>
      </c>
      <c r="D307" s="69">
        <v>5</v>
      </c>
      <c r="E307" s="70">
        <v>7.2833211944600001E-4</v>
      </c>
    </row>
    <row r="308" spans="2:5" ht="15" customHeight="1">
      <c r="B308" s="107"/>
      <c r="C308" s="68" t="s">
        <v>125</v>
      </c>
      <c r="D308" s="69">
        <v>3</v>
      </c>
      <c r="E308" s="70">
        <v>4.3699927166799998E-4</v>
      </c>
    </row>
    <row r="309" spans="2:5" ht="15" customHeight="1">
      <c r="B309" s="107"/>
      <c r="C309" s="68" t="s">
        <v>126</v>
      </c>
      <c r="D309" s="69">
        <v>141</v>
      </c>
      <c r="E309" s="70">
        <v>2.053896576839E-2</v>
      </c>
    </row>
    <row r="310" spans="2:5" ht="15" customHeight="1">
      <c r="B310" s="107"/>
      <c r="C310" s="68" t="s">
        <v>127</v>
      </c>
      <c r="D310" s="69">
        <v>5</v>
      </c>
      <c r="E310" s="70">
        <v>7.2833211944600001E-4</v>
      </c>
    </row>
    <row r="311" spans="2:5" ht="15" customHeight="1">
      <c r="B311" s="107"/>
      <c r="C311" s="68" t="s">
        <v>128</v>
      </c>
      <c r="D311" s="69">
        <v>12</v>
      </c>
      <c r="E311" s="70">
        <v>1.7479970866719999E-3</v>
      </c>
    </row>
    <row r="312" spans="2:5" ht="15" customHeight="1">
      <c r="B312" s="107"/>
      <c r="C312" s="68" t="s">
        <v>129</v>
      </c>
      <c r="D312" s="69">
        <v>7</v>
      </c>
      <c r="E312" s="70">
        <v>1.0196649672249999E-3</v>
      </c>
    </row>
    <row r="313" spans="2:5" ht="15" customHeight="1">
      <c r="B313" s="107"/>
      <c r="C313" s="68" t="s">
        <v>130</v>
      </c>
      <c r="D313" s="69">
        <v>13</v>
      </c>
      <c r="E313" s="70">
        <v>1.893663510561E-3</v>
      </c>
    </row>
    <row r="314" spans="2:5" ht="15" customHeight="1">
      <c r="B314" s="107"/>
      <c r="C314" s="68" t="s">
        <v>132</v>
      </c>
      <c r="D314" s="69">
        <v>2</v>
      </c>
      <c r="E314" s="70">
        <v>2.9133284777899999E-4</v>
      </c>
    </row>
    <row r="315" spans="2:5" ht="15" customHeight="1">
      <c r="B315" s="107"/>
      <c r="C315" s="68" t="s">
        <v>133</v>
      </c>
      <c r="D315" s="69">
        <v>18</v>
      </c>
      <c r="E315" s="70">
        <v>2.6219956300069999E-3</v>
      </c>
    </row>
    <row r="316" spans="2:5" ht="15" customHeight="1">
      <c r="B316" s="107"/>
      <c r="C316" s="68" t="s">
        <v>134</v>
      </c>
      <c r="D316" s="69">
        <v>14</v>
      </c>
      <c r="E316" s="70">
        <v>2.0393299344499999E-3</v>
      </c>
    </row>
    <row r="317" spans="2:5" ht="15" customHeight="1">
      <c r="B317" s="107"/>
      <c r="C317" s="68" t="s">
        <v>135</v>
      </c>
      <c r="D317" s="69">
        <v>8</v>
      </c>
      <c r="E317" s="70">
        <v>1.165331391114E-3</v>
      </c>
    </row>
    <row r="318" spans="2:5" ht="15" customHeight="1">
      <c r="B318" s="107"/>
      <c r="C318" s="68" t="s">
        <v>136</v>
      </c>
      <c r="D318" s="69">
        <v>3</v>
      </c>
      <c r="E318" s="70">
        <v>4.3699927166799998E-4</v>
      </c>
    </row>
    <row r="319" spans="2:5" ht="15" customHeight="1">
      <c r="B319" s="107"/>
      <c r="C319" s="68" t="s">
        <v>137</v>
      </c>
      <c r="D319" s="69">
        <v>2</v>
      </c>
      <c r="E319" s="70">
        <v>2.9133284777899999E-4</v>
      </c>
    </row>
    <row r="320" spans="2:5" ht="15" customHeight="1">
      <c r="B320" s="107"/>
      <c r="C320" s="68" t="s">
        <v>138</v>
      </c>
      <c r="D320" s="69">
        <v>17</v>
      </c>
      <c r="E320" s="70">
        <v>2.476329206118E-3</v>
      </c>
    </row>
    <row r="321" spans="2:5" ht="15" customHeight="1">
      <c r="B321" s="107"/>
      <c r="C321" s="68" t="s">
        <v>139</v>
      </c>
      <c r="D321" s="69">
        <v>121</v>
      </c>
      <c r="E321" s="70">
        <v>1.7625637290605001E-2</v>
      </c>
    </row>
    <row r="322" spans="2:5" ht="15" customHeight="1">
      <c r="B322" s="107"/>
      <c r="C322" s="68" t="s">
        <v>140</v>
      </c>
      <c r="D322" s="69">
        <v>33</v>
      </c>
      <c r="E322" s="70">
        <v>4.8069919883469998E-3</v>
      </c>
    </row>
    <row r="323" spans="2:5" ht="15" customHeight="1">
      <c r="B323" s="107"/>
      <c r="C323" s="68" t="s">
        <v>141</v>
      </c>
      <c r="D323" s="69">
        <v>4</v>
      </c>
      <c r="E323" s="70">
        <v>5.8266569555700002E-4</v>
      </c>
    </row>
    <row r="324" spans="2:5" ht="15" customHeight="1">
      <c r="B324" s="107"/>
      <c r="C324" s="68" t="s">
        <v>91</v>
      </c>
      <c r="D324" s="69">
        <v>17</v>
      </c>
      <c r="E324" s="70">
        <v>2.476329206118E-3</v>
      </c>
    </row>
    <row r="325" spans="2:5" ht="15" customHeight="1">
      <c r="B325" s="107"/>
      <c r="C325" s="68" t="s">
        <v>142</v>
      </c>
      <c r="D325" s="69">
        <v>14</v>
      </c>
      <c r="E325" s="70">
        <v>2.0393299344499999E-3</v>
      </c>
    </row>
    <row r="326" spans="2:5" ht="15" customHeight="1">
      <c r="B326" s="107"/>
      <c r="C326" s="68" t="s">
        <v>143</v>
      </c>
      <c r="D326" s="69">
        <v>1</v>
      </c>
      <c r="E326" s="70">
        <v>1.4566642388899999E-4</v>
      </c>
    </row>
    <row r="327" spans="2:5" ht="15" customHeight="1">
      <c r="B327" s="108"/>
      <c r="C327" s="36" t="s">
        <v>28</v>
      </c>
      <c r="D327" s="35">
        <v>2174</v>
      </c>
      <c r="E327" s="34">
        <v>0.31667880553532401</v>
      </c>
    </row>
    <row r="328" spans="2:5" ht="15" customHeight="1">
      <c r="B328" s="106" t="s">
        <v>170</v>
      </c>
      <c r="C328" s="68" t="s">
        <v>102</v>
      </c>
      <c r="D328" s="69">
        <v>2</v>
      </c>
      <c r="E328" s="70">
        <v>2.9133284777899999E-4</v>
      </c>
    </row>
    <row r="329" spans="2:5" ht="15" customHeight="1">
      <c r="B329" s="107"/>
      <c r="C329" s="68" t="s">
        <v>104</v>
      </c>
      <c r="D329" s="69">
        <v>50</v>
      </c>
      <c r="E329" s="70">
        <v>7.2833211944650002E-3</v>
      </c>
    </row>
    <row r="330" spans="2:5" ht="15" customHeight="1">
      <c r="B330" s="107"/>
      <c r="C330" s="68" t="s">
        <v>106</v>
      </c>
      <c r="D330" s="69">
        <v>1</v>
      </c>
      <c r="E330" s="70">
        <v>1.4566642388899999E-4</v>
      </c>
    </row>
    <row r="331" spans="2:5" ht="15" customHeight="1">
      <c r="B331" s="107"/>
      <c r="C331" s="68" t="s">
        <v>112</v>
      </c>
      <c r="D331" s="69">
        <v>1</v>
      </c>
      <c r="E331" s="70">
        <v>1.4566642388899999E-4</v>
      </c>
    </row>
    <row r="332" spans="2:5" ht="15" customHeight="1">
      <c r="B332" s="107"/>
      <c r="C332" s="68" t="s">
        <v>113</v>
      </c>
      <c r="D332" s="69">
        <v>1</v>
      </c>
      <c r="E332" s="70">
        <v>1.4566642388899999E-4</v>
      </c>
    </row>
    <row r="333" spans="2:5" ht="15" customHeight="1">
      <c r="B333" s="107"/>
      <c r="C333" s="68" t="s">
        <v>114</v>
      </c>
      <c r="D333" s="69">
        <v>2</v>
      </c>
      <c r="E333" s="70">
        <v>2.9133284777899999E-4</v>
      </c>
    </row>
    <row r="334" spans="2:5" ht="15" customHeight="1">
      <c r="B334" s="107"/>
      <c r="C334" s="68" t="s">
        <v>117</v>
      </c>
      <c r="D334" s="69">
        <v>1</v>
      </c>
      <c r="E334" s="70">
        <v>1.4566642388899999E-4</v>
      </c>
    </row>
    <row r="335" spans="2:5" ht="15" customHeight="1">
      <c r="B335" s="107"/>
      <c r="C335" s="68" t="s">
        <v>118</v>
      </c>
      <c r="D335" s="69">
        <v>1</v>
      </c>
      <c r="E335" s="70">
        <v>1.4566642388899999E-4</v>
      </c>
    </row>
    <row r="336" spans="2:5" ht="15" customHeight="1">
      <c r="B336" s="107"/>
      <c r="C336" s="68" t="s">
        <v>124</v>
      </c>
      <c r="D336" s="69">
        <v>1</v>
      </c>
      <c r="E336" s="70">
        <v>1.4566642388899999E-4</v>
      </c>
    </row>
    <row r="337" spans="2:5" ht="15" customHeight="1">
      <c r="B337" s="107"/>
      <c r="C337" s="68" t="s">
        <v>126</v>
      </c>
      <c r="D337" s="69">
        <v>2</v>
      </c>
      <c r="E337" s="70">
        <v>2.9133284777899999E-4</v>
      </c>
    </row>
    <row r="338" spans="2:5" ht="15" customHeight="1">
      <c r="B338" s="107"/>
      <c r="C338" s="68" t="s">
        <v>127</v>
      </c>
      <c r="D338" s="69">
        <v>1</v>
      </c>
      <c r="E338" s="70">
        <v>1.4566642388899999E-4</v>
      </c>
    </row>
    <row r="339" spans="2:5" ht="15" customHeight="1">
      <c r="B339" s="107"/>
      <c r="C339" s="68" t="s">
        <v>129</v>
      </c>
      <c r="D339" s="69">
        <v>1</v>
      </c>
      <c r="E339" s="70">
        <v>1.4566642388899999E-4</v>
      </c>
    </row>
    <row r="340" spans="2:5" ht="15" customHeight="1">
      <c r="B340" s="107"/>
      <c r="C340" s="68" t="s">
        <v>132</v>
      </c>
      <c r="D340" s="69">
        <v>2</v>
      </c>
      <c r="E340" s="70">
        <v>2.9133284777899999E-4</v>
      </c>
    </row>
    <row r="341" spans="2:5" ht="15" customHeight="1">
      <c r="B341" s="107"/>
      <c r="C341" s="68" t="s">
        <v>139</v>
      </c>
      <c r="D341" s="69">
        <v>2</v>
      </c>
      <c r="E341" s="70">
        <v>2.9133284777899999E-4</v>
      </c>
    </row>
    <row r="342" spans="2:5" ht="15" customHeight="1">
      <c r="B342" s="108"/>
      <c r="C342" s="36" t="s">
        <v>28</v>
      </c>
      <c r="D342" s="35">
        <v>68</v>
      </c>
      <c r="E342" s="34">
        <v>9.9053168244720002E-3</v>
      </c>
    </row>
    <row r="343" spans="2:5" ht="15" customHeight="1">
      <c r="B343" s="106" t="s">
        <v>171</v>
      </c>
      <c r="C343" s="68" t="s">
        <v>102</v>
      </c>
      <c r="D343" s="69">
        <v>1</v>
      </c>
      <c r="E343" s="70">
        <v>1.4566642388899999E-4</v>
      </c>
    </row>
    <row r="344" spans="2:5" ht="15" customHeight="1">
      <c r="B344" s="107"/>
      <c r="C344" s="68" t="s">
        <v>104</v>
      </c>
      <c r="D344" s="69">
        <v>30</v>
      </c>
      <c r="E344" s="70">
        <v>4.3699927166789996E-3</v>
      </c>
    </row>
    <row r="345" spans="2:5" ht="15" customHeight="1">
      <c r="B345" s="107"/>
      <c r="C345" s="68" t="s">
        <v>112</v>
      </c>
      <c r="D345" s="69">
        <v>1</v>
      </c>
      <c r="E345" s="70">
        <v>1.4566642388899999E-4</v>
      </c>
    </row>
    <row r="346" spans="2:5" ht="15" customHeight="1">
      <c r="B346" s="107"/>
      <c r="C346" s="68" t="s">
        <v>113</v>
      </c>
      <c r="D346" s="69">
        <v>1</v>
      </c>
      <c r="E346" s="70">
        <v>1.4566642388899999E-4</v>
      </c>
    </row>
    <row r="347" spans="2:5" ht="15" customHeight="1">
      <c r="B347" s="107"/>
      <c r="C347" s="68" t="s">
        <v>114</v>
      </c>
      <c r="D347" s="69">
        <v>1</v>
      </c>
      <c r="E347" s="70">
        <v>1.4566642388899999E-4</v>
      </c>
    </row>
    <row r="348" spans="2:5" ht="15" customHeight="1">
      <c r="B348" s="107"/>
      <c r="C348" s="68" t="s">
        <v>116</v>
      </c>
      <c r="D348" s="69">
        <v>2</v>
      </c>
      <c r="E348" s="70">
        <v>2.9133284777899999E-4</v>
      </c>
    </row>
    <row r="349" spans="2:5" ht="15" customHeight="1">
      <c r="B349" s="107"/>
      <c r="C349" s="68" t="s">
        <v>122</v>
      </c>
      <c r="D349" s="69">
        <v>1</v>
      </c>
      <c r="E349" s="70">
        <v>1.4566642388899999E-4</v>
      </c>
    </row>
    <row r="350" spans="2:5" ht="15" customHeight="1">
      <c r="B350" s="107"/>
      <c r="C350" s="68" t="s">
        <v>124</v>
      </c>
      <c r="D350" s="69">
        <v>1</v>
      </c>
      <c r="E350" s="70">
        <v>1.4566642388899999E-4</v>
      </c>
    </row>
    <row r="351" spans="2:5" ht="15" customHeight="1">
      <c r="B351" s="107"/>
      <c r="C351" s="68" t="s">
        <v>125</v>
      </c>
      <c r="D351" s="69">
        <v>2</v>
      </c>
      <c r="E351" s="70">
        <v>2.9133284777899999E-4</v>
      </c>
    </row>
    <row r="352" spans="2:5" ht="15" customHeight="1">
      <c r="B352" s="107"/>
      <c r="C352" s="68" t="s">
        <v>126</v>
      </c>
      <c r="D352" s="69">
        <v>4</v>
      </c>
      <c r="E352" s="70">
        <v>5.8266569555700002E-4</v>
      </c>
    </row>
    <row r="353" spans="2:5" ht="15" customHeight="1">
      <c r="B353" s="107"/>
      <c r="C353" s="68" t="s">
        <v>127</v>
      </c>
      <c r="D353" s="69">
        <v>1</v>
      </c>
      <c r="E353" s="70">
        <v>1.4566642388899999E-4</v>
      </c>
    </row>
    <row r="354" spans="2:5" ht="15" customHeight="1">
      <c r="B354" s="107"/>
      <c r="C354" s="68" t="s">
        <v>129</v>
      </c>
      <c r="D354" s="69">
        <v>1</v>
      </c>
      <c r="E354" s="70">
        <v>1.4566642388899999E-4</v>
      </c>
    </row>
    <row r="355" spans="2:5" ht="15" customHeight="1">
      <c r="B355" s="107"/>
      <c r="C355" s="68" t="s">
        <v>133</v>
      </c>
      <c r="D355" s="69">
        <v>2</v>
      </c>
      <c r="E355" s="70">
        <v>2.9133284777899999E-4</v>
      </c>
    </row>
    <row r="356" spans="2:5" ht="15" customHeight="1">
      <c r="B356" s="107"/>
      <c r="C356" s="68" t="s">
        <v>139</v>
      </c>
      <c r="D356" s="69">
        <v>1</v>
      </c>
      <c r="E356" s="70">
        <v>1.4566642388899999E-4</v>
      </c>
    </row>
    <row r="357" spans="2:5" ht="15" customHeight="1">
      <c r="B357" s="108"/>
      <c r="C357" s="36" t="s">
        <v>28</v>
      </c>
      <c r="D357" s="35">
        <v>49</v>
      </c>
      <c r="E357" s="34">
        <v>7.1376547705749999E-3</v>
      </c>
    </row>
    <row r="358" spans="2:5" ht="15" customHeight="1">
      <c r="B358" s="106" t="s">
        <v>172</v>
      </c>
      <c r="C358" s="68" t="s">
        <v>102</v>
      </c>
      <c r="D358" s="69">
        <v>1</v>
      </c>
      <c r="E358" s="70">
        <v>1.4566642388899999E-4</v>
      </c>
    </row>
    <row r="359" spans="2:5" ht="15" customHeight="1">
      <c r="B359" s="107"/>
      <c r="C359" s="68" t="s">
        <v>104</v>
      </c>
      <c r="D359" s="69">
        <v>21</v>
      </c>
      <c r="E359" s="70">
        <v>3.0589949016750001E-3</v>
      </c>
    </row>
    <row r="360" spans="2:5" ht="15" customHeight="1">
      <c r="B360" s="107"/>
      <c r="C360" s="68" t="s">
        <v>122</v>
      </c>
      <c r="D360" s="69">
        <v>1</v>
      </c>
      <c r="E360" s="70">
        <v>1.4566642388899999E-4</v>
      </c>
    </row>
    <row r="361" spans="2:5" ht="15" customHeight="1">
      <c r="B361" s="107"/>
      <c r="C361" s="68" t="s">
        <v>126</v>
      </c>
      <c r="D361" s="69">
        <v>1</v>
      </c>
      <c r="E361" s="70">
        <v>1.4566642388899999E-4</v>
      </c>
    </row>
    <row r="362" spans="2:5" ht="15" customHeight="1">
      <c r="B362" s="108"/>
      <c r="C362" s="36" t="s">
        <v>28</v>
      </c>
      <c r="D362" s="35">
        <v>24</v>
      </c>
      <c r="E362" s="34">
        <v>3.4959941733430002E-3</v>
      </c>
    </row>
    <row r="363" spans="2:5" ht="15" customHeight="1">
      <c r="B363" s="106" t="s">
        <v>173</v>
      </c>
      <c r="C363" s="68" t="s">
        <v>104</v>
      </c>
      <c r="D363" s="69">
        <v>13</v>
      </c>
      <c r="E363" s="70">
        <v>1.893663510561E-3</v>
      </c>
    </row>
    <row r="364" spans="2:5" ht="15" customHeight="1">
      <c r="B364" s="107"/>
      <c r="C364" s="68" t="s">
        <v>105</v>
      </c>
      <c r="D364" s="69">
        <v>1</v>
      </c>
      <c r="E364" s="70">
        <v>1.4566642388899999E-4</v>
      </c>
    </row>
    <row r="365" spans="2:5" ht="15" customHeight="1">
      <c r="B365" s="107"/>
      <c r="C365" s="68" t="s">
        <v>125</v>
      </c>
      <c r="D365" s="69">
        <v>1</v>
      </c>
      <c r="E365" s="70">
        <v>1.4566642388899999E-4</v>
      </c>
    </row>
    <row r="366" spans="2:5" ht="15" customHeight="1">
      <c r="B366" s="107"/>
      <c r="C366" s="68" t="s">
        <v>129</v>
      </c>
      <c r="D366" s="69">
        <v>1</v>
      </c>
      <c r="E366" s="70">
        <v>1.4566642388899999E-4</v>
      </c>
    </row>
    <row r="367" spans="2:5" ht="15" customHeight="1">
      <c r="B367" s="107"/>
      <c r="C367" s="68" t="s">
        <v>133</v>
      </c>
      <c r="D367" s="69">
        <v>1</v>
      </c>
      <c r="E367" s="70">
        <v>1.4566642388899999E-4</v>
      </c>
    </row>
    <row r="368" spans="2:5" ht="15" customHeight="1">
      <c r="B368" s="107"/>
      <c r="C368" s="68" t="s">
        <v>139</v>
      </c>
      <c r="D368" s="69">
        <v>1</v>
      </c>
      <c r="E368" s="70">
        <v>1.4566642388899999E-4</v>
      </c>
    </row>
    <row r="369" spans="2:5" ht="15" customHeight="1">
      <c r="B369" s="108"/>
      <c r="C369" s="36" t="s">
        <v>28</v>
      </c>
      <c r="D369" s="35">
        <v>18</v>
      </c>
      <c r="E369" s="34">
        <v>2.6219956300069999E-3</v>
      </c>
    </row>
    <row r="370" spans="2:5" ht="15" customHeight="1">
      <c r="B370" s="106" t="s">
        <v>174</v>
      </c>
      <c r="C370" s="68" t="s">
        <v>102</v>
      </c>
      <c r="D370" s="69">
        <v>9</v>
      </c>
      <c r="E370" s="70">
        <v>1.310997815004E-3</v>
      </c>
    </row>
    <row r="371" spans="2:5" ht="15" customHeight="1">
      <c r="B371" s="107"/>
      <c r="C371" s="68" t="s">
        <v>104</v>
      </c>
      <c r="D371" s="69">
        <v>122</v>
      </c>
      <c r="E371" s="70">
        <v>1.7771303714494001E-2</v>
      </c>
    </row>
    <row r="372" spans="2:5" ht="15" customHeight="1">
      <c r="B372" s="107"/>
      <c r="C372" s="68" t="s">
        <v>105</v>
      </c>
      <c r="D372" s="69">
        <v>4</v>
      </c>
      <c r="E372" s="70">
        <v>5.8266569555700002E-4</v>
      </c>
    </row>
    <row r="373" spans="2:5" ht="15" customHeight="1">
      <c r="B373" s="107"/>
      <c r="C373" s="68" t="s">
        <v>109</v>
      </c>
      <c r="D373" s="69">
        <v>2</v>
      </c>
      <c r="E373" s="70">
        <v>2.9133284777899999E-4</v>
      </c>
    </row>
    <row r="374" spans="2:5" ht="15" customHeight="1">
      <c r="B374" s="107"/>
      <c r="C374" s="68" t="s">
        <v>110</v>
      </c>
      <c r="D374" s="69">
        <v>3</v>
      </c>
      <c r="E374" s="70">
        <v>4.3699927166799998E-4</v>
      </c>
    </row>
    <row r="375" spans="2:5" ht="15" customHeight="1">
      <c r="B375" s="107"/>
      <c r="C375" s="68" t="s">
        <v>113</v>
      </c>
      <c r="D375" s="69">
        <v>6</v>
      </c>
      <c r="E375" s="70">
        <v>8.7399854333599996E-4</v>
      </c>
    </row>
    <row r="376" spans="2:5" ht="15" customHeight="1">
      <c r="B376" s="107"/>
      <c r="C376" s="68" t="s">
        <v>114</v>
      </c>
      <c r="D376" s="69">
        <v>2</v>
      </c>
      <c r="E376" s="70">
        <v>2.9133284777899999E-4</v>
      </c>
    </row>
    <row r="377" spans="2:5" ht="15" customHeight="1">
      <c r="B377" s="107"/>
      <c r="C377" s="68" t="s">
        <v>116</v>
      </c>
      <c r="D377" s="69">
        <v>1</v>
      </c>
      <c r="E377" s="70">
        <v>1.4566642388899999E-4</v>
      </c>
    </row>
    <row r="378" spans="2:5" ht="15" customHeight="1">
      <c r="B378" s="107"/>
      <c r="C378" s="68" t="s">
        <v>117</v>
      </c>
      <c r="D378" s="69">
        <v>3</v>
      </c>
      <c r="E378" s="70">
        <v>4.3699927166799998E-4</v>
      </c>
    </row>
    <row r="379" spans="2:5" ht="15" customHeight="1">
      <c r="B379" s="107"/>
      <c r="C379" s="68" t="s">
        <v>121</v>
      </c>
      <c r="D379" s="69">
        <v>1</v>
      </c>
      <c r="E379" s="70">
        <v>1.4566642388899999E-4</v>
      </c>
    </row>
    <row r="380" spans="2:5" ht="15" customHeight="1">
      <c r="B380" s="107"/>
      <c r="C380" s="68" t="s">
        <v>122</v>
      </c>
      <c r="D380" s="69">
        <v>2</v>
      </c>
      <c r="E380" s="70">
        <v>2.9133284777899999E-4</v>
      </c>
    </row>
    <row r="381" spans="2:5" ht="15" customHeight="1">
      <c r="B381" s="107"/>
      <c r="C381" s="68" t="s">
        <v>123</v>
      </c>
      <c r="D381" s="69">
        <v>1</v>
      </c>
      <c r="E381" s="70">
        <v>1.4566642388899999E-4</v>
      </c>
    </row>
    <row r="382" spans="2:5" ht="15" customHeight="1">
      <c r="B382" s="107"/>
      <c r="C382" s="68" t="s">
        <v>124</v>
      </c>
      <c r="D382" s="69">
        <v>1</v>
      </c>
      <c r="E382" s="70">
        <v>1.4566642388899999E-4</v>
      </c>
    </row>
    <row r="383" spans="2:5" ht="15" customHeight="1">
      <c r="B383" s="107"/>
      <c r="C383" s="68" t="s">
        <v>126</v>
      </c>
      <c r="D383" s="69">
        <v>9</v>
      </c>
      <c r="E383" s="70">
        <v>1.310997815004E-3</v>
      </c>
    </row>
    <row r="384" spans="2:5" ht="15" customHeight="1">
      <c r="B384" s="107"/>
      <c r="C384" s="68" t="s">
        <v>128</v>
      </c>
      <c r="D384" s="69">
        <v>1</v>
      </c>
      <c r="E384" s="70">
        <v>1.4566642388899999E-4</v>
      </c>
    </row>
    <row r="385" spans="2:5" ht="15" customHeight="1">
      <c r="B385" s="107"/>
      <c r="C385" s="68" t="s">
        <v>129</v>
      </c>
      <c r="D385" s="69">
        <v>1</v>
      </c>
      <c r="E385" s="70">
        <v>1.4566642388899999E-4</v>
      </c>
    </row>
    <row r="386" spans="2:5" ht="15" customHeight="1">
      <c r="B386" s="107"/>
      <c r="C386" s="68" t="s">
        <v>130</v>
      </c>
      <c r="D386" s="69">
        <v>1</v>
      </c>
      <c r="E386" s="70">
        <v>1.4566642388899999E-4</v>
      </c>
    </row>
    <row r="387" spans="2:5" ht="15" customHeight="1">
      <c r="B387" s="107"/>
      <c r="C387" s="68" t="s">
        <v>133</v>
      </c>
      <c r="D387" s="69">
        <v>2</v>
      </c>
      <c r="E387" s="70">
        <v>2.9133284777899999E-4</v>
      </c>
    </row>
    <row r="388" spans="2:5" ht="15" customHeight="1">
      <c r="B388" s="107"/>
      <c r="C388" s="68" t="s">
        <v>134</v>
      </c>
      <c r="D388" s="69">
        <v>1</v>
      </c>
      <c r="E388" s="70">
        <v>1.4566642388899999E-4</v>
      </c>
    </row>
    <row r="389" spans="2:5" ht="15" customHeight="1">
      <c r="B389" s="107"/>
      <c r="C389" s="68" t="s">
        <v>139</v>
      </c>
      <c r="D389" s="69">
        <v>6</v>
      </c>
      <c r="E389" s="70">
        <v>8.7399854333599996E-4</v>
      </c>
    </row>
    <row r="390" spans="2:5" ht="15" customHeight="1">
      <c r="B390" s="107"/>
      <c r="C390" s="68" t="s">
        <v>140</v>
      </c>
      <c r="D390" s="69">
        <v>2</v>
      </c>
      <c r="E390" s="70">
        <v>2.9133284777899999E-4</v>
      </c>
    </row>
    <row r="391" spans="2:5" ht="15" customHeight="1">
      <c r="B391" s="107"/>
      <c r="C391" s="68" t="s">
        <v>142</v>
      </c>
      <c r="D391" s="69">
        <v>2</v>
      </c>
      <c r="E391" s="70">
        <v>2.9133284777899999E-4</v>
      </c>
    </row>
    <row r="392" spans="2:5" ht="15" customHeight="1">
      <c r="B392" s="108"/>
      <c r="C392" s="36" t="s">
        <v>28</v>
      </c>
      <c r="D392" s="35">
        <v>182</v>
      </c>
      <c r="E392" s="34">
        <v>2.6511289147850999E-2</v>
      </c>
    </row>
    <row r="393" spans="2:5" ht="15" customHeight="1">
      <c r="B393" s="106" t="s">
        <v>175</v>
      </c>
      <c r="C393" s="68" t="s">
        <v>100</v>
      </c>
      <c r="D393" s="69">
        <v>2</v>
      </c>
      <c r="E393" s="70">
        <v>2.9133284777899999E-4</v>
      </c>
    </row>
    <row r="394" spans="2:5" ht="15" customHeight="1">
      <c r="B394" s="107"/>
      <c r="C394" s="68" t="s">
        <v>102</v>
      </c>
      <c r="D394" s="69">
        <v>39</v>
      </c>
      <c r="E394" s="70">
        <v>5.680990531682E-3</v>
      </c>
    </row>
    <row r="395" spans="2:5" ht="15" customHeight="1">
      <c r="B395" s="107"/>
      <c r="C395" s="68" t="s">
        <v>103</v>
      </c>
      <c r="D395" s="69">
        <v>1</v>
      </c>
      <c r="E395" s="70">
        <v>1.4566642388899999E-4</v>
      </c>
    </row>
    <row r="396" spans="2:5" ht="15" customHeight="1">
      <c r="B396" s="107"/>
      <c r="C396" s="68" t="s">
        <v>104</v>
      </c>
      <c r="D396" s="69">
        <v>302</v>
      </c>
      <c r="E396" s="70">
        <v>4.3991260014566998E-2</v>
      </c>
    </row>
    <row r="397" spans="2:5" ht="15" customHeight="1">
      <c r="B397" s="107"/>
      <c r="C397" s="68" t="s">
        <v>105</v>
      </c>
      <c r="D397" s="69">
        <v>3</v>
      </c>
      <c r="E397" s="70">
        <v>4.3699927166799998E-4</v>
      </c>
    </row>
    <row r="398" spans="2:5" ht="15" customHeight="1">
      <c r="B398" s="107"/>
      <c r="C398" s="68" t="s">
        <v>107</v>
      </c>
      <c r="D398" s="69">
        <v>1</v>
      </c>
      <c r="E398" s="70">
        <v>1.4566642388899999E-4</v>
      </c>
    </row>
    <row r="399" spans="2:5" ht="15" customHeight="1">
      <c r="B399" s="107"/>
      <c r="C399" s="68" t="s">
        <v>109</v>
      </c>
      <c r="D399" s="69">
        <v>3</v>
      </c>
      <c r="E399" s="70">
        <v>4.3699927166799998E-4</v>
      </c>
    </row>
    <row r="400" spans="2:5" ht="15" customHeight="1">
      <c r="B400" s="107"/>
      <c r="C400" s="68" t="s">
        <v>110</v>
      </c>
      <c r="D400" s="69">
        <v>1</v>
      </c>
      <c r="E400" s="70">
        <v>1.4566642388899999E-4</v>
      </c>
    </row>
    <row r="401" spans="2:5" ht="15" customHeight="1">
      <c r="B401" s="107"/>
      <c r="C401" s="68" t="s">
        <v>112</v>
      </c>
      <c r="D401" s="69">
        <v>1</v>
      </c>
      <c r="E401" s="70">
        <v>1.4566642388899999E-4</v>
      </c>
    </row>
    <row r="402" spans="2:5" ht="15" customHeight="1">
      <c r="B402" s="107"/>
      <c r="C402" s="68" t="s">
        <v>113</v>
      </c>
      <c r="D402" s="69">
        <v>7</v>
      </c>
      <c r="E402" s="70">
        <v>1.0196649672249999E-3</v>
      </c>
    </row>
    <row r="403" spans="2:5" ht="15" customHeight="1">
      <c r="B403" s="107"/>
      <c r="C403" s="68" t="s">
        <v>114</v>
      </c>
      <c r="D403" s="69">
        <v>1</v>
      </c>
      <c r="E403" s="70">
        <v>1.4566642388899999E-4</v>
      </c>
    </row>
    <row r="404" spans="2:5" ht="15" customHeight="1">
      <c r="B404" s="107"/>
      <c r="C404" s="68" t="s">
        <v>117</v>
      </c>
      <c r="D404" s="69">
        <v>1</v>
      </c>
      <c r="E404" s="70">
        <v>1.4566642388899999E-4</v>
      </c>
    </row>
    <row r="405" spans="2:5" ht="15" customHeight="1">
      <c r="B405" s="107"/>
      <c r="C405" s="68" t="s">
        <v>118</v>
      </c>
      <c r="D405" s="69">
        <v>1</v>
      </c>
      <c r="E405" s="70">
        <v>1.4566642388899999E-4</v>
      </c>
    </row>
    <row r="406" spans="2:5" ht="15" customHeight="1">
      <c r="B406" s="107"/>
      <c r="C406" s="68" t="s">
        <v>119</v>
      </c>
      <c r="D406" s="69">
        <v>1</v>
      </c>
      <c r="E406" s="70">
        <v>1.4566642388899999E-4</v>
      </c>
    </row>
    <row r="407" spans="2:5" ht="15" customHeight="1">
      <c r="B407" s="107"/>
      <c r="C407" s="68" t="s">
        <v>120</v>
      </c>
      <c r="D407" s="69">
        <v>1</v>
      </c>
      <c r="E407" s="70">
        <v>1.4566642388899999E-4</v>
      </c>
    </row>
    <row r="408" spans="2:5" ht="15" customHeight="1">
      <c r="B408" s="107"/>
      <c r="C408" s="68" t="s">
        <v>122</v>
      </c>
      <c r="D408" s="69">
        <v>1</v>
      </c>
      <c r="E408" s="70">
        <v>1.4566642388899999E-4</v>
      </c>
    </row>
    <row r="409" spans="2:5" ht="15" customHeight="1">
      <c r="B409" s="107"/>
      <c r="C409" s="68" t="s">
        <v>126</v>
      </c>
      <c r="D409" s="69">
        <v>34</v>
      </c>
      <c r="E409" s="70">
        <v>4.9526584122360001E-3</v>
      </c>
    </row>
    <row r="410" spans="2:5" ht="15" customHeight="1">
      <c r="B410" s="107"/>
      <c r="C410" s="68" t="s">
        <v>127</v>
      </c>
      <c r="D410" s="69">
        <v>2</v>
      </c>
      <c r="E410" s="70">
        <v>2.9133284777899999E-4</v>
      </c>
    </row>
    <row r="411" spans="2:5" ht="15" customHeight="1">
      <c r="B411" s="107"/>
      <c r="C411" s="68" t="s">
        <v>129</v>
      </c>
      <c r="D411" s="69">
        <v>2</v>
      </c>
      <c r="E411" s="70">
        <v>2.9133284777899999E-4</v>
      </c>
    </row>
    <row r="412" spans="2:5" ht="15" customHeight="1">
      <c r="B412" s="107"/>
      <c r="C412" s="68" t="s">
        <v>130</v>
      </c>
      <c r="D412" s="69">
        <v>4</v>
      </c>
      <c r="E412" s="70">
        <v>5.8266569555700002E-4</v>
      </c>
    </row>
    <row r="413" spans="2:5" ht="15" customHeight="1">
      <c r="B413" s="107"/>
      <c r="C413" s="68" t="s">
        <v>133</v>
      </c>
      <c r="D413" s="69">
        <v>3</v>
      </c>
      <c r="E413" s="70">
        <v>4.3699927166799998E-4</v>
      </c>
    </row>
    <row r="414" spans="2:5" ht="15" customHeight="1">
      <c r="B414" s="107"/>
      <c r="C414" s="68" t="s">
        <v>134</v>
      </c>
      <c r="D414" s="69">
        <v>4</v>
      </c>
      <c r="E414" s="70">
        <v>5.8266569555700002E-4</v>
      </c>
    </row>
    <row r="415" spans="2:5" ht="15" customHeight="1">
      <c r="B415" s="107"/>
      <c r="C415" s="68" t="s">
        <v>138</v>
      </c>
      <c r="D415" s="69">
        <v>2</v>
      </c>
      <c r="E415" s="70">
        <v>2.9133284777899999E-4</v>
      </c>
    </row>
    <row r="416" spans="2:5" ht="15" customHeight="1">
      <c r="B416" s="107"/>
      <c r="C416" s="68" t="s">
        <v>139</v>
      </c>
      <c r="D416" s="69">
        <v>33</v>
      </c>
      <c r="E416" s="70">
        <v>4.8069919883469998E-3</v>
      </c>
    </row>
    <row r="417" spans="2:5" ht="15" customHeight="1">
      <c r="B417" s="107"/>
      <c r="C417" s="68" t="s">
        <v>140</v>
      </c>
      <c r="D417" s="69">
        <v>8</v>
      </c>
      <c r="E417" s="70">
        <v>1.165331391114E-3</v>
      </c>
    </row>
    <row r="418" spans="2:5" ht="15" customHeight="1">
      <c r="B418" s="107"/>
      <c r="C418" s="68" t="s">
        <v>141</v>
      </c>
      <c r="D418" s="69">
        <v>1</v>
      </c>
      <c r="E418" s="70">
        <v>1.4566642388899999E-4</v>
      </c>
    </row>
    <row r="419" spans="2:5" ht="15" customHeight="1">
      <c r="B419" s="107"/>
      <c r="C419" s="68" t="s">
        <v>91</v>
      </c>
      <c r="D419" s="69">
        <v>7</v>
      </c>
      <c r="E419" s="70">
        <v>1.0196649672249999E-3</v>
      </c>
    </row>
    <row r="420" spans="2:5" ht="15" customHeight="1">
      <c r="B420" s="107"/>
      <c r="C420" s="68" t="s">
        <v>142</v>
      </c>
      <c r="D420" s="69">
        <v>3</v>
      </c>
      <c r="E420" s="70">
        <v>4.3699927166799998E-4</v>
      </c>
    </row>
    <row r="421" spans="2:5" ht="15" customHeight="1">
      <c r="B421" s="107"/>
      <c r="C421" s="68" t="s">
        <v>143</v>
      </c>
      <c r="D421" s="69">
        <v>2</v>
      </c>
      <c r="E421" s="70">
        <v>2.9133284777899999E-4</v>
      </c>
    </row>
    <row r="422" spans="2:5" ht="15" customHeight="1">
      <c r="B422" s="108"/>
      <c r="C422" s="36" t="s">
        <v>28</v>
      </c>
      <c r="D422" s="35">
        <v>471</v>
      </c>
      <c r="E422" s="34">
        <v>6.8608885651856993E-2</v>
      </c>
    </row>
    <row r="423" spans="2:5" ht="15" customHeight="1">
      <c r="B423" s="106" t="s">
        <v>176</v>
      </c>
      <c r="C423" s="68" t="s">
        <v>103</v>
      </c>
      <c r="D423" s="69">
        <v>1</v>
      </c>
      <c r="E423" s="70">
        <v>1.4566642388899999E-4</v>
      </c>
    </row>
    <row r="424" spans="2:5" ht="15" customHeight="1">
      <c r="B424" s="107"/>
      <c r="C424" s="68" t="s">
        <v>104</v>
      </c>
      <c r="D424" s="69">
        <v>2</v>
      </c>
      <c r="E424" s="70">
        <v>2.9133284777899999E-4</v>
      </c>
    </row>
    <row r="425" spans="2:5" ht="15" customHeight="1">
      <c r="B425" s="107"/>
      <c r="C425" s="68" t="s">
        <v>124</v>
      </c>
      <c r="D425" s="69">
        <v>1</v>
      </c>
      <c r="E425" s="70">
        <v>1.4566642388899999E-4</v>
      </c>
    </row>
    <row r="426" spans="2:5" ht="15" customHeight="1">
      <c r="B426" s="107"/>
      <c r="C426" s="68" t="s">
        <v>133</v>
      </c>
      <c r="D426" s="69">
        <v>1</v>
      </c>
      <c r="E426" s="70">
        <v>1.4566642388899999E-4</v>
      </c>
    </row>
    <row r="427" spans="2:5" ht="15" customHeight="1">
      <c r="B427" s="107"/>
      <c r="C427" s="68" t="s">
        <v>139</v>
      </c>
      <c r="D427" s="69">
        <v>2</v>
      </c>
      <c r="E427" s="70">
        <v>2.9133284777899999E-4</v>
      </c>
    </row>
    <row r="428" spans="2:5" ht="15" customHeight="1">
      <c r="B428" s="108"/>
      <c r="C428" s="36" t="s">
        <v>28</v>
      </c>
      <c r="D428" s="35">
        <v>7</v>
      </c>
      <c r="E428" s="34">
        <v>1.0196649672249999E-3</v>
      </c>
    </row>
    <row r="429" spans="2:5" ht="15" customHeight="1">
      <c r="B429" s="106" t="s">
        <v>177</v>
      </c>
      <c r="C429" s="68" t="s">
        <v>102</v>
      </c>
      <c r="D429" s="69">
        <v>3</v>
      </c>
      <c r="E429" s="70">
        <v>4.3699927166799998E-4</v>
      </c>
    </row>
    <row r="430" spans="2:5" ht="15" customHeight="1">
      <c r="B430" s="107"/>
      <c r="C430" s="68" t="s">
        <v>104</v>
      </c>
      <c r="D430" s="69">
        <v>26</v>
      </c>
      <c r="E430" s="70">
        <v>3.787327021122E-3</v>
      </c>
    </row>
    <row r="431" spans="2:5" ht="15" customHeight="1">
      <c r="B431" s="107"/>
      <c r="C431" s="68" t="s">
        <v>109</v>
      </c>
      <c r="D431" s="69">
        <v>2</v>
      </c>
      <c r="E431" s="70">
        <v>2.9133284777899999E-4</v>
      </c>
    </row>
    <row r="432" spans="2:5" ht="15" customHeight="1">
      <c r="B432" s="107"/>
      <c r="C432" s="68" t="s">
        <v>126</v>
      </c>
      <c r="D432" s="69">
        <v>2</v>
      </c>
      <c r="E432" s="70">
        <v>2.9133284777899999E-4</v>
      </c>
    </row>
    <row r="433" spans="2:5" ht="15" customHeight="1">
      <c r="B433" s="107"/>
      <c r="C433" s="68" t="s">
        <v>131</v>
      </c>
      <c r="D433" s="69">
        <v>1</v>
      </c>
      <c r="E433" s="70">
        <v>1.4566642388899999E-4</v>
      </c>
    </row>
    <row r="434" spans="2:5" ht="15" customHeight="1">
      <c r="B434" s="107"/>
      <c r="C434" s="68" t="s">
        <v>139</v>
      </c>
      <c r="D434" s="69">
        <v>3</v>
      </c>
      <c r="E434" s="70">
        <v>4.3699927166799998E-4</v>
      </c>
    </row>
    <row r="435" spans="2:5" ht="15" customHeight="1">
      <c r="B435" s="108"/>
      <c r="C435" s="36" t="s">
        <v>28</v>
      </c>
      <c r="D435" s="35">
        <v>37</v>
      </c>
      <c r="E435" s="34">
        <v>5.3896576839040002E-3</v>
      </c>
    </row>
    <row r="436" spans="2:5" ht="15" customHeight="1">
      <c r="B436" s="106" t="s">
        <v>178</v>
      </c>
      <c r="C436" s="68" t="s">
        <v>104</v>
      </c>
      <c r="D436" s="69">
        <v>4</v>
      </c>
      <c r="E436" s="70">
        <v>5.8266569555700002E-4</v>
      </c>
    </row>
    <row r="437" spans="2:5" ht="15" customHeight="1">
      <c r="B437" s="107"/>
      <c r="C437" s="68" t="s">
        <v>109</v>
      </c>
      <c r="D437" s="69">
        <v>1</v>
      </c>
      <c r="E437" s="70">
        <v>1.4566642388899999E-4</v>
      </c>
    </row>
    <row r="438" spans="2:5" ht="15" customHeight="1">
      <c r="B438" s="107"/>
      <c r="C438" s="68" t="s">
        <v>120</v>
      </c>
      <c r="D438" s="69">
        <v>1</v>
      </c>
      <c r="E438" s="70">
        <v>1.4566642388899999E-4</v>
      </c>
    </row>
    <row r="439" spans="2:5" ht="15" customHeight="1">
      <c r="B439" s="107"/>
      <c r="C439" s="39" t="s">
        <v>129</v>
      </c>
      <c r="D439" s="38">
        <v>1</v>
      </c>
      <c r="E439" s="37">
        <v>1.4566642388899999E-4</v>
      </c>
    </row>
    <row r="440" spans="2:5" ht="15" customHeight="1">
      <c r="B440" s="108"/>
      <c r="C440" s="36" t="s">
        <v>28</v>
      </c>
      <c r="D440" s="35">
        <v>7</v>
      </c>
      <c r="E440" s="34">
        <v>1.0196649672249999E-3</v>
      </c>
    </row>
    <row r="441" spans="2:5" ht="15" customHeight="1">
      <c r="B441" s="109" t="s">
        <v>28</v>
      </c>
      <c r="C441" s="110"/>
      <c r="D441" s="63">
        <v>6865</v>
      </c>
      <c r="E441" s="64">
        <v>1</v>
      </c>
    </row>
    <row r="443" spans="2:5" ht="15" customHeight="1">
      <c r="B443" s="15" t="s">
        <v>47</v>
      </c>
    </row>
    <row r="444" spans="2:5" ht="15" customHeight="1">
      <c r="B444" s="17" t="s">
        <v>17</v>
      </c>
    </row>
    <row r="445" spans="2:5" ht="15" customHeight="1">
      <c r="B445" s="16" t="s">
        <v>48</v>
      </c>
    </row>
    <row r="446" spans="2:5" ht="15" customHeight="1">
      <c r="B446" s="15" t="s">
        <v>16</v>
      </c>
    </row>
    <row r="447" spans="2:5" ht="15" customHeight="1">
      <c r="B447" s="15" t="s">
        <v>49</v>
      </c>
    </row>
  </sheetData>
  <mergeCells count="26">
    <mergeCell ref="B286:B327"/>
    <mergeCell ref="B7:E8"/>
    <mergeCell ref="B57:B68"/>
    <mergeCell ref="B69:B95"/>
    <mergeCell ref="B96:B124"/>
    <mergeCell ref="B125:B139"/>
    <mergeCell ref="B140:B164"/>
    <mergeCell ref="B165:B193"/>
    <mergeCell ref="B194:B232"/>
    <mergeCell ref="B233:B248"/>
    <mergeCell ref="B249:B285"/>
    <mergeCell ref="B10:B19"/>
    <mergeCell ref="B20:B23"/>
    <mergeCell ref="B24:B33"/>
    <mergeCell ref="B34:B46"/>
    <mergeCell ref="B47:B56"/>
    <mergeCell ref="B423:B428"/>
    <mergeCell ref="B429:B435"/>
    <mergeCell ref="B436:B440"/>
    <mergeCell ref="B441:C441"/>
    <mergeCell ref="B328:B342"/>
    <mergeCell ref="B343:B357"/>
    <mergeCell ref="B358:B362"/>
    <mergeCell ref="B363:B369"/>
    <mergeCell ref="B370:B392"/>
    <mergeCell ref="B393:B42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656"/>
  <sheetViews>
    <sheetView showGridLines="0" view="pageBreakPreview" zoomScale="85" zoomScaleNormal="100" zoomScaleSheetLayoutView="85" workbookViewId="0">
      <selection activeCell="F13" sqref="F13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4" customFormat="1" ht="12" customHeight="1">
      <c r="B1" s="46"/>
      <c r="C1" s="40"/>
      <c r="D1" s="40"/>
      <c r="E1" s="40"/>
    </row>
    <row r="2" spans="1:5" s="44" customFormat="1" ht="15" customHeight="1">
      <c r="C2" s="48"/>
    </row>
    <row r="3" spans="1:5" s="44" customFormat="1" ht="15" customHeight="1">
      <c r="C3" s="48"/>
    </row>
    <row r="4" spans="1:5" s="44" customFormat="1" ht="30" customHeight="1">
      <c r="C4" s="48"/>
      <c r="D4" s="47"/>
    </row>
    <row r="5" spans="1:5" s="44" customFormat="1" ht="15" customHeight="1">
      <c r="C5" s="48"/>
      <c r="D5" s="47"/>
    </row>
    <row r="6" spans="1:5" s="44" customFormat="1" ht="24" customHeight="1">
      <c r="B6" s="46"/>
      <c r="C6" s="40"/>
      <c r="D6" s="40"/>
      <c r="E6" s="40"/>
    </row>
    <row r="7" spans="1:5" s="44" customFormat="1" ht="26.25" customHeight="1">
      <c r="A7" s="45"/>
      <c r="B7" s="105"/>
      <c r="C7" s="105"/>
      <c r="D7" s="105"/>
      <c r="E7" s="105"/>
    </row>
    <row r="8" spans="1:5" s="44" customFormat="1" ht="33" customHeight="1">
      <c r="A8" s="45"/>
      <c r="B8" s="105"/>
      <c r="C8" s="105"/>
      <c r="D8" s="105"/>
      <c r="E8" s="105"/>
    </row>
    <row r="9" spans="1:5" s="25" customFormat="1" ht="40.5" customHeight="1">
      <c r="B9" s="58" t="s">
        <v>21</v>
      </c>
      <c r="C9" s="58" t="s">
        <v>26</v>
      </c>
      <c r="D9" s="90" t="s">
        <v>19</v>
      </c>
      <c r="E9" s="58" t="s">
        <v>18</v>
      </c>
    </row>
    <row r="10" spans="1:5" ht="15" customHeight="1">
      <c r="B10" s="111" t="s">
        <v>86</v>
      </c>
      <c r="C10" s="77" t="s">
        <v>161</v>
      </c>
      <c r="D10" s="78">
        <v>1</v>
      </c>
      <c r="E10" s="79">
        <v>0</v>
      </c>
    </row>
    <row r="11" spans="1:5" ht="15" customHeight="1">
      <c r="B11" s="111"/>
      <c r="C11" s="77" t="s">
        <v>165</v>
      </c>
      <c r="D11" s="78">
        <v>1</v>
      </c>
      <c r="E11" s="79">
        <v>0</v>
      </c>
    </row>
    <row r="12" spans="1:5" ht="15" customHeight="1">
      <c r="B12" s="111"/>
      <c r="C12" s="77" t="s">
        <v>166</v>
      </c>
      <c r="D12" s="78">
        <v>8</v>
      </c>
      <c r="E12" s="79">
        <v>1E-3</v>
      </c>
    </row>
    <row r="13" spans="1:5" ht="15" customHeight="1">
      <c r="B13" s="111"/>
      <c r="C13" s="77" t="s">
        <v>168</v>
      </c>
      <c r="D13" s="78">
        <v>1</v>
      </c>
      <c r="E13" s="79">
        <v>0</v>
      </c>
    </row>
    <row r="14" spans="1:5" ht="15" customHeight="1">
      <c r="B14" s="111"/>
      <c r="C14" s="77" t="s">
        <v>169</v>
      </c>
      <c r="D14" s="78">
        <v>10</v>
      </c>
      <c r="E14" s="79">
        <v>1E-3</v>
      </c>
    </row>
    <row r="15" spans="1:5" ht="15" customHeight="1">
      <c r="B15" s="111"/>
      <c r="C15" s="77" t="s">
        <v>173</v>
      </c>
      <c r="D15" s="78">
        <v>2</v>
      </c>
      <c r="E15" s="79">
        <v>0</v>
      </c>
    </row>
    <row r="16" spans="1:5" ht="15" customHeight="1">
      <c r="B16" s="111"/>
      <c r="C16" s="77" t="s">
        <v>174</v>
      </c>
      <c r="D16" s="78">
        <v>1</v>
      </c>
      <c r="E16" s="79">
        <v>0</v>
      </c>
    </row>
    <row r="17" spans="2:5" ht="15" customHeight="1">
      <c r="B17" s="111"/>
      <c r="C17" s="76" t="s">
        <v>28</v>
      </c>
      <c r="D17" s="80">
        <v>24</v>
      </c>
      <c r="E17" s="81">
        <v>3.0000000000000001E-3</v>
      </c>
    </row>
    <row r="18" spans="2:5" ht="15" customHeight="1">
      <c r="B18" s="111" t="s">
        <v>67</v>
      </c>
      <c r="C18" s="77" t="s">
        <v>155</v>
      </c>
      <c r="D18" s="78">
        <v>1</v>
      </c>
      <c r="E18" s="79">
        <v>0</v>
      </c>
    </row>
    <row r="19" spans="2:5" ht="15" customHeight="1">
      <c r="B19" s="111"/>
      <c r="C19" s="77" t="s">
        <v>161</v>
      </c>
      <c r="D19" s="78">
        <v>3</v>
      </c>
      <c r="E19" s="79">
        <v>0</v>
      </c>
    </row>
    <row r="20" spans="2:5" ht="15" customHeight="1">
      <c r="B20" s="111"/>
      <c r="C20" s="77" t="s">
        <v>162</v>
      </c>
      <c r="D20" s="78">
        <v>1</v>
      </c>
      <c r="E20" s="79">
        <v>0</v>
      </c>
    </row>
    <row r="21" spans="2:5" ht="15" customHeight="1">
      <c r="B21" s="111"/>
      <c r="C21" s="77" t="s">
        <v>163</v>
      </c>
      <c r="D21" s="78">
        <v>2</v>
      </c>
      <c r="E21" s="79">
        <v>0</v>
      </c>
    </row>
    <row r="22" spans="2:5" ht="15" customHeight="1">
      <c r="B22" s="111"/>
      <c r="C22" s="77" t="s">
        <v>164</v>
      </c>
      <c r="D22" s="78">
        <v>4</v>
      </c>
      <c r="E22" s="79">
        <v>1E-3</v>
      </c>
    </row>
    <row r="23" spans="2:5" ht="15" customHeight="1">
      <c r="B23" s="111"/>
      <c r="C23" s="77" t="s">
        <v>165</v>
      </c>
      <c r="D23" s="78">
        <v>2</v>
      </c>
      <c r="E23" s="79">
        <v>0</v>
      </c>
    </row>
    <row r="24" spans="2:5" ht="15" customHeight="1">
      <c r="B24" s="111"/>
      <c r="C24" s="77" t="s">
        <v>166</v>
      </c>
      <c r="D24" s="78">
        <v>15</v>
      </c>
      <c r="E24" s="79">
        <v>2E-3</v>
      </c>
    </row>
    <row r="25" spans="2:5" ht="15" customHeight="1">
      <c r="B25" s="111"/>
      <c r="C25" s="77" t="s">
        <v>168</v>
      </c>
      <c r="D25" s="78">
        <v>13</v>
      </c>
      <c r="E25" s="79">
        <v>2E-3</v>
      </c>
    </row>
    <row r="26" spans="2:5" ht="15" customHeight="1">
      <c r="B26" s="111"/>
      <c r="C26" s="77" t="s">
        <v>169</v>
      </c>
      <c r="D26" s="78">
        <v>33</v>
      </c>
      <c r="E26" s="79">
        <v>5.0000000000000001E-3</v>
      </c>
    </row>
    <row r="27" spans="2:5" ht="15" customHeight="1">
      <c r="B27" s="111"/>
      <c r="C27" s="77" t="s">
        <v>174</v>
      </c>
      <c r="D27" s="78">
        <v>3</v>
      </c>
      <c r="E27" s="79">
        <v>0</v>
      </c>
    </row>
    <row r="28" spans="2:5" ht="15" customHeight="1">
      <c r="B28" s="111"/>
      <c r="C28" s="77" t="s">
        <v>175</v>
      </c>
      <c r="D28" s="78">
        <v>3</v>
      </c>
      <c r="E28" s="79">
        <v>0</v>
      </c>
    </row>
    <row r="29" spans="2:5" ht="15" customHeight="1">
      <c r="B29" s="111"/>
      <c r="C29" s="76" t="s">
        <v>28</v>
      </c>
      <c r="D29" s="80">
        <v>80</v>
      </c>
      <c r="E29" s="81">
        <v>1.2E-2</v>
      </c>
    </row>
    <row r="30" spans="2:5" ht="15" customHeight="1">
      <c r="B30" s="111" t="s">
        <v>87</v>
      </c>
      <c r="C30" s="77" t="s">
        <v>162</v>
      </c>
      <c r="D30" s="78">
        <v>2</v>
      </c>
      <c r="E30" s="79">
        <v>0</v>
      </c>
    </row>
    <row r="31" spans="2:5" ht="15" customHeight="1">
      <c r="B31" s="111"/>
      <c r="C31" s="77" t="s">
        <v>164</v>
      </c>
      <c r="D31" s="78">
        <v>3</v>
      </c>
      <c r="E31" s="79">
        <v>0</v>
      </c>
    </row>
    <row r="32" spans="2:5" ht="15" customHeight="1">
      <c r="B32" s="111"/>
      <c r="C32" s="77" t="s">
        <v>165</v>
      </c>
      <c r="D32" s="78">
        <v>2</v>
      </c>
      <c r="E32" s="79">
        <v>0</v>
      </c>
    </row>
    <row r="33" spans="2:5" ht="15" customHeight="1">
      <c r="B33" s="111"/>
      <c r="C33" s="77" t="s">
        <v>166</v>
      </c>
      <c r="D33" s="78">
        <v>9</v>
      </c>
      <c r="E33" s="79">
        <v>1E-3</v>
      </c>
    </row>
    <row r="34" spans="2:5" ht="15" customHeight="1">
      <c r="B34" s="111"/>
      <c r="C34" s="77" t="s">
        <v>168</v>
      </c>
      <c r="D34" s="78">
        <v>1</v>
      </c>
      <c r="E34" s="79">
        <v>0</v>
      </c>
    </row>
    <row r="35" spans="2:5" ht="15" customHeight="1">
      <c r="B35" s="111"/>
      <c r="C35" s="77" t="s">
        <v>169</v>
      </c>
      <c r="D35" s="78">
        <v>6</v>
      </c>
      <c r="E35" s="79">
        <v>1E-3</v>
      </c>
    </row>
    <row r="36" spans="2:5" ht="15" customHeight="1">
      <c r="B36" s="111"/>
      <c r="C36" s="76" t="s">
        <v>28</v>
      </c>
      <c r="D36" s="80">
        <v>23</v>
      </c>
      <c r="E36" s="81">
        <v>3.0000000000000001E-3</v>
      </c>
    </row>
    <row r="37" spans="2:5" ht="15" customHeight="1">
      <c r="B37" s="111" t="s">
        <v>74</v>
      </c>
      <c r="C37" s="77" t="s">
        <v>158</v>
      </c>
      <c r="D37" s="78">
        <v>1</v>
      </c>
      <c r="E37" s="79">
        <v>0</v>
      </c>
    </row>
    <row r="38" spans="2:5" ht="15" customHeight="1">
      <c r="B38" s="111"/>
      <c r="C38" s="77" t="s">
        <v>161</v>
      </c>
      <c r="D38" s="78">
        <v>2</v>
      </c>
      <c r="E38" s="79">
        <v>0</v>
      </c>
    </row>
    <row r="39" spans="2:5" ht="15" customHeight="1">
      <c r="B39" s="111"/>
      <c r="C39" s="77" t="s">
        <v>162</v>
      </c>
      <c r="D39" s="78">
        <v>4</v>
      </c>
      <c r="E39" s="79">
        <v>1E-3</v>
      </c>
    </row>
    <row r="40" spans="2:5" ht="15" customHeight="1">
      <c r="B40" s="111"/>
      <c r="C40" s="77" t="s">
        <v>164</v>
      </c>
      <c r="D40" s="78">
        <v>1</v>
      </c>
      <c r="E40" s="79">
        <v>0</v>
      </c>
    </row>
    <row r="41" spans="2:5" ht="15" customHeight="1">
      <c r="B41" s="111"/>
      <c r="C41" s="77" t="s">
        <v>165</v>
      </c>
      <c r="D41" s="78">
        <v>2</v>
      </c>
      <c r="E41" s="79">
        <v>0</v>
      </c>
    </row>
    <row r="42" spans="2:5" ht="15" customHeight="1">
      <c r="B42" s="111"/>
      <c r="C42" s="77" t="s">
        <v>166</v>
      </c>
      <c r="D42" s="78">
        <v>10</v>
      </c>
      <c r="E42" s="79">
        <v>1E-3</v>
      </c>
    </row>
    <row r="43" spans="2:5" ht="15" customHeight="1">
      <c r="B43" s="111"/>
      <c r="C43" s="77" t="s">
        <v>167</v>
      </c>
      <c r="D43" s="78">
        <v>2</v>
      </c>
      <c r="E43" s="79">
        <v>0</v>
      </c>
    </row>
    <row r="44" spans="2:5" ht="15" customHeight="1">
      <c r="B44" s="111"/>
      <c r="C44" s="77" t="s">
        <v>168</v>
      </c>
      <c r="D44" s="78">
        <v>6</v>
      </c>
      <c r="E44" s="79">
        <v>1E-3</v>
      </c>
    </row>
    <row r="45" spans="2:5" ht="15" customHeight="1">
      <c r="B45" s="111"/>
      <c r="C45" s="77" t="s">
        <v>169</v>
      </c>
      <c r="D45" s="78">
        <v>17</v>
      </c>
      <c r="E45" s="79">
        <v>2E-3</v>
      </c>
    </row>
    <row r="46" spans="2:5" ht="15" customHeight="1">
      <c r="B46" s="111"/>
      <c r="C46" s="77" t="s">
        <v>170</v>
      </c>
      <c r="D46" s="78">
        <v>1</v>
      </c>
      <c r="E46" s="79">
        <v>0</v>
      </c>
    </row>
    <row r="47" spans="2:5" ht="15" customHeight="1">
      <c r="B47" s="111"/>
      <c r="C47" s="77" t="s">
        <v>171</v>
      </c>
      <c r="D47" s="78">
        <v>1</v>
      </c>
      <c r="E47" s="79">
        <v>0</v>
      </c>
    </row>
    <row r="48" spans="2:5" ht="15" customHeight="1">
      <c r="B48" s="111"/>
      <c r="C48" s="77" t="s">
        <v>175</v>
      </c>
      <c r="D48" s="78">
        <v>1</v>
      </c>
      <c r="E48" s="79">
        <v>0</v>
      </c>
    </row>
    <row r="49" spans="2:5" ht="15" customHeight="1">
      <c r="B49" s="111"/>
      <c r="C49" s="77" t="s">
        <v>177</v>
      </c>
      <c r="D49" s="78">
        <v>1</v>
      </c>
      <c r="E49" s="79">
        <v>0</v>
      </c>
    </row>
    <row r="50" spans="2:5" ht="15" customHeight="1">
      <c r="B50" s="111"/>
      <c r="C50" s="76" t="s">
        <v>28</v>
      </c>
      <c r="D50" s="80">
        <v>49</v>
      </c>
      <c r="E50" s="81">
        <v>7.0000000000000001E-3</v>
      </c>
    </row>
    <row r="51" spans="2:5" ht="15" customHeight="1">
      <c r="B51" s="111" t="s">
        <v>96</v>
      </c>
      <c r="C51" s="77" t="s">
        <v>170</v>
      </c>
      <c r="D51" s="78">
        <v>1</v>
      </c>
      <c r="E51" s="79">
        <v>0</v>
      </c>
    </row>
    <row r="52" spans="2:5" ht="15" customHeight="1">
      <c r="B52" s="111"/>
      <c r="C52" s="77" t="s">
        <v>175</v>
      </c>
      <c r="D52" s="78">
        <v>1</v>
      </c>
      <c r="E52" s="79">
        <v>0</v>
      </c>
    </row>
    <row r="53" spans="2:5" ht="15" customHeight="1">
      <c r="B53" s="111"/>
      <c r="C53" s="77" t="s">
        <v>178</v>
      </c>
      <c r="D53" s="78">
        <v>1</v>
      </c>
      <c r="E53" s="79">
        <v>0</v>
      </c>
    </row>
    <row r="54" spans="2:5" ht="15" customHeight="1">
      <c r="B54" s="111"/>
      <c r="C54" s="76" t="s">
        <v>28</v>
      </c>
      <c r="D54" s="80">
        <v>3</v>
      </c>
      <c r="E54" s="81">
        <v>0</v>
      </c>
    </row>
    <row r="55" spans="2:5" ht="15" customHeight="1">
      <c r="B55" s="111" t="s">
        <v>93</v>
      </c>
      <c r="C55" s="77" t="s">
        <v>161</v>
      </c>
      <c r="D55" s="78">
        <v>1</v>
      </c>
      <c r="E55" s="79">
        <v>0</v>
      </c>
    </row>
    <row r="56" spans="2:5" ht="15" customHeight="1">
      <c r="B56" s="111"/>
      <c r="C56" s="77" t="s">
        <v>166</v>
      </c>
      <c r="D56" s="78">
        <v>2</v>
      </c>
      <c r="E56" s="79">
        <v>0</v>
      </c>
    </row>
    <row r="57" spans="2:5" ht="15" customHeight="1">
      <c r="B57" s="111"/>
      <c r="C57" s="77" t="s">
        <v>168</v>
      </c>
      <c r="D57" s="78">
        <v>1</v>
      </c>
      <c r="E57" s="79">
        <v>0</v>
      </c>
    </row>
    <row r="58" spans="2:5" ht="15" customHeight="1">
      <c r="B58" s="111"/>
      <c r="C58" s="77" t="s">
        <v>169</v>
      </c>
      <c r="D58" s="78">
        <v>2</v>
      </c>
      <c r="E58" s="79">
        <v>0</v>
      </c>
    </row>
    <row r="59" spans="2:5" ht="15" customHeight="1">
      <c r="B59" s="111"/>
      <c r="C59" s="76" t="s">
        <v>28</v>
      </c>
      <c r="D59" s="80">
        <v>6</v>
      </c>
      <c r="E59" s="81">
        <v>1E-3</v>
      </c>
    </row>
    <row r="60" spans="2:5" ht="15" customHeight="1">
      <c r="B60" s="111" t="s">
        <v>56</v>
      </c>
      <c r="C60" s="77" t="s">
        <v>155</v>
      </c>
      <c r="D60" s="78">
        <v>1</v>
      </c>
      <c r="E60" s="79">
        <v>0</v>
      </c>
    </row>
    <row r="61" spans="2:5" ht="15" customHeight="1">
      <c r="B61" s="111"/>
      <c r="C61" s="77" t="s">
        <v>157</v>
      </c>
      <c r="D61" s="78">
        <v>1</v>
      </c>
      <c r="E61" s="79">
        <v>0</v>
      </c>
    </row>
    <row r="62" spans="2:5" ht="15" customHeight="1">
      <c r="B62" s="111"/>
      <c r="C62" s="77" t="s">
        <v>160</v>
      </c>
      <c r="D62" s="78">
        <v>1</v>
      </c>
      <c r="E62" s="79">
        <v>0</v>
      </c>
    </row>
    <row r="63" spans="2:5" ht="15" customHeight="1">
      <c r="B63" s="111"/>
      <c r="C63" s="77" t="s">
        <v>161</v>
      </c>
      <c r="D63" s="78">
        <v>2</v>
      </c>
      <c r="E63" s="79">
        <v>0</v>
      </c>
    </row>
    <row r="64" spans="2:5" ht="15" customHeight="1">
      <c r="B64" s="111"/>
      <c r="C64" s="77" t="s">
        <v>162</v>
      </c>
      <c r="D64" s="78">
        <v>3</v>
      </c>
      <c r="E64" s="79">
        <v>0</v>
      </c>
    </row>
    <row r="65" spans="2:5" ht="15" customHeight="1">
      <c r="B65" s="111"/>
      <c r="C65" s="77" t="s">
        <v>164</v>
      </c>
      <c r="D65" s="78">
        <v>3</v>
      </c>
      <c r="E65" s="79">
        <v>0</v>
      </c>
    </row>
    <row r="66" spans="2:5" ht="15" customHeight="1">
      <c r="B66" s="111"/>
      <c r="C66" s="77" t="s">
        <v>165</v>
      </c>
      <c r="D66" s="78">
        <v>6</v>
      </c>
      <c r="E66" s="79">
        <v>1E-3</v>
      </c>
    </row>
    <row r="67" spans="2:5" ht="15" customHeight="1">
      <c r="B67" s="111"/>
      <c r="C67" s="77" t="s">
        <v>166</v>
      </c>
      <c r="D67" s="78">
        <v>36</v>
      </c>
      <c r="E67" s="79">
        <v>5.0000000000000001E-3</v>
      </c>
    </row>
    <row r="68" spans="2:5" ht="15" customHeight="1">
      <c r="B68" s="111"/>
      <c r="C68" s="77" t="s">
        <v>167</v>
      </c>
      <c r="D68" s="78">
        <v>26</v>
      </c>
      <c r="E68" s="79">
        <v>4.0000000000000001E-3</v>
      </c>
    </row>
    <row r="69" spans="2:5" ht="15" customHeight="1">
      <c r="B69" s="111"/>
      <c r="C69" s="77" t="s">
        <v>168</v>
      </c>
      <c r="D69" s="78">
        <v>12</v>
      </c>
      <c r="E69" s="79">
        <v>2E-3</v>
      </c>
    </row>
    <row r="70" spans="2:5" ht="15" customHeight="1">
      <c r="B70" s="111"/>
      <c r="C70" s="77" t="s">
        <v>169</v>
      </c>
      <c r="D70" s="78">
        <v>89</v>
      </c>
      <c r="E70" s="79">
        <v>1.2999999999999999E-2</v>
      </c>
    </row>
    <row r="71" spans="2:5" ht="15" customHeight="1">
      <c r="B71" s="111"/>
      <c r="C71" s="77" t="s">
        <v>170</v>
      </c>
      <c r="D71" s="78">
        <v>1</v>
      </c>
      <c r="E71" s="79">
        <v>0</v>
      </c>
    </row>
    <row r="72" spans="2:5" ht="15" customHeight="1">
      <c r="B72" s="111"/>
      <c r="C72" s="77" t="s">
        <v>174</v>
      </c>
      <c r="D72" s="78">
        <v>11</v>
      </c>
      <c r="E72" s="79">
        <v>2E-3</v>
      </c>
    </row>
    <row r="73" spans="2:5" ht="15" customHeight="1">
      <c r="B73" s="111"/>
      <c r="C73" s="77" t="s">
        <v>175</v>
      </c>
      <c r="D73" s="78">
        <v>55</v>
      </c>
      <c r="E73" s="79">
        <v>8.0000000000000002E-3</v>
      </c>
    </row>
    <row r="74" spans="2:5" ht="15" customHeight="1">
      <c r="B74" s="111"/>
      <c r="C74" s="77" t="s">
        <v>177</v>
      </c>
      <c r="D74" s="78">
        <v>9</v>
      </c>
      <c r="E74" s="79">
        <v>1E-3</v>
      </c>
    </row>
    <row r="75" spans="2:5" ht="15" customHeight="1">
      <c r="B75" s="111"/>
      <c r="C75" s="76" t="s">
        <v>28</v>
      </c>
      <c r="D75" s="80">
        <v>256</v>
      </c>
      <c r="E75" s="81">
        <v>3.6999999999999998E-2</v>
      </c>
    </row>
    <row r="76" spans="2:5" ht="15" customHeight="1">
      <c r="B76" s="111" t="s">
        <v>57</v>
      </c>
      <c r="C76" s="77" t="s">
        <v>155</v>
      </c>
      <c r="D76" s="78">
        <v>1</v>
      </c>
      <c r="E76" s="79">
        <v>0</v>
      </c>
    </row>
    <row r="77" spans="2:5" ht="15" customHeight="1">
      <c r="B77" s="111"/>
      <c r="C77" s="77" t="s">
        <v>158</v>
      </c>
      <c r="D77" s="78">
        <v>1</v>
      </c>
      <c r="E77" s="79">
        <v>0</v>
      </c>
    </row>
    <row r="78" spans="2:5" ht="15" customHeight="1">
      <c r="B78" s="111"/>
      <c r="C78" s="77" t="s">
        <v>159</v>
      </c>
      <c r="D78" s="78">
        <v>1</v>
      </c>
      <c r="E78" s="79">
        <v>0</v>
      </c>
    </row>
    <row r="79" spans="2:5" ht="15" customHeight="1">
      <c r="B79" s="111"/>
      <c r="C79" s="77" t="s">
        <v>161</v>
      </c>
      <c r="D79" s="78">
        <v>13</v>
      </c>
      <c r="E79" s="79">
        <v>2E-3</v>
      </c>
    </row>
    <row r="80" spans="2:5" ht="15" customHeight="1">
      <c r="B80" s="111"/>
      <c r="C80" s="77" t="s">
        <v>162</v>
      </c>
      <c r="D80" s="78">
        <v>17</v>
      </c>
      <c r="E80" s="79">
        <v>2E-3</v>
      </c>
    </row>
    <row r="81" spans="2:5" ht="15" customHeight="1">
      <c r="B81" s="111"/>
      <c r="C81" s="77" t="s">
        <v>163</v>
      </c>
      <c r="D81" s="78">
        <v>5</v>
      </c>
      <c r="E81" s="79">
        <v>1E-3</v>
      </c>
    </row>
    <row r="82" spans="2:5" ht="15" customHeight="1">
      <c r="B82" s="111"/>
      <c r="C82" s="77" t="s">
        <v>165</v>
      </c>
      <c r="D82" s="78">
        <v>10</v>
      </c>
      <c r="E82" s="79">
        <v>1E-3</v>
      </c>
    </row>
    <row r="83" spans="2:5" ht="15" customHeight="1">
      <c r="B83" s="111"/>
      <c r="C83" s="77" t="s">
        <v>166</v>
      </c>
      <c r="D83" s="78">
        <v>61</v>
      </c>
      <c r="E83" s="79">
        <v>8.9999999999999993E-3</v>
      </c>
    </row>
    <row r="84" spans="2:5" ht="15" customHeight="1">
      <c r="B84" s="111"/>
      <c r="C84" s="77" t="s">
        <v>167</v>
      </c>
      <c r="D84" s="78">
        <v>2</v>
      </c>
      <c r="E84" s="79">
        <v>0</v>
      </c>
    </row>
    <row r="85" spans="2:5" ht="15" customHeight="1">
      <c r="B85" s="111"/>
      <c r="C85" s="77" t="s">
        <v>168</v>
      </c>
      <c r="D85" s="78">
        <v>26</v>
      </c>
      <c r="E85" s="79">
        <v>4.0000000000000001E-3</v>
      </c>
    </row>
    <row r="86" spans="2:5" ht="15" customHeight="1">
      <c r="B86" s="111"/>
      <c r="C86" s="77" t="s">
        <v>169</v>
      </c>
      <c r="D86" s="78">
        <v>70</v>
      </c>
      <c r="E86" s="79">
        <v>0.01</v>
      </c>
    </row>
    <row r="87" spans="2:5" ht="15" customHeight="1">
      <c r="B87" s="111"/>
      <c r="C87" s="77" t="s">
        <v>170</v>
      </c>
      <c r="D87" s="78">
        <v>2</v>
      </c>
      <c r="E87" s="79">
        <v>0</v>
      </c>
    </row>
    <row r="88" spans="2:5" ht="15" customHeight="1">
      <c r="B88" s="111"/>
      <c r="C88" s="77" t="s">
        <v>171</v>
      </c>
      <c r="D88" s="78">
        <v>1</v>
      </c>
      <c r="E88" s="79">
        <v>0</v>
      </c>
    </row>
    <row r="89" spans="2:5" ht="15" customHeight="1">
      <c r="B89" s="111"/>
      <c r="C89" s="77" t="s">
        <v>174</v>
      </c>
      <c r="D89" s="78">
        <v>10</v>
      </c>
      <c r="E89" s="79">
        <v>1E-3</v>
      </c>
    </row>
    <row r="90" spans="2:5" ht="15" customHeight="1">
      <c r="B90" s="111"/>
      <c r="C90" s="77" t="s">
        <v>175</v>
      </c>
      <c r="D90" s="78">
        <v>9</v>
      </c>
      <c r="E90" s="79">
        <v>1E-3</v>
      </c>
    </row>
    <row r="91" spans="2:5" ht="15" customHeight="1">
      <c r="B91" s="111"/>
      <c r="C91" s="76" t="s">
        <v>28</v>
      </c>
      <c r="D91" s="80">
        <v>229</v>
      </c>
      <c r="E91" s="81">
        <v>3.3000000000000002E-2</v>
      </c>
    </row>
    <row r="92" spans="2:5" ht="15" customHeight="1">
      <c r="B92" s="111" t="s">
        <v>62</v>
      </c>
      <c r="C92" s="77" t="s">
        <v>157</v>
      </c>
      <c r="D92" s="78">
        <v>1</v>
      </c>
      <c r="E92" s="79">
        <v>0</v>
      </c>
    </row>
    <row r="93" spans="2:5" ht="15" customHeight="1">
      <c r="B93" s="111"/>
      <c r="C93" s="77" t="s">
        <v>158</v>
      </c>
      <c r="D93" s="78">
        <v>1</v>
      </c>
      <c r="E93" s="79">
        <v>0</v>
      </c>
    </row>
    <row r="94" spans="2:5" ht="15" customHeight="1">
      <c r="B94" s="111"/>
      <c r="C94" s="77" t="s">
        <v>159</v>
      </c>
      <c r="D94" s="78">
        <v>1</v>
      </c>
      <c r="E94" s="79">
        <v>0</v>
      </c>
    </row>
    <row r="95" spans="2:5" ht="15" customHeight="1">
      <c r="B95" s="111"/>
      <c r="C95" s="77" t="s">
        <v>160</v>
      </c>
      <c r="D95" s="78">
        <v>1</v>
      </c>
      <c r="E95" s="79">
        <v>0</v>
      </c>
    </row>
    <row r="96" spans="2:5" ht="15" customHeight="1">
      <c r="B96" s="111"/>
      <c r="C96" s="77" t="s">
        <v>161</v>
      </c>
      <c r="D96" s="78">
        <v>1</v>
      </c>
      <c r="E96" s="79">
        <v>0</v>
      </c>
    </row>
    <row r="97" spans="2:5" ht="15" customHeight="1">
      <c r="B97" s="111"/>
      <c r="C97" s="77" t="s">
        <v>162</v>
      </c>
      <c r="D97" s="78">
        <v>5</v>
      </c>
      <c r="E97" s="79">
        <v>1E-3</v>
      </c>
    </row>
    <row r="98" spans="2:5" ht="15" customHeight="1">
      <c r="B98" s="111"/>
      <c r="C98" s="77" t="s">
        <v>164</v>
      </c>
      <c r="D98" s="78">
        <v>1</v>
      </c>
      <c r="E98" s="79">
        <v>0</v>
      </c>
    </row>
    <row r="99" spans="2:5" ht="15" customHeight="1">
      <c r="B99" s="111"/>
      <c r="C99" s="77" t="s">
        <v>165</v>
      </c>
      <c r="D99" s="78">
        <v>4</v>
      </c>
      <c r="E99" s="79">
        <v>1E-3</v>
      </c>
    </row>
    <row r="100" spans="2:5" ht="15" customHeight="1">
      <c r="B100" s="111"/>
      <c r="C100" s="77" t="s">
        <v>166</v>
      </c>
      <c r="D100" s="78">
        <v>37</v>
      </c>
      <c r="E100" s="79">
        <v>5.0000000000000001E-3</v>
      </c>
    </row>
    <row r="101" spans="2:5" ht="15" customHeight="1">
      <c r="B101" s="111"/>
      <c r="C101" s="77" t="s">
        <v>167</v>
      </c>
      <c r="D101" s="78">
        <v>2</v>
      </c>
      <c r="E101" s="79">
        <v>0</v>
      </c>
    </row>
    <row r="102" spans="2:5" ht="15" customHeight="1">
      <c r="B102" s="111"/>
      <c r="C102" s="77" t="s">
        <v>168</v>
      </c>
      <c r="D102" s="78">
        <v>23</v>
      </c>
      <c r="E102" s="79">
        <v>3.0000000000000001E-3</v>
      </c>
    </row>
    <row r="103" spans="2:5" ht="15" customHeight="1">
      <c r="B103" s="111"/>
      <c r="C103" s="77" t="s">
        <v>169</v>
      </c>
      <c r="D103" s="78">
        <v>54</v>
      </c>
      <c r="E103" s="79">
        <v>8.0000000000000002E-3</v>
      </c>
    </row>
    <row r="104" spans="2:5" ht="15" customHeight="1">
      <c r="B104" s="111"/>
      <c r="C104" s="77" t="s">
        <v>171</v>
      </c>
      <c r="D104" s="78">
        <v>1</v>
      </c>
      <c r="E104" s="79">
        <v>0</v>
      </c>
    </row>
    <row r="105" spans="2:5" ht="15" customHeight="1">
      <c r="B105" s="111"/>
      <c r="C105" s="77" t="s">
        <v>173</v>
      </c>
      <c r="D105" s="78">
        <v>1</v>
      </c>
      <c r="E105" s="79">
        <v>0</v>
      </c>
    </row>
    <row r="106" spans="2:5" ht="15" customHeight="1">
      <c r="B106" s="111"/>
      <c r="C106" s="77" t="s">
        <v>174</v>
      </c>
      <c r="D106" s="78">
        <v>2</v>
      </c>
      <c r="E106" s="79">
        <v>0</v>
      </c>
    </row>
    <row r="107" spans="2:5" ht="15" customHeight="1">
      <c r="B107" s="111"/>
      <c r="C107" s="77" t="s">
        <v>175</v>
      </c>
      <c r="D107" s="78">
        <v>8</v>
      </c>
      <c r="E107" s="79">
        <v>1E-3</v>
      </c>
    </row>
    <row r="108" spans="2:5" ht="15" customHeight="1">
      <c r="B108" s="111"/>
      <c r="C108" s="77" t="s">
        <v>176</v>
      </c>
      <c r="D108" s="78">
        <v>2</v>
      </c>
      <c r="E108" s="79">
        <v>0</v>
      </c>
    </row>
    <row r="109" spans="2:5" ht="15" customHeight="1">
      <c r="B109" s="111"/>
      <c r="C109" s="77" t="s">
        <v>177</v>
      </c>
      <c r="D109" s="78">
        <v>1</v>
      </c>
      <c r="E109" s="79">
        <v>0</v>
      </c>
    </row>
    <row r="110" spans="2:5" ht="15" customHeight="1">
      <c r="B110" s="111"/>
      <c r="C110" s="76" t="s">
        <v>28</v>
      </c>
      <c r="D110" s="80">
        <v>146</v>
      </c>
      <c r="E110" s="81">
        <v>2.1000000000000001E-2</v>
      </c>
    </row>
    <row r="111" spans="2:5" ht="15" customHeight="1">
      <c r="B111" s="111" t="s">
        <v>70</v>
      </c>
      <c r="C111" s="77" t="s">
        <v>161</v>
      </c>
      <c r="D111" s="78">
        <v>2</v>
      </c>
      <c r="E111" s="79">
        <v>0</v>
      </c>
    </row>
    <row r="112" spans="2:5" ht="15" customHeight="1">
      <c r="B112" s="111"/>
      <c r="C112" s="77" t="s">
        <v>162</v>
      </c>
      <c r="D112" s="78">
        <v>4</v>
      </c>
      <c r="E112" s="79">
        <v>1E-3</v>
      </c>
    </row>
    <row r="113" spans="2:5" ht="15" customHeight="1">
      <c r="B113" s="111"/>
      <c r="C113" s="77" t="s">
        <v>164</v>
      </c>
      <c r="D113" s="78">
        <v>1</v>
      </c>
      <c r="E113" s="79">
        <v>0</v>
      </c>
    </row>
    <row r="114" spans="2:5" ht="15" customHeight="1">
      <c r="B114" s="111"/>
      <c r="C114" s="77" t="s">
        <v>165</v>
      </c>
      <c r="D114" s="78">
        <v>4</v>
      </c>
      <c r="E114" s="79">
        <v>1E-3</v>
      </c>
    </row>
    <row r="115" spans="2:5" ht="15" customHeight="1">
      <c r="B115" s="111"/>
      <c r="C115" s="77" t="s">
        <v>166</v>
      </c>
      <c r="D115" s="78">
        <v>7</v>
      </c>
      <c r="E115" s="79">
        <v>1E-3</v>
      </c>
    </row>
    <row r="116" spans="2:5" ht="15" customHeight="1">
      <c r="B116" s="111"/>
      <c r="C116" s="77" t="s">
        <v>167</v>
      </c>
      <c r="D116" s="78">
        <v>1</v>
      </c>
      <c r="E116" s="79">
        <v>0</v>
      </c>
    </row>
    <row r="117" spans="2:5" ht="15" customHeight="1">
      <c r="B117" s="111"/>
      <c r="C117" s="77" t="s">
        <v>168</v>
      </c>
      <c r="D117" s="78">
        <v>10</v>
      </c>
      <c r="E117" s="79">
        <v>1E-3</v>
      </c>
    </row>
    <row r="118" spans="2:5" ht="15" customHeight="1">
      <c r="B118" s="111"/>
      <c r="C118" s="77" t="s">
        <v>169</v>
      </c>
      <c r="D118" s="78">
        <v>25</v>
      </c>
      <c r="E118" s="79">
        <v>4.0000000000000001E-3</v>
      </c>
    </row>
    <row r="119" spans="2:5" ht="15" customHeight="1">
      <c r="B119" s="111"/>
      <c r="C119" s="77" t="s">
        <v>174</v>
      </c>
      <c r="D119" s="78">
        <v>3</v>
      </c>
      <c r="E119" s="79">
        <v>0</v>
      </c>
    </row>
    <row r="120" spans="2:5" ht="15" customHeight="1">
      <c r="B120" s="111"/>
      <c r="C120" s="77" t="s">
        <v>175</v>
      </c>
      <c r="D120" s="78">
        <v>4</v>
      </c>
      <c r="E120" s="79">
        <v>1E-3</v>
      </c>
    </row>
    <row r="121" spans="2:5" ht="15" customHeight="1">
      <c r="B121" s="111"/>
      <c r="C121" s="76" t="s">
        <v>28</v>
      </c>
      <c r="D121" s="80">
        <v>61</v>
      </c>
      <c r="E121" s="81">
        <v>8.9999999999999993E-3</v>
      </c>
    </row>
    <row r="122" spans="2:5" ht="15" customHeight="1">
      <c r="B122" s="111" t="s">
        <v>88</v>
      </c>
      <c r="C122" s="77" t="s">
        <v>161</v>
      </c>
      <c r="D122" s="78">
        <v>2</v>
      </c>
      <c r="E122" s="79">
        <v>0</v>
      </c>
    </row>
    <row r="123" spans="2:5" ht="15" customHeight="1">
      <c r="B123" s="111"/>
      <c r="C123" s="77" t="s">
        <v>162</v>
      </c>
      <c r="D123" s="78">
        <v>1</v>
      </c>
      <c r="E123" s="79">
        <v>0</v>
      </c>
    </row>
    <row r="124" spans="2:5" ht="15" customHeight="1">
      <c r="B124" s="111"/>
      <c r="C124" s="77" t="s">
        <v>165</v>
      </c>
      <c r="D124" s="78">
        <v>1</v>
      </c>
      <c r="E124" s="79">
        <v>0</v>
      </c>
    </row>
    <row r="125" spans="2:5" ht="15" customHeight="1">
      <c r="B125" s="111"/>
      <c r="C125" s="77" t="s">
        <v>166</v>
      </c>
      <c r="D125" s="78">
        <v>5</v>
      </c>
      <c r="E125" s="79">
        <v>1E-3</v>
      </c>
    </row>
    <row r="126" spans="2:5" ht="15" customHeight="1">
      <c r="B126" s="111"/>
      <c r="C126" s="77" t="s">
        <v>168</v>
      </c>
      <c r="D126" s="78">
        <v>3</v>
      </c>
      <c r="E126" s="79">
        <v>0</v>
      </c>
    </row>
    <row r="127" spans="2:5" ht="15" customHeight="1">
      <c r="B127" s="111"/>
      <c r="C127" s="77" t="s">
        <v>169</v>
      </c>
      <c r="D127" s="78">
        <v>7</v>
      </c>
      <c r="E127" s="79">
        <v>1E-3</v>
      </c>
    </row>
    <row r="128" spans="2:5" ht="15" customHeight="1">
      <c r="B128" s="111"/>
      <c r="C128" s="77" t="s">
        <v>170</v>
      </c>
      <c r="D128" s="78">
        <v>1</v>
      </c>
      <c r="E128" s="79">
        <v>0</v>
      </c>
    </row>
    <row r="129" spans="2:5" ht="15" customHeight="1">
      <c r="B129" s="111"/>
      <c r="C129" s="77" t="s">
        <v>174</v>
      </c>
      <c r="D129" s="78">
        <v>1</v>
      </c>
      <c r="E129" s="79">
        <v>0</v>
      </c>
    </row>
    <row r="130" spans="2:5" ht="15" customHeight="1">
      <c r="B130" s="111"/>
      <c r="C130" s="76" t="s">
        <v>28</v>
      </c>
      <c r="D130" s="80">
        <v>21</v>
      </c>
      <c r="E130" s="81">
        <v>3.0000000000000001E-3</v>
      </c>
    </row>
    <row r="131" spans="2:5" ht="15" customHeight="1">
      <c r="B131" s="111" t="s">
        <v>97</v>
      </c>
      <c r="C131" s="77" t="s">
        <v>168</v>
      </c>
      <c r="D131" s="78">
        <v>1</v>
      </c>
      <c r="E131" s="79">
        <v>0</v>
      </c>
    </row>
    <row r="132" spans="2:5" ht="15" customHeight="1">
      <c r="B132" s="111"/>
      <c r="C132" s="76" t="s">
        <v>28</v>
      </c>
      <c r="D132" s="80">
        <v>1</v>
      </c>
      <c r="E132" s="81">
        <v>0</v>
      </c>
    </row>
    <row r="133" spans="2:5" ht="15" customHeight="1">
      <c r="B133" s="111" t="s">
        <v>81</v>
      </c>
      <c r="C133" s="77" t="s">
        <v>155</v>
      </c>
      <c r="D133" s="78">
        <v>1</v>
      </c>
      <c r="E133" s="79">
        <v>0</v>
      </c>
    </row>
    <row r="134" spans="2:5" ht="15" customHeight="1">
      <c r="B134" s="111"/>
      <c r="C134" s="77" t="s">
        <v>161</v>
      </c>
      <c r="D134" s="78">
        <v>2</v>
      </c>
      <c r="E134" s="79">
        <v>0</v>
      </c>
    </row>
    <row r="135" spans="2:5" ht="15" customHeight="1">
      <c r="B135" s="111"/>
      <c r="C135" s="77" t="s">
        <v>162</v>
      </c>
      <c r="D135" s="78">
        <v>1</v>
      </c>
      <c r="E135" s="79">
        <v>0</v>
      </c>
    </row>
    <row r="136" spans="2:5" ht="15" customHeight="1">
      <c r="B136" s="111"/>
      <c r="C136" s="77" t="s">
        <v>165</v>
      </c>
      <c r="D136" s="78">
        <v>1</v>
      </c>
      <c r="E136" s="79">
        <v>0</v>
      </c>
    </row>
    <row r="137" spans="2:5" ht="15" customHeight="1">
      <c r="B137" s="111"/>
      <c r="C137" s="77" t="s">
        <v>166</v>
      </c>
      <c r="D137" s="78">
        <v>7</v>
      </c>
      <c r="E137" s="79">
        <v>1E-3</v>
      </c>
    </row>
    <row r="138" spans="2:5" ht="15" customHeight="1">
      <c r="B138" s="111"/>
      <c r="C138" s="77" t="s">
        <v>168</v>
      </c>
      <c r="D138" s="78">
        <v>2</v>
      </c>
      <c r="E138" s="79">
        <v>0</v>
      </c>
    </row>
    <row r="139" spans="2:5" ht="15" customHeight="1">
      <c r="B139" s="111"/>
      <c r="C139" s="77" t="s">
        <v>169</v>
      </c>
      <c r="D139" s="78">
        <v>11</v>
      </c>
      <c r="E139" s="79">
        <v>2E-3</v>
      </c>
    </row>
    <row r="140" spans="2:5" ht="15" customHeight="1">
      <c r="B140" s="111"/>
      <c r="C140" s="77" t="s">
        <v>170</v>
      </c>
      <c r="D140" s="78">
        <v>1</v>
      </c>
      <c r="E140" s="79">
        <v>0</v>
      </c>
    </row>
    <row r="141" spans="2:5" ht="15" customHeight="1">
      <c r="B141" s="111"/>
      <c r="C141" s="77" t="s">
        <v>174</v>
      </c>
      <c r="D141" s="78">
        <v>1</v>
      </c>
      <c r="E141" s="79">
        <v>0</v>
      </c>
    </row>
    <row r="142" spans="2:5" ht="15" customHeight="1">
      <c r="B142" s="111"/>
      <c r="C142" s="77" t="s">
        <v>175</v>
      </c>
      <c r="D142" s="78">
        <v>6</v>
      </c>
      <c r="E142" s="79">
        <v>1E-3</v>
      </c>
    </row>
    <row r="143" spans="2:5" ht="15" customHeight="1">
      <c r="B143" s="111"/>
      <c r="C143" s="76" t="s">
        <v>28</v>
      </c>
      <c r="D143" s="80">
        <v>33</v>
      </c>
      <c r="E143" s="81">
        <v>5.0000000000000001E-3</v>
      </c>
    </row>
    <row r="144" spans="2:5" ht="15" customHeight="1">
      <c r="B144" s="111" t="s">
        <v>83</v>
      </c>
      <c r="C144" s="77" t="s">
        <v>160</v>
      </c>
      <c r="D144" s="78">
        <v>1</v>
      </c>
      <c r="E144" s="79">
        <v>0</v>
      </c>
    </row>
    <row r="145" spans="2:5" ht="15" customHeight="1">
      <c r="B145" s="111"/>
      <c r="C145" s="77" t="s">
        <v>162</v>
      </c>
      <c r="D145" s="78">
        <v>1</v>
      </c>
      <c r="E145" s="79">
        <v>0</v>
      </c>
    </row>
    <row r="146" spans="2:5" ht="15" customHeight="1">
      <c r="B146" s="111"/>
      <c r="C146" s="77" t="s">
        <v>164</v>
      </c>
      <c r="D146" s="78">
        <v>1</v>
      </c>
      <c r="E146" s="79">
        <v>0</v>
      </c>
    </row>
    <row r="147" spans="2:5" ht="15" customHeight="1">
      <c r="B147" s="111"/>
      <c r="C147" s="77" t="s">
        <v>165</v>
      </c>
      <c r="D147" s="78">
        <v>1</v>
      </c>
      <c r="E147" s="79">
        <v>0</v>
      </c>
    </row>
    <row r="148" spans="2:5" ht="15" customHeight="1">
      <c r="B148" s="111"/>
      <c r="C148" s="77" t="s">
        <v>166</v>
      </c>
      <c r="D148" s="78">
        <v>9</v>
      </c>
      <c r="E148" s="79">
        <v>1E-3</v>
      </c>
    </row>
    <row r="149" spans="2:5" ht="15" customHeight="1">
      <c r="B149" s="111"/>
      <c r="C149" s="77" t="s">
        <v>168</v>
      </c>
      <c r="D149" s="78">
        <v>4</v>
      </c>
      <c r="E149" s="79">
        <v>1E-3</v>
      </c>
    </row>
    <row r="150" spans="2:5" ht="15" customHeight="1">
      <c r="B150" s="111"/>
      <c r="C150" s="77" t="s">
        <v>169</v>
      </c>
      <c r="D150" s="78">
        <v>11</v>
      </c>
      <c r="E150" s="79">
        <v>2E-3</v>
      </c>
    </row>
    <row r="151" spans="2:5" ht="15" customHeight="1">
      <c r="B151" s="111"/>
      <c r="C151" s="77" t="s">
        <v>171</v>
      </c>
      <c r="D151" s="78">
        <v>1</v>
      </c>
      <c r="E151" s="79">
        <v>0</v>
      </c>
    </row>
    <row r="152" spans="2:5" ht="15" customHeight="1">
      <c r="B152" s="111"/>
      <c r="C152" s="77" t="s">
        <v>175</v>
      </c>
      <c r="D152" s="78">
        <v>1</v>
      </c>
      <c r="E152" s="79">
        <v>0</v>
      </c>
    </row>
    <row r="153" spans="2:5" ht="15" customHeight="1">
      <c r="B153" s="111"/>
      <c r="C153" s="76" t="s">
        <v>28</v>
      </c>
      <c r="D153" s="80">
        <v>30</v>
      </c>
      <c r="E153" s="81">
        <v>4.0000000000000001E-3</v>
      </c>
    </row>
    <row r="154" spans="2:5" ht="15" customHeight="1">
      <c r="B154" s="111" t="s">
        <v>53</v>
      </c>
      <c r="C154" s="77" t="s">
        <v>155</v>
      </c>
      <c r="D154" s="78">
        <v>2</v>
      </c>
      <c r="E154" s="79">
        <v>0</v>
      </c>
    </row>
    <row r="155" spans="2:5" ht="15" customHeight="1">
      <c r="B155" s="111"/>
      <c r="C155" s="77" t="s">
        <v>156</v>
      </c>
      <c r="D155" s="78">
        <v>4</v>
      </c>
      <c r="E155" s="79">
        <v>1E-3</v>
      </c>
    </row>
    <row r="156" spans="2:5" ht="15" customHeight="1">
      <c r="B156" s="111"/>
      <c r="C156" s="77" t="s">
        <v>157</v>
      </c>
      <c r="D156" s="78">
        <v>2</v>
      </c>
      <c r="E156" s="79">
        <v>0</v>
      </c>
    </row>
    <row r="157" spans="2:5" ht="15" customHeight="1">
      <c r="B157" s="111"/>
      <c r="C157" s="77" t="s">
        <v>158</v>
      </c>
      <c r="D157" s="78">
        <v>10</v>
      </c>
      <c r="E157" s="79">
        <v>1E-3</v>
      </c>
    </row>
    <row r="158" spans="2:5" ht="15" customHeight="1">
      <c r="B158" s="111"/>
      <c r="C158" s="77" t="s">
        <v>159</v>
      </c>
      <c r="D158" s="78">
        <v>1</v>
      </c>
      <c r="E158" s="79">
        <v>0</v>
      </c>
    </row>
    <row r="159" spans="2:5" ht="15" customHeight="1">
      <c r="B159" s="111"/>
      <c r="C159" s="77" t="s">
        <v>160</v>
      </c>
      <c r="D159" s="78">
        <v>7</v>
      </c>
      <c r="E159" s="79">
        <v>1E-3</v>
      </c>
    </row>
    <row r="160" spans="2:5" ht="15" customHeight="1">
      <c r="B160" s="111"/>
      <c r="C160" s="77" t="s">
        <v>161</v>
      </c>
      <c r="D160" s="78">
        <v>23</v>
      </c>
      <c r="E160" s="79">
        <v>3.0000000000000001E-3</v>
      </c>
    </row>
    <row r="161" spans="2:5" ht="15" customHeight="1">
      <c r="B161" s="111"/>
      <c r="C161" s="77" t="s">
        <v>162</v>
      </c>
      <c r="D161" s="78">
        <v>33</v>
      </c>
      <c r="E161" s="79">
        <v>5.0000000000000001E-3</v>
      </c>
    </row>
    <row r="162" spans="2:5" ht="15" customHeight="1">
      <c r="B162" s="111"/>
      <c r="C162" s="77" t="s">
        <v>163</v>
      </c>
      <c r="D162" s="78">
        <v>11</v>
      </c>
      <c r="E162" s="79">
        <v>2E-3</v>
      </c>
    </row>
    <row r="163" spans="2:5" ht="15" customHeight="1">
      <c r="B163" s="111"/>
      <c r="C163" s="77" t="s">
        <v>164</v>
      </c>
      <c r="D163" s="78">
        <v>9</v>
      </c>
      <c r="E163" s="79">
        <v>1E-3</v>
      </c>
    </row>
    <row r="164" spans="2:5" ht="15" customHeight="1">
      <c r="B164" s="111"/>
      <c r="C164" s="77" t="s">
        <v>165</v>
      </c>
      <c r="D164" s="78">
        <v>20</v>
      </c>
      <c r="E164" s="79">
        <v>3.0000000000000001E-3</v>
      </c>
    </row>
    <row r="165" spans="2:5" ht="15" customHeight="1">
      <c r="B165" s="111"/>
      <c r="C165" s="77" t="s">
        <v>166</v>
      </c>
      <c r="D165" s="78">
        <v>98</v>
      </c>
      <c r="E165" s="79">
        <v>1.4E-2</v>
      </c>
    </row>
    <row r="166" spans="2:5" ht="15" customHeight="1">
      <c r="B166" s="111"/>
      <c r="C166" s="77" t="s">
        <v>167</v>
      </c>
      <c r="D166" s="78">
        <v>7</v>
      </c>
      <c r="E166" s="79">
        <v>1E-3</v>
      </c>
    </row>
    <row r="167" spans="2:5" ht="15" customHeight="1">
      <c r="B167" s="111"/>
      <c r="C167" s="77" t="s">
        <v>168</v>
      </c>
      <c r="D167" s="78">
        <v>81</v>
      </c>
      <c r="E167" s="79">
        <v>1.2E-2</v>
      </c>
    </row>
    <row r="168" spans="2:5" ht="15" customHeight="1">
      <c r="B168" s="111"/>
      <c r="C168" s="77" t="s">
        <v>169</v>
      </c>
      <c r="D168" s="78">
        <v>188</v>
      </c>
      <c r="E168" s="79">
        <v>2.7E-2</v>
      </c>
    </row>
    <row r="169" spans="2:5" ht="15" customHeight="1">
      <c r="B169" s="111"/>
      <c r="C169" s="77" t="s">
        <v>170</v>
      </c>
      <c r="D169" s="78">
        <v>4</v>
      </c>
      <c r="E169" s="79">
        <v>1E-3</v>
      </c>
    </row>
    <row r="170" spans="2:5" ht="15" customHeight="1">
      <c r="B170" s="111"/>
      <c r="C170" s="77" t="s">
        <v>171</v>
      </c>
      <c r="D170" s="78">
        <v>3</v>
      </c>
      <c r="E170" s="79">
        <v>0</v>
      </c>
    </row>
    <row r="171" spans="2:5" ht="15" customHeight="1">
      <c r="B171" s="111"/>
      <c r="C171" s="77" t="s">
        <v>172</v>
      </c>
      <c r="D171" s="78">
        <v>2</v>
      </c>
      <c r="E171" s="79">
        <v>0</v>
      </c>
    </row>
    <row r="172" spans="2:5" ht="15" customHeight="1">
      <c r="B172" s="111"/>
      <c r="C172" s="77" t="s">
        <v>174</v>
      </c>
      <c r="D172" s="78">
        <v>12</v>
      </c>
      <c r="E172" s="79">
        <v>2E-3</v>
      </c>
    </row>
    <row r="173" spans="2:5" ht="15" customHeight="1">
      <c r="B173" s="111"/>
      <c r="C173" s="77" t="s">
        <v>175</v>
      </c>
      <c r="D173" s="78">
        <v>23</v>
      </c>
      <c r="E173" s="79">
        <v>3.0000000000000001E-3</v>
      </c>
    </row>
    <row r="174" spans="2:5" ht="15" customHeight="1">
      <c r="B174" s="111"/>
      <c r="C174" s="76" t="s">
        <v>28</v>
      </c>
      <c r="D174" s="80">
        <v>540</v>
      </c>
      <c r="E174" s="81">
        <v>7.9000000000000001E-2</v>
      </c>
    </row>
    <row r="175" spans="2:5" ht="15" customHeight="1">
      <c r="B175" s="111" t="s">
        <v>63</v>
      </c>
      <c r="C175" s="77" t="s">
        <v>155</v>
      </c>
      <c r="D175" s="78">
        <v>1</v>
      </c>
      <c r="E175" s="79">
        <v>0</v>
      </c>
    </row>
    <row r="176" spans="2:5" ht="15" customHeight="1">
      <c r="B176" s="111"/>
      <c r="C176" s="77" t="s">
        <v>157</v>
      </c>
      <c r="D176" s="78">
        <v>1</v>
      </c>
      <c r="E176" s="79">
        <v>0</v>
      </c>
    </row>
    <row r="177" spans="2:5" ht="15" customHeight="1">
      <c r="B177" s="111"/>
      <c r="C177" s="77" t="s">
        <v>158</v>
      </c>
      <c r="D177" s="78">
        <v>1</v>
      </c>
      <c r="E177" s="79">
        <v>0</v>
      </c>
    </row>
    <row r="178" spans="2:5" ht="15" customHeight="1">
      <c r="B178" s="111"/>
      <c r="C178" s="77" t="s">
        <v>161</v>
      </c>
      <c r="D178" s="78">
        <v>11</v>
      </c>
      <c r="E178" s="79">
        <v>2E-3</v>
      </c>
    </row>
    <row r="179" spans="2:5" ht="15" customHeight="1">
      <c r="B179" s="111"/>
      <c r="C179" s="77" t="s">
        <v>162</v>
      </c>
      <c r="D179" s="78">
        <v>5</v>
      </c>
      <c r="E179" s="79">
        <v>1E-3</v>
      </c>
    </row>
    <row r="180" spans="2:5" ht="15" customHeight="1">
      <c r="B180" s="111"/>
      <c r="C180" s="77" t="s">
        <v>163</v>
      </c>
      <c r="D180" s="78">
        <v>1</v>
      </c>
      <c r="E180" s="79">
        <v>0</v>
      </c>
    </row>
    <row r="181" spans="2:5" ht="15" customHeight="1">
      <c r="B181" s="111"/>
      <c r="C181" s="77" t="s">
        <v>164</v>
      </c>
      <c r="D181" s="78">
        <v>3</v>
      </c>
      <c r="E181" s="79">
        <v>0</v>
      </c>
    </row>
    <row r="182" spans="2:5" ht="15" customHeight="1">
      <c r="B182" s="111"/>
      <c r="C182" s="77" t="s">
        <v>165</v>
      </c>
      <c r="D182" s="78">
        <v>4</v>
      </c>
      <c r="E182" s="79">
        <v>1E-3</v>
      </c>
    </row>
    <row r="183" spans="2:5" ht="15" customHeight="1">
      <c r="B183" s="111"/>
      <c r="C183" s="77" t="s">
        <v>166</v>
      </c>
      <c r="D183" s="78">
        <v>26</v>
      </c>
      <c r="E183" s="79">
        <v>4.0000000000000001E-3</v>
      </c>
    </row>
    <row r="184" spans="2:5" ht="15" customHeight="1">
      <c r="B184" s="111"/>
      <c r="C184" s="77" t="s">
        <v>167</v>
      </c>
      <c r="D184" s="78">
        <v>1</v>
      </c>
      <c r="E184" s="79">
        <v>0</v>
      </c>
    </row>
    <row r="185" spans="2:5" ht="15" customHeight="1">
      <c r="B185" s="111"/>
      <c r="C185" s="77" t="s">
        <v>168</v>
      </c>
      <c r="D185" s="78">
        <v>22</v>
      </c>
      <c r="E185" s="79">
        <v>3.0000000000000001E-3</v>
      </c>
    </row>
    <row r="186" spans="2:5" ht="15" customHeight="1">
      <c r="B186" s="111"/>
      <c r="C186" s="77" t="s">
        <v>169</v>
      </c>
      <c r="D186" s="78">
        <v>36</v>
      </c>
      <c r="E186" s="79">
        <v>5.0000000000000001E-3</v>
      </c>
    </row>
    <row r="187" spans="2:5" ht="15" customHeight="1">
      <c r="B187" s="111"/>
      <c r="C187" s="77" t="s">
        <v>174</v>
      </c>
      <c r="D187" s="78">
        <v>4</v>
      </c>
      <c r="E187" s="79">
        <v>1E-3</v>
      </c>
    </row>
    <row r="188" spans="2:5" ht="15" customHeight="1">
      <c r="B188" s="111"/>
      <c r="C188" s="77" t="s">
        <v>175</v>
      </c>
      <c r="D188" s="78">
        <v>15</v>
      </c>
      <c r="E188" s="79">
        <v>2E-3</v>
      </c>
    </row>
    <row r="189" spans="2:5" ht="15" customHeight="1">
      <c r="B189" s="111"/>
      <c r="C189" s="76" t="s">
        <v>28</v>
      </c>
      <c r="D189" s="80">
        <v>131</v>
      </c>
      <c r="E189" s="81">
        <v>1.9E-2</v>
      </c>
    </row>
    <row r="190" spans="2:5" ht="15" customHeight="1">
      <c r="B190" s="111" t="s">
        <v>79</v>
      </c>
      <c r="C190" s="77" t="s">
        <v>160</v>
      </c>
      <c r="D190" s="78">
        <v>1</v>
      </c>
      <c r="E190" s="79">
        <v>0</v>
      </c>
    </row>
    <row r="191" spans="2:5" ht="15" customHeight="1">
      <c r="B191" s="111"/>
      <c r="C191" s="77" t="s">
        <v>161</v>
      </c>
      <c r="D191" s="78">
        <v>2</v>
      </c>
      <c r="E191" s="79">
        <v>0</v>
      </c>
    </row>
    <row r="192" spans="2:5" ht="15" customHeight="1">
      <c r="B192" s="111"/>
      <c r="C192" s="77" t="s">
        <v>164</v>
      </c>
      <c r="D192" s="78">
        <v>3</v>
      </c>
      <c r="E192" s="79">
        <v>0</v>
      </c>
    </row>
    <row r="193" spans="2:5" ht="15" customHeight="1">
      <c r="B193" s="111"/>
      <c r="C193" s="77" t="s">
        <v>166</v>
      </c>
      <c r="D193" s="78">
        <v>8</v>
      </c>
      <c r="E193" s="79">
        <v>1E-3</v>
      </c>
    </row>
    <row r="194" spans="2:5" ht="15" customHeight="1">
      <c r="B194" s="111"/>
      <c r="C194" s="77" t="s">
        <v>167</v>
      </c>
      <c r="D194" s="78">
        <v>1</v>
      </c>
      <c r="E194" s="79">
        <v>0</v>
      </c>
    </row>
    <row r="195" spans="2:5" ht="15" customHeight="1">
      <c r="B195" s="111"/>
      <c r="C195" s="77" t="s">
        <v>168</v>
      </c>
      <c r="D195" s="78">
        <v>4</v>
      </c>
      <c r="E195" s="79">
        <v>1E-3</v>
      </c>
    </row>
    <row r="196" spans="2:5" ht="15" customHeight="1">
      <c r="B196" s="111"/>
      <c r="C196" s="77" t="s">
        <v>169</v>
      </c>
      <c r="D196" s="78">
        <v>15</v>
      </c>
      <c r="E196" s="79">
        <v>2E-3</v>
      </c>
    </row>
    <row r="197" spans="2:5" ht="15" customHeight="1">
      <c r="B197" s="111"/>
      <c r="C197" s="77" t="s">
        <v>170</v>
      </c>
      <c r="D197" s="78">
        <v>3</v>
      </c>
      <c r="E197" s="79">
        <v>0</v>
      </c>
    </row>
    <row r="198" spans="2:5" ht="15" customHeight="1">
      <c r="B198" s="111"/>
      <c r="C198" s="77" t="s">
        <v>171</v>
      </c>
      <c r="D198" s="78">
        <v>1</v>
      </c>
      <c r="E198" s="79">
        <v>0</v>
      </c>
    </row>
    <row r="199" spans="2:5" ht="15" customHeight="1">
      <c r="B199" s="111"/>
      <c r="C199" s="76" t="s">
        <v>28</v>
      </c>
      <c r="D199" s="80">
        <v>38</v>
      </c>
      <c r="E199" s="81">
        <v>6.0000000000000001E-3</v>
      </c>
    </row>
    <row r="200" spans="2:5" ht="15" customHeight="1">
      <c r="B200" s="111" t="s">
        <v>69</v>
      </c>
      <c r="C200" s="77" t="s">
        <v>158</v>
      </c>
      <c r="D200" s="78">
        <v>1</v>
      </c>
      <c r="E200" s="79">
        <v>0</v>
      </c>
    </row>
    <row r="201" spans="2:5" ht="15" customHeight="1">
      <c r="B201" s="111"/>
      <c r="C201" s="77" t="s">
        <v>160</v>
      </c>
      <c r="D201" s="78">
        <v>1</v>
      </c>
      <c r="E201" s="79">
        <v>0</v>
      </c>
    </row>
    <row r="202" spans="2:5" ht="15" customHeight="1">
      <c r="B202" s="111"/>
      <c r="C202" s="77" t="s">
        <v>161</v>
      </c>
      <c r="D202" s="78">
        <v>4</v>
      </c>
      <c r="E202" s="79">
        <v>1E-3</v>
      </c>
    </row>
    <row r="203" spans="2:5" ht="15" customHeight="1">
      <c r="B203" s="111"/>
      <c r="C203" s="77" t="s">
        <v>162</v>
      </c>
      <c r="D203" s="78">
        <v>2</v>
      </c>
      <c r="E203" s="79">
        <v>0</v>
      </c>
    </row>
    <row r="204" spans="2:5" ht="15" customHeight="1">
      <c r="B204" s="111"/>
      <c r="C204" s="77" t="s">
        <v>163</v>
      </c>
      <c r="D204" s="78">
        <v>1</v>
      </c>
      <c r="E204" s="79">
        <v>0</v>
      </c>
    </row>
    <row r="205" spans="2:5" ht="15" customHeight="1">
      <c r="B205" s="111"/>
      <c r="C205" s="77" t="s">
        <v>164</v>
      </c>
      <c r="D205" s="78">
        <v>3</v>
      </c>
      <c r="E205" s="79">
        <v>0</v>
      </c>
    </row>
    <row r="206" spans="2:5" ht="15" customHeight="1">
      <c r="B206" s="111"/>
      <c r="C206" s="77" t="s">
        <v>165</v>
      </c>
      <c r="D206" s="78">
        <v>5</v>
      </c>
      <c r="E206" s="79">
        <v>1E-3</v>
      </c>
    </row>
    <row r="207" spans="2:5" ht="15" customHeight="1">
      <c r="B207" s="111"/>
      <c r="C207" s="77" t="s">
        <v>166</v>
      </c>
      <c r="D207" s="78">
        <v>15</v>
      </c>
      <c r="E207" s="79">
        <v>2E-3</v>
      </c>
    </row>
    <row r="208" spans="2:5" ht="15" customHeight="1">
      <c r="B208" s="111"/>
      <c r="C208" s="77" t="s">
        <v>168</v>
      </c>
      <c r="D208" s="78">
        <v>8</v>
      </c>
      <c r="E208" s="79">
        <v>1E-3</v>
      </c>
    </row>
    <row r="209" spans="2:5" ht="15" customHeight="1">
      <c r="B209" s="111"/>
      <c r="C209" s="77" t="s">
        <v>169</v>
      </c>
      <c r="D209" s="78">
        <v>22</v>
      </c>
      <c r="E209" s="79">
        <v>3.0000000000000001E-3</v>
      </c>
    </row>
    <row r="210" spans="2:5" ht="15" customHeight="1">
      <c r="B210" s="111"/>
      <c r="C210" s="77" t="s">
        <v>170</v>
      </c>
      <c r="D210" s="78">
        <v>1</v>
      </c>
      <c r="E210" s="79">
        <v>0</v>
      </c>
    </row>
    <row r="211" spans="2:5" ht="15" customHeight="1">
      <c r="B211" s="111"/>
      <c r="C211" s="77" t="s">
        <v>171</v>
      </c>
      <c r="D211" s="78">
        <v>3</v>
      </c>
      <c r="E211" s="79">
        <v>0</v>
      </c>
    </row>
    <row r="212" spans="2:5" ht="15" customHeight="1">
      <c r="B212" s="111"/>
      <c r="C212" s="77" t="s">
        <v>174</v>
      </c>
      <c r="D212" s="78">
        <v>3</v>
      </c>
      <c r="E212" s="79">
        <v>0</v>
      </c>
    </row>
    <row r="213" spans="2:5" ht="15" customHeight="1">
      <c r="B213" s="111"/>
      <c r="C213" s="77" t="s">
        <v>176</v>
      </c>
      <c r="D213" s="78">
        <v>1</v>
      </c>
      <c r="E213" s="79">
        <v>0</v>
      </c>
    </row>
    <row r="214" spans="2:5" ht="15" customHeight="1">
      <c r="B214" s="111"/>
      <c r="C214" s="76" t="s">
        <v>28</v>
      </c>
      <c r="D214" s="80">
        <v>70</v>
      </c>
      <c r="E214" s="81">
        <v>0.01</v>
      </c>
    </row>
    <row r="215" spans="2:5" ht="15" customHeight="1">
      <c r="B215" s="111" t="s">
        <v>98</v>
      </c>
      <c r="C215" s="77" t="s">
        <v>175</v>
      </c>
      <c r="D215" s="78">
        <v>1</v>
      </c>
      <c r="E215" s="79">
        <v>0</v>
      </c>
    </row>
    <row r="216" spans="2:5" ht="15" customHeight="1">
      <c r="B216" s="111"/>
      <c r="C216" s="76" t="s">
        <v>28</v>
      </c>
      <c r="D216" s="80">
        <v>1</v>
      </c>
      <c r="E216" s="81">
        <v>0</v>
      </c>
    </row>
    <row r="217" spans="2:5" ht="15" customHeight="1">
      <c r="B217" s="111" t="s">
        <v>54</v>
      </c>
      <c r="C217" s="77" t="s">
        <v>155</v>
      </c>
      <c r="D217" s="78">
        <v>2</v>
      </c>
      <c r="E217" s="79">
        <v>0</v>
      </c>
    </row>
    <row r="218" spans="2:5" ht="15" customHeight="1">
      <c r="B218" s="111"/>
      <c r="C218" s="77" t="s">
        <v>156</v>
      </c>
      <c r="D218" s="78">
        <v>2</v>
      </c>
      <c r="E218" s="79">
        <v>0</v>
      </c>
    </row>
    <row r="219" spans="2:5" ht="15" customHeight="1">
      <c r="B219" s="111"/>
      <c r="C219" s="77" t="s">
        <v>158</v>
      </c>
      <c r="D219" s="78">
        <v>1</v>
      </c>
      <c r="E219" s="79">
        <v>0</v>
      </c>
    </row>
    <row r="220" spans="2:5" ht="15" customHeight="1">
      <c r="B220" s="111"/>
      <c r="C220" s="77" t="s">
        <v>159</v>
      </c>
      <c r="D220" s="78">
        <v>1</v>
      </c>
      <c r="E220" s="79">
        <v>0</v>
      </c>
    </row>
    <row r="221" spans="2:5" ht="15" customHeight="1">
      <c r="B221" s="111"/>
      <c r="C221" s="77" t="s">
        <v>160</v>
      </c>
      <c r="D221" s="78">
        <v>4</v>
      </c>
      <c r="E221" s="79">
        <v>1E-3</v>
      </c>
    </row>
    <row r="222" spans="2:5" ht="15" customHeight="1">
      <c r="B222" s="111"/>
      <c r="C222" s="77" t="s">
        <v>161</v>
      </c>
      <c r="D222" s="78">
        <v>15</v>
      </c>
      <c r="E222" s="79">
        <v>2E-3</v>
      </c>
    </row>
    <row r="223" spans="2:5" ht="15" customHeight="1">
      <c r="B223" s="111"/>
      <c r="C223" s="77" t="s">
        <v>162</v>
      </c>
      <c r="D223" s="78">
        <v>15</v>
      </c>
      <c r="E223" s="79">
        <v>2E-3</v>
      </c>
    </row>
    <row r="224" spans="2:5" ht="15" customHeight="1">
      <c r="B224" s="111"/>
      <c r="C224" s="77" t="s">
        <v>163</v>
      </c>
      <c r="D224" s="78">
        <v>5</v>
      </c>
      <c r="E224" s="79">
        <v>1E-3</v>
      </c>
    </row>
    <row r="225" spans="2:5" ht="15" customHeight="1">
      <c r="B225" s="111"/>
      <c r="C225" s="77" t="s">
        <v>164</v>
      </c>
      <c r="D225" s="78">
        <v>10</v>
      </c>
      <c r="E225" s="79">
        <v>1E-3</v>
      </c>
    </row>
    <row r="226" spans="2:5" ht="15" customHeight="1">
      <c r="B226" s="111"/>
      <c r="C226" s="77" t="s">
        <v>165</v>
      </c>
      <c r="D226" s="78">
        <v>20</v>
      </c>
      <c r="E226" s="79">
        <v>3.0000000000000001E-3</v>
      </c>
    </row>
    <row r="227" spans="2:5" ht="15" customHeight="1">
      <c r="B227" s="111"/>
      <c r="C227" s="77" t="s">
        <v>166</v>
      </c>
      <c r="D227" s="78">
        <v>67</v>
      </c>
      <c r="E227" s="79">
        <v>0.01</v>
      </c>
    </row>
    <row r="228" spans="2:5" ht="15" customHeight="1">
      <c r="B228" s="111"/>
      <c r="C228" s="77" t="s">
        <v>167</v>
      </c>
      <c r="D228" s="78">
        <v>5</v>
      </c>
      <c r="E228" s="79">
        <v>1E-3</v>
      </c>
    </row>
    <row r="229" spans="2:5" ht="15" customHeight="1">
      <c r="B229" s="111"/>
      <c r="C229" s="77" t="s">
        <v>168</v>
      </c>
      <c r="D229" s="78">
        <v>59</v>
      </c>
      <c r="E229" s="79">
        <v>8.9999999999999993E-3</v>
      </c>
    </row>
    <row r="230" spans="2:5" ht="15" customHeight="1">
      <c r="B230" s="111"/>
      <c r="C230" s="77" t="s">
        <v>169</v>
      </c>
      <c r="D230" s="78">
        <v>131</v>
      </c>
      <c r="E230" s="79">
        <v>1.9E-2</v>
      </c>
    </row>
    <row r="231" spans="2:5" ht="15" customHeight="1">
      <c r="B231" s="111"/>
      <c r="C231" s="77" t="s">
        <v>170</v>
      </c>
      <c r="D231" s="78">
        <v>2</v>
      </c>
      <c r="E231" s="79">
        <v>0</v>
      </c>
    </row>
    <row r="232" spans="2:5" ht="15" customHeight="1">
      <c r="B232" s="111"/>
      <c r="C232" s="77" t="s">
        <v>171</v>
      </c>
      <c r="D232" s="78">
        <v>4</v>
      </c>
      <c r="E232" s="79">
        <v>1E-3</v>
      </c>
    </row>
    <row r="233" spans="2:5" ht="15" customHeight="1">
      <c r="B233" s="111"/>
      <c r="C233" s="77" t="s">
        <v>174</v>
      </c>
      <c r="D233" s="78">
        <v>8</v>
      </c>
      <c r="E233" s="79">
        <v>1E-3</v>
      </c>
    </row>
    <row r="234" spans="2:5" ht="15" customHeight="1">
      <c r="B234" s="111"/>
      <c r="C234" s="77" t="s">
        <v>175</v>
      </c>
      <c r="D234" s="78">
        <v>32</v>
      </c>
      <c r="E234" s="79">
        <v>5.0000000000000001E-3</v>
      </c>
    </row>
    <row r="235" spans="2:5" ht="15" customHeight="1">
      <c r="B235" s="111"/>
      <c r="C235" s="77" t="s">
        <v>177</v>
      </c>
      <c r="D235" s="78">
        <v>2</v>
      </c>
      <c r="E235" s="79">
        <v>0</v>
      </c>
    </row>
    <row r="236" spans="2:5" ht="15" customHeight="1">
      <c r="B236" s="111"/>
      <c r="C236" s="76" t="s">
        <v>28</v>
      </c>
      <c r="D236" s="80">
        <v>385</v>
      </c>
      <c r="E236" s="81">
        <v>5.6000000000000001E-2</v>
      </c>
    </row>
    <row r="237" spans="2:5" ht="15" customHeight="1">
      <c r="B237" s="111" t="s">
        <v>72</v>
      </c>
      <c r="C237" s="77" t="s">
        <v>155</v>
      </c>
      <c r="D237" s="78">
        <v>1</v>
      </c>
      <c r="E237" s="79">
        <v>0</v>
      </c>
    </row>
    <row r="238" spans="2:5" ht="15" customHeight="1">
      <c r="B238" s="111"/>
      <c r="C238" s="77" t="s">
        <v>160</v>
      </c>
      <c r="D238" s="78">
        <v>1</v>
      </c>
      <c r="E238" s="79">
        <v>0</v>
      </c>
    </row>
    <row r="239" spans="2:5" ht="15" customHeight="1">
      <c r="B239" s="111"/>
      <c r="C239" s="77" t="s">
        <v>161</v>
      </c>
      <c r="D239" s="78">
        <v>2</v>
      </c>
      <c r="E239" s="79">
        <v>0</v>
      </c>
    </row>
    <row r="240" spans="2:5" ht="15" customHeight="1">
      <c r="B240" s="111"/>
      <c r="C240" s="77" t="s">
        <v>162</v>
      </c>
      <c r="D240" s="78">
        <v>3</v>
      </c>
      <c r="E240" s="79">
        <v>0</v>
      </c>
    </row>
    <row r="241" spans="2:5" ht="15" customHeight="1">
      <c r="B241" s="111"/>
      <c r="C241" s="77" t="s">
        <v>165</v>
      </c>
      <c r="D241" s="78">
        <v>2</v>
      </c>
      <c r="E241" s="79">
        <v>0</v>
      </c>
    </row>
    <row r="242" spans="2:5" ht="15" customHeight="1">
      <c r="B242" s="111"/>
      <c r="C242" s="77" t="s">
        <v>166</v>
      </c>
      <c r="D242" s="78">
        <v>12</v>
      </c>
      <c r="E242" s="79">
        <v>2E-3</v>
      </c>
    </row>
    <row r="243" spans="2:5" ht="15" customHeight="1">
      <c r="B243" s="111"/>
      <c r="C243" s="77" t="s">
        <v>167</v>
      </c>
      <c r="D243" s="78">
        <v>1</v>
      </c>
      <c r="E243" s="79">
        <v>0</v>
      </c>
    </row>
    <row r="244" spans="2:5" ht="15" customHeight="1">
      <c r="B244" s="111"/>
      <c r="C244" s="77" t="s">
        <v>168</v>
      </c>
      <c r="D244" s="78">
        <v>7</v>
      </c>
      <c r="E244" s="79">
        <v>1E-3</v>
      </c>
    </row>
    <row r="245" spans="2:5" ht="15" customHeight="1">
      <c r="B245" s="111"/>
      <c r="C245" s="77" t="s">
        <v>169</v>
      </c>
      <c r="D245" s="78">
        <v>22</v>
      </c>
      <c r="E245" s="79">
        <v>3.0000000000000001E-3</v>
      </c>
    </row>
    <row r="246" spans="2:5" ht="15" customHeight="1">
      <c r="B246" s="111"/>
      <c r="C246" s="77" t="s">
        <v>171</v>
      </c>
      <c r="D246" s="78">
        <v>1</v>
      </c>
      <c r="E246" s="79">
        <v>0</v>
      </c>
    </row>
    <row r="247" spans="2:5" ht="15" customHeight="1">
      <c r="B247" s="111"/>
      <c r="C247" s="77" t="s">
        <v>174</v>
      </c>
      <c r="D247" s="78">
        <v>1</v>
      </c>
      <c r="E247" s="79">
        <v>0</v>
      </c>
    </row>
    <row r="248" spans="2:5" ht="15" customHeight="1">
      <c r="B248" s="111"/>
      <c r="C248" s="77" t="s">
        <v>175</v>
      </c>
      <c r="D248" s="78">
        <v>2</v>
      </c>
      <c r="E248" s="79">
        <v>0</v>
      </c>
    </row>
    <row r="249" spans="2:5" ht="15" customHeight="1">
      <c r="B249" s="111"/>
      <c r="C249" s="77" t="s">
        <v>176</v>
      </c>
      <c r="D249" s="78">
        <v>2</v>
      </c>
      <c r="E249" s="79">
        <v>0</v>
      </c>
    </row>
    <row r="250" spans="2:5" ht="15" customHeight="1">
      <c r="B250" s="111"/>
      <c r="C250" s="76" t="s">
        <v>28</v>
      </c>
      <c r="D250" s="80">
        <v>57</v>
      </c>
      <c r="E250" s="81">
        <v>8.0000000000000002E-3</v>
      </c>
    </row>
    <row r="251" spans="2:5" ht="15" customHeight="1">
      <c r="B251" s="111" t="s">
        <v>50</v>
      </c>
      <c r="C251" s="77" t="s">
        <v>155</v>
      </c>
      <c r="D251" s="78">
        <v>14</v>
      </c>
      <c r="E251" s="79">
        <v>2E-3</v>
      </c>
    </row>
    <row r="252" spans="2:5" ht="15" customHeight="1">
      <c r="B252" s="111"/>
      <c r="C252" s="77" t="s">
        <v>156</v>
      </c>
      <c r="D252" s="78">
        <v>2</v>
      </c>
      <c r="E252" s="79">
        <v>0</v>
      </c>
    </row>
    <row r="253" spans="2:5" ht="15" customHeight="1">
      <c r="B253" s="111"/>
      <c r="C253" s="77" t="s">
        <v>157</v>
      </c>
      <c r="D253" s="78">
        <v>3</v>
      </c>
      <c r="E253" s="79">
        <v>0</v>
      </c>
    </row>
    <row r="254" spans="2:5" ht="15" customHeight="1">
      <c r="B254" s="111"/>
      <c r="C254" s="77" t="s">
        <v>158</v>
      </c>
      <c r="D254" s="78">
        <v>15</v>
      </c>
      <c r="E254" s="79">
        <v>2E-3</v>
      </c>
    </row>
    <row r="255" spans="2:5" ht="15" customHeight="1">
      <c r="B255" s="111"/>
      <c r="C255" s="77" t="s">
        <v>159</v>
      </c>
      <c r="D255" s="78">
        <v>11</v>
      </c>
      <c r="E255" s="79">
        <v>2E-3</v>
      </c>
    </row>
    <row r="256" spans="2:5" ht="15" customHeight="1">
      <c r="B256" s="111"/>
      <c r="C256" s="77" t="s">
        <v>160</v>
      </c>
      <c r="D256" s="78">
        <v>9</v>
      </c>
      <c r="E256" s="79">
        <v>1E-3</v>
      </c>
    </row>
    <row r="257" spans="2:5" ht="15" customHeight="1">
      <c r="B257" s="111"/>
      <c r="C257" s="77" t="s">
        <v>161</v>
      </c>
      <c r="D257" s="78">
        <v>83</v>
      </c>
      <c r="E257" s="79">
        <v>1.2E-2</v>
      </c>
    </row>
    <row r="258" spans="2:5" ht="15" customHeight="1">
      <c r="B258" s="111"/>
      <c r="C258" s="77" t="s">
        <v>162</v>
      </c>
      <c r="D258" s="78">
        <v>125</v>
      </c>
      <c r="E258" s="79">
        <v>1.7999999999999999E-2</v>
      </c>
    </row>
    <row r="259" spans="2:5" ht="15" customHeight="1">
      <c r="B259" s="111"/>
      <c r="C259" s="77" t="s">
        <v>163</v>
      </c>
      <c r="D259" s="78">
        <v>19</v>
      </c>
      <c r="E259" s="79">
        <v>3.0000000000000001E-3</v>
      </c>
    </row>
    <row r="260" spans="2:5" ht="15" customHeight="1">
      <c r="B260" s="111"/>
      <c r="C260" s="77" t="s">
        <v>164</v>
      </c>
      <c r="D260" s="78">
        <v>31</v>
      </c>
      <c r="E260" s="79">
        <v>5.0000000000000001E-3</v>
      </c>
    </row>
    <row r="261" spans="2:5" ht="15" customHeight="1">
      <c r="B261" s="111"/>
      <c r="C261" s="77" t="s">
        <v>165</v>
      </c>
      <c r="D261" s="78">
        <v>53</v>
      </c>
      <c r="E261" s="79">
        <v>8.0000000000000002E-3</v>
      </c>
    </row>
    <row r="262" spans="2:5" ht="15" customHeight="1">
      <c r="B262" s="111"/>
      <c r="C262" s="77" t="s">
        <v>166</v>
      </c>
      <c r="D262" s="78">
        <v>331</v>
      </c>
      <c r="E262" s="79">
        <v>4.8000000000000001E-2</v>
      </c>
    </row>
    <row r="263" spans="2:5" ht="15" customHeight="1">
      <c r="B263" s="111"/>
      <c r="C263" s="77" t="s">
        <v>167</v>
      </c>
      <c r="D263" s="78">
        <v>22</v>
      </c>
      <c r="E263" s="79">
        <v>3.0000000000000001E-3</v>
      </c>
    </row>
    <row r="264" spans="2:5" ht="15" customHeight="1">
      <c r="B264" s="111"/>
      <c r="C264" s="77" t="s">
        <v>168</v>
      </c>
      <c r="D264" s="78">
        <v>118</v>
      </c>
      <c r="E264" s="79">
        <v>1.7000000000000001E-2</v>
      </c>
    </row>
    <row r="265" spans="2:5" ht="15" customHeight="1">
      <c r="B265" s="111"/>
      <c r="C265" s="77" t="s">
        <v>169</v>
      </c>
      <c r="D265" s="78">
        <v>432</v>
      </c>
      <c r="E265" s="79">
        <v>6.3E-2</v>
      </c>
    </row>
    <row r="266" spans="2:5" ht="15" customHeight="1">
      <c r="B266" s="111"/>
      <c r="C266" s="77" t="s">
        <v>170</v>
      </c>
      <c r="D266" s="78">
        <v>16</v>
      </c>
      <c r="E266" s="79">
        <v>2E-3</v>
      </c>
    </row>
    <row r="267" spans="2:5" ht="15" customHeight="1">
      <c r="B267" s="111"/>
      <c r="C267" s="77" t="s">
        <v>171</v>
      </c>
      <c r="D267" s="78">
        <v>3</v>
      </c>
      <c r="E267" s="79">
        <v>0</v>
      </c>
    </row>
    <row r="268" spans="2:5" ht="15" customHeight="1">
      <c r="B268" s="111"/>
      <c r="C268" s="77" t="s">
        <v>172</v>
      </c>
      <c r="D268" s="78">
        <v>8</v>
      </c>
      <c r="E268" s="79">
        <v>1E-3</v>
      </c>
    </row>
    <row r="269" spans="2:5" ht="15" customHeight="1">
      <c r="B269" s="111"/>
      <c r="C269" s="77" t="s">
        <v>173</v>
      </c>
      <c r="D269" s="78">
        <v>4</v>
      </c>
      <c r="E269" s="79">
        <v>1E-3</v>
      </c>
    </row>
    <row r="270" spans="2:5" ht="15" customHeight="1">
      <c r="B270" s="111"/>
      <c r="C270" s="77" t="s">
        <v>174</v>
      </c>
      <c r="D270" s="78">
        <v>43</v>
      </c>
      <c r="E270" s="79">
        <v>6.0000000000000001E-3</v>
      </c>
    </row>
    <row r="271" spans="2:5" ht="15" customHeight="1">
      <c r="B271" s="111"/>
      <c r="C271" s="77" t="s">
        <v>175</v>
      </c>
      <c r="D271" s="78">
        <v>91</v>
      </c>
      <c r="E271" s="79">
        <v>1.2999999999999999E-2</v>
      </c>
    </row>
    <row r="272" spans="2:5" ht="15" customHeight="1">
      <c r="B272" s="111"/>
      <c r="C272" s="77" t="s">
        <v>177</v>
      </c>
      <c r="D272" s="78">
        <v>4</v>
      </c>
      <c r="E272" s="79">
        <v>1E-3</v>
      </c>
    </row>
    <row r="273" spans="2:5" ht="15" customHeight="1">
      <c r="B273" s="111"/>
      <c r="C273" s="77" t="s">
        <v>178</v>
      </c>
      <c r="D273" s="78">
        <v>1</v>
      </c>
      <c r="E273" s="79">
        <v>0</v>
      </c>
    </row>
    <row r="274" spans="2:5" ht="15" customHeight="1">
      <c r="B274" s="111"/>
      <c r="C274" s="76" t="s">
        <v>28</v>
      </c>
      <c r="D274" s="80">
        <v>1438</v>
      </c>
      <c r="E274" s="81">
        <v>0.20899999999999999</v>
      </c>
    </row>
    <row r="275" spans="2:5" ht="15" customHeight="1">
      <c r="B275" s="111" t="s">
        <v>89</v>
      </c>
      <c r="C275" s="77" t="s">
        <v>161</v>
      </c>
      <c r="D275" s="78">
        <v>1</v>
      </c>
      <c r="E275" s="79">
        <v>0</v>
      </c>
    </row>
    <row r="276" spans="2:5" ht="15" customHeight="1">
      <c r="B276" s="111"/>
      <c r="C276" s="77" t="s">
        <v>165</v>
      </c>
      <c r="D276" s="78">
        <v>2</v>
      </c>
      <c r="E276" s="79">
        <v>0</v>
      </c>
    </row>
    <row r="277" spans="2:5" ht="15" customHeight="1">
      <c r="B277" s="111"/>
      <c r="C277" s="77" t="s">
        <v>166</v>
      </c>
      <c r="D277" s="78">
        <v>3</v>
      </c>
      <c r="E277" s="79">
        <v>0</v>
      </c>
    </row>
    <row r="278" spans="2:5" ht="15" customHeight="1">
      <c r="B278" s="111"/>
      <c r="C278" s="77" t="s">
        <v>167</v>
      </c>
      <c r="D278" s="78">
        <v>1</v>
      </c>
      <c r="E278" s="79">
        <v>0</v>
      </c>
    </row>
    <row r="279" spans="2:5" ht="15" customHeight="1">
      <c r="B279" s="111"/>
      <c r="C279" s="77" t="s">
        <v>169</v>
      </c>
      <c r="D279" s="78">
        <v>7</v>
      </c>
      <c r="E279" s="79">
        <v>1E-3</v>
      </c>
    </row>
    <row r="280" spans="2:5" ht="15" customHeight="1">
      <c r="B280" s="111"/>
      <c r="C280" s="77" t="s">
        <v>170</v>
      </c>
      <c r="D280" s="78">
        <v>1</v>
      </c>
      <c r="E280" s="79">
        <v>0</v>
      </c>
    </row>
    <row r="281" spans="2:5" ht="15" customHeight="1">
      <c r="B281" s="111"/>
      <c r="C281" s="77" t="s">
        <v>175</v>
      </c>
      <c r="D281" s="78">
        <v>2</v>
      </c>
      <c r="E281" s="79">
        <v>0</v>
      </c>
    </row>
    <row r="282" spans="2:5" ht="15" customHeight="1">
      <c r="B282" s="111"/>
      <c r="C282" s="77" t="s">
        <v>177</v>
      </c>
      <c r="D282" s="78">
        <v>1</v>
      </c>
      <c r="E282" s="79">
        <v>0</v>
      </c>
    </row>
    <row r="283" spans="2:5" ht="15" customHeight="1">
      <c r="B283" s="111"/>
      <c r="C283" s="76" t="s">
        <v>28</v>
      </c>
      <c r="D283" s="80">
        <v>18</v>
      </c>
      <c r="E283" s="81">
        <v>3.0000000000000001E-3</v>
      </c>
    </row>
    <row r="284" spans="2:5" ht="15" customHeight="1">
      <c r="B284" s="111" t="s">
        <v>82</v>
      </c>
      <c r="C284" s="77" t="s">
        <v>155</v>
      </c>
      <c r="D284" s="78">
        <v>1</v>
      </c>
      <c r="E284" s="79">
        <v>0</v>
      </c>
    </row>
    <row r="285" spans="2:5" ht="15" customHeight="1">
      <c r="B285" s="111"/>
      <c r="C285" s="77" t="s">
        <v>158</v>
      </c>
      <c r="D285" s="78">
        <v>2</v>
      </c>
      <c r="E285" s="79">
        <v>0</v>
      </c>
    </row>
    <row r="286" spans="2:5" ht="15" customHeight="1">
      <c r="B286" s="111"/>
      <c r="C286" s="77" t="s">
        <v>159</v>
      </c>
      <c r="D286" s="78">
        <v>1</v>
      </c>
      <c r="E286" s="79">
        <v>0</v>
      </c>
    </row>
    <row r="287" spans="2:5" ht="15" customHeight="1">
      <c r="B287" s="111"/>
      <c r="C287" s="77" t="s">
        <v>161</v>
      </c>
      <c r="D287" s="78">
        <v>1</v>
      </c>
      <c r="E287" s="79">
        <v>0</v>
      </c>
    </row>
    <row r="288" spans="2:5" ht="15" customHeight="1">
      <c r="B288" s="111"/>
      <c r="C288" s="77" t="s">
        <v>162</v>
      </c>
      <c r="D288" s="78">
        <v>3</v>
      </c>
      <c r="E288" s="79">
        <v>0</v>
      </c>
    </row>
    <row r="289" spans="2:5" ht="15" customHeight="1">
      <c r="B289" s="111"/>
      <c r="C289" s="77" t="s">
        <v>163</v>
      </c>
      <c r="D289" s="78">
        <v>1</v>
      </c>
      <c r="E289" s="79">
        <v>0</v>
      </c>
    </row>
    <row r="290" spans="2:5" ht="15" customHeight="1">
      <c r="B290" s="111"/>
      <c r="C290" s="77" t="s">
        <v>166</v>
      </c>
      <c r="D290" s="78">
        <v>7</v>
      </c>
      <c r="E290" s="79">
        <v>1E-3</v>
      </c>
    </row>
    <row r="291" spans="2:5" ht="15" customHeight="1">
      <c r="B291" s="111"/>
      <c r="C291" s="77" t="s">
        <v>167</v>
      </c>
      <c r="D291" s="78">
        <v>1</v>
      </c>
      <c r="E291" s="79">
        <v>0</v>
      </c>
    </row>
    <row r="292" spans="2:5" ht="15" customHeight="1">
      <c r="B292" s="111"/>
      <c r="C292" s="77" t="s">
        <v>168</v>
      </c>
      <c r="D292" s="78">
        <v>3</v>
      </c>
      <c r="E292" s="79">
        <v>0</v>
      </c>
    </row>
    <row r="293" spans="2:5" ht="15" customHeight="1">
      <c r="B293" s="111"/>
      <c r="C293" s="77" t="s">
        <v>169</v>
      </c>
      <c r="D293" s="78">
        <v>8</v>
      </c>
      <c r="E293" s="79">
        <v>1E-3</v>
      </c>
    </row>
    <row r="294" spans="2:5" ht="15" customHeight="1">
      <c r="B294" s="111"/>
      <c r="C294" s="77" t="s">
        <v>174</v>
      </c>
      <c r="D294" s="78">
        <v>1</v>
      </c>
      <c r="E294" s="79">
        <v>0</v>
      </c>
    </row>
    <row r="295" spans="2:5" ht="15" customHeight="1">
      <c r="B295" s="111"/>
      <c r="C295" s="77" t="s">
        <v>175</v>
      </c>
      <c r="D295" s="78">
        <v>1</v>
      </c>
      <c r="E295" s="79">
        <v>0</v>
      </c>
    </row>
    <row r="296" spans="2:5" ht="15" customHeight="1">
      <c r="B296" s="111"/>
      <c r="C296" s="77" t="s">
        <v>177</v>
      </c>
      <c r="D296" s="78">
        <v>2</v>
      </c>
      <c r="E296" s="79">
        <v>0</v>
      </c>
    </row>
    <row r="297" spans="2:5" ht="15" customHeight="1">
      <c r="B297" s="111"/>
      <c r="C297" s="77" t="s">
        <v>178</v>
      </c>
      <c r="D297" s="78">
        <v>1</v>
      </c>
      <c r="E297" s="79">
        <v>0</v>
      </c>
    </row>
    <row r="298" spans="2:5" ht="15" customHeight="1">
      <c r="B298" s="111"/>
      <c r="C298" s="76" t="s">
        <v>28</v>
      </c>
      <c r="D298" s="80">
        <v>33</v>
      </c>
      <c r="E298" s="81">
        <v>5.0000000000000001E-3</v>
      </c>
    </row>
    <row r="299" spans="2:5" ht="15" customHeight="1">
      <c r="B299" s="111" t="s">
        <v>78</v>
      </c>
      <c r="C299" s="77" t="s">
        <v>158</v>
      </c>
      <c r="D299" s="78">
        <v>1</v>
      </c>
      <c r="E299" s="79">
        <v>0</v>
      </c>
    </row>
    <row r="300" spans="2:5" ht="15" customHeight="1">
      <c r="B300" s="111"/>
      <c r="C300" s="77" t="s">
        <v>161</v>
      </c>
      <c r="D300" s="78">
        <v>1</v>
      </c>
      <c r="E300" s="79">
        <v>0</v>
      </c>
    </row>
    <row r="301" spans="2:5" ht="15" customHeight="1">
      <c r="B301" s="111"/>
      <c r="C301" s="77" t="s">
        <v>162</v>
      </c>
      <c r="D301" s="78">
        <v>4</v>
      </c>
      <c r="E301" s="79">
        <v>1E-3</v>
      </c>
    </row>
    <row r="302" spans="2:5" ht="15" customHeight="1">
      <c r="B302" s="111"/>
      <c r="C302" s="77" t="s">
        <v>163</v>
      </c>
      <c r="D302" s="78">
        <v>1</v>
      </c>
      <c r="E302" s="79">
        <v>0</v>
      </c>
    </row>
    <row r="303" spans="2:5" ht="15" customHeight="1">
      <c r="B303" s="111"/>
      <c r="C303" s="77" t="s">
        <v>164</v>
      </c>
      <c r="D303" s="78">
        <v>1</v>
      </c>
      <c r="E303" s="79">
        <v>0</v>
      </c>
    </row>
    <row r="304" spans="2:5" ht="15" customHeight="1">
      <c r="B304" s="111"/>
      <c r="C304" s="77" t="s">
        <v>165</v>
      </c>
      <c r="D304" s="78">
        <v>2</v>
      </c>
      <c r="E304" s="79">
        <v>0</v>
      </c>
    </row>
    <row r="305" spans="2:5" ht="15" customHeight="1">
      <c r="B305" s="111"/>
      <c r="C305" s="77" t="s">
        <v>166</v>
      </c>
      <c r="D305" s="78">
        <v>9</v>
      </c>
      <c r="E305" s="79">
        <v>1E-3</v>
      </c>
    </row>
    <row r="306" spans="2:5" ht="15" customHeight="1">
      <c r="B306" s="111"/>
      <c r="C306" s="77" t="s">
        <v>168</v>
      </c>
      <c r="D306" s="78">
        <v>1</v>
      </c>
      <c r="E306" s="79">
        <v>0</v>
      </c>
    </row>
    <row r="307" spans="2:5" ht="15" customHeight="1">
      <c r="B307" s="111"/>
      <c r="C307" s="77" t="s">
        <v>169</v>
      </c>
      <c r="D307" s="78">
        <v>15</v>
      </c>
      <c r="E307" s="79">
        <v>2E-3</v>
      </c>
    </row>
    <row r="308" spans="2:5" ht="15" customHeight="1">
      <c r="B308" s="111"/>
      <c r="C308" s="77" t="s">
        <v>174</v>
      </c>
      <c r="D308" s="78">
        <v>2</v>
      </c>
      <c r="E308" s="79">
        <v>0</v>
      </c>
    </row>
    <row r="309" spans="2:5" ht="15" customHeight="1">
      <c r="B309" s="111"/>
      <c r="C309" s="77" t="s">
        <v>175</v>
      </c>
      <c r="D309" s="78">
        <v>2</v>
      </c>
      <c r="E309" s="79">
        <v>0</v>
      </c>
    </row>
    <row r="310" spans="2:5" ht="15" customHeight="1">
      <c r="B310" s="111"/>
      <c r="C310" s="76" t="s">
        <v>28</v>
      </c>
      <c r="D310" s="80">
        <v>39</v>
      </c>
      <c r="E310" s="81">
        <v>6.0000000000000001E-3</v>
      </c>
    </row>
    <row r="311" spans="2:5" ht="15" customHeight="1">
      <c r="B311" s="111" t="s">
        <v>94</v>
      </c>
      <c r="C311" s="77" t="s">
        <v>162</v>
      </c>
      <c r="D311" s="78">
        <v>1</v>
      </c>
      <c r="E311" s="79">
        <v>0</v>
      </c>
    </row>
    <row r="312" spans="2:5" ht="15" customHeight="1">
      <c r="B312" s="111"/>
      <c r="C312" s="77" t="s">
        <v>164</v>
      </c>
      <c r="D312" s="78">
        <v>1</v>
      </c>
      <c r="E312" s="79">
        <v>0</v>
      </c>
    </row>
    <row r="313" spans="2:5" ht="15" customHeight="1">
      <c r="B313" s="111"/>
      <c r="C313" s="77" t="s">
        <v>166</v>
      </c>
      <c r="D313" s="78">
        <v>1</v>
      </c>
      <c r="E313" s="79">
        <v>0</v>
      </c>
    </row>
    <row r="314" spans="2:5" ht="15" customHeight="1">
      <c r="B314" s="111"/>
      <c r="C314" s="77" t="s">
        <v>169</v>
      </c>
      <c r="D314" s="78">
        <v>1</v>
      </c>
      <c r="E314" s="79">
        <v>0</v>
      </c>
    </row>
    <row r="315" spans="2:5" ht="15" customHeight="1">
      <c r="B315" s="111"/>
      <c r="C315" s="77" t="s">
        <v>170</v>
      </c>
      <c r="D315" s="78">
        <v>1</v>
      </c>
      <c r="E315" s="79">
        <v>0</v>
      </c>
    </row>
    <row r="316" spans="2:5" ht="15" customHeight="1">
      <c r="B316" s="111"/>
      <c r="C316" s="77" t="s">
        <v>175</v>
      </c>
      <c r="D316" s="78">
        <v>1</v>
      </c>
      <c r="E316" s="79">
        <v>0</v>
      </c>
    </row>
    <row r="317" spans="2:5" ht="15" customHeight="1">
      <c r="B317" s="111"/>
      <c r="C317" s="76" t="s">
        <v>28</v>
      </c>
      <c r="D317" s="80">
        <v>6</v>
      </c>
      <c r="E317" s="81">
        <v>1E-3</v>
      </c>
    </row>
    <row r="318" spans="2:5" ht="15" customHeight="1">
      <c r="B318" s="111" t="s">
        <v>99</v>
      </c>
      <c r="C318" s="77" t="s">
        <v>177</v>
      </c>
      <c r="D318" s="78">
        <v>1</v>
      </c>
      <c r="E318" s="79">
        <v>0</v>
      </c>
    </row>
    <row r="319" spans="2:5" ht="15" customHeight="1">
      <c r="B319" s="111"/>
      <c r="C319" s="76" t="s">
        <v>28</v>
      </c>
      <c r="D319" s="80">
        <v>1</v>
      </c>
      <c r="E319" s="81">
        <v>0</v>
      </c>
    </row>
    <row r="320" spans="2:5" ht="15" customHeight="1">
      <c r="B320" s="111" t="s">
        <v>92</v>
      </c>
      <c r="C320" s="77" t="s">
        <v>166</v>
      </c>
      <c r="D320" s="78">
        <v>2</v>
      </c>
      <c r="E320" s="79">
        <v>0</v>
      </c>
    </row>
    <row r="321" spans="2:5" ht="15" customHeight="1">
      <c r="B321" s="111"/>
      <c r="C321" s="77" t="s">
        <v>168</v>
      </c>
      <c r="D321" s="78">
        <v>2</v>
      </c>
      <c r="E321" s="79">
        <v>0</v>
      </c>
    </row>
    <row r="322" spans="2:5" ht="15" customHeight="1">
      <c r="B322" s="111"/>
      <c r="C322" s="77" t="s">
        <v>169</v>
      </c>
      <c r="D322" s="78">
        <v>4</v>
      </c>
      <c r="E322" s="79">
        <v>1E-3</v>
      </c>
    </row>
    <row r="323" spans="2:5" ht="15" customHeight="1">
      <c r="B323" s="111"/>
      <c r="C323" s="77" t="s">
        <v>170</v>
      </c>
      <c r="D323" s="78">
        <v>1</v>
      </c>
      <c r="E323" s="79">
        <v>0</v>
      </c>
    </row>
    <row r="324" spans="2:5" ht="15" customHeight="1">
      <c r="B324" s="111"/>
      <c r="C324" s="77" t="s">
        <v>174</v>
      </c>
      <c r="D324" s="78">
        <v>1</v>
      </c>
      <c r="E324" s="79">
        <v>0</v>
      </c>
    </row>
    <row r="325" spans="2:5" ht="15" customHeight="1">
      <c r="B325" s="111"/>
      <c r="C325" s="77" t="s">
        <v>175</v>
      </c>
      <c r="D325" s="78">
        <v>1</v>
      </c>
      <c r="E325" s="79">
        <v>0</v>
      </c>
    </row>
    <row r="326" spans="2:5" ht="15" customHeight="1">
      <c r="B326" s="111"/>
      <c r="C326" s="76" t="s">
        <v>28</v>
      </c>
      <c r="D326" s="80">
        <v>11</v>
      </c>
      <c r="E326" s="81">
        <v>2E-3</v>
      </c>
    </row>
    <row r="327" spans="2:5" ht="15" customHeight="1">
      <c r="B327" s="111" t="s">
        <v>80</v>
      </c>
      <c r="C327" s="77" t="s">
        <v>161</v>
      </c>
      <c r="D327" s="78">
        <v>1</v>
      </c>
      <c r="E327" s="79">
        <v>0</v>
      </c>
    </row>
    <row r="328" spans="2:5" ht="15" customHeight="1">
      <c r="B328" s="111"/>
      <c r="C328" s="77" t="s">
        <v>162</v>
      </c>
      <c r="D328" s="78">
        <v>1</v>
      </c>
      <c r="E328" s="79">
        <v>0</v>
      </c>
    </row>
    <row r="329" spans="2:5" ht="15" customHeight="1">
      <c r="B329" s="111"/>
      <c r="C329" s="77" t="s">
        <v>164</v>
      </c>
      <c r="D329" s="78">
        <v>1</v>
      </c>
      <c r="E329" s="79">
        <v>0</v>
      </c>
    </row>
    <row r="330" spans="2:5" ht="15" customHeight="1">
      <c r="B330" s="111"/>
      <c r="C330" s="77" t="s">
        <v>165</v>
      </c>
      <c r="D330" s="78">
        <v>2</v>
      </c>
      <c r="E330" s="79">
        <v>0</v>
      </c>
    </row>
    <row r="331" spans="2:5" ht="15" customHeight="1">
      <c r="B331" s="111"/>
      <c r="C331" s="77" t="s">
        <v>166</v>
      </c>
      <c r="D331" s="78">
        <v>10</v>
      </c>
      <c r="E331" s="79">
        <v>1E-3</v>
      </c>
    </row>
    <row r="332" spans="2:5" ht="15" customHeight="1">
      <c r="B332" s="111"/>
      <c r="C332" s="77" t="s">
        <v>167</v>
      </c>
      <c r="D332" s="78">
        <v>1</v>
      </c>
      <c r="E332" s="79">
        <v>0</v>
      </c>
    </row>
    <row r="333" spans="2:5" ht="15" customHeight="1">
      <c r="B333" s="111"/>
      <c r="C333" s="77" t="s">
        <v>168</v>
      </c>
      <c r="D333" s="78">
        <v>3</v>
      </c>
      <c r="E333" s="79">
        <v>0</v>
      </c>
    </row>
    <row r="334" spans="2:5" ht="15" customHeight="1">
      <c r="B334" s="111"/>
      <c r="C334" s="77" t="s">
        <v>169</v>
      </c>
      <c r="D334" s="78">
        <v>11</v>
      </c>
      <c r="E334" s="79">
        <v>2E-3</v>
      </c>
    </row>
    <row r="335" spans="2:5" ht="15" customHeight="1">
      <c r="B335" s="111"/>
      <c r="C335" s="77" t="s">
        <v>170</v>
      </c>
      <c r="D335" s="78">
        <v>1</v>
      </c>
      <c r="E335" s="79">
        <v>0</v>
      </c>
    </row>
    <row r="336" spans="2:5" ht="15" customHeight="1">
      <c r="B336" s="111"/>
      <c r="C336" s="77" t="s">
        <v>171</v>
      </c>
      <c r="D336" s="78">
        <v>1</v>
      </c>
      <c r="E336" s="79">
        <v>0</v>
      </c>
    </row>
    <row r="337" spans="2:5" ht="15" customHeight="1">
      <c r="B337" s="111"/>
      <c r="C337" s="77" t="s">
        <v>173</v>
      </c>
      <c r="D337" s="78">
        <v>1</v>
      </c>
      <c r="E337" s="79">
        <v>0</v>
      </c>
    </row>
    <row r="338" spans="2:5" ht="15" customHeight="1">
      <c r="B338" s="111"/>
      <c r="C338" s="77" t="s">
        <v>174</v>
      </c>
      <c r="D338" s="78">
        <v>1</v>
      </c>
      <c r="E338" s="79">
        <v>0</v>
      </c>
    </row>
    <row r="339" spans="2:5" ht="15" customHeight="1">
      <c r="B339" s="111"/>
      <c r="C339" s="77" t="s">
        <v>175</v>
      </c>
      <c r="D339" s="78">
        <v>3</v>
      </c>
      <c r="E339" s="79">
        <v>0</v>
      </c>
    </row>
    <row r="340" spans="2:5" ht="15" customHeight="1">
      <c r="B340" s="111"/>
      <c r="C340" s="77" t="s">
        <v>178</v>
      </c>
      <c r="D340" s="78">
        <v>1</v>
      </c>
      <c r="E340" s="79">
        <v>0</v>
      </c>
    </row>
    <row r="341" spans="2:5" ht="15" customHeight="1">
      <c r="B341" s="111"/>
      <c r="C341" s="76" t="s">
        <v>28</v>
      </c>
      <c r="D341" s="80">
        <v>38</v>
      </c>
      <c r="E341" s="81">
        <v>6.0000000000000001E-3</v>
      </c>
    </row>
    <row r="342" spans="2:5" ht="15" customHeight="1">
      <c r="B342" s="111" t="s">
        <v>71</v>
      </c>
      <c r="C342" s="77" t="s">
        <v>161</v>
      </c>
      <c r="D342" s="78">
        <v>2</v>
      </c>
      <c r="E342" s="79">
        <v>0</v>
      </c>
    </row>
    <row r="343" spans="2:5" ht="15" customHeight="1">
      <c r="B343" s="111"/>
      <c r="C343" s="77" t="s">
        <v>162</v>
      </c>
      <c r="D343" s="78">
        <v>6</v>
      </c>
      <c r="E343" s="79">
        <v>1E-3</v>
      </c>
    </row>
    <row r="344" spans="2:5" ht="15" customHeight="1">
      <c r="B344" s="111"/>
      <c r="C344" s="77" t="s">
        <v>164</v>
      </c>
      <c r="D344" s="78">
        <v>1</v>
      </c>
      <c r="E344" s="79">
        <v>0</v>
      </c>
    </row>
    <row r="345" spans="2:5" ht="15" customHeight="1">
      <c r="B345" s="111"/>
      <c r="C345" s="77" t="s">
        <v>166</v>
      </c>
      <c r="D345" s="78">
        <v>18</v>
      </c>
      <c r="E345" s="79">
        <v>3.0000000000000001E-3</v>
      </c>
    </row>
    <row r="346" spans="2:5" ht="15" customHeight="1">
      <c r="B346" s="111"/>
      <c r="C346" s="77" t="s">
        <v>167</v>
      </c>
      <c r="D346" s="78">
        <v>1</v>
      </c>
      <c r="E346" s="79">
        <v>0</v>
      </c>
    </row>
    <row r="347" spans="2:5" ht="15" customHeight="1">
      <c r="B347" s="111"/>
      <c r="C347" s="77" t="s">
        <v>168</v>
      </c>
      <c r="D347" s="78">
        <v>8</v>
      </c>
      <c r="E347" s="79">
        <v>1E-3</v>
      </c>
    </row>
    <row r="348" spans="2:5" ht="15" customHeight="1">
      <c r="B348" s="111"/>
      <c r="C348" s="77" t="s">
        <v>169</v>
      </c>
      <c r="D348" s="78">
        <v>17</v>
      </c>
      <c r="E348" s="79">
        <v>2E-3</v>
      </c>
    </row>
    <row r="349" spans="2:5" ht="15" customHeight="1">
      <c r="B349" s="111"/>
      <c r="C349" s="77" t="s">
        <v>171</v>
      </c>
      <c r="D349" s="78">
        <v>1</v>
      </c>
      <c r="E349" s="79">
        <v>0</v>
      </c>
    </row>
    <row r="350" spans="2:5" ht="15" customHeight="1">
      <c r="B350" s="111"/>
      <c r="C350" s="77" t="s">
        <v>174</v>
      </c>
      <c r="D350" s="78">
        <v>1</v>
      </c>
      <c r="E350" s="79">
        <v>0</v>
      </c>
    </row>
    <row r="351" spans="2:5" ht="15" customHeight="1">
      <c r="B351" s="111"/>
      <c r="C351" s="77" t="s">
        <v>175</v>
      </c>
      <c r="D351" s="78">
        <v>4</v>
      </c>
      <c r="E351" s="79">
        <v>1E-3</v>
      </c>
    </row>
    <row r="352" spans="2:5" ht="15" customHeight="1">
      <c r="B352" s="111"/>
      <c r="C352" s="76" t="s">
        <v>28</v>
      </c>
      <c r="D352" s="80">
        <v>59</v>
      </c>
      <c r="E352" s="81">
        <v>8.9999999999999993E-3</v>
      </c>
    </row>
    <row r="353" spans="2:5" ht="15" customHeight="1">
      <c r="B353" s="111" t="s">
        <v>84</v>
      </c>
      <c r="C353" s="77" t="s">
        <v>159</v>
      </c>
      <c r="D353" s="78">
        <v>2</v>
      </c>
      <c r="E353" s="79">
        <v>0</v>
      </c>
    </row>
    <row r="354" spans="2:5" ht="15" customHeight="1">
      <c r="B354" s="111"/>
      <c r="C354" s="77" t="s">
        <v>161</v>
      </c>
      <c r="D354" s="78">
        <v>2</v>
      </c>
      <c r="E354" s="79">
        <v>0</v>
      </c>
    </row>
    <row r="355" spans="2:5" ht="15" customHeight="1">
      <c r="B355" s="111"/>
      <c r="C355" s="77" t="s">
        <v>162</v>
      </c>
      <c r="D355" s="78">
        <v>1</v>
      </c>
      <c r="E355" s="79">
        <v>0</v>
      </c>
    </row>
    <row r="356" spans="2:5" ht="15" customHeight="1">
      <c r="B356" s="111"/>
      <c r="C356" s="77" t="s">
        <v>165</v>
      </c>
      <c r="D356" s="78">
        <v>4</v>
      </c>
      <c r="E356" s="79">
        <v>1E-3</v>
      </c>
    </row>
    <row r="357" spans="2:5" ht="15" customHeight="1">
      <c r="B357" s="111"/>
      <c r="C357" s="77" t="s">
        <v>166</v>
      </c>
      <c r="D357" s="78">
        <v>5</v>
      </c>
      <c r="E357" s="79">
        <v>1E-3</v>
      </c>
    </row>
    <row r="358" spans="2:5" ht="15" customHeight="1">
      <c r="B358" s="111"/>
      <c r="C358" s="77" t="s">
        <v>168</v>
      </c>
      <c r="D358" s="78">
        <v>6</v>
      </c>
      <c r="E358" s="79">
        <v>1E-3</v>
      </c>
    </row>
    <row r="359" spans="2:5" ht="15" customHeight="1">
      <c r="B359" s="111"/>
      <c r="C359" s="77" t="s">
        <v>169</v>
      </c>
      <c r="D359" s="78">
        <v>6</v>
      </c>
      <c r="E359" s="79">
        <v>1E-3</v>
      </c>
    </row>
    <row r="360" spans="2:5" ht="15" customHeight="1">
      <c r="B360" s="111"/>
      <c r="C360" s="77" t="s">
        <v>171</v>
      </c>
      <c r="D360" s="78">
        <v>2</v>
      </c>
      <c r="E360" s="79">
        <v>0</v>
      </c>
    </row>
    <row r="361" spans="2:5" ht="15" customHeight="1">
      <c r="B361" s="111"/>
      <c r="C361" s="77" t="s">
        <v>173</v>
      </c>
      <c r="D361" s="78">
        <v>1</v>
      </c>
      <c r="E361" s="79">
        <v>0</v>
      </c>
    </row>
    <row r="362" spans="2:5" ht="15" customHeight="1">
      <c r="B362" s="111"/>
      <c r="C362" s="76" t="s">
        <v>28</v>
      </c>
      <c r="D362" s="80">
        <v>29</v>
      </c>
      <c r="E362" s="81">
        <v>4.0000000000000001E-3</v>
      </c>
    </row>
    <row r="363" spans="2:5" ht="15" customHeight="1">
      <c r="B363" s="111" t="s">
        <v>75</v>
      </c>
      <c r="C363" s="77" t="s">
        <v>155</v>
      </c>
      <c r="D363" s="78">
        <v>1</v>
      </c>
      <c r="E363" s="79">
        <v>0</v>
      </c>
    </row>
    <row r="364" spans="2:5" ht="15" customHeight="1">
      <c r="B364" s="111"/>
      <c r="C364" s="77" t="s">
        <v>157</v>
      </c>
      <c r="D364" s="78">
        <v>3</v>
      </c>
      <c r="E364" s="79">
        <v>0</v>
      </c>
    </row>
    <row r="365" spans="2:5" ht="15" customHeight="1">
      <c r="B365" s="111"/>
      <c r="C365" s="77" t="s">
        <v>158</v>
      </c>
      <c r="D365" s="78">
        <v>1</v>
      </c>
      <c r="E365" s="79">
        <v>0</v>
      </c>
    </row>
    <row r="366" spans="2:5" ht="15" customHeight="1">
      <c r="B366" s="111"/>
      <c r="C366" s="77" t="s">
        <v>159</v>
      </c>
      <c r="D366" s="78">
        <v>2</v>
      </c>
      <c r="E366" s="79">
        <v>0</v>
      </c>
    </row>
    <row r="367" spans="2:5" ht="15" customHeight="1">
      <c r="B367" s="111"/>
      <c r="C367" s="77" t="s">
        <v>160</v>
      </c>
      <c r="D367" s="78">
        <v>1</v>
      </c>
      <c r="E367" s="79">
        <v>0</v>
      </c>
    </row>
    <row r="368" spans="2:5" ht="15" customHeight="1">
      <c r="B368" s="111"/>
      <c r="C368" s="77" t="s">
        <v>161</v>
      </c>
      <c r="D368" s="78">
        <v>2</v>
      </c>
      <c r="E368" s="79">
        <v>0</v>
      </c>
    </row>
    <row r="369" spans="2:5" ht="15" customHeight="1">
      <c r="B369" s="111"/>
      <c r="C369" s="77" t="s">
        <v>162</v>
      </c>
      <c r="D369" s="78">
        <v>2</v>
      </c>
      <c r="E369" s="79">
        <v>0</v>
      </c>
    </row>
    <row r="370" spans="2:5" ht="15" customHeight="1">
      <c r="B370" s="111"/>
      <c r="C370" s="77" t="s">
        <v>164</v>
      </c>
      <c r="D370" s="78">
        <v>2</v>
      </c>
      <c r="E370" s="79">
        <v>0</v>
      </c>
    </row>
    <row r="371" spans="2:5" ht="15" customHeight="1">
      <c r="B371" s="111"/>
      <c r="C371" s="77" t="s">
        <v>166</v>
      </c>
      <c r="D371" s="78">
        <v>13</v>
      </c>
      <c r="E371" s="79">
        <v>2E-3</v>
      </c>
    </row>
    <row r="372" spans="2:5" ht="15" customHeight="1">
      <c r="B372" s="111"/>
      <c r="C372" s="77" t="s">
        <v>168</v>
      </c>
      <c r="D372" s="78">
        <v>4</v>
      </c>
      <c r="E372" s="79">
        <v>1E-3</v>
      </c>
    </row>
    <row r="373" spans="2:5" ht="15" customHeight="1">
      <c r="B373" s="111"/>
      <c r="C373" s="77" t="s">
        <v>169</v>
      </c>
      <c r="D373" s="78">
        <v>8</v>
      </c>
      <c r="E373" s="79">
        <v>1E-3</v>
      </c>
    </row>
    <row r="374" spans="2:5" ht="15" customHeight="1">
      <c r="B374" s="111"/>
      <c r="C374" s="77" t="s">
        <v>174</v>
      </c>
      <c r="D374" s="78">
        <v>1</v>
      </c>
      <c r="E374" s="79">
        <v>0</v>
      </c>
    </row>
    <row r="375" spans="2:5" ht="15" customHeight="1">
      <c r="B375" s="111"/>
      <c r="C375" s="77" t="s">
        <v>175</v>
      </c>
      <c r="D375" s="78">
        <v>2</v>
      </c>
      <c r="E375" s="79">
        <v>0</v>
      </c>
    </row>
    <row r="376" spans="2:5" ht="15" customHeight="1">
      <c r="B376" s="111"/>
      <c r="C376" s="76" t="s">
        <v>28</v>
      </c>
      <c r="D376" s="80">
        <v>42</v>
      </c>
      <c r="E376" s="81">
        <v>6.0000000000000001E-3</v>
      </c>
    </row>
    <row r="377" spans="2:5" ht="15" customHeight="1">
      <c r="B377" s="111" t="s">
        <v>61</v>
      </c>
      <c r="C377" s="77" t="s">
        <v>155</v>
      </c>
      <c r="D377" s="78">
        <v>7</v>
      </c>
      <c r="E377" s="79">
        <v>1E-3</v>
      </c>
    </row>
    <row r="378" spans="2:5" ht="15" customHeight="1">
      <c r="B378" s="111"/>
      <c r="C378" s="77" t="s">
        <v>158</v>
      </c>
      <c r="D378" s="78">
        <v>4</v>
      </c>
      <c r="E378" s="79">
        <v>1E-3</v>
      </c>
    </row>
    <row r="379" spans="2:5" ht="15" customHeight="1">
      <c r="B379" s="111"/>
      <c r="C379" s="77" t="s">
        <v>159</v>
      </c>
      <c r="D379" s="78">
        <v>2</v>
      </c>
      <c r="E379" s="79">
        <v>0</v>
      </c>
    </row>
    <row r="380" spans="2:5" ht="15" customHeight="1">
      <c r="B380" s="111"/>
      <c r="C380" s="77" t="s">
        <v>160</v>
      </c>
      <c r="D380" s="78">
        <v>5</v>
      </c>
      <c r="E380" s="79">
        <v>1E-3</v>
      </c>
    </row>
    <row r="381" spans="2:5" ht="15" customHeight="1">
      <c r="B381" s="111"/>
      <c r="C381" s="77" t="s">
        <v>161</v>
      </c>
      <c r="D381" s="78">
        <v>18</v>
      </c>
      <c r="E381" s="79">
        <v>3.0000000000000001E-3</v>
      </c>
    </row>
    <row r="382" spans="2:5" ht="15" customHeight="1">
      <c r="B382" s="111"/>
      <c r="C382" s="77" t="s">
        <v>162</v>
      </c>
      <c r="D382" s="78">
        <v>20</v>
      </c>
      <c r="E382" s="79">
        <v>3.0000000000000001E-3</v>
      </c>
    </row>
    <row r="383" spans="2:5" ht="15" customHeight="1">
      <c r="B383" s="111"/>
      <c r="C383" s="77" t="s">
        <v>163</v>
      </c>
      <c r="D383" s="78">
        <v>4</v>
      </c>
      <c r="E383" s="79">
        <v>1E-3</v>
      </c>
    </row>
    <row r="384" spans="2:5" ht="15" customHeight="1">
      <c r="B384" s="111"/>
      <c r="C384" s="77" t="s">
        <v>164</v>
      </c>
      <c r="D384" s="78">
        <v>4</v>
      </c>
      <c r="E384" s="79">
        <v>1E-3</v>
      </c>
    </row>
    <row r="385" spans="2:5" ht="15" customHeight="1">
      <c r="B385" s="111"/>
      <c r="C385" s="77" t="s">
        <v>165</v>
      </c>
      <c r="D385" s="78">
        <v>6</v>
      </c>
      <c r="E385" s="79">
        <v>1E-3</v>
      </c>
    </row>
    <row r="386" spans="2:5" ht="15" customHeight="1">
      <c r="B386" s="111"/>
      <c r="C386" s="77" t="s">
        <v>166</v>
      </c>
      <c r="D386" s="78">
        <v>28</v>
      </c>
      <c r="E386" s="79">
        <v>4.0000000000000001E-3</v>
      </c>
    </row>
    <row r="387" spans="2:5" ht="15" customHeight="1">
      <c r="B387" s="111"/>
      <c r="C387" s="77" t="s">
        <v>167</v>
      </c>
      <c r="D387" s="78">
        <v>1</v>
      </c>
      <c r="E387" s="79">
        <v>0</v>
      </c>
    </row>
    <row r="388" spans="2:5" ht="15" customHeight="1">
      <c r="B388" s="111"/>
      <c r="C388" s="77" t="s">
        <v>168</v>
      </c>
      <c r="D388" s="78">
        <v>21</v>
      </c>
      <c r="E388" s="79">
        <v>3.0000000000000001E-3</v>
      </c>
    </row>
    <row r="389" spans="2:5" ht="15" customHeight="1">
      <c r="B389" s="111"/>
      <c r="C389" s="77" t="s">
        <v>169</v>
      </c>
      <c r="D389" s="78">
        <v>33</v>
      </c>
      <c r="E389" s="79">
        <v>5.0000000000000001E-3</v>
      </c>
    </row>
    <row r="390" spans="2:5" ht="15" customHeight="1">
      <c r="B390" s="111"/>
      <c r="C390" s="77" t="s">
        <v>170</v>
      </c>
      <c r="D390" s="78">
        <v>4</v>
      </c>
      <c r="E390" s="79">
        <v>1E-3</v>
      </c>
    </row>
    <row r="391" spans="2:5" ht="15" customHeight="1">
      <c r="B391" s="111"/>
      <c r="C391" s="77" t="s">
        <v>171</v>
      </c>
      <c r="D391" s="78">
        <v>3</v>
      </c>
      <c r="E391" s="79">
        <v>0</v>
      </c>
    </row>
    <row r="392" spans="2:5" ht="15" customHeight="1">
      <c r="B392" s="111"/>
      <c r="C392" s="77" t="s">
        <v>174</v>
      </c>
      <c r="D392" s="78">
        <v>6</v>
      </c>
      <c r="E392" s="79">
        <v>1E-3</v>
      </c>
    </row>
    <row r="393" spans="2:5" ht="15" customHeight="1">
      <c r="B393" s="111"/>
      <c r="C393" s="77" t="s">
        <v>175</v>
      </c>
      <c r="D393" s="78">
        <v>6</v>
      </c>
      <c r="E393" s="79">
        <v>1E-3</v>
      </c>
    </row>
    <row r="394" spans="2:5" ht="15" customHeight="1">
      <c r="B394" s="111"/>
      <c r="C394" s="76" t="s">
        <v>28</v>
      </c>
      <c r="D394" s="80">
        <v>172</v>
      </c>
      <c r="E394" s="81">
        <v>2.5000000000000001E-2</v>
      </c>
    </row>
    <row r="395" spans="2:5" ht="15" customHeight="1">
      <c r="B395" s="111" t="s">
        <v>58</v>
      </c>
      <c r="C395" s="77" t="s">
        <v>155</v>
      </c>
      <c r="D395" s="78">
        <v>2</v>
      </c>
      <c r="E395" s="79">
        <v>0</v>
      </c>
    </row>
    <row r="396" spans="2:5" ht="15" customHeight="1">
      <c r="B396" s="111"/>
      <c r="C396" s="77" t="s">
        <v>158</v>
      </c>
      <c r="D396" s="78">
        <v>1</v>
      </c>
      <c r="E396" s="79">
        <v>0</v>
      </c>
    </row>
    <row r="397" spans="2:5" ht="15" customHeight="1">
      <c r="B397" s="111"/>
      <c r="C397" s="77" t="s">
        <v>160</v>
      </c>
      <c r="D397" s="78">
        <v>2</v>
      </c>
      <c r="E397" s="79">
        <v>0</v>
      </c>
    </row>
    <row r="398" spans="2:5" ht="15" customHeight="1">
      <c r="B398" s="111"/>
      <c r="C398" s="77" t="s">
        <v>161</v>
      </c>
      <c r="D398" s="78">
        <v>12</v>
      </c>
      <c r="E398" s="79">
        <v>2E-3</v>
      </c>
    </row>
    <row r="399" spans="2:5" ht="15" customHeight="1">
      <c r="B399" s="111"/>
      <c r="C399" s="77" t="s">
        <v>162</v>
      </c>
      <c r="D399" s="78">
        <v>12</v>
      </c>
      <c r="E399" s="79">
        <v>2E-3</v>
      </c>
    </row>
    <row r="400" spans="2:5" ht="15" customHeight="1">
      <c r="B400" s="111"/>
      <c r="C400" s="77" t="s">
        <v>163</v>
      </c>
      <c r="D400" s="78">
        <v>4</v>
      </c>
      <c r="E400" s="79">
        <v>1E-3</v>
      </c>
    </row>
    <row r="401" spans="2:5" ht="15" customHeight="1">
      <c r="B401" s="111"/>
      <c r="C401" s="77" t="s">
        <v>164</v>
      </c>
      <c r="D401" s="78">
        <v>6</v>
      </c>
      <c r="E401" s="79">
        <v>1E-3</v>
      </c>
    </row>
    <row r="402" spans="2:5" ht="15" customHeight="1">
      <c r="B402" s="111"/>
      <c r="C402" s="77" t="s">
        <v>165</v>
      </c>
      <c r="D402" s="78">
        <v>6</v>
      </c>
      <c r="E402" s="79">
        <v>1E-3</v>
      </c>
    </row>
    <row r="403" spans="2:5" ht="15" customHeight="1">
      <c r="B403" s="111"/>
      <c r="C403" s="77" t="s">
        <v>166</v>
      </c>
      <c r="D403" s="78">
        <v>48</v>
      </c>
      <c r="E403" s="79">
        <v>7.0000000000000001E-3</v>
      </c>
    </row>
    <row r="404" spans="2:5" ht="15" customHeight="1">
      <c r="B404" s="111"/>
      <c r="C404" s="77" t="s">
        <v>167</v>
      </c>
      <c r="D404" s="78">
        <v>7</v>
      </c>
      <c r="E404" s="79">
        <v>1E-3</v>
      </c>
    </row>
    <row r="405" spans="2:5" ht="15" customHeight="1">
      <c r="B405" s="111"/>
      <c r="C405" s="77" t="s">
        <v>168</v>
      </c>
      <c r="D405" s="78">
        <v>13</v>
      </c>
      <c r="E405" s="79">
        <v>2E-3</v>
      </c>
    </row>
    <row r="406" spans="2:5" ht="15" customHeight="1">
      <c r="B406" s="111"/>
      <c r="C406" s="77" t="s">
        <v>169</v>
      </c>
      <c r="D406" s="78">
        <v>92</v>
      </c>
      <c r="E406" s="79">
        <v>1.2999999999999999E-2</v>
      </c>
    </row>
    <row r="407" spans="2:5" ht="15" customHeight="1">
      <c r="B407" s="111"/>
      <c r="C407" s="77" t="s">
        <v>170</v>
      </c>
      <c r="D407" s="78">
        <v>1</v>
      </c>
      <c r="E407" s="79">
        <v>0</v>
      </c>
    </row>
    <row r="408" spans="2:5" ht="15" customHeight="1">
      <c r="B408" s="111"/>
      <c r="C408" s="77" t="s">
        <v>171</v>
      </c>
      <c r="D408" s="78">
        <v>1</v>
      </c>
      <c r="E408" s="79">
        <v>0</v>
      </c>
    </row>
    <row r="409" spans="2:5" ht="15" customHeight="1">
      <c r="B409" s="111"/>
      <c r="C409" s="77" t="s">
        <v>174</v>
      </c>
      <c r="D409" s="78">
        <v>5</v>
      </c>
      <c r="E409" s="79">
        <v>1E-3</v>
      </c>
    </row>
    <row r="410" spans="2:5" ht="15" customHeight="1">
      <c r="B410" s="111"/>
      <c r="C410" s="77" t="s">
        <v>175</v>
      </c>
      <c r="D410" s="78">
        <v>16</v>
      </c>
      <c r="E410" s="79">
        <v>2E-3</v>
      </c>
    </row>
    <row r="411" spans="2:5" ht="15" customHeight="1">
      <c r="B411" s="111"/>
      <c r="C411" s="76" t="s">
        <v>28</v>
      </c>
      <c r="D411" s="80">
        <v>228</v>
      </c>
      <c r="E411" s="81">
        <v>3.3000000000000002E-2</v>
      </c>
    </row>
    <row r="412" spans="2:5" ht="15" customHeight="1">
      <c r="B412" s="111" t="s">
        <v>73</v>
      </c>
      <c r="C412" s="77" t="s">
        <v>158</v>
      </c>
      <c r="D412" s="78">
        <v>1</v>
      </c>
      <c r="E412" s="79">
        <v>0</v>
      </c>
    </row>
    <row r="413" spans="2:5" ht="15" customHeight="1">
      <c r="B413" s="111"/>
      <c r="C413" s="77" t="s">
        <v>160</v>
      </c>
      <c r="D413" s="78">
        <v>3</v>
      </c>
      <c r="E413" s="79">
        <v>0</v>
      </c>
    </row>
    <row r="414" spans="2:5" ht="15" customHeight="1">
      <c r="B414" s="111"/>
      <c r="C414" s="77" t="s">
        <v>161</v>
      </c>
      <c r="D414" s="78">
        <v>4</v>
      </c>
      <c r="E414" s="79">
        <v>1E-3</v>
      </c>
    </row>
    <row r="415" spans="2:5" ht="15" customHeight="1">
      <c r="B415" s="111"/>
      <c r="C415" s="77" t="s">
        <v>162</v>
      </c>
      <c r="D415" s="78">
        <v>3</v>
      </c>
      <c r="E415" s="79">
        <v>0</v>
      </c>
    </row>
    <row r="416" spans="2:5" ht="15" customHeight="1">
      <c r="B416" s="111"/>
      <c r="C416" s="77" t="s">
        <v>163</v>
      </c>
      <c r="D416" s="78">
        <v>1</v>
      </c>
      <c r="E416" s="79">
        <v>0</v>
      </c>
    </row>
    <row r="417" spans="2:5" ht="15" customHeight="1">
      <c r="B417" s="111"/>
      <c r="C417" s="77" t="s">
        <v>164</v>
      </c>
      <c r="D417" s="78">
        <v>2</v>
      </c>
      <c r="E417" s="79">
        <v>0</v>
      </c>
    </row>
    <row r="418" spans="2:5" ht="15" customHeight="1">
      <c r="B418" s="111"/>
      <c r="C418" s="77" t="s">
        <v>165</v>
      </c>
      <c r="D418" s="78">
        <v>2</v>
      </c>
      <c r="E418" s="79">
        <v>0</v>
      </c>
    </row>
    <row r="419" spans="2:5" ht="15" customHeight="1">
      <c r="B419" s="111"/>
      <c r="C419" s="77" t="s">
        <v>166</v>
      </c>
      <c r="D419" s="78">
        <v>7</v>
      </c>
      <c r="E419" s="79">
        <v>1E-3</v>
      </c>
    </row>
    <row r="420" spans="2:5" ht="15" customHeight="1">
      <c r="B420" s="111"/>
      <c r="C420" s="77" t="s">
        <v>168</v>
      </c>
      <c r="D420" s="78">
        <v>8</v>
      </c>
      <c r="E420" s="79">
        <v>1E-3</v>
      </c>
    </row>
    <row r="421" spans="2:5" ht="15" customHeight="1">
      <c r="B421" s="111"/>
      <c r="C421" s="77" t="s">
        <v>169</v>
      </c>
      <c r="D421" s="78">
        <v>17</v>
      </c>
      <c r="E421" s="79">
        <v>2E-3</v>
      </c>
    </row>
    <row r="422" spans="2:5" ht="15" customHeight="1">
      <c r="B422" s="111"/>
      <c r="C422" s="77" t="s">
        <v>174</v>
      </c>
      <c r="D422" s="78">
        <v>1</v>
      </c>
      <c r="E422" s="79">
        <v>0</v>
      </c>
    </row>
    <row r="423" spans="2:5" ht="15" customHeight="1">
      <c r="B423" s="111"/>
      <c r="C423" s="77" t="s">
        <v>175</v>
      </c>
      <c r="D423" s="78">
        <v>4</v>
      </c>
      <c r="E423" s="79">
        <v>1E-3</v>
      </c>
    </row>
    <row r="424" spans="2:5" ht="15" customHeight="1">
      <c r="B424" s="111"/>
      <c r="C424" s="76" t="s">
        <v>28</v>
      </c>
      <c r="D424" s="80">
        <v>53</v>
      </c>
      <c r="E424" s="81">
        <v>8.0000000000000002E-3</v>
      </c>
    </row>
    <row r="425" spans="2:5" ht="15" customHeight="1">
      <c r="B425" s="111" t="s">
        <v>95</v>
      </c>
      <c r="C425" s="77" t="s">
        <v>155</v>
      </c>
      <c r="D425" s="78">
        <v>1</v>
      </c>
      <c r="E425" s="79">
        <v>0</v>
      </c>
    </row>
    <row r="426" spans="2:5" ht="15" customHeight="1">
      <c r="B426" s="111"/>
      <c r="C426" s="77" t="s">
        <v>165</v>
      </c>
      <c r="D426" s="78">
        <v>2</v>
      </c>
      <c r="E426" s="79">
        <v>0</v>
      </c>
    </row>
    <row r="427" spans="2:5" ht="15" customHeight="1">
      <c r="B427" s="111"/>
      <c r="C427" s="77" t="s">
        <v>166</v>
      </c>
      <c r="D427" s="78">
        <v>1</v>
      </c>
      <c r="E427" s="79">
        <v>0</v>
      </c>
    </row>
    <row r="428" spans="2:5" ht="15" customHeight="1">
      <c r="B428" s="111"/>
      <c r="C428" s="77" t="s">
        <v>169</v>
      </c>
      <c r="D428" s="78">
        <v>1</v>
      </c>
      <c r="E428" s="79">
        <v>0</v>
      </c>
    </row>
    <row r="429" spans="2:5" ht="15" customHeight="1">
      <c r="B429" s="111"/>
      <c r="C429" s="77" t="s">
        <v>175</v>
      </c>
      <c r="D429" s="78">
        <v>1</v>
      </c>
      <c r="E429" s="79">
        <v>0</v>
      </c>
    </row>
    <row r="430" spans="2:5" ht="15" customHeight="1">
      <c r="B430" s="111"/>
      <c r="C430" s="76" t="s">
        <v>28</v>
      </c>
      <c r="D430" s="80">
        <v>6</v>
      </c>
      <c r="E430" s="81">
        <v>1E-3</v>
      </c>
    </row>
    <row r="431" spans="2:5" ht="15" customHeight="1">
      <c r="B431" s="111" t="s">
        <v>68</v>
      </c>
      <c r="C431" s="77" t="s">
        <v>155</v>
      </c>
      <c r="D431" s="78">
        <v>1</v>
      </c>
      <c r="E431" s="79">
        <v>0</v>
      </c>
    </row>
    <row r="432" spans="2:5" ht="15" customHeight="1">
      <c r="B432" s="111"/>
      <c r="C432" s="77" t="s">
        <v>157</v>
      </c>
      <c r="D432" s="78">
        <v>1</v>
      </c>
      <c r="E432" s="79">
        <v>0</v>
      </c>
    </row>
    <row r="433" spans="2:5" ht="15" customHeight="1">
      <c r="B433" s="111"/>
      <c r="C433" s="77" t="s">
        <v>159</v>
      </c>
      <c r="D433" s="78">
        <v>1</v>
      </c>
      <c r="E433" s="79">
        <v>0</v>
      </c>
    </row>
    <row r="434" spans="2:5" ht="15" customHeight="1">
      <c r="B434" s="111"/>
      <c r="C434" s="77" t="s">
        <v>161</v>
      </c>
      <c r="D434" s="78">
        <v>4</v>
      </c>
      <c r="E434" s="79">
        <v>1E-3</v>
      </c>
    </row>
    <row r="435" spans="2:5" ht="15" customHeight="1">
      <c r="B435" s="111"/>
      <c r="C435" s="77" t="s">
        <v>162</v>
      </c>
      <c r="D435" s="78">
        <v>6</v>
      </c>
      <c r="E435" s="79">
        <v>1E-3</v>
      </c>
    </row>
    <row r="436" spans="2:5" ht="15" customHeight="1">
      <c r="B436" s="111"/>
      <c r="C436" s="77" t="s">
        <v>163</v>
      </c>
      <c r="D436" s="78">
        <v>1</v>
      </c>
      <c r="E436" s="79">
        <v>0</v>
      </c>
    </row>
    <row r="437" spans="2:5" ht="15" customHeight="1">
      <c r="B437" s="111"/>
      <c r="C437" s="77" t="s">
        <v>164</v>
      </c>
      <c r="D437" s="78">
        <v>2</v>
      </c>
      <c r="E437" s="79">
        <v>0</v>
      </c>
    </row>
    <row r="438" spans="2:5" ht="15" customHeight="1">
      <c r="B438" s="111"/>
      <c r="C438" s="77" t="s">
        <v>165</v>
      </c>
      <c r="D438" s="78">
        <v>5</v>
      </c>
      <c r="E438" s="79">
        <v>1E-3</v>
      </c>
    </row>
    <row r="439" spans="2:5" ht="15" customHeight="1">
      <c r="B439" s="111"/>
      <c r="C439" s="77" t="s">
        <v>166</v>
      </c>
      <c r="D439" s="78">
        <v>23</v>
      </c>
      <c r="E439" s="79">
        <v>3.0000000000000001E-3</v>
      </c>
    </row>
    <row r="440" spans="2:5" ht="15" customHeight="1">
      <c r="B440" s="111"/>
      <c r="C440" s="77" t="s">
        <v>168</v>
      </c>
      <c r="D440" s="78">
        <v>11</v>
      </c>
      <c r="E440" s="79">
        <v>2E-3</v>
      </c>
    </row>
    <row r="441" spans="2:5" ht="15" customHeight="1">
      <c r="B441" s="111"/>
      <c r="C441" s="77" t="s">
        <v>169</v>
      </c>
      <c r="D441" s="78">
        <v>16</v>
      </c>
      <c r="E441" s="79">
        <v>2E-3</v>
      </c>
    </row>
    <row r="442" spans="2:5" ht="15" customHeight="1">
      <c r="B442" s="111"/>
      <c r="C442" s="77" t="s">
        <v>174</v>
      </c>
      <c r="D442" s="78">
        <v>1</v>
      </c>
      <c r="E442" s="79">
        <v>0</v>
      </c>
    </row>
    <row r="443" spans="2:5" ht="15" customHeight="1">
      <c r="B443" s="111"/>
      <c r="C443" s="77" t="s">
        <v>175</v>
      </c>
      <c r="D443" s="78">
        <v>5</v>
      </c>
      <c r="E443" s="79">
        <v>1E-3</v>
      </c>
    </row>
    <row r="444" spans="2:5" ht="15" customHeight="1">
      <c r="B444" s="111"/>
      <c r="C444" s="76" t="s">
        <v>28</v>
      </c>
      <c r="D444" s="80">
        <v>77</v>
      </c>
      <c r="E444" s="81">
        <v>1.0999999999999999E-2</v>
      </c>
    </row>
    <row r="445" spans="2:5" ht="15" customHeight="1">
      <c r="B445" s="111" t="s">
        <v>59</v>
      </c>
      <c r="C445" s="77" t="s">
        <v>155</v>
      </c>
      <c r="D445" s="78">
        <v>3</v>
      </c>
      <c r="E445" s="79">
        <v>0</v>
      </c>
    </row>
    <row r="446" spans="2:5" ht="15" customHeight="1">
      <c r="B446" s="111"/>
      <c r="C446" s="77" t="s">
        <v>158</v>
      </c>
      <c r="D446" s="78">
        <v>1</v>
      </c>
      <c r="E446" s="79">
        <v>0</v>
      </c>
    </row>
    <row r="447" spans="2:5" ht="15" customHeight="1">
      <c r="B447" s="111"/>
      <c r="C447" s="77" t="s">
        <v>161</v>
      </c>
      <c r="D447" s="78">
        <v>9</v>
      </c>
      <c r="E447" s="79">
        <v>1E-3</v>
      </c>
    </row>
    <row r="448" spans="2:5" ht="15" customHeight="1">
      <c r="B448" s="111"/>
      <c r="C448" s="77" t="s">
        <v>162</v>
      </c>
      <c r="D448" s="78">
        <v>16</v>
      </c>
      <c r="E448" s="79">
        <v>2E-3</v>
      </c>
    </row>
    <row r="449" spans="2:5" ht="15" customHeight="1">
      <c r="B449" s="111"/>
      <c r="C449" s="77" t="s">
        <v>164</v>
      </c>
      <c r="D449" s="78">
        <v>4</v>
      </c>
      <c r="E449" s="79">
        <v>1E-3</v>
      </c>
    </row>
    <row r="450" spans="2:5" ht="15" customHeight="1">
      <c r="B450" s="111"/>
      <c r="C450" s="77" t="s">
        <v>165</v>
      </c>
      <c r="D450" s="78">
        <v>10</v>
      </c>
      <c r="E450" s="79">
        <v>1E-3</v>
      </c>
    </row>
    <row r="451" spans="2:5" ht="15" customHeight="1">
      <c r="B451" s="111"/>
      <c r="C451" s="77" t="s">
        <v>166</v>
      </c>
      <c r="D451" s="78">
        <v>55</v>
      </c>
      <c r="E451" s="79">
        <v>8.0000000000000002E-3</v>
      </c>
    </row>
    <row r="452" spans="2:5" ht="15" customHeight="1">
      <c r="B452" s="111"/>
      <c r="C452" s="77" t="s">
        <v>167</v>
      </c>
      <c r="D452" s="78">
        <v>4</v>
      </c>
      <c r="E452" s="79">
        <v>1E-3</v>
      </c>
    </row>
    <row r="453" spans="2:5" ht="15" customHeight="1">
      <c r="B453" s="111"/>
      <c r="C453" s="77" t="s">
        <v>168</v>
      </c>
      <c r="D453" s="78">
        <v>21</v>
      </c>
      <c r="E453" s="79">
        <v>3.0000000000000001E-3</v>
      </c>
    </row>
    <row r="454" spans="2:5" ht="15" customHeight="1">
      <c r="B454" s="111"/>
      <c r="C454" s="77" t="s">
        <v>169</v>
      </c>
      <c r="D454" s="78">
        <v>53</v>
      </c>
      <c r="E454" s="79">
        <v>8.0000000000000002E-3</v>
      </c>
    </row>
    <row r="455" spans="2:5" ht="15" customHeight="1">
      <c r="B455" s="111"/>
      <c r="C455" s="77" t="s">
        <v>170</v>
      </c>
      <c r="D455" s="78">
        <v>1</v>
      </c>
      <c r="E455" s="79">
        <v>0</v>
      </c>
    </row>
    <row r="456" spans="2:5" ht="15" customHeight="1">
      <c r="B456" s="111"/>
      <c r="C456" s="77" t="s">
        <v>171</v>
      </c>
      <c r="D456" s="78">
        <v>3</v>
      </c>
      <c r="E456" s="79">
        <v>0</v>
      </c>
    </row>
    <row r="457" spans="2:5" ht="15" customHeight="1">
      <c r="B457" s="111"/>
      <c r="C457" s="77" t="s">
        <v>172</v>
      </c>
      <c r="D457" s="78">
        <v>1</v>
      </c>
      <c r="E457" s="79">
        <v>0</v>
      </c>
    </row>
    <row r="458" spans="2:5" ht="15" customHeight="1">
      <c r="B458" s="111"/>
      <c r="C458" s="77" t="s">
        <v>173</v>
      </c>
      <c r="D458" s="78">
        <v>1</v>
      </c>
      <c r="E458" s="79">
        <v>0</v>
      </c>
    </row>
    <row r="459" spans="2:5" ht="15" customHeight="1">
      <c r="B459" s="111"/>
      <c r="C459" s="77" t="s">
        <v>174</v>
      </c>
      <c r="D459" s="78">
        <v>8</v>
      </c>
      <c r="E459" s="79">
        <v>1E-3</v>
      </c>
    </row>
    <row r="460" spans="2:5" ht="15" customHeight="1">
      <c r="B460" s="111"/>
      <c r="C460" s="77" t="s">
        <v>175</v>
      </c>
      <c r="D460" s="78">
        <v>6</v>
      </c>
      <c r="E460" s="79">
        <v>1E-3</v>
      </c>
    </row>
    <row r="461" spans="2:5" ht="15" customHeight="1">
      <c r="B461" s="111"/>
      <c r="C461" s="76" t="s">
        <v>28</v>
      </c>
      <c r="D461" s="80">
        <v>196</v>
      </c>
      <c r="E461" s="81">
        <v>2.9000000000000001E-2</v>
      </c>
    </row>
    <row r="462" spans="2:5" ht="15" customHeight="1">
      <c r="B462" s="111" t="s">
        <v>76</v>
      </c>
      <c r="C462" s="77" t="s">
        <v>158</v>
      </c>
      <c r="D462" s="78">
        <v>1</v>
      </c>
      <c r="E462" s="79">
        <v>0</v>
      </c>
    </row>
    <row r="463" spans="2:5" ht="15" customHeight="1">
      <c r="B463" s="111"/>
      <c r="C463" s="77" t="s">
        <v>162</v>
      </c>
      <c r="D463" s="78">
        <v>4</v>
      </c>
      <c r="E463" s="79">
        <v>1E-3</v>
      </c>
    </row>
    <row r="464" spans="2:5" ht="15" customHeight="1">
      <c r="B464" s="111"/>
      <c r="C464" s="77" t="s">
        <v>163</v>
      </c>
      <c r="D464" s="78">
        <v>1</v>
      </c>
      <c r="E464" s="79">
        <v>0</v>
      </c>
    </row>
    <row r="465" spans="2:5" ht="15" customHeight="1">
      <c r="B465" s="111"/>
      <c r="C465" s="77" t="s">
        <v>164</v>
      </c>
      <c r="D465" s="78">
        <v>1</v>
      </c>
      <c r="E465" s="79">
        <v>0</v>
      </c>
    </row>
    <row r="466" spans="2:5" ht="15" customHeight="1">
      <c r="B466" s="111"/>
      <c r="C466" s="77" t="s">
        <v>165</v>
      </c>
      <c r="D466" s="78">
        <v>1</v>
      </c>
      <c r="E466" s="79">
        <v>0</v>
      </c>
    </row>
    <row r="467" spans="2:5" ht="15" customHeight="1">
      <c r="B467" s="111"/>
      <c r="C467" s="77" t="s">
        <v>166</v>
      </c>
      <c r="D467" s="78">
        <v>8</v>
      </c>
      <c r="E467" s="79">
        <v>1E-3</v>
      </c>
    </row>
    <row r="468" spans="2:5" ht="15" customHeight="1">
      <c r="B468" s="111"/>
      <c r="C468" s="77" t="s">
        <v>167</v>
      </c>
      <c r="D468" s="78">
        <v>2</v>
      </c>
      <c r="E468" s="79">
        <v>0</v>
      </c>
    </row>
    <row r="469" spans="2:5" ht="15" customHeight="1">
      <c r="B469" s="111"/>
      <c r="C469" s="77" t="s">
        <v>168</v>
      </c>
      <c r="D469" s="78">
        <v>2</v>
      </c>
      <c r="E469" s="79">
        <v>0</v>
      </c>
    </row>
    <row r="470" spans="2:5" ht="15" customHeight="1">
      <c r="B470" s="111"/>
      <c r="C470" s="77" t="s">
        <v>169</v>
      </c>
      <c r="D470" s="78">
        <v>15</v>
      </c>
      <c r="E470" s="79">
        <v>2E-3</v>
      </c>
    </row>
    <row r="471" spans="2:5" ht="15" customHeight="1">
      <c r="B471" s="111"/>
      <c r="C471" s="77" t="s">
        <v>171</v>
      </c>
      <c r="D471" s="78">
        <v>1</v>
      </c>
      <c r="E471" s="79">
        <v>0</v>
      </c>
    </row>
    <row r="472" spans="2:5" ht="15" customHeight="1">
      <c r="B472" s="111"/>
      <c r="C472" s="77" t="s">
        <v>172</v>
      </c>
      <c r="D472" s="78">
        <v>1</v>
      </c>
      <c r="E472" s="79">
        <v>0</v>
      </c>
    </row>
    <row r="473" spans="2:5" ht="15" customHeight="1">
      <c r="B473" s="111"/>
      <c r="C473" s="77" t="s">
        <v>174</v>
      </c>
      <c r="D473" s="78">
        <v>2</v>
      </c>
      <c r="E473" s="79">
        <v>0</v>
      </c>
    </row>
    <row r="474" spans="2:5" ht="15" customHeight="1">
      <c r="B474" s="111"/>
      <c r="C474" s="77" t="s">
        <v>175</v>
      </c>
      <c r="D474" s="78">
        <v>1</v>
      </c>
      <c r="E474" s="79">
        <v>0</v>
      </c>
    </row>
    <row r="475" spans="2:5" ht="15" customHeight="1">
      <c r="B475" s="111"/>
      <c r="C475" s="76" t="s">
        <v>28</v>
      </c>
      <c r="D475" s="80">
        <v>40</v>
      </c>
      <c r="E475" s="81">
        <v>6.0000000000000001E-3</v>
      </c>
    </row>
    <row r="476" spans="2:5" ht="15" customHeight="1">
      <c r="B476" s="111" t="s">
        <v>66</v>
      </c>
      <c r="C476" s="77" t="s">
        <v>157</v>
      </c>
      <c r="D476" s="78">
        <v>1</v>
      </c>
      <c r="E476" s="79">
        <v>0</v>
      </c>
    </row>
    <row r="477" spans="2:5" ht="15" customHeight="1">
      <c r="B477" s="111"/>
      <c r="C477" s="77" t="s">
        <v>158</v>
      </c>
      <c r="D477" s="78">
        <v>1</v>
      </c>
      <c r="E477" s="79">
        <v>0</v>
      </c>
    </row>
    <row r="478" spans="2:5" ht="15" customHeight="1">
      <c r="B478" s="111"/>
      <c r="C478" s="77" t="s">
        <v>161</v>
      </c>
      <c r="D478" s="78">
        <v>1</v>
      </c>
      <c r="E478" s="79">
        <v>0</v>
      </c>
    </row>
    <row r="479" spans="2:5" ht="15" customHeight="1">
      <c r="B479" s="111"/>
      <c r="C479" s="77" t="s">
        <v>163</v>
      </c>
      <c r="D479" s="78">
        <v>1</v>
      </c>
      <c r="E479" s="79">
        <v>0</v>
      </c>
    </row>
    <row r="480" spans="2:5" ht="15" customHeight="1">
      <c r="B480" s="111"/>
      <c r="C480" s="77" t="s">
        <v>164</v>
      </c>
      <c r="D480" s="78">
        <v>3</v>
      </c>
      <c r="E480" s="79">
        <v>0</v>
      </c>
    </row>
    <row r="481" spans="2:5" ht="15" customHeight="1">
      <c r="B481" s="111"/>
      <c r="C481" s="77" t="s">
        <v>165</v>
      </c>
      <c r="D481" s="78">
        <v>3</v>
      </c>
      <c r="E481" s="79">
        <v>0</v>
      </c>
    </row>
    <row r="482" spans="2:5" ht="15" customHeight="1">
      <c r="B482" s="111"/>
      <c r="C482" s="77" t="s">
        <v>166</v>
      </c>
      <c r="D482" s="78">
        <v>20</v>
      </c>
      <c r="E482" s="79">
        <v>3.0000000000000001E-3</v>
      </c>
    </row>
    <row r="483" spans="2:5" ht="15" customHeight="1">
      <c r="B483" s="111"/>
      <c r="C483" s="77" t="s">
        <v>167</v>
      </c>
      <c r="D483" s="78">
        <v>1</v>
      </c>
      <c r="E483" s="79">
        <v>0</v>
      </c>
    </row>
    <row r="484" spans="2:5" ht="15" customHeight="1">
      <c r="B484" s="111"/>
      <c r="C484" s="77" t="s">
        <v>168</v>
      </c>
      <c r="D484" s="78">
        <v>10</v>
      </c>
      <c r="E484" s="79">
        <v>1E-3</v>
      </c>
    </row>
    <row r="485" spans="2:5" ht="15" customHeight="1">
      <c r="B485" s="111"/>
      <c r="C485" s="77" t="s">
        <v>169</v>
      </c>
      <c r="D485" s="78">
        <v>30</v>
      </c>
      <c r="E485" s="79">
        <v>4.0000000000000001E-3</v>
      </c>
    </row>
    <row r="486" spans="2:5" ht="15" customHeight="1">
      <c r="B486" s="111"/>
      <c r="C486" s="77" t="s">
        <v>174</v>
      </c>
      <c r="D486" s="78">
        <v>2</v>
      </c>
      <c r="E486" s="79">
        <v>0</v>
      </c>
    </row>
    <row r="487" spans="2:5" ht="15" customHeight="1">
      <c r="B487" s="111"/>
      <c r="C487" s="77" t="s">
        <v>175</v>
      </c>
      <c r="D487" s="78">
        <v>9</v>
      </c>
      <c r="E487" s="79">
        <v>1E-3</v>
      </c>
    </row>
    <row r="488" spans="2:5" ht="15" customHeight="1">
      <c r="B488" s="111"/>
      <c r="C488" s="76" t="s">
        <v>28</v>
      </c>
      <c r="D488" s="80">
        <v>82</v>
      </c>
      <c r="E488" s="81">
        <v>1.2E-2</v>
      </c>
    </row>
    <row r="489" spans="2:5" ht="15" customHeight="1">
      <c r="B489" s="111" t="s">
        <v>90</v>
      </c>
      <c r="C489" s="77" t="s">
        <v>166</v>
      </c>
      <c r="D489" s="78">
        <v>2</v>
      </c>
      <c r="E489" s="79">
        <v>0</v>
      </c>
    </row>
    <row r="490" spans="2:5" ht="15" customHeight="1">
      <c r="B490" s="111"/>
      <c r="C490" s="77" t="s">
        <v>168</v>
      </c>
      <c r="D490" s="78">
        <v>3</v>
      </c>
      <c r="E490" s="79">
        <v>0</v>
      </c>
    </row>
    <row r="491" spans="2:5" ht="15" customHeight="1">
      <c r="B491" s="111"/>
      <c r="C491" s="77" t="s">
        <v>169</v>
      </c>
      <c r="D491" s="78">
        <v>6</v>
      </c>
      <c r="E491" s="79">
        <v>1E-3</v>
      </c>
    </row>
    <row r="492" spans="2:5" ht="15" customHeight="1">
      <c r="B492" s="111"/>
      <c r="C492" s="77" t="s">
        <v>175</v>
      </c>
      <c r="D492" s="78">
        <v>3</v>
      </c>
      <c r="E492" s="79">
        <v>0</v>
      </c>
    </row>
    <row r="493" spans="2:5" ht="15" customHeight="1">
      <c r="B493" s="111"/>
      <c r="C493" s="77" t="s">
        <v>177</v>
      </c>
      <c r="D493" s="78">
        <v>1</v>
      </c>
      <c r="E493" s="79">
        <v>0</v>
      </c>
    </row>
    <row r="494" spans="2:5" ht="15" customHeight="1">
      <c r="B494" s="111"/>
      <c r="C494" s="76" t="s">
        <v>28</v>
      </c>
      <c r="D494" s="80">
        <v>15</v>
      </c>
      <c r="E494" s="81">
        <v>2E-3</v>
      </c>
    </row>
    <row r="495" spans="2:5" ht="15" customHeight="1">
      <c r="B495" s="111" t="s">
        <v>51</v>
      </c>
      <c r="C495" s="77" t="s">
        <v>155</v>
      </c>
      <c r="D495" s="78">
        <v>2</v>
      </c>
      <c r="E495" s="79">
        <v>0</v>
      </c>
    </row>
    <row r="496" spans="2:5" ht="15" customHeight="1">
      <c r="B496" s="111"/>
      <c r="C496" s="77" t="s">
        <v>157</v>
      </c>
      <c r="D496" s="78">
        <v>3</v>
      </c>
      <c r="E496" s="79">
        <v>0</v>
      </c>
    </row>
    <row r="497" spans="2:5" ht="15" customHeight="1">
      <c r="B497" s="111"/>
      <c r="C497" s="77" t="s">
        <v>158</v>
      </c>
      <c r="D497" s="78">
        <v>3</v>
      </c>
      <c r="E497" s="79">
        <v>0</v>
      </c>
    </row>
    <row r="498" spans="2:5" ht="15" customHeight="1">
      <c r="B498" s="111"/>
      <c r="C498" s="77" t="s">
        <v>159</v>
      </c>
      <c r="D498" s="78">
        <v>5</v>
      </c>
      <c r="E498" s="79">
        <v>1E-3</v>
      </c>
    </row>
    <row r="499" spans="2:5" ht="15" customHeight="1">
      <c r="B499" s="111"/>
      <c r="C499" s="77" t="s">
        <v>160</v>
      </c>
      <c r="D499" s="78">
        <v>9</v>
      </c>
      <c r="E499" s="79">
        <v>1E-3</v>
      </c>
    </row>
    <row r="500" spans="2:5" ht="15" customHeight="1">
      <c r="B500" s="111"/>
      <c r="C500" s="77" t="s">
        <v>161</v>
      </c>
      <c r="D500" s="78">
        <v>48</v>
      </c>
      <c r="E500" s="79">
        <v>7.0000000000000001E-3</v>
      </c>
    </row>
    <row r="501" spans="2:5" ht="15" customHeight="1">
      <c r="B501" s="111"/>
      <c r="C501" s="77" t="s">
        <v>162</v>
      </c>
      <c r="D501" s="78">
        <v>38</v>
      </c>
      <c r="E501" s="79">
        <v>6.0000000000000001E-3</v>
      </c>
    </row>
    <row r="502" spans="2:5" ht="15" customHeight="1">
      <c r="B502" s="111"/>
      <c r="C502" s="77" t="s">
        <v>163</v>
      </c>
      <c r="D502" s="78">
        <v>12</v>
      </c>
      <c r="E502" s="79">
        <v>2E-3</v>
      </c>
    </row>
    <row r="503" spans="2:5" ht="15" customHeight="1">
      <c r="B503" s="111"/>
      <c r="C503" s="77" t="s">
        <v>164</v>
      </c>
      <c r="D503" s="78">
        <v>22</v>
      </c>
      <c r="E503" s="79">
        <v>3.0000000000000001E-3</v>
      </c>
    </row>
    <row r="504" spans="2:5" ht="15" customHeight="1">
      <c r="B504" s="111"/>
      <c r="C504" s="77" t="s">
        <v>165</v>
      </c>
      <c r="D504" s="78">
        <v>38</v>
      </c>
      <c r="E504" s="79">
        <v>6.0000000000000001E-3</v>
      </c>
    </row>
    <row r="505" spans="2:5" ht="15" customHeight="1">
      <c r="B505" s="111"/>
      <c r="C505" s="77" t="s">
        <v>166</v>
      </c>
      <c r="D505" s="78">
        <v>151</v>
      </c>
      <c r="E505" s="79">
        <v>2.1999999999999999E-2</v>
      </c>
    </row>
    <row r="506" spans="2:5" ht="15" customHeight="1">
      <c r="B506" s="111"/>
      <c r="C506" s="77" t="s">
        <v>167</v>
      </c>
      <c r="D506" s="78">
        <v>18</v>
      </c>
      <c r="E506" s="79">
        <v>3.0000000000000001E-3</v>
      </c>
    </row>
    <row r="507" spans="2:5" ht="15" customHeight="1">
      <c r="B507" s="111"/>
      <c r="C507" s="77" t="s">
        <v>168</v>
      </c>
      <c r="D507" s="78">
        <v>68</v>
      </c>
      <c r="E507" s="79">
        <v>0.01</v>
      </c>
    </row>
    <row r="508" spans="2:5" ht="15" customHeight="1">
      <c r="B508" s="111"/>
      <c r="C508" s="77" t="s">
        <v>169</v>
      </c>
      <c r="D508" s="78">
        <v>228</v>
      </c>
      <c r="E508" s="79">
        <v>3.3000000000000002E-2</v>
      </c>
    </row>
    <row r="509" spans="2:5" ht="15" customHeight="1">
      <c r="B509" s="111"/>
      <c r="C509" s="77" t="s">
        <v>170</v>
      </c>
      <c r="D509" s="78">
        <v>5</v>
      </c>
      <c r="E509" s="79">
        <v>1E-3</v>
      </c>
    </row>
    <row r="510" spans="2:5" ht="15" customHeight="1">
      <c r="B510" s="111"/>
      <c r="C510" s="77" t="s">
        <v>171</v>
      </c>
      <c r="D510" s="78">
        <v>5</v>
      </c>
      <c r="E510" s="79">
        <v>1E-3</v>
      </c>
    </row>
    <row r="511" spans="2:5" ht="15" customHeight="1">
      <c r="B511" s="111"/>
      <c r="C511" s="77" t="s">
        <v>172</v>
      </c>
      <c r="D511" s="78">
        <v>2</v>
      </c>
      <c r="E511" s="79">
        <v>0</v>
      </c>
    </row>
    <row r="512" spans="2:5" ht="15" customHeight="1">
      <c r="B512" s="111"/>
      <c r="C512" s="77" t="s">
        <v>173</v>
      </c>
      <c r="D512" s="78">
        <v>2</v>
      </c>
      <c r="E512" s="79">
        <v>0</v>
      </c>
    </row>
    <row r="513" spans="2:5" ht="15" customHeight="1">
      <c r="B513" s="111"/>
      <c r="C513" s="77" t="s">
        <v>174</v>
      </c>
      <c r="D513" s="78">
        <v>14</v>
      </c>
      <c r="E513" s="79">
        <v>2E-3</v>
      </c>
    </row>
    <row r="514" spans="2:5" ht="15" customHeight="1">
      <c r="B514" s="111"/>
      <c r="C514" s="77" t="s">
        <v>175</v>
      </c>
      <c r="D514" s="78">
        <v>34</v>
      </c>
      <c r="E514" s="79">
        <v>5.0000000000000001E-3</v>
      </c>
    </row>
    <row r="515" spans="2:5" ht="15" customHeight="1">
      <c r="B515" s="111"/>
      <c r="C515" s="77" t="s">
        <v>177</v>
      </c>
      <c r="D515" s="78">
        <v>2</v>
      </c>
      <c r="E515" s="79">
        <v>0</v>
      </c>
    </row>
    <row r="516" spans="2:5" ht="15" customHeight="1">
      <c r="B516" s="111"/>
      <c r="C516" s="77" t="s">
        <v>178</v>
      </c>
      <c r="D516" s="78">
        <v>1</v>
      </c>
      <c r="E516" s="79">
        <v>0</v>
      </c>
    </row>
    <row r="517" spans="2:5" ht="15" customHeight="1">
      <c r="B517" s="111"/>
      <c r="C517" s="76" t="s">
        <v>28</v>
      </c>
      <c r="D517" s="80">
        <v>710</v>
      </c>
      <c r="E517" s="81">
        <v>0.10299999999999999</v>
      </c>
    </row>
    <row r="518" spans="2:5" ht="15" customHeight="1">
      <c r="B518" s="111" t="s">
        <v>52</v>
      </c>
      <c r="C518" s="77" t="s">
        <v>155</v>
      </c>
      <c r="D518" s="78">
        <v>4</v>
      </c>
      <c r="E518" s="79">
        <v>1E-3</v>
      </c>
    </row>
    <row r="519" spans="2:5" ht="15" customHeight="1">
      <c r="B519" s="111"/>
      <c r="C519" s="77" t="s">
        <v>157</v>
      </c>
      <c r="D519" s="78">
        <v>2</v>
      </c>
      <c r="E519" s="79">
        <v>0</v>
      </c>
    </row>
    <row r="520" spans="2:5" ht="15" customHeight="1">
      <c r="B520" s="111"/>
      <c r="C520" s="77" t="s">
        <v>158</v>
      </c>
      <c r="D520" s="78">
        <v>2</v>
      </c>
      <c r="E520" s="79">
        <v>0</v>
      </c>
    </row>
    <row r="521" spans="2:5" ht="15" customHeight="1">
      <c r="B521" s="111"/>
      <c r="C521" s="77" t="s">
        <v>159</v>
      </c>
      <c r="D521" s="78">
        <v>3</v>
      </c>
      <c r="E521" s="79">
        <v>0</v>
      </c>
    </row>
    <row r="522" spans="2:5" ht="15" customHeight="1">
      <c r="B522" s="111"/>
      <c r="C522" s="77" t="s">
        <v>160</v>
      </c>
      <c r="D522" s="78">
        <v>2</v>
      </c>
      <c r="E522" s="79">
        <v>0</v>
      </c>
    </row>
    <row r="523" spans="2:5" ht="15" customHeight="1">
      <c r="B523" s="111"/>
      <c r="C523" s="77" t="s">
        <v>161</v>
      </c>
      <c r="D523" s="78">
        <v>16</v>
      </c>
      <c r="E523" s="79">
        <v>2E-3</v>
      </c>
    </row>
    <row r="524" spans="2:5" ht="15" customHeight="1">
      <c r="B524" s="111"/>
      <c r="C524" s="77" t="s">
        <v>162</v>
      </c>
      <c r="D524" s="78">
        <v>46</v>
      </c>
      <c r="E524" s="79">
        <v>7.0000000000000001E-3</v>
      </c>
    </row>
    <row r="525" spans="2:5" ht="15" customHeight="1">
      <c r="B525" s="111"/>
      <c r="C525" s="77" t="s">
        <v>163</v>
      </c>
      <c r="D525" s="78">
        <v>7</v>
      </c>
      <c r="E525" s="79">
        <v>1E-3</v>
      </c>
    </row>
    <row r="526" spans="2:5" ht="15" customHeight="1">
      <c r="B526" s="111"/>
      <c r="C526" s="77" t="s">
        <v>164</v>
      </c>
      <c r="D526" s="78">
        <v>10</v>
      </c>
      <c r="E526" s="79">
        <v>1E-3</v>
      </c>
    </row>
    <row r="527" spans="2:5" ht="15" customHeight="1">
      <c r="B527" s="111"/>
      <c r="C527" s="77" t="s">
        <v>165</v>
      </c>
      <c r="D527" s="78">
        <v>15</v>
      </c>
      <c r="E527" s="79">
        <v>2E-3</v>
      </c>
    </row>
    <row r="528" spans="2:5" ht="15" customHeight="1">
      <c r="B528" s="111"/>
      <c r="C528" s="77" t="s">
        <v>166</v>
      </c>
      <c r="D528" s="78">
        <v>147</v>
      </c>
      <c r="E528" s="79">
        <v>2.1000000000000001E-2</v>
      </c>
    </row>
    <row r="529" spans="2:5" ht="15" customHeight="1">
      <c r="B529" s="111"/>
      <c r="C529" s="77" t="s">
        <v>167</v>
      </c>
      <c r="D529" s="78">
        <v>12</v>
      </c>
      <c r="E529" s="79">
        <v>2E-3</v>
      </c>
    </row>
    <row r="530" spans="2:5" ht="15" customHeight="1">
      <c r="B530" s="111"/>
      <c r="C530" s="77" t="s">
        <v>168</v>
      </c>
      <c r="D530" s="78">
        <v>47</v>
      </c>
      <c r="E530" s="79">
        <v>7.0000000000000001E-3</v>
      </c>
    </row>
    <row r="531" spans="2:5" ht="15" customHeight="1">
      <c r="B531" s="111"/>
      <c r="C531" s="77" t="s">
        <v>169</v>
      </c>
      <c r="D531" s="78">
        <v>194</v>
      </c>
      <c r="E531" s="79">
        <v>2.8000000000000001E-2</v>
      </c>
    </row>
    <row r="532" spans="2:5" ht="15" customHeight="1">
      <c r="B532" s="111"/>
      <c r="C532" s="77" t="s">
        <v>170</v>
      </c>
      <c r="D532" s="78">
        <v>8</v>
      </c>
      <c r="E532" s="79">
        <v>1E-3</v>
      </c>
    </row>
    <row r="533" spans="2:5" ht="15" customHeight="1">
      <c r="B533" s="111"/>
      <c r="C533" s="77" t="s">
        <v>171</v>
      </c>
      <c r="D533" s="78">
        <v>6</v>
      </c>
      <c r="E533" s="79">
        <v>1E-3</v>
      </c>
    </row>
    <row r="534" spans="2:5" ht="15" customHeight="1">
      <c r="B534" s="111"/>
      <c r="C534" s="77" t="s">
        <v>172</v>
      </c>
      <c r="D534" s="78">
        <v>6</v>
      </c>
      <c r="E534" s="79">
        <v>1E-3</v>
      </c>
    </row>
    <row r="535" spans="2:5" ht="15" customHeight="1">
      <c r="B535" s="111"/>
      <c r="C535" s="77" t="s">
        <v>173</v>
      </c>
      <c r="D535" s="78">
        <v>3</v>
      </c>
      <c r="E535" s="79">
        <v>0</v>
      </c>
    </row>
    <row r="536" spans="2:5" ht="15" customHeight="1">
      <c r="B536" s="111"/>
      <c r="C536" s="77" t="s">
        <v>174</v>
      </c>
      <c r="D536" s="78">
        <v>15</v>
      </c>
      <c r="E536" s="79">
        <v>2E-3</v>
      </c>
    </row>
    <row r="537" spans="2:5" ht="15" customHeight="1">
      <c r="B537" s="111"/>
      <c r="C537" s="77" t="s">
        <v>175</v>
      </c>
      <c r="D537" s="78">
        <v>56</v>
      </c>
      <c r="E537" s="79">
        <v>8.0000000000000002E-3</v>
      </c>
    </row>
    <row r="538" spans="2:5" ht="15" customHeight="1">
      <c r="B538" s="111"/>
      <c r="C538" s="77" t="s">
        <v>176</v>
      </c>
      <c r="D538" s="78">
        <v>2</v>
      </c>
      <c r="E538" s="79">
        <v>0</v>
      </c>
    </row>
    <row r="539" spans="2:5" ht="15" customHeight="1">
      <c r="B539" s="111"/>
      <c r="C539" s="77" t="s">
        <v>177</v>
      </c>
      <c r="D539" s="78">
        <v>5</v>
      </c>
      <c r="E539" s="79">
        <v>1E-3</v>
      </c>
    </row>
    <row r="540" spans="2:5" ht="15" customHeight="1">
      <c r="B540" s="111"/>
      <c r="C540" s="77" t="s">
        <v>178</v>
      </c>
      <c r="D540" s="78">
        <v>2</v>
      </c>
      <c r="E540" s="79">
        <v>0</v>
      </c>
    </row>
    <row r="541" spans="2:5" ht="15" customHeight="1">
      <c r="B541" s="111"/>
      <c r="C541" s="76" t="s">
        <v>28</v>
      </c>
      <c r="D541" s="80">
        <v>610</v>
      </c>
      <c r="E541" s="81">
        <v>8.8999999999999996E-2</v>
      </c>
    </row>
    <row r="542" spans="2:5" ht="15" customHeight="1">
      <c r="B542" s="111" t="s">
        <v>64</v>
      </c>
      <c r="C542" s="77" t="s">
        <v>155</v>
      </c>
      <c r="D542" s="78">
        <v>1</v>
      </c>
      <c r="E542" s="79">
        <v>0</v>
      </c>
    </row>
    <row r="543" spans="2:5" ht="15" customHeight="1">
      <c r="B543" s="111"/>
      <c r="C543" s="77" t="s">
        <v>156</v>
      </c>
      <c r="D543" s="78">
        <v>1</v>
      </c>
      <c r="E543" s="79">
        <v>0</v>
      </c>
    </row>
    <row r="544" spans="2:5" ht="15" customHeight="1">
      <c r="B544" s="111"/>
      <c r="C544" s="77" t="s">
        <v>161</v>
      </c>
      <c r="D544" s="78">
        <v>6</v>
      </c>
      <c r="E544" s="79">
        <v>1E-3</v>
      </c>
    </row>
    <row r="545" spans="2:5" ht="15" customHeight="1">
      <c r="B545" s="111"/>
      <c r="C545" s="77" t="s">
        <v>162</v>
      </c>
      <c r="D545" s="78">
        <v>7</v>
      </c>
      <c r="E545" s="79">
        <v>1E-3</v>
      </c>
    </row>
    <row r="546" spans="2:5" ht="15" customHeight="1">
      <c r="B546" s="111"/>
      <c r="C546" s="77" t="s">
        <v>163</v>
      </c>
      <c r="D546" s="78">
        <v>3</v>
      </c>
      <c r="E546" s="79">
        <v>0</v>
      </c>
    </row>
    <row r="547" spans="2:5" ht="15" customHeight="1">
      <c r="B547" s="111"/>
      <c r="C547" s="77" t="s">
        <v>164</v>
      </c>
      <c r="D547" s="78">
        <v>4</v>
      </c>
      <c r="E547" s="79">
        <v>1E-3</v>
      </c>
    </row>
    <row r="548" spans="2:5" ht="15" customHeight="1">
      <c r="B548" s="111"/>
      <c r="C548" s="77" t="s">
        <v>165</v>
      </c>
      <c r="D548" s="78">
        <v>3</v>
      </c>
      <c r="E548" s="79">
        <v>0</v>
      </c>
    </row>
    <row r="549" spans="2:5" ht="15" customHeight="1">
      <c r="B549" s="111"/>
      <c r="C549" s="77" t="s">
        <v>166</v>
      </c>
      <c r="D549" s="78">
        <v>16</v>
      </c>
      <c r="E549" s="79">
        <v>2E-3</v>
      </c>
    </row>
    <row r="550" spans="2:5" ht="15" customHeight="1">
      <c r="B550" s="111"/>
      <c r="C550" s="77" t="s">
        <v>167</v>
      </c>
      <c r="D550" s="78">
        <v>1</v>
      </c>
      <c r="E550" s="79">
        <v>0</v>
      </c>
    </row>
    <row r="551" spans="2:5" ht="15" customHeight="1">
      <c r="B551" s="111"/>
      <c r="C551" s="77" t="s">
        <v>168</v>
      </c>
      <c r="D551" s="78">
        <v>4</v>
      </c>
      <c r="E551" s="79">
        <v>1E-3</v>
      </c>
    </row>
    <row r="552" spans="2:5" ht="15" customHeight="1">
      <c r="B552" s="111"/>
      <c r="C552" s="77" t="s">
        <v>169</v>
      </c>
      <c r="D552" s="78">
        <v>32</v>
      </c>
      <c r="E552" s="79">
        <v>5.0000000000000001E-3</v>
      </c>
    </row>
    <row r="553" spans="2:5" ht="15" customHeight="1">
      <c r="B553" s="111"/>
      <c r="C553" s="77" t="s">
        <v>170</v>
      </c>
      <c r="D553" s="78">
        <v>2</v>
      </c>
      <c r="E553" s="79">
        <v>0</v>
      </c>
    </row>
    <row r="554" spans="2:5" ht="15" customHeight="1">
      <c r="B554" s="111"/>
      <c r="C554" s="77" t="s">
        <v>171</v>
      </c>
      <c r="D554" s="78">
        <v>2</v>
      </c>
      <c r="E554" s="79">
        <v>0</v>
      </c>
    </row>
    <row r="555" spans="2:5" ht="15" customHeight="1">
      <c r="B555" s="111"/>
      <c r="C555" s="77" t="s">
        <v>173</v>
      </c>
      <c r="D555" s="78">
        <v>2</v>
      </c>
      <c r="E555" s="79">
        <v>0</v>
      </c>
    </row>
    <row r="556" spans="2:5" ht="15" customHeight="1">
      <c r="B556" s="111"/>
      <c r="C556" s="77" t="s">
        <v>174</v>
      </c>
      <c r="D556" s="78">
        <v>3</v>
      </c>
      <c r="E556" s="79">
        <v>0</v>
      </c>
    </row>
    <row r="557" spans="2:5" ht="15" customHeight="1">
      <c r="B557" s="111"/>
      <c r="C557" s="77" t="s">
        <v>175</v>
      </c>
      <c r="D557" s="78">
        <v>3</v>
      </c>
      <c r="E557" s="79">
        <v>0</v>
      </c>
    </row>
    <row r="558" spans="2:5" ht="15" customHeight="1">
      <c r="B558" s="111"/>
      <c r="C558" s="77" t="s">
        <v>177</v>
      </c>
      <c r="D558" s="78">
        <v>1</v>
      </c>
      <c r="E558" s="79">
        <v>0</v>
      </c>
    </row>
    <row r="559" spans="2:5" ht="15" customHeight="1">
      <c r="B559" s="111"/>
      <c r="C559" s="76" t="s">
        <v>28</v>
      </c>
      <c r="D559" s="80">
        <v>91</v>
      </c>
      <c r="E559" s="81">
        <v>1.2999999999999999E-2</v>
      </c>
    </row>
    <row r="560" spans="2:5" ht="15" customHeight="1">
      <c r="B560" s="111" t="s">
        <v>60</v>
      </c>
      <c r="C560" s="77" t="s">
        <v>155</v>
      </c>
      <c r="D560" s="78">
        <v>3</v>
      </c>
      <c r="E560" s="79">
        <v>0</v>
      </c>
    </row>
    <row r="561" spans="2:5" ht="15" customHeight="1">
      <c r="B561" s="111"/>
      <c r="C561" s="77" t="s">
        <v>156</v>
      </c>
      <c r="D561" s="78">
        <v>1</v>
      </c>
      <c r="E561" s="79">
        <v>0</v>
      </c>
    </row>
    <row r="562" spans="2:5" ht="15" customHeight="1">
      <c r="B562" s="111"/>
      <c r="C562" s="77" t="s">
        <v>157</v>
      </c>
      <c r="D562" s="78">
        <v>2</v>
      </c>
      <c r="E562" s="79">
        <v>0</v>
      </c>
    </row>
    <row r="563" spans="2:5" ht="15" customHeight="1">
      <c r="B563" s="111"/>
      <c r="C563" s="77" t="s">
        <v>158</v>
      </c>
      <c r="D563" s="78">
        <v>2</v>
      </c>
      <c r="E563" s="79">
        <v>0</v>
      </c>
    </row>
    <row r="564" spans="2:5" ht="15" customHeight="1">
      <c r="B564" s="111"/>
      <c r="C564" s="77" t="s">
        <v>159</v>
      </c>
      <c r="D564" s="78">
        <v>3</v>
      </c>
      <c r="E564" s="79">
        <v>0</v>
      </c>
    </row>
    <row r="565" spans="2:5" ht="15" customHeight="1">
      <c r="B565" s="111"/>
      <c r="C565" s="77" t="s">
        <v>160</v>
      </c>
      <c r="D565" s="78">
        <v>5</v>
      </c>
      <c r="E565" s="79">
        <v>1E-3</v>
      </c>
    </row>
    <row r="566" spans="2:5" ht="15" customHeight="1">
      <c r="B566" s="111"/>
      <c r="C566" s="77" t="s">
        <v>161</v>
      </c>
      <c r="D566" s="78">
        <v>17</v>
      </c>
      <c r="E566" s="79">
        <v>2E-3</v>
      </c>
    </row>
    <row r="567" spans="2:5" ht="15" customHeight="1">
      <c r="B567" s="111"/>
      <c r="C567" s="77" t="s">
        <v>162</v>
      </c>
      <c r="D567" s="78">
        <v>13</v>
      </c>
      <c r="E567" s="79">
        <v>2E-3</v>
      </c>
    </row>
    <row r="568" spans="2:5" ht="15" customHeight="1">
      <c r="B568" s="111"/>
      <c r="C568" s="77" t="s">
        <v>163</v>
      </c>
      <c r="D568" s="78">
        <v>1</v>
      </c>
      <c r="E568" s="79">
        <v>0</v>
      </c>
    </row>
    <row r="569" spans="2:5" ht="15" customHeight="1">
      <c r="B569" s="111"/>
      <c r="C569" s="77" t="s">
        <v>164</v>
      </c>
      <c r="D569" s="78">
        <v>10</v>
      </c>
      <c r="E569" s="79">
        <v>1E-3</v>
      </c>
    </row>
    <row r="570" spans="2:5" ht="15" customHeight="1">
      <c r="B570" s="111"/>
      <c r="C570" s="77" t="s">
        <v>165</v>
      </c>
      <c r="D570" s="78">
        <v>9</v>
      </c>
      <c r="E570" s="79">
        <v>1E-3</v>
      </c>
    </row>
    <row r="571" spans="2:5" ht="15" customHeight="1">
      <c r="B571" s="111"/>
      <c r="C571" s="77" t="s">
        <v>166</v>
      </c>
      <c r="D571" s="78">
        <v>48</v>
      </c>
      <c r="E571" s="79">
        <v>7.0000000000000001E-3</v>
      </c>
    </row>
    <row r="572" spans="2:5" ht="15" customHeight="1">
      <c r="B572" s="111"/>
      <c r="C572" s="77" t="s">
        <v>167</v>
      </c>
      <c r="D572" s="78">
        <v>6</v>
      </c>
      <c r="E572" s="79">
        <v>1E-3</v>
      </c>
    </row>
    <row r="573" spans="2:5" ht="15" customHeight="1">
      <c r="B573" s="111"/>
      <c r="C573" s="77" t="s">
        <v>168</v>
      </c>
      <c r="D573" s="78">
        <v>13</v>
      </c>
      <c r="E573" s="79">
        <v>2E-3</v>
      </c>
    </row>
    <row r="574" spans="2:5" ht="15" customHeight="1">
      <c r="B574" s="111"/>
      <c r="C574" s="77" t="s">
        <v>169</v>
      </c>
      <c r="D574" s="78">
        <v>33</v>
      </c>
      <c r="E574" s="79">
        <v>5.0000000000000001E-3</v>
      </c>
    </row>
    <row r="575" spans="2:5" ht="15" customHeight="1">
      <c r="B575" s="111"/>
      <c r="C575" s="77" t="s">
        <v>170</v>
      </c>
      <c r="D575" s="78">
        <v>5</v>
      </c>
      <c r="E575" s="79">
        <v>1E-3</v>
      </c>
    </row>
    <row r="576" spans="2:5" ht="15" customHeight="1">
      <c r="B576" s="111"/>
      <c r="C576" s="77" t="s">
        <v>171</v>
      </c>
      <c r="D576" s="78">
        <v>3</v>
      </c>
      <c r="E576" s="79">
        <v>0</v>
      </c>
    </row>
    <row r="577" spans="2:5" ht="15" customHeight="1">
      <c r="B577" s="111"/>
      <c r="C577" s="77" t="s">
        <v>173</v>
      </c>
      <c r="D577" s="78">
        <v>1</v>
      </c>
      <c r="E577" s="79">
        <v>0</v>
      </c>
    </row>
    <row r="578" spans="2:5" ht="15" customHeight="1">
      <c r="B578" s="111"/>
      <c r="C578" s="77" t="s">
        <v>174</v>
      </c>
      <c r="D578" s="78">
        <v>4</v>
      </c>
      <c r="E578" s="79">
        <v>1E-3</v>
      </c>
    </row>
    <row r="579" spans="2:5" ht="15" customHeight="1">
      <c r="B579" s="111"/>
      <c r="C579" s="77" t="s">
        <v>175</v>
      </c>
      <c r="D579" s="78">
        <v>7</v>
      </c>
      <c r="E579" s="79">
        <v>1E-3</v>
      </c>
    </row>
    <row r="580" spans="2:5" ht="15" customHeight="1">
      <c r="B580" s="111"/>
      <c r="C580" s="77" t="s">
        <v>177</v>
      </c>
      <c r="D580" s="78">
        <v>3</v>
      </c>
      <c r="E580" s="79">
        <v>0</v>
      </c>
    </row>
    <row r="581" spans="2:5" ht="15" customHeight="1">
      <c r="B581" s="111"/>
      <c r="C581" s="76" t="s">
        <v>28</v>
      </c>
      <c r="D581" s="80">
        <v>189</v>
      </c>
      <c r="E581" s="81">
        <v>2.8000000000000001E-2</v>
      </c>
    </row>
    <row r="582" spans="2:5" ht="15" customHeight="1">
      <c r="B582" s="111" t="s">
        <v>55</v>
      </c>
      <c r="C582" s="77" t="s">
        <v>155</v>
      </c>
      <c r="D582" s="78">
        <v>4</v>
      </c>
      <c r="E582" s="79">
        <v>1E-3</v>
      </c>
    </row>
    <row r="583" spans="2:5" ht="15" customHeight="1">
      <c r="B583" s="111"/>
      <c r="C583" s="77" t="s">
        <v>157</v>
      </c>
      <c r="D583" s="78">
        <v>1</v>
      </c>
      <c r="E583" s="79">
        <v>0</v>
      </c>
    </row>
    <row r="584" spans="2:5" ht="15" customHeight="1">
      <c r="B584" s="111"/>
      <c r="C584" s="77" t="s">
        <v>158</v>
      </c>
      <c r="D584" s="78">
        <v>3</v>
      </c>
      <c r="E584" s="79">
        <v>0</v>
      </c>
    </row>
    <row r="585" spans="2:5" ht="15" customHeight="1">
      <c r="B585" s="111"/>
      <c r="C585" s="77" t="s">
        <v>159</v>
      </c>
      <c r="D585" s="78">
        <v>1</v>
      </c>
      <c r="E585" s="79">
        <v>0</v>
      </c>
    </row>
    <row r="586" spans="2:5" ht="15" customHeight="1">
      <c r="B586" s="111"/>
      <c r="C586" s="77" t="s">
        <v>160</v>
      </c>
      <c r="D586" s="78">
        <v>4</v>
      </c>
      <c r="E586" s="79">
        <v>1E-3</v>
      </c>
    </row>
    <row r="587" spans="2:5" ht="15" customHeight="1">
      <c r="B587" s="111"/>
      <c r="C587" s="77" t="s">
        <v>161</v>
      </c>
      <c r="D587" s="78">
        <v>10</v>
      </c>
      <c r="E587" s="79">
        <v>1E-3</v>
      </c>
    </row>
    <row r="588" spans="2:5" ht="15" customHeight="1">
      <c r="B588" s="111"/>
      <c r="C588" s="77" t="s">
        <v>162</v>
      </c>
      <c r="D588" s="78">
        <v>14</v>
      </c>
      <c r="E588" s="79">
        <v>2E-3</v>
      </c>
    </row>
    <row r="589" spans="2:5" ht="15" customHeight="1">
      <c r="B589" s="111"/>
      <c r="C589" s="77" t="s">
        <v>163</v>
      </c>
      <c r="D589" s="78">
        <v>5</v>
      </c>
      <c r="E589" s="79">
        <v>1E-3</v>
      </c>
    </row>
    <row r="590" spans="2:5" ht="15" customHeight="1">
      <c r="B590" s="111"/>
      <c r="C590" s="77" t="s">
        <v>164</v>
      </c>
      <c r="D590" s="78">
        <v>5</v>
      </c>
      <c r="E590" s="79">
        <v>1E-3</v>
      </c>
    </row>
    <row r="591" spans="2:5" ht="15" customHeight="1">
      <c r="B591" s="111"/>
      <c r="C591" s="77" t="s">
        <v>165</v>
      </c>
      <c r="D591" s="78">
        <v>10</v>
      </c>
      <c r="E591" s="79">
        <v>1E-3</v>
      </c>
    </row>
    <row r="592" spans="2:5" ht="15" customHeight="1">
      <c r="B592" s="111"/>
      <c r="C592" s="77" t="s">
        <v>166</v>
      </c>
      <c r="D592" s="78">
        <v>83</v>
      </c>
      <c r="E592" s="79">
        <v>1.2E-2</v>
      </c>
    </row>
    <row r="593" spans="2:5" ht="15" customHeight="1">
      <c r="B593" s="111"/>
      <c r="C593" s="77" t="s">
        <v>167</v>
      </c>
      <c r="D593" s="78">
        <v>3</v>
      </c>
      <c r="E593" s="79">
        <v>0</v>
      </c>
    </row>
    <row r="594" spans="2:5" ht="15" customHeight="1">
      <c r="B594" s="111"/>
      <c r="C594" s="77" t="s">
        <v>168</v>
      </c>
      <c r="D594" s="78">
        <v>33</v>
      </c>
      <c r="E594" s="79">
        <v>5.0000000000000001E-3</v>
      </c>
    </row>
    <row r="595" spans="2:5" ht="15" customHeight="1">
      <c r="B595" s="111"/>
      <c r="C595" s="77" t="s">
        <v>169</v>
      </c>
      <c r="D595" s="78">
        <v>112</v>
      </c>
      <c r="E595" s="79">
        <v>1.6E-2</v>
      </c>
    </row>
    <row r="596" spans="2:5" ht="15" customHeight="1">
      <c r="B596" s="111"/>
      <c r="C596" s="77" t="s">
        <v>170</v>
      </c>
      <c r="D596" s="78">
        <v>4</v>
      </c>
      <c r="E596" s="79">
        <v>1E-3</v>
      </c>
    </row>
    <row r="597" spans="2:5" ht="15" customHeight="1">
      <c r="B597" s="111"/>
      <c r="C597" s="77" t="s">
        <v>171</v>
      </c>
      <c r="D597" s="78">
        <v>2</v>
      </c>
      <c r="E597" s="79">
        <v>0</v>
      </c>
    </row>
    <row r="598" spans="2:5" ht="15" customHeight="1">
      <c r="B598" s="111"/>
      <c r="C598" s="77" t="s">
        <v>172</v>
      </c>
      <c r="D598" s="78">
        <v>3</v>
      </c>
      <c r="E598" s="79">
        <v>0</v>
      </c>
    </row>
    <row r="599" spans="2:5" ht="15" customHeight="1">
      <c r="B599" s="111"/>
      <c r="C599" s="77" t="s">
        <v>174</v>
      </c>
      <c r="D599" s="78">
        <v>8</v>
      </c>
      <c r="E599" s="79">
        <v>1E-3</v>
      </c>
    </row>
    <row r="600" spans="2:5" ht="15" customHeight="1">
      <c r="B600" s="111"/>
      <c r="C600" s="77" t="s">
        <v>175</v>
      </c>
      <c r="D600" s="78">
        <v>19</v>
      </c>
      <c r="E600" s="79">
        <v>3.0000000000000001E-3</v>
      </c>
    </row>
    <row r="601" spans="2:5" ht="15" customHeight="1">
      <c r="B601" s="111"/>
      <c r="C601" s="77" t="s">
        <v>177</v>
      </c>
      <c r="D601" s="78">
        <v>2</v>
      </c>
      <c r="E601" s="79">
        <v>0</v>
      </c>
    </row>
    <row r="602" spans="2:5" ht="15" customHeight="1">
      <c r="B602" s="111"/>
      <c r="C602" s="76" t="s">
        <v>28</v>
      </c>
      <c r="D602" s="80">
        <v>326</v>
      </c>
      <c r="E602" s="81">
        <v>4.7E-2</v>
      </c>
    </row>
    <row r="603" spans="2:5" ht="15" customHeight="1">
      <c r="B603" s="111" t="s">
        <v>77</v>
      </c>
      <c r="C603" s="77" t="s">
        <v>157</v>
      </c>
      <c r="D603" s="78">
        <v>2</v>
      </c>
      <c r="E603" s="79">
        <v>0</v>
      </c>
    </row>
    <row r="604" spans="2:5" ht="15" customHeight="1">
      <c r="B604" s="111"/>
      <c r="C604" s="77" t="s">
        <v>160</v>
      </c>
      <c r="D604" s="78">
        <v>2</v>
      </c>
      <c r="E604" s="79">
        <v>0</v>
      </c>
    </row>
    <row r="605" spans="2:5" ht="15" customHeight="1">
      <c r="B605" s="111"/>
      <c r="C605" s="77" t="s">
        <v>161</v>
      </c>
      <c r="D605" s="78">
        <v>1</v>
      </c>
      <c r="E605" s="79">
        <v>0</v>
      </c>
    </row>
    <row r="606" spans="2:5" ht="15" customHeight="1">
      <c r="B606" s="111"/>
      <c r="C606" s="77" t="s">
        <v>162</v>
      </c>
      <c r="D606" s="78">
        <v>5</v>
      </c>
      <c r="E606" s="79">
        <v>1E-3</v>
      </c>
    </row>
    <row r="607" spans="2:5" ht="15" customHeight="1">
      <c r="B607" s="111"/>
      <c r="C607" s="77" t="s">
        <v>164</v>
      </c>
      <c r="D607" s="78">
        <v>1</v>
      </c>
      <c r="E607" s="79">
        <v>0</v>
      </c>
    </row>
    <row r="608" spans="2:5" ht="15" customHeight="1">
      <c r="B608" s="111"/>
      <c r="C608" s="77" t="s">
        <v>165</v>
      </c>
      <c r="D608" s="78">
        <v>1</v>
      </c>
      <c r="E608" s="79">
        <v>0</v>
      </c>
    </row>
    <row r="609" spans="2:5" ht="15" customHeight="1">
      <c r="B609" s="111"/>
      <c r="C609" s="77" t="s">
        <v>166</v>
      </c>
      <c r="D609" s="78">
        <v>6</v>
      </c>
      <c r="E609" s="79">
        <v>1E-3</v>
      </c>
    </row>
    <row r="610" spans="2:5" ht="15" customHeight="1">
      <c r="B610" s="111"/>
      <c r="C610" s="77" t="s">
        <v>168</v>
      </c>
      <c r="D610" s="78">
        <v>1</v>
      </c>
      <c r="E610" s="79">
        <v>0</v>
      </c>
    </row>
    <row r="611" spans="2:5" ht="15" customHeight="1">
      <c r="B611" s="111"/>
      <c r="C611" s="77" t="s">
        <v>169</v>
      </c>
      <c r="D611" s="78">
        <v>14</v>
      </c>
      <c r="E611" s="79">
        <v>2E-3</v>
      </c>
    </row>
    <row r="612" spans="2:5" ht="15" customHeight="1">
      <c r="B612" s="111"/>
      <c r="C612" s="77" t="s">
        <v>175</v>
      </c>
      <c r="D612" s="78">
        <v>7</v>
      </c>
      <c r="E612" s="79">
        <v>1E-3</v>
      </c>
    </row>
    <row r="613" spans="2:5" ht="15" customHeight="1">
      <c r="B613" s="111"/>
      <c r="C613" s="76" t="s">
        <v>28</v>
      </c>
      <c r="D613" s="80">
        <v>40</v>
      </c>
      <c r="E613" s="81">
        <v>6.0000000000000001E-3</v>
      </c>
    </row>
    <row r="614" spans="2:5" ht="15" customHeight="1">
      <c r="B614" s="111" t="s">
        <v>85</v>
      </c>
      <c r="C614" s="77" t="s">
        <v>155</v>
      </c>
      <c r="D614" s="78">
        <v>1</v>
      </c>
      <c r="E614" s="79">
        <v>0</v>
      </c>
    </row>
    <row r="615" spans="2:5" ht="15" customHeight="1">
      <c r="B615" s="111"/>
      <c r="C615" s="77" t="s">
        <v>161</v>
      </c>
      <c r="D615" s="78">
        <v>1</v>
      </c>
      <c r="E615" s="79">
        <v>0</v>
      </c>
    </row>
    <row r="616" spans="2:5" ht="15" customHeight="1">
      <c r="B616" s="111"/>
      <c r="C616" s="77" t="s">
        <v>162</v>
      </c>
      <c r="D616" s="78">
        <v>2</v>
      </c>
      <c r="E616" s="79">
        <v>0</v>
      </c>
    </row>
    <row r="617" spans="2:5" ht="15" customHeight="1">
      <c r="B617" s="111"/>
      <c r="C617" s="77" t="s">
        <v>164</v>
      </c>
      <c r="D617" s="78">
        <v>1</v>
      </c>
      <c r="E617" s="79">
        <v>0</v>
      </c>
    </row>
    <row r="618" spans="2:5" ht="15" customHeight="1">
      <c r="B618" s="111"/>
      <c r="C618" s="77" t="s">
        <v>165</v>
      </c>
      <c r="D618" s="78">
        <v>2</v>
      </c>
      <c r="E618" s="79">
        <v>0</v>
      </c>
    </row>
    <row r="619" spans="2:5" ht="15" customHeight="1">
      <c r="B619" s="111"/>
      <c r="C619" s="77" t="s">
        <v>166</v>
      </c>
      <c r="D619" s="78">
        <v>7</v>
      </c>
      <c r="E619" s="79">
        <v>1E-3</v>
      </c>
    </row>
    <row r="620" spans="2:5" ht="15" customHeight="1">
      <c r="B620" s="111"/>
      <c r="C620" s="77" t="s">
        <v>168</v>
      </c>
      <c r="D620" s="78">
        <v>3</v>
      </c>
      <c r="E620" s="79">
        <v>0</v>
      </c>
    </row>
    <row r="621" spans="2:5" ht="15" customHeight="1">
      <c r="B621" s="111"/>
      <c r="C621" s="77" t="s">
        <v>169</v>
      </c>
      <c r="D621" s="78">
        <v>8</v>
      </c>
      <c r="E621" s="79">
        <v>1E-3</v>
      </c>
    </row>
    <row r="622" spans="2:5" ht="15" customHeight="1">
      <c r="B622" s="111"/>
      <c r="C622" s="77" t="s">
        <v>174</v>
      </c>
      <c r="D622" s="78">
        <v>1</v>
      </c>
      <c r="E622" s="79">
        <v>0</v>
      </c>
    </row>
    <row r="623" spans="2:5" ht="15" customHeight="1">
      <c r="B623" s="111"/>
      <c r="C623" s="77" t="s">
        <v>175</v>
      </c>
      <c r="D623" s="78">
        <v>2</v>
      </c>
      <c r="E623" s="79">
        <v>0</v>
      </c>
    </row>
    <row r="624" spans="2:5" ht="15" customHeight="1">
      <c r="B624" s="111"/>
      <c r="C624" s="76" t="s">
        <v>28</v>
      </c>
      <c r="D624" s="80">
        <v>28</v>
      </c>
      <c r="E624" s="81">
        <v>4.0000000000000001E-3</v>
      </c>
    </row>
    <row r="625" spans="2:5" ht="15" customHeight="1">
      <c r="B625" s="111" t="s">
        <v>91</v>
      </c>
      <c r="C625" s="77" t="s">
        <v>157</v>
      </c>
      <c r="D625" s="78">
        <v>1</v>
      </c>
      <c r="E625" s="79">
        <v>0</v>
      </c>
    </row>
    <row r="626" spans="2:5" ht="15" customHeight="1">
      <c r="B626" s="111"/>
      <c r="C626" s="77" t="s">
        <v>159</v>
      </c>
      <c r="D626" s="78">
        <v>1</v>
      </c>
      <c r="E626" s="79">
        <v>0</v>
      </c>
    </row>
    <row r="627" spans="2:5" ht="15" customHeight="1">
      <c r="B627" s="111"/>
      <c r="C627" s="77" t="s">
        <v>162</v>
      </c>
      <c r="D627" s="78">
        <v>1</v>
      </c>
      <c r="E627" s="79">
        <v>0</v>
      </c>
    </row>
    <row r="628" spans="2:5" ht="15" customHeight="1">
      <c r="B628" s="111"/>
      <c r="C628" s="77" t="s">
        <v>165</v>
      </c>
      <c r="D628" s="78">
        <v>1</v>
      </c>
      <c r="E628" s="79">
        <v>0</v>
      </c>
    </row>
    <row r="629" spans="2:5" ht="15" customHeight="1">
      <c r="B629" s="111"/>
      <c r="C629" s="77" t="s">
        <v>166</v>
      </c>
      <c r="D629" s="78">
        <v>3</v>
      </c>
      <c r="E629" s="79">
        <v>0</v>
      </c>
    </row>
    <row r="630" spans="2:5" ht="15" customHeight="1">
      <c r="B630" s="111"/>
      <c r="C630" s="77" t="s">
        <v>168</v>
      </c>
      <c r="D630" s="78">
        <v>1</v>
      </c>
      <c r="E630" s="79">
        <v>0</v>
      </c>
    </row>
    <row r="631" spans="2:5" ht="15" customHeight="1">
      <c r="B631" s="111"/>
      <c r="C631" s="77" t="s">
        <v>169</v>
      </c>
      <c r="D631" s="78">
        <v>5</v>
      </c>
      <c r="E631" s="79">
        <v>1E-3</v>
      </c>
    </row>
    <row r="632" spans="2:5" ht="15" customHeight="1">
      <c r="B632" s="111"/>
      <c r="C632" s="77" t="s">
        <v>175</v>
      </c>
      <c r="D632" s="78">
        <v>2</v>
      </c>
      <c r="E632" s="79">
        <v>0</v>
      </c>
    </row>
    <row r="633" spans="2:5" ht="15" customHeight="1">
      <c r="B633" s="111"/>
      <c r="C633" s="76" t="s">
        <v>28</v>
      </c>
      <c r="D633" s="80">
        <v>15</v>
      </c>
      <c r="E633" s="81">
        <v>2E-3</v>
      </c>
    </row>
    <row r="634" spans="2:5" ht="15" customHeight="1">
      <c r="B634" s="111" t="s">
        <v>65</v>
      </c>
      <c r="C634" s="77" t="s">
        <v>157</v>
      </c>
      <c r="D634" s="78">
        <v>1</v>
      </c>
      <c r="E634" s="79">
        <v>0</v>
      </c>
    </row>
    <row r="635" spans="2:5" ht="15" customHeight="1">
      <c r="B635" s="111"/>
      <c r="C635" s="77" t="s">
        <v>159</v>
      </c>
      <c r="D635" s="78">
        <v>1</v>
      </c>
      <c r="E635" s="79">
        <v>0</v>
      </c>
    </row>
    <row r="636" spans="2:5" ht="15" customHeight="1">
      <c r="B636" s="111"/>
      <c r="C636" s="77" t="s">
        <v>161</v>
      </c>
      <c r="D636" s="78">
        <v>5</v>
      </c>
      <c r="E636" s="79">
        <v>1E-3</v>
      </c>
    </row>
    <row r="637" spans="2:5" ht="15" customHeight="1">
      <c r="B637" s="111"/>
      <c r="C637" s="77" t="s">
        <v>162</v>
      </c>
      <c r="D637" s="78">
        <v>4</v>
      </c>
      <c r="E637" s="79">
        <v>1E-3</v>
      </c>
    </row>
    <row r="638" spans="2:5" ht="15" customHeight="1">
      <c r="B638" s="111"/>
      <c r="C638" s="77" t="s">
        <v>164</v>
      </c>
      <c r="D638" s="78">
        <v>3</v>
      </c>
      <c r="E638" s="79">
        <v>0</v>
      </c>
    </row>
    <row r="639" spans="2:5" ht="15" customHeight="1">
      <c r="B639" s="111"/>
      <c r="C639" s="77" t="s">
        <v>165</v>
      </c>
      <c r="D639" s="78">
        <v>2</v>
      </c>
      <c r="E639" s="79">
        <v>0</v>
      </c>
    </row>
    <row r="640" spans="2:5" ht="15" customHeight="1">
      <c r="B640" s="111"/>
      <c r="C640" s="77" t="s">
        <v>166</v>
      </c>
      <c r="D640" s="78">
        <v>15</v>
      </c>
      <c r="E640" s="79">
        <v>2E-3</v>
      </c>
    </row>
    <row r="641" spans="2:5" ht="15" customHeight="1">
      <c r="B641" s="111"/>
      <c r="C641" s="77" t="s">
        <v>167</v>
      </c>
      <c r="D641" s="78">
        <v>2</v>
      </c>
      <c r="E641" s="79">
        <v>0</v>
      </c>
    </row>
    <row r="642" spans="2:5" ht="15" customHeight="1">
      <c r="B642" s="111"/>
      <c r="C642" s="77" t="s">
        <v>168</v>
      </c>
      <c r="D642" s="78">
        <v>1</v>
      </c>
      <c r="E642" s="79">
        <v>0</v>
      </c>
    </row>
    <row r="643" spans="2:5" ht="15" customHeight="1">
      <c r="B643" s="111"/>
      <c r="C643" s="77" t="s">
        <v>169</v>
      </c>
      <c r="D643" s="78">
        <v>27</v>
      </c>
      <c r="E643" s="79">
        <v>4.0000000000000001E-3</v>
      </c>
    </row>
    <row r="644" spans="2:5" ht="15" customHeight="1">
      <c r="B644" s="111"/>
      <c r="C644" s="77" t="s">
        <v>170</v>
      </c>
      <c r="D644" s="78">
        <v>1</v>
      </c>
      <c r="E644" s="79">
        <v>0</v>
      </c>
    </row>
    <row r="645" spans="2:5" ht="15" customHeight="1">
      <c r="B645" s="111"/>
      <c r="C645" s="77" t="s">
        <v>172</v>
      </c>
      <c r="D645" s="78">
        <v>1</v>
      </c>
      <c r="E645" s="79">
        <v>0</v>
      </c>
    </row>
    <row r="646" spans="2:5" ht="15" customHeight="1">
      <c r="B646" s="111"/>
      <c r="C646" s="77" t="s">
        <v>174</v>
      </c>
      <c r="D646" s="78">
        <v>2</v>
      </c>
      <c r="E646" s="79">
        <v>0</v>
      </c>
    </row>
    <row r="647" spans="2:5" ht="15" customHeight="1">
      <c r="B647" s="111"/>
      <c r="C647" s="77" t="s">
        <v>175</v>
      </c>
      <c r="D647" s="78">
        <v>22</v>
      </c>
      <c r="E647" s="79">
        <v>3.0000000000000001E-3</v>
      </c>
    </row>
    <row r="648" spans="2:5" ht="15" customHeight="1">
      <c r="B648" s="111"/>
      <c r="C648" s="82" t="s">
        <v>177</v>
      </c>
      <c r="D648" s="83">
        <v>2</v>
      </c>
      <c r="E648" s="84">
        <v>0</v>
      </c>
    </row>
    <row r="649" spans="2:5" ht="15" customHeight="1">
      <c r="B649" s="111"/>
      <c r="C649" s="76" t="s">
        <v>28</v>
      </c>
      <c r="D649" s="80">
        <v>89</v>
      </c>
      <c r="E649" s="81">
        <v>1.2999999999999999E-2</v>
      </c>
    </row>
    <row r="650" spans="2:5" ht="15" customHeight="1">
      <c r="B650" s="112" t="s">
        <v>28</v>
      </c>
      <c r="C650" s="112"/>
      <c r="D650" s="85">
        <v>6865</v>
      </c>
      <c r="E650" s="86">
        <v>1</v>
      </c>
    </row>
    <row r="652" spans="2:5" ht="15" customHeight="1">
      <c r="B652" s="15" t="s">
        <v>47</v>
      </c>
    </row>
    <row r="653" spans="2:5" ht="15" customHeight="1">
      <c r="B653" s="17" t="s">
        <v>17</v>
      </c>
    </row>
    <row r="654" spans="2:5" ht="15" customHeight="1">
      <c r="B654" s="16" t="s">
        <v>48</v>
      </c>
    </row>
    <row r="655" spans="2:5" ht="15" customHeight="1">
      <c r="B655" s="15" t="s">
        <v>16</v>
      </c>
    </row>
    <row r="656" spans="2:5" ht="15" customHeight="1">
      <c r="B656" s="15" t="s">
        <v>49</v>
      </c>
    </row>
  </sheetData>
  <mergeCells count="52">
    <mergeCell ref="B495:B517"/>
    <mergeCell ref="B518:B541"/>
    <mergeCell ref="B625:B633"/>
    <mergeCell ref="B634:B649"/>
    <mergeCell ref="B650:C650"/>
    <mergeCell ref="B542:B559"/>
    <mergeCell ref="B560:B581"/>
    <mergeCell ref="B582:B602"/>
    <mergeCell ref="B603:B613"/>
    <mergeCell ref="B614:B624"/>
    <mergeCell ref="B377:B394"/>
    <mergeCell ref="B395:B411"/>
    <mergeCell ref="B462:B475"/>
    <mergeCell ref="B476:B488"/>
    <mergeCell ref="B489:B494"/>
    <mergeCell ref="B412:B424"/>
    <mergeCell ref="B425:B430"/>
    <mergeCell ref="B431:B444"/>
    <mergeCell ref="B445:B461"/>
    <mergeCell ref="B60:B75"/>
    <mergeCell ref="B76:B91"/>
    <mergeCell ref="B92:B110"/>
    <mergeCell ref="B111:B121"/>
    <mergeCell ref="B122:B130"/>
    <mergeCell ref="B190:B199"/>
    <mergeCell ref="B200:B214"/>
    <mergeCell ref="B215:B216"/>
    <mergeCell ref="B217:B236"/>
    <mergeCell ref="B7:E8"/>
    <mergeCell ref="B10:B17"/>
    <mergeCell ref="B131:B132"/>
    <mergeCell ref="B133:B143"/>
    <mergeCell ref="B144:B153"/>
    <mergeCell ref="B154:B174"/>
    <mergeCell ref="B175:B189"/>
    <mergeCell ref="B18:B29"/>
    <mergeCell ref="B30:B36"/>
    <mergeCell ref="B37:B50"/>
    <mergeCell ref="B51:B54"/>
    <mergeCell ref="B55:B59"/>
    <mergeCell ref="B237:B250"/>
    <mergeCell ref="B251:B274"/>
    <mergeCell ref="B275:B283"/>
    <mergeCell ref="B284:B298"/>
    <mergeCell ref="B299:B310"/>
    <mergeCell ref="B353:B362"/>
    <mergeCell ref="B363:B376"/>
    <mergeCell ref="B311:B317"/>
    <mergeCell ref="B318:B319"/>
    <mergeCell ref="B320:B326"/>
    <mergeCell ref="B327:B341"/>
    <mergeCell ref="B342:B35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D21"/>
  <sheetViews>
    <sheetView showGridLines="0" view="pageBreakPreview" topLeftCell="A2" zoomScale="115" zoomScaleNormal="100" zoomScaleSheetLayoutView="115" workbookViewId="0">
      <selection activeCell="A24" sqref="A24:XFD24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101" t="s">
        <v>36</v>
      </c>
      <c r="C7" s="101"/>
      <c r="D7" s="101"/>
    </row>
    <row r="8" spans="2:4" s="25" customFormat="1" ht="15" customHeight="1">
      <c r="B8" s="101"/>
      <c r="C8" s="101"/>
      <c r="D8" s="101"/>
    </row>
    <row r="9" spans="2:4" s="25" customFormat="1" ht="33" customHeight="1">
      <c r="B9" s="101"/>
      <c r="C9" s="101"/>
      <c r="D9" s="101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29</v>
      </c>
      <c r="C11" s="27" t="s">
        <v>19</v>
      </c>
      <c r="D11" s="26" t="s">
        <v>18</v>
      </c>
    </row>
    <row r="12" spans="2:4" ht="15" customHeight="1">
      <c r="B12" s="23" t="s">
        <v>144</v>
      </c>
      <c r="C12" s="22">
        <v>3590</v>
      </c>
      <c r="D12" s="21">
        <v>0.52294246176256398</v>
      </c>
    </row>
    <row r="13" spans="2:4" ht="15" customHeight="1">
      <c r="B13" s="23" t="s">
        <v>145</v>
      </c>
      <c r="C13" s="22">
        <v>3273</v>
      </c>
      <c r="D13" s="21">
        <v>0.47676620538965803</v>
      </c>
    </row>
    <row r="14" spans="2:4" ht="15" customHeight="1">
      <c r="B14" s="23" t="s">
        <v>146</v>
      </c>
      <c r="C14" s="22">
        <v>2</v>
      </c>
      <c r="D14" s="21">
        <v>2.9133284777899999E-4</v>
      </c>
    </row>
    <row r="15" spans="2:4" ht="15" customHeight="1">
      <c r="B15" s="20" t="s">
        <v>28</v>
      </c>
      <c r="C15" s="19">
        <v>6865</v>
      </c>
      <c r="D15" s="18">
        <v>1</v>
      </c>
    </row>
    <row r="16" spans="2:4">
      <c r="B16" s="24"/>
      <c r="C16" s="52"/>
      <c r="D16" s="52"/>
    </row>
    <row r="17" spans="2:4">
      <c r="B17" s="15" t="s">
        <v>47</v>
      </c>
      <c r="C17" s="52"/>
      <c r="D17" s="52"/>
    </row>
    <row r="18" spans="2:4">
      <c r="B18" s="17" t="s">
        <v>17</v>
      </c>
      <c r="C18" s="51"/>
      <c r="D18" s="51"/>
    </row>
    <row r="19" spans="2:4">
      <c r="B19" s="16" t="s">
        <v>48</v>
      </c>
      <c r="C19" s="50"/>
      <c r="D19" s="50"/>
    </row>
    <row r="20" spans="2:4">
      <c r="B20" s="15" t="s">
        <v>16</v>
      </c>
    </row>
    <row r="21" spans="2:4">
      <c r="B21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F168"/>
  <sheetViews>
    <sheetView showGridLines="0" view="pageBreakPreview" zoomScaleNormal="115" zoomScaleSheetLayoutView="100" workbookViewId="0">
      <selection activeCell="A162" sqref="A13:XFD162"/>
    </sheetView>
  </sheetViews>
  <sheetFormatPr baseColWidth="10" defaultColWidth="11.42578125" defaultRowHeight="11.25"/>
  <cols>
    <col min="1" max="1" width="5.7109375" style="25" customWidth="1"/>
    <col min="2" max="2" width="19" style="44" customWidth="1"/>
    <col min="3" max="3" width="22.85546875" style="44" customWidth="1"/>
    <col min="4" max="4" width="17.140625" style="47" customWidth="1"/>
    <col min="5" max="5" width="15.140625" style="44" bestFit="1" customWidth="1"/>
    <col min="6" max="6" width="5.7109375" style="25" customWidth="1"/>
    <col min="7" max="7" width="6.5703125" style="25" customWidth="1"/>
    <col min="8" max="16384" width="11.42578125" style="25"/>
  </cols>
  <sheetData>
    <row r="1" spans="2:6" s="13" customFormat="1" ht="15">
      <c r="B1" s="44"/>
      <c r="C1" s="44"/>
    </row>
    <row r="2" spans="2:6" s="44" customFormat="1">
      <c r="B2" s="54"/>
    </row>
    <row r="3" spans="2:6" ht="15" customHeight="1">
      <c r="B3" s="55"/>
      <c r="C3" s="31"/>
      <c r="D3" s="25"/>
      <c r="F3" s="44"/>
    </row>
    <row r="4" spans="2:6" ht="30" customHeight="1">
      <c r="B4" s="55"/>
      <c r="C4" s="31"/>
      <c r="D4" s="25"/>
      <c r="F4" s="44"/>
    </row>
    <row r="5" spans="2:6" ht="15" customHeight="1">
      <c r="B5" s="55"/>
      <c r="C5" s="31"/>
      <c r="D5" s="25"/>
      <c r="F5" s="44"/>
    </row>
    <row r="6" spans="2:6" s="44" customFormat="1">
      <c r="B6" s="46"/>
      <c r="C6" s="40"/>
    </row>
    <row r="7" spans="2:6" s="44" customFormat="1">
      <c r="B7" s="54"/>
    </row>
    <row r="8" spans="2:6" s="13" customFormat="1" ht="15" customHeight="1">
      <c r="B8" s="101" t="s">
        <v>40</v>
      </c>
      <c r="C8" s="101"/>
      <c r="D8" s="101"/>
      <c r="E8" s="101"/>
    </row>
    <row r="9" spans="2:6" s="13" customFormat="1" ht="15" customHeight="1">
      <c r="B9" s="101"/>
      <c r="C9" s="101"/>
      <c r="D9" s="101"/>
      <c r="E9" s="101"/>
      <c r="F9" s="53"/>
    </row>
    <row r="10" spans="2:6" s="13" customFormat="1" ht="15" customHeight="1">
      <c r="B10" s="101"/>
      <c r="C10" s="101"/>
      <c r="D10" s="101"/>
      <c r="E10" s="101"/>
    </row>
    <row r="11" spans="2:6" s="13" customFormat="1" ht="15" customHeight="1">
      <c r="B11" s="56"/>
      <c r="C11" s="56"/>
      <c r="D11" s="56"/>
      <c r="E11" s="56"/>
    </row>
    <row r="12" spans="2:6" s="13" customFormat="1" ht="36.950000000000003" customHeight="1">
      <c r="B12" s="58" t="s">
        <v>21</v>
      </c>
      <c r="C12" s="58" t="s">
        <v>29</v>
      </c>
      <c r="D12" s="58" t="s">
        <v>19</v>
      </c>
      <c r="E12" s="58" t="s">
        <v>18</v>
      </c>
    </row>
    <row r="13" spans="2:6" ht="15" customHeight="1">
      <c r="B13" s="106" t="s">
        <v>86</v>
      </c>
      <c r="C13" s="68" t="s">
        <v>144</v>
      </c>
      <c r="D13" s="69">
        <v>7</v>
      </c>
      <c r="E13" s="70">
        <v>1.0196649672249999E-3</v>
      </c>
    </row>
    <row r="14" spans="2:6" ht="15" customHeight="1">
      <c r="B14" s="107"/>
      <c r="C14" s="68" t="s">
        <v>145</v>
      </c>
      <c r="D14" s="69">
        <v>17</v>
      </c>
      <c r="E14" s="70">
        <v>2.476329206118E-3</v>
      </c>
    </row>
    <row r="15" spans="2:6" ht="15" customHeight="1">
      <c r="B15" s="108"/>
      <c r="C15" s="87" t="s">
        <v>28</v>
      </c>
      <c r="D15" s="88">
        <v>24</v>
      </c>
      <c r="E15" s="89">
        <v>3.4959941733430002E-3</v>
      </c>
    </row>
    <row r="16" spans="2:6" ht="15" customHeight="1">
      <c r="B16" s="106" t="s">
        <v>67</v>
      </c>
      <c r="C16" s="68" t="s">
        <v>144</v>
      </c>
      <c r="D16" s="69">
        <v>35</v>
      </c>
      <c r="E16" s="70">
        <v>5.0983248361250004E-3</v>
      </c>
    </row>
    <row r="17" spans="2:5" ht="15" customHeight="1">
      <c r="B17" s="107"/>
      <c r="C17" s="68" t="s">
        <v>145</v>
      </c>
      <c r="D17" s="69">
        <v>45</v>
      </c>
      <c r="E17" s="70">
        <v>6.5549890750180003E-3</v>
      </c>
    </row>
    <row r="18" spans="2:5" ht="15" customHeight="1">
      <c r="B18" s="108"/>
      <c r="C18" s="87" t="s">
        <v>28</v>
      </c>
      <c r="D18" s="88">
        <v>80</v>
      </c>
      <c r="E18" s="89">
        <v>1.1653313911143E-2</v>
      </c>
    </row>
    <row r="19" spans="2:5" ht="15" customHeight="1">
      <c r="B19" s="106" t="s">
        <v>87</v>
      </c>
      <c r="C19" s="68" t="s">
        <v>144</v>
      </c>
      <c r="D19" s="69">
        <v>13</v>
      </c>
      <c r="E19" s="70">
        <v>1.893663510561E-3</v>
      </c>
    </row>
    <row r="20" spans="2:5" ht="15" customHeight="1">
      <c r="B20" s="107"/>
      <c r="C20" s="68" t="s">
        <v>145</v>
      </c>
      <c r="D20" s="69">
        <v>10</v>
      </c>
      <c r="E20" s="70">
        <v>1.4566642388930001E-3</v>
      </c>
    </row>
    <row r="21" spans="2:5" ht="15" customHeight="1">
      <c r="B21" s="108"/>
      <c r="C21" s="87" t="s">
        <v>28</v>
      </c>
      <c r="D21" s="88">
        <v>23</v>
      </c>
      <c r="E21" s="89">
        <v>3.3503277494539999E-3</v>
      </c>
    </row>
    <row r="22" spans="2:5" ht="15" customHeight="1">
      <c r="B22" s="106" t="s">
        <v>74</v>
      </c>
      <c r="C22" s="68" t="s">
        <v>144</v>
      </c>
      <c r="D22" s="69">
        <v>20</v>
      </c>
      <c r="E22" s="70">
        <v>2.9133284777860002E-3</v>
      </c>
    </row>
    <row r="23" spans="2:5" ht="15" customHeight="1">
      <c r="B23" s="107"/>
      <c r="C23" s="68" t="s">
        <v>145</v>
      </c>
      <c r="D23" s="69">
        <v>29</v>
      </c>
      <c r="E23" s="70">
        <v>4.2243262927900002E-3</v>
      </c>
    </row>
    <row r="24" spans="2:5" ht="15" customHeight="1">
      <c r="B24" s="108"/>
      <c r="C24" s="87" t="s">
        <v>28</v>
      </c>
      <c r="D24" s="88">
        <v>49</v>
      </c>
      <c r="E24" s="89">
        <v>7.1376547705749999E-3</v>
      </c>
    </row>
    <row r="25" spans="2:5" ht="15" customHeight="1">
      <c r="B25" s="106" t="s">
        <v>96</v>
      </c>
      <c r="C25" s="68" t="s">
        <v>144</v>
      </c>
      <c r="D25" s="69">
        <v>2</v>
      </c>
      <c r="E25" s="70">
        <v>2.9133284777899999E-4</v>
      </c>
    </row>
    <row r="26" spans="2:5" ht="15" customHeight="1">
      <c r="B26" s="107"/>
      <c r="C26" s="68" t="s">
        <v>145</v>
      </c>
      <c r="D26" s="69">
        <v>1</v>
      </c>
      <c r="E26" s="70">
        <v>1.4566642388899999E-4</v>
      </c>
    </row>
    <row r="27" spans="2:5" ht="15" customHeight="1">
      <c r="B27" s="108"/>
      <c r="C27" s="87" t="s">
        <v>28</v>
      </c>
      <c r="D27" s="88">
        <v>3</v>
      </c>
      <c r="E27" s="89">
        <v>4.3699927166799998E-4</v>
      </c>
    </row>
    <row r="28" spans="2:5" ht="15" customHeight="1">
      <c r="B28" s="106" t="s">
        <v>93</v>
      </c>
      <c r="C28" s="68" t="s">
        <v>144</v>
      </c>
      <c r="D28" s="69">
        <v>3</v>
      </c>
      <c r="E28" s="70">
        <v>4.3699927166799998E-4</v>
      </c>
    </row>
    <row r="29" spans="2:5" ht="15" customHeight="1">
      <c r="B29" s="107"/>
      <c r="C29" s="68" t="s">
        <v>145</v>
      </c>
      <c r="D29" s="69">
        <v>3</v>
      </c>
      <c r="E29" s="70">
        <v>4.3699927166799998E-4</v>
      </c>
    </row>
    <row r="30" spans="2:5" ht="15" customHeight="1">
      <c r="B30" s="108"/>
      <c r="C30" s="87" t="s">
        <v>28</v>
      </c>
      <c r="D30" s="88">
        <v>6</v>
      </c>
      <c r="E30" s="89">
        <v>8.7399854333599996E-4</v>
      </c>
    </row>
    <row r="31" spans="2:5" ht="15" customHeight="1">
      <c r="B31" s="106" t="s">
        <v>56</v>
      </c>
      <c r="C31" s="68" t="s">
        <v>144</v>
      </c>
      <c r="D31" s="69">
        <v>147</v>
      </c>
      <c r="E31" s="70">
        <v>2.1412964311725999E-2</v>
      </c>
    </row>
    <row r="32" spans="2:5" ht="15" customHeight="1">
      <c r="B32" s="107"/>
      <c r="C32" s="68" t="s">
        <v>145</v>
      </c>
      <c r="D32" s="69">
        <v>109</v>
      </c>
      <c r="E32" s="70">
        <v>1.5877640203933001E-2</v>
      </c>
    </row>
    <row r="33" spans="2:5" ht="15" customHeight="1">
      <c r="B33" s="108"/>
      <c r="C33" s="87" t="s">
        <v>28</v>
      </c>
      <c r="D33" s="88">
        <v>256</v>
      </c>
      <c r="E33" s="89">
        <v>3.7290604515659E-2</v>
      </c>
    </row>
    <row r="34" spans="2:5" ht="15" customHeight="1">
      <c r="B34" s="106" t="s">
        <v>57</v>
      </c>
      <c r="C34" s="68" t="s">
        <v>144</v>
      </c>
      <c r="D34" s="69">
        <v>107</v>
      </c>
      <c r="E34" s="70">
        <v>1.5586307356153999E-2</v>
      </c>
    </row>
    <row r="35" spans="2:5" ht="15" customHeight="1">
      <c r="B35" s="107"/>
      <c r="C35" s="68" t="s">
        <v>145</v>
      </c>
      <c r="D35" s="69">
        <v>122</v>
      </c>
      <c r="E35" s="70">
        <v>1.7771303714494001E-2</v>
      </c>
    </row>
    <row r="36" spans="2:5" ht="15" customHeight="1">
      <c r="B36" s="108"/>
      <c r="C36" s="87" t="s">
        <v>28</v>
      </c>
      <c r="D36" s="88">
        <v>229</v>
      </c>
      <c r="E36" s="89">
        <v>3.3357611070647997E-2</v>
      </c>
    </row>
    <row r="37" spans="2:5" ht="15" customHeight="1">
      <c r="B37" s="106" t="s">
        <v>62</v>
      </c>
      <c r="C37" s="68" t="s">
        <v>144</v>
      </c>
      <c r="D37" s="69">
        <v>68</v>
      </c>
      <c r="E37" s="70">
        <v>9.9053168244720002E-3</v>
      </c>
    </row>
    <row r="38" spans="2:5" ht="15" customHeight="1">
      <c r="B38" s="107"/>
      <c r="C38" s="68" t="s">
        <v>145</v>
      </c>
      <c r="D38" s="69">
        <v>78</v>
      </c>
      <c r="E38" s="70">
        <v>1.1361981063364999E-2</v>
      </c>
    </row>
    <row r="39" spans="2:5" ht="15" customHeight="1">
      <c r="B39" s="108"/>
      <c r="C39" s="87" t="s">
        <v>28</v>
      </c>
      <c r="D39" s="88">
        <v>146</v>
      </c>
      <c r="E39" s="89">
        <v>2.1267297887836999E-2</v>
      </c>
    </row>
    <row r="40" spans="2:5" ht="15" customHeight="1">
      <c r="B40" s="106" t="s">
        <v>70</v>
      </c>
      <c r="C40" s="68" t="s">
        <v>144</v>
      </c>
      <c r="D40" s="69">
        <v>30</v>
      </c>
      <c r="E40" s="70">
        <v>4.3699927166789996E-3</v>
      </c>
    </row>
    <row r="41" spans="2:5" ht="15" customHeight="1">
      <c r="B41" s="107"/>
      <c r="C41" s="68" t="s">
        <v>145</v>
      </c>
      <c r="D41" s="69">
        <v>31</v>
      </c>
      <c r="E41" s="70">
        <v>4.5156591405679999E-3</v>
      </c>
    </row>
    <row r="42" spans="2:5" ht="15" customHeight="1">
      <c r="B42" s="108"/>
      <c r="C42" s="87" t="s">
        <v>28</v>
      </c>
      <c r="D42" s="88">
        <v>61</v>
      </c>
      <c r="E42" s="89">
        <v>8.8856518572470004E-3</v>
      </c>
    </row>
    <row r="43" spans="2:5" ht="15" customHeight="1">
      <c r="B43" s="106" t="s">
        <v>88</v>
      </c>
      <c r="C43" s="68" t="s">
        <v>144</v>
      </c>
      <c r="D43" s="69">
        <v>7</v>
      </c>
      <c r="E43" s="70">
        <v>1.0196649672249999E-3</v>
      </c>
    </row>
    <row r="44" spans="2:5" ht="15" customHeight="1">
      <c r="B44" s="107"/>
      <c r="C44" s="68" t="s">
        <v>145</v>
      </c>
      <c r="D44" s="69">
        <v>14</v>
      </c>
      <c r="E44" s="70">
        <v>2.0393299344499999E-3</v>
      </c>
    </row>
    <row r="45" spans="2:5" ht="15" customHeight="1">
      <c r="B45" s="108"/>
      <c r="C45" s="87" t="s">
        <v>28</v>
      </c>
      <c r="D45" s="88">
        <v>21</v>
      </c>
      <c r="E45" s="89">
        <v>3.0589949016750001E-3</v>
      </c>
    </row>
    <row r="46" spans="2:5" ht="15" customHeight="1">
      <c r="B46" s="106" t="s">
        <v>97</v>
      </c>
      <c r="C46" s="68" t="s">
        <v>145</v>
      </c>
      <c r="D46" s="69">
        <v>1</v>
      </c>
      <c r="E46" s="70">
        <v>1.4566642388899999E-4</v>
      </c>
    </row>
    <row r="47" spans="2:5" ht="15" customHeight="1">
      <c r="B47" s="108"/>
      <c r="C47" s="87" t="s">
        <v>28</v>
      </c>
      <c r="D47" s="88">
        <v>1</v>
      </c>
      <c r="E47" s="89">
        <v>1.4566642388899999E-4</v>
      </c>
    </row>
    <row r="48" spans="2:5" ht="15" customHeight="1">
      <c r="B48" s="106" t="s">
        <v>81</v>
      </c>
      <c r="C48" s="68" t="s">
        <v>144</v>
      </c>
      <c r="D48" s="69">
        <v>18</v>
      </c>
      <c r="E48" s="70">
        <v>2.6219956300069999E-3</v>
      </c>
    </row>
    <row r="49" spans="2:5" ht="15" customHeight="1">
      <c r="B49" s="107"/>
      <c r="C49" s="68" t="s">
        <v>145</v>
      </c>
      <c r="D49" s="69">
        <v>15</v>
      </c>
      <c r="E49" s="70">
        <v>2.1849963583390002E-3</v>
      </c>
    </row>
    <row r="50" spans="2:5" ht="15" customHeight="1">
      <c r="B50" s="108"/>
      <c r="C50" s="87" t="s">
        <v>28</v>
      </c>
      <c r="D50" s="88">
        <v>33</v>
      </c>
      <c r="E50" s="89">
        <v>4.8069919883469998E-3</v>
      </c>
    </row>
    <row r="51" spans="2:5" ht="15" customHeight="1">
      <c r="B51" s="106" t="s">
        <v>83</v>
      </c>
      <c r="C51" s="68" t="s">
        <v>144</v>
      </c>
      <c r="D51" s="69">
        <v>10</v>
      </c>
      <c r="E51" s="70">
        <v>1.4566642388930001E-3</v>
      </c>
    </row>
    <row r="52" spans="2:5" ht="15" customHeight="1">
      <c r="B52" s="107"/>
      <c r="C52" s="68" t="s">
        <v>145</v>
      </c>
      <c r="D52" s="69">
        <v>20</v>
      </c>
      <c r="E52" s="70">
        <v>2.9133284777860002E-3</v>
      </c>
    </row>
    <row r="53" spans="2:5" ht="15" customHeight="1">
      <c r="B53" s="108"/>
      <c r="C53" s="87" t="s">
        <v>28</v>
      </c>
      <c r="D53" s="88">
        <v>30</v>
      </c>
      <c r="E53" s="89">
        <v>4.3699927166789996E-3</v>
      </c>
    </row>
    <row r="54" spans="2:5" ht="15" customHeight="1">
      <c r="B54" s="106" t="s">
        <v>53</v>
      </c>
      <c r="C54" s="68" t="s">
        <v>144</v>
      </c>
      <c r="D54" s="69">
        <v>291</v>
      </c>
      <c r="E54" s="70">
        <v>4.2388929351783997E-2</v>
      </c>
    </row>
    <row r="55" spans="2:5" ht="15" customHeight="1">
      <c r="B55" s="107"/>
      <c r="C55" s="68" t="s">
        <v>145</v>
      </c>
      <c r="D55" s="69">
        <v>249</v>
      </c>
      <c r="E55" s="70">
        <v>3.6270939548434002E-2</v>
      </c>
    </row>
    <row r="56" spans="2:5" ht="15" customHeight="1">
      <c r="B56" s="108"/>
      <c r="C56" s="87" t="s">
        <v>28</v>
      </c>
      <c r="D56" s="88">
        <v>540</v>
      </c>
      <c r="E56" s="89">
        <v>7.8659868900219004E-2</v>
      </c>
    </row>
    <row r="57" spans="2:5" ht="15" customHeight="1">
      <c r="B57" s="106" t="s">
        <v>63</v>
      </c>
      <c r="C57" s="68" t="s">
        <v>144</v>
      </c>
      <c r="D57" s="69">
        <v>61</v>
      </c>
      <c r="E57" s="70">
        <v>8.8856518572470004E-3</v>
      </c>
    </row>
    <row r="58" spans="2:5" ht="15" customHeight="1">
      <c r="B58" s="107"/>
      <c r="C58" s="68" t="s">
        <v>145</v>
      </c>
      <c r="D58" s="69">
        <v>70</v>
      </c>
      <c r="E58" s="70">
        <v>1.0196649672251E-2</v>
      </c>
    </row>
    <row r="59" spans="2:5" ht="15" customHeight="1">
      <c r="B59" s="108"/>
      <c r="C59" s="87" t="s">
        <v>28</v>
      </c>
      <c r="D59" s="88">
        <v>131</v>
      </c>
      <c r="E59" s="89">
        <v>1.9082301529497001E-2</v>
      </c>
    </row>
    <row r="60" spans="2:5" ht="15" customHeight="1">
      <c r="B60" s="106" t="s">
        <v>79</v>
      </c>
      <c r="C60" s="68" t="s">
        <v>144</v>
      </c>
      <c r="D60" s="69">
        <v>21</v>
      </c>
      <c r="E60" s="70">
        <v>3.0589949016750001E-3</v>
      </c>
    </row>
    <row r="61" spans="2:5" ht="15" customHeight="1">
      <c r="B61" s="107"/>
      <c r="C61" s="68" t="s">
        <v>145</v>
      </c>
      <c r="D61" s="69">
        <v>17</v>
      </c>
      <c r="E61" s="70">
        <v>2.476329206118E-3</v>
      </c>
    </row>
    <row r="62" spans="2:5" ht="15" customHeight="1">
      <c r="B62" s="108"/>
      <c r="C62" s="87" t="s">
        <v>28</v>
      </c>
      <c r="D62" s="88">
        <v>38</v>
      </c>
      <c r="E62" s="89">
        <v>5.5353241077929997E-3</v>
      </c>
    </row>
    <row r="63" spans="2:5" ht="15" customHeight="1">
      <c r="B63" s="106" t="s">
        <v>69</v>
      </c>
      <c r="C63" s="68" t="s">
        <v>144</v>
      </c>
      <c r="D63" s="69">
        <v>33</v>
      </c>
      <c r="E63" s="70">
        <v>4.8069919883469998E-3</v>
      </c>
    </row>
    <row r="64" spans="2:5" ht="15" customHeight="1">
      <c r="B64" s="107"/>
      <c r="C64" s="68" t="s">
        <v>145</v>
      </c>
      <c r="D64" s="69">
        <v>37</v>
      </c>
      <c r="E64" s="70">
        <v>5.3896576839040002E-3</v>
      </c>
    </row>
    <row r="65" spans="2:5" ht="15" customHeight="1">
      <c r="B65" s="108"/>
      <c r="C65" s="87" t="s">
        <v>28</v>
      </c>
      <c r="D65" s="88">
        <v>70</v>
      </c>
      <c r="E65" s="89">
        <v>1.0196649672251E-2</v>
      </c>
    </row>
    <row r="66" spans="2:5" ht="15" customHeight="1">
      <c r="B66" s="106" t="s">
        <v>98</v>
      </c>
      <c r="C66" s="68" t="s">
        <v>144</v>
      </c>
      <c r="D66" s="69">
        <v>1</v>
      </c>
      <c r="E66" s="70">
        <v>1.4566642388899999E-4</v>
      </c>
    </row>
    <row r="67" spans="2:5" ht="15" customHeight="1">
      <c r="B67" s="108"/>
      <c r="C67" s="87" t="s">
        <v>28</v>
      </c>
      <c r="D67" s="88">
        <v>1</v>
      </c>
      <c r="E67" s="89">
        <v>1.4566642388899999E-4</v>
      </c>
    </row>
    <row r="68" spans="2:5" ht="15" customHeight="1">
      <c r="B68" s="106" t="s">
        <v>54</v>
      </c>
      <c r="C68" s="68" t="s">
        <v>144</v>
      </c>
      <c r="D68" s="69">
        <v>186</v>
      </c>
      <c r="E68" s="70">
        <v>2.7093954843408999E-2</v>
      </c>
    </row>
    <row r="69" spans="2:5" ht="15" customHeight="1">
      <c r="B69" s="107"/>
      <c r="C69" s="68" t="s">
        <v>145</v>
      </c>
      <c r="D69" s="69">
        <v>199</v>
      </c>
      <c r="E69" s="70">
        <v>2.8987618353969E-2</v>
      </c>
    </row>
    <row r="70" spans="2:5" ht="15" customHeight="1">
      <c r="B70" s="108"/>
      <c r="C70" s="87" t="s">
        <v>28</v>
      </c>
      <c r="D70" s="88">
        <v>385</v>
      </c>
      <c r="E70" s="89">
        <v>5.6081573197377999E-2</v>
      </c>
    </row>
    <row r="71" spans="2:5" ht="15" customHeight="1">
      <c r="B71" s="106" t="s">
        <v>72</v>
      </c>
      <c r="C71" s="68" t="s">
        <v>144</v>
      </c>
      <c r="D71" s="69">
        <v>29</v>
      </c>
      <c r="E71" s="70">
        <v>4.2243262927900002E-3</v>
      </c>
    </row>
    <row r="72" spans="2:5" ht="15" customHeight="1">
      <c r="B72" s="107"/>
      <c r="C72" s="68" t="s">
        <v>145</v>
      </c>
      <c r="D72" s="69">
        <v>28</v>
      </c>
      <c r="E72" s="70">
        <v>4.0786598688999998E-3</v>
      </c>
    </row>
    <row r="73" spans="2:5" ht="15" customHeight="1">
      <c r="B73" s="108"/>
      <c r="C73" s="87" t="s">
        <v>28</v>
      </c>
      <c r="D73" s="88">
        <v>57</v>
      </c>
      <c r="E73" s="89">
        <v>8.30298616169E-3</v>
      </c>
    </row>
    <row r="74" spans="2:5" ht="15" customHeight="1">
      <c r="B74" s="106" t="s">
        <v>50</v>
      </c>
      <c r="C74" s="68" t="s">
        <v>144</v>
      </c>
      <c r="D74" s="69">
        <v>778</v>
      </c>
      <c r="E74" s="70">
        <v>0.11332847778587</v>
      </c>
    </row>
    <row r="75" spans="2:5" ht="15" customHeight="1">
      <c r="B75" s="107"/>
      <c r="C75" s="68" t="s">
        <v>145</v>
      </c>
      <c r="D75" s="69">
        <v>659</v>
      </c>
      <c r="E75" s="70">
        <v>9.5994173343043998E-2</v>
      </c>
    </row>
    <row r="76" spans="2:5" ht="15" customHeight="1">
      <c r="B76" s="107"/>
      <c r="C76" s="68" t="s">
        <v>146</v>
      </c>
      <c r="D76" s="69">
        <v>1</v>
      </c>
      <c r="E76" s="70">
        <v>1.4566642388899999E-4</v>
      </c>
    </row>
    <row r="77" spans="2:5" ht="15" customHeight="1">
      <c r="B77" s="108"/>
      <c r="C77" s="87" t="s">
        <v>28</v>
      </c>
      <c r="D77" s="88">
        <v>1438</v>
      </c>
      <c r="E77" s="89">
        <v>0.20946831755280401</v>
      </c>
    </row>
    <row r="78" spans="2:5" ht="15" customHeight="1">
      <c r="B78" s="106" t="s">
        <v>89</v>
      </c>
      <c r="C78" s="68" t="s">
        <v>144</v>
      </c>
      <c r="D78" s="69">
        <v>11</v>
      </c>
      <c r="E78" s="70">
        <v>1.602330662782E-3</v>
      </c>
    </row>
    <row r="79" spans="2:5" ht="15" customHeight="1">
      <c r="B79" s="107"/>
      <c r="C79" s="68" t="s">
        <v>145</v>
      </c>
      <c r="D79" s="69">
        <v>7</v>
      </c>
      <c r="E79" s="70">
        <v>1.0196649672249999E-3</v>
      </c>
    </row>
    <row r="80" spans="2:5" ht="15" customHeight="1">
      <c r="B80" s="108"/>
      <c r="C80" s="87" t="s">
        <v>28</v>
      </c>
      <c r="D80" s="88">
        <v>18</v>
      </c>
      <c r="E80" s="89">
        <v>2.6219956300069999E-3</v>
      </c>
    </row>
    <row r="81" spans="2:5" ht="15" customHeight="1">
      <c r="B81" s="106" t="s">
        <v>82</v>
      </c>
      <c r="C81" s="68" t="s">
        <v>144</v>
      </c>
      <c r="D81" s="69">
        <v>13</v>
      </c>
      <c r="E81" s="70">
        <v>1.893663510561E-3</v>
      </c>
    </row>
    <row r="82" spans="2:5" ht="15" customHeight="1">
      <c r="B82" s="107"/>
      <c r="C82" s="68" t="s">
        <v>145</v>
      </c>
      <c r="D82" s="69">
        <v>20</v>
      </c>
      <c r="E82" s="70">
        <v>2.9133284777860002E-3</v>
      </c>
    </row>
    <row r="83" spans="2:5" ht="15" customHeight="1">
      <c r="B83" s="108"/>
      <c r="C83" s="87" t="s">
        <v>28</v>
      </c>
      <c r="D83" s="88">
        <v>33</v>
      </c>
      <c r="E83" s="89">
        <v>4.8069919883469998E-3</v>
      </c>
    </row>
    <row r="84" spans="2:5" ht="15" customHeight="1">
      <c r="B84" s="106" t="s">
        <v>78</v>
      </c>
      <c r="C84" s="68" t="s">
        <v>144</v>
      </c>
      <c r="D84" s="69">
        <v>23</v>
      </c>
      <c r="E84" s="70">
        <v>3.3503277494539999E-3</v>
      </c>
    </row>
    <row r="85" spans="2:5" ht="15" customHeight="1">
      <c r="B85" s="107"/>
      <c r="C85" s="68" t="s">
        <v>145</v>
      </c>
      <c r="D85" s="69">
        <v>16</v>
      </c>
      <c r="E85" s="70">
        <v>2.3306627822290002E-3</v>
      </c>
    </row>
    <row r="86" spans="2:5" ht="15" customHeight="1">
      <c r="B86" s="108"/>
      <c r="C86" s="87" t="s">
        <v>28</v>
      </c>
      <c r="D86" s="88">
        <v>39</v>
      </c>
      <c r="E86" s="89">
        <v>5.680990531682E-3</v>
      </c>
    </row>
    <row r="87" spans="2:5" ht="15" customHeight="1">
      <c r="B87" s="106" t="s">
        <v>94</v>
      </c>
      <c r="C87" s="68" t="s">
        <v>144</v>
      </c>
      <c r="D87" s="69">
        <v>4</v>
      </c>
      <c r="E87" s="70">
        <v>5.8266569555700002E-4</v>
      </c>
    </row>
    <row r="88" spans="2:5" ht="15" customHeight="1">
      <c r="B88" s="107"/>
      <c r="C88" s="68" t="s">
        <v>145</v>
      </c>
      <c r="D88" s="69">
        <v>2</v>
      </c>
      <c r="E88" s="70">
        <v>2.9133284777899999E-4</v>
      </c>
    </row>
    <row r="89" spans="2:5" ht="15" customHeight="1">
      <c r="B89" s="108"/>
      <c r="C89" s="87" t="s">
        <v>28</v>
      </c>
      <c r="D89" s="88">
        <v>6</v>
      </c>
      <c r="E89" s="89">
        <v>8.7399854333599996E-4</v>
      </c>
    </row>
    <row r="90" spans="2:5" ht="15" customHeight="1">
      <c r="B90" s="106" t="s">
        <v>99</v>
      </c>
      <c r="C90" s="68" t="s">
        <v>145</v>
      </c>
      <c r="D90" s="69">
        <v>1</v>
      </c>
      <c r="E90" s="70">
        <v>1.4566642388899999E-4</v>
      </c>
    </row>
    <row r="91" spans="2:5" ht="15" customHeight="1">
      <c r="B91" s="108"/>
      <c r="C91" s="87" t="s">
        <v>28</v>
      </c>
      <c r="D91" s="88">
        <v>1</v>
      </c>
      <c r="E91" s="89">
        <v>1.4566642388899999E-4</v>
      </c>
    </row>
    <row r="92" spans="2:5" ht="15" customHeight="1">
      <c r="B92" s="106" t="s">
        <v>92</v>
      </c>
      <c r="C92" s="68" t="s">
        <v>144</v>
      </c>
      <c r="D92" s="69">
        <v>4</v>
      </c>
      <c r="E92" s="70">
        <v>5.8266569555700002E-4</v>
      </c>
    </row>
    <row r="93" spans="2:5" ht="15" customHeight="1">
      <c r="B93" s="107"/>
      <c r="C93" s="68" t="s">
        <v>145</v>
      </c>
      <c r="D93" s="69">
        <v>7</v>
      </c>
      <c r="E93" s="70">
        <v>1.0196649672249999E-3</v>
      </c>
    </row>
    <row r="94" spans="2:5" ht="15" customHeight="1">
      <c r="B94" s="108"/>
      <c r="C94" s="87" t="s">
        <v>28</v>
      </c>
      <c r="D94" s="88">
        <v>11</v>
      </c>
      <c r="E94" s="89">
        <v>1.602330662782E-3</v>
      </c>
    </row>
    <row r="95" spans="2:5" ht="15" customHeight="1">
      <c r="B95" s="106" t="s">
        <v>80</v>
      </c>
      <c r="C95" s="68" t="s">
        <v>144</v>
      </c>
      <c r="D95" s="69">
        <v>16</v>
      </c>
      <c r="E95" s="70">
        <v>2.3306627822290002E-3</v>
      </c>
    </row>
    <row r="96" spans="2:5" ht="15" customHeight="1">
      <c r="B96" s="107"/>
      <c r="C96" s="68" t="s">
        <v>145</v>
      </c>
      <c r="D96" s="69">
        <v>22</v>
      </c>
      <c r="E96" s="70">
        <v>3.2046613255639999E-3</v>
      </c>
    </row>
    <row r="97" spans="2:5" ht="15" customHeight="1">
      <c r="B97" s="108"/>
      <c r="C97" s="87" t="s">
        <v>28</v>
      </c>
      <c r="D97" s="88">
        <v>38</v>
      </c>
      <c r="E97" s="89">
        <v>5.5353241077929997E-3</v>
      </c>
    </row>
    <row r="98" spans="2:5" ht="15" customHeight="1">
      <c r="B98" s="106" t="s">
        <v>71</v>
      </c>
      <c r="C98" s="68" t="s">
        <v>144</v>
      </c>
      <c r="D98" s="69">
        <v>31</v>
      </c>
      <c r="E98" s="70">
        <v>4.5156591405679999E-3</v>
      </c>
    </row>
    <row r="99" spans="2:5" ht="15" customHeight="1">
      <c r="B99" s="107"/>
      <c r="C99" s="68" t="s">
        <v>145</v>
      </c>
      <c r="D99" s="69">
        <v>28</v>
      </c>
      <c r="E99" s="70">
        <v>4.0786598688999998E-3</v>
      </c>
    </row>
    <row r="100" spans="2:5" ht="15" customHeight="1">
      <c r="B100" s="108"/>
      <c r="C100" s="87" t="s">
        <v>28</v>
      </c>
      <c r="D100" s="88">
        <v>59</v>
      </c>
      <c r="E100" s="89">
        <v>8.5943190094680006E-3</v>
      </c>
    </row>
    <row r="101" spans="2:5" ht="15" customHeight="1">
      <c r="B101" s="106" t="s">
        <v>84</v>
      </c>
      <c r="C101" s="68" t="s">
        <v>144</v>
      </c>
      <c r="D101" s="69">
        <v>14</v>
      </c>
      <c r="E101" s="70">
        <v>2.0393299344499999E-3</v>
      </c>
    </row>
    <row r="102" spans="2:5" ht="15" customHeight="1">
      <c r="B102" s="107"/>
      <c r="C102" s="68" t="s">
        <v>145</v>
      </c>
      <c r="D102" s="69">
        <v>15</v>
      </c>
      <c r="E102" s="70">
        <v>2.1849963583390002E-3</v>
      </c>
    </row>
    <row r="103" spans="2:5" ht="15" customHeight="1">
      <c r="B103" s="108"/>
      <c r="C103" s="87" t="s">
        <v>28</v>
      </c>
      <c r="D103" s="88">
        <v>29</v>
      </c>
      <c r="E103" s="89">
        <v>4.2243262927900002E-3</v>
      </c>
    </row>
    <row r="104" spans="2:5" ht="15" customHeight="1">
      <c r="B104" s="106" t="s">
        <v>75</v>
      </c>
      <c r="C104" s="68" t="s">
        <v>144</v>
      </c>
      <c r="D104" s="69">
        <v>25</v>
      </c>
      <c r="E104" s="70">
        <v>3.6416605972320001E-3</v>
      </c>
    </row>
    <row r="105" spans="2:5" ht="15" customHeight="1">
      <c r="B105" s="107"/>
      <c r="C105" s="68" t="s">
        <v>145</v>
      </c>
      <c r="D105" s="69">
        <v>17</v>
      </c>
      <c r="E105" s="70">
        <v>2.476329206118E-3</v>
      </c>
    </row>
    <row r="106" spans="2:5" ht="15" customHeight="1">
      <c r="B106" s="108"/>
      <c r="C106" s="87" t="s">
        <v>28</v>
      </c>
      <c r="D106" s="88">
        <v>42</v>
      </c>
      <c r="E106" s="89">
        <v>6.1179898033500001E-3</v>
      </c>
    </row>
    <row r="107" spans="2:5" ht="15" customHeight="1">
      <c r="B107" s="106" t="s">
        <v>61</v>
      </c>
      <c r="C107" s="68" t="s">
        <v>144</v>
      </c>
      <c r="D107" s="69">
        <v>96</v>
      </c>
      <c r="E107" s="70">
        <v>1.3983976693372001E-2</v>
      </c>
    </row>
    <row r="108" spans="2:5" ht="15" customHeight="1">
      <c r="B108" s="107"/>
      <c r="C108" s="68" t="s">
        <v>145</v>
      </c>
      <c r="D108" s="69">
        <v>76</v>
      </c>
      <c r="E108" s="70">
        <v>1.1070648215585999E-2</v>
      </c>
    </row>
    <row r="109" spans="2:5" ht="15" customHeight="1">
      <c r="B109" s="108"/>
      <c r="C109" s="87" t="s">
        <v>28</v>
      </c>
      <c r="D109" s="88">
        <v>172</v>
      </c>
      <c r="E109" s="89">
        <v>2.5054624908958E-2</v>
      </c>
    </row>
    <row r="110" spans="2:5" ht="15" customHeight="1">
      <c r="B110" s="106" t="s">
        <v>58</v>
      </c>
      <c r="C110" s="68" t="s">
        <v>144</v>
      </c>
      <c r="D110" s="69">
        <v>116</v>
      </c>
      <c r="E110" s="70">
        <v>1.6897305171157999E-2</v>
      </c>
    </row>
    <row r="111" spans="2:5" ht="15" customHeight="1">
      <c r="B111" s="107"/>
      <c r="C111" s="68" t="s">
        <v>145</v>
      </c>
      <c r="D111" s="69">
        <v>112</v>
      </c>
      <c r="E111" s="70">
        <v>1.6314639475600998E-2</v>
      </c>
    </row>
    <row r="112" spans="2:5" ht="15" customHeight="1">
      <c r="B112" s="108"/>
      <c r="C112" s="87" t="s">
        <v>28</v>
      </c>
      <c r="D112" s="88">
        <v>228</v>
      </c>
      <c r="E112" s="89">
        <v>3.3211944646759001E-2</v>
      </c>
    </row>
    <row r="113" spans="2:5" ht="15" customHeight="1">
      <c r="B113" s="106" t="s">
        <v>73</v>
      </c>
      <c r="C113" s="68" t="s">
        <v>144</v>
      </c>
      <c r="D113" s="69">
        <v>19</v>
      </c>
      <c r="E113" s="70">
        <v>2.7676620538969999E-3</v>
      </c>
    </row>
    <row r="114" spans="2:5" ht="15" customHeight="1">
      <c r="B114" s="107"/>
      <c r="C114" s="68" t="s">
        <v>145</v>
      </c>
      <c r="D114" s="69">
        <v>34</v>
      </c>
      <c r="E114" s="70">
        <v>4.9526584122360001E-3</v>
      </c>
    </row>
    <row r="115" spans="2:5" ht="15" customHeight="1">
      <c r="B115" s="108"/>
      <c r="C115" s="87" t="s">
        <v>28</v>
      </c>
      <c r="D115" s="88">
        <v>53</v>
      </c>
      <c r="E115" s="89">
        <v>7.7203204661330004E-3</v>
      </c>
    </row>
    <row r="116" spans="2:5" ht="15" customHeight="1">
      <c r="B116" s="106" t="s">
        <v>95</v>
      </c>
      <c r="C116" s="68" t="s">
        <v>144</v>
      </c>
      <c r="D116" s="69">
        <v>1</v>
      </c>
      <c r="E116" s="70">
        <v>1.4566642388899999E-4</v>
      </c>
    </row>
    <row r="117" spans="2:5" ht="15" customHeight="1">
      <c r="B117" s="107"/>
      <c r="C117" s="68" t="s">
        <v>145</v>
      </c>
      <c r="D117" s="69">
        <v>5</v>
      </c>
      <c r="E117" s="70">
        <v>7.2833211944600001E-4</v>
      </c>
    </row>
    <row r="118" spans="2:5" ht="15" customHeight="1">
      <c r="B118" s="108"/>
      <c r="C118" s="87" t="s">
        <v>28</v>
      </c>
      <c r="D118" s="88">
        <v>6</v>
      </c>
      <c r="E118" s="89">
        <v>8.7399854333599996E-4</v>
      </c>
    </row>
    <row r="119" spans="2:5" ht="15" customHeight="1">
      <c r="B119" s="106" t="s">
        <v>68</v>
      </c>
      <c r="C119" s="68" t="s">
        <v>144</v>
      </c>
      <c r="D119" s="69">
        <v>42</v>
      </c>
      <c r="E119" s="70">
        <v>6.1179898033500001E-3</v>
      </c>
    </row>
    <row r="120" spans="2:5" ht="15" customHeight="1">
      <c r="B120" s="107"/>
      <c r="C120" s="68" t="s">
        <v>145</v>
      </c>
      <c r="D120" s="69">
        <v>35</v>
      </c>
      <c r="E120" s="70">
        <v>5.0983248361250004E-3</v>
      </c>
    </row>
    <row r="121" spans="2:5" ht="15" customHeight="1">
      <c r="B121" s="108"/>
      <c r="C121" s="87" t="s">
        <v>28</v>
      </c>
      <c r="D121" s="88">
        <v>77</v>
      </c>
      <c r="E121" s="89">
        <v>1.1216314639476E-2</v>
      </c>
    </row>
    <row r="122" spans="2:5" ht="15" customHeight="1">
      <c r="B122" s="106" t="s">
        <v>59</v>
      </c>
      <c r="C122" s="68" t="s">
        <v>144</v>
      </c>
      <c r="D122" s="69">
        <v>98</v>
      </c>
      <c r="E122" s="70">
        <v>1.4275309541151001E-2</v>
      </c>
    </row>
    <row r="123" spans="2:5" ht="15" customHeight="1">
      <c r="B123" s="107"/>
      <c r="C123" s="68" t="s">
        <v>145</v>
      </c>
      <c r="D123" s="69">
        <v>98</v>
      </c>
      <c r="E123" s="70">
        <v>1.4275309541151001E-2</v>
      </c>
    </row>
    <row r="124" spans="2:5" ht="15" customHeight="1">
      <c r="B124" s="108"/>
      <c r="C124" s="87" t="s">
        <v>28</v>
      </c>
      <c r="D124" s="88">
        <v>196</v>
      </c>
      <c r="E124" s="89">
        <v>2.8550619082302001E-2</v>
      </c>
    </row>
    <row r="125" spans="2:5" ht="15" customHeight="1">
      <c r="B125" s="106" t="s">
        <v>76</v>
      </c>
      <c r="C125" s="68" t="s">
        <v>144</v>
      </c>
      <c r="D125" s="69">
        <v>16</v>
      </c>
      <c r="E125" s="70">
        <v>2.3306627822290002E-3</v>
      </c>
    </row>
    <row r="126" spans="2:5" ht="15" customHeight="1">
      <c r="B126" s="107"/>
      <c r="C126" s="68" t="s">
        <v>145</v>
      </c>
      <c r="D126" s="69">
        <v>24</v>
      </c>
      <c r="E126" s="70">
        <v>3.4959941733430002E-3</v>
      </c>
    </row>
    <row r="127" spans="2:5" ht="15" customHeight="1">
      <c r="B127" s="108"/>
      <c r="C127" s="87" t="s">
        <v>28</v>
      </c>
      <c r="D127" s="88">
        <v>40</v>
      </c>
      <c r="E127" s="89">
        <v>5.8266569555720004E-3</v>
      </c>
    </row>
    <row r="128" spans="2:5" ht="15" customHeight="1">
      <c r="B128" s="106" t="s">
        <v>66</v>
      </c>
      <c r="C128" s="68" t="s">
        <v>144</v>
      </c>
      <c r="D128" s="69">
        <v>51</v>
      </c>
      <c r="E128" s="70">
        <v>7.4289876183539997E-3</v>
      </c>
    </row>
    <row r="129" spans="2:5" ht="15" customHeight="1">
      <c r="B129" s="107"/>
      <c r="C129" s="68" t="s">
        <v>145</v>
      </c>
      <c r="D129" s="69">
        <v>31</v>
      </c>
      <c r="E129" s="70">
        <v>4.5156591405679999E-3</v>
      </c>
    </row>
    <row r="130" spans="2:5" ht="15" customHeight="1">
      <c r="B130" s="108"/>
      <c r="C130" s="87" t="s">
        <v>28</v>
      </c>
      <c r="D130" s="88">
        <v>82</v>
      </c>
      <c r="E130" s="89">
        <v>1.1944646758922E-2</v>
      </c>
    </row>
    <row r="131" spans="2:5" ht="15" customHeight="1">
      <c r="B131" s="106" t="s">
        <v>90</v>
      </c>
      <c r="C131" s="68" t="s">
        <v>144</v>
      </c>
      <c r="D131" s="69">
        <v>10</v>
      </c>
      <c r="E131" s="70">
        <v>1.4566642388930001E-3</v>
      </c>
    </row>
    <row r="132" spans="2:5" ht="15" customHeight="1">
      <c r="B132" s="107"/>
      <c r="C132" s="68" t="s">
        <v>145</v>
      </c>
      <c r="D132" s="69">
        <v>5</v>
      </c>
      <c r="E132" s="70">
        <v>7.2833211944600001E-4</v>
      </c>
    </row>
    <row r="133" spans="2:5" ht="15" customHeight="1">
      <c r="B133" s="108"/>
      <c r="C133" s="87" t="s">
        <v>28</v>
      </c>
      <c r="D133" s="88">
        <v>15</v>
      </c>
      <c r="E133" s="89">
        <v>2.1849963583390002E-3</v>
      </c>
    </row>
    <row r="134" spans="2:5" ht="15" customHeight="1">
      <c r="B134" s="106" t="s">
        <v>51</v>
      </c>
      <c r="C134" s="68" t="s">
        <v>144</v>
      </c>
      <c r="D134" s="69">
        <v>392</v>
      </c>
      <c r="E134" s="70">
        <v>5.7101238164603003E-2</v>
      </c>
    </row>
    <row r="135" spans="2:5" ht="15" customHeight="1">
      <c r="B135" s="107"/>
      <c r="C135" s="68" t="s">
        <v>145</v>
      </c>
      <c r="D135" s="69">
        <v>318</v>
      </c>
      <c r="E135" s="70">
        <v>4.6321922796795E-2</v>
      </c>
    </row>
    <row r="136" spans="2:5" ht="15" customHeight="1">
      <c r="B136" s="108"/>
      <c r="C136" s="87" t="s">
        <v>28</v>
      </c>
      <c r="D136" s="88">
        <v>710</v>
      </c>
      <c r="E136" s="89">
        <v>0.103423160961398</v>
      </c>
    </row>
    <row r="137" spans="2:5" ht="15" customHeight="1">
      <c r="B137" s="106" t="s">
        <v>52</v>
      </c>
      <c r="C137" s="68" t="s">
        <v>144</v>
      </c>
      <c r="D137" s="69">
        <v>314</v>
      </c>
      <c r="E137" s="70">
        <v>4.5739257101238003E-2</v>
      </c>
    </row>
    <row r="138" spans="2:5" ht="15" customHeight="1">
      <c r="B138" s="107"/>
      <c r="C138" s="68" t="s">
        <v>145</v>
      </c>
      <c r="D138" s="69">
        <v>296</v>
      </c>
      <c r="E138" s="70">
        <v>4.3117261471231003E-2</v>
      </c>
    </row>
    <row r="139" spans="2:5" ht="15" customHeight="1">
      <c r="B139" s="108"/>
      <c r="C139" s="87" t="s">
        <v>28</v>
      </c>
      <c r="D139" s="88">
        <v>610</v>
      </c>
      <c r="E139" s="89">
        <v>8.8856518572468998E-2</v>
      </c>
    </row>
    <row r="140" spans="2:5" ht="15" customHeight="1">
      <c r="B140" s="106" t="s">
        <v>64</v>
      </c>
      <c r="C140" s="68" t="s">
        <v>144</v>
      </c>
      <c r="D140" s="69">
        <v>46</v>
      </c>
      <c r="E140" s="70">
        <v>6.7006554989079998E-3</v>
      </c>
    </row>
    <row r="141" spans="2:5" ht="15" customHeight="1">
      <c r="B141" s="107"/>
      <c r="C141" s="68" t="s">
        <v>145</v>
      </c>
      <c r="D141" s="69">
        <v>45</v>
      </c>
      <c r="E141" s="70">
        <v>6.5549890750180003E-3</v>
      </c>
    </row>
    <row r="142" spans="2:5" ht="15" customHeight="1">
      <c r="B142" s="108"/>
      <c r="C142" s="87" t="s">
        <v>28</v>
      </c>
      <c r="D142" s="88">
        <v>91</v>
      </c>
      <c r="E142" s="89">
        <v>1.3255644573925999E-2</v>
      </c>
    </row>
    <row r="143" spans="2:5" ht="15" customHeight="1">
      <c r="B143" s="106" t="s">
        <v>60</v>
      </c>
      <c r="C143" s="68" t="s">
        <v>144</v>
      </c>
      <c r="D143" s="69">
        <v>103</v>
      </c>
      <c r="E143" s="70">
        <v>1.5003641660597001E-2</v>
      </c>
    </row>
    <row r="144" spans="2:5" ht="15" customHeight="1">
      <c r="B144" s="107"/>
      <c r="C144" s="68" t="s">
        <v>145</v>
      </c>
      <c r="D144" s="69">
        <v>85</v>
      </c>
      <c r="E144" s="70">
        <v>1.2381646030590001E-2</v>
      </c>
    </row>
    <row r="145" spans="2:5" ht="15" customHeight="1">
      <c r="B145" s="107"/>
      <c r="C145" s="68" t="s">
        <v>146</v>
      </c>
      <c r="D145" s="69">
        <v>1</v>
      </c>
      <c r="E145" s="70">
        <v>1.4566642388899999E-4</v>
      </c>
    </row>
    <row r="146" spans="2:5" ht="15" customHeight="1">
      <c r="B146" s="108"/>
      <c r="C146" s="87" t="s">
        <v>28</v>
      </c>
      <c r="D146" s="88">
        <v>189</v>
      </c>
      <c r="E146" s="89">
        <v>2.7530954115076001E-2</v>
      </c>
    </row>
    <row r="147" spans="2:5" ht="15" customHeight="1">
      <c r="B147" s="106" t="s">
        <v>55</v>
      </c>
      <c r="C147" s="68" t="s">
        <v>144</v>
      </c>
      <c r="D147" s="69">
        <v>188</v>
      </c>
      <c r="E147" s="70">
        <v>2.7385287691187001E-2</v>
      </c>
    </row>
    <row r="148" spans="2:5" ht="15" customHeight="1">
      <c r="B148" s="107"/>
      <c r="C148" s="68" t="s">
        <v>145</v>
      </c>
      <c r="D148" s="69">
        <v>138</v>
      </c>
      <c r="E148" s="70">
        <v>2.0101966496722998E-2</v>
      </c>
    </row>
    <row r="149" spans="2:5" ht="15" customHeight="1">
      <c r="B149" s="108"/>
      <c r="C149" s="87" t="s">
        <v>28</v>
      </c>
      <c r="D149" s="88">
        <v>326</v>
      </c>
      <c r="E149" s="89">
        <v>4.748725418791E-2</v>
      </c>
    </row>
    <row r="150" spans="2:5" ht="15" customHeight="1">
      <c r="B150" s="106" t="s">
        <v>77</v>
      </c>
      <c r="C150" s="68" t="s">
        <v>144</v>
      </c>
      <c r="D150" s="69">
        <v>15</v>
      </c>
      <c r="E150" s="70">
        <v>2.1849963583390002E-3</v>
      </c>
    </row>
    <row r="151" spans="2:5" ht="15" customHeight="1">
      <c r="B151" s="107"/>
      <c r="C151" s="68" t="s">
        <v>145</v>
      </c>
      <c r="D151" s="69">
        <v>25</v>
      </c>
      <c r="E151" s="70">
        <v>3.6416605972320001E-3</v>
      </c>
    </row>
    <row r="152" spans="2:5" ht="15" customHeight="1">
      <c r="B152" s="108"/>
      <c r="C152" s="87" t="s">
        <v>28</v>
      </c>
      <c r="D152" s="88">
        <v>40</v>
      </c>
      <c r="E152" s="89">
        <v>5.8266569555720004E-3</v>
      </c>
    </row>
    <row r="153" spans="2:5" ht="15" customHeight="1">
      <c r="B153" s="106" t="s">
        <v>85</v>
      </c>
      <c r="C153" s="68" t="s">
        <v>144</v>
      </c>
      <c r="D153" s="69">
        <v>16</v>
      </c>
      <c r="E153" s="70">
        <v>2.3306627822290002E-3</v>
      </c>
    </row>
    <row r="154" spans="2:5" ht="15" customHeight="1">
      <c r="B154" s="107"/>
      <c r="C154" s="68" t="s">
        <v>145</v>
      </c>
      <c r="D154" s="69">
        <v>12</v>
      </c>
      <c r="E154" s="70">
        <v>1.7479970866719999E-3</v>
      </c>
    </row>
    <row r="155" spans="2:5" ht="15" customHeight="1">
      <c r="B155" s="108"/>
      <c r="C155" s="87" t="s">
        <v>28</v>
      </c>
      <c r="D155" s="88">
        <v>28</v>
      </c>
      <c r="E155" s="89">
        <v>4.0786598688999998E-3</v>
      </c>
    </row>
    <row r="156" spans="2:5" ht="15" customHeight="1">
      <c r="B156" s="106" t="s">
        <v>91</v>
      </c>
      <c r="C156" s="68" t="s">
        <v>144</v>
      </c>
      <c r="D156" s="69">
        <v>6</v>
      </c>
      <c r="E156" s="70">
        <v>8.7399854333599996E-4</v>
      </c>
    </row>
    <row r="157" spans="2:5" ht="15" customHeight="1">
      <c r="B157" s="107"/>
      <c r="C157" s="68" t="s">
        <v>145</v>
      </c>
      <c r="D157" s="69">
        <v>9</v>
      </c>
      <c r="E157" s="70">
        <v>1.310997815004E-3</v>
      </c>
    </row>
    <row r="158" spans="2:5" ht="15" customHeight="1">
      <c r="B158" s="108"/>
      <c r="C158" s="87" t="s">
        <v>28</v>
      </c>
      <c r="D158" s="88">
        <v>15</v>
      </c>
      <c r="E158" s="89">
        <v>2.1849963583390002E-3</v>
      </c>
    </row>
    <row r="159" spans="2:5" ht="15" customHeight="1">
      <c r="B159" s="106" t="s">
        <v>65</v>
      </c>
      <c r="C159" s="68" t="s">
        <v>144</v>
      </c>
      <c r="D159" s="69">
        <v>53</v>
      </c>
      <c r="E159" s="70">
        <v>7.7203204661330004E-3</v>
      </c>
    </row>
    <row r="160" spans="2:5" ht="15" customHeight="1">
      <c r="B160" s="107"/>
      <c r="C160" s="68" t="s">
        <v>145</v>
      </c>
      <c r="D160" s="69">
        <v>36</v>
      </c>
      <c r="E160" s="70">
        <v>5.2439912600149999E-3</v>
      </c>
    </row>
    <row r="161" spans="2:5" ht="15" customHeight="1">
      <c r="B161" s="108"/>
      <c r="C161" s="87" t="s">
        <v>28</v>
      </c>
      <c r="D161" s="88">
        <v>89</v>
      </c>
      <c r="E161" s="89">
        <v>1.2964311726146999E-2</v>
      </c>
    </row>
    <row r="162" spans="2:5" ht="15" customHeight="1">
      <c r="B162" s="113" t="s">
        <v>28</v>
      </c>
      <c r="C162" s="114"/>
      <c r="D162" s="59">
        <v>6865</v>
      </c>
      <c r="E162" s="60">
        <v>1</v>
      </c>
    </row>
    <row r="163" spans="2:5" ht="14.45" customHeight="1"/>
    <row r="164" spans="2:5" ht="14.45" customHeight="1">
      <c r="B164" s="15" t="s">
        <v>47</v>
      </c>
    </row>
    <row r="165" spans="2:5" ht="14.45" customHeight="1">
      <c r="B165" s="17" t="s">
        <v>17</v>
      </c>
    </row>
    <row r="166" spans="2:5" ht="14.45" customHeight="1">
      <c r="B166" s="16" t="s">
        <v>48</v>
      </c>
    </row>
    <row r="167" spans="2:5" ht="14.45" customHeight="1">
      <c r="B167" s="15" t="s">
        <v>16</v>
      </c>
    </row>
    <row r="168" spans="2:5" ht="14.45" customHeight="1">
      <c r="B168" s="15" t="s">
        <v>49</v>
      </c>
    </row>
  </sheetData>
  <mergeCells count="52">
    <mergeCell ref="B156:B158"/>
    <mergeCell ref="B159:B161"/>
    <mergeCell ref="B162:C162"/>
    <mergeCell ref="B13:B15"/>
    <mergeCell ref="B16:B18"/>
    <mergeCell ref="B19:B21"/>
    <mergeCell ref="B22:B24"/>
    <mergeCell ref="B25:B27"/>
    <mergeCell ref="B147:B149"/>
    <mergeCell ref="B150:B152"/>
    <mergeCell ref="B137:B139"/>
    <mergeCell ref="B140:B142"/>
    <mergeCell ref="B143:B146"/>
    <mergeCell ref="B153:B155"/>
    <mergeCell ref="B122:B124"/>
    <mergeCell ref="B125:B127"/>
    <mergeCell ref="B131:B133"/>
    <mergeCell ref="B134:B136"/>
    <mergeCell ref="B78:B80"/>
    <mergeCell ref="B68:B70"/>
    <mergeCell ref="B71:B73"/>
    <mergeCell ref="B74:B77"/>
    <mergeCell ref="B90:B91"/>
    <mergeCell ref="B92:B94"/>
    <mergeCell ref="B95:B97"/>
    <mergeCell ref="B98:B100"/>
    <mergeCell ref="B101:B103"/>
    <mergeCell ref="B104:B106"/>
    <mergeCell ref="B107:B109"/>
    <mergeCell ref="B110:B112"/>
    <mergeCell ref="B113:B115"/>
    <mergeCell ref="B46:B47"/>
    <mergeCell ref="B128:B130"/>
    <mergeCell ref="B116:B118"/>
    <mergeCell ref="B119:B121"/>
    <mergeCell ref="B66:B67"/>
    <mergeCell ref="B8:E10"/>
    <mergeCell ref="B87:B89"/>
    <mergeCell ref="B81:B83"/>
    <mergeCell ref="B84:B86"/>
    <mergeCell ref="B51:B53"/>
    <mergeCell ref="B54:B56"/>
    <mergeCell ref="B57:B59"/>
    <mergeCell ref="B60:B62"/>
    <mergeCell ref="B63:B65"/>
    <mergeCell ref="B48:B50"/>
    <mergeCell ref="B28:B30"/>
    <mergeCell ref="B31:B33"/>
    <mergeCell ref="B34:B36"/>
    <mergeCell ref="B37:B39"/>
    <mergeCell ref="B40:B42"/>
    <mergeCell ref="B43:B45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F151"/>
  <sheetViews>
    <sheetView showGridLines="0" view="pageBreakPreview" topLeftCell="A131" zoomScaleNormal="100" zoomScaleSheetLayoutView="100" workbookViewId="0">
      <selection activeCell="B145" sqref="B145:C145"/>
    </sheetView>
  </sheetViews>
  <sheetFormatPr baseColWidth="10" defaultColWidth="11.42578125" defaultRowHeight="11.25"/>
  <cols>
    <col min="1" max="1" width="5.7109375" style="25" customWidth="1"/>
    <col min="2" max="2" width="24.28515625" style="44" customWidth="1"/>
    <col min="3" max="3" width="20.140625" style="44" customWidth="1"/>
    <col min="4" max="4" width="18" style="47" customWidth="1"/>
    <col min="5" max="5" width="15.140625" style="44" bestFit="1" customWidth="1"/>
    <col min="6" max="6" width="5.7109375" style="25" customWidth="1"/>
    <col min="7" max="7" width="6.140625" style="25" customWidth="1"/>
    <col min="8" max="16384" width="11.42578125" style="25"/>
  </cols>
  <sheetData>
    <row r="1" spans="2:6" s="13" customFormat="1" ht="15">
      <c r="B1" s="44"/>
      <c r="C1" s="44"/>
    </row>
    <row r="2" spans="2:6" s="44" customFormat="1">
      <c r="B2" s="54"/>
    </row>
    <row r="3" spans="2:6" ht="15" customHeight="1">
      <c r="B3" s="55"/>
      <c r="C3" s="31"/>
      <c r="D3" s="25"/>
      <c r="F3" s="44"/>
    </row>
    <row r="4" spans="2:6" ht="30" customHeight="1">
      <c r="B4" s="55"/>
      <c r="C4" s="31"/>
      <c r="D4" s="25"/>
      <c r="F4" s="44"/>
    </row>
    <row r="5" spans="2:6" ht="15" customHeight="1">
      <c r="B5" s="55"/>
      <c r="C5" s="31"/>
      <c r="D5" s="25"/>
      <c r="F5" s="44"/>
    </row>
    <row r="6" spans="2:6" s="44" customFormat="1">
      <c r="B6" s="46"/>
      <c r="C6" s="40"/>
    </row>
    <row r="7" spans="2:6" s="44" customFormat="1">
      <c r="B7" s="54"/>
    </row>
    <row r="8" spans="2:6" s="13" customFormat="1" ht="15" customHeight="1">
      <c r="B8" s="101" t="s">
        <v>41</v>
      </c>
      <c r="C8" s="101"/>
      <c r="D8" s="101"/>
      <c r="E8" s="101"/>
    </row>
    <row r="9" spans="2:6" s="13" customFormat="1" ht="15" customHeight="1">
      <c r="B9" s="101"/>
      <c r="C9" s="101"/>
      <c r="D9" s="101"/>
      <c r="E9" s="101"/>
      <c r="F9" s="53"/>
    </row>
    <row r="10" spans="2:6" s="13" customFormat="1" ht="15" customHeight="1">
      <c r="B10" s="101"/>
      <c r="C10" s="101"/>
      <c r="D10" s="101"/>
      <c r="E10" s="101"/>
    </row>
    <row r="11" spans="2:6" s="13" customFormat="1" ht="15" customHeight="1">
      <c r="B11" s="56"/>
      <c r="C11" s="56"/>
      <c r="D11" s="56"/>
      <c r="E11" s="56"/>
    </row>
    <row r="12" spans="2:6" s="13" customFormat="1" ht="36.950000000000003" customHeight="1">
      <c r="B12" s="58" t="s">
        <v>24</v>
      </c>
      <c r="C12" s="58" t="s">
        <v>29</v>
      </c>
      <c r="D12" s="58" t="s">
        <v>19</v>
      </c>
      <c r="E12" s="58" t="s">
        <v>18</v>
      </c>
    </row>
    <row r="13" spans="2:6" ht="15" customHeight="1">
      <c r="B13" s="106" t="s">
        <v>100</v>
      </c>
      <c r="C13" s="68" t="s">
        <v>144</v>
      </c>
      <c r="D13" s="69">
        <v>12</v>
      </c>
      <c r="E13" s="70">
        <v>1.7479970866719999E-3</v>
      </c>
    </row>
    <row r="14" spans="2:6" ht="15" customHeight="1">
      <c r="B14" s="107"/>
      <c r="C14" s="68" t="s">
        <v>145</v>
      </c>
      <c r="D14" s="69">
        <v>8</v>
      </c>
      <c r="E14" s="70">
        <v>1.165331391114E-3</v>
      </c>
    </row>
    <row r="15" spans="2:6" ht="15" customHeight="1">
      <c r="B15" s="108"/>
      <c r="C15" s="71" t="s">
        <v>28</v>
      </c>
      <c r="D15" s="72">
        <v>20</v>
      </c>
      <c r="E15" s="73">
        <v>2.9133284777860002E-3</v>
      </c>
    </row>
    <row r="16" spans="2:6" ht="15" customHeight="1">
      <c r="B16" s="106" t="s">
        <v>101</v>
      </c>
      <c r="C16" s="68" t="s">
        <v>144</v>
      </c>
      <c r="D16" s="69">
        <v>1</v>
      </c>
      <c r="E16" s="70">
        <v>1.4566642388899999E-4</v>
      </c>
    </row>
    <row r="17" spans="2:5" ht="15" customHeight="1">
      <c r="B17" s="108"/>
      <c r="C17" s="71" t="s">
        <v>28</v>
      </c>
      <c r="D17" s="72">
        <v>1</v>
      </c>
      <c r="E17" s="73">
        <v>1.4566642388899999E-4</v>
      </c>
    </row>
    <row r="18" spans="2:5" ht="15" customHeight="1">
      <c r="B18" s="106" t="s">
        <v>102</v>
      </c>
      <c r="C18" s="68" t="s">
        <v>144</v>
      </c>
      <c r="D18" s="69">
        <v>179</v>
      </c>
      <c r="E18" s="70">
        <v>2.6074289876184001E-2</v>
      </c>
    </row>
    <row r="19" spans="2:5" ht="15" customHeight="1">
      <c r="B19" s="107"/>
      <c r="C19" s="68" t="s">
        <v>145</v>
      </c>
      <c r="D19" s="69">
        <v>157</v>
      </c>
      <c r="E19" s="70">
        <v>2.2869628550619001E-2</v>
      </c>
    </row>
    <row r="20" spans="2:5" ht="15" customHeight="1">
      <c r="B20" s="108"/>
      <c r="C20" s="71" t="s">
        <v>28</v>
      </c>
      <c r="D20" s="72">
        <v>336</v>
      </c>
      <c r="E20" s="73">
        <v>4.8943918426802999E-2</v>
      </c>
    </row>
    <row r="21" spans="2:5" ht="15" customHeight="1">
      <c r="B21" s="106" t="s">
        <v>103</v>
      </c>
      <c r="C21" s="68" t="s">
        <v>144</v>
      </c>
      <c r="D21" s="69">
        <v>12</v>
      </c>
      <c r="E21" s="70">
        <v>1.7479970866719999E-3</v>
      </c>
    </row>
    <row r="22" spans="2:5" ht="15" customHeight="1">
      <c r="B22" s="107"/>
      <c r="C22" s="68" t="s">
        <v>145</v>
      </c>
      <c r="D22" s="69">
        <v>10</v>
      </c>
      <c r="E22" s="70">
        <v>1.4566642388930001E-3</v>
      </c>
    </row>
    <row r="23" spans="2:5" ht="15" customHeight="1">
      <c r="B23" s="108"/>
      <c r="C23" s="71" t="s">
        <v>28</v>
      </c>
      <c r="D23" s="72">
        <v>22</v>
      </c>
      <c r="E23" s="73">
        <v>3.2046613255639999E-3</v>
      </c>
    </row>
    <row r="24" spans="2:5" ht="15" customHeight="1">
      <c r="B24" s="106" t="s">
        <v>104</v>
      </c>
      <c r="C24" s="68" t="s">
        <v>144</v>
      </c>
      <c r="D24" s="69">
        <v>2447</v>
      </c>
      <c r="E24" s="70">
        <v>0.35644573925710099</v>
      </c>
    </row>
    <row r="25" spans="2:5" ht="15" customHeight="1">
      <c r="B25" s="107"/>
      <c r="C25" s="68" t="s">
        <v>145</v>
      </c>
      <c r="D25" s="69">
        <v>2064</v>
      </c>
      <c r="E25" s="70">
        <v>0.30065549890750198</v>
      </c>
    </row>
    <row r="26" spans="2:5" ht="15" customHeight="1">
      <c r="B26" s="107"/>
      <c r="C26" s="68" t="s">
        <v>146</v>
      </c>
      <c r="D26" s="69">
        <v>2</v>
      </c>
      <c r="E26" s="70">
        <v>2.9133284777899999E-4</v>
      </c>
    </row>
    <row r="27" spans="2:5" ht="15" customHeight="1">
      <c r="B27" s="108"/>
      <c r="C27" s="71" t="s">
        <v>28</v>
      </c>
      <c r="D27" s="72">
        <v>4513</v>
      </c>
      <c r="E27" s="73">
        <v>0.65739257101238202</v>
      </c>
    </row>
    <row r="28" spans="2:5" ht="15" customHeight="1">
      <c r="B28" s="106" t="s">
        <v>105</v>
      </c>
      <c r="C28" s="68" t="s">
        <v>144</v>
      </c>
      <c r="D28" s="69">
        <v>28</v>
      </c>
      <c r="E28" s="70">
        <v>4.0786598688999998E-3</v>
      </c>
    </row>
    <row r="29" spans="2:5" ht="15" customHeight="1">
      <c r="B29" s="107"/>
      <c r="C29" s="68" t="s">
        <v>145</v>
      </c>
      <c r="D29" s="69">
        <v>33</v>
      </c>
      <c r="E29" s="70">
        <v>4.8069919883469998E-3</v>
      </c>
    </row>
    <row r="30" spans="2:5" ht="15" customHeight="1">
      <c r="B30" s="108"/>
      <c r="C30" s="71" t="s">
        <v>28</v>
      </c>
      <c r="D30" s="72">
        <v>61</v>
      </c>
      <c r="E30" s="73">
        <v>8.8856518572470004E-3</v>
      </c>
    </row>
    <row r="31" spans="2:5" ht="15" customHeight="1">
      <c r="B31" s="106" t="s">
        <v>106</v>
      </c>
      <c r="C31" s="68" t="s">
        <v>144</v>
      </c>
      <c r="D31" s="69">
        <v>2</v>
      </c>
      <c r="E31" s="70">
        <v>2.9133284777899999E-4</v>
      </c>
    </row>
    <row r="32" spans="2:5" ht="15" customHeight="1">
      <c r="B32" s="108"/>
      <c r="C32" s="71" t="s">
        <v>28</v>
      </c>
      <c r="D32" s="72">
        <v>2</v>
      </c>
      <c r="E32" s="73">
        <v>2.9133284777899999E-4</v>
      </c>
    </row>
    <row r="33" spans="2:5" ht="15" customHeight="1">
      <c r="B33" s="106" t="s">
        <v>107</v>
      </c>
      <c r="C33" s="68" t="s">
        <v>145</v>
      </c>
      <c r="D33" s="69">
        <v>4</v>
      </c>
      <c r="E33" s="70">
        <v>5.8266569555700002E-4</v>
      </c>
    </row>
    <row r="34" spans="2:5" ht="15" customHeight="1">
      <c r="B34" s="108"/>
      <c r="C34" s="71" t="s">
        <v>28</v>
      </c>
      <c r="D34" s="72">
        <v>4</v>
      </c>
      <c r="E34" s="73">
        <v>5.8266569555700002E-4</v>
      </c>
    </row>
    <row r="35" spans="2:5" ht="15" customHeight="1">
      <c r="B35" s="106" t="s">
        <v>108</v>
      </c>
      <c r="C35" s="68" t="s">
        <v>145</v>
      </c>
      <c r="D35" s="69">
        <v>1</v>
      </c>
      <c r="E35" s="70">
        <v>1.4566642388899999E-4</v>
      </c>
    </row>
    <row r="36" spans="2:5" ht="15" customHeight="1">
      <c r="B36" s="108"/>
      <c r="C36" s="71" t="s">
        <v>28</v>
      </c>
      <c r="D36" s="72">
        <v>1</v>
      </c>
      <c r="E36" s="73">
        <v>1.4566642388899999E-4</v>
      </c>
    </row>
    <row r="37" spans="2:5" ht="15" customHeight="1">
      <c r="B37" s="106" t="s">
        <v>109</v>
      </c>
      <c r="C37" s="68" t="s">
        <v>144</v>
      </c>
      <c r="D37" s="69">
        <v>38</v>
      </c>
      <c r="E37" s="70">
        <v>5.5353241077929997E-3</v>
      </c>
    </row>
    <row r="38" spans="2:5" ht="15" customHeight="1">
      <c r="B38" s="107"/>
      <c r="C38" s="68" t="s">
        <v>145</v>
      </c>
      <c r="D38" s="69">
        <v>37</v>
      </c>
      <c r="E38" s="70">
        <v>5.3896576839040002E-3</v>
      </c>
    </row>
    <row r="39" spans="2:5" ht="15" customHeight="1">
      <c r="B39" s="108"/>
      <c r="C39" s="71" t="s">
        <v>28</v>
      </c>
      <c r="D39" s="72">
        <v>75</v>
      </c>
      <c r="E39" s="73">
        <v>1.0924981791697E-2</v>
      </c>
    </row>
    <row r="40" spans="2:5" ht="15" customHeight="1">
      <c r="B40" s="106" t="s">
        <v>110</v>
      </c>
      <c r="C40" s="68" t="s">
        <v>144</v>
      </c>
      <c r="D40" s="69">
        <v>22</v>
      </c>
      <c r="E40" s="70">
        <v>3.2046613255639999E-3</v>
      </c>
    </row>
    <row r="41" spans="2:5" ht="15" customHeight="1">
      <c r="B41" s="107"/>
      <c r="C41" s="68" t="s">
        <v>145</v>
      </c>
      <c r="D41" s="69">
        <v>32</v>
      </c>
      <c r="E41" s="70">
        <v>4.6613255644570003E-3</v>
      </c>
    </row>
    <row r="42" spans="2:5" ht="15" customHeight="1">
      <c r="B42" s="108"/>
      <c r="C42" s="71" t="s">
        <v>28</v>
      </c>
      <c r="D42" s="72">
        <v>54</v>
      </c>
      <c r="E42" s="73">
        <v>7.8659868900220007E-3</v>
      </c>
    </row>
    <row r="43" spans="2:5" ht="15" customHeight="1">
      <c r="B43" s="106" t="s">
        <v>111</v>
      </c>
      <c r="C43" s="68" t="s">
        <v>144</v>
      </c>
      <c r="D43" s="69">
        <v>1</v>
      </c>
      <c r="E43" s="70">
        <v>1.4566642388899999E-4</v>
      </c>
    </row>
    <row r="44" spans="2:5" ht="15" customHeight="1">
      <c r="B44" s="107"/>
      <c r="C44" s="68" t="s">
        <v>145</v>
      </c>
      <c r="D44" s="69">
        <v>2</v>
      </c>
      <c r="E44" s="70">
        <v>2.9133284777899999E-4</v>
      </c>
    </row>
    <row r="45" spans="2:5" ht="15" customHeight="1">
      <c r="B45" s="108"/>
      <c r="C45" s="71" t="s">
        <v>28</v>
      </c>
      <c r="D45" s="72">
        <v>3</v>
      </c>
      <c r="E45" s="73">
        <v>4.3699927166799998E-4</v>
      </c>
    </row>
    <row r="46" spans="2:5" ht="15" customHeight="1">
      <c r="B46" s="106" t="s">
        <v>112</v>
      </c>
      <c r="C46" s="68" t="s">
        <v>144</v>
      </c>
      <c r="D46" s="69">
        <v>18</v>
      </c>
      <c r="E46" s="70">
        <v>2.6219956300069999E-3</v>
      </c>
    </row>
    <row r="47" spans="2:5" ht="15" customHeight="1">
      <c r="B47" s="107"/>
      <c r="C47" s="68" t="s">
        <v>145</v>
      </c>
      <c r="D47" s="69">
        <v>24</v>
      </c>
      <c r="E47" s="70">
        <v>3.4959941733430002E-3</v>
      </c>
    </row>
    <row r="48" spans="2:5" ht="15" customHeight="1">
      <c r="B48" s="108"/>
      <c r="C48" s="71" t="s">
        <v>28</v>
      </c>
      <c r="D48" s="72">
        <v>42</v>
      </c>
      <c r="E48" s="73">
        <v>6.1179898033500001E-3</v>
      </c>
    </row>
    <row r="49" spans="2:5" ht="15" customHeight="1">
      <c r="B49" s="106" t="s">
        <v>113</v>
      </c>
      <c r="C49" s="68" t="s">
        <v>144</v>
      </c>
      <c r="D49" s="69">
        <v>82</v>
      </c>
      <c r="E49" s="70">
        <v>1.1944646758922E-2</v>
      </c>
    </row>
    <row r="50" spans="2:5" ht="15" customHeight="1">
      <c r="B50" s="107"/>
      <c r="C50" s="68" t="s">
        <v>145</v>
      </c>
      <c r="D50" s="69">
        <v>93</v>
      </c>
      <c r="E50" s="70">
        <v>1.3546977421704E-2</v>
      </c>
    </row>
    <row r="51" spans="2:5" ht="15" customHeight="1">
      <c r="B51" s="108"/>
      <c r="C51" s="71" t="s">
        <v>28</v>
      </c>
      <c r="D51" s="72">
        <v>175</v>
      </c>
      <c r="E51" s="73">
        <v>2.5491624180626001E-2</v>
      </c>
    </row>
    <row r="52" spans="2:5" ht="15" customHeight="1">
      <c r="B52" s="106" t="s">
        <v>114</v>
      </c>
      <c r="C52" s="68" t="s">
        <v>144</v>
      </c>
      <c r="D52" s="69">
        <v>33</v>
      </c>
      <c r="E52" s="70">
        <v>4.8069919883469998E-3</v>
      </c>
    </row>
    <row r="53" spans="2:5" ht="15" customHeight="1">
      <c r="B53" s="107"/>
      <c r="C53" s="68" t="s">
        <v>145</v>
      </c>
      <c r="D53" s="69">
        <v>25</v>
      </c>
      <c r="E53" s="70">
        <v>3.6416605972320001E-3</v>
      </c>
    </row>
    <row r="54" spans="2:5" ht="15" customHeight="1">
      <c r="B54" s="108"/>
      <c r="C54" s="71" t="s">
        <v>28</v>
      </c>
      <c r="D54" s="72">
        <v>58</v>
      </c>
      <c r="E54" s="73">
        <v>8.4486525855789994E-3</v>
      </c>
    </row>
    <row r="55" spans="2:5" ht="15" customHeight="1">
      <c r="B55" s="106" t="s">
        <v>115</v>
      </c>
      <c r="C55" s="68" t="s">
        <v>144</v>
      </c>
      <c r="D55" s="69">
        <v>8</v>
      </c>
      <c r="E55" s="70">
        <v>1.165331391114E-3</v>
      </c>
    </row>
    <row r="56" spans="2:5" ht="15" customHeight="1">
      <c r="B56" s="107"/>
      <c r="C56" s="68" t="s">
        <v>145</v>
      </c>
      <c r="D56" s="69">
        <v>8</v>
      </c>
      <c r="E56" s="70">
        <v>1.165331391114E-3</v>
      </c>
    </row>
    <row r="57" spans="2:5" ht="15" customHeight="1">
      <c r="B57" s="108"/>
      <c r="C57" s="71" t="s">
        <v>28</v>
      </c>
      <c r="D57" s="72">
        <v>16</v>
      </c>
      <c r="E57" s="73">
        <v>2.3306627822290002E-3</v>
      </c>
    </row>
    <row r="58" spans="2:5" ht="15" customHeight="1">
      <c r="B58" s="106" t="s">
        <v>116</v>
      </c>
      <c r="C58" s="68" t="s">
        <v>144</v>
      </c>
      <c r="D58" s="69">
        <v>24</v>
      </c>
      <c r="E58" s="70">
        <v>3.4959941733430002E-3</v>
      </c>
    </row>
    <row r="59" spans="2:5" ht="15" customHeight="1">
      <c r="B59" s="107"/>
      <c r="C59" s="68" t="s">
        <v>145</v>
      </c>
      <c r="D59" s="69">
        <v>29</v>
      </c>
      <c r="E59" s="70">
        <v>4.2243262927900002E-3</v>
      </c>
    </row>
    <row r="60" spans="2:5" ht="15" customHeight="1">
      <c r="B60" s="108"/>
      <c r="C60" s="71" t="s">
        <v>28</v>
      </c>
      <c r="D60" s="72">
        <v>53</v>
      </c>
      <c r="E60" s="73">
        <v>7.7203204661330004E-3</v>
      </c>
    </row>
    <row r="61" spans="2:5" ht="15" customHeight="1">
      <c r="B61" s="106" t="s">
        <v>117</v>
      </c>
      <c r="C61" s="68" t="s">
        <v>144</v>
      </c>
      <c r="D61" s="69">
        <v>6</v>
      </c>
      <c r="E61" s="70">
        <v>8.7399854333599996E-4</v>
      </c>
    </row>
    <row r="62" spans="2:5" ht="15" customHeight="1">
      <c r="B62" s="107"/>
      <c r="C62" s="68" t="s">
        <v>145</v>
      </c>
      <c r="D62" s="69">
        <v>9</v>
      </c>
      <c r="E62" s="70">
        <v>1.310997815004E-3</v>
      </c>
    </row>
    <row r="63" spans="2:5" ht="15" customHeight="1">
      <c r="B63" s="108"/>
      <c r="C63" s="71" t="s">
        <v>28</v>
      </c>
      <c r="D63" s="72">
        <v>15</v>
      </c>
      <c r="E63" s="73">
        <v>2.1849963583390002E-3</v>
      </c>
    </row>
    <row r="64" spans="2:5" ht="15" customHeight="1">
      <c r="B64" s="106" t="s">
        <v>118</v>
      </c>
      <c r="C64" s="68" t="s">
        <v>144</v>
      </c>
      <c r="D64" s="69">
        <v>2</v>
      </c>
      <c r="E64" s="70">
        <v>2.9133284777899999E-4</v>
      </c>
    </row>
    <row r="65" spans="2:5" ht="15" customHeight="1">
      <c r="B65" s="107"/>
      <c r="C65" s="68" t="s">
        <v>145</v>
      </c>
      <c r="D65" s="69">
        <v>3</v>
      </c>
      <c r="E65" s="70">
        <v>4.3699927166799998E-4</v>
      </c>
    </row>
    <row r="66" spans="2:5" ht="15" customHeight="1">
      <c r="B66" s="108"/>
      <c r="C66" s="71" t="s">
        <v>28</v>
      </c>
      <c r="D66" s="72">
        <v>5</v>
      </c>
      <c r="E66" s="73">
        <v>7.2833211944600001E-4</v>
      </c>
    </row>
    <row r="67" spans="2:5" ht="15" customHeight="1">
      <c r="B67" s="106" t="s">
        <v>119</v>
      </c>
      <c r="C67" s="68" t="s">
        <v>144</v>
      </c>
      <c r="D67" s="69">
        <v>1</v>
      </c>
      <c r="E67" s="70">
        <v>1.4566642388899999E-4</v>
      </c>
    </row>
    <row r="68" spans="2:5" ht="15" customHeight="1">
      <c r="B68" s="107"/>
      <c r="C68" s="68" t="s">
        <v>145</v>
      </c>
      <c r="D68" s="69">
        <v>3</v>
      </c>
      <c r="E68" s="70">
        <v>4.3699927166799998E-4</v>
      </c>
    </row>
    <row r="69" spans="2:5" ht="15" customHeight="1">
      <c r="B69" s="108"/>
      <c r="C69" s="71" t="s">
        <v>28</v>
      </c>
      <c r="D69" s="72">
        <v>4</v>
      </c>
      <c r="E69" s="73">
        <v>5.8266569555700002E-4</v>
      </c>
    </row>
    <row r="70" spans="2:5" ht="15" customHeight="1">
      <c r="B70" s="106" t="s">
        <v>120</v>
      </c>
      <c r="C70" s="68" t="s">
        <v>144</v>
      </c>
      <c r="D70" s="69">
        <v>1</v>
      </c>
      <c r="E70" s="70">
        <v>1.4566642388899999E-4</v>
      </c>
    </row>
    <row r="71" spans="2:5" ht="15" customHeight="1">
      <c r="B71" s="107"/>
      <c r="C71" s="68" t="s">
        <v>145</v>
      </c>
      <c r="D71" s="69">
        <v>1</v>
      </c>
      <c r="E71" s="70">
        <v>1.4566642388899999E-4</v>
      </c>
    </row>
    <row r="72" spans="2:5" ht="15" customHeight="1">
      <c r="B72" s="108"/>
      <c r="C72" s="71" t="s">
        <v>28</v>
      </c>
      <c r="D72" s="72">
        <v>2</v>
      </c>
      <c r="E72" s="73">
        <v>2.9133284777899999E-4</v>
      </c>
    </row>
    <row r="73" spans="2:5" ht="15" customHeight="1">
      <c r="B73" s="106" t="s">
        <v>121</v>
      </c>
      <c r="C73" s="68" t="s">
        <v>144</v>
      </c>
      <c r="D73" s="69">
        <v>3</v>
      </c>
      <c r="E73" s="70">
        <v>4.3699927166799998E-4</v>
      </c>
    </row>
    <row r="74" spans="2:5" ht="15" customHeight="1">
      <c r="B74" s="107"/>
      <c r="C74" s="68" t="s">
        <v>145</v>
      </c>
      <c r="D74" s="69">
        <v>12</v>
      </c>
      <c r="E74" s="70">
        <v>1.7479970866719999E-3</v>
      </c>
    </row>
    <row r="75" spans="2:5" ht="15" customHeight="1">
      <c r="B75" s="108"/>
      <c r="C75" s="71" t="s">
        <v>28</v>
      </c>
      <c r="D75" s="72">
        <v>15</v>
      </c>
      <c r="E75" s="73">
        <v>2.1849963583390002E-3</v>
      </c>
    </row>
    <row r="76" spans="2:5" ht="15" customHeight="1">
      <c r="B76" s="106" t="s">
        <v>122</v>
      </c>
      <c r="C76" s="68" t="s">
        <v>144</v>
      </c>
      <c r="D76" s="69">
        <v>17</v>
      </c>
      <c r="E76" s="70">
        <v>2.476329206118E-3</v>
      </c>
    </row>
    <row r="77" spans="2:5" ht="15" customHeight="1">
      <c r="B77" s="107"/>
      <c r="C77" s="68" t="s">
        <v>145</v>
      </c>
      <c r="D77" s="69">
        <v>21</v>
      </c>
      <c r="E77" s="70">
        <v>3.0589949016750001E-3</v>
      </c>
    </row>
    <row r="78" spans="2:5" ht="15" customHeight="1">
      <c r="B78" s="108"/>
      <c r="C78" s="71" t="s">
        <v>28</v>
      </c>
      <c r="D78" s="72">
        <v>38</v>
      </c>
      <c r="E78" s="73">
        <v>5.5353241077929997E-3</v>
      </c>
    </row>
    <row r="79" spans="2:5" ht="15" customHeight="1">
      <c r="B79" s="106" t="s">
        <v>123</v>
      </c>
      <c r="C79" s="68" t="s">
        <v>144</v>
      </c>
      <c r="D79" s="69">
        <v>3</v>
      </c>
      <c r="E79" s="70">
        <v>4.3699927166799998E-4</v>
      </c>
    </row>
    <row r="80" spans="2:5" ht="15" customHeight="1">
      <c r="B80" s="107"/>
      <c r="C80" s="68" t="s">
        <v>145</v>
      </c>
      <c r="D80" s="69">
        <v>5</v>
      </c>
      <c r="E80" s="70">
        <v>7.2833211944600001E-4</v>
      </c>
    </row>
    <row r="81" spans="2:5" ht="15" customHeight="1">
      <c r="B81" s="108"/>
      <c r="C81" s="71" t="s">
        <v>28</v>
      </c>
      <c r="D81" s="72">
        <v>8</v>
      </c>
      <c r="E81" s="73">
        <v>1.165331391114E-3</v>
      </c>
    </row>
    <row r="82" spans="2:5" ht="15" customHeight="1">
      <c r="B82" s="106" t="s">
        <v>124</v>
      </c>
      <c r="C82" s="68" t="s">
        <v>144</v>
      </c>
      <c r="D82" s="69">
        <v>13</v>
      </c>
      <c r="E82" s="70">
        <v>1.893663510561E-3</v>
      </c>
    </row>
    <row r="83" spans="2:5" ht="15" customHeight="1">
      <c r="B83" s="107"/>
      <c r="C83" s="68" t="s">
        <v>145</v>
      </c>
      <c r="D83" s="69">
        <v>10</v>
      </c>
      <c r="E83" s="70">
        <v>1.4566642388930001E-3</v>
      </c>
    </row>
    <row r="84" spans="2:5" ht="15" customHeight="1">
      <c r="B84" s="108"/>
      <c r="C84" s="71" t="s">
        <v>28</v>
      </c>
      <c r="D84" s="72">
        <v>23</v>
      </c>
      <c r="E84" s="73">
        <v>3.3503277494539999E-3</v>
      </c>
    </row>
    <row r="85" spans="2:5" ht="15" customHeight="1">
      <c r="B85" s="106" t="s">
        <v>125</v>
      </c>
      <c r="C85" s="68" t="s">
        <v>144</v>
      </c>
      <c r="D85" s="69">
        <v>5</v>
      </c>
      <c r="E85" s="70">
        <v>7.2833211944600001E-4</v>
      </c>
    </row>
    <row r="86" spans="2:5" ht="15" customHeight="1">
      <c r="B86" s="107"/>
      <c r="C86" s="68" t="s">
        <v>145</v>
      </c>
      <c r="D86" s="69">
        <v>9</v>
      </c>
      <c r="E86" s="70">
        <v>1.310997815004E-3</v>
      </c>
    </row>
    <row r="87" spans="2:5" ht="15" customHeight="1">
      <c r="B87" s="108"/>
      <c r="C87" s="71" t="s">
        <v>28</v>
      </c>
      <c r="D87" s="72">
        <v>14</v>
      </c>
      <c r="E87" s="73">
        <v>2.0393299344499999E-3</v>
      </c>
    </row>
    <row r="88" spans="2:5" ht="15" customHeight="1">
      <c r="B88" s="106" t="s">
        <v>126</v>
      </c>
      <c r="C88" s="68" t="s">
        <v>144</v>
      </c>
      <c r="D88" s="69">
        <v>196</v>
      </c>
      <c r="E88" s="70">
        <v>2.8550619082302001E-2</v>
      </c>
    </row>
    <row r="89" spans="2:5" ht="15" customHeight="1">
      <c r="B89" s="107"/>
      <c r="C89" s="68" t="s">
        <v>145</v>
      </c>
      <c r="D89" s="69">
        <v>207</v>
      </c>
      <c r="E89" s="70">
        <v>3.0152949745084E-2</v>
      </c>
    </row>
    <row r="90" spans="2:5" ht="15" customHeight="1">
      <c r="B90" s="108"/>
      <c r="C90" s="71" t="s">
        <v>28</v>
      </c>
      <c r="D90" s="72">
        <v>403</v>
      </c>
      <c r="E90" s="73">
        <v>5.8703568827384998E-2</v>
      </c>
    </row>
    <row r="91" spans="2:5" ht="15" customHeight="1">
      <c r="B91" s="106" t="s">
        <v>127</v>
      </c>
      <c r="C91" s="68" t="s">
        <v>144</v>
      </c>
      <c r="D91" s="69">
        <v>10</v>
      </c>
      <c r="E91" s="70">
        <v>1.4566642388930001E-3</v>
      </c>
    </row>
    <row r="92" spans="2:5" ht="15" customHeight="1">
      <c r="B92" s="107"/>
      <c r="C92" s="68" t="s">
        <v>145</v>
      </c>
      <c r="D92" s="69">
        <v>9</v>
      </c>
      <c r="E92" s="70">
        <v>1.310997815004E-3</v>
      </c>
    </row>
    <row r="93" spans="2:5" ht="15" customHeight="1">
      <c r="B93" s="108"/>
      <c r="C93" s="71" t="s">
        <v>28</v>
      </c>
      <c r="D93" s="72">
        <v>19</v>
      </c>
      <c r="E93" s="73">
        <v>2.7676620538969999E-3</v>
      </c>
    </row>
    <row r="94" spans="2:5" ht="15" customHeight="1">
      <c r="B94" s="106" t="s">
        <v>128</v>
      </c>
      <c r="C94" s="68" t="s">
        <v>144</v>
      </c>
      <c r="D94" s="69">
        <v>12</v>
      </c>
      <c r="E94" s="70">
        <v>1.7479970866719999E-3</v>
      </c>
    </row>
    <row r="95" spans="2:5" ht="15" customHeight="1">
      <c r="B95" s="107"/>
      <c r="C95" s="68" t="s">
        <v>145</v>
      </c>
      <c r="D95" s="69">
        <v>15</v>
      </c>
      <c r="E95" s="70">
        <v>2.1849963583390002E-3</v>
      </c>
    </row>
    <row r="96" spans="2:5" ht="15" customHeight="1">
      <c r="B96" s="108"/>
      <c r="C96" s="71" t="s">
        <v>28</v>
      </c>
      <c r="D96" s="72">
        <v>27</v>
      </c>
      <c r="E96" s="73">
        <v>3.9329934450110004E-3</v>
      </c>
    </row>
    <row r="97" spans="2:5" ht="15" customHeight="1">
      <c r="B97" s="106" t="s">
        <v>129</v>
      </c>
      <c r="C97" s="68" t="s">
        <v>144</v>
      </c>
      <c r="D97" s="69">
        <v>12</v>
      </c>
      <c r="E97" s="70">
        <v>1.7479970866719999E-3</v>
      </c>
    </row>
    <row r="98" spans="2:5" ht="15" customHeight="1">
      <c r="B98" s="107"/>
      <c r="C98" s="68" t="s">
        <v>145</v>
      </c>
      <c r="D98" s="69">
        <v>19</v>
      </c>
      <c r="E98" s="70">
        <v>2.7676620538969999E-3</v>
      </c>
    </row>
    <row r="99" spans="2:5" ht="15" customHeight="1">
      <c r="B99" s="108"/>
      <c r="C99" s="71" t="s">
        <v>28</v>
      </c>
      <c r="D99" s="72">
        <v>31</v>
      </c>
      <c r="E99" s="73">
        <v>4.5156591405679999E-3</v>
      </c>
    </row>
    <row r="100" spans="2:5" ht="15" customHeight="1">
      <c r="B100" s="106" t="s">
        <v>130</v>
      </c>
      <c r="C100" s="68" t="s">
        <v>144</v>
      </c>
      <c r="D100" s="69">
        <v>30</v>
      </c>
      <c r="E100" s="70">
        <v>4.3699927166789996E-3</v>
      </c>
    </row>
    <row r="101" spans="2:5" ht="15" customHeight="1">
      <c r="B101" s="107"/>
      <c r="C101" s="68" t="s">
        <v>145</v>
      </c>
      <c r="D101" s="69">
        <v>26</v>
      </c>
      <c r="E101" s="70">
        <v>3.787327021122E-3</v>
      </c>
    </row>
    <row r="102" spans="2:5" ht="15" customHeight="1">
      <c r="B102" s="108"/>
      <c r="C102" s="71" t="s">
        <v>28</v>
      </c>
      <c r="D102" s="72">
        <v>56</v>
      </c>
      <c r="E102" s="73">
        <v>8.1573197377999996E-3</v>
      </c>
    </row>
    <row r="103" spans="2:5" ht="15" customHeight="1">
      <c r="B103" s="106" t="s">
        <v>131</v>
      </c>
      <c r="C103" s="68" t="s">
        <v>144</v>
      </c>
      <c r="D103" s="69">
        <v>1</v>
      </c>
      <c r="E103" s="70">
        <v>1.4566642388899999E-4</v>
      </c>
    </row>
    <row r="104" spans="2:5" ht="15" customHeight="1">
      <c r="B104" s="107"/>
      <c r="C104" s="68" t="s">
        <v>145</v>
      </c>
      <c r="D104" s="69">
        <v>1</v>
      </c>
      <c r="E104" s="70">
        <v>1.4566642388899999E-4</v>
      </c>
    </row>
    <row r="105" spans="2:5" ht="15" customHeight="1">
      <c r="B105" s="108"/>
      <c r="C105" s="71" t="s">
        <v>28</v>
      </c>
      <c r="D105" s="72">
        <v>2</v>
      </c>
      <c r="E105" s="73">
        <v>2.9133284777899999E-4</v>
      </c>
    </row>
    <row r="106" spans="2:5" ht="15" customHeight="1">
      <c r="B106" s="106" t="s">
        <v>132</v>
      </c>
      <c r="C106" s="68" t="s">
        <v>144</v>
      </c>
      <c r="D106" s="69">
        <v>6</v>
      </c>
      <c r="E106" s="70">
        <v>8.7399854333599996E-4</v>
      </c>
    </row>
    <row r="107" spans="2:5" ht="15" customHeight="1">
      <c r="B107" s="107"/>
      <c r="C107" s="68" t="s">
        <v>145</v>
      </c>
      <c r="D107" s="69">
        <v>8</v>
      </c>
      <c r="E107" s="70">
        <v>1.165331391114E-3</v>
      </c>
    </row>
    <row r="108" spans="2:5" ht="15" customHeight="1">
      <c r="B108" s="108"/>
      <c r="C108" s="71" t="s">
        <v>28</v>
      </c>
      <c r="D108" s="72">
        <v>14</v>
      </c>
      <c r="E108" s="73">
        <v>2.0393299344499999E-3</v>
      </c>
    </row>
    <row r="109" spans="2:5" ht="15" customHeight="1">
      <c r="B109" s="106" t="s">
        <v>133</v>
      </c>
      <c r="C109" s="68" t="s">
        <v>144</v>
      </c>
      <c r="D109" s="69">
        <v>34</v>
      </c>
      <c r="E109" s="70">
        <v>4.9526584122360001E-3</v>
      </c>
    </row>
    <row r="110" spans="2:5" ht="15" customHeight="1">
      <c r="B110" s="107"/>
      <c r="C110" s="68" t="s">
        <v>145</v>
      </c>
      <c r="D110" s="69">
        <v>36</v>
      </c>
      <c r="E110" s="70">
        <v>5.2439912600149999E-3</v>
      </c>
    </row>
    <row r="111" spans="2:5" ht="15" customHeight="1">
      <c r="B111" s="108"/>
      <c r="C111" s="71" t="s">
        <v>28</v>
      </c>
      <c r="D111" s="72">
        <v>70</v>
      </c>
      <c r="E111" s="73">
        <v>1.0196649672251E-2</v>
      </c>
    </row>
    <row r="112" spans="2:5" ht="15" customHeight="1">
      <c r="B112" s="106" t="s">
        <v>134</v>
      </c>
      <c r="C112" s="68" t="s">
        <v>144</v>
      </c>
      <c r="D112" s="69">
        <v>16</v>
      </c>
      <c r="E112" s="70">
        <v>2.3306627822290002E-3</v>
      </c>
    </row>
    <row r="113" spans="2:5" ht="15" customHeight="1">
      <c r="B113" s="107"/>
      <c r="C113" s="68" t="s">
        <v>145</v>
      </c>
      <c r="D113" s="69">
        <v>31</v>
      </c>
      <c r="E113" s="70">
        <v>4.5156591405679999E-3</v>
      </c>
    </row>
    <row r="114" spans="2:5" ht="15" customHeight="1">
      <c r="B114" s="108"/>
      <c r="C114" s="71" t="s">
        <v>28</v>
      </c>
      <c r="D114" s="72">
        <v>47</v>
      </c>
      <c r="E114" s="73">
        <v>6.8463219227970001E-3</v>
      </c>
    </row>
    <row r="115" spans="2:5" ht="15" customHeight="1">
      <c r="B115" s="106" t="s">
        <v>135</v>
      </c>
      <c r="C115" s="68" t="s">
        <v>144</v>
      </c>
      <c r="D115" s="69">
        <v>7</v>
      </c>
      <c r="E115" s="70">
        <v>1.0196649672249999E-3</v>
      </c>
    </row>
    <row r="116" spans="2:5" ht="15" customHeight="1">
      <c r="B116" s="107"/>
      <c r="C116" s="68" t="s">
        <v>145</v>
      </c>
      <c r="D116" s="69">
        <v>11</v>
      </c>
      <c r="E116" s="70">
        <v>1.602330662782E-3</v>
      </c>
    </row>
    <row r="117" spans="2:5" ht="15" customHeight="1">
      <c r="B117" s="108"/>
      <c r="C117" s="71" t="s">
        <v>28</v>
      </c>
      <c r="D117" s="72">
        <v>18</v>
      </c>
      <c r="E117" s="73">
        <v>2.6219956300069999E-3</v>
      </c>
    </row>
    <row r="118" spans="2:5" ht="15" customHeight="1">
      <c r="B118" s="106" t="s">
        <v>136</v>
      </c>
      <c r="C118" s="68" t="s">
        <v>144</v>
      </c>
      <c r="D118" s="69">
        <v>9</v>
      </c>
      <c r="E118" s="70">
        <v>1.310997815004E-3</v>
      </c>
    </row>
    <row r="119" spans="2:5" ht="15" customHeight="1">
      <c r="B119" s="107"/>
      <c r="C119" s="68" t="s">
        <v>145</v>
      </c>
      <c r="D119" s="69">
        <v>7</v>
      </c>
      <c r="E119" s="70">
        <v>1.0196649672249999E-3</v>
      </c>
    </row>
    <row r="120" spans="2:5" ht="15" customHeight="1">
      <c r="B120" s="108"/>
      <c r="C120" s="71" t="s">
        <v>28</v>
      </c>
      <c r="D120" s="72">
        <v>16</v>
      </c>
      <c r="E120" s="73">
        <v>2.3306627822290002E-3</v>
      </c>
    </row>
    <row r="121" spans="2:5" ht="15" customHeight="1">
      <c r="B121" s="106" t="s">
        <v>137</v>
      </c>
      <c r="C121" s="68" t="s">
        <v>144</v>
      </c>
      <c r="D121" s="69">
        <v>1</v>
      </c>
      <c r="E121" s="70">
        <v>1.4566642388899999E-4</v>
      </c>
    </row>
    <row r="122" spans="2:5" ht="15" customHeight="1">
      <c r="B122" s="107"/>
      <c r="C122" s="68" t="s">
        <v>145</v>
      </c>
      <c r="D122" s="69">
        <v>3</v>
      </c>
      <c r="E122" s="70">
        <v>4.3699927166799998E-4</v>
      </c>
    </row>
    <row r="123" spans="2:5" ht="15" customHeight="1">
      <c r="B123" s="108"/>
      <c r="C123" s="71" t="s">
        <v>28</v>
      </c>
      <c r="D123" s="72">
        <v>4</v>
      </c>
      <c r="E123" s="73">
        <v>5.8266569555700002E-4</v>
      </c>
    </row>
    <row r="124" spans="2:5" ht="15" customHeight="1">
      <c r="B124" s="106" t="s">
        <v>138</v>
      </c>
      <c r="C124" s="68" t="s">
        <v>144</v>
      </c>
      <c r="D124" s="69">
        <v>15</v>
      </c>
      <c r="E124" s="70">
        <v>2.1849963583390002E-3</v>
      </c>
    </row>
    <row r="125" spans="2:5" ht="15" customHeight="1">
      <c r="B125" s="107"/>
      <c r="C125" s="68" t="s">
        <v>145</v>
      </c>
      <c r="D125" s="69">
        <v>20</v>
      </c>
      <c r="E125" s="70">
        <v>2.9133284777860002E-3</v>
      </c>
    </row>
    <row r="126" spans="2:5" ht="15" customHeight="1">
      <c r="B126" s="108"/>
      <c r="C126" s="71" t="s">
        <v>28</v>
      </c>
      <c r="D126" s="72">
        <v>35</v>
      </c>
      <c r="E126" s="73">
        <v>5.0983248361250004E-3</v>
      </c>
    </row>
    <row r="127" spans="2:5" ht="15" customHeight="1">
      <c r="B127" s="106" t="s">
        <v>139</v>
      </c>
      <c r="C127" s="68" t="s">
        <v>144</v>
      </c>
      <c r="D127" s="69">
        <v>179</v>
      </c>
      <c r="E127" s="70">
        <v>2.6074289876184001E-2</v>
      </c>
    </row>
    <row r="128" spans="2:5" ht="15" customHeight="1">
      <c r="B128" s="107"/>
      <c r="C128" s="68" t="s">
        <v>145</v>
      </c>
      <c r="D128" s="69">
        <v>190</v>
      </c>
      <c r="E128" s="70">
        <v>2.7676620538965999E-2</v>
      </c>
    </row>
    <row r="129" spans="2:5" ht="15" customHeight="1">
      <c r="B129" s="108"/>
      <c r="C129" s="71" t="s">
        <v>28</v>
      </c>
      <c r="D129" s="72">
        <v>369</v>
      </c>
      <c r="E129" s="73">
        <v>5.3750910415148997E-2</v>
      </c>
    </row>
    <row r="130" spans="2:5" ht="15" customHeight="1">
      <c r="B130" s="106" t="s">
        <v>140</v>
      </c>
      <c r="C130" s="68" t="s">
        <v>144</v>
      </c>
      <c r="D130" s="69">
        <v>53</v>
      </c>
      <c r="E130" s="70">
        <v>7.7203204661330004E-3</v>
      </c>
    </row>
    <row r="131" spans="2:5" ht="15" customHeight="1">
      <c r="B131" s="107"/>
      <c r="C131" s="68" t="s">
        <v>145</v>
      </c>
      <c r="D131" s="69">
        <v>33</v>
      </c>
      <c r="E131" s="70">
        <v>4.8069919883469998E-3</v>
      </c>
    </row>
    <row r="132" spans="2:5" ht="15" customHeight="1">
      <c r="B132" s="108"/>
      <c r="C132" s="71" t="s">
        <v>28</v>
      </c>
      <c r="D132" s="72">
        <v>86</v>
      </c>
      <c r="E132" s="73">
        <v>1.2527312454479E-2</v>
      </c>
    </row>
    <row r="133" spans="2:5" ht="15" customHeight="1">
      <c r="B133" s="106" t="s">
        <v>141</v>
      </c>
      <c r="C133" s="68" t="s">
        <v>144</v>
      </c>
      <c r="D133" s="69">
        <v>6</v>
      </c>
      <c r="E133" s="70">
        <v>8.7399854333599996E-4</v>
      </c>
    </row>
    <row r="134" spans="2:5" ht="15" customHeight="1">
      <c r="B134" s="107"/>
      <c r="C134" s="68" t="s">
        <v>145</v>
      </c>
      <c r="D134" s="69">
        <v>5</v>
      </c>
      <c r="E134" s="70">
        <v>7.2833211944600001E-4</v>
      </c>
    </row>
    <row r="135" spans="2:5" ht="15" customHeight="1">
      <c r="B135" s="108"/>
      <c r="C135" s="71" t="s">
        <v>28</v>
      </c>
      <c r="D135" s="72">
        <v>11</v>
      </c>
      <c r="E135" s="73">
        <v>1.602330662782E-3</v>
      </c>
    </row>
    <row r="136" spans="2:5" ht="15" customHeight="1">
      <c r="B136" s="106" t="s">
        <v>91</v>
      </c>
      <c r="C136" s="68" t="s">
        <v>144</v>
      </c>
      <c r="D136" s="69">
        <v>19</v>
      </c>
      <c r="E136" s="70">
        <v>2.7676620538969999E-3</v>
      </c>
    </row>
    <row r="137" spans="2:5" ht="15" customHeight="1">
      <c r="B137" s="107"/>
      <c r="C137" s="68" t="s">
        <v>145</v>
      </c>
      <c r="D137" s="69">
        <v>31</v>
      </c>
      <c r="E137" s="70">
        <v>4.5156591405679999E-3</v>
      </c>
    </row>
    <row r="138" spans="2:5" ht="15" customHeight="1">
      <c r="B138" s="108"/>
      <c r="C138" s="71" t="s">
        <v>28</v>
      </c>
      <c r="D138" s="72">
        <v>50</v>
      </c>
      <c r="E138" s="73">
        <v>7.2833211944650002E-3</v>
      </c>
    </row>
    <row r="139" spans="2:5" ht="15" customHeight="1">
      <c r="B139" s="106" t="s">
        <v>142</v>
      </c>
      <c r="C139" s="68" t="s">
        <v>144</v>
      </c>
      <c r="D139" s="69">
        <v>24</v>
      </c>
      <c r="E139" s="70">
        <v>3.4959941733430002E-3</v>
      </c>
    </row>
    <row r="140" spans="2:5" ht="15" customHeight="1">
      <c r="B140" s="107"/>
      <c r="C140" s="68" t="s">
        <v>145</v>
      </c>
      <c r="D140" s="69">
        <v>18</v>
      </c>
      <c r="E140" s="70">
        <v>2.6219956300069999E-3</v>
      </c>
    </row>
    <row r="141" spans="2:5" ht="15" customHeight="1">
      <c r="B141" s="108"/>
      <c r="C141" s="71" t="s">
        <v>28</v>
      </c>
      <c r="D141" s="72">
        <v>42</v>
      </c>
      <c r="E141" s="73">
        <v>6.1179898033500001E-3</v>
      </c>
    </row>
    <row r="142" spans="2:5" ht="15" customHeight="1">
      <c r="B142" s="106" t="s">
        <v>143</v>
      </c>
      <c r="C142" s="65" t="s">
        <v>144</v>
      </c>
      <c r="D142" s="22">
        <v>2</v>
      </c>
      <c r="E142" s="21">
        <v>2.9133284777899999E-4</v>
      </c>
    </row>
    <row r="143" spans="2:5" ht="15" customHeight="1">
      <c r="B143" s="107"/>
      <c r="C143" s="65" t="s">
        <v>145</v>
      </c>
      <c r="D143" s="22">
        <v>3</v>
      </c>
      <c r="E143" s="21">
        <v>4.3699927166799998E-4</v>
      </c>
    </row>
    <row r="144" spans="2:5" ht="15" customHeight="1">
      <c r="B144" s="108"/>
      <c r="C144" s="71" t="s">
        <v>28</v>
      </c>
      <c r="D144" s="72">
        <v>5</v>
      </c>
      <c r="E144" s="73">
        <v>7.2833211944600001E-4</v>
      </c>
    </row>
    <row r="145" spans="2:5" ht="15" customHeight="1">
      <c r="B145" s="109" t="s">
        <v>28</v>
      </c>
      <c r="C145" s="110"/>
      <c r="D145" s="66">
        <v>6865</v>
      </c>
      <c r="E145" s="67">
        <v>1</v>
      </c>
    </row>
    <row r="146" spans="2:5" ht="14.45" customHeight="1"/>
    <row r="147" spans="2:5" ht="14.45" customHeight="1">
      <c r="B147" s="15" t="s">
        <v>47</v>
      </c>
    </row>
    <row r="148" spans="2:5" ht="14.45" customHeight="1">
      <c r="B148" s="17" t="s">
        <v>17</v>
      </c>
    </row>
    <row r="149" spans="2:5" ht="14.45" customHeight="1">
      <c r="B149" s="16" t="s">
        <v>48</v>
      </c>
    </row>
    <row r="150" spans="2:5" ht="14.45" customHeight="1">
      <c r="B150" s="15" t="s">
        <v>16</v>
      </c>
    </row>
    <row r="151" spans="2:5" ht="14.45" customHeight="1">
      <c r="B151" s="15" t="s">
        <v>49</v>
      </c>
    </row>
  </sheetData>
  <mergeCells count="47">
    <mergeCell ref="B82:B84"/>
    <mergeCell ref="B85:B87"/>
    <mergeCell ref="B88:B90"/>
    <mergeCell ref="B91:B93"/>
    <mergeCell ref="B8:E10"/>
    <mergeCell ref="B13:B15"/>
    <mergeCell ref="B28:B30"/>
    <mergeCell ref="B37:B39"/>
    <mergeCell ref="B40:B42"/>
    <mergeCell ref="B67:B69"/>
    <mergeCell ref="B70:B72"/>
    <mergeCell ref="B73:B75"/>
    <mergeCell ref="B76:B78"/>
    <mergeCell ref="B79:B81"/>
    <mergeCell ref="B52:B54"/>
    <mergeCell ref="B55:B57"/>
    <mergeCell ref="B58:B60"/>
    <mergeCell ref="B61:B63"/>
    <mergeCell ref="B64:B66"/>
    <mergeCell ref="B16:B17"/>
    <mergeCell ref="B18:B20"/>
    <mergeCell ref="B21:B23"/>
    <mergeCell ref="B24:B27"/>
    <mergeCell ref="B31:B32"/>
    <mergeCell ref="B33:B34"/>
    <mergeCell ref="B35:B36"/>
    <mergeCell ref="B43:B45"/>
    <mergeCell ref="B46:B48"/>
    <mergeCell ref="B49:B51"/>
    <mergeCell ref="B94:B96"/>
    <mergeCell ref="B97:B99"/>
    <mergeCell ref="B100:B102"/>
    <mergeCell ref="B103:B105"/>
    <mergeCell ref="B118:B120"/>
    <mergeCell ref="B109:B111"/>
    <mergeCell ref="B112:B114"/>
    <mergeCell ref="B115:B117"/>
    <mergeCell ref="B106:B108"/>
    <mergeCell ref="B136:B138"/>
    <mergeCell ref="B139:B141"/>
    <mergeCell ref="B145:C145"/>
    <mergeCell ref="B121:B123"/>
    <mergeCell ref="B124:B126"/>
    <mergeCell ref="B127:B129"/>
    <mergeCell ref="B130:B132"/>
    <mergeCell ref="B133:B135"/>
    <mergeCell ref="B142:B144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B1:H38"/>
  <sheetViews>
    <sheetView showGridLines="0" view="pageBreakPreview" topLeftCell="A13" zoomScaleNormal="95" zoomScaleSheetLayoutView="100" workbookViewId="0">
      <selection activeCell="A32" sqref="A14:XFD32"/>
    </sheetView>
  </sheetViews>
  <sheetFormatPr baseColWidth="10" defaultColWidth="11.42578125" defaultRowHeight="11.25"/>
  <cols>
    <col min="1" max="1" width="5.7109375" style="25" customWidth="1"/>
    <col min="2" max="2" width="19" style="44" customWidth="1"/>
    <col min="3" max="3" width="29.5703125" style="44" customWidth="1"/>
    <col min="4" max="4" width="17.140625" style="47" customWidth="1"/>
    <col min="5" max="5" width="16.5703125" style="47" customWidth="1"/>
    <col min="6" max="6" width="16.5703125" style="44" customWidth="1"/>
    <col min="7" max="7" width="5.5703125" style="25" customWidth="1"/>
    <col min="8" max="8" width="11.42578125" style="25" hidden="1" customWidth="1"/>
    <col min="9" max="16384" width="11.42578125" style="25"/>
  </cols>
  <sheetData>
    <row r="1" spans="2:7" s="13" customFormat="1" ht="15">
      <c r="B1" s="44"/>
      <c r="C1" s="44"/>
    </row>
    <row r="2" spans="2:7" s="44" customFormat="1">
      <c r="B2" s="54"/>
    </row>
    <row r="3" spans="2:7" ht="15" customHeight="1">
      <c r="B3" s="55"/>
      <c r="C3" s="31"/>
      <c r="D3" s="25"/>
      <c r="E3" s="25"/>
      <c r="G3" s="44"/>
    </row>
    <row r="4" spans="2:7" ht="30" customHeight="1">
      <c r="B4" s="55"/>
      <c r="C4" s="31"/>
      <c r="D4" s="25"/>
      <c r="E4" s="25"/>
      <c r="G4" s="44"/>
    </row>
    <row r="5" spans="2:7" ht="15" customHeight="1">
      <c r="B5" s="55"/>
      <c r="C5" s="31"/>
      <c r="D5" s="25"/>
      <c r="E5" s="25"/>
      <c r="G5" s="44"/>
    </row>
    <row r="6" spans="2:7" s="44" customFormat="1">
      <c r="B6" s="46"/>
      <c r="C6" s="40"/>
    </row>
    <row r="7" spans="2:7" s="44" customFormat="1">
      <c r="B7" s="54"/>
    </row>
    <row r="8" spans="2:7" s="13" customFormat="1" ht="15" customHeight="1">
      <c r="B8" s="115" t="s">
        <v>238</v>
      </c>
      <c r="C8" s="116"/>
      <c r="D8" s="116"/>
      <c r="E8" s="116"/>
      <c r="F8" s="116"/>
    </row>
    <row r="9" spans="2:7" s="13" customFormat="1" ht="15" customHeight="1">
      <c r="B9" s="116"/>
      <c r="C9" s="116"/>
      <c r="D9" s="116"/>
      <c r="E9" s="116"/>
      <c r="F9" s="116"/>
      <c r="G9" s="53"/>
    </row>
    <row r="10" spans="2:7" s="13" customFormat="1" ht="15" customHeight="1">
      <c r="B10" s="116"/>
      <c r="C10" s="116"/>
      <c r="D10" s="116"/>
      <c r="E10" s="116"/>
      <c r="F10" s="116"/>
      <c r="G10" s="53"/>
    </row>
    <row r="11" spans="2:7" s="13" customFormat="1" ht="15" customHeight="1">
      <c r="B11" s="116"/>
      <c r="C11" s="116"/>
      <c r="D11" s="116"/>
      <c r="E11" s="116"/>
      <c r="F11" s="116"/>
    </row>
    <row r="12" spans="2:7" s="13" customFormat="1" ht="11.45" customHeight="1">
      <c r="B12" s="91"/>
      <c r="C12" s="91"/>
      <c r="D12" s="91"/>
      <c r="E12" s="91"/>
      <c r="F12" s="91"/>
    </row>
    <row r="13" spans="2:7" s="13" customFormat="1" ht="42.6" customHeight="1">
      <c r="B13" s="61" t="s">
        <v>29</v>
      </c>
      <c r="C13" s="61" t="s">
        <v>32</v>
      </c>
      <c r="D13" s="61" t="s">
        <v>19</v>
      </c>
      <c r="E13" s="61" t="s">
        <v>31</v>
      </c>
      <c r="F13" s="61" t="s">
        <v>30</v>
      </c>
    </row>
    <row r="14" spans="2:7" s="13" customFormat="1" ht="15" customHeight="1">
      <c r="B14" s="106" t="s">
        <v>144</v>
      </c>
      <c r="C14" s="68" t="s">
        <v>179</v>
      </c>
      <c r="D14" s="69">
        <v>17</v>
      </c>
      <c r="E14" s="70">
        <v>4.7353760445679998E-3</v>
      </c>
      <c r="F14" s="70">
        <v>2.476329206118E-3</v>
      </c>
    </row>
    <row r="15" spans="2:7" s="13" customFormat="1" ht="15" customHeight="1">
      <c r="B15" s="107"/>
      <c r="C15" s="68" t="s">
        <v>180</v>
      </c>
      <c r="D15" s="69">
        <v>835</v>
      </c>
      <c r="E15" s="70">
        <v>0.23259052924791099</v>
      </c>
      <c r="F15" s="70">
        <v>0.12163146394756</v>
      </c>
    </row>
    <row r="16" spans="2:7" ht="15" customHeight="1">
      <c r="B16" s="107"/>
      <c r="C16" s="68" t="s">
        <v>181</v>
      </c>
      <c r="D16" s="69">
        <v>818</v>
      </c>
      <c r="E16" s="70">
        <v>0.22785515320334301</v>
      </c>
      <c r="F16" s="70">
        <v>0.119155134741442</v>
      </c>
    </row>
    <row r="17" spans="2:6" ht="15" customHeight="1">
      <c r="B17" s="107"/>
      <c r="C17" s="68" t="s">
        <v>182</v>
      </c>
      <c r="D17" s="69">
        <v>926</v>
      </c>
      <c r="E17" s="70">
        <v>0.25793871866295298</v>
      </c>
      <c r="F17" s="70">
        <v>0.134887108521486</v>
      </c>
    </row>
    <row r="18" spans="2:6" ht="15" customHeight="1">
      <c r="B18" s="107"/>
      <c r="C18" s="68" t="s">
        <v>183</v>
      </c>
      <c r="D18" s="69">
        <v>891</v>
      </c>
      <c r="E18" s="70">
        <v>0.24818941504178299</v>
      </c>
      <c r="F18" s="70">
        <v>0.12978878368536101</v>
      </c>
    </row>
    <row r="19" spans="2:6" ht="15" customHeight="1">
      <c r="B19" s="107"/>
      <c r="C19" s="68" t="s">
        <v>184</v>
      </c>
      <c r="D19" s="69">
        <v>87</v>
      </c>
      <c r="E19" s="70">
        <v>2.4233983286908001E-2</v>
      </c>
      <c r="F19" s="70">
        <v>1.2672978878369E-2</v>
      </c>
    </row>
    <row r="20" spans="2:6" ht="15" customHeight="1">
      <c r="B20" s="107"/>
      <c r="C20" s="68" t="s">
        <v>185</v>
      </c>
      <c r="D20" s="69">
        <v>7</v>
      </c>
      <c r="E20" s="70">
        <v>1.9498607242339999E-3</v>
      </c>
      <c r="F20" s="70">
        <v>1.0196649672249999E-3</v>
      </c>
    </row>
    <row r="21" spans="2:6" ht="15" customHeight="1">
      <c r="B21" s="108"/>
      <c r="C21" s="68" t="s">
        <v>186</v>
      </c>
      <c r="D21" s="69">
        <v>9</v>
      </c>
      <c r="E21" s="70">
        <v>2.5069637883010001E-3</v>
      </c>
      <c r="F21" s="70">
        <v>1.310997815004E-3</v>
      </c>
    </row>
    <row r="22" spans="2:6" ht="15" customHeight="1">
      <c r="B22" s="106" t="s">
        <v>145</v>
      </c>
      <c r="C22" s="68" t="s">
        <v>179</v>
      </c>
      <c r="D22" s="69">
        <v>21</v>
      </c>
      <c r="E22" s="70">
        <v>6.4161319890010003E-3</v>
      </c>
      <c r="F22" s="70">
        <v>3.0589949016750001E-3</v>
      </c>
    </row>
    <row r="23" spans="2:6" ht="15" customHeight="1">
      <c r="B23" s="107"/>
      <c r="C23" s="68" t="s">
        <v>180</v>
      </c>
      <c r="D23" s="69">
        <v>990</v>
      </c>
      <c r="E23" s="70">
        <v>0.302474793767186</v>
      </c>
      <c r="F23" s="70">
        <v>0.144209759650401</v>
      </c>
    </row>
    <row r="24" spans="2:6" ht="15" customHeight="1">
      <c r="B24" s="107"/>
      <c r="C24" s="68" t="s">
        <v>181</v>
      </c>
      <c r="D24" s="69">
        <v>809</v>
      </c>
      <c r="E24" s="70">
        <v>0.247173846623892</v>
      </c>
      <c r="F24" s="70">
        <v>0.117844136926438</v>
      </c>
    </row>
    <row r="25" spans="2:6" ht="15" customHeight="1">
      <c r="B25" s="107"/>
      <c r="C25" s="68" t="s">
        <v>182</v>
      </c>
      <c r="D25" s="69">
        <v>686</v>
      </c>
      <c r="E25" s="70">
        <v>0.20959364497402999</v>
      </c>
      <c r="F25" s="70">
        <v>9.9927166788054994E-2</v>
      </c>
    </row>
    <row r="26" spans="2:6" ht="15" customHeight="1">
      <c r="B26" s="107"/>
      <c r="C26" s="68" t="s">
        <v>183</v>
      </c>
      <c r="D26" s="69">
        <v>672</v>
      </c>
      <c r="E26" s="70">
        <v>0.20531622364802901</v>
      </c>
      <c r="F26" s="70">
        <v>9.7887836853604998E-2</v>
      </c>
    </row>
    <row r="27" spans="2:6" ht="15" customHeight="1">
      <c r="B27" s="107"/>
      <c r="C27" s="68" t="s">
        <v>184</v>
      </c>
      <c r="D27" s="69">
        <v>86</v>
      </c>
      <c r="E27" s="70">
        <v>2.6275588145431999E-2</v>
      </c>
      <c r="F27" s="70">
        <v>1.2527312454479E-2</v>
      </c>
    </row>
    <row r="28" spans="2:6" ht="15" customHeight="1">
      <c r="B28" s="107"/>
      <c r="C28" s="68" t="s">
        <v>185</v>
      </c>
      <c r="D28" s="69">
        <v>6</v>
      </c>
      <c r="E28" s="70">
        <v>1.8331805682860001E-3</v>
      </c>
      <c r="F28" s="70">
        <v>8.7399854333599996E-4</v>
      </c>
    </row>
    <row r="29" spans="2:6" ht="15" customHeight="1">
      <c r="B29" s="108"/>
      <c r="C29" s="68" t="s">
        <v>186</v>
      </c>
      <c r="D29" s="69">
        <v>3</v>
      </c>
      <c r="E29" s="70">
        <v>9.1659028414300004E-4</v>
      </c>
      <c r="F29" s="70">
        <v>4.3699927166799998E-4</v>
      </c>
    </row>
    <row r="30" spans="2:6" ht="15" customHeight="1">
      <c r="B30" s="106" t="s">
        <v>146</v>
      </c>
      <c r="C30" s="68" t="s">
        <v>180</v>
      </c>
      <c r="D30" s="69">
        <v>1</v>
      </c>
      <c r="E30" s="70">
        <v>0.5</v>
      </c>
      <c r="F30" s="70">
        <v>1.4566642388899999E-4</v>
      </c>
    </row>
    <row r="31" spans="2:6" ht="15" customHeight="1">
      <c r="B31" s="108"/>
      <c r="C31" s="68" t="s">
        <v>181</v>
      </c>
      <c r="D31" s="69">
        <v>1</v>
      </c>
      <c r="E31" s="70">
        <v>0.5</v>
      </c>
      <c r="F31" s="70">
        <v>1.4566642388899999E-4</v>
      </c>
    </row>
    <row r="32" spans="2:6" ht="15" customHeight="1">
      <c r="B32" s="117" t="s">
        <v>28</v>
      </c>
      <c r="C32" s="118"/>
      <c r="D32" s="74">
        <v>6865</v>
      </c>
      <c r="E32" s="75">
        <v>1</v>
      </c>
      <c r="F32" s="75">
        <v>1</v>
      </c>
    </row>
    <row r="33" spans="2:2" ht="14.45" customHeight="1"/>
    <row r="34" spans="2:2" ht="14.45" customHeight="1">
      <c r="B34" s="15" t="s">
        <v>47</v>
      </c>
    </row>
    <row r="35" spans="2:2" ht="14.45" customHeight="1">
      <c r="B35" s="17" t="s">
        <v>17</v>
      </c>
    </row>
    <row r="36" spans="2:2" ht="14.45" customHeight="1">
      <c r="B36" s="16" t="s">
        <v>48</v>
      </c>
    </row>
    <row r="37" spans="2:2" ht="14.45" customHeight="1">
      <c r="B37" s="15" t="s">
        <v>16</v>
      </c>
    </row>
    <row r="38" spans="2:2" ht="14.45" customHeight="1">
      <c r="B38" s="15" t="s">
        <v>49</v>
      </c>
    </row>
  </sheetData>
  <mergeCells count="5">
    <mergeCell ref="B8:F11"/>
    <mergeCell ref="B32:C32"/>
    <mergeCell ref="B14:B21"/>
    <mergeCell ref="B22:B29"/>
    <mergeCell ref="B30:B31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D70"/>
  <sheetViews>
    <sheetView showGridLines="0" tabSelected="1" view="pageBreakPreview" topLeftCell="A54" zoomScale="115" zoomScaleNormal="100" zoomScaleSheetLayoutView="115" workbookViewId="0">
      <selection activeCell="C64" sqref="C64"/>
    </sheetView>
  </sheetViews>
  <sheetFormatPr baseColWidth="10" defaultColWidth="11.42578125" defaultRowHeight="15"/>
  <cols>
    <col min="1" max="1" width="9.28515625" style="13" customWidth="1"/>
    <col min="2" max="2" width="36.855468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4.2851562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101" t="s">
        <v>239</v>
      </c>
      <c r="C7" s="101"/>
      <c r="D7" s="101"/>
    </row>
    <row r="8" spans="2:4" s="25" customFormat="1" ht="15" customHeight="1">
      <c r="B8" s="101"/>
      <c r="C8" s="101"/>
      <c r="D8" s="101"/>
    </row>
    <row r="9" spans="2:4" s="25" customFormat="1" ht="33" customHeight="1">
      <c r="B9" s="101"/>
      <c r="C9" s="101"/>
      <c r="D9" s="101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33</v>
      </c>
      <c r="C11" s="27" t="s">
        <v>19</v>
      </c>
      <c r="D11" s="26" t="s">
        <v>18</v>
      </c>
    </row>
    <row r="12" spans="2:4">
      <c r="B12" s="23" t="s">
        <v>187</v>
      </c>
      <c r="C12" s="22">
        <v>3758</v>
      </c>
      <c r="D12" s="21">
        <v>0.54741442097596504</v>
      </c>
    </row>
    <row r="13" spans="2:4">
      <c r="B13" s="23" t="s">
        <v>188</v>
      </c>
      <c r="C13" s="22">
        <v>1637</v>
      </c>
      <c r="D13" s="21">
        <v>0.238455935906774</v>
      </c>
    </row>
    <row r="14" spans="2:4">
      <c r="B14" s="23" t="s">
        <v>189</v>
      </c>
      <c r="C14" s="22">
        <v>502</v>
      </c>
      <c r="D14" s="21">
        <v>7.3124544792425E-2</v>
      </c>
    </row>
    <row r="15" spans="2:4" ht="27">
      <c r="B15" s="23" t="s">
        <v>190</v>
      </c>
      <c r="C15" s="22">
        <v>137</v>
      </c>
      <c r="D15" s="21">
        <v>1.9956300072833E-2</v>
      </c>
    </row>
    <row r="16" spans="2:4" ht="27">
      <c r="B16" s="23" t="s">
        <v>191</v>
      </c>
      <c r="C16" s="22">
        <v>132</v>
      </c>
      <c r="D16" s="21">
        <v>1.9227967953387E-2</v>
      </c>
    </row>
    <row r="17" spans="2:4">
      <c r="B17" s="23" t="s">
        <v>192</v>
      </c>
      <c r="C17" s="22">
        <v>87</v>
      </c>
      <c r="D17" s="21">
        <v>1.2672978878369E-2</v>
      </c>
    </row>
    <row r="18" spans="2:4" ht="27">
      <c r="B18" s="23" t="s">
        <v>193</v>
      </c>
      <c r="C18" s="22">
        <v>73</v>
      </c>
      <c r="D18" s="21">
        <v>1.0633648943918E-2</v>
      </c>
    </row>
    <row r="19" spans="2:4">
      <c r="B19" s="23" t="s">
        <v>194</v>
      </c>
      <c r="C19" s="22">
        <v>73</v>
      </c>
      <c r="D19" s="21">
        <v>1.0633648943918E-2</v>
      </c>
    </row>
    <row r="20" spans="2:4">
      <c r="B20" s="23" t="s">
        <v>195</v>
      </c>
      <c r="C20" s="22">
        <v>54</v>
      </c>
      <c r="D20" s="21">
        <v>7.8659868900220007E-3</v>
      </c>
    </row>
    <row r="21" spans="2:4">
      <c r="B21" s="23" t="s">
        <v>196</v>
      </c>
      <c r="C21" s="22">
        <v>42</v>
      </c>
      <c r="D21" s="21">
        <v>6.1179898033500001E-3</v>
      </c>
    </row>
    <row r="22" spans="2:4">
      <c r="B22" s="23" t="s">
        <v>197</v>
      </c>
      <c r="C22" s="22">
        <v>34</v>
      </c>
      <c r="D22" s="21">
        <v>4.9526584122360001E-3</v>
      </c>
    </row>
    <row r="23" spans="2:4">
      <c r="B23" s="23" t="s">
        <v>198</v>
      </c>
      <c r="C23" s="22">
        <v>30</v>
      </c>
      <c r="D23" s="21">
        <v>4.3699927166789996E-3</v>
      </c>
    </row>
    <row r="24" spans="2:4">
      <c r="B24" s="23" t="s">
        <v>199</v>
      </c>
      <c r="C24" s="22">
        <v>30</v>
      </c>
      <c r="D24" s="21">
        <v>4.3699927166789996E-3</v>
      </c>
    </row>
    <row r="25" spans="2:4">
      <c r="B25" s="23" t="s">
        <v>200</v>
      </c>
      <c r="C25" s="22">
        <v>26</v>
      </c>
      <c r="D25" s="21">
        <v>3.787327021122E-3</v>
      </c>
    </row>
    <row r="26" spans="2:4">
      <c r="B26" s="23" t="s">
        <v>201</v>
      </c>
      <c r="C26" s="22">
        <v>26</v>
      </c>
      <c r="D26" s="21">
        <v>3.787327021122E-3</v>
      </c>
    </row>
    <row r="27" spans="2:4">
      <c r="B27" s="23" t="s">
        <v>202</v>
      </c>
      <c r="C27" s="22">
        <v>26</v>
      </c>
      <c r="D27" s="21">
        <v>3.787327021122E-3</v>
      </c>
    </row>
    <row r="28" spans="2:4">
      <c r="B28" s="23" t="s">
        <v>203</v>
      </c>
      <c r="C28" s="22">
        <v>25</v>
      </c>
      <c r="D28" s="21">
        <v>3.6416605972320001E-3</v>
      </c>
    </row>
    <row r="29" spans="2:4">
      <c r="B29" s="23" t="s">
        <v>204</v>
      </c>
      <c r="C29" s="22">
        <v>21</v>
      </c>
      <c r="D29" s="21">
        <v>3.0589949016750001E-3</v>
      </c>
    </row>
    <row r="30" spans="2:4">
      <c r="B30" s="23" t="s">
        <v>205</v>
      </c>
      <c r="C30" s="22">
        <v>18</v>
      </c>
      <c r="D30" s="21">
        <v>2.6219956300069999E-3</v>
      </c>
    </row>
    <row r="31" spans="2:4">
      <c r="B31" s="23" t="s">
        <v>206</v>
      </c>
      <c r="C31" s="22">
        <v>13</v>
      </c>
      <c r="D31" s="21">
        <v>1.893663510561E-3</v>
      </c>
    </row>
    <row r="32" spans="2:4">
      <c r="B32" s="23" t="s">
        <v>207</v>
      </c>
      <c r="C32" s="22">
        <v>11</v>
      </c>
      <c r="D32" s="21">
        <v>1.602330662782E-3</v>
      </c>
    </row>
    <row r="33" spans="2:4" ht="27">
      <c r="B33" s="23" t="s">
        <v>208</v>
      </c>
      <c r="C33" s="22">
        <v>9</v>
      </c>
      <c r="D33" s="21">
        <v>1.310997815004E-3</v>
      </c>
    </row>
    <row r="34" spans="2:4">
      <c r="B34" s="23" t="s">
        <v>209</v>
      </c>
      <c r="C34" s="22">
        <v>9</v>
      </c>
      <c r="D34" s="21">
        <v>1.310997815004E-3</v>
      </c>
    </row>
    <row r="35" spans="2:4">
      <c r="B35" s="23" t="s">
        <v>210</v>
      </c>
      <c r="C35" s="22">
        <v>8</v>
      </c>
      <c r="D35" s="21">
        <v>1.165331391114E-3</v>
      </c>
    </row>
    <row r="36" spans="2:4" ht="27">
      <c r="B36" s="23" t="s">
        <v>211</v>
      </c>
      <c r="C36" s="22">
        <v>8</v>
      </c>
      <c r="D36" s="21">
        <v>1.165331391114E-3</v>
      </c>
    </row>
    <row r="37" spans="2:4">
      <c r="B37" s="23" t="s">
        <v>212</v>
      </c>
      <c r="C37" s="22">
        <v>8</v>
      </c>
      <c r="D37" s="21">
        <v>1.165331391114E-3</v>
      </c>
    </row>
    <row r="38" spans="2:4">
      <c r="B38" s="23" t="s">
        <v>213</v>
      </c>
      <c r="C38" s="22">
        <v>7</v>
      </c>
      <c r="D38" s="21">
        <v>1.0196649672249999E-3</v>
      </c>
    </row>
    <row r="39" spans="2:4" ht="27">
      <c r="B39" s="23" t="s">
        <v>214</v>
      </c>
      <c r="C39" s="22">
        <v>6</v>
      </c>
      <c r="D39" s="21">
        <v>8.7399854333599996E-4</v>
      </c>
    </row>
    <row r="40" spans="2:4">
      <c r="B40" s="23" t="s">
        <v>215</v>
      </c>
      <c r="C40" s="22">
        <v>5</v>
      </c>
      <c r="D40" s="21">
        <v>7.2833211944600001E-4</v>
      </c>
    </row>
    <row r="41" spans="2:4">
      <c r="B41" s="23" t="s">
        <v>176</v>
      </c>
      <c r="C41" s="22">
        <v>4</v>
      </c>
      <c r="D41" s="21">
        <v>5.8266569555700002E-4</v>
      </c>
    </row>
    <row r="42" spans="2:4">
      <c r="B42" s="23" t="s">
        <v>216</v>
      </c>
      <c r="C42" s="22">
        <v>4</v>
      </c>
      <c r="D42" s="21">
        <v>5.8266569555700002E-4</v>
      </c>
    </row>
    <row r="43" spans="2:4">
      <c r="B43" s="23" t="s">
        <v>217</v>
      </c>
      <c r="C43" s="22">
        <v>4</v>
      </c>
      <c r="D43" s="21">
        <v>5.8266569555700002E-4</v>
      </c>
    </row>
    <row r="44" spans="2:4">
      <c r="B44" s="23" t="s">
        <v>218</v>
      </c>
      <c r="C44" s="22">
        <v>4</v>
      </c>
      <c r="D44" s="21">
        <v>5.8266569555700002E-4</v>
      </c>
    </row>
    <row r="45" spans="2:4">
      <c r="B45" s="23" t="s">
        <v>219</v>
      </c>
      <c r="C45" s="22">
        <v>3</v>
      </c>
      <c r="D45" s="21">
        <v>4.3699927166799998E-4</v>
      </c>
    </row>
    <row r="46" spans="2:4">
      <c r="B46" s="23" t="s">
        <v>220</v>
      </c>
      <c r="C46" s="22">
        <v>3</v>
      </c>
      <c r="D46" s="21">
        <v>4.3699927166799998E-4</v>
      </c>
    </row>
    <row r="47" spans="2:4">
      <c r="B47" s="23" t="s">
        <v>221</v>
      </c>
      <c r="C47" s="22">
        <v>3</v>
      </c>
      <c r="D47" s="21">
        <v>4.3699927166799998E-4</v>
      </c>
    </row>
    <row r="48" spans="2:4">
      <c r="B48" s="23" t="s">
        <v>222</v>
      </c>
      <c r="C48" s="22">
        <v>3</v>
      </c>
      <c r="D48" s="21">
        <v>4.3699927166799998E-4</v>
      </c>
    </row>
    <row r="49" spans="2:4" ht="27">
      <c r="B49" s="23" t="s">
        <v>223</v>
      </c>
      <c r="C49" s="22">
        <v>2</v>
      </c>
      <c r="D49" s="21">
        <v>2.9133284777899999E-4</v>
      </c>
    </row>
    <row r="50" spans="2:4" ht="27">
      <c r="B50" s="23" t="s">
        <v>224</v>
      </c>
      <c r="C50" s="22">
        <v>2</v>
      </c>
      <c r="D50" s="21">
        <v>2.9133284777899999E-4</v>
      </c>
    </row>
    <row r="51" spans="2:4">
      <c r="B51" s="23" t="s">
        <v>225</v>
      </c>
      <c r="C51" s="22">
        <v>2</v>
      </c>
      <c r="D51" s="21">
        <v>2.9133284777899999E-4</v>
      </c>
    </row>
    <row r="52" spans="2:4">
      <c r="B52" s="23" t="s">
        <v>226</v>
      </c>
      <c r="C52" s="22">
        <v>2</v>
      </c>
      <c r="D52" s="21">
        <v>2.9133284777899999E-4</v>
      </c>
    </row>
    <row r="53" spans="2:4">
      <c r="B53" s="23" t="s">
        <v>227</v>
      </c>
      <c r="C53" s="22">
        <v>2</v>
      </c>
      <c r="D53" s="21">
        <v>2.9133284777899999E-4</v>
      </c>
    </row>
    <row r="54" spans="2:4" ht="27">
      <c r="B54" s="23" t="s">
        <v>228</v>
      </c>
      <c r="C54" s="22">
        <v>2</v>
      </c>
      <c r="D54" s="21">
        <v>2.9133284777899999E-4</v>
      </c>
    </row>
    <row r="55" spans="2:4">
      <c r="B55" s="23" t="s">
        <v>229</v>
      </c>
      <c r="C55" s="22">
        <v>2</v>
      </c>
      <c r="D55" s="21">
        <v>2.9133284777899999E-4</v>
      </c>
    </row>
    <row r="56" spans="2:4">
      <c r="B56" s="23" t="s">
        <v>230</v>
      </c>
      <c r="C56" s="22">
        <v>1</v>
      </c>
      <c r="D56" s="21">
        <v>1.4566642388899999E-4</v>
      </c>
    </row>
    <row r="57" spans="2:4">
      <c r="B57" s="23" t="s">
        <v>231</v>
      </c>
      <c r="C57" s="22">
        <v>1</v>
      </c>
      <c r="D57" s="21">
        <v>1.4566642388899999E-4</v>
      </c>
    </row>
    <row r="58" spans="2:4">
      <c r="B58" s="23" t="s">
        <v>232</v>
      </c>
      <c r="C58" s="22">
        <v>1</v>
      </c>
      <c r="D58" s="21">
        <v>1.4566642388899999E-4</v>
      </c>
    </row>
    <row r="59" spans="2:4" ht="27">
      <c r="B59" s="23" t="s">
        <v>233</v>
      </c>
      <c r="C59" s="22">
        <v>1</v>
      </c>
      <c r="D59" s="21">
        <v>1.4566642388899999E-4</v>
      </c>
    </row>
    <row r="60" spans="2:4" ht="27">
      <c r="B60" s="23" t="s">
        <v>234</v>
      </c>
      <c r="C60" s="22">
        <v>1</v>
      </c>
      <c r="D60" s="21">
        <v>1.4566642388899999E-4</v>
      </c>
    </row>
    <row r="61" spans="2:4">
      <c r="B61" s="23" t="s">
        <v>235</v>
      </c>
      <c r="C61" s="22">
        <v>1</v>
      </c>
      <c r="D61" s="21">
        <v>1.4566642388899999E-4</v>
      </c>
    </row>
    <row r="62" spans="2:4">
      <c r="B62" s="23" t="s">
        <v>236</v>
      </c>
      <c r="C62" s="22">
        <v>1</v>
      </c>
      <c r="D62" s="21">
        <v>1.4566642388899999E-4</v>
      </c>
    </row>
    <row r="63" spans="2:4">
      <c r="B63" s="23" t="s">
        <v>237</v>
      </c>
      <c r="C63" s="22">
        <v>1</v>
      </c>
      <c r="D63" s="21">
        <v>1.4566642388899999E-4</v>
      </c>
    </row>
    <row r="64" spans="2:4">
      <c r="B64" s="20" t="s">
        <v>28</v>
      </c>
      <c r="C64" s="19">
        <v>6865</v>
      </c>
      <c r="D64" s="18">
        <v>1</v>
      </c>
    </row>
    <row r="66" spans="2:2">
      <c r="B66" s="15" t="s">
        <v>47</v>
      </c>
    </row>
    <row r="67" spans="2:2">
      <c r="B67" s="17" t="s">
        <v>17</v>
      </c>
    </row>
    <row r="68" spans="2:2">
      <c r="B68" s="16" t="s">
        <v>48</v>
      </c>
    </row>
    <row r="69" spans="2:2">
      <c r="B69" s="15" t="s">
        <v>16</v>
      </c>
    </row>
    <row r="70" spans="2:2">
      <c r="B70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21</vt:i4>
      </vt:variant>
    </vt:vector>
  </HeadingPairs>
  <TitlesOfParts>
    <vt:vector size="36" baseType="lpstr">
      <vt:lpstr>Índice</vt:lpstr>
      <vt:lpstr>Baja California_EdoUsa</vt:lpstr>
      <vt:lpstr>Baja California_Cons</vt:lpstr>
      <vt:lpstr>Baja CaliforniaXCons</vt:lpstr>
      <vt:lpstr>Baja California_EdoMun</vt:lpstr>
      <vt:lpstr>Baja California_USAMuni</vt:lpstr>
      <vt:lpstr>Baja California_MUNICIPIO</vt:lpstr>
      <vt:lpstr>Baja California_educ_gral</vt:lpstr>
      <vt:lpstr>Baja California_NivelE_Cons</vt:lpstr>
      <vt:lpstr>Baja California_EducCons</vt:lpstr>
      <vt:lpstr>Baja California_GenGral</vt:lpstr>
      <vt:lpstr>Baja California_GENERO</vt:lpstr>
      <vt:lpstr>Baja California_GENERO_EUA</vt:lpstr>
      <vt:lpstr>Baja California_Gen_Edad</vt:lpstr>
      <vt:lpstr>Baja California_ocup_gral</vt:lpstr>
      <vt:lpstr>'Baja California_EdoMun'!Área_de_impresión</vt:lpstr>
      <vt:lpstr>'Baja California_educ_gral'!Área_de_impresión</vt:lpstr>
      <vt:lpstr>'Baja California_EducCons'!Área_de_impresión</vt:lpstr>
      <vt:lpstr>'Baja California_Gen_Edad'!Área_de_impresión</vt:lpstr>
      <vt:lpstr>'Baja California_MUNICIPIO'!Área_de_impresión</vt:lpstr>
      <vt:lpstr>'Baja California_NivelE_Cons'!Área_de_impresión</vt:lpstr>
      <vt:lpstr>'Baja California_USAMuni'!Área_de_impresión</vt:lpstr>
      <vt:lpstr>'Baja California_Cons'!Títulos_a_imprimir</vt:lpstr>
      <vt:lpstr>'Baja California_EdoMun'!Títulos_a_imprimir</vt:lpstr>
      <vt:lpstr>'Baja California_EdoUsa'!Títulos_a_imprimir</vt:lpstr>
      <vt:lpstr>'Baja California_educ_gral'!Títulos_a_imprimir</vt:lpstr>
      <vt:lpstr>'Baja California_EducCons'!Títulos_a_imprimir</vt:lpstr>
      <vt:lpstr>'Baja California_Gen_Edad'!Títulos_a_imprimir</vt:lpstr>
      <vt:lpstr>'Baja California_GENERO'!Títulos_a_imprimir</vt:lpstr>
      <vt:lpstr>'Baja California_GENERO_EUA'!Títulos_a_imprimir</vt:lpstr>
      <vt:lpstr>'Baja California_GenGral'!Títulos_a_imprimir</vt:lpstr>
      <vt:lpstr>'Baja California_MUNICIPIO'!Títulos_a_imprimir</vt:lpstr>
      <vt:lpstr>'Baja California_NivelE_Cons'!Títulos_a_imprimir</vt:lpstr>
      <vt:lpstr>'Baja California_ocup_gral'!Títulos_a_imprimir</vt:lpstr>
      <vt:lpstr>'Baja California_USAMuni'!Títulos_a_imprimir</vt:lpstr>
      <vt:lpstr>'Baja CaliforniaXCons'!Títulos_a_imprimir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2020-06-02T19:26:47Z</dcterms:created>
  <dcterms:modified xsi:type="dcterms:W3CDTF">2024-12-31T16:36:05Z</dcterms:modified>
</cp:coreProperties>
</file>