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República Mexicana\Finales_RM\"/>
    </mc:Choice>
  </mc:AlternateContent>
  <xr:revisionPtr revIDLastSave="0" documentId="13_ncr:1_{5AF177CA-A3BC-48EF-95BC-F16D39453435}" xr6:coauthVersionLast="47" xr6:coauthVersionMax="47" xr10:uidLastSave="{00000000-0000-0000-0000-000000000000}"/>
  <bookViews>
    <workbookView xWindow="14850" yWindow="255" windowWidth="12105" windowHeight="13740" tabRatio="854" firstSheet="10" activeTab="14" xr2:uid="{00000000-000D-0000-FFFF-FFFF00000000}"/>
  </bookViews>
  <sheets>
    <sheet name="Índice" sheetId="1" r:id="rId1"/>
    <sheet name="San Luis Potosí_EdoUsa" sheetId="2" r:id="rId2"/>
    <sheet name="San Luis Potosí_Cons" sheetId="15" r:id="rId3"/>
    <sheet name="San Luis PotosíXCons" sheetId="16" r:id="rId4"/>
    <sheet name="San Luis Potosí_EdoMun" sheetId="5" r:id="rId5"/>
    <sheet name="San Luis Potosí_USAMuni" sheetId="6" r:id="rId6"/>
    <sheet name="San Luis Potosí_MUNICIPIO" sheetId="7" r:id="rId7"/>
    <sheet name="San Luis Potosí_educ_gral" sheetId="8" r:id="rId8"/>
    <sheet name="San Luis Potosí_NivelE_Cons" sheetId="9" r:id="rId9"/>
    <sheet name="San Luis Potosí_EducCons" sheetId="10" r:id="rId10"/>
    <sheet name="San Luis Potosí_GenGral" sheetId="11" r:id="rId11"/>
    <sheet name="San Luis Potosí_GENERO" sheetId="12" r:id="rId12"/>
    <sheet name="San Luis Potosí_GENERO_EUA" sheetId="17" r:id="rId13"/>
    <sheet name="San Luis Potosí_Gen_Edad" sheetId="13" r:id="rId14"/>
    <sheet name="San Luis Potosí_ocup_gral" sheetId="14" r:id="rId15"/>
  </sheets>
  <definedNames>
    <definedName name="_xlnm._FilterDatabase" localSheetId="2" hidden="1">'San Luis Potosí_Cons'!$B$11:$D$11</definedName>
    <definedName name="_xlnm._FilterDatabase" localSheetId="4" hidden="1">'San Luis Potosí_EdoMun'!$B$11:$D$11</definedName>
    <definedName name="_xlnm._FilterDatabase" localSheetId="1" hidden="1">'San Luis Potosí_EdoUsa'!$B$11:$D$11</definedName>
    <definedName name="_xlnm._FilterDatabase" localSheetId="7" hidden="1">'San Luis Potosí_educ_gral'!$B$11:$D$11</definedName>
    <definedName name="_xlnm._FilterDatabase" localSheetId="9" hidden="1">'San Luis Potosí_EducCons'!$B$9:$E$9</definedName>
    <definedName name="_xlnm._FilterDatabase" localSheetId="11" hidden="1">'San Luis Potosí_GENERO'!$C$12:$E$151</definedName>
    <definedName name="_xlnm._FilterDatabase" localSheetId="12" hidden="1">'San Luis Potosí_GENERO_EUA'!$C$12:$E$138</definedName>
    <definedName name="_xlnm._FilterDatabase" localSheetId="10" hidden="1">'San Luis Potosí_GenGral'!$B$11:$D$11</definedName>
    <definedName name="_xlnm._FilterDatabase" localSheetId="6" hidden="1">'San Luis Potosí_MUNICIPIO'!$B$9:$E$9</definedName>
    <definedName name="_xlnm._FilterDatabase" localSheetId="8" hidden="1">'San Luis Potosí_NivelE_Cons'!$B$9:$E$9</definedName>
    <definedName name="_xlnm._FilterDatabase" localSheetId="14" hidden="1">'San Luis Potosí_ocup_gral'!$B$11:$D$11</definedName>
    <definedName name="_xlnm._FilterDatabase" localSheetId="5" hidden="1">'San Luis Potosí_USAMuni'!$B$9:$E$9</definedName>
    <definedName name="_xlnm._FilterDatabase" localSheetId="3" hidden="1">'San Luis PotosíXCons'!$B$11:$D$11</definedName>
    <definedName name="_xlnm.Print_Area" localSheetId="7">'San Luis Potosí_educ_gral'!$A$1:$F$42</definedName>
    <definedName name="_xlnm.Print_Area" localSheetId="9">'San Luis Potosí_EducCons'!$A$1:$E$817</definedName>
    <definedName name="_xlnm.Print_Area" localSheetId="13">'San Luis Potosí_Gen_Edad'!$A$1:$G$35</definedName>
    <definedName name="_xlnm.Print_Area" localSheetId="6">'San Luis Potosí_MUNICIPIO'!$A$1:$E$1589</definedName>
    <definedName name="_xlnm.Print_Area" localSheetId="8">'San Luis Potosí_NivelE_Cons'!$A$1:$E$663</definedName>
    <definedName name="_xlnm.Print_Area" localSheetId="5">'San Luis Potosí_USAMuni'!$A$1:$E$1276</definedName>
    <definedName name="_xlnm.Print_Titles" localSheetId="2">'San Luis Potosí_Cons'!$1:$11</definedName>
    <definedName name="_xlnm.Print_Titles" localSheetId="4">'San Luis Potosí_EdoMun'!$1:$11</definedName>
    <definedName name="_xlnm.Print_Titles" localSheetId="1">'San Luis Potosí_EdoUsa'!$1:$11</definedName>
    <definedName name="_xlnm.Print_Titles" localSheetId="7">'San Luis Potosí_educ_gral'!$1:$11</definedName>
    <definedName name="_xlnm.Print_Titles" localSheetId="9">'San Luis Potosí_EducCons'!$1:$9</definedName>
    <definedName name="_xlnm.Print_Titles" localSheetId="13">'San Luis Potosí_Gen_Edad'!$1:$12</definedName>
    <definedName name="_xlnm.Print_Titles" localSheetId="11">'San Luis Potosí_GENERO'!$1:$12</definedName>
    <definedName name="_xlnm.Print_Titles" localSheetId="12">'San Luis Potosí_GENERO_EUA'!$1:$12</definedName>
    <definedName name="_xlnm.Print_Titles" localSheetId="10">'San Luis Potosí_GenGral'!$1:$11</definedName>
    <definedName name="_xlnm.Print_Titles" localSheetId="6">'San Luis Potosí_MUNICIPIO'!$1:$9</definedName>
    <definedName name="_xlnm.Print_Titles" localSheetId="8">'San Luis Potosí_NivelE_Cons'!$1:$9</definedName>
    <definedName name="_xlnm.Print_Titles" localSheetId="14">'San Luis Potosí_ocup_gral'!$1:$11</definedName>
    <definedName name="_xlnm.Print_Titles" localSheetId="5">'San Luis Potosí_USAMuni'!$1:$9</definedName>
    <definedName name="_xlnm.Print_Titles" localSheetId="3">'San Luis PotosíXCons'!$1:$11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6" l="1"/>
  <c r="D20" i="16"/>
  <c r="D19" i="16"/>
  <c r="D18" i="16"/>
  <c r="D17" i="16"/>
  <c r="D16" i="16"/>
  <c r="D15" i="16"/>
  <c r="D14" i="16"/>
  <c r="D13" i="16"/>
  <c r="D12" i="16"/>
  <c r="C22" i="16"/>
  <c r="D22" i="16" s="1"/>
</calcChain>
</file>

<file path=xl/sharedStrings.xml><?xml version="1.0" encoding="utf-8"?>
<sst xmlns="http://schemas.openxmlformats.org/spreadsheetml/2006/main" count="5374" uniqueCount="394">
  <si>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</si>
  <si>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</si>
  <si>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</si>
  <si>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</si>
  <si>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</si>
  <si>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</si>
  <si>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</si>
  <si>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</si>
  <si>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</si>
  <si>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</si>
  <si>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</si>
  <si>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</si>
  <si>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</si>
  <si>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</si>
  <si>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5.2 Por Circunscripción Consular</t>
  </si>
  <si>
    <t>6. Por estructura de Edad</t>
  </si>
  <si>
    <t>7.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</si>
  <si>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</si>
  <si>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</si>
  <si>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</si>
  <si>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</si>
  <si>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 xml:space="preserve">Estado </t>
  </si>
  <si>
    <t>Consulado</t>
  </si>
  <si>
    <t>Municipio de origen</t>
  </si>
  <si>
    <t>Municipio de Origen</t>
  </si>
  <si>
    <t>Estado</t>
  </si>
  <si>
    <t>Número de matrículas</t>
  </si>
  <si>
    <t>Nivel de Estudios</t>
  </si>
  <si>
    <t>Nivel</t>
  </si>
  <si>
    <t>TOTAL</t>
  </si>
  <si>
    <t>Género</t>
  </si>
  <si>
    <t>Porcentaje con respecto al total de Matrículas</t>
  </si>
  <si>
    <t>Porcentaje con respecto al Género</t>
  </si>
  <si>
    <t>Edad Cumplida</t>
  </si>
  <si>
    <t>MATRÍCULAS CONSULARES EXPEDIDAS A ORIGINARIOS DE SAN LUIS POTOSÍ POR GÉNERO Y EDAD EN EE.UU.</t>
  </si>
  <si>
    <t>Ocupación</t>
  </si>
  <si>
    <t>5.3 Por Estado de la Unión Americana</t>
  </si>
  <si>
    <t>MATRÍCULAS CONSULARES DE ALTA SEGURIDAD EXPEDIDAS A ORIGINARIOS DE SAN LUIS POTOSÍ EN LOS CONSULADOS DE MÉXICO EN EE.UU.</t>
  </si>
  <si>
    <t xml:space="preserve">MATRÍCULAS CONSULARES EXPEDIDAS A ORIGINARIOS DE SAN LUIS POTOSÍ POR GÉNERO EN EE.UU </t>
  </si>
  <si>
    <t>MATRÍCULAS CONSULARES EXPEDIDAS EN EE.UU. A ORIGINARIOS DE SAN LUIS POTOSÍ POR NIVEL DE EDUCACIÓN</t>
  </si>
  <si>
    <t>MATRÍCULAS CONSULARES EXPEDIDAS A ORIGINARIOS DE SAN LUIS POTOSÍ POR GÉNERO Y CONSULADO</t>
  </si>
  <si>
    <t>MATRÍCULAS CONSULARES EXPEDIDAS A ORIGINARIOS DE SAN LUIS POTOSÍ POR GÉNERO Y POR ESTADO DE LA UNIÓN AMERICANA</t>
  </si>
  <si>
    <t>MATRÍCULAS CONSULARES DE ALTA SEGURIDAD EXPEDIDAS POR MUNICIPIO A ORIGINARIOS DEL ESTADO DE SAN LUIS POTOSÍ EN LOS CONSULADOS DE MÉXICO EN EE.UU.</t>
  </si>
  <si>
    <t>MATRÍCULAS CONSULARES DE ALTA SEGURIDAD EXPEDIDAS A ORIGINARIOS DE SAN LUIS POTOSÍ POR ESTADO DE LA UNIÓN AMERICANA</t>
  </si>
  <si>
    <t>LOS 10 CONSULADOS  DE MÉXICO EN EE.UU., CON MAYOR NÚMERO DE EXPEDICIÓN DE  MATRÍCULAS CONSULARES DE ALTA SEGURIDAD A ORIGINARIOS DE SAN LUIS POTOSÍ</t>
  </si>
  <si>
    <t>TOTAL TOP 10</t>
  </si>
  <si>
    <t>TOTAL GENERAL</t>
  </si>
  <si>
    <t>Tamaño de la muestra: 789,030</t>
  </si>
  <si>
    <t>Elaborado por: Análisis de Información, Instituto de Mexicanas y Mexicanos en el Exterior</t>
  </si>
  <si>
    <t>Noviembre de 2024</t>
  </si>
  <si>
    <t>DALLAS</t>
  </si>
  <si>
    <t>HOUSTON</t>
  </si>
  <si>
    <t>AUSTIN</t>
  </si>
  <si>
    <t>ATLANTA</t>
  </si>
  <si>
    <t>CHICAGO</t>
  </si>
  <si>
    <t>RALEIGH</t>
  </si>
  <si>
    <t>LITTLE ROCK</t>
  </si>
  <si>
    <t>SAN ANTONIO</t>
  </si>
  <si>
    <t>OKLAHOMA CITY</t>
  </si>
  <si>
    <t>MCALLEN</t>
  </si>
  <si>
    <t>BROWNSVILLE</t>
  </si>
  <si>
    <t>ORLANDO</t>
  </si>
  <si>
    <t>NUEVA ORLEANS</t>
  </si>
  <si>
    <t>LOS ANGELES</t>
  </si>
  <si>
    <t>INDIANAPOLIS</t>
  </si>
  <si>
    <t>KANSAS CITY</t>
  </si>
  <si>
    <t>DETROIT</t>
  </si>
  <si>
    <t>MIAMI</t>
  </si>
  <si>
    <t>LAREDO</t>
  </si>
  <si>
    <t>DENVER</t>
  </si>
  <si>
    <t>WASHINGTON</t>
  </si>
  <si>
    <t>SAINT PAUL</t>
  </si>
  <si>
    <t>SAN DIEGO</t>
  </si>
  <si>
    <t>LAS VEGAS</t>
  </si>
  <si>
    <t>SANTA ANA</t>
  </si>
  <si>
    <t>ALBUQUERQUE</t>
  </si>
  <si>
    <t>PHOENIX</t>
  </si>
  <si>
    <t>OMAHA</t>
  </si>
  <si>
    <t>FRESNO</t>
  </si>
  <si>
    <t>SAN BERNARDINO</t>
  </si>
  <si>
    <t>FILADELFIA</t>
  </si>
  <si>
    <t>NUEVA YORK</t>
  </si>
  <si>
    <t>SACRAMENTO</t>
  </si>
  <si>
    <t>MILWAUKEE</t>
  </si>
  <si>
    <t>SAN JOSE</t>
  </si>
  <si>
    <t>BOISE</t>
  </si>
  <si>
    <t>SALT LAKE CITY</t>
  </si>
  <si>
    <t>BOSTON</t>
  </si>
  <si>
    <t>PRESIDIO</t>
  </si>
  <si>
    <t>SEATTLE</t>
  </si>
  <si>
    <t>SAN FRANCISCO</t>
  </si>
  <si>
    <t>OXNARD</t>
  </si>
  <si>
    <t>EL PASO</t>
  </si>
  <si>
    <t>PORTLAND</t>
  </si>
  <si>
    <t>TUCSON</t>
  </si>
  <si>
    <t>DEL RIO</t>
  </si>
  <si>
    <t>NEW BRUNSWICK</t>
  </si>
  <si>
    <t>EAGLE PASS</t>
  </si>
  <si>
    <t>YUMA</t>
  </si>
  <si>
    <t>CALEXICO</t>
  </si>
  <si>
    <t>NOGALES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</si>
  <si>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</si>
  <si>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</si>
  <si>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</si>
  <si>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</si>
  <si>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</si>
  <si>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</si>
  <si>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</si>
  <si>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</si>
  <si>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</si>
  <si>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</si>
  <si>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</si>
  <si>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</si>
  <si>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</si>
  <si>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</si>
  <si>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</si>
  <si>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</si>
  <si>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</si>
  <si>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</si>
  <si>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</si>
  <si>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</si>
  <si>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</si>
  <si>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</si>
  <si>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</si>
  <si>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</si>
  <si>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</si>
  <si>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</si>
  <si>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</si>
  <si>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</si>
  <si>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</si>
  <si>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</si>
  <si>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</si>
  <si>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</si>
  <si>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</si>
  <si>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</si>
  <si>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</si>
  <si>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</si>
  <si>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</si>
  <si>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</si>
  <si>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</si>
  <si>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</si>
  <si>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</si>
  <si>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</si>
  <si>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</si>
  <si>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</si>
  <si>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WEST VIRGINIA</t>
  </si>
  <si>
    <t>WISCONSIN</t>
  </si>
  <si>
    <t>WYOMING</t>
  </si>
  <si>
    <t>FEMENINO</t>
  </si>
  <si>
    <t>MASCULINO</t>
  </si>
  <si>
    <t>ARIZONA Total</t>
  </si>
  <si>
    <t>ARKANSAS Total</t>
  </si>
  <si>
    <t>CALIFORNIA Total</t>
  </si>
  <si>
    <t>COLORADO Total</t>
  </si>
  <si>
    <t>CONNECTICUT Total</t>
  </si>
  <si>
    <t>DELAWARE Total</t>
  </si>
  <si>
    <t>FLORIDA Total</t>
  </si>
  <si>
    <t>GEORGIA Total</t>
  </si>
  <si>
    <t>HAWAII Total</t>
  </si>
  <si>
    <t>IDAHO Total</t>
  </si>
  <si>
    <t>ILLINOIS Total</t>
  </si>
  <si>
    <t>INDIANA Total</t>
  </si>
  <si>
    <t>IOWA Total</t>
  </si>
  <si>
    <t>KANSAS Total</t>
  </si>
  <si>
    <t>KENTUCKY Total</t>
  </si>
  <si>
    <t>LOUISIANA Total</t>
  </si>
  <si>
    <t>MARYLAND Total</t>
  </si>
  <si>
    <t>MASSACHUSETTS Total</t>
  </si>
  <si>
    <t>MICHIGAN Total</t>
  </si>
  <si>
    <t>MINNESOTA Total</t>
  </si>
  <si>
    <t>MISSISSIPPI Total</t>
  </si>
  <si>
    <t>MISSOURI Total</t>
  </si>
  <si>
    <t>MONTANA Total</t>
  </si>
  <si>
    <t>NEBRASKA Total</t>
  </si>
  <si>
    <t>NEVADA Total</t>
  </si>
  <si>
    <t>NEW HAMPSHIRE Total</t>
  </si>
  <si>
    <t>NEW JERSEY Total</t>
  </si>
  <si>
    <t>NEW MEXICO Total</t>
  </si>
  <si>
    <t>NEW YORK Total</t>
  </si>
  <si>
    <t>NORTH CAROLINA Total</t>
  </si>
  <si>
    <t>NORTH DAKOTA Total</t>
  </si>
  <si>
    <t>OHIO Total</t>
  </si>
  <si>
    <t>OKLAHOMA Total</t>
  </si>
  <si>
    <t>OREGON Total</t>
  </si>
  <si>
    <t>PENNSYLVANIA Total</t>
  </si>
  <si>
    <t>RHODE ISLAND Total</t>
  </si>
  <si>
    <t>SOUTH CAROLINA Total</t>
  </si>
  <si>
    <t>SOUTH DAKOTA Total</t>
  </si>
  <si>
    <t>TENNESSEE Total</t>
  </si>
  <si>
    <t>TEXAS Total</t>
  </si>
  <si>
    <t>UTAH Total</t>
  </si>
  <si>
    <t>VIRGINIA Total</t>
  </si>
  <si>
    <t>WASHINGTON Total</t>
  </si>
  <si>
    <t>WISCONSIN Total</t>
  </si>
  <si>
    <t>WYOMING Total</t>
  </si>
  <si>
    <t>AHUALULCO</t>
  </si>
  <si>
    <t>ALAQUINES</t>
  </si>
  <si>
    <t>AQUISMÓN</t>
  </si>
  <si>
    <t>AXTLA DE TERRAZAS</t>
  </si>
  <si>
    <t>CERRITOS</t>
  </si>
  <si>
    <t>CHARCAS</t>
  </si>
  <si>
    <t>CIUDAD DEL MAÍZ</t>
  </si>
  <si>
    <t>CIUDAD FERNÁNDEZ</t>
  </si>
  <si>
    <t>CIUDAD VALLES</t>
  </si>
  <si>
    <t>CÁRDENAS</t>
  </si>
  <si>
    <t>EBANO</t>
  </si>
  <si>
    <t>GUADALCÁZAR</t>
  </si>
  <si>
    <t>HUEHUETLÁN</t>
  </si>
  <si>
    <t>LAGUNILLAS</t>
  </si>
  <si>
    <t>MATEHUALA</t>
  </si>
  <si>
    <t>MATLAPA</t>
  </si>
  <si>
    <t>MOCTEZUMA</t>
  </si>
  <si>
    <t>RAYÓN</t>
  </si>
  <si>
    <t>RIOVERDE</t>
  </si>
  <si>
    <t>SALINAS</t>
  </si>
  <si>
    <t>SAN LUIS POTOSÍ</t>
  </si>
  <si>
    <t>SAN VICENTE TANCUAYALAB</t>
  </si>
  <si>
    <t>SANTA CATARINA</t>
  </si>
  <si>
    <t>SANTA MARÍA DEL RÍO</t>
  </si>
  <si>
    <t>SANTO DOMINGO</t>
  </si>
  <si>
    <t>TAMASOPO</t>
  </si>
  <si>
    <t>TAMAZUNCHALE</t>
  </si>
  <si>
    <t>TAMUÍN</t>
  </si>
  <si>
    <t>TANCANHUITZ</t>
  </si>
  <si>
    <t>TANQUIÁN DE ESCOBEDO</t>
  </si>
  <si>
    <t>TIERRA NUEVA</t>
  </si>
  <si>
    <t>VILLA DE RAMOS</t>
  </si>
  <si>
    <t>VILLA DE REYES</t>
  </si>
  <si>
    <t>VILLA HIDALGO</t>
  </si>
  <si>
    <t>XILITLA</t>
  </si>
  <si>
    <t>ZARAGOZA</t>
  </si>
  <si>
    <t>ARMADILLO DE LOS INFANTE</t>
  </si>
  <si>
    <t>MEXQUITIC DE CARMONA</t>
  </si>
  <si>
    <t>NO SE REGISTRÓ EL MUNICIPIO/CONDADO/ALCALDÍA DE NACIMIENTO</t>
  </si>
  <si>
    <t>SAN CIRO DE ACOSTA</t>
  </si>
  <si>
    <t>SAN MARTÍN CHALCHICUAUTLA</t>
  </si>
  <si>
    <t>SOLEDAD DE GRACIANO SÁNCHEZ</t>
  </si>
  <si>
    <t>TAMPACÁN</t>
  </si>
  <si>
    <t>VENADO</t>
  </si>
  <si>
    <t>VILLA DE ARISTA</t>
  </si>
  <si>
    <t>VILLA DE ARRIAGA</t>
  </si>
  <si>
    <t>VILLA DE GUADALUPE</t>
  </si>
  <si>
    <t>CEDRAL</t>
  </si>
  <si>
    <t>EL NARANJO</t>
  </si>
  <si>
    <t>SAN NICOLÁS TOLENTINO</t>
  </si>
  <si>
    <t>TAMPAMOLÓN CORONA</t>
  </si>
  <si>
    <t>VILLA DE LA PAZ</t>
  </si>
  <si>
    <t>VILLA JUÁREZ</t>
  </si>
  <si>
    <t>CATORCE</t>
  </si>
  <si>
    <t>COXCATLÁN</t>
  </si>
  <si>
    <t>TANLAJÁS</t>
  </si>
  <si>
    <t>VANEGAS</t>
  </si>
  <si>
    <t>CERRO DE SAN PEDRO</t>
  </si>
  <si>
    <t>CONCEPCIÓN DEL ORO</t>
  </si>
  <si>
    <t>VICTORIA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</si>
  <si>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</si>
  <si>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</si>
  <si>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</si>
  <si>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</si>
  <si>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</si>
  <si>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</si>
  <si>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</si>
  <si>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</si>
  <si>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</si>
  <si>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</si>
  <si>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</si>
  <si>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</si>
  <si>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</si>
  <si>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</si>
  <si>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</si>
  <si>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</si>
  <si>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</si>
  <si>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</si>
  <si>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</si>
  <si>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</si>
  <si>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</si>
  <si>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</si>
  <si>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</si>
  <si>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</si>
  <si>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</si>
  <si>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</si>
  <si>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</si>
  <si>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</si>
  <si>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</si>
  <si>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</si>
  <si>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</si>
  <si>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</si>
  <si>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</si>
  <si>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</si>
  <si>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CONSTRUCCIÓN, TRAB. DE LA IND. DE LA</t>
  </si>
  <si>
    <t>OBRERO(A)</t>
  </si>
  <si>
    <t>ESTUDIANTE</t>
  </si>
  <si>
    <t>ALIMENTOS Y BEBIDAS, ESP. EN PREPARACIÓN DE</t>
  </si>
  <si>
    <t>PINTOR(A)</t>
  </si>
  <si>
    <t>JARDINERO(A)</t>
  </si>
  <si>
    <t>AGROPECUARIA, TRAB. DE LA INDUSTRIA</t>
  </si>
  <si>
    <t>JUBILADO(A)/PENSIONADO(A)</t>
  </si>
  <si>
    <t>SIN ESPECIFICAR</t>
  </si>
  <si>
    <t>CARPINTERO/TAPICERO</t>
  </si>
  <si>
    <t>OPERARIO(A)</t>
  </si>
  <si>
    <t>LIMPIEZA, EMPLEADO DE</t>
  </si>
  <si>
    <t>MESERO(A)</t>
  </si>
  <si>
    <t>CHOFER</t>
  </si>
  <si>
    <t>MECÁNICO(A)</t>
  </si>
  <si>
    <t>CAJERO(A)/COBRADOR(A)</t>
  </si>
  <si>
    <t>VENDEDOR(A)</t>
  </si>
  <si>
    <t>SOLDADOR</t>
  </si>
  <si>
    <t>TÉCNICO(A) EN MANTENIMIENTO</t>
  </si>
  <si>
    <t>PROFESIONISTA</t>
  </si>
  <si>
    <t>EMPRESARIO(A)</t>
  </si>
  <si>
    <t>DESEMPLEADO</t>
  </si>
  <si>
    <t>BELLEZA, PROFESIONAL DE SERVICIOS DE</t>
  </si>
  <si>
    <t>CARNICERO(A)</t>
  </si>
  <si>
    <t>ENFERMERO(A)/TRAB. DE APOYO EN SALUD</t>
  </si>
  <si>
    <t>PROFESOR(A)</t>
  </si>
  <si>
    <t>ADMINISTRADOR(A)/CONTADOR(A)</t>
  </si>
  <si>
    <t>ARTESANO(A)</t>
  </si>
  <si>
    <t>DISCAPACITADO</t>
  </si>
  <si>
    <t>GERENTE/DIRECTOR(A)</t>
  </si>
  <si>
    <t>PROFESIONAL TÉCNICO</t>
  </si>
  <si>
    <t>SUPERVISOR(A)</t>
  </si>
  <si>
    <t>AUXILIARES ADMINISTRATIVOS Y DE OFICINA</t>
  </si>
  <si>
    <t>MINISTRO(A) RELIGIOSO(A)</t>
  </si>
  <si>
    <t>FOTÓGRAFO(A)</t>
  </si>
  <si>
    <t>TRABAJADOR(A) DOMÉSTICO(A)</t>
  </si>
  <si>
    <t>ARTISTA INTERPRETATIVO(A)</t>
  </si>
  <si>
    <t>MODISTA/SASTRE</t>
  </si>
  <si>
    <t>MÉDICO(A) /ESP. EN SALUD</t>
  </si>
  <si>
    <t>PLANCHADOR(A)</t>
  </si>
  <si>
    <t>POLICÍA/ SERV. SEGURIDAD Y PROTECCIÓN</t>
  </si>
  <si>
    <t>AEROCOMERCIAL, TRAB. DE LA INDUSTRIA</t>
  </si>
  <si>
    <t>ARTISTA PLÁSTICO/PINTOR(A)</t>
  </si>
  <si>
    <t>AUTOR(A)/PERIODISTA/TRADUCTOR(A)</t>
  </si>
  <si>
    <t>BANQUERO/INVERSIONISTA</t>
  </si>
  <si>
    <t>DEPORTISTA/ENTRENADOR DEPORTIVO</t>
  </si>
  <si>
    <t>DISEÑADOR(A)</t>
  </si>
  <si>
    <t>EXTRACCIÓN, TRAB. DE LA INDUSTRIA DE LA</t>
  </si>
  <si>
    <t>HERRERO(A)/CERRAJERO(A)/JOYERO(A)</t>
  </si>
  <si>
    <t>INGENIERO(A)</t>
  </si>
  <si>
    <t>INVESTIGADOR(A)</t>
  </si>
  <si>
    <t>MISIONERO(A)</t>
  </si>
  <si>
    <t>OTRO</t>
  </si>
  <si>
    <t>SERVIDOR(A) PÚBLICO(A)</t>
  </si>
  <si>
    <t>TURISMO, SERV. RELACIONADOS CON</t>
  </si>
  <si>
    <t xml:space="preserve">  Matrículas consulares expedidas a originarios de San Luis Potosí en el 2023</t>
  </si>
  <si>
    <t>NEW BRUNSWICK Total</t>
  </si>
  <si>
    <t>NUEVA ORLEANS Total</t>
  </si>
  <si>
    <t>NUEVA YORK Total</t>
  </si>
  <si>
    <t>OKLAHOMA CITY Total</t>
  </si>
  <si>
    <t>OMAHA Total</t>
  </si>
  <si>
    <t>ORLANDO Total</t>
  </si>
  <si>
    <t>OXNARD Total</t>
  </si>
  <si>
    <t>PHOENIX Total</t>
  </si>
  <si>
    <t>ATLANTA Total</t>
  </si>
  <si>
    <t>AUSTIN Total</t>
  </si>
  <si>
    <t>BOISE Total</t>
  </si>
  <si>
    <t>BOSTON Total</t>
  </si>
  <si>
    <t>BROWNSVILLE Total</t>
  </si>
  <si>
    <t>CALEXICO Total</t>
  </si>
  <si>
    <t>CHICAGO Total</t>
  </si>
  <si>
    <t>DALLAS Total</t>
  </si>
  <si>
    <t>DEL RIO Total</t>
  </si>
  <si>
    <t>DENVER Total</t>
  </si>
  <si>
    <t>DETROIT Total</t>
  </si>
  <si>
    <t>EAGLE PASS Total</t>
  </si>
  <si>
    <t>EL PASO Total</t>
  </si>
  <si>
    <t>FILADELFIA Total</t>
  </si>
  <si>
    <t>FRESNO Total</t>
  </si>
  <si>
    <t>HOUSTON Total</t>
  </si>
  <si>
    <t>INDIANAPOLIS Total</t>
  </si>
  <si>
    <t>KANSAS CITY Total</t>
  </si>
  <si>
    <t>LAREDO Total</t>
  </si>
  <si>
    <t>LAS VEGAS Total</t>
  </si>
  <si>
    <t>LITTLE ROCK Total</t>
  </si>
  <si>
    <t>LOS ANGELES Total</t>
  </si>
  <si>
    <t>MCALLEN Total</t>
  </si>
  <si>
    <t>MIAMI Total</t>
  </si>
  <si>
    <t>MILWAUKEE Total</t>
  </si>
  <si>
    <t>PORTLAND Total</t>
  </si>
  <si>
    <t>PRESIDIO Total</t>
  </si>
  <si>
    <t>RALEIGH Total</t>
  </si>
  <si>
    <t>SACRAMENTO Total</t>
  </si>
  <si>
    <t>SAINT PAUL Total</t>
  </si>
  <si>
    <t>SALT LAKE CITY Total</t>
  </si>
  <si>
    <t>SAN ANTONIO Total</t>
  </si>
  <si>
    <t>SAN BERNARDINO Total</t>
  </si>
  <si>
    <t>SAN DIEGO Total</t>
  </si>
  <si>
    <t>SAN FRANCISCO Total</t>
  </si>
  <si>
    <t>SAN JOSE Total</t>
  </si>
  <si>
    <t>SANTA ANA Total</t>
  </si>
  <si>
    <t>SEATTLE Total</t>
  </si>
  <si>
    <t>TUCSON Total</t>
  </si>
  <si>
    <t>YUMA Total</t>
  </si>
  <si>
    <t>MATRÍCULAS CONSULARES EXPEDIDAS EN EE.UU. ORIGINARIOS DE SAN LUIS POTOSÍ POR PERFIL OCUPACIONAL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</si>
</sst>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%"/>
    <numFmt numFmtId="165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theme="1"/>
      <name val="Calibri"/>
      <family val="2"/>
      <scheme val="minor"/>
    </font>
    <font>
      <sz val="8"/>
      <color indexed="8"/>
      <name val="Soberana Sans"/>
      <family val="3"/>
    </font>
    <font>
      <sz val="10"/>
      <name val="Montserrat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  <font>
      <b/>
      <sz val="9"/>
      <color rgb="FFFFFFFF"/>
      <name val="Montserrat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101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5" fillId="3" borderId="0" xfId="0" applyFont="1" applyFill="1"/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vertical="center"/>
    </xf>
    <xf numFmtId="164" fontId="6" fillId="4" borderId="9" xfId="0" applyNumberFormat="1" applyFont="1" applyFill="1" applyBorder="1" applyAlignment="1">
      <alignment horizontal="right" vertical="center" wrapText="1"/>
    </xf>
    <xf numFmtId="3" fontId="6" fillId="4" borderId="9" xfId="0" applyNumberFormat="1" applyFont="1" applyFill="1" applyBorder="1" applyAlignment="1">
      <alignment horizontal="right" vertical="center" wrapText="1"/>
    </xf>
    <xf numFmtId="49" fontId="6" fillId="4" borderId="9" xfId="0" applyNumberFormat="1" applyFont="1" applyFill="1" applyBorder="1" applyAlignment="1">
      <alignment vertical="center" wrapText="1"/>
    </xf>
    <xf numFmtId="164" fontId="7" fillId="3" borderId="9" xfId="0" applyNumberFormat="1" applyFont="1" applyFill="1" applyBorder="1" applyAlignment="1">
      <alignment horizontal="right" vertical="center" wrapText="1"/>
    </xf>
    <xf numFmtId="3" fontId="7" fillId="3" borderId="9" xfId="0" applyNumberFormat="1" applyFont="1" applyFill="1" applyBorder="1" applyAlignment="1">
      <alignment horizontal="right" vertical="center" wrapText="1"/>
    </xf>
    <xf numFmtId="49" fontId="8" fillId="3" borderId="9" xfId="0" applyNumberFormat="1" applyFont="1" applyFill="1" applyBorder="1" applyAlignment="1">
      <alignment vertical="center" wrapText="1"/>
    </xf>
    <xf numFmtId="0" fontId="9" fillId="3" borderId="0" xfId="0" applyFont="1" applyFill="1"/>
    <xf numFmtId="0" fontId="10" fillId="0" borderId="0" xfId="0" applyFont="1"/>
    <xf numFmtId="0" fontId="6" fillId="2" borderId="10" xfId="0" applyFont="1" applyFill="1" applyBorder="1" applyAlignment="1">
      <alignment horizontal="center" vertical="center" wrapText="1"/>
    </xf>
    <xf numFmtId="1" fontId="6" fillId="2" borderId="10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3" fontId="10" fillId="0" borderId="0" xfId="0" applyNumberFormat="1" applyFont="1"/>
    <xf numFmtId="1" fontId="10" fillId="0" borderId="0" xfId="0" applyNumberFormat="1" applyFont="1"/>
    <xf numFmtId="0" fontId="13" fillId="3" borderId="0" xfId="0" applyFont="1" applyFill="1"/>
    <xf numFmtId="0" fontId="14" fillId="3" borderId="0" xfId="0" applyFont="1" applyFill="1"/>
    <xf numFmtId="164" fontId="6" fillId="5" borderId="9" xfId="2" applyNumberFormat="1" applyFont="1" applyFill="1" applyBorder="1" applyAlignment="1">
      <alignment horizontal="right" vertical="top" wrapText="1"/>
    </xf>
    <xf numFmtId="165" fontId="6" fillId="5" borderId="9" xfId="2" applyNumberFormat="1" applyFont="1" applyFill="1" applyBorder="1" applyAlignment="1">
      <alignment horizontal="right" vertical="top" wrapText="1"/>
    </xf>
    <xf numFmtId="49" fontId="6" fillId="5" borderId="9" xfId="2" applyNumberFormat="1" applyFont="1" applyFill="1" applyBorder="1" applyAlignment="1">
      <alignment vertical="top" wrapText="1"/>
    </xf>
    <xf numFmtId="0" fontId="15" fillId="3" borderId="0" xfId="0" applyFont="1" applyFill="1"/>
    <xf numFmtId="0" fontId="16" fillId="2" borderId="10" xfId="3" applyFont="1" applyFill="1" applyBorder="1" applyAlignment="1">
      <alignment horizontal="center" vertical="center" wrapText="1"/>
    </xf>
    <xf numFmtId="1" fontId="16" fillId="2" borderId="10" xfId="3" applyNumberFormat="1" applyFont="1" applyFill="1" applyBorder="1" applyAlignment="1">
      <alignment horizontal="center" vertical="center" wrapText="1"/>
    </xf>
    <xf numFmtId="0" fontId="6" fillId="2" borderId="10" xfId="3" applyFont="1" applyFill="1" applyBorder="1" applyAlignment="1">
      <alignment horizontal="center" vertical="center" wrapText="1"/>
    </xf>
    <xf numFmtId="0" fontId="10" fillId="3" borderId="0" xfId="0" applyFont="1" applyFill="1"/>
    <xf numFmtId="0" fontId="17" fillId="3" borderId="0" xfId="0" applyFont="1" applyFill="1"/>
    <xf numFmtId="0" fontId="15" fillId="3" borderId="0" xfId="0" applyFont="1" applyFill="1" applyAlignment="1">
      <alignment vertical="center"/>
    </xf>
    <xf numFmtId="3" fontId="10" fillId="3" borderId="0" xfId="0" applyNumberFormat="1" applyFont="1" applyFill="1"/>
    <xf numFmtId="1" fontId="10" fillId="3" borderId="0" xfId="0" applyNumberFormat="1" applyFont="1" applyFill="1"/>
    <xf numFmtId="0" fontId="18" fillId="3" borderId="0" xfId="0" applyFont="1" applyFill="1"/>
    <xf numFmtId="0" fontId="19" fillId="0" borderId="0" xfId="0" applyFont="1" applyAlignment="1">
      <alignment vertical="top"/>
    </xf>
    <xf numFmtId="0" fontId="19" fillId="0" borderId="0" xfId="0" applyFont="1" applyAlignment="1">
      <alignment horizontal="justify" vertical="center"/>
    </xf>
    <xf numFmtId="3" fontId="9" fillId="3" borderId="0" xfId="0" applyNumberFormat="1" applyFont="1" applyFill="1"/>
    <xf numFmtId="0" fontId="3" fillId="3" borderId="0" xfId="0" applyFont="1" applyFill="1"/>
    <xf numFmtId="0" fontId="10" fillId="3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distributed"/>
    </xf>
    <xf numFmtId="0" fontId="22" fillId="0" borderId="4" xfId="0" applyFont="1" applyBorder="1"/>
    <xf numFmtId="0" fontId="24" fillId="6" borderId="9" xfId="3" applyFont="1" applyFill="1" applyBorder="1" applyAlignment="1">
      <alignment horizontal="center" vertical="center" wrapText="1"/>
    </xf>
    <xf numFmtId="49" fontId="7" fillId="7" borderId="9" xfId="0" applyNumberFormat="1" applyFont="1" applyFill="1" applyBorder="1" applyAlignment="1">
      <alignment horizontal="left" vertical="center" wrapText="1"/>
    </xf>
    <xf numFmtId="3" fontId="7" fillId="7" borderId="9" xfId="0" applyNumberFormat="1" applyFont="1" applyFill="1" applyBorder="1" applyAlignment="1">
      <alignment horizontal="right" vertical="center" wrapText="1"/>
    </xf>
    <xf numFmtId="164" fontId="7" fillId="7" borderId="9" xfId="0" applyNumberFormat="1" applyFont="1" applyFill="1" applyBorder="1" applyAlignment="1">
      <alignment horizontal="right" vertical="center" wrapText="1"/>
    </xf>
    <xf numFmtId="3" fontId="24" fillId="8" borderId="9" xfId="0" applyNumberFormat="1" applyFont="1" applyFill="1" applyBorder="1" applyAlignment="1">
      <alignment horizontal="right" vertical="center" wrapText="1"/>
    </xf>
    <xf numFmtId="164" fontId="24" fillId="8" borderId="9" xfId="0" applyNumberFormat="1" applyFont="1" applyFill="1" applyBorder="1" applyAlignment="1">
      <alignment horizontal="right" vertical="center" wrapText="1"/>
    </xf>
    <xf numFmtId="49" fontId="24" fillId="9" borderId="12" xfId="0" applyNumberFormat="1" applyFont="1" applyFill="1" applyBorder="1" applyAlignment="1">
      <alignment vertical="center" wrapText="1"/>
    </xf>
    <xf numFmtId="3" fontId="24" fillId="9" borderId="9" xfId="0" applyNumberFormat="1" applyFont="1" applyFill="1" applyBorder="1" applyAlignment="1">
      <alignment horizontal="right" vertical="center" wrapText="1"/>
    </xf>
    <xf numFmtId="164" fontId="24" fillId="9" borderId="9" xfId="0" applyNumberFormat="1" applyFont="1" applyFill="1" applyBorder="1" applyAlignment="1">
      <alignment horizontal="right" vertical="center" wrapText="1"/>
    </xf>
    <xf numFmtId="3" fontId="6" fillId="10" borderId="9" xfId="0" applyNumberFormat="1" applyFont="1" applyFill="1" applyBorder="1" applyAlignment="1">
      <alignment horizontal="right" wrapText="1"/>
    </xf>
    <xf numFmtId="164" fontId="6" fillId="10" borderId="9" xfId="0" applyNumberFormat="1" applyFont="1" applyFill="1" applyBorder="1" applyAlignment="1">
      <alignment horizontal="right" wrapText="1"/>
    </xf>
    <xf numFmtId="164" fontId="7" fillId="11" borderId="9" xfId="0" applyNumberFormat="1" applyFont="1" applyFill="1" applyBorder="1" applyAlignment="1">
      <alignment horizontal="right" vertical="center" wrapText="1"/>
    </xf>
    <xf numFmtId="49" fontId="8" fillId="3" borderId="9" xfId="0" applyNumberFormat="1" applyFont="1" applyFill="1" applyBorder="1" applyAlignment="1">
      <alignment vertical="top" wrapText="1"/>
    </xf>
    <xf numFmtId="165" fontId="7" fillId="3" borderId="9" xfId="0" applyNumberFormat="1" applyFont="1" applyFill="1" applyBorder="1" applyAlignment="1">
      <alignment horizontal="right" vertical="top" wrapText="1"/>
    </xf>
    <xf numFmtId="164" fontId="7" fillId="3" borderId="9" xfId="0" applyNumberFormat="1" applyFont="1" applyFill="1" applyBorder="1" applyAlignment="1">
      <alignment horizontal="right" vertical="top" wrapText="1"/>
    </xf>
    <xf numFmtId="4" fontId="10" fillId="3" borderId="0" xfId="0" applyNumberFormat="1" applyFont="1" applyFill="1"/>
    <xf numFmtId="0" fontId="6" fillId="2" borderId="9" xfId="0" applyFont="1" applyFill="1" applyBorder="1" applyAlignment="1">
      <alignment horizontal="center" vertical="center" wrapText="1"/>
    </xf>
    <xf numFmtId="1" fontId="6" fillId="2" borderId="9" xfId="0" applyNumberFormat="1" applyFont="1" applyFill="1" applyBorder="1" applyAlignment="1">
      <alignment horizontal="center" vertical="center" wrapText="1"/>
    </xf>
    <xf numFmtId="0" fontId="16" fillId="2" borderId="9" xfId="3" applyFont="1" applyFill="1" applyBorder="1" applyAlignment="1">
      <alignment horizontal="center" vertical="center" wrapText="1"/>
    </xf>
    <xf numFmtId="0" fontId="6" fillId="2" borderId="9" xfId="3" applyFont="1" applyFill="1" applyBorder="1" applyAlignment="1">
      <alignment horizontal="center" vertical="center" wrapText="1"/>
    </xf>
    <xf numFmtId="1" fontId="16" fillId="2" borderId="9" xfId="3" applyNumberFormat="1" applyFont="1" applyFill="1" applyBorder="1" applyAlignment="1">
      <alignment horizontal="center" vertical="center" wrapText="1"/>
    </xf>
    <xf numFmtId="49" fontId="24" fillId="9" borderId="9" xfId="0" applyNumberFormat="1" applyFont="1" applyFill="1" applyBorder="1" applyAlignment="1">
      <alignment vertical="center" wrapText="1"/>
    </xf>
    <xf numFmtId="0" fontId="23" fillId="0" borderId="4" xfId="1" applyFont="1" applyBorder="1" applyAlignment="1">
      <alignment horizontal="left"/>
    </xf>
    <xf numFmtId="0" fontId="23" fillId="0" borderId="0" xfId="1" applyFont="1" applyBorder="1" applyAlignment="1">
      <alignment horizontal="left"/>
    </xf>
    <xf numFmtId="0" fontId="23" fillId="0" borderId="5" xfId="1" applyFont="1" applyBorder="1" applyAlignment="1">
      <alignment horizontal="left"/>
    </xf>
    <xf numFmtId="0" fontId="21" fillId="2" borderId="1" xfId="0" applyFont="1" applyFill="1" applyBorder="1" applyAlignment="1">
      <alignment horizontal="center" wrapText="1"/>
    </xf>
    <xf numFmtId="0" fontId="21" fillId="2" borderId="2" xfId="0" applyFont="1" applyFill="1" applyBorder="1" applyAlignment="1">
      <alignment horizontal="center" wrapText="1"/>
    </xf>
    <xf numFmtId="0" fontId="21" fillId="2" borderId="3" xfId="0" applyFont="1" applyFill="1" applyBorder="1" applyAlignment="1">
      <alignment horizontal="center" wrapText="1"/>
    </xf>
    <xf numFmtId="0" fontId="22" fillId="0" borderId="4" xfId="0" applyFont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22" fillId="0" borderId="5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49" fontId="6" fillId="10" borderId="9" xfId="0" applyNumberFormat="1" applyFont="1" applyFill="1" applyBorder="1" applyAlignment="1">
      <alignment horizontal="center" vertical="center" wrapText="1"/>
    </xf>
    <xf numFmtId="49" fontId="8" fillId="3" borderId="10" xfId="0" applyNumberFormat="1" applyFont="1" applyFill="1" applyBorder="1" applyAlignment="1">
      <alignment horizontal="center" vertical="center" wrapText="1"/>
    </xf>
    <xf numFmtId="49" fontId="8" fillId="3" borderId="15" xfId="0" applyNumberFormat="1" applyFont="1" applyFill="1" applyBorder="1" applyAlignment="1">
      <alignment horizontal="center" vertical="center" wrapText="1"/>
    </xf>
    <xf numFmtId="49" fontId="8" fillId="3" borderId="14" xfId="0" applyNumberFormat="1" applyFont="1" applyFill="1" applyBorder="1" applyAlignment="1">
      <alignment horizontal="center" vertical="center" wrapText="1"/>
    </xf>
    <xf numFmtId="49" fontId="6" fillId="10" borderId="13" xfId="0" applyNumberFormat="1" applyFont="1" applyFill="1" applyBorder="1" applyAlignment="1">
      <alignment horizontal="center" vertical="center" wrapText="1"/>
    </xf>
    <xf numFmtId="49" fontId="6" fillId="10" borderId="12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/>
    </xf>
    <xf numFmtId="49" fontId="24" fillId="8" borderId="13" xfId="0" applyNumberFormat="1" applyFont="1" applyFill="1" applyBorder="1" applyAlignment="1">
      <alignment horizontal="center" vertical="center" wrapText="1"/>
    </xf>
    <xf numFmtId="49" fontId="24" fillId="8" borderId="12" xfId="0" applyNumberFormat="1" applyFont="1" applyFill="1" applyBorder="1" applyAlignment="1">
      <alignment horizontal="center" vertical="center" wrapText="1"/>
    </xf>
    <xf numFmtId="49" fontId="24" fillId="8" borderId="9" xfId="0" applyNumberFormat="1" applyFont="1" applyFill="1" applyBorder="1" applyAlignment="1">
      <alignment horizontal="center" vertical="center" wrapText="1"/>
    </xf>
    <xf numFmtId="49" fontId="7" fillId="7" borderId="9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Normal" xfId="0" builtinId="0"/>
    <cellStyle name="Normal 2" xfId="2" xr:uid="{00000000-0005-0000-0000-000002000000}"/>
    <cellStyle name="Normal_Hoja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369016</xdr:colOff>
      <xdr:row>2</xdr:row>
      <xdr:rowOff>6042</xdr:rowOff>
    </xdr:from>
    <xdr:to>
      <xdr:col>3</xdr:col>
      <xdr:colOff>881113</xdr:colOff>
      <xdr:row>3</xdr:row>
      <xdr:rowOff>6042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55166" y="748992"/>
          <a:ext cx="512097" cy="2095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248479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3261"/>
          <a:ext cx="5475632" cy="108241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7</xdr:row>
      <xdr:rowOff>123825</xdr:rowOff>
    </xdr:from>
    <xdr:to>
      <xdr:col>5</xdr:col>
      <xdr:colOff>54897</xdr:colOff>
      <xdr:row>8</xdr:row>
      <xdr:rowOff>123825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09925" y="1457325"/>
          <a:ext cx="654972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114300</xdr:colOff>
      <xdr:row>1</xdr:row>
      <xdr:rowOff>9525</xdr:rowOff>
    </xdr:from>
    <xdr:to>
      <xdr:col>1</xdr:col>
      <xdr:colOff>419659</xdr:colOff>
      <xdr:row>3</xdr:row>
      <xdr:rowOff>342899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F39E931-617E-422A-9C2A-F543F5707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0025"/>
          <a:ext cx="924484" cy="714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215348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7151" y="193261"/>
          <a:ext cx="5442501" cy="108241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7</xdr:row>
      <xdr:rowOff>152400</xdr:rowOff>
    </xdr:from>
    <xdr:to>
      <xdr:col>5</xdr:col>
      <xdr:colOff>159672</xdr:colOff>
      <xdr:row>8</xdr:row>
      <xdr:rowOff>146255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314700" y="14859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123825</xdr:colOff>
      <xdr:row>1</xdr:row>
      <xdr:rowOff>9525</xdr:rowOff>
    </xdr:from>
    <xdr:to>
      <xdr:col>1</xdr:col>
      <xdr:colOff>429184</xdr:colOff>
      <xdr:row>3</xdr:row>
      <xdr:rowOff>342899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3DC5003-BC4C-4159-AEE2-B608B27A5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00025"/>
          <a:ext cx="924484" cy="7143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57152</xdr:colOff>
      <xdr:row>1</xdr:row>
      <xdr:rowOff>0</xdr:rowOff>
    </xdr:from>
    <xdr:to>
      <xdr:col>5</xdr:col>
      <xdr:colOff>198784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2" y="193261"/>
          <a:ext cx="5425936" cy="108241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1056724</xdr:colOff>
      <xdr:row>1</xdr:row>
      <xdr:rowOff>124791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8115" y="318052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8</xdr:row>
      <xdr:rowOff>0</xdr:rowOff>
    </xdr:from>
    <xdr:to>
      <xdr:col>5</xdr:col>
      <xdr:colOff>7272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1623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123825</xdr:colOff>
      <xdr:row>1</xdr:row>
      <xdr:rowOff>28575</xdr:rowOff>
    </xdr:from>
    <xdr:to>
      <xdr:col>1</xdr:col>
      <xdr:colOff>429184</xdr:colOff>
      <xdr:row>3</xdr:row>
      <xdr:rowOff>361949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C0246B0-519E-405B-A508-D776AB84C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19075"/>
          <a:ext cx="924484" cy="7143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204304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7151" y="193261"/>
          <a:ext cx="6375675" cy="108241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7</xdr:row>
      <xdr:rowOff>114300</xdr:rowOff>
    </xdr:from>
    <xdr:to>
      <xdr:col>5</xdr:col>
      <xdr:colOff>121572</xdr:colOff>
      <xdr:row>8</xdr:row>
      <xdr:rowOff>114300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4657725" y="16383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114300</xdr:colOff>
      <xdr:row>1</xdr:row>
      <xdr:rowOff>9525</xdr:rowOff>
    </xdr:from>
    <xdr:to>
      <xdr:col>1</xdr:col>
      <xdr:colOff>419659</xdr:colOff>
      <xdr:row>3</xdr:row>
      <xdr:rowOff>342899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D80DD20-12AF-499F-A31D-AECA37F81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0025"/>
          <a:ext cx="924484" cy="7143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SAN LUIS POTOSÍ POR ESTADO EN EE.UU.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574675</xdr:colOff>
      <xdr:row>7</xdr:row>
      <xdr:rowOff>34925</xdr:rowOff>
    </xdr:from>
    <xdr:to>
      <xdr:col>4</xdr:col>
      <xdr:colOff>1086772</xdr:colOff>
      <xdr:row>7</xdr:row>
      <xdr:rowOff>222250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5692775" y="1774825"/>
          <a:ext cx="512097" cy="18732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66675</xdr:colOff>
      <xdr:row>0</xdr:row>
      <xdr:rowOff>142875</xdr:rowOff>
    </xdr:from>
    <xdr:to>
      <xdr:col>1</xdr:col>
      <xdr:colOff>991159</xdr:colOff>
      <xdr:row>3</xdr:row>
      <xdr:rowOff>326650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21F4F99-288C-4B63-9E9C-EE4D74251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42875"/>
          <a:ext cx="924484" cy="7171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SAN LUIS POTOSÍ EN LOS CONSULADOS DE MÉXICO EN EE.UU. 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495300</xdr:colOff>
      <xdr:row>7</xdr:row>
      <xdr:rowOff>133350</xdr:rowOff>
    </xdr:from>
    <xdr:to>
      <xdr:col>4</xdr:col>
      <xdr:colOff>1007397</xdr:colOff>
      <xdr:row>7</xdr:row>
      <xdr:rowOff>323850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9829800" y="1466850"/>
          <a:ext cx="512097" cy="571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76200</xdr:colOff>
      <xdr:row>0</xdr:row>
      <xdr:rowOff>142875</xdr:rowOff>
    </xdr:from>
    <xdr:to>
      <xdr:col>1</xdr:col>
      <xdr:colOff>1000684</xdr:colOff>
      <xdr:row>3</xdr:row>
      <xdr:rowOff>323849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0E65BF3-8A2E-4066-8477-7D8DB9A7B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42875"/>
          <a:ext cx="924484" cy="7143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57152</xdr:colOff>
      <xdr:row>1</xdr:row>
      <xdr:rowOff>0</xdr:rowOff>
    </xdr:from>
    <xdr:to>
      <xdr:col>5</xdr:col>
      <xdr:colOff>165654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7152" y="193261"/>
          <a:ext cx="6281806" cy="108241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993776</xdr:colOff>
      <xdr:row>1</xdr:row>
      <xdr:rowOff>177800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6" y="3683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11043</xdr:colOff>
      <xdr:row>8</xdr:row>
      <xdr:rowOff>66261</xdr:rowOff>
    </xdr:from>
    <xdr:to>
      <xdr:col>4</xdr:col>
      <xdr:colOff>523140</xdr:colOff>
      <xdr:row>8</xdr:row>
      <xdr:rowOff>256761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538304" y="1800087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113333</xdr:colOff>
      <xdr:row>1</xdr:row>
      <xdr:rowOff>9801</xdr:rowOff>
    </xdr:from>
    <xdr:to>
      <xdr:col>1</xdr:col>
      <xdr:colOff>418692</xdr:colOff>
      <xdr:row>3</xdr:row>
      <xdr:rowOff>345936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26B11BB-1C1C-49ED-9934-9A7C72FE1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33" y="203062"/>
          <a:ext cx="951402" cy="722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SAN LUIS POTOSÍ POR NIVEL DE EDUCACIÓN Y ESTADO EN EE.UU. 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446483</xdr:colOff>
      <xdr:row>7</xdr:row>
      <xdr:rowOff>99218</xdr:rowOff>
    </xdr:from>
    <xdr:to>
      <xdr:col>4</xdr:col>
      <xdr:colOff>958580</xdr:colOff>
      <xdr:row>7</xdr:row>
      <xdr:rowOff>287733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9780983" y="1432718"/>
          <a:ext cx="512097" cy="9326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66675</xdr:colOff>
      <xdr:row>1</xdr:row>
      <xdr:rowOff>0</xdr:rowOff>
    </xdr:from>
    <xdr:to>
      <xdr:col>1</xdr:col>
      <xdr:colOff>991159</xdr:colOff>
      <xdr:row>3</xdr:row>
      <xdr:rowOff>333374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2FDA3E4-F13E-4C1F-BAAD-13318B554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52400"/>
          <a:ext cx="924484" cy="7143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SAN LUIS POTOSÍ POR CONSULADO Y NIVEL DE EDUCACIÓN EN EE.UU. 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374579</xdr:colOff>
      <xdr:row>7</xdr:row>
      <xdr:rowOff>139129</xdr:rowOff>
    </xdr:from>
    <xdr:to>
      <xdr:col>4</xdr:col>
      <xdr:colOff>886676</xdr:colOff>
      <xdr:row>7</xdr:row>
      <xdr:rowOff>331769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5008652" y="1883595"/>
          <a:ext cx="512097" cy="19264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47625</xdr:colOff>
      <xdr:row>1</xdr:row>
      <xdr:rowOff>9525</xdr:rowOff>
    </xdr:from>
    <xdr:to>
      <xdr:col>1</xdr:col>
      <xdr:colOff>972109</xdr:colOff>
      <xdr:row>3</xdr:row>
      <xdr:rowOff>342899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1FC2611-F409-4BDF-A2C2-9E6CBD417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61925"/>
          <a:ext cx="924484" cy="7143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19050</xdr:rowOff>
    </xdr:from>
    <xdr:to>
      <xdr:col>5</xdr:col>
      <xdr:colOff>121572</xdr:colOff>
      <xdr:row>8</xdr:row>
      <xdr:rowOff>209550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4657725" y="173355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95250</xdr:colOff>
      <xdr:row>1</xdr:row>
      <xdr:rowOff>28575</xdr:rowOff>
    </xdr:from>
    <xdr:to>
      <xdr:col>1</xdr:col>
      <xdr:colOff>400609</xdr:colOff>
      <xdr:row>3</xdr:row>
      <xdr:rowOff>361949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1B69BAD-2BCB-44CE-8E49-100C9E624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219075"/>
          <a:ext cx="924484" cy="7143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2023</a:t>
          </a: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798284</xdr:colOff>
      <xdr:row>9</xdr:row>
      <xdr:rowOff>3628</xdr:rowOff>
    </xdr:from>
    <xdr:to>
      <xdr:col>5</xdr:col>
      <xdr:colOff>226346</xdr:colOff>
      <xdr:row>10</xdr:row>
      <xdr:rowOff>3627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5890984" y="1718128"/>
          <a:ext cx="526612" cy="19049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47625</xdr:colOff>
      <xdr:row>0</xdr:row>
      <xdr:rowOff>95250</xdr:rowOff>
    </xdr:from>
    <xdr:to>
      <xdr:col>1</xdr:col>
      <xdr:colOff>972109</xdr:colOff>
      <xdr:row>3</xdr:row>
      <xdr:rowOff>285749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2DD6A5D-20C8-4F4A-BE58-A9532DD35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95250"/>
          <a:ext cx="924484" cy="7143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381000" y="97254"/>
          <a:ext cx="4886325" cy="118862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2023</a:t>
          </a: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766160</xdr:colOff>
      <xdr:row>8</xdr:row>
      <xdr:rowOff>164246</xdr:rowOff>
    </xdr:from>
    <xdr:to>
      <xdr:col>5</xdr:col>
      <xdr:colOff>194596</xdr:colOff>
      <xdr:row>9</xdr:row>
      <xdr:rowOff>164245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5858860" y="1688246"/>
          <a:ext cx="526986" cy="19049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95250</xdr:colOff>
      <xdr:row>0</xdr:row>
      <xdr:rowOff>85725</xdr:rowOff>
    </xdr:from>
    <xdr:to>
      <xdr:col>1</xdr:col>
      <xdr:colOff>1019734</xdr:colOff>
      <xdr:row>3</xdr:row>
      <xdr:rowOff>276224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A2D4B94-013C-49BA-B591-A7621F3C5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85725"/>
          <a:ext cx="924484" cy="7143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924157</xdr:colOff>
      <xdr:row>8</xdr:row>
      <xdr:rowOff>190190</xdr:rowOff>
    </xdr:from>
    <xdr:to>
      <xdr:col>6</xdr:col>
      <xdr:colOff>297281</xdr:colOff>
      <xdr:row>9</xdr:row>
      <xdr:rowOff>190190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7115407" y="1714190"/>
          <a:ext cx="528824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76200</xdr:colOff>
      <xdr:row>0</xdr:row>
      <xdr:rowOff>104775</xdr:rowOff>
    </xdr:from>
    <xdr:to>
      <xdr:col>1</xdr:col>
      <xdr:colOff>1000684</xdr:colOff>
      <xdr:row>3</xdr:row>
      <xdr:rowOff>295274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065453E-B2B1-41DA-B46A-138F24B48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4775"/>
          <a:ext cx="924484" cy="7143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4</xdr:col>
      <xdr:colOff>535609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57151" y="193261"/>
          <a:ext cx="6651762" cy="108241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780637</xdr:colOff>
      <xdr:row>1</xdr:row>
      <xdr:rowOff>97183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7072" y="290444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1120222</xdr:colOff>
      <xdr:row>8</xdr:row>
      <xdr:rowOff>53975</xdr:rowOff>
    </xdr:from>
    <xdr:to>
      <xdr:col>4</xdr:col>
      <xdr:colOff>422369</xdr:colOff>
      <xdr:row>8</xdr:row>
      <xdr:rowOff>247236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6056657" y="1787801"/>
          <a:ext cx="539016" cy="19326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95250</xdr:colOff>
      <xdr:row>0</xdr:row>
      <xdr:rowOff>161925</xdr:rowOff>
    </xdr:from>
    <xdr:to>
      <xdr:col>1</xdr:col>
      <xdr:colOff>400609</xdr:colOff>
      <xdr:row>3</xdr:row>
      <xdr:rowOff>304799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16422A3-5468-482D-A60A-59E2789CD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61925"/>
          <a:ext cx="924484" cy="714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showGridLines="0" view="pageBreakPreview" zoomScaleNormal="100" zoomScaleSheetLayoutView="100" workbookViewId="0">
      <selection activeCell="B9" sqref="B9:D9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>
      <c r="A1" s="81" t="s">
        <v>344</v>
      </c>
      <c r="B1" s="82"/>
      <c r="C1" s="82"/>
      <c r="D1" s="83"/>
    </row>
    <row r="2" spans="1:4">
      <c r="A2" s="2"/>
      <c r="B2" s="3"/>
      <c r="C2" s="3"/>
      <c r="D2" s="4"/>
    </row>
    <row r="3" spans="1:4">
      <c r="A3" s="84" t="s">
        <v>0</v>
      </c>
      <c r="B3" s="85"/>
      <c r="C3" s="85"/>
      <c r="D3" s="86"/>
    </row>
    <row r="4" spans="1:4">
      <c r="A4" s="84"/>
      <c r="B4" s="85"/>
      <c r="C4" s="85"/>
      <c r="D4" s="86"/>
    </row>
    <row r="5" spans="1:4">
      <c r="A5" s="5"/>
      <c r="B5" s="6"/>
      <c r="C5" s="6"/>
      <c r="D5" s="7"/>
    </row>
    <row r="6" spans="1:4" ht="18.75">
      <c r="A6" s="78" t="s">
        <v>1</v>
      </c>
      <c r="B6" s="79"/>
      <c r="C6" s="79"/>
      <c r="D6" s="80"/>
    </row>
    <row r="7" spans="1:4">
      <c r="A7" s="8"/>
      <c r="D7" s="9"/>
    </row>
    <row r="8" spans="1:4" ht="18.75">
      <c r="A8" s="78" t="s">
        <v>2</v>
      </c>
      <c r="B8" s="79"/>
      <c r="C8" s="79"/>
      <c r="D8" s="80"/>
    </row>
    <row r="9" spans="1:4" ht="18.75">
      <c r="A9" s="8"/>
      <c r="B9" s="78" t="s">
        <v>3</v>
      </c>
      <c r="C9" s="79"/>
      <c r="D9" s="79"/>
    </row>
    <row r="10" spans="1:4">
      <c r="A10" s="8"/>
      <c r="D10" s="9"/>
    </row>
    <row r="11" spans="1:4" ht="18.75">
      <c r="A11" s="55" t="s">
        <v>4</v>
      </c>
      <c r="D11" s="9"/>
    </row>
    <row r="12" spans="1:4" ht="18.75">
      <c r="A12" s="8"/>
      <c r="B12" s="78" t="s">
        <v>5</v>
      </c>
      <c r="C12" s="79"/>
      <c r="D12" s="79"/>
    </row>
    <row r="13" spans="1:4" ht="18.75">
      <c r="A13" s="8"/>
      <c r="B13" s="78" t="s">
        <v>6</v>
      </c>
      <c r="C13" s="79"/>
      <c r="D13" s="79"/>
    </row>
    <row r="14" spans="1:4" ht="18.75">
      <c r="A14" s="8"/>
      <c r="B14" s="78" t="s">
        <v>7</v>
      </c>
      <c r="C14" s="79"/>
      <c r="D14" s="79"/>
    </row>
    <row r="15" spans="1:4">
      <c r="A15" s="8"/>
      <c r="D15" s="9"/>
    </row>
    <row r="16" spans="1:4" ht="18.75">
      <c r="A16" s="55" t="s">
        <v>8</v>
      </c>
      <c r="D16" s="9"/>
    </row>
    <row r="17" spans="1:4" ht="18.75">
      <c r="A17" s="8"/>
      <c r="B17" s="78" t="s">
        <v>9</v>
      </c>
      <c r="C17" s="79"/>
      <c r="D17" s="79"/>
    </row>
    <row r="18" spans="1:4" ht="18.75">
      <c r="A18" s="8"/>
      <c r="B18" s="78" t="s">
        <v>10</v>
      </c>
      <c r="C18" s="79"/>
      <c r="D18" s="79"/>
    </row>
    <row r="19" spans="1:4" ht="18.75">
      <c r="A19" s="8"/>
      <c r="B19" s="78" t="s">
        <v>11</v>
      </c>
      <c r="C19" s="79"/>
      <c r="D19" s="79"/>
    </row>
    <row r="20" spans="1:4">
      <c r="A20" s="8"/>
      <c r="D20" s="9"/>
    </row>
    <row r="21" spans="1:4" ht="18.75">
      <c r="A21" s="55" t="s">
        <v>12</v>
      </c>
      <c r="D21" s="9"/>
    </row>
    <row r="22" spans="1:4" ht="18.75">
      <c r="A22" s="8"/>
      <c r="B22" s="78" t="s">
        <v>13</v>
      </c>
      <c r="C22" s="79"/>
      <c r="D22" s="79"/>
    </row>
    <row r="23" spans="1:4" ht="18.75">
      <c r="A23" s="8"/>
      <c r="B23" s="78" t="s">
        <v>14</v>
      </c>
      <c r="C23" s="79"/>
      <c r="D23" s="79"/>
    </row>
    <row r="24" spans="1:4" ht="18.75">
      <c r="A24" s="8"/>
      <c r="B24" s="78" t="s">
        <v>36</v>
      </c>
      <c r="C24" s="79"/>
      <c r="D24" s="79"/>
    </row>
    <row r="25" spans="1:4">
      <c r="A25" s="8"/>
      <c r="D25" s="9"/>
    </row>
    <row r="26" spans="1:4" ht="18.75">
      <c r="A26" s="78" t="s">
        <v>15</v>
      </c>
      <c r="B26" s="79"/>
      <c r="C26" s="79"/>
      <c r="D26" s="80"/>
    </row>
    <row r="27" spans="1:4">
      <c r="A27" s="8"/>
      <c r="D27" s="9"/>
    </row>
    <row r="28" spans="1:4" ht="18.75">
      <c r="A28" s="78" t="s">
        <v>16</v>
      </c>
      <c r="B28" s="79"/>
      <c r="C28" s="79"/>
      <c r="D28" s="80"/>
    </row>
    <row r="29" spans="1:4" ht="18.75" thickBot="1">
      <c r="A29" s="10"/>
      <c r="B29" s="11"/>
      <c r="C29" s="11"/>
      <c r="D29" s="12"/>
    </row>
  </sheetData>
  <mergeCells count="16">
    <mergeCell ref="B12:D12"/>
    <mergeCell ref="A1:D1"/>
    <mergeCell ref="A3:D4"/>
    <mergeCell ref="A6:D6"/>
    <mergeCell ref="A8:D8"/>
    <mergeCell ref="B9:D9"/>
    <mergeCell ref="B23:D23"/>
    <mergeCell ref="A26:D26"/>
    <mergeCell ref="A28:D28"/>
    <mergeCell ref="B13:D13"/>
    <mergeCell ref="B14:D14"/>
    <mergeCell ref="B17:D17"/>
    <mergeCell ref="B18:D18"/>
    <mergeCell ref="B19:D19"/>
    <mergeCell ref="B22:D22"/>
    <mergeCell ref="B24:D24"/>
  </mergeCells>
  <hyperlinks>
    <hyperlink ref="A6" location="Aguascalientes_EdoUsa!A1" display="1. Por Estados de USA" xr:uid="{00000000-0004-0000-0000-000000000000}"/>
    <hyperlink ref="A8" location="Aguascalientes_Cons_2018!A1" display="2. Por Circunscripción Consular" xr:uid="{00000000-0004-0000-0000-000001000000}"/>
    <hyperlink ref="B9" location="AguascalientesXCons2018!A1" display="2.1 Top ten por circunscripción consular" xr:uid="{00000000-0004-0000-0000-000002000000}"/>
    <hyperlink ref="B12" location="Aguascalientes_EdoMun!A1" display="3.1 Municipio general" xr:uid="{00000000-0004-0000-0000-000003000000}"/>
    <hyperlink ref="B13" location="Aguascalientes_USAMuni2016!A1" display="3.2 Por Estado de USA" xr:uid="{00000000-0004-0000-0000-000004000000}"/>
    <hyperlink ref="B14" location="Aguascalientes_MUNICIPIO!A1" display="3.3 Por Circunscripción Consular" xr:uid="{00000000-0004-0000-0000-000005000000}"/>
    <hyperlink ref="B17" location="Aguascalientes_educ_gral!A1" display="4.1 Educación general" xr:uid="{00000000-0004-0000-0000-000006000000}"/>
    <hyperlink ref="B18" location="Aguascalientes_NivelE_Cons!A1" display="4.2 Por Estado de USA" xr:uid="{00000000-0004-0000-0000-000007000000}"/>
    <hyperlink ref="B19" location="Aguascalientes_EducCons!A1" display="4.3 Por Circunscripción Consular" xr:uid="{00000000-0004-0000-0000-000008000000}"/>
    <hyperlink ref="B22" location="Aguascalientes_GenGral!A1" display="5.1 Género General" xr:uid="{00000000-0004-0000-0000-000009000000}"/>
    <hyperlink ref="B23" location="Aguascalientes_GENERO!A1" display="5.3 Por Circunscripción Consular" xr:uid="{00000000-0004-0000-0000-00000A000000}"/>
    <hyperlink ref="A26" location="Aguascalientes_Gen_Edad!A1" display="6. Por estructura de Edad" xr:uid="{00000000-0004-0000-0000-00000B000000}"/>
    <hyperlink ref="A28" location="Aguascalientes_ocup_gral!A1" display="7. Por Ocupación" xr:uid="{00000000-0004-0000-0000-00000C000000}"/>
    <hyperlink ref="B13:D13" location="'San Luis Potosí_USAMuni'!A1" display="3.2 Por Estado de USA" xr:uid="{00000000-0004-0000-0000-00000D000000}"/>
    <hyperlink ref="A8:D8" location="'San Luis Potosí_Cons'!A1" display="2. Por Circunscripción Consular" xr:uid="{00000000-0004-0000-0000-00000E000000}"/>
    <hyperlink ref="B9:D9" location="'San Luis PotosíXCons'!A1" display="2.1 Top ten por circunscripción consular" xr:uid="{00000000-0004-0000-0000-00000F000000}"/>
    <hyperlink ref="A6:D6" location="'San Luis Potosí_EdoUsa'!A1" display="1. Por Estados de USA" xr:uid="{00000000-0004-0000-0000-000010000000}"/>
    <hyperlink ref="B12:D12" location="'San Luis Potosí_EdoMun'!A1" display="3.1 Municipio general" xr:uid="{00000000-0004-0000-0000-000011000000}"/>
    <hyperlink ref="B14:D14" location="'San Luis Potosí_MUNICIPIO'!A1" display="3.3 Por Circunscripción Consular" xr:uid="{00000000-0004-0000-0000-000012000000}"/>
    <hyperlink ref="B17:D17" location="'San Luis Potosí_educ_gral'!A1" display="4.1 Educación general" xr:uid="{00000000-0004-0000-0000-000013000000}"/>
    <hyperlink ref="B18:D18" location="'San Luis Potosí_NivelE_Cons'!A1" display="4.2 Por Estado de USA" xr:uid="{00000000-0004-0000-0000-000014000000}"/>
    <hyperlink ref="B19:D19" location="'San Luis Potosí_EducCons'!A1" display="4.3 Por Circunscripción Consular" xr:uid="{00000000-0004-0000-0000-000015000000}"/>
    <hyperlink ref="B22:D22" location="'San Luis Potosí_GenGral'!A1" display="5.1 Género General" xr:uid="{00000000-0004-0000-0000-000016000000}"/>
    <hyperlink ref="B23:D23" location="'San Luis Potosí_GENERO'!A1" display="5.2 Por Circunscripción Consular" xr:uid="{00000000-0004-0000-0000-000017000000}"/>
    <hyperlink ref="A26:D26" location="'San Luis Potosí_Gen_Edad'!A1" display="6. Por estructura de Edad" xr:uid="{00000000-0004-0000-0000-000018000000}"/>
    <hyperlink ref="A28:D28" location="'San Luis Potosí_ocup_gral'!A1" display="7. Por Ocupación" xr:uid="{00000000-0004-0000-0000-000019000000}"/>
    <hyperlink ref="B24" location="'San Luis Potosí_GENERO_EUA'!A1" display="5.3 Por Estado de la Unión Americana" xr:uid="{00000000-0004-0000-0000-00001A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E66"/>
  <sheetViews>
    <sheetView showGridLines="0" view="pageBreakPreview" topLeftCell="A51" zoomScale="115" zoomScaleNormal="100" zoomScaleSheetLayoutView="115" workbookViewId="0">
      <selection activeCell="D60" sqref="B11:D60"/>
    </sheetView>
  </sheetViews>
  <sheetFormatPr baseColWidth="10" defaultColWidth="11.42578125" defaultRowHeight="15"/>
  <cols>
    <col min="1" max="1" width="9.28515625" style="13" customWidth="1"/>
    <col min="2" max="2" width="21.7109375" style="13" customWidth="1"/>
    <col min="3" max="3" width="17.7109375" style="14" customWidth="1"/>
    <col min="4" max="4" width="17.7109375" style="13" customWidth="1"/>
    <col min="5" max="5" width="9.28515625" style="13" customWidth="1"/>
    <col min="6" max="6" width="4.28515625" style="13" customWidth="1"/>
    <col min="7" max="16384" width="11.42578125" style="13"/>
  </cols>
  <sheetData>
    <row r="1" spans="2:5" s="25" customFormat="1" ht="15" customHeight="1">
      <c r="C1" s="31"/>
    </row>
    <row r="2" spans="2:5" s="25" customFormat="1" ht="15" customHeight="1">
      <c r="C2" s="31"/>
    </row>
    <row r="3" spans="2:5" s="25" customFormat="1" ht="15" customHeight="1">
      <c r="C3" s="31"/>
    </row>
    <row r="4" spans="2:5" s="25" customFormat="1" ht="30" customHeight="1">
      <c r="C4" s="31"/>
      <c r="D4" s="30"/>
    </row>
    <row r="5" spans="2:5" s="25" customFormat="1" ht="15" customHeight="1">
      <c r="C5" s="31"/>
      <c r="D5" s="30"/>
    </row>
    <row r="6" spans="2:5" s="25" customFormat="1" ht="15" customHeight="1">
      <c r="C6" s="31"/>
      <c r="D6" s="30"/>
    </row>
    <row r="7" spans="2:5" s="25" customFormat="1" ht="15" customHeight="1">
      <c r="B7" s="87" t="s">
        <v>43</v>
      </c>
      <c r="C7" s="87"/>
      <c r="D7" s="87"/>
    </row>
    <row r="8" spans="2:5" s="25" customFormat="1" ht="15" customHeight="1">
      <c r="B8" s="87"/>
      <c r="C8" s="87"/>
      <c r="D8" s="87"/>
    </row>
    <row r="9" spans="2:5" s="25" customFormat="1" ht="33" customHeight="1">
      <c r="B9" s="87"/>
      <c r="C9" s="87"/>
      <c r="D9" s="87"/>
    </row>
    <row r="10" spans="2:5" s="25" customFormat="1" ht="4.5" customHeight="1">
      <c r="B10" s="29"/>
      <c r="C10" s="29"/>
      <c r="D10" s="29"/>
    </row>
    <row r="11" spans="2:5" s="25" customFormat="1" ht="33" customHeight="1">
      <c r="B11" s="72" t="s">
        <v>21</v>
      </c>
      <c r="C11" s="73" t="s">
        <v>20</v>
      </c>
      <c r="D11" s="72" t="s">
        <v>19</v>
      </c>
    </row>
    <row r="12" spans="2:5" ht="14.45" customHeight="1">
      <c r="B12" s="68" t="s">
        <v>101</v>
      </c>
      <c r="C12" s="69">
        <v>213</v>
      </c>
      <c r="D12" s="70">
        <v>7.1796946101730002E-3</v>
      </c>
    </row>
    <row r="13" spans="2:5" ht="14.45" customHeight="1">
      <c r="B13" s="68" t="s">
        <v>102</v>
      </c>
      <c r="C13" s="69">
        <v>131</v>
      </c>
      <c r="D13" s="70">
        <v>4.4156807226889997E-3</v>
      </c>
      <c r="E13" s="24"/>
    </row>
    <row r="14" spans="2:5" ht="14.45" customHeight="1">
      <c r="B14" s="68" t="s">
        <v>103</v>
      </c>
      <c r="C14" s="69">
        <v>521</v>
      </c>
      <c r="D14" s="70">
        <v>1.7561600431456E-2</v>
      </c>
      <c r="E14" s="24"/>
    </row>
    <row r="15" spans="2:5" ht="14.45" customHeight="1">
      <c r="B15" s="68" t="s">
        <v>104</v>
      </c>
      <c r="C15" s="69">
        <v>1013</v>
      </c>
      <c r="D15" s="70">
        <v>3.4145683756361997E-2</v>
      </c>
    </row>
    <row r="16" spans="2:5" ht="14.45" customHeight="1">
      <c r="B16" s="68" t="s">
        <v>105</v>
      </c>
      <c r="C16" s="69">
        <v>168</v>
      </c>
      <c r="D16" s="70">
        <v>5.6628577207E-3</v>
      </c>
    </row>
    <row r="17" spans="2:4" ht="14.45" customHeight="1">
      <c r="B17" s="68" t="s">
        <v>106</v>
      </c>
      <c r="C17" s="69">
        <v>12</v>
      </c>
      <c r="D17" s="70">
        <v>4.0448983719299999E-4</v>
      </c>
    </row>
    <row r="18" spans="2:4" ht="14.45" customHeight="1">
      <c r="B18" s="68" t="s">
        <v>107</v>
      </c>
      <c r="C18" s="69">
        <v>32</v>
      </c>
      <c r="D18" s="70">
        <v>1.0786395658479999E-3</v>
      </c>
    </row>
    <row r="19" spans="2:4" ht="14.45" customHeight="1">
      <c r="B19" s="68" t="s">
        <v>108</v>
      </c>
      <c r="C19" s="69">
        <v>664</v>
      </c>
      <c r="D19" s="70">
        <v>2.2381770991337001E-2</v>
      </c>
    </row>
    <row r="20" spans="2:4" ht="14.45" customHeight="1">
      <c r="B20" s="68" t="s">
        <v>109</v>
      </c>
      <c r="C20" s="69">
        <v>1037</v>
      </c>
      <c r="D20" s="70">
        <v>3.4954663430747997E-2</v>
      </c>
    </row>
    <row r="21" spans="2:4" ht="14.45" customHeight="1">
      <c r="B21" s="68" t="s">
        <v>110</v>
      </c>
      <c r="C21" s="69">
        <v>1</v>
      </c>
      <c r="D21" s="70">
        <v>3.3707486433000001E-5</v>
      </c>
    </row>
    <row r="22" spans="2:4" ht="14.45" customHeight="1">
      <c r="B22" s="68" t="s">
        <v>111</v>
      </c>
      <c r="C22" s="69">
        <v>44</v>
      </c>
      <c r="D22" s="70">
        <v>1.4831294030399999E-3</v>
      </c>
    </row>
    <row r="23" spans="2:4" ht="14.45" customHeight="1">
      <c r="B23" s="68" t="s">
        <v>112</v>
      </c>
      <c r="C23" s="69">
        <v>1011</v>
      </c>
      <c r="D23" s="70">
        <v>3.4078268783496998E-2</v>
      </c>
    </row>
    <row r="24" spans="2:4" ht="14.45" customHeight="1">
      <c r="B24" s="68" t="s">
        <v>113</v>
      </c>
      <c r="C24" s="69">
        <v>340</v>
      </c>
      <c r="D24" s="70">
        <v>1.1460545387130001E-2</v>
      </c>
    </row>
    <row r="25" spans="2:4" ht="14.45" customHeight="1">
      <c r="B25" s="68" t="s">
        <v>114</v>
      </c>
      <c r="C25" s="69">
        <v>40</v>
      </c>
      <c r="D25" s="70">
        <v>1.348299457309E-3</v>
      </c>
    </row>
    <row r="26" spans="2:4" ht="14.45" customHeight="1">
      <c r="B26" s="68" t="s">
        <v>115</v>
      </c>
      <c r="C26" s="69">
        <v>210</v>
      </c>
      <c r="D26" s="70">
        <v>7.078572150875E-3</v>
      </c>
    </row>
    <row r="27" spans="2:4" ht="14.45" customHeight="1">
      <c r="B27" s="68" t="s">
        <v>116</v>
      </c>
      <c r="C27" s="69">
        <v>130</v>
      </c>
      <c r="D27" s="70">
        <v>4.381973236256E-3</v>
      </c>
    </row>
    <row r="28" spans="2:4" ht="14.45" customHeight="1">
      <c r="B28" s="68" t="s">
        <v>117</v>
      </c>
      <c r="C28" s="69">
        <v>284</v>
      </c>
      <c r="D28" s="70">
        <v>9.5729261468970005E-3</v>
      </c>
    </row>
    <row r="29" spans="2:4" ht="14.45" customHeight="1">
      <c r="B29" s="68" t="s">
        <v>118</v>
      </c>
      <c r="C29" s="69">
        <v>26</v>
      </c>
      <c r="D29" s="70">
        <v>8.7639464725100004E-4</v>
      </c>
    </row>
    <row r="30" spans="2:4" ht="14.45" customHeight="1">
      <c r="B30" s="68" t="s">
        <v>119</v>
      </c>
      <c r="C30" s="69">
        <v>24</v>
      </c>
      <c r="D30" s="70">
        <v>8.0897967438599999E-4</v>
      </c>
    </row>
    <row r="31" spans="2:4" ht="14.45" customHeight="1">
      <c r="B31" s="68" t="s">
        <v>120</v>
      </c>
      <c r="C31" s="69">
        <v>164</v>
      </c>
      <c r="D31" s="70">
        <v>5.528027774969E-3</v>
      </c>
    </row>
    <row r="32" spans="2:4" ht="14.45" customHeight="1">
      <c r="B32" s="68" t="s">
        <v>121</v>
      </c>
      <c r="C32" s="69">
        <v>128</v>
      </c>
      <c r="D32" s="70">
        <v>4.3145582633900004E-3</v>
      </c>
    </row>
    <row r="33" spans="2:4" ht="14.45" customHeight="1">
      <c r="B33" s="68" t="s">
        <v>122</v>
      </c>
      <c r="C33" s="69">
        <v>137</v>
      </c>
      <c r="D33" s="70">
        <v>4.6179256412850001E-3</v>
      </c>
    </row>
    <row r="34" spans="2:4" ht="14.45" customHeight="1">
      <c r="B34" s="68" t="s">
        <v>123</v>
      </c>
      <c r="C34" s="69">
        <v>120</v>
      </c>
      <c r="D34" s="70">
        <v>4.0448983719279996E-3</v>
      </c>
    </row>
    <row r="35" spans="2:4" ht="14.45" customHeight="1">
      <c r="B35" s="68" t="s">
        <v>124</v>
      </c>
      <c r="C35" s="69">
        <v>10</v>
      </c>
      <c r="D35" s="70">
        <v>3.3707486432699998E-4</v>
      </c>
    </row>
    <row r="36" spans="2:4" ht="14.45" customHeight="1">
      <c r="B36" s="68" t="s">
        <v>125</v>
      </c>
      <c r="C36" s="69">
        <v>80</v>
      </c>
      <c r="D36" s="70">
        <v>2.696598914619E-3</v>
      </c>
    </row>
    <row r="37" spans="2:4" ht="14.45" customHeight="1">
      <c r="B37" s="68" t="s">
        <v>126</v>
      </c>
      <c r="C37" s="69">
        <v>141</v>
      </c>
      <c r="D37" s="70">
        <v>4.752755587016E-3</v>
      </c>
    </row>
    <row r="38" spans="2:4" ht="14.45" customHeight="1">
      <c r="B38" s="68" t="s">
        <v>127</v>
      </c>
      <c r="C38" s="69">
        <v>2</v>
      </c>
      <c r="D38" s="70">
        <v>6.7414972865000001E-5</v>
      </c>
    </row>
    <row r="39" spans="2:4" ht="14.45" customHeight="1">
      <c r="B39" s="68" t="s">
        <v>128</v>
      </c>
      <c r="C39" s="69">
        <v>32</v>
      </c>
      <c r="D39" s="70">
        <v>1.0786395658479999E-3</v>
      </c>
    </row>
    <row r="40" spans="2:4" ht="14.45" customHeight="1">
      <c r="B40" s="68" t="s">
        <v>129</v>
      </c>
      <c r="C40" s="69">
        <v>57</v>
      </c>
      <c r="D40" s="70">
        <v>1.9213267266660001E-3</v>
      </c>
    </row>
    <row r="41" spans="2:4" ht="14.45" customHeight="1">
      <c r="B41" s="68" t="s">
        <v>130</v>
      </c>
      <c r="C41" s="69">
        <v>52</v>
      </c>
      <c r="D41" s="70">
        <v>1.7527892945020001E-3</v>
      </c>
    </row>
    <row r="42" spans="2:4" ht="14.45" customHeight="1">
      <c r="B42" s="68" t="s">
        <v>131</v>
      </c>
      <c r="C42" s="69">
        <v>831</v>
      </c>
      <c r="D42" s="70">
        <v>2.8010921225603998E-2</v>
      </c>
    </row>
    <row r="43" spans="2:4" ht="14.45" customHeight="1">
      <c r="B43" s="68" t="s">
        <v>132</v>
      </c>
      <c r="C43" s="69">
        <v>10</v>
      </c>
      <c r="D43" s="70">
        <v>3.3707486432699998E-4</v>
      </c>
    </row>
    <row r="44" spans="2:4" ht="14.45" customHeight="1">
      <c r="B44" s="68" t="s">
        <v>133</v>
      </c>
      <c r="C44" s="69">
        <v>158</v>
      </c>
      <c r="D44" s="70">
        <v>5.3257828563719996E-3</v>
      </c>
    </row>
    <row r="45" spans="2:4" ht="14.45" customHeight="1">
      <c r="B45" s="68" t="s">
        <v>134</v>
      </c>
      <c r="C45" s="69">
        <v>864</v>
      </c>
      <c r="D45" s="70">
        <v>2.9123268277885E-2</v>
      </c>
    </row>
    <row r="46" spans="2:4" ht="14.45" customHeight="1">
      <c r="B46" s="68" t="s">
        <v>135</v>
      </c>
      <c r="C46" s="69">
        <v>12</v>
      </c>
      <c r="D46" s="70">
        <v>4.0448983719299999E-4</v>
      </c>
    </row>
    <row r="47" spans="2:4" ht="14.45" customHeight="1">
      <c r="B47" s="68" t="s">
        <v>136</v>
      </c>
      <c r="C47" s="69">
        <v>27</v>
      </c>
      <c r="D47" s="70">
        <v>9.1010213368400005E-4</v>
      </c>
    </row>
    <row r="48" spans="2:4" ht="14.45" customHeight="1">
      <c r="B48" s="68" t="s">
        <v>137</v>
      </c>
      <c r="C48" s="69">
        <v>2</v>
      </c>
      <c r="D48" s="70">
        <v>6.7414972865000001E-5</v>
      </c>
    </row>
    <row r="49" spans="2:4" ht="14.45" customHeight="1">
      <c r="B49" s="68" t="s">
        <v>138</v>
      </c>
      <c r="C49" s="69">
        <v>281</v>
      </c>
      <c r="D49" s="70">
        <v>9.4718036875989994E-3</v>
      </c>
    </row>
    <row r="50" spans="2:4" ht="14.45" customHeight="1">
      <c r="B50" s="68" t="s">
        <v>139</v>
      </c>
      <c r="C50" s="69">
        <v>13</v>
      </c>
      <c r="D50" s="70">
        <v>4.38197323626E-4</v>
      </c>
    </row>
    <row r="51" spans="2:4" ht="14.45" customHeight="1">
      <c r="B51" s="68" t="s">
        <v>140</v>
      </c>
      <c r="C51" s="69">
        <v>628</v>
      </c>
      <c r="D51" s="70">
        <v>2.1168301479759E-2</v>
      </c>
    </row>
    <row r="52" spans="2:4" ht="14.45" customHeight="1">
      <c r="B52" s="68" t="s">
        <v>141</v>
      </c>
      <c r="C52" s="69">
        <v>19697</v>
      </c>
      <c r="D52" s="70">
        <v>0.66393636026561498</v>
      </c>
    </row>
    <row r="53" spans="2:4" ht="14.45" customHeight="1">
      <c r="B53" s="68" t="s">
        <v>142</v>
      </c>
      <c r="C53" s="69">
        <v>50</v>
      </c>
      <c r="D53" s="70">
        <v>1.6853743216369999E-3</v>
      </c>
    </row>
    <row r="54" spans="2:4" ht="14.45" customHeight="1">
      <c r="B54" s="68" t="s">
        <v>143</v>
      </c>
      <c r="C54" s="69">
        <v>2</v>
      </c>
      <c r="D54" s="70">
        <v>6.7414972865000001E-5</v>
      </c>
    </row>
    <row r="55" spans="2:4" ht="14.45" customHeight="1">
      <c r="B55" s="68" t="s">
        <v>144</v>
      </c>
      <c r="C55" s="69">
        <v>146</v>
      </c>
      <c r="D55" s="70">
        <v>4.9212930191799998E-3</v>
      </c>
    </row>
    <row r="56" spans="2:4" ht="14.45" customHeight="1">
      <c r="B56" s="68" t="s">
        <v>70</v>
      </c>
      <c r="C56" s="69">
        <v>41</v>
      </c>
      <c r="D56" s="70">
        <v>1.382006943742E-3</v>
      </c>
    </row>
    <row r="57" spans="2:4" ht="14.45" customHeight="1">
      <c r="B57" s="68" t="s">
        <v>145</v>
      </c>
      <c r="C57" s="69">
        <v>3</v>
      </c>
      <c r="D57" s="70">
        <v>1.0112245929799999E-4</v>
      </c>
    </row>
    <row r="58" spans="2:4" ht="14.45" customHeight="1">
      <c r="B58" s="68" t="s">
        <v>146</v>
      </c>
      <c r="C58" s="69">
        <v>62</v>
      </c>
      <c r="D58" s="70">
        <v>2.0898641588299998E-3</v>
      </c>
    </row>
    <row r="59" spans="2:4" ht="14.45" customHeight="1">
      <c r="B59" s="68" t="s">
        <v>147</v>
      </c>
      <c r="C59" s="69">
        <v>16</v>
      </c>
      <c r="D59" s="70">
        <v>5.3931978292399995E-4</v>
      </c>
    </row>
    <row r="60" spans="2:4" ht="14.45" customHeight="1">
      <c r="B60" s="20" t="s">
        <v>29</v>
      </c>
      <c r="C60" s="19">
        <v>29667</v>
      </c>
      <c r="D60" s="18">
        <v>1</v>
      </c>
    </row>
    <row r="61" spans="2:4" ht="14.45" customHeight="1">
      <c r="B61" s="17"/>
    </row>
    <row r="62" spans="2:4" ht="14.45" customHeight="1">
      <c r="B62" s="15" t="s">
        <v>47</v>
      </c>
    </row>
    <row r="63" spans="2:4" ht="14.45" customHeight="1">
      <c r="B63" s="17" t="s">
        <v>18</v>
      </c>
    </row>
    <row r="64" spans="2:4" ht="14.45" customHeight="1">
      <c r="B64" s="16" t="s">
        <v>48</v>
      </c>
    </row>
    <row r="65" spans="2:2" ht="14.45" customHeight="1">
      <c r="B65" s="15" t="s">
        <v>17</v>
      </c>
    </row>
    <row r="66" spans="2:2" ht="14.45" customHeight="1">
      <c r="B66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1:E69"/>
  <sheetViews>
    <sheetView showGridLines="0" view="pageBreakPreview" zoomScale="115" zoomScaleNormal="100" zoomScaleSheetLayoutView="115" workbookViewId="0">
      <selection activeCell="D63" sqref="B11:D63"/>
    </sheetView>
  </sheetViews>
  <sheetFormatPr baseColWidth="10" defaultColWidth="11.42578125" defaultRowHeight="15"/>
  <cols>
    <col min="1" max="1" width="9.28515625" style="13" customWidth="1"/>
    <col min="2" max="2" width="21.7109375" style="13" customWidth="1"/>
    <col min="3" max="3" width="17.7109375" style="14" customWidth="1"/>
    <col min="4" max="4" width="17.7109375" style="13" customWidth="1"/>
    <col min="5" max="5" width="9.28515625" style="13" customWidth="1"/>
    <col min="6" max="6" width="3.85546875" style="13" customWidth="1"/>
    <col min="7" max="16384" width="11.42578125" style="13"/>
  </cols>
  <sheetData>
    <row r="1" spans="2:5" s="25" customFormat="1" ht="15" customHeight="1">
      <c r="C1" s="31"/>
    </row>
    <row r="2" spans="2:5" s="25" customFormat="1" ht="15" customHeight="1">
      <c r="C2" s="31"/>
    </row>
    <row r="3" spans="2:5" s="25" customFormat="1" ht="15" customHeight="1">
      <c r="C3" s="31"/>
    </row>
    <row r="4" spans="2:5" s="25" customFormat="1" ht="30" customHeight="1">
      <c r="C4" s="31"/>
      <c r="D4" s="30"/>
    </row>
    <row r="5" spans="2:5" s="25" customFormat="1" ht="15" customHeight="1">
      <c r="C5" s="31"/>
      <c r="D5" s="30"/>
    </row>
    <row r="6" spans="2:5" s="25" customFormat="1" ht="15" customHeight="1">
      <c r="C6" s="31"/>
      <c r="D6" s="30"/>
    </row>
    <row r="7" spans="2:5" s="25" customFormat="1" ht="15" customHeight="1">
      <c r="B7" s="87" t="s">
        <v>37</v>
      </c>
      <c r="C7" s="87"/>
      <c r="D7" s="87"/>
    </row>
    <row r="8" spans="2:5" s="25" customFormat="1" ht="15" customHeight="1">
      <c r="B8" s="87"/>
      <c r="C8" s="87"/>
      <c r="D8" s="87"/>
    </row>
    <row r="9" spans="2:5" s="25" customFormat="1" ht="33" customHeight="1">
      <c r="B9" s="87"/>
      <c r="C9" s="87"/>
      <c r="D9" s="87"/>
    </row>
    <row r="10" spans="2:5" s="25" customFormat="1" ht="4.5" customHeight="1">
      <c r="B10" s="29"/>
      <c r="C10" s="29"/>
      <c r="D10" s="29"/>
    </row>
    <row r="11" spans="2:5" s="25" customFormat="1" ht="33" customHeight="1">
      <c r="B11" s="72" t="s">
        <v>22</v>
      </c>
      <c r="C11" s="73" t="s">
        <v>20</v>
      </c>
      <c r="D11" s="72" t="s">
        <v>19</v>
      </c>
    </row>
    <row r="12" spans="2:5">
      <c r="B12" s="23" t="s">
        <v>50</v>
      </c>
      <c r="C12" s="22">
        <v>8351</v>
      </c>
      <c r="D12" s="21">
        <v>0.28149121919978398</v>
      </c>
    </row>
    <row r="13" spans="2:5">
      <c r="B13" s="23" t="s">
        <v>51</v>
      </c>
      <c r="C13" s="22">
        <v>7429</v>
      </c>
      <c r="D13" s="21">
        <v>0.250412916708801</v>
      </c>
    </row>
    <row r="14" spans="2:5">
      <c r="B14" s="23" t="s">
        <v>52</v>
      </c>
      <c r="C14" s="22">
        <v>1598</v>
      </c>
      <c r="D14" s="21">
        <v>5.3864563319512997E-2</v>
      </c>
      <c r="E14" s="24"/>
    </row>
    <row r="15" spans="2:5">
      <c r="B15" s="23" t="s">
        <v>53</v>
      </c>
      <c r="C15" s="22">
        <v>1479</v>
      </c>
      <c r="D15" s="21">
        <v>4.9853372434018002E-2</v>
      </c>
    </row>
    <row r="16" spans="2:5">
      <c r="B16" s="23" t="s">
        <v>54</v>
      </c>
      <c r="C16" s="22">
        <v>1222</v>
      </c>
      <c r="D16" s="21">
        <v>4.1190548420804003E-2</v>
      </c>
    </row>
    <row r="17" spans="2:4">
      <c r="B17" s="23" t="s">
        <v>55</v>
      </c>
      <c r="C17" s="22">
        <v>1175</v>
      </c>
      <c r="D17" s="21">
        <v>3.9606296558466002E-2</v>
      </c>
    </row>
    <row r="18" spans="2:4">
      <c r="B18" s="23" t="s">
        <v>56</v>
      </c>
      <c r="C18" s="22">
        <v>1023</v>
      </c>
      <c r="D18" s="21">
        <v>3.4482758620690002E-2</v>
      </c>
    </row>
    <row r="19" spans="2:4">
      <c r="B19" s="23" t="s">
        <v>57</v>
      </c>
      <c r="C19" s="22">
        <v>821</v>
      </c>
      <c r="D19" s="21">
        <v>2.7673846361277E-2</v>
      </c>
    </row>
    <row r="20" spans="2:4">
      <c r="B20" s="23" t="s">
        <v>58</v>
      </c>
      <c r="C20" s="22">
        <v>705</v>
      </c>
      <c r="D20" s="21">
        <v>2.3763777935079E-2</v>
      </c>
    </row>
    <row r="21" spans="2:4">
      <c r="B21" s="23" t="s">
        <v>59</v>
      </c>
      <c r="C21" s="22">
        <v>644</v>
      </c>
      <c r="D21" s="21">
        <v>2.1707621262682001E-2</v>
      </c>
    </row>
    <row r="22" spans="2:4">
      <c r="B22" s="23" t="s">
        <v>60</v>
      </c>
      <c r="C22" s="22">
        <v>473</v>
      </c>
      <c r="D22" s="21">
        <v>1.5943641082684E-2</v>
      </c>
    </row>
    <row r="23" spans="2:4">
      <c r="B23" s="23" t="s">
        <v>61</v>
      </c>
      <c r="C23" s="22">
        <v>426</v>
      </c>
      <c r="D23" s="21">
        <v>1.4359389220346E-2</v>
      </c>
    </row>
    <row r="24" spans="2:4">
      <c r="B24" s="23" t="s">
        <v>62</v>
      </c>
      <c r="C24" s="22">
        <v>425</v>
      </c>
      <c r="D24" s="21">
        <v>1.4325681733913E-2</v>
      </c>
    </row>
    <row r="25" spans="2:4">
      <c r="B25" s="23" t="s">
        <v>63</v>
      </c>
      <c r="C25" s="22">
        <v>361</v>
      </c>
      <c r="D25" s="21">
        <v>1.2168402602217999E-2</v>
      </c>
    </row>
    <row r="26" spans="2:4">
      <c r="B26" s="23" t="s">
        <v>64</v>
      </c>
      <c r="C26" s="22">
        <v>343</v>
      </c>
      <c r="D26" s="21">
        <v>1.1561667846428999E-2</v>
      </c>
    </row>
    <row r="27" spans="2:4">
      <c r="B27" s="23" t="s">
        <v>65</v>
      </c>
      <c r="C27" s="22">
        <v>318</v>
      </c>
      <c r="D27" s="21">
        <v>1.0718980685610001E-2</v>
      </c>
    </row>
    <row r="28" spans="2:4">
      <c r="B28" s="23" t="s">
        <v>66</v>
      </c>
      <c r="C28" s="22">
        <v>255</v>
      </c>
      <c r="D28" s="21">
        <v>8.5954090403479993E-3</v>
      </c>
    </row>
    <row r="29" spans="2:4">
      <c r="B29" s="23" t="s">
        <v>67</v>
      </c>
      <c r="C29" s="22">
        <v>255</v>
      </c>
      <c r="D29" s="21">
        <v>8.5954090403479993E-3</v>
      </c>
    </row>
    <row r="30" spans="2:4">
      <c r="B30" s="23" t="s">
        <v>68</v>
      </c>
      <c r="C30" s="22">
        <v>226</v>
      </c>
      <c r="D30" s="21">
        <v>7.6178919337979998E-3</v>
      </c>
    </row>
    <row r="31" spans="2:4">
      <c r="B31" s="23" t="s">
        <v>69</v>
      </c>
      <c r="C31" s="22">
        <v>171</v>
      </c>
      <c r="D31" s="21">
        <v>5.7639801799980002E-3</v>
      </c>
    </row>
    <row r="32" spans="2:4">
      <c r="B32" s="23" t="s">
        <v>70</v>
      </c>
      <c r="C32" s="22">
        <v>158</v>
      </c>
      <c r="D32" s="21">
        <v>5.3257828563719996E-3</v>
      </c>
    </row>
    <row r="33" spans="2:4">
      <c r="B33" s="23" t="s">
        <v>71</v>
      </c>
      <c r="C33" s="22">
        <v>146</v>
      </c>
      <c r="D33" s="21">
        <v>4.9212930191799998E-3</v>
      </c>
    </row>
    <row r="34" spans="2:4">
      <c r="B34" s="23" t="s">
        <v>72</v>
      </c>
      <c r="C34" s="22">
        <v>140</v>
      </c>
      <c r="D34" s="21">
        <v>4.7190481005830003E-3</v>
      </c>
    </row>
    <row r="35" spans="2:4">
      <c r="B35" s="23" t="s">
        <v>73</v>
      </c>
      <c r="C35" s="22">
        <v>136</v>
      </c>
      <c r="D35" s="21">
        <v>4.5842181548520003E-3</v>
      </c>
    </row>
    <row r="36" spans="2:4">
      <c r="B36" s="23" t="s">
        <v>74</v>
      </c>
      <c r="C36" s="22">
        <v>136</v>
      </c>
      <c r="D36" s="21">
        <v>4.5842181548520003E-3</v>
      </c>
    </row>
    <row r="37" spans="2:4">
      <c r="B37" s="23" t="s">
        <v>75</v>
      </c>
      <c r="C37" s="22">
        <v>135</v>
      </c>
      <c r="D37" s="21">
        <v>4.5505106684189996E-3</v>
      </c>
    </row>
    <row r="38" spans="2:4">
      <c r="B38" s="23" t="s">
        <v>76</v>
      </c>
      <c r="C38" s="22">
        <v>117</v>
      </c>
      <c r="D38" s="21">
        <v>3.9437759126300003E-3</v>
      </c>
    </row>
    <row r="39" spans="2:4">
      <c r="B39" s="23" t="s">
        <v>77</v>
      </c>
      <c r="C39" s="22">
        <v>110</v>
      </c>
      <c r="D39" s="21">
        <v>3.7078235076010001E-3</v>
      </c>
    </row>
    <row r="40" spans="2:4">
      <c r="B40" s="23" t="s">
        <v>78</v>
      </c>
      <c r="C40" s="22">
        <v>109</v>
      </c>
      <c r="D40" s="21">
        <v>3.6741160211679999E-3</v>
      </c>
    </row>
    <row r="41" spans="2:4">
      <c r="B41" s="23" t="s">
        <v>79</v>
      </c>
      <c r="C41" s="22">
        <v>97</v>
      </c>
      <c r="D41" s="21">
        <v>3.269626183975E-3</v>
      </c>
    </row>
    <row r="42" spans="2:4">
      <c r="B42" s="23" t="s">
        <v>80</v>
      </c>
      <c r="C42" s="22">
        <v>70</v>
      </c>
      <c r="D42" s="21">
        <v>2.3595240502920002E-3</v>
      </c>
    </row>
    <row r="43" spans="2:4">
      <c r="B43" s="23" t="s">
        <v>81</v>
      </c>
      <c r="C43" s="22">
        <v>65</v>
      </c>
      <c r="D43" s="21">
        <v>2.190986618128E-3</v>
      </c>
    </row>
    <row r="44" spans="2:4">
      <c r="B44" s="23" t="s">
        <v>82</v>
      </c>
      <c r="C44" s="22">
        <v>62</v>
      </c>
      <c r="D44" s="21">
        <v>2.0898641588299998E-3</v>
      </c>
    </row>
    <row r="45" spans="2:4">
      <c r="B45" s="23" t="s">
        <v>83</v>
      </c>
      <c r="C45" s="22">
        <v>60</v>
      </c>
      <c r="D45" s="21">
        <v>2.0224491859639998E-3</v>
      </c>
    </row>
    <row r="46" spans="2:4">
      <c r="B46" s="23" t="s">
        <v>84</v>
      </c>
      <c r="C46" s="22">
        <v>59</v>
      </c>
      <c r="D46" s="21">
        <v>1.988741699531E-3</v>
      </c>
    </row>
    <row r="47" spans="2:4">
      <c r="B47" s="23" t="s">
        <v>85</v>
      </c>
      <c r="C47" s="22">
        <v>57</v>
      </c>
      <c r="D47" s="21">
        <v>1.9213267266660001E-3</v>
      </c>
    </row>
    <row r="48" spans="2:4">
      <c r="B48" s="23" t="s">
        <v>86</v>
      </c>
      <c r="C48" s="22">
        <v>57</v>
      </c>
      <c r="D48" s="21">
        <v>1.9213267266660001E-3</v>
      </c>
    </row>
    <row r="49" spans="2:4">
      <c r="B49" s="23" t="s">
        <v>87</v>
      </c>
      <c r="C49" s="22">
        <v>42</v>
      </c>
      <c r="D49" s="21">
        <v>1.415714430175E-3</v>
      </c>
    </row>
    <row r="50" spans="2:4">
      <c r="B50" s="23" t="s">
        <v>88</v>
      </c>
      <c r="C50" s="22">
        <v>38</v>
      </c>
      <c r="D50" s="21">
        <v>1.280884484444E-3</v>
      </c>
    </row>
    <row r="51" spans="2:4">
      <c r="B51" s="23" t="s">
        <v>89</v>
      </c>
      <c r="C51" s="22">
        <v>30</v>
      </c>
      <c r="D51" s="21">
        <v>1.0112245929819999E-3</v>
      </c>
    </row>
    <row r="52" spans="2:4">
      <c r="B52" s="23" t="s">
        <v>90</v>
      </c>
      <c r="C52" s="22">
        <v>28</v>
      </c>
      <c r="D52" s="21">
        <v>9.4380962011699995E-4</v>
      </c>
    </row>
    <row r="53" spans="2:4">
      <c r="B53" s="23" t="s">
        <v>91</v>
      </c>
      <c r="C53" s="22">
        <v>26</v>
      </c>
      <c r="D53" s="21">
        <v>8.7639464725100004E-4</v>
      </c>
    </row>
    <row r="54" spans="2:4">
      <c r="B54" s="23" t="s">
        <v>92</v>
      </c>
      <c r="C54" s="22">
        <v>21</v>
      </c>
      <c r="D54" s="21">
        <v>7.0785721508699996E-4</v>
      </c>
    </row>
    <row r="55" spans="2:4">
      <c r="B55" s="23" t="s">
        <v>93</v>
      </c>
      <c r="C55" s="22">
        <v>16</v>
      </c>
      <c r="D55" s="21">
        <v>5.3931978292399995E-4</v>
      </c>
    </row>
    <row r="56" spans="2:4">
      <c r="B56" s="23" t="s">
        <v>94</v>
      </c>
      <c r="C56" s="22">
        <v>15</v>
      </c>
      <c r="D56" s="21">
        <v>5.0561229649099995E-4</v>
      </c>
    </row>
    <row r="57" spans="2:4">
      <c r="B57" s="23" t="s">
        <v>95</v>
      </c>
      <c r="C57" s="22">
        <v>14</v>
      </c>
      <c r="D57" s="21">
        <v>4.7190481005799999E-4</v>
      </c>
    </row>
    <row r="58" spans="2:4">
      <c r="B58" s="23" t="s">
        <v>96</v>
      </c>
      <c r="C58" s="22">
        <v>10</v>
      </c>
      <c r="D58" s="21">
        <v>3.3707486432699998E-4</v>
      </c>
    </row>
    <row r="59" spans="2:4">
      <c r="B59" s="23" t="s">
        <v>97</v>
      </c>
      <c r="C59" s="22">
        <v>6</v>
      </c>
      <c r="D59" s="21">
        <v>2.0224491859599999E-4</v>
      </c>
    </row>
    <row r="60" spans="2:4">
      <c r="B60" s="23" t="s">
        <v>98</v>
      </c>
      <c r="C60" s="22">
        <v>5</v>
      </c>
      <c r="D60" s="21">
        <v>1.68537432164E-4</v>
      </c>
    </row>
    <row r="61" spans="2:4">
      <c r="B61" s="23" t="s">
        <v>99</v>
      </c>
      <c r="C61" s="22">
        <v>1</v>
      </c>
      <c r="D61" s="21">
        <v>3.3707486433000001E-5</v>
      </c>
    </row>
    <row r="62" spans="2:4">
      <c r="B62" s="23" t="s">
        <v>100</v>
      </c>
      <c r="C62" s="22">
        <v>1</v>
      </c>
      <c r="D62" s="21">
        <v>3.3707486433000001E-5</v>
      </c>
    </row>
    <row r="63" spans="2:4">
      <c r="B63" s="20" t="s">
        <v>29</v>
      </c>
      <c r="C63" s="19">
        <v>29667</v>
      </c>
      <c r="D63" s="18">
        <v>1</v>
      </c>
    </row>
    <row r="64" spans="2:4">
      <c r="B64" s="15"/>
    </row>
    <row r="65" spans="2:2">
      <c r="B65" s="15" t="s">
        <v>47</v>
      </c>
    </row>
    <row r="66" spans="2:2">
      <c r="B66" s="17" t="s">
        <v>18</v>
      </c>
    </row>
    <row r="67" spans="2:2">
      <c r="B67" s="16" t="s">
        <v>48</v>
      </c>
    </row>
    <row r="68" spans="2:2">
      <c r="B68" s="15" t="s">
        <v>17</v>
      </c>
    </row>
    <row r="69" spans="2:2">
      <c r="B69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E29"/>
  <sheetViews>
    <sheetView showGridLines="0" view="pageBreakPreview" topLeftCell="A12" zoomScale="115" zoomScaleNormal="100" zoomScaleSheetLayoutView="115" workbookViewId="0">
      <selection activeCell="D12" sqref="D12:D21"/>
    </sheetView>
  </sheetViews>
  <sheetFormatPr baseColWidth="10" defaultColWidth="11.42578125" defaultRowHeight="15"/>
  <cols>
    <col min="1" max="1" width="9.28515625" style="13" customWidth="1"/>
    <col min="2" max="2" width="21.7109375" style="13" customWidth="1"/>
    <col min="3" max="3" width="17.7109375" style="14" customWidth="1"/>
    <col min="4" max="4" width="17.7109375" style="13" customWidth="1"/>
    <col min="5" max="5" width="9.28515625" style="13" customWidth="1"/>
    <col min="6" max="6" width="4" style="13" customWidth="1"/>
    <col min="7" max="16384" width="11.42578125" style="13"/>
  </cols>
  <sheetData>
    <row r="1" spans="2:5" s="25" customFormat="1" ht="15" customHeight="1">
      <c r="C1" s="31"/>
    </row>
    <row r="2" spans="2:5" s="25" customFormat="1" ht="15" customHeight="1">
      <c r="C2" s="31"/>
    </row>
    <row r="3" spans="2:5" s="25" customFormat="1" ht="15" customHeight="1">
      <c r="C3" s="31"/>
    </row>
    <row r="4" spans="2:5" s="25" customFormat="1" ht="30" customHeight="1">
      <c r="C4" s="31"/>
      <c r="D4" s="30"/>
    </row>
    <row r="5" spans="2:5" s="25" customFormat="1" ht="15" customHeight="1">
      <c r="C5" s="31"/>
      <c r="D5" s="30"/>
    </row>
    <row r="6" spans="2:5" s="25" customFormat="1" ht="15" customHeight="1">
      <c r="C6" s="31"/>
      <c r="D6" s="30"/>
    </row>
    <row r="7" spans="2:5" s="25" customFormat="1" ht="15" customHeight="1">
      <c r="B7" s="87" t="s">
        <v>44</v>
      </c>
      <c r="C7" s="87"/>
      <c r="D7" s="87"/>
    </row>
    <row r="8" spans="2:5" s="25" customFormat="1" ht="15" customHeight="1">
      <c r="B8" s="87"/>
      <c r="C8" s="87"/>
      <c r="D8" s="87"/>
    </row>
    <row r="9" spans="2:5" s="25" customFormat="1" ht="33" customHeight="1">
      <c r="B9" s="87"/>
      <c r="C9" s="87"/>
      <c r="D9" s="87"/>
    </row>
    <row r="10" spans="2:5" s="25" customFormat="1" ht="4.5" customHeight="1">
      <c r="B10" s="29"/>
      <c r="C10" s="29"/>
      <c r="D10" s="29"/>
    </row>
    <row r="11" spans="2:5" s="25" customFormat="1" ht="33" customHeight="1">
      <c r="B11" s="72" t="s">
        <v>22</v>
      </c>
      <c r="C11" s="73" t="s">
        <v>20</v>
      </c>
      <c r="D11" s="72" t="s">
        <v>19</v>
      </c>
    </row>
    <row r="12" spans="2:5">
      <c r="B12" s="23" t="s">
        <v>50</v>
      </c>
      <c r="C12" s="22">
        <v>8351</v>
      </c>
      <c r="D12" s="21">
        <f>C12/$C$22</f>
        <v>0.34159610586165989</v>
      </c>
    </row>
    <row r="13" spans="2:5">
      <c r="B13" s="23" t="s">
        <v>51</v>
      </c>
      <c r="C13" s="22">
        <v>7429</v>
      </c>
      <c r="D13" s="21">
        <f t="shared" ref="D13:D21" si="0">C13/$C$22</f>
        <v>0.30388186689573365</v>
      </c>
    </row>
    <row r="14" spans="2:5">
      <c r="B14" s="23" t="s">
        <v>52</v>
      </c>
      <c r="C14" s="22">
        <v>1598</v>
      </c>
      <c r="D14" s="21">
        <f t="shared" si="0"/>
        <v>6.5365893565672684E-2</v>
      </c>
      <c r="E14" s="24"/>
    </row>
    <row r="15" spans="2:5">
      <c r="B15" s="23" t="s">
        <v>53</v>
      </c>
      <c r="C15" s="22">
        <v>1479</v>
      </c>
      <c r="D15" s="21">
        <f t="shared" si="0"/>
        <v>6.0498220640569395E-2</v>
      </c>
      <c r="E15" s="24"/>
    </row>
    <row r="16" spans="2:5">
      <c r="B16" s="23" t="s">
        <v>54</v>
      </c>
      <c r="C16" s="22">
        <v>1222</v>
      </c>
      <c r="D16" s="21">
        <f t="shared" si="0"/>
        <v>4.9985683314926165E-2</v>
      </c>
    </row>
    <row r="17" spans="2:4">
      <c r="B17" s="23" t="s">
        <v>55</v>
      </c>
      <c r="C17" s="22">
        <v>1175</v>
      </c>
      <c r="D17" s="21">
        <f t="shared" si="0"/>
        <v>4.8063157033582854E-2</v>
      </c>
    </row>
    <row r="18" spans="2:4">
      <c r="B18" s="23" t="s">
        <v>56</v>
      </c>
      <c r="C18" s="22">
        <v>1023</v>
      </c>
      <c r="D18" s="21">
        <f t="shared" si="0"/>
        <v>4.1845625230089584E-2</v>
      </c>
    </row>
    <row r="19" spans="2:4">
      <c r="B19" s="23" t="s">
        <v>57</v>
      </c>
      <c r="C19" s="22">
        <v>821</v>
      </c>
      <c r="D19" s="21">
        <f t="shared" si="0"/>
        <v>3.3582852701762998E-2</v>
      </c>
    </row>
    <row r="20" spans="2:4">
      <c r="B20" s="23" t="s">
        <v>58</v>
      </c>
      <c r="C20" s="22">
        <v>705</v>
      </c>
      <c r="D20" s="21">
        <f t="shared" si="0"/>
        <v>2.883789422014971E-2</v>
      </c>
    </row>
    <row r="21" spans="2:4">
      <c r="B21" s="23" t="s">
        <v>59</v>
      </c>
      <c r="C21" s="22">
        <v>644</v>
      </c>
      <c r="D21" s="21">
        <f t="shared" si="0"/>
        <v>2.634270053585307E-2</v>
      </c>
    </row>
    <row r="22" spans="2:4">
      <c r="B22" s="20" t="s">
        <v>45</v>
      </c>
      <c r="C22" s="19">
        <f>SUM(C12:C21)</f>
        <v>24447</v>
      </c>
      <c r="D22" s="18">
        <f t="shared" ref="D22" si="1">C22/$C$22</f>
        <v>1</v>
      </c>
    </row>
    <row r="23" spans="2:4">
      <c r="B23" s="20" t="s">
        <v>46</v>
      </c>
      <c r="C23" s="19">
        <v>29667</v>
      </c>
    </row>
    <row r="24" spans="2:4">
      <c r="B24" s="15"/>
    </row>
    <row r="25" spans="2:4">
      <c r="B25" s="15" t="s">
        <v>47</v>
      </c>
    </row>
    <row r="26" spans="2:4">
      <c r="B26" s="17" t="s">
        <v>18</v>
      </c>
    </row>
    <row r="27" spans="2:4">
      <c r="B27" s="16" t="s">
        <v>48</v>
      </c>
    </row>
    <row r="28" spans="2:4">
      <c r="B28" s="15" t="s">
        <v>17</v>
      </c>
    </row>
    <row r="29" spans="2:4">
      <c r="B29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1:E79"/>
  <sheetViews>
    <sheetView showGridLines="0" view="pageBreakPreview" zoomScale="115" zoomScaleNormal="100" zoomScaleSheetLayoutView="115" workbookViewId="0">
      <selection activeCell="D76" sqref="D76"/>
    </sheetView>
  </sheetViews>
  <sheetFormatPr baseColWidth="10" defaultColWidth="11.42578125" defaultRowHeight="15"/>
  <cols>
    <col min="1" max="1" width="9.28515625" style="13" customWidth="1"/>
    <col min="2" max="2" width="35.28515625" style="13" customWidth="1"/>
    <col min="3" max="3" width="17.7109375" style="14" customWidth="1"/>
    <col min="4" max="4" width="17.7109375" style="13" customWidth="1"/>
    <col min="5" max="5" width="9.28515625" style="13" customWidth="1"/>
    <col min="6" max="6" width="3.5703125" style="13" customWidth="1"/>
    <col min="7" max="16384" width="11.42578125" style="13"/>
  </cols>
  <sheetData>
    <row r="1" spans="2:5" s="25" customFormat="1" ht="15" customHeight="1">
      <c r="C1" s="31"/>
    </row>
    <row r="2" spans="2:5" s="25" customFormat="1" ht="15" customHeight="1">
      <c r="C2" s="31"/>
    </row>
    <row r="3" spans="2:5" s="25" customFormat="1" ht="15" customHeight="1">
      <c r="C3" s="31"/>
    </row>
    <row r="4" spans="2:5" s="25" customFormat="1" ht="30" customHeight="1">
      <c r="C4" s="31"/>
      <c r="D4" s="30"/>
    </row>
    <row r="5" spans="2:5" s="25" customFormat="1" ht="15" customHeight="1">
      <c r="C5" s="31"/>
      <c r="D5" s="30"/>
    </row>
    <row r="6" spans="2:5" s="25" customFormat="1" ht="15" customHeight="1">
      <c r="C6" s="31"/>
      <c r="D6" s="30"/>
    </row>
    <row r="7" spans="2:5" s="25" customFormat="1" ht="15" customHeight="1">
      <c r="B7" s="87" t="s">
        <v>42</v>
      </c>
      <c r="C7" s="87"/>
      <c r="D7" s="87"/>
    </row>
    <row r="8" spans="2:5" s="25" customFormat="1" ht="15" customHeight="1">
      <c r="B8" s="87"/>
      <c r="C8" s="87"/>
      <c r="D8" s="87"/>
    </row>
    <row r="9" spans="2:5" s="25" customFormat="1" ht="33" customHeight="1">
      <c r="B9" s="87"/>
      <c r="C9" s="87"/>
      <c r="D9" s="87"/>
    </row>
    <row r="10" spans="2:5" s="25" customFormat="1" ht="4.5" customHeight="1">
      <c r="B10" s="29"/>
      <c r="C10" s="29"/>
      <c r="D10" s="29"/>
    </row>
    <row r="11" spans="2:5" s="25" customFormat="1" ht="33" customHeight="1">
      <c r="B11" s="28" t="s">
        <v>23</v>
      </c>
      <c r="C11" s="27" t="s">
        <v>20</v>
      </c>
      <c r="D11" s="26" t="s">
        <v>19</v>
      </c>
    </row>
    <row r="12" spans="2:5" ht="14.45" customHeight="1">
      <c r="B12" s="23" t="s">
        <v>215</v>
      </c>
      <c r="C12" s="22">
        <v>5405</v>
      </c>
      <c r="D12" s="21">
        <v>0.18218896416894201</v>
      </c>
    </row>
    <row r="13" spans="2:5" ht="14.45" customHeight="1">
      <c r="B13" s="23" t="s">
        <v>213</v>
      </c>
      <c r="C13" s="22">
        <v>3053</v>
      </c>
      <c r="D13" s="21">
        <v>0.10290895607914501</v>
      </c>
    </row>
    <row r="14" spans="2:5" ht="14.45" customHeight="1">
      <c r="B14" s="23" t="s">
        <v>209</v>
      </c>
      <c r="C14" s="22">
        <v>1752</v>
      </c>
      <c r="D14" s="21">
        <v>5.9055516230155002E-2</v>
      </c>
      <c r="E14" s="24"/>
    </row>
    <row r="15" spans="2:5" ht="14.45" customHeight="1">
      <c r="B15" s="23" t="s">
        <v>203</v>
      </c>
      <c r="C15" s="22">
        <v>1254</v>
      </c>
      <c r="D15" s="21">
        <v>4.2269187986652003E-2</v>
      </c>
      <c r="E15" s="24"/>
    </row>
    <row r="16" spans="2:5" ht="14.45" customHeight="1">
      <c r="B16" s="23" t="s">
        <v>232</v>
      </c>
      <c r="C16" s="22">
        <v>1079</v>
      </c>
      <c r="D16" s="21">
        <v>3.6370377860923002E-2</v>
      </c>
    </row>
    <row r="17" spans="2:4" ht="14.45" customHeight="1">
      <c r="B17" s="23" t="s">
        <v>218</v>
      </c>
      <c r="C17" s="22">
        <v>972</v>
      </c>
      <c r="D17" s="21">
        <v>3.2763676812619998E-2</v>
      </c>
    </row>
    <row r="18" spans="2:4" ht="14.45" customHeight="1">
      <c r="B18" s="23" t="s">
        <v>226</v>
      </c>
      <c r="C18" s="22">
        <v>930</v>
      </c>
      <c r="D18" s="21">
        <v>3.1347962382444999E-2</v>
      </c>
    </row>
    <row r="19" spans="2:4" ht="14.45" customHeight="1">
      <c r="B19" s="23" t="s">
        <v>199</v>
      </c>
      <c r="C19" s="22">
        <v>870</v>
      </c>
      <c r="D19" s="21">
        <v>2.9325513196480999E-2</v>
      </c>
    </row>
    <row r="20" spans="2:4" ht="14.45" customHeight="1">
      <c r="B20" s="23" t="s">
        <v>201</v>
      </c>
      <c r="C20" s="22">
        <v>856</v>
      </c>
      <c r="D20" s="21">
        <v>2.8853608386423001E-2</v>
      </c>
    </row>
    <row r="21" spans="2:4" ht="14.45" customHeight="1">
      <c r="B21" s="23" t="s">
        <v>202</v>
      </c>
      <c r="C21" s="22">
        <v>831</v>
      </c>
      <c r="D21" s="21">
        <v>2.8010921225603998E-2</v>
      </c>
    </row>
    <row r="22" spans="2:4" ht="14.45" customHeight="1">
      <c r="B22" s="23" t="s">
        <v>195</v>
      </c>
      <c r="C22" s="22">
        <v>741</v>
      </c>
      <c r="D22" s="21">
        <v>2.4977247446658E-2</v>
      </c>
    </row>
    <row r="23" spans="2:4" ht="14.45" customHeight="1">
      <c r="B23" s="23" t="s">
        <v>214</v>
      </c>
      <c r="C23" s="22">
        <v>630</v>
      </c>
      <c r="D23" s="21">
        <v>2.1235716452623999E-2</v>
      </c>
    </row>
    <row r="24" spans="2:4" ht="14.45" customHeight="1">
      <c r="B24" s="23" t="s">
        <v>229</v>
      </c>
      <c r="C24" s="22">
        <v>575</v>
      </c>
      <c r="D24" s="21">
        <v>1.9381804698824001E-2</v>
      </c>
    </row>
    <row r="25" spans="2:4" ht="14.45" customHeight="1">
      <c r="B25" s="23" t="s">
        <v>204</v>
      </c>
      <c r="C25" s="22">
        <v>568</v>
      </c>
      <c r="D25" s="21">
        <v>1.9145852293794001E-2</v>
      </c>
    </row>
    <row r="26" spans="2:4" ht="14.45" customHeight="1">
      <c r="B26" s="23" t="s">
        <v>220</v>
      </c>
      <c r="C26" s="22">
        <v>542</v>
      </c>
      <c r="D26" s="21">
        <v>1.8269457646542999E-2</v>
      </c>
    </row>
    <row r="27" spans="2:4" ht="14.45" customHeight="1">
      <c r="B27" s="23" t="s">
        <v>212</v>
      </c>
      <c r="C27" s="22">
        <v>527</v>
      </c>
      <c r="D27" s="21">
        <v>1.7763845350052002E-2</v>
      </c>
    </row>
    <row r="28" spans="2:4" ht="14.45" customHeight="1">
      <c r="B28" s="23" t="s">
        <v>211</v>
      </c>
      <c r="C28" s="22">
        <v>511</v>
      </c>
      <c r="D28" s="21">
        <v>1.7224525567127998E-2</v>
      </c>
    </row>
    <row r="29" spans="2:4" ht="14.45" customHeight="1">
      <c r="B29" s="23" t="s">
        <v>200</v>
      </c>
      <c r="C29" s="22">
        <v>502</v>
      </c>
      <c r="D29" s="21">
        <v>1.6921158189233999E-2</v>
      </c>
    </row>
    <row r="30" spans="2:4" ht="14.45" customHeight="1">
      <c r="B30" s="23" t="s">
        <v>206</v>
      </c>
      <c r="C30" s="22">
        <v>486</v>
      </c>
      <c r="D30" s="21">
        <v>1.6381838406309999E-2</v>
      </c>
    </row>
    <row r="31" spans="2:4" ht="14.45" customHeight="1">
      <c r="B31" s="23" t="s">
        <v>221</v>
      </c>
      <c r="C31" s="22">
        <v>457</v>
      </c>
      <c r="D31" s="21">
        <v>1.5404321299760999E-2</v>
      </c>
    </row>
    <row r="32" spans="2:4" ht="14.45" customHeight="1">
      <c r="B32" s="23" t="s">
        <v>234</v>
      </c>
      <c r="C32" s="22">
        <v>432</v>
      </c>
      <c r="D32" s="21">
        <v>1.4561634138942001E-2</v>
      </c>
    </row>
    <row r="33" spans="2:4" ht="14.45" customHeight="1">
      <c r="B33" s="23" t="s">
        <v>205</v>
      </c>
      <c r="C33" s="22">
        <v>408</v>
      </c>
      <c r="D33" s="21">
        <v>1.3752654464557E-2</v>
      </c>
    </row>
    <row r="34" spans="2:4" ht="14.45" customHeight="1">
      <c r="B34" s="23" t="s">
        <v>228</v>
      </c>
      <c r="C34" s="22">
        <v>381</v>
      </c>
      <c r="D34" s="21">
        <v>1.2842552330872999E-2</v>
      </c>
    </row>
    <row r="35" spans="2:4" ht="14.45" customHeight="1">
      <c r="B35" s="23" t="s">
        <v>227</v>
      </c>
      <c r="C35" s="22">
        <v>372</v>
      </c>
      <c r="D35" s="21">
        <v>1.2539184952978E-2</v>
      </c>
    </row>
    <row r="36" spans="2:4" ht="14.45" customHeight="1">
      <c r="B36" s="23" t="s">
        <v>247</v>
      </c>
      <c r="C36" s="22">
        <v>368</v>
      </c>
      <c r="D36" s="21">
        <v>1.2404355007247E-2</v>
      </c>
    </row>
    <row r="37" spans="2:4" ht="14.45" customHeight="1">
      <c r="B37" s="23" t="s">
        <v>208</v>
      </c>
      <c r="C37" s="22">
        <v>330</v>
      </c>
      <c r="D37" s="21">
        <v>1.1123470522803E-2</v>
      </c>
    </row>
    <row r="38" spans="2:4" ht="14.45" customHeight="1">
      <c r="B38" s="23" t="s">
        <v>236</v>
      </c>
      <c r="C38" s="22">
        <v>330</v>
      </c>
      <c r="D38" s="21">
        <v>1.1123470522803E-2</v>
      </c>
    </row>
    <row r="39" spans="2:4" ht="14.45" customHeight="1">
      <c r="B39" s="23" t="s">
        <v>242</v>
      </c>
      <c r="C39" s="22">
        <v>317</v>
      </c>
      <c r="D39" s="21">
        <v>1.0685273199178001E-2</v>
      </c>
    </row>
    <row r="40" spans="2:4" ht="14.45" customHeight="1">
      <c r="B40" s="23" t="s">
        <v>241</v>
      </c>
      <c r="C40" s="22">
        <v>316</v>
      </c>
      <c r="D40" s="21">
        <v>1.0651565712745E-2</v>
      </c>
    </row>
    <row r="41" spans="2:4" ht="14.45" customHeight="1">
      <c r="B41" s="23" t="s">
        <v>197</v>
      </c>
      <c r="C41" s="22">
        <v>308</v>
      </c>
      <c r="D41" s="21">
        <v>1.0381905821283E-2</v>
      </c>
    </row>
    <row r="42" spans="2:4" ht="14.45" customHeight="1">
      <c r="B42" s="23" t="s">
        <v>219</v>
      </c>
      <c r="C42" s="22">
        <v>295</v>
      </c>
      <c r="D42" s="21">
        <v>9.9437084976569997E-3</v>
      </c>
    </row>
    <row r="43" spans="2:4" ht="14.45" customHeight="1">
      <c r="B43" s="23" t="s">
        <v>225</v>
      </c>
      <c r="C43" s="22">
        <v>294</v>
      </c>
      <c r="D43" s="21">
        <v>9.910001011225E-3</v>
      </c>
    </row>
    <row r="44" spans="2:4" ht="14.45" customHeight="1">
      <c r="B44" s="23" t="s">
        <v>217</v>
      </c>
      <c r="C44" s="22">
        <v>275</v>
      </c>
      <c r="D44" s="21">
        <v>9.2695587690030008E-3</v>
      </c>
    </row>
    <row r="45" spans="2:4" ht="14.45" customHeight="1">
      <c r="B45" s="23" t="s">
        <v>222</v>
      </c>
      <c r="C45" s="22">
        <v>273</v>
      </c>
      <c r="D45" s="21">
        <v>9.2021437961369995E-3</v>
      </c>
    </row>
    <row r="46" spans="2:4" ht="14.45" customHeight="1">
      <c r="B46" s="23" t="s">
        <v>244</v>
      </c>
      <c r="C46" s="22">
        <v>262</v>
      </c>
      <c r="D46" s="21">
        <v>8.8313614453770003E-3</v>
      </c>
    </row>
    <row r="47" spans="2:4" ht="14.45" customHeight="1">
      <c r="B47" s="23" t="s">
        <v>196</v>
      </c>
      <c r="C47" s="22">
        <v>246</v>
      </c>
      <c r="D47" s="21">
        <v>8.2920416624530004E-3</v>
      </c>
    </row>
    <row r="48" spans="2:4" ht="14.45" customHeight="1">
      <c r="B48" s="23" t="s">
        <v>239</v>
      </c>
      <c r="C48" s="22">
        <v>246</v>
      </c>
      <c r="D48" s="21">
        <v>8.2920416624530004E-3</v>
      </c>
    </row>
    <row r="49" spans="2:4" ht="14.45" customHeight="1">
      <c r="B49" s="23" t="s">
        <v>230</v>
      </c>
      <c r="C49" s="22">
        <v>225</v>
      </c>
      <c r="D49" s="21">
        <v>7.584184447366E-3</v>
      </c>
    </row>
    <row r="50" spans="2:4" ht="14.45" customHeight="1">
      <c r="B50" s="23" t="s">
        <v>240</v>
      </c>
      <c r="C50" s="22">
        <v>222</v>
      </c>
      <c r="D50" s="21">
        <v>7.4830619880679999E-3</v>
      </c>
    </row>
    <row r="51" spans="2:4" ht="14.45" customHeight="1">
      <c r="B51" s="23" t="s">
        <v>238</v>
      </c>
      <c r="C51" s="22">
        <v>210</v>
      </c>
      <c r="D51" s="21">
        <v>7.078572150875E-3</v>
      </c>
    </row>
    <row r="52" spans="2:4" ht="14.45" customHeight="1">
      <c r="B52" s="23" t="s">
        <v>231</v>
      </c>
      <c r="C52" s="22">
        <v>103</v>
      </c>
      <c r="D52" s="21">
        <v>3.471871102572E-3</v>
      </c>
    </row>
    <row r="53" spans="2:4" ht="14.45" customHeight="1">
      <c r="B53" s="23" t="s">
        <v>251</v>
      </c>
      <c r="C53" s="22">
        <v>97</v>
      </c>
      <c r="D53" s="21">
        <v>3.269626183975E-3</v>
      </c>
    </row>
    <row r="54" spans="2:4" ht="14.45" customHeight="1">
      <c r="B54" s="23" t="s">
        <v>224</v>
      </c>
      <c r="C54" s="22">
        <v>87</v>
      </c>
      <c r="D54" s="21">
        <v>2.9325513196480002E-3</v>
      </c>
    </row>
    <row r="55" spans="2:4" ht="14.45" customHeight="1">
      <c r="B55" s="23" t="s">
        <v>246</v>
      </c>
      <c r="C55" s="22">
        <v>84</v>
      </c>
      <c r="D55" s="21">
        <v>2.83142886035E-3</v>
      </c>
    </row>
    <row r="56" spans="2:4" ht="14.45" customHeight="1">
      <c r="B56" s="23" t="s">
        <v>248</v>
      </c>
      <c r="C56" s="22">
        <v>81</v>
      </c>
      <c r="D56" s="21">
        <v>2.7303064010519998E-3</v>
      </c>
    </row>
    <row r="57" spans="2:4" ht="14.45" customHeight="1">
      <c r="B57" s="23" t="s">
        <v>235</v>
      </c>
      <c r="C57" s="22">
        <v>81</v>
      </c>
      <c r="D57" s="21">
        <v>2.7303064010519998E-3</v>
      </c>
    </row>
    <row r="58" spans="2:4" ht="14.45" customHeight="1">
      <c r="B58" s="23" t="s">
        <v>198</v>
      </c>
      <c r="C58" s="22">
        <v>65</v>
      </c>
      <c r="D58" s="21">
        <v>2.190986618128E-3</v>
      </c>
    </row>
    <row r="59" spans="2:4" ht="14.45" customHeight="1">
      <c r="B59" s="23" t="s">
        <v>243</v>
      </c>
      <c r="C59" s="22">
        <v>63</v>
      </c>
      <c r="D59" s="21">
        <v>2.123571645262E-3</v>
      </c>
    </row>
    <row r="60" spans="2:4" ht="14.45" customHeight="1">
      <c r="B60" s="23" t="s">
        <v>216</v>
      </c>
      <c r="C60" s="22">
        <v>63</v>
      </c>
      <c r="D60" s="21">
        <v>2.123571645262E-3</v>
      </c>
    </row>
    <row r="61" spans="2:4" ht="14.45" customHeight="1">
      <c r="B61" s="23" t="s">
        <v>233</v>
      </c>
      <c r="C61" s="22">
        <v>39</v>
      </c>
      <c r="D61" s="21">
        <v>1.314591970877E-3</v>
      </c>
    </row>
    <row r="62" spans="2:4" ht="14.45" customHeight="1">
      <c r="B62" s="23" t="s">
        <v>207</v>
      </c>
      <c r="C62" s="22">
        <v>37</v>
      </c>
      <c r="D62" s="21">
        <v>1.247176998011E-3</v>
      </c>
    </row>
    <row r="63" spans="2:4" ht="14.45" customHeight="1">
      <c r="B63" s="23" t="s">
        <v>245</v>
      </c>
      <c r="C63" s="22">
        <v>35</v>
      </c>
      <c r="D63" s="21">
        <v>1.1797620251460001E-3</v>
      </c>
    </row>
    <row r="64" spans="2:4" ht="14.45" customHeight="1">
      <c r="B64" s="23" t="s">
        <v>250</v>
      </c>
      <c r="C64" s="22">
        <v>33</v>
      </c>
      <c r="D64" s="21">
        <v>1.1123470522800001E-3</v>
      </c>
    </row>
    <row r="65" spans="2:4" ht="14.45" customHeight="1">
      <c r="B65" s="23" t="s">
        <v>223</v>
      </c>
      <c r="C65" s="22">
        <v>32</v>
      </c>
      <c r="D65" s="21">
        <v>1.0786395658479999E-3</v>
      </c>
    </row>
    <row r="66" spans="2:4" ht="14.45" customHeight="1">
      <c r="B66" s="23" t="s">
        <v>237</v>
      </c>
      <c r="C66" s="22">
        <v>28</v>
      </c>
      <c r="D66" s="21">
        <v>9.4380962011699995E-4</v>
      </c>
    </row>
    <row r="67" spans="2:4" ht="14.45" customHeight="1">
      <c r="B67" s="23" t="s">
        <v>252</v>
      </c>
      <c r="C67" s="22">
        <v>24</v>
      </c>
      <c r="D67" s="21">
        <v>8.0897967438599999E-4</v>
      </c>
    </row>
    <row r="68" spans="2:4" ht="14.45" customHeight="1">
      <c r="B68" s="23" t="s">
        <v>249</v>
      </c>
      <c r="C68" s="22">
        <v>24</v>
      </c>
      <c r="D68" s="21">
        <v>8.0897967438599999E-4</v>
      </c>
    </row>
    <row r="69" spans="2:4" ht="14.45" customHeight="1">
      <c r="B69" s="23" t="s">
        <v>210</v>
      </c>
      <c r="C69" s="22">
        <v>20</v>
      </c>
      <c r="D69" s="21">
        <v>6.7414972865500002E-4</v>
      </c>
    </row>
    <row r="70" spans="2:4" ht="14.45" customHeight="1">
      <c r="B70" s="23" t="s">
        <v>57</v>
      </c>
      <c r="C70" s="22">
        <v>18</v>
      </c>
      <c r="D70" s="21">
        <v>6.0673475578900001E-4</v>
      </c>
    </row>
    <row r="71" spans="2:4" ht="14.45" customHeight="1">
      <c r="B71" s="23" t="s">
        <v>253</v>
      </c>
      <c r="C71" s="22">
        <v>1</v>
      </c>
      <c r="D71" s="21">
        <v>3.3707486433000001E-5</v>
      </c>
    </row>
    <row r="72" spans="2:4" ht="14.45" customHeight="1">
      <c r="B72" s="23" t="s">
        <v>254</v>
      </c>
      <c r="C72" s="22">
        <v>1</v>
      </c>
      <c r="D72" s="21">
        <v>3.3707486433000001E-5</v>
      </c>
    </row>
    <row r="73" spans="2:4" ht="14.45" customHeight="1">
      <c r="B73" s="20" t="s">
        <v>29</v>
      </c>
      <c r="C73" s="19">
        <v>29667</v>
      </c>
      <c r="D73" s="18">
        <v>1</v>
      </c>
    </row>
    <row r="74" spans="2:4" ht="14.45" customHeight="1">
      <c r="B74" s="16"/>
    </row>
    <row r="75" spans="2:4" ht="14.45" customHeight="1">
      <c r="B75" s="15" t="s">
        <v>47</v>
      </c>
    </row>
    <row r="76" spans="2:4" ht="14.45" customHeight="1">
      <c r="B76" s="17" t="s">
        <v>18</v>
      </c>
    </row>
    <row r="77" spans="2:4" ht="14.45" customHeight="1">
      <c r="B77" s="16" t="s">
        <v>48</v>
      </c>
    </row>
    <row r="78" spans="2:4" ht="14.45" customHeight="1">
      <c r="B78" s="15" t="s">
        <v>17</v>
      </c>
    </row>
    <row r="79" spans="2:4" ht="14.45" customHeight="1">
      <c r="B79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E1276"/>
  <sheetViews>
    <sheetView showGridLines="0" view="pageBreakPreview" zoomScale="85" zoomScaleNormal="100" zoomScaleSheetLayoutView="85" workbookViewId="0">
      <selection activeCell="F8" sqref="F8:F9"/>
    </sheetView>
  </sheetViews>
  <sheetFormatPr baseColWidth="10" defaultColWidth="35" defaultRowHeight="15" customHeight="1"/>
  <cols>
    <col min="1" max="1" width="1" style="32" customWidth="1"/>
    <col min="2" max="2" width="22.85546875" style="33" customWidth="1"/>
    <col min="3" max="3" width="35.140625" style="33" customWidth="1"/>
    <col min="4" max="4" width="14.28515625" style="33" customWidth="1"/>
    <col min="5" max="5" width="16.85546875" style="33" customWidth="1"/>
    <col min="6" max="16384" width="35" style="32"/>
  </cols>
  <sheetData>
    <row r="1" spans="1:5" s="41" customFormat="1" ht="12" customHeight="1">
      <c r="B1" s="43"/>
      <c r="C1" s="37"/>
      <c r="D1" s="37"/>
      <c r="E1" s="37"/>
    </row>
    <row r="2" spans="1:5" s="41" customFormat="1" ht="15" customHeight="1">
      <c r="C2" s="45"/>
    </row>
    <row r="3" spans="1:5" s="41" customFormat="1" ht="15" customHeight="1">
      <c r="C3" s="45"/>
    </row>
    <row r="4" spans="1:5" s="41" customFormat="1" ht="30" customHeight="1">
      <c r="C4" s="45"/>
      <c r="D4" s="44"/>
    </row>
    <row r="5" spans="1:5" s="41" customFormat="1" ht="15" customHeight="1">
      <c r="C5" s="45"/>
      <c r="D5" s="44"/>
    </row>
    <row r="6" spans="1:5" s="41" customFormat="1" ht="24" customHeight="1">
      <c r="B6" s="43"/>
      <c r="C6" s="37"/>
      <c r="D6" s="37"/>
      <c r="E6" s="37"/>
    </row>
    <row r="7" spans="1:5" s="41" customFormat="1" ht="26.25" customHeight="1">
      <c r="A7" s="42"/>
      <c r="B7" s="89"/>
      <c r="C7" s="89"/>
      <c r="D7" s="89"/>
      <c r="E7" s="89"/>
    </row>
    <row r="8" spans="1:5" s="41" customFormat="1" ht="33" customHeight="1">
      <c r="A8" s="42"/>
      <c r="B8" s="89"/>
      <c r="C8" s="89"/>
      <c r="D8" s="89"/>
      <c r="E8" s="89"/>
    </row>
    <row r="9" spans="1:5" s="25" customFormat="1" ht="40.5" customHeight="1">
      <c r="B9" s="74" t="s">
        <v>25</v>
      </c>
      <c r="C9" s="75" t="s">
        <v>24</v>
      </c>
      <c r="D9" s="76" t="s">
        <v>20</v>
      </c>
      <c r="E9" s="74" t="s">
        <v>19</v>
      </c>
    </row>
    <row r="10" spans="1:5" ht="14.45" customHeight="1">
      <c r="B10" s="88" t="s">
        <v>101</v>
      </c>
      <c r="C10" s="68" t="s">
        <v>195</v>
      </c>
      <c r="D10" s="69">
        <v>2</v>
      </c>
      <c r="E10" s="70">
        <v>6.7414972865000001E-5</v>
      </c>
    </row>
    <row r="11" spans="1:5" ht="14.45" customHeight="1">
      <c r="B11" s="88"/>
      <c r="C11" s="68" t="s">
        <v>196</v>
      </c>
      <c r="D11" s="69">
        <v>2</v>
      </c>
      <c r="E11" s="70">
        <v>6.7414972865000001E-5</v>
      </c>
    </row>
    <row r="12" spans="1:5" ht="14.45" customHeight="1">
      <c r="B12" s="88"/>
      <c r="C12" s="68" t="s">
        <v>197</v>
      </c>
      <c r="D12" s="69">
        <v>4</v>
      </c>
      <c r="E12" s="70">
        <v>1.3482994573099999E-4</v>
      </c>
    </row>
    <row r="13" spans="1:5" ht="14.45" customHeight="1">
      <c r="B13" s="88"/>
      <c r="C13" s="68" t="s">
        <v>198</v>
      </c>
      <c r="D13" s="69">
        <v>2</v>
      </c>
      <c r="E13" s="70">
        <v>6.7414972865000001E-5</v>
      </c>
    </row>
    <row r="14" spans="1:5" ht="14.45" customHeight="1">
      <c r="B14" s="88"/>
      <c r="C14" s="68" t="s">
        <v>199</v>
      </c>
      <c r="D14" s="69">
        <v>3</v>
      </c>
      <c r="E14" s="70">
        <v>1.0112245929799999E-4</v>
      </c>
    </row>
    <row r="15" spans="1:5" ht="14.45" customHeight="1">
      <c r="B15" s="88"/>
      <c r="C15" s="68" t="s">
        <v>200</v>
      </c>
      <c r="D15" s="69">
        <v>2</v>
      </c>
      <c r="E15" s="70">
        <v>6.7414972865000001E-5</v>
      </c>
    </row>
    <row r="16" spans="1:5" ht="14.45" customHeight="1">
      <c r="B16" s="88"/>
      <c r="C16" s="68" t="s">
        <v>201</v>
      </c>
      <c r="D16" s="69">
        <v>5</v>
      </c>
      <c r="E16" s="70">
        <v>1.68537432164E-4</v>
      </c>
    </row>
    <row r="17" spans="2:5" ht="14.45" customHeight="1">
      <c r="B17" s="88"/>
      <c r="C17" s="68" t="s">
        <v>202</v>
      </c>
      <c r="D17" s="69">
        <v>4</v>
      </c>
      <c r="E17" s="70">
        <v>1.3482994573099999E-4</v>
      </c>
    </row>
    <row r="18" spans="2:5" ht="14.45" customHeight="1">
      <c r="B18" s="88"/>
      <c r="C18" s="68" t="s">
        <v>203</v>
      </c>
      <c r="D18" s="69">
        <v>9</v>
      </c>
      <c r="E18" s="70">
        <v>3.0336737789499998E-4</v>
      </c>
    </row>
    <row r="19" spans="2:5" ht="14.45" customHeight="1">
      <c r="B19" s="88"/>
      <c r="C19" s="68" t="s">
        <v>204</v>
      </c>
      <c r="D19" s="69">
        <v>2</v>
      </c>
      <c r="E19" s="70">
        <v>6.7414972865000001E-5</v>
      </c>
    </row>
    <row r="20" spans="2:5" ht="14.45" customHeight="1">
      <c r="B20" s="88"/>
      <c r="C20" s="68" t="s">
        <v>205</v>
      </c>
      <c r="D20" s="69">
        <v>3</v>
      </c>
      <c r="E20" s="70">
        <v>1.0112245929799999E-4</v>
      </c>
    </row>
    <row r="21" spans="2:5" ht="14.45" customHeight="1">
      <c r="B21" s="88"/>
      <c r="C21" s="68" t="s">
        <v>206</v>
      </c>
      <c r="D21" s="69">
        <v>4</v>
      </c>
      <c r="E21" s="70">
        <v>1.3482994573099999E-4</v>
      </c>
    </row>
    <row r="22" spans="2:5" ht="14.45" customHeight="1">
      <c r="B22" s="88"/>
      <c r="C22" s="68" t="s">
        <v>207</v>
      </c>
      <c r="D22" s="69">
        <v>1</v>
      </c>
      <c r="E22" s="70">
        <v>3.3707486433000001E-5</v>
      </c>
    </row>
    <row r="23" spans="2:5" ht="14.45" customHeight="1">
      <c r="B23" s="88"/>
      <c r="C23" s="68" t="s">
        <v>208</v>
      </c>
      <c r="D23" s="69">
        <v>1</v>
      </c>
      <c r="E23" s="70">
        <v>3.3707486433000001E-5</v>
      </c>
    </row>
    <row r="24" spans="2:5" ht="14.45" customHeight="1">
      <c r="B24" s="88"/>
      <c r="C24" s="68" t="s">
        <v>209</v>
      </c>
      <c r="D24" s="69">
        <v>4</v>
      </c>
      <c r="E24" s="70">
        <v>1.3482994573099999E-4</v>
      </c>
    </row>
    <row r="25" spans="2:5" ht="14.45" customHeight="1">
      <c r="B25" s="88"/>
      <c r="C25" s="68" t="s">
        <v>210</v>
      </c>
      <c r="D25" s="69">
        <v>1</v>
      </c>
      <c r="E25" s="70">
        <v>3.3707486433000001E-5</v>
      </c>
    </row>
    <row r="26" spans="2:5" ht="14.45" customHeight="1">
      <c r="B26" s="88"/>
      <c r="C26" s="68" t="s">
        <v>211</v>
      </c>
      <c r="D26" s="69">
        <v>5</v>
      </c>
      <c r="E26" s="70">
        <v>1.68537432164E-4</v>
      </c>
    </row>
    <row r="27" spans="2:5" ht="14.45" customHeight="1">
      <c r="B27" s="88"/>
      <c r="C27" s="68" t="s">
        <v>212</v>
      </c>
      <c r="D27" s="69">
        <v>9</v>
      </c>
      <c r="E27" s="70">
        <v>3.0336737789499998E-4</v>
      </c>
    </row>
    <row r="28" spans="2:5" ht="14.45" customHeight="1">
      <c r="B28" s="88"/>
      <c r="C28" s="68" t="s">
        <v>213</v>
      </c>
      <c r="D28" s="69">
        <v>51</v>
      </c>
      <c r="E28" s="70">
        <v>1.7190818080699999E-3</v>
      </c>
    </row>
    <row r="29" spans="2:5" ht="14.45" customHeight="1">
      <c r="B29" s="88"/>
      <c r="C29" s="68" t="s">
        <v>214</v>
      </c>
      <c r="D29" s="69">
        <v>13</v>
      </c>
      <c r="E29" s="70">
        <v>4.38197323626E-4</v>
      </c>
    </row>
    <row r="30" spans="2:5" ht="14.45" customHeight="1">
      <c r="B30" s="88"/>
      <c r="C30" s="68" t="s">
        <v>215</v>
      </c>
      <c r="D30" s="69">
        <v>23</v>
      </c>
      <c r="E30" s="70">
        <v>7.7527218795299998E-4</v>
      </c>
    </row>
    <row r="31" spans="2:5" ht="14.45" customHeight="1">
      <c r="B31" s="88"/>
      <c r="C31" s="68" t="s">
        <v>216</v>
      </c>
      <c r="D31" s="69">
        <v>1</v>
      </c>
      <c r="E31" s="70">
        <v>3.3707486433000001E-5</v>
      </c>
    </row>
    <row r="32" spans="2:5" ht="14.45" customHeight="1">
      <c r="B32" s="88"/>
      <c r="C32" s="68" t="s">
        <v>217</v>
      </c>
      <c r="D32" s="69">
        <v>5</v>
      </c>
      <c r="E32" s="70">
        <v>1.68537432164E-4</v>
      </c>
    </row>
    <row r="33" spans="2:5" ht="14.45" customHeight="1">
      <c r="B33" s="88"/>
      <c r="C33" s="68" t="s">
        <v>218</v>
      </c>
      <c r="D33" s="69">
        <v>1</v>
      </c>
      <c r="E33" s="70">
        <v>3.3707486433000001E-5</v>
      </c>
    </row>
    <row r="34" spans="2:5" ht="14.45" customHeight="1">
      <c r="B34" s="88"/>
      <c r="C34" s="68" t="s">
        <v>219</v>
      </c>
      <c r="D34" s="69">
        <v>1</v>
      </c>
      <c r="E34" s="70">
        <v>3.3707486433000001E-5</v>
      </c>
    </row>
    <row r="35" spans="2:5" ht="14.45" customHeight="1">
      <c r="B35" s="88"/>
      <c r="C35" s="68" t="s">
        <v>220</v>
      </c>
      <c r="D35" s="69">
        <v>7</v>
      </c>
      <c r="E35" s="70">
        <v>2.35952405029E-4</v>
      </c>
    </row>
    <row r="36" spans="2:5" ht="14.45" customHeight="1">
      <c r="B36" s="88"/>
      <c r="C36" s="68" t="s">
        <v>221</v>
      </c>
      <c r="D36" s="69">
        <v>24</v>
      </c>
      <c r="E36" s="70">
        <v>8.0897967438599999E-4</v>
      </c>
    </row>
    <row r="37" spans="2:5" ht="14.45" customHeight="1">
      <c r="B37" s="88"/>
      <c r="C37" s="68" t="s">
        <v>222</v>
      </c>
      <c r="D37" s="69">
        <v>1</v>
      </c>
      <c r="E37" s="70">
        <v>3.3707486433000001E-5</v>
      </c>
    </row>
    <row r="38" spans="2:5" ht="14.45" customHeight="1">
      <c r="B38" s="88"/>
      <c r="C38" s="68" t="s">
        <v>223</v>
      </c>
      <c r="D38" s="69">
        <v>1</v>
      </c>
      <c r="E38" s="70">
        <v>3.3707486433000001E-5</v>
      </c>
    </row>
    <row r="39" spans="2:5" ht="14.45" customHeight="1">
      <c r="B39" s="88"/>
      <c r="C39" s="68" t="s">
        <v>224</v>
      </c>
      <c r="D39" s="69">
        <v>1</v>
      </c>
      <c r="E39" s="70">
        <v>3.3707486433000001E-5</v>
      </c>
    </row>
    <row r="40" spans="2:5" ht="14.45" customHeight="1">
      <c r="B40" s="88"/>
      <c r="C40" s="68" t="s">
        <v>225</v>
      </c>
      <c r="D40" s="69">
        <v>1</v>
      </c>
      <c r="E40" s="70">
        <v>3.3707486433000001E-5</v>
      </c>
    </row>
    <row r="41" spans="2:5" ht="14.45" customHeight="1">
      <c r="B41" s="88"/>
      <c r="C41" s="68" t="s">
        <v>226</v>
      </c>
      <c r="D41" s="69">
        <v>15</v>
      </c>
      <c r="E41" s="70">
        <v>5.0561229649099995E-4</v>
      </c>
    </row>
    <row r="42" spans="2:5" ht="14.45" customHeight="1">
      <c r="B42" s="88"/>
      <c r="C42" s="68" t="s">
        <v>227</v>
      </c>
      <c r="D42" s="69">
        <v>1</v>
      </c>
      <c r="E42" s="70">
        <v>3.3707486433000001E-5</v>
      </c>
    </row>
    <row r="43" spans="2:5" ht="14.45" customHeight="1">
      <c r="B43" s="88"/>
      <c r="C43" s="68" t="s">
        <v>228</v>
      </c>
      <c r="D43" s="69">
        <v>1</v>
      </c>
      <c r="E43" s="70">
        <v>3.3707486433000001E-5</v>
      </c>
    </row>
    <row r="44" spans="2:5" ht="14.45" customHeight="1">
      <c r="B44" s="88"/>
      <c r="C44" s="68" t="s">
        <v>229</v>
      </c>
      <c r="D44" s="69">
        <v>2</v>
      </c>
      <c r="E44" s="70">
        <v>6.7414972865000001E-5</v>
      </c>
    </row>
    <row r="45" spans="2:5" ht="14.45" customHeight="1">
      <c r="B45" s="88"/>
      <c r="C45" s="68" t="s">
        <v>230</v>
      </c>
      <c r="D45" s="69">
        <v>1</v>
      </c>
      <c r="E45" s="70">
        <v>3.3707486433000001E-5</v>
      </c>
    </row>
    <row r="46" spans="2:5" ht="14.45" customHeight="1">
      <c r="B46" s="88"/>
      <c r="C46" s="36" t="s">
        <v>29</v>
      </c>
      <c r="D46" s="35">
        <v>213</v>
      </c>
      <c r="E46" s="34">
        <v>7.1796946101730002E-3</v>
      </c>
    </row>
    <row r="47" spans="2:5" ht="14.45" customHeight="1">
      <c r="B47" s="88" t="s">
        <v>102</v>
      </c>
      <c r="C47" s="68" t="s">
        <v>195</v>
      </c>
      <c r="D47" s="69">
        <v>1</v>
      </c>
      <c r="E47" s="70">
        <v>3.3707486433000001E-5</v>
      </c>
    </row>
    <row r="48" spans="2:5" ht="14.45" customHeight="1">
      <c r="B48" s="88"/>
      <c r="C48" s="68" t="s">
        <v>231</v>
      </c>
      <c r="D48" s="69">
        <v>2</v>
      </c>
      <c r="E48" s="70">
        <v>6.7414972865000001E-5</v>
      </c>
    </row>
    <row r="49" spans="2:5" ht="14.45" customHeight="1">
      <c r="B49" s="88"/>
      <c r="C49" s="68" t="s">
        <v>200</v>
      </c>
      <c r="D49" s="69">
        <v>13</v>
      </c>
      <c r="E49" s="70">
        <v>4.38197323626E-4</v>
      </c>
    </row>
    <row r="50" spans="2:5" ht="14.45" customHeight="1">
      <c r="B50" s="88"/>
      <c r="C50" s="68" t="s">
        <v>203</v>
      </c>
      <c r="D50" s="69">
        <v>4</v>
      </c>
      <c r="E50" s="70">
        <v>1.3482994573099999E-4</v>
      </c>
    </row>
    <row r="51" spans="2:5" ht="14.45" customHeight="1">
      <c r="B51" s="88"/>
      <c r="C51" s="68" t="s">
        <v>206</v>
      </c>
      <c r="D51" s="69">
        <v>4</v>
      </c>
      <c r="E51" s="70">
        <v>1.3482994573099999E-4</v>
      </c>
    </row>
    <row r="52" spans="2:5" ht="14.45" customHeight="1">
      <c r="B52" s="88"/>
      <c r="C52" s="68" t="s">
        <v>209</v>
      </c>
      <c r="D52" s="69">
        <v>4</v>
      </c>
      <c r="E52" s="70">
        <v>1.3482994573099999E-4</v>
      </c>
    </row>
    <row r="53" spans="2:5" ht="14.45" customHeight="1">
      <c r="B53" s="88"/>
      <c r="C53" s="68" t="s">
        <v>210</v>
      </c>
      <c r="D53" s="69">
        <v>1</v>
      </c>
      <c r="E53" s="70">
        <v>3.3707486433000001E-5</v>
      </c>
    </row>
    <row r="54" spans="2:5" ht="14.45" customHeight="1">
      <c r="B54" s="88"/>
      <c r="C54" s="68" t="s">
        <v>232</v>
      </c>
      <c r="D54" s="69">
        <v>2</v>
      </c>
      <c r="E54" s="70">
        <v>6.7414972865000001E-5</v>
      </c>
    </row>
    <row r="55" spans="2:5" ht="14.45" customHeight="1">
      <c r="B55" s="88"/>
      <c r="C55" s="68" t="s">
        <v>233</v>
      </c>
      <c r="D55" s="69">
        <v>1</v>
      </c>
      <c r="E55" s="70">
        <v>3.3707486433000001E-5</v>
      </c>
    </row>
    <row r="56" spans="2:5" ht="14.45" customHeight="1">
      <c r="B56" s="88"/>
      <c r="C56" s="68" t="s">
        <v>213</v>
      </c>
      <c r="D56" s="69">
        <v>4</v>
      </c>
      <c r="E56" s="70">
        <v>1.3482994573099999E-4</v>
      </c>
    </row>
    <row r="57" spans="2:5" ht="14.45" customHeight="1">
      <c r="B57" s="88"/>
      <c r="C57" s="68" t="s">
        <v>214</v>
      </c>
      <c r="D57" s="69">
        <v>7</v>
      </c>
      <c r="E57" s="70">
        <v>2.35952405029E-4</v>
      </c>
    </row>
    <row r="58" spans="2:5" ht="14.45" customHeight="1">
      <c r="B58" s="88"/>
      <c r="C58" s="68" t="s">
        <v>234</v>
      </c>
      <c r="D58" s="69">
        <v>2</v>
      </c>
      <c r="E58" s="70">
        <v>6.7414972865000001E-5</v>
      </c>
    </row>
    <row r="59" spans="2:5" ht="14.45" customHeight="1">
      <c r="B59" s="88"/>
      <c r="C59" s="68" t="s">
        <v>215</v>
      </c>
      <c r="D59" s="69">
        <v>24</v>
      </c>
      <c r="E59" s="70">
        <v>8.0897967438599999E-4</v>
      </c>
    </row>
    <row r="60" spans="2:5" ht="14.45" customHeight="1">
      <c r="B60" s="88"/>
      <c r="C60" s="68" t="s">
        <v>235</v>
      </c>
      <c r="D60" s="69">
        <v>1</v>
      </c>
      <c r="E60" s="70">
        <v>3.3707486433000001E-5</v>
      </c>
    </row>
    <row r="61" spans="2:5" ht="14.45" customHeight="1">
      <c r="B61" s="88"/>
      <c r="C61" s="68" t="s">
        <v>218</v>
      </c>
      <c r="D61" s="69">
        <v>8</v>
      </c>
      <c r="E61" s="70">
        <v>2.6965989146199998E-4</v>
      </c>
    </row>
    <row r="62" spans="2:5" ht="14.45" customHeight="1">
      <c r="B62" s="88"/>
      <c r="C62" s="68" t="s">
        <v>219</v>
      </c>
      <c r="D62" s="69">
        <v>30</v>
      </c>
      <c r="E62" s="70">
        <v>1.0112245929819999E-3</v>
      </c>
    </row>
    <row r="63" spans="2:5" ht="14.45" customHeight="1">
      <c r="B63" s="88"/>
      <c r="C63" s="68" t="s">
        <v>236</v>
      </c>
      <c r="D63" s="69">
        <v>1</v>
      </c>
      <c r="E63" s="70">
        <v>3.3707486433000001E-5</v>
      </c>
    </row>
    <row r="64" spans="2:5" ht="14.45" customHeight="1">
      <c r="B64" s="88"/>
      <c r="C64" s="68" t="s">
        <v>221</v>
      </c>
      <c r="D64" s="69">
        <v>1</v>
      </c>
      <c r="E64" s="70">
        <v>3.3707486433000001E-5</v>
      </c>
    </row>
    <row r="65" spans="2:5" ht="14.45" customHeight="1">
      <c r="B65" s="88"/>
      <c r="C65" s="68" t="s">
        <v>237</v>
      </c>
      <c r="D65" s="69">
        <v>1</v>
      </c>
      <c r="E65" s="70">
        <v>3.3707486433000001E-5</v>
      </c>
    </row>
    <row r="66" spans="2:5" ht="14.45" customHeight="1">
      <c r="B66" s="88"/>
      <c r="C66" s="68" t="s">
        <v>225</v>
      </c>
      <c r="D66" s="69">
        <v>3</v>
      </c>
      <c r="E66" s="70">
        <v>1.0112245929799999E-4</v>
      </c>
    </row>
    <row r="67" spans="2:5" ht="14.45" customHeight="1">
      <c r="B67" s="88"/>
      <c r="C67" s="68" t="s">
        <v>238</v>
      </c>
      <c r="D67" s="69">
        <v>1</v>
      </c>
      <c r="E67" s="70">
        <v>3.3707486433000001E-5</v>
      </c>
    </row>
    <row r="68" spans="2:5" ht="14.45" customHeight="1">
      <c r="B68" s="88"/>
      <c r="C68" s="68" t="s">
        <v>239</v>
      </c>
      <c r="D68" s="69">
        <v>1</v>
      </c>
      <c r="E68" s="70">
        <v>3.3707486433000001E-5</v>
      </c>
    </row>
    <row r="69" spans="2:5" ht="14.45" customHeight="1">
      <c r="B69" s="88"/>
      <c r="C69" s="68" t="s">
        <v>240</v>
      </c>
      <c r="D69" s="69">
        <v>1</v>
      </c>
      <c r="E69" s="70">
        <v>3.3707486433000001E-5</v>
      </c>
    </row>
    <row r="70" spans="2:5" ht="14.45" customHeight="1">
      <c r="B70" s="88"/>
      <c r="C70" s="68" t="s">
        <v>241</v>
      </c>
      <c r="D70" s="69">
        <v>1</v>
      </c>
      <c r="E70" s="70">
        <v>3.3707486433000001E-5</v>
      </c>
    </row>
    <row r="71" spans="2:5" ht="14.45" customHeight="1">
      <c r="B71" s="88"/>
      <c r="C71" s="68" t="s">
        <v>226</v>
      </c>
      <c r="D71" s="69">
        <v>9</v>
      </c>
      <c r="E71" s="70">
        <v>3.0336737789499998E-4</v>
      </c>
    </row>
    <row r="72" spans="2:5" ht="14.45" customHeight="1">
      <c r="B72" s="88"/>
      <c r="C72" s="68" t="s">
        <v>229</v>
      </c>
      <c r="D72" s="69">
        <v>1</v>
      </c>
      <c r="E72" s="70">
        <v>3.3707486433000001E-5</v>
      </c>
    </row>
    <row r="73" spans="2:5" ht="14.45" customHeight="1">
      <c r="B73" s="88"/>
      <c r="C73" s="68" t="s">
        <v>230</v>
      </c>
      <c r="D73" s="69">
        <v>3</v>
      </c>
      <c r="E73" s="70">
        <v>1.0112245929799999E-4</v>
      </c>
    </row>
    <row r="74" spans="2:5" ht="14.45" customHeight="1">
      <c r="B74" s="88"/>
      <c r="C74" s="36" t="s">
        <v>29</v>
      </c>
      <c r="D74" s="35">
        <v>131</v>
      </c>
      <c r="E74" s="34">
        <v>4.4156807226889997E-3</v>
      </c>
    </row>
    <row r="75" spans="2:5" ht="14.45" customHeight="1">
      <c r="B75" s="88" t="s">
        <v>103</v>
      </c>
      <c r="C75" s="68" t="s">
        <v>195</v>
      </c>
      <c r="D75" s="69">
        <v>2</v>
      </c>
      <c r="E75" s="70">
        <v>6.7414972865000001E-5</v>
      </c>
    </row>
    <row r="76" spans="2:5" ht="14.45" customHeight="1">
      <c r="B76" s="88"/>
      <c r="C76" s="68" t="s">
        <v>196</v>
      </c>
      <c r="D76" s="69">
        <v>3</v>
      </c>
      <c r="E76" s="70">
        <v>1.0112245929799999E-4</v>
      </c>
    </row>
    <row r="77" spans="2:5" ht="14.45" customHeight="1">
      <c r="B77" s="88"/>
      <c r="C77" s="68" t="s">
        <v>197</v>
      </c>
      <c r="D77" s="69">
        <v>17</v>
      </c>
      <c r="E77" s="70">
        <v>5.7302726935699996E-4</v>
      </c>
    </row>
    <row r="78" spans="2:5" ht="14.45" customHeight="1">
      <c r="B78" s="88"/>
      <c r="C78" s="68" t="s">
        <v>198</v>
      </c>
      <c r="D78" s="69">
        <v>1</v>
      </c>
      <c r="E78" s="70">
        <v>3.3707486433000001E-5</v>
      </c>
    </row>
    <row r="79" spans="2:5" ht="14.45" customHeight="1">
      <c r="B79" s="88"/>
      <c r="C79" s="68" t="s">
        <v>242</v>
      </c>
      <c r="D79" s="69">
        <v>4</v>
      </c>
      <c r="E79" s="70">
        <v>1.3482994573099999E-4</v>
      </c>
    </row>
    <row r="80" spans="2:5" ht="14.45" customHeight="1">
      <c r="B80" s="88"/>
      <c r="C80" s="68" t="s">
        <v>199</v>
      </c>
      <c r="D80" s="69">
        <v>9</v>
      </c>
      <c r="E80" s="70">
        <v>3.0336737789499998E-4</v>
      </c>
    </row>
    <row r="81" spans="2:5" ht="14.45" customHeight="1">
      <c r="B81" s="88"/>
      <c r="C81" s="68" t="s">
        <v>200</v>
      </c>
      <c r="D81" s="69">
        <v>3</v>
      </c>
      <c r="E81" s="70">
        <v>1.0112245929799999E-4</v>
      </c>
    </row>
    <row r="82" spans="2:5" ht="14.45" customHeight="1">
      <c r="B82" s="88"/>
      <c r="C82" s="68" t="s">
        <v>201</v>
      </c>
      <c r="D82" s="69">
        <v>4</v>
      </c>
      <c r="E82" s="70">
        <v>1.3482994573099999E-4</v>
      </c>
    </row>
    <row r="83" spans="2:5" ht="14.45" customHeight="1">
      <c r="B83" s="88"/>
      <c r="C83" s="68" t="s">
        <v>202</v>
      </c>
      <c r="D83" s="69">
        <v>15</v>
      </c>
      <c r="E83" s="70">
        <v>5.0561229649099995E-4</v>
      </c>
    </row>
    <row r="84" spans="2:5" ht="14.45" customHeight="1">
      <c r="B84" s="88"/>
      <c r="C84" s="68" t="s">
        <v>203</v>
      </c>
      <c r="D84" s="69">
        <v>16</v>
      </c>
      <c r="E84" s="70">
        <v>5.3931978292399995E-4</v>
      </c>
    </row>
    <row r="85" spans="2:5" ht="14.45" customHeight="1">
      <c r="B85" s="88"/>
      <c r="C85" s="68" t="s">
        <v>204</v>
      </c>
      <c r="D85" s="69">
        <v>6</v>
      </c>
      <c r="E85" s="70">
        <v>2.0224491859599999E-4</v>
      </c>
    </row>
    <row r="86" spans="2:5" ht="14.45" customHeight="1">
      <c r="B86" s="88"/>
      <c r="C86" s="68" t="s">
        <v>205</v>
      </c>
      <c r="D86" s="69">
        <v>5</v>
      </c>
      <c r="E86" s="70">
        <v>1.68537432164E-4</v>
      </c>
    </row>
    <row r="87" spans="2:5" ht="14.45" customHeight="1">
      <c r="B87" s="88"/>
      <c r="C87" s="68" t="s">
        <v>243</v>
      </c>
      <c r="D87" s="69">
        <v>1</v>
      </c>
      <c r="E87" s="70">
        <v>3.3707486433000001E-5</v>
      </c>
    </row>
    <row r="88" spans="2:5" ht="14.45" customHeight="1">
      <c r="B88" s="88"/>
      <c r="C88" s="68" t="s">
        <v>206</v>
      </c>
      <c r="D88" s="69">
        <v>2</v>
      </c>
      <c r="E88" s="70">
        <v>6.7414972865000001E-5</v>
      </c>
    </row>
    <row r="89" spans="2:5" ht="14.45" customHeight="1">
      <c r="B89" s="88"/>
      <c r="C89" s="68" t="s">
        <v>208</v>
      </c>
      <c r="D89" s="69">
        <v>4</v>
      </c>
      <c r="E89" s="70">
        <v>1.3482994573099999E-4</v>
      </c>
    </row>
    <row r="90" spans="2:5" ht="14.45" customHeight="1">
      <c r="B90" s="88"/>
      <c r="C90" s="68" t="s">
        <v>209</v>
      </c>
      <c r="D90" s="69">
        <v>13</v>
      </c>
      <c r="E90" s="70">
        <v>4.38197323626E-4</v>
      </c>
    </row>
    <row r="91" spans="2:5" ht="14.45" customHeight="1">
      <c r="B91" s="88"/>
      <c r="C91" s="68" t="s">
        <v>232</v>
      </c>
      <c r="D91" s="69">
        <v>4</v>
      </c>
      <c r="E91" s="70">
        <v>1.3482994573099999E-4</v>
      </c>
    </row>
    <row r="92" spans="2:5" ht="14.45" customHeight="1">
      <c r="B92" s="88"/>
      <c r="C92" s="68" t="s">
        <v>211</v>
      </c>
      <c r="D92" s="69">
        <v>5</v>
      </c>
      <c r="E92" s="70">
        <v>1.68537432164E-4</v>
      </c>
    </row>
    <row r="93" spans="2:5" ht="14.45" customHeight="1">
      <c r="B93" s="88"/>
      <c r="C93" s="68" t="s">
        <v>233</v>
      </c>
      <c r="D93" s="69">
        <v>3</v>
      </c>
      <c r="E93" s="70">
        <v>1.0112245929799999E-4</v>
      </c>
    </row>
    <row r="94" spans="2:5" ht="14.45" customHeight="1">
      <c r="B94" s="88"/>
      <c r="C94" s="68" t="s">
        <v>212</v>
      </c>
      <c r="D94" s="69">
        <v>18</v>
      </c>
      <c r="E94" s="70">
        <v>6.0673475578900001E-4</v>
      </c>
    </row>
    <row r="95" spans="2:5" ht="14.45" customHeight="1">
      <c r="B95" s="88"/>
      <c r="C95" s="68" t="s">
        <v>213</v>
      </c>
      <c r="D95" s="69">
        <v>77</v>
      </c>
      <c r="E95" s="70">
        <v>2.5954764553209999E-3</v>
      </c>
    </row>
    <row r="96" spans="2:5" ht="14.45" customHeight="1">
      <c r="B96" s="88"/>
      <c r="C96" s="68" t="s">
        <v>214</v>
      </c>
      <c r="D96" s="69">
        <v>7</v>
      </c>
      <c r="E96" s="70">
        <v>2.35952405029E-4</v>
      </c>
    </row>
    <row r="97" spans="2:5" ht="14.45" customHeight="1">
      <c r="B97" s="88"/>
      <c r="C97" s="68" t="s">
        <v>234</v>
      </c>
      <c r="D97" s="69">
        <v>13</v>
      </c>
      <c r="E97" s="70">
        <v>4.38197323626E-4</v>
      </c>
    </row>
    <row r="98" spans="2:5" ht="14.45" customHeight="1">
      <c r="B98" s="88"/>
      <c r="C98" s="68" t="s">
        <v>215</v>
      </c>
      <c r="D98" s="69">
        <v>72</v>
      </c>
      <c r="E98" s="70">
        <v>2.4269390231570001E-3</v>
      </c>
    </row>
    <row r="99" spans="2:5" ht="14.45" customHeight="1">
      <c r="B99" s="88"/>
      <c r="C99" s="68" t="s">
        <v>244</v>
      </c>
      <c r="D99" s="69">
        <v>8</v>
      </c>
      <c r="E99" s="70">
        <v>2.6965989146199998E-4</v>
      </c>
    </row>
    <row r="100" spans="2:5" ht="14.45" customHeight="1">
      <c r="B100" s="88"/>
      <c r="C100" s="68" t="s">
        <v>216</v>
      </c>
      <c r="D100" s="69">
        <v>2</v>
      </c>
      <c r="E100" s="70">
        <v>6.7414972865000001E-5</v>
      </c>
    </row>
    <row r="101" spans="2:5" ht="14.45" customHeight="1">
      <c r="B101" s="88"/>
      <c r="C101" s="68" t="s">
        <v>217</v>
      </c>
      <c r="D101" s="69">
        <v>2</v>
      </c>
      <c r="E101" s="70">
        <v>6.7414972865000001E-5</v>
      </c>
    </row>
    <row r="102" spans="2:5" ht="14.45" customHeight="1">
      <c r="B102" s="88"/>
      <c r="C102" s="68" t="s">
        <v>218</v>
      </c>
      <c r="D102" s="69">
        <v>45</v>
      </c>
      <c r="E102" s="70">
        <v>1.516836889473E-3</v>
      </c>
    </row>
    <row r="103" spans="2:5" ht="14.45" customHeight="1">
      <c r="B103" s="88"/>
      <c r="C103" s="68" t="s">
        <v>219</v>
      </c>
      <c r="D103" s="69">
        <v>5</v>
      </c>
      <c r="E103" s="70">
        <v>1.68537432164E-4</v>
      </c>
    </row>
    <row r="104" spans="2:5" ht="14.45" customHeight="1">
      <c r="B104" s="88"/>
      <c r="C104" s="68" t="s">
        <v>220</v>
      </c>
      <c r="D104" s="69">
        <v>5</v>
      </c>
      <c r="E104" s="70">
        <v>1.68537432164E-4</v>
      </c>
    </row>
    <row r="105" spans="2:5" ht="14.45" customHeight="1">
      <c r="B105" s="88"/>
      <c r="C105" s="68" t="s">
        <v>221</v>
      </c>
      <c r="D105" s="69">
        <v>3</v>
      </c>
      <c r="E105" s="70">
        <v>1.0112245929799999E-4</v>
      </c>
    </row>
    <row r="106" spans="2:5" ht="14.45" customHeight="1">
      <c r="B106" s="88"/>
      <c r="C106" s="68" t="s">
        <v>237</v>
      </c>
      <c r="D106" s="69">
        <v>1</v>
      </c>
      <c r="E106" s="70">
        <v>3.3707486433000001E-5</v>
      </c>
    </row>
    <row r="107" spans="2:5" ht="14.45" customHeight="1">
      <c r="B107" s="88"/>
      <c r="C107" s="68" t="s">
        <v>245</v>
      </c>
      <c r="D107" s="69">
        <v>1</v>
      </c>
      <c r="E107" s="70">
        <v>3.3707486433000001E-5</v>
      </c>
    </row>
    <row r="108" spans="2:5" ht="14.45" customHeight="1">
      <c r="B108" s="88"/>
      <c r="C108" s="68" t="s">
        <v>222</v>
      </c>
      <c r="D108" s="69">
        <v>7</v>
      </c>
      <c r="E108" s="70">
        <v>2.35952405029E-4</v>
      </c>
    </row>
    <row r="109" spans="2:5" ht="14.45" customHeight="1">
      <c r="B109" s="88"/>
      <c r="C109" s="68" t="s">
        <v>223</v>
      </c>
      <c r="D109" s="69">
        <v>1</v>
      </c>
      <c r="E109" s="70">
        <v>3.3707486433000001E-5</v>
      </c>
    </row>
    <row r="110" spans="2:5" ht="14.45" customHeight="1">
      <c r="B110" s="88"/>
      <c r="C110" s="68" t="s">
        <v>224</v>
      </c>
      <c r="D110" s="69">
        <v>4</v>
      </c>
      <c r="E110" s="70">
        <v>1.3482994573099999E-4</v>
      </c>
    </row>
    <row r="111" spans="2:5" ht="14.45" customHeight="1">
      <c r="B111" s="88"/>
      <c r="C111" s="68" t="s">
        <v>225</v>
      </c>
      <c r="D111" s="69">
        <v>13</v>
      </c>
      <c r="E111" s="70">
        <v>4.38197323626E-4</v>
      </c>
    </row>
    <row r="112" spans="2:5" ht="14.45" customHeight="1">
      <c r="B112" s="88"/>
      <c r="C112" s="68" t="s">
        <v>239</v>
      </c>
      <c r="D112" s="69">
        <v>1</v>
      </c>
      <c r="E112" s="70">
        <v>3.3707486433000001E-5</v>
      </c>
    </row>
    <row r="113" spans="2:5" ht="14.45" customHeight="1">
      <c r="B113" s="88"/>
      <c r="C113" s="68" t="s">
        <v>240</v>
      </c>
      <c r="D113" s="69">
        <v>18</v>
      </c>
      <c r="E113" s="70">
        <v>6.0673475578900001E-4</v>
      </c>
    </row>
    <row r="114" spans="2:5" ht="14.45" customHeight="1">
      <c r="B114" s="88"/>
      <c r="C114" s="68" t="s">
        <v>241</v>
      </c>
      <c r="D114" s="69">
        <v>3</v>
      </c>
      <c r="E114" s="70">
        <v>1.0112245929799999E-4</v>
      </c>
    </row>
    <row r="115" spans="2:5" ht="14.45" customHeight="1">
      <c r="B115" s="88"/>
      <c r="C115" s="68" t="s">
        <v>246</v>
      </c>
      <c r="D115" s="69">
        <v>1</v>
      </c>
      <c r="E115" s="70">
        <v>3.3707486433000001E-5</v>
      </c>
    </row>
    <row r="116" spans="2:5" ht="14.45" customHeight="1">
      <c r="B116" s="88"/>
      <c r="C116" s="68" t="s">
        <v>226</v>
      </c>
      <c r="D116" s="69">
        <v>28</v>
      </c>
      <c r="E116" s="70">
        <v>9.4380962011699995E-4</v>
      </c>
    </row>
    <row r="117" spans="2:5" ht="14.45" customHeight="1">
      <c r="B117" s="88"/>
      <c r="C117" s="68" t="s">
        <v>227</v>
      </c>
      <c r="D117" s="69">
        <v>1</v>
      </c>
      <c r="E117" s="70">
        <v>3.3707486433000001E-5</v>
      </c>
    </row>
    <row r="118" spans="2:5" ht="14.45" customHeight="1">
      <c r="B118" s="88"/>
      <c r="C118" s="68" t="s">
        <v>228</v>
      </c>
      <c r="D118" s="69">
        <v>2</v>
      </c>
      <c r="E118" s="70">
        <v>6.7414972865000001E-5</v>
      </c>
    </row>
    <row r="119" spans="2:5" ht="14.45" customHeight="1">
      <c r="B119" s="88"/>
      <c r="C119" s="68" t="s">
        <v>247</v>
      </c>
      <c r="D119" s="69">
        <v>1</v>
      </c>
      <c r="E119" s="70">
        <v>3.3707486433000001E-5</v>
      </c>
    </row>
    <row r="120" spans="2:5" ht="14.45" customHeight="1">
      <c r="B120" s="88"/>
      <c r="C120" s="68" t="s">
        <v>229</v>
      </c>
      <c r="D120" s="69">
        <v>63</v>
      </c>
      <c r="E120" s="70">
        <v>2.123571645262E-3</v>
      </c>
    </row>
    <row r="121" spans="2:5" ht="14.45" customHeight="1">
      <c r="B121" s="88"/>
      <c r="C121" s="68" t="s">
        <v>230</v>
      </c>
      <c r="D121" s="69">
        <v>2</v>
      </c>
      <c r="E121" s="70">
        <v>6.7414972865000001E-5</v>
      </c>
    </row>
    <row r="122" spans="2:5" ht="14.45" customHeight="1">
      <c r="B122" s="88"/>
      <c r="C122" s="36" t="s">
        <v>29</v>
      </c>
      <c r="D122" s="35">
        <v>521</v>
      </c>
      <c r="E122" s="34">
        <v>1.7561600431456E-2</v>
      </c>
    </row>
    <row r="123" spans="2:5" ht="14.45" customHeight="1">
      <c r="B123" s="88" t="s">
        <v>104</v>
      </c>
      <c r="C123" s="68" t="s">
        <v>195</v>
      </c>
      <c r="D123" s="69">
        <v>14</v>
      </c>
      <c r="E123" s="70">
        <v>4.7190481005799999E-4</v>
      </c>
    </row>
    <row r="124" spans="2:5" ht="14.45" customHeight="1">
      <c r="B124" s="88"/>
      <c r="C124" s="68" t="s">
        <v>196</v>
      </c>
      <c r="D124" s="69">
        <v>1</v>
      </c>
      <c r="E124" s="70">
        <v>3.3707486433000001E-5</v>
      </c>
    </row>
    <row r="125" spans="2:5" ht="14.45" customHeight="1">
      <c r="B125" s="88"/>
      <c r="C125" s="68" t="s">
        <v>197</v>
      </c>
      <c r="D125" s="69">
        <v>3</v>
      </c>
      <c r="E125" s="70">
        <v>1.0112245929799999E-4</v>
      </c>
    </row>
    <row r="126" spans="2:5" ht="14.45" customHeight="1">
      <c r="B126" s="88"/>
      <c r="C126" s="68" t="s">
        <v>231</v>
      </c>
      <c r="D126" s="69">
        <v>4</v>
      </c>
      <c r="E126" s="70">
        <v>1.3482994573099999E-4</v>
      </c>
    </row>
    <row r="127" spans="2:5" ht="14.45" customHeight="1">
      <c r="B127" s="88"/>
      <c r="C127" s="68" t="s">
        <v>198</v>
      </c>
      <c r="D127" s="69">
        <v>4</v>
      </c>
      <c r="E127" s="70">
        <v>1.3482994573099999E-4</v>
      </c>
    </row>
    <row r="128" spans="2:5" ht="14.45" customHeight="1">
      <c r="B128" s="88"/>
      <c r="C128" s="68" t="s">
        <v>248</v>
      </c>
      <c r="D128" s="69">
        <v>1</v>
      </c>
      <c r="E128" s="70">
        <v>3.3707486433000001E-5</v>
      </c>
    </row>
    <row r="129" spans="2:5" ht="14.45" customHeight="1">
      <c r="B129" s="88"/>
      <c r="C129" s="68" t="s">
        <v>199</v>
      </c>
      <c r="D129" s="69">
        <v>28</v>
      </c>
      <c r="E129" s="70">
        <v>9.4380962011699995E-4</v>
      </c>
    </row>
    <row r="130" spans="2:5" ht="14.45" customHeight="1">
      <c r="B130" s="88"/>
      <c r="C130" s="68" t="s">
        <v>200</v>
      </c>
      <c r="D130" s="69">
        <v>46</v>
      </c>
      <c r="E130" s="70">
        <v>1.550544375906E-3</v>
      </c>
    </row>
    <row r="131" spans="2:5" ht="14.45" customHeight="1">
      <c r="B131" s="88"/>
      <c r="C131" s="68" t="s">
        <v>201</v>
      </c>
      <c r="D131" s="69">
        <v>10</v>
      </c>
      <c r="E131" s="70">
        <v>3.3707486432699998E-4</v>
      </c>
    </row>
    <row r="132" spans="2:5" ht="14.45" customHeight="1">
      <c r="B132" s="88"/>
      <c r="C132" s="68" t="s">
        <v>202</v>
      </c>
      <c r="D132" s="69">
        <v>12</v>
      </c>
      <c r="E132" s="70">
        <v>4.0448983719299999E-4</v>
      </c>
    </row>
    <row r="133" spans="2:5" ht="14.45" customHeight="1">
      <c r="B133" s="88"/>
      <c r="C133" s="68" t="s">
        <v>203</v>
      </c>
      <c r="D133" s="69">
        <v>24</v>
      </c>
      <c r="E133" s="70">
        <v>8.0897967438599999E-4</v>
      </c>
    </row>
    <row r="134" spans="2:5" ht="14.45" customHeight="1">
      <c r="B134" s="88"/>
      <c r="C134" s="68" t="s">
        <v>249</v>
      </c>
      <c r="D134" s="69">
        <v>2</v>
      </c>
      <c r="E134" s="70">
        <v>6.7414972865000001E-5</v>
      </c>
    </row>
    <row r="135" spans="2:5" ht="14.45" customHeight="1">
      <c r="B135" s="88"/>
      <c r="C135" s="68" t="s">
        <v>204</v>
      </c>
      <c r="D135" s="69">
        <v>5</v>
      </c>
      <c r="E135" s="70">
        <v>1.68537432164E-4</v>
      </c>
    </row>
    <row r="136" spans="2:5" ht="14.45" customHeight="1">
      <c r="B136" s="88"/>
      <c r="C136" s="68" t="s">
        <v>205</v>
      </c>
      <c r="D136" s="69">
        <v>16</v>
      </c>
      <c r="E136" s="70">
        <v>5.3931978292399995E-4</v>
      </c>
    </row>
    <row r="137" spans="2:5" ht="14.45" customHeight="1">
      <c r="B137" s="88"/>
      <c r="C137" s="68" t="s">
        <v>243</v>
      </c>
      <c r="D137" s="69">
        <v>1</v>
      </c>
      <c r="E137" s="70">
        <v>3.3707486433000001E-5</v>
      </c>
    </row>
    <row r="138" spans="2:5" ht="14.45" customHeight="1">
      <c r="B138" s="88"/>
      <c r="C138" s="68" t="s">
        <v>206</v>
      </c>
      <c r="D138" s="69">
        <v>8</v>
      </c>
      <c r="E138" s="70">
        <v>2.6965989146199998E-4</v>
      </c>
    </row>
    <row r="139" spans="2:5" ht="14.45" customHeight="1">
      <c r="B139" s="88"/>
      <c r="C139" s="68" t="s">
        <v>207</v>
      </c>
      <c r="D139" s="69">
        <v>2</v>
      </c>
      <c r="E139" s="70">
        <v>6.7414972865000001E-5</v>
      </c>
    </row>
    <row r="140" spans="2:5" ht="14.45" customHeight="1">
      <c r="B140" s="88"/>
      <c r="C140" s="68" t="s">
        <v>208</v>
      </c>
      <c r="D140" s="69">
        <v>10</v>
      </c>
      <c r="E140" s="70">
        <v>3.3707486432699998E-4</v>
      </c>
    </row>
    <row r="141" spans="2:5" ht="14.45" customHeight="1">
      <c r="B141" s="88"/>
      <c r="C141" s="68" t="s">
        <v>209</v>
      </c>
      <c r="D141" s="69">
        <v>19</v>
      </c>
      <c r="E141" s="70">
        <v>6.4044224222200002E-4</v>
      </c>
    </row>
    <row r="142" spans="2:5" ht="14.45" customHeight="1">
      <c r="B142" s="88"/>
      <c r="C142" s="68" t="s">
        <v>232</v>
      </c>
      <c r="D142" s="69">
        <v>16</v>
      </c>
      <c r="E142" s="70">
        <v>5.3931978292399995E-4</v>
      </c>
    </row>
    <row r="143" spans="2:5" ht="14.45" customHeight="1">
      <c r="B143" s="88"/>
      <c r="C143" s="68" t="s">
        <v>211</v>
      </c>
      <c r="D143" s="69">
        <v>4</v>
      </c>
      <c r="E143" s="70">
        <v>1.3482994573099999E-4</v>
      </c>
    </row>
    <row r="144" spans="2:5" ht="14.45" customHeight="1">
      <c r="B144" s="88"/>
      <c r="C144" s="68" t="s">
        <v>213</v>
      </c>
      <c r="D144" s="69">
        <v>58</v>
      </c>
      <c r="E144" s="70">
        <v>1.9550342130989998E-3</v>
      </c>
    </row>
    <row r="145" spans="2:5" ht="14.45" customHeight="1">
      <c r="B145" s="88"/>
      <c r="C145" s="68" t="s">
        <v>214</v>
      </c>
      <c r="D145" s="69">
        <v>16</v>
      </c>
      <c r="E145" s="70">
        <v>5.3931978292399995E-4</v>
      </c>
    </row>
    <row r="146" spans="2:5" ht="14.45" customHeight="1">
      <c r="B146" s="88"/>
      <c r="C146" s="68" t="s">
        <v>57</v>
      </c>
      <c r="D146" s="69">
        <v>1</v>
      </c>
      <c r="E146" s="70">
        <v>3.3707486433000001E-5</v>
      </c>
    </row>
    <row r="147" spans="2:5" ht="14.45" customHeight="1">
      <c r="B147" s="88"/>
      <c r="C147" s="68" t="s">
        <v>234</v>
      </c>
      <c r="D147" s="69">
        <v>63</v>
      </c>
      <c r="E147" s="70">
        <v>2.123571645262E-3</v>
      </c>
    </row>
    <row r="148" spans="2:5" ht="14.45" customHeight="1">
      <c r="B148" s="88"/>
      <c r="C148" s="68" t="s">
        <v>215</v>
      </c>
      <c r="D148" s="69">
        <v>203</v>
      </c>
      <c r="E148" s="70">
        <v>6.8426197458459998E-3</v>
      </c>
    </row>
    <row r="149" spans="2:5" ht="14.45" customHeight="1">
      <c r="B149" s="88"/>
      <c r="C149" s="68" t="s">
        <v>235</v>
      </c>
      <c r="D149" s="69">
        <v>9</v>
      </c>
      <c r="E149" s="70">
        <v>3.0336737789499998E-4</v>
      </c>
    </row>
    <row r="150" spans="2:5" ht="14.45" customHeight="1">
      <c r="B150" s="88"/>
      <c r="C150" s="68" t="s">
        <v>244</v>
      </c>
      <c r="D150" s="69">
        <v>7</v>
      </c>
      <c r="E150" s="70">
        <v>2.35952405029E-4</v>
      </c>
    </row>
    <row r="151" spans="2:5" ht="14.45" customHeight="1">
      <c r="B151" s="88"/>
      <c r="C151" s="68" t="s">
        <v>216</v>
      </c>
      <c r="D151" s="69">
        <v>4</v>
      </c>
      <c r="E151" s="70">
        <v>1.3482994573099999E-4</v>
      </c>
    </row>
    <row r="152" spans="2:5" ht="14.45" customHeight="1">
      <c r="B152" s="88"/>
      <c r="C152" s="68" t="s">
        <v>217</v>
      </c>
      <c r="D152" s="69">
        <v>1</v>
      </c>
      <c r="E152" s="70">
        <v>3.3707486433000001E-5</v>
      </c>
    </row>
    <row r="153" spans="2:5" ht="14.45" customHeight="1">
      <c r="B153" s="88"/>
      <c r="C153" s="68" t="s">
        <v>218</v>
      </c>
      <c r="D153" s="69">
        <v>53</v>
      </c>
      <c r="E153" s="70">
        <v>1.7864967809350001E-3</v>
      </c>
    </row>
    <row r="154" spans="2:5" ht="14.45" customHeight="1">
      <c r="B154" s="88"/>
      <c r="C154" s="68" t="s">
        <v>219</v>
      </c>
      <c r="D154" s="69">
        <v>78</v>
      </c>
      <c r="E154" s="70">
        <v>2.629183941753E-3</v>
      </c>
    </row>
    <row r="155" spans="2:5" ht="14.45" customHeight="1">
      <c r="B155" s="88"/>
      <c r="C155" s="68" t="s">
        <v>236</v>
      </c>
      <c r="D155" s="69">
        <v>11</v>
      </c>
      <c r="E155" s="70">
        <v>3.7078235075999999E-4</v>
      </c>
    </row>
    <row r="156" spans="2:5" ht="14.45" customHeight="1">
      <c r="B156" s="88"/>
      <c r="C156" s="68" t="s">
        <v>220</v>
      </c>
      <c r="D156" s="69">
        <v>4</v>
      </c>
      <c r="E156" s="70">
        <v>1.3482994573099999E-4</v>
      </c>
    </row>
    <row r="157" spans="2:5" ht="14.45" customHeight="1">
      <c r="B157" s="88"/>
      <c r="C157" s="68" t="s">
        <v>221</v>
      </c>
      <c r="D157" s="69">
        <v>28</v>
      </c>
      <c r="E157" s="70">
        <v>9.4380962011699995E-4</v>
      </c>
    </row>
    <row r="158" spans="2:5" ht="14.45" customHeight="1">
      <c r="B158" s="88"/>
      <c r="C158" s="68" t="s">
        <v>245</v>
      </c>
      <c r="D158" s="69">
        <v>1</v>
      </c>
      <c r="E158" s="70">
        <v>3.3707486433000001E-5</v>
      </c>
    </row>
    <row r="159" spans="2:5" ht="14.45" customHeight="1">
      <c r="B159" s="88"/>
      <c r="C159" s="68" t="s">
        <v>222</v>
      </c>
      <c r="D159" s="69">
        <v>6</v>
      </c>
      <c r="E159" s="70">
        <v>2.0224491859599999E-4</v>
      </c>
    </row>
    <row r="160" spans="2:5" ht="14.45" customHeight="1">
      <c r="B160" s="88"/>
      <c r="C160" s="68" t="s">
        <v>223</v>
      </c>
      <c r="D160" s="69">
        <v>3</v>
      </c>
      <c r="E160" s="70">
        <v>1.0112245929799999E-4</v>
      </c>
    </row>
    <row r="161" spans="2:5" ht="14.45" customHeight="1">
      <c r="B161" s="88"/>
      <c r="C161" s="68" t="s">
        <v>250</v>
      </c>
      <c r="D161" s="69">
        <v>3</v>
      </c>
      <c r="E161" s="70">
        <v>1.0112245929799999E-4</v>
      </c>
    </row>
    <row r="162" spans="2:5" ht="14.45" customHeight="1">
      <c r="B162" s="88"/>
      <c r="C162" s="68" t="s">
        <v>224</v>
      </c>
      <c r="D162" s="69">
        <v>1</v>
      </c>
      <c r="E162" s="70">
        <v>3.3707486433000001E-5</v>
      </c>
    </row>
    <row r="163" spans="2:5" ht="14.45" customHeight="1">
      <c r="B163" s="88"/>
      <c r="C163" s="68" t="s">
        <v>225</v>
      </c>
      <c r="D163" s="69">
        <v>12</v>
      </c>
      <c r="E163" s="70">
        <v>4.0448983719299999E-4</v>
      </c>
    </row>
    <row r="164" spans="2:5" ht="14.45" customHeight="1">
      <c r="B164" s="88"/>
      <c r="C164" s="68" t="s">
        <v>251</v>
      </c>
      <c r="D164" s="69">
        <v>2</v>
      </c>
      <c r="E164" s="70">
        <v>6.7414972865000001E-5</v>
      </c>
    </row>
    <row r="165" spans="2:5" ht="14.45" customHeight="1">
      <c r="B165" s="88"/>
      <c r="C165" s="68" t="s">
        <v>238</v>
      </c>
      <c r="D165" s="69">
        <v>3</v>
      </c>
      <c r="E165" s="70">
        <v>1.0112245929799999E-4</v>
      </c>
    </row>
    <row r="166" spans="2:5" ht="14.45" customHeight="1">
      <c r="B166" s="88"/>
      <c r="C166" s="68" t="s">
        <v>239</v>
      </c>
      <c r="D166" s="69">
        <v>6</v>
      </c>
      <c r="E166" s="70">
        <v>2.0224491859599999E-4</v>
      </c>
    </row>
    <row r="167" spans="2:5" ht="14.45" customHeight="1">
      <c r="B167" s="88"/>
      <c r="C167" s="68" t="s">
        <v>240</v>
      </c>
      <c r="D167" s="69">
        <v>2</v>
      </c>
      <c r="E167" s="70">
        <v>6.7414972865000001E-5</v>
      </c>
    </row>
    <row r="168" spans="2:5" ht="14.45" customHeight="1">
      <c r="B168" s="88"/>
      <c r="C168" s="68" t="s">
        <v>241</v>
      </c>
      <c r="D168" s="69">
        <v>5</v>
      </c>
      <c r="E168" s="70">
        <v>1.68537432164E-4</v>
      </c>
    </row>
    <row r="169" spans="2:5" ht="14.45" customHeight="1">
      <c r="B169" s="88"/>
      <c r="C169" s="68" t="s">
        <v>226</v>
      </c>
      <c r="D169" s="69">
        <v>100</v>
      </c>
      <c r="E169" s="70">
        <v>3.3707486432739998E-3</v>
      </c>
    </row>
    <row r="170" spans="2:5" ht="14.45" customHeight="1">
      <c r="B170" s="88"/>
      <c r="C170" s="68" t="s">
        <v>227</v>
      </c>
      <c r="D170" s="69">
        <v>20</v>
      </c>
      <c r="E170" s="70">
        <v>6.7414972865500002E-4</v>
      </c>
    </row>
    <row r="171" spans="2:5" ht="14.45" customHeight="1">
      <c r="B171" s="88"/>
      <c r="C171" s="68" t="s">
        <v>228</v>
      </c>
      <c r="D171" s="69">
        <v>26</v>
      </c>
      <c r="E171" s="70">
        <v>8.7639464725100004E-4</v>
      </c>
    </row>
    <row r="172" spans="2:5" ht="14.45" customHeight="1">
      <c r="B172" s="88"/>
      <c r="C172" s="68" t="s">
        <v>247</v>
      </c>
      <c r="D172" s="69">
        <v>24</v>
      </c>
      <c r="E172" s="70">
        <v>8.0897967438599999E-4</v>
      </c>
    </row>
    <row r="173" spans="2:5" ht="14.45" customHeight="1">
      <c r="B173" s="88"/>
      <c r="C173" s="68" t="s">
        <v>229</v>
      </c>
      <c r="D173" s="69">
        <v>13</v>
      </c>
      <c r="E173" s="70">
        <v>4.38197323626E-4</v>
      </c>
    </row>
    <row r="174" spans="2:5" ht="14.45" customHeight="1">
      <c r="B174" s="88"/>
      <c r="C174" s="68" t="s">
        <v>230</v>
      </c>
      <c r="D174" s="69">
        <v>20</v>
      </c>
      <c r="E174" s="70">
        <v>6.7414972865500002E-4</v>
      </c>
    </row>
    <row r="175" spans="2:5" ht="14.45" customHeight="1">
      <c r="B175" s="88"/>
      <c r="C175" s="36" t="s">
        <v>29</v>
      </c>
      <c r="D175" s="35">
        <v>1013</v>
      </c>
      <c r="E175" s="34">
        <v>3.4145683756361997E-2</v>
      </c>
    </row>
    <row r="176" spans="2:5" ht="14.45" customHeight="1">
      <c r="B176" s="88" t="s">
        <v>105</v>
      </c>
      <c r="C176" s="68" t="s">
        <v>195</v>
      </c>
      <c r="D176" s="69">
        <v>3</v>
      </c>
      <c r="E176" s="70">
        <v>1.0112245929799999E-4</v>
      </c>
    </row>
    <row r="177" spans="2:5" ht="14.45" customHeight="1">
      <c r="B177" s="88"/>
      <c r="C177" s="68" t="s">
        <v>199</v>
      </c>
      <c r="D177" s="69">
        <v>9</v>
      </c>
      <c r="E177" s="70">
        <v>3.0336737789499998E-4</v>
      </c>
    </row>
    <row r="178" spans="2:5" ht="14.45" customHeight="1">
      <c r="B178" s="88"/>
      <c r="C178" s="68" t="s">
        <v>200</v>
      </c>
      <c r="D178" s="69">
        <v>4</v>
      </c>
      <c r="E178" s="70">
        <v>1.3482994573099999E-4</v>
      </c>
    </row>
    <row r="179" spans="2:5" ht="14.45" customHeight="1">
      <c r="B179" s="88"/>
      <c r="C179" s="68" t="s">
        <v>201</v>
      </c>
      <c r="D179" s="69">
        <v>2</v>
      </c>
      <c r="E179" s="70">
        <v>6.7414972865000001E-5</v>
      </c>
    </row>
    <row r="180" spans="2:5" ht="14.45" customHeight="1">
      <c r="B180" s="88"/>
      <c r="C180" s="68" t="s">
        <v>203</v>
      </c>
      <c r="D180" s="69">
        <v>8</v>
      </c>
      <c r="E180" s="70">
        <v>2.6965989146199998E-4</v>
      </c>
    </row>
    <row r="181" spans="2:5" ht="14.45" customHeight="1">
      <c r="B181" s="88"/>
      <c r="C181" s="68" t="s">
        <v>204</v>
      </c>
      <c r="D181" s="69">
        <v>1</v>
      </c>
      <c r="E181" s="70">
        <v>3.3707486433000001E-5</v>
      </c>
    </row>
    <row r="182" spans="2:5" ht="14.45" customHeight="1">
      <c r="B182" s="88"/>
      <c r="C182" s="68" t="s">
        <v>205</v>
      </c>
      <c r="D182" s="69">
        <v>2</v>
      </c>
      <c r="E182" s="70">
        <v>6.7414972865000001E-5</v>
      </c>
    </row>
    <row r="183" spans="2:5" ht="14.45" customHeight="1">
      <c r="B183" s="88"/>
      <c r="C183" s="68" t="s">
        <v>209</v>
      </c>
      <c r="D183" s="69">
        <v>8</v>
      </c>
      <c r="E183" s="70">
        <v>2.6965989146199998E-4</v>
      </c>
    </row>
    <row r="184" spans="2:5" ht="14.45" customHeight="1">
      <c r="B184" s="88"/>
      <c r="C184" s="68" t="s">
        <v>232</v>
      </c>
      <c r="D184" s="69">
        <v>8</v>
      </c>
      <c r="E184" s="70">
        <v>2.6965989146199998E-4</v>
      </c>
    </row>
    <row r="185" spans="2:5" ht="14.45" customHeight="1">
      <c r="B185" s="88"/>
      <c r="C185" s="68" t="s">
        <v>211</v>
      </c>
      <c r="D185" s="69">
        <v>1</v>
      </c>
      <c r="E185" s="70">
        <v>3.3707486433000001E-5</v>
      </c>
    </row>
    <row r="186" spans="2:5" ht="14.45" customHeight="1">
      <c r="B186" s="88"/>
      <c r="C186" s="68" t="s">
        <v>213</v>
      </c>
      <c r="D186" s="69">
        <v>37</v>
      </c>
      <c r="E186" s="70">
        <v>1.247176998011E-3</v>
      </c>
    </row>
    <row r="187" spans="2:5" ht="14.45" customHeight="1">
      <c r="B187" s="88"/>
      <c r="C187" s="68" t="s">
        <v>214</v>
      </c>
      <c r="D187" s="69">
        <v>5</v>
      </c>
      <c r="E187" s="70">
        <v>1.68537432164E-4</v>
      </c>
    </row>
    <row r="188" spans="2:5" ht="14.45" customHeight="1">
      <c r="B188" s="88"/>
      <c r="C188" s="68" t="s">
        <v>215</v>
      </c>
      <c r="D188" s="69">
        <v>15</v>
      </c>
      <c r="E188" s="70">
        <v>5.0561229649099995E-4</v>
      </c>
    </row>
    <row r="189" spans="2:5" ht="14.45" customHeight="1">
      <c r="B189" s="88"/>
      <c r="C189" s="68" t="s">
        <v>216</v>
      </c>
      <c r="D189" s="69">
        <v>1</v>
      </c>
      <c r="E189" s="70">
        <v>3.3707486433000001E-5</v>
      </c>
    </row>
    <row r="190" spans="2:5" ht="14.45" customHeight="1">
      <c r="B190" s="88"/>
      <c r="C190" s="68" t="s">
        <v>218</v>
      </c>
      <c r="D190" s="69">
        <v>2</v>
      </c>
      <c r="E190" s="70">
        <v>6.7414972865000001E-5</v>
      </c>
    </row>
    <row r="191" spans="2:5" ht="14.45" customHeight="1">
      <c r="B191" s="88"/>
      <c r="C191" s="68" t="s">
        <v>219</v>
      </c>
      <c r="D191" s="69">
        <v>6</v>
      </c>
      <c r="E191" s="70">
        <v>2.0224491859599999E-4</v>
      </c>
    </row>
    <row r="192" spans="2:5" ht="14.45" customHeight="1">
      <c r="B192" s="88"/>
      <c r="C192" s="68" t="s">
        <v>236</v>
      </c>
      <c r="D192" s="69">
        <v>2</v>
      </c>
      <c r="E192" s="70">
        <v>6.7414972865000001E-5</v>
      </c>
    </row>
    <row r="193" spans="2:5" ht="14.45" customHeight="1">
      <c r="B193" s="88"/>
      <c r="C193" s="68" t="s">
        <v>220</v>
      </c>
      <c r="D193" s="69">
        <v>1</v>
      </c>
      <c r="E193" s="70">
        <v>3.3707486433000001E-5</v>
      </c>
    </row>
    <row r="194" spans="2:5" ht="14.45" customHeight="1">
      <c r="B194" s="88"/>
      <c r="C194" s="68" t="s">
        <v>221</v>
      </c>
      <c r="D194" s="69">
        <v>1</v>
      </c>
      <c r="E194" s="70">
        <v>3.3707486433000001E-5</v>
      </c>
    </row>
    <row r="195" spans="2:5" ht="14.45" customHeight="1">
      <c r="B195" s="88"/>
      <c r="C195" s="68" t="s">
        <v>237</v>
      </c>
      <c r="D195" s="69">
        <v>1</v>
      </c>
      <c r="E195" s="70">
        <v>3.3707486433000001E-5</v>
      </c>
    </row>
    <row r="196" spans="2:5" ht="14.45" customHeight="1">
      <c r="B196" s="88"/>
      <c r="C196" s="68" t="s">
        <v>225</v>
      </c>
      <c r="D196" s="69">
        <v>3</v>
      </c>
      <c r="E196" s="70">
        <v>1.0112245929799999E-4</v>
      </c>
    </row>
    <row r="197" spans="2:5" ht="14.45" customHeight="1">
      <c r="B197" s="88"/>
      <c r="C197" s="68" t="s">
        <v>240</v>
      </c>
      <c r="D197" s="69">
        <v>1</v>
      </c>
      <c r="E197" s="70">
        <v>3.3707486433000001E-5</v>
      </c>
    </row>
    <row r="198" spans="2:5" ht="14.45" customHeight="1">
      <c r="B198" s="88"/>
      <c r="C198" s="68" t="s">
        <v>226</v>
      </c>
      <c r="D198" s="69">
        <v>24</v>
      </c>
      <c r="E198" s="70">
        <v>8.0897967438599999E-4</v>
      </c>
    </row>
    <row r="199" spans="2:5" ht="14.45" customHeight="1">
      <c r="B199" s="88"/>
      <c r="C199" s="68" t="s">
        <v>247</v>
      </c>
      <c r="D199" s="69">
        <v>14</v>
      </c>
      <c r="E199" s="70">
        <v>4.7190481005799999E-4</v>
      </c>
    </row>
    <row r="200" spans="2:5" ht="14.45" customHeight="1">
      <c r="B200" s="88"/>
      <c r="C200" s="68" t="s">
        <v>229</v>
      </c>
      <c r="D200" s="69">
        <v>7</v>
      </c>
      <c r="E200" s="70">
        <v>2.35952405029E-4</v>
      </c>
    </row>
    <row r="201" spans="2:5" ht="14.45" customHeight="1">
      <c r="B201" s="88"/>
      <c r="C201" s="68" t="s">
        <v>230</v>
      </c>
      <c r="D201" s="69">
        <v>2</v>
      </c>
      <c r="E201" s="70">
        <v>6.7414972865000001E-5</v>
      </c>
    </row>
    <row r="202" spans="2:5" ht="14.45" customHeight="1">
      <c r="B202" s="88"/>
      <c r="C202" s="36" t="s">
        <v>29</v>
      </c>
      <c r="D202" s="35">
        <v>168</v>
      </c>
      <c r="E202" s="34">
        <v>5.6628577207E-3</v>
      </c>
    </row>
    <row r="203" spans="2:5" ht="14.45" customHeight="1">
      <c r="B203" s="88" t="s">
        <v>106</v>
      </c>
      <c r="C203" s="68" t="s">
        <v>201</v>
      </c>
      <c r="D203" s="69">
        <v>1</v>
      </c>
      <c r="E203" s="70">
        <v>3.3707486433000001E-5</v>
      </c>
    </row>
    <row r="204" spans="2:5" ht="14.45" customHeight="1">
      <c r="B204" s="88"/>
      <c r="C204" s="68" t="s">
        <v>203</v>
      </c>
      <c r="D204" s="69">
        <v>2</v>
      </c>
      <c r="E204" s="70">
        <v>6.7414972865000001E-5</v>
      </c>
    </row>
    <row r="205" spans="2:5" ht="14.45" customHeight="1">
      <c r="B205" s="88"/>
      <c r="C205" s="68" t="s">
        <v>205</v>
      </c>
      <c r="D205" s="69">
        <v>1</v>
      </c>
      <c r="E205" s="70">
        <v>3.3707486433000001E-5</v>
      </c>
    </row>
    <row r="206" spans="2:5" ht="14.45" customHeight="1">
      <c r="B206" s="88"/>
      <c r="C206" s="68" t="s">
        <v>232</v>
      </c>
      <c r="D206" s="69">
        <v>1</v>
      </c>
      <c r="E206" s="70">
        <v>3.3707486433000001E-5</v>
      </c>
    </row>
    <row r="207" spans="2:5" ht="14.45" customHeight="1">
      <c r="B207" s="88"/>
      <c r="C207" s="68" t="s">
        <v>212</v>
      </c>
      <c r="D207" s="69">
        <v>1</v>
      </c>
      <c r="E207" s="70">
        <v>3.3707486433000001E-5</v>
      </c>
    </row>
    <row r="208" spans="2:5" ht="14.45" customHeight="1">
      <c r="B208" s="88"/>
      <c r="C208" s="68" t="s">
        <v>215</v>
      </c>
      <c r="D208" s="69">
        <v>3</v>
      </c>
      <c r="E208" s="70">
        <v>1.0112245929799999E-4</v>
      </c>
    </row>
    <row r="209" spans="2:5" ht="14.45" customHeight="1">
      <c r="B209" s="88"/>
      <c r="C209" s="68" t="s">
        <v>224</v>
      </c>
      <c r="D209" s="69">
        <v>1</v>
      </c>
      <c r="E209" s="70">
        <v>3.3707486433000001E-5</v>
      </c>
    </row>
    <row r="210" spans="2:5" ht="14.45" customHeight="1">
      <c r="B210" s="88"/>
      <c r="C210" s="68" t="s">
        <v>251</v>
      </c>
      <c r="D210" s="69">
        <v>1</v>
      </c>
      <c r="E210" s="70">
        <v>3.3707486433000001E-5</v>
      </c>
    </row>
    <row r="211" spans="2:5" ht="14.45" customHeight="1">
      <c r="B211" s="88"/>
      <c r="C211" s="68" t="s">
        <v>227</v>
      </c>
      <c r="D211" s="69">
        <v>1</v>
      </c>
      <c r="E211" s="70">
        <v>3.3707486433000001E-5</v>
      </c>
    </row>
    <row r="212" spans="2:5" ht="14.45" customHeight="1">
      <c r="B212" s="88"/>
      <c r="C212" s="36" t="s">
        <v>29</v>
      </c>
      <c r="D212" s="35">
        <v>12</v>
      </c>
      <c r="E212" s="34">
        <v>4.0448983719299999E-4</v>
      </c>
    </row>
    <row r="213" spans="2:5" ht="14.45" customHeight="1">
      <c r="B213" s="88" t="s">
        <v>107</v>
      </c>
      <c r="C213" s="68" t="s">
        <v>201</v>
      </c>
      <c r="D213" s="69">
        <v>3</v>
      </c>
      <c r="E213" s="70">
        <v>1.0112245929799999E-4</v>
      </c>
    </row>
    <row r="214" spans="2:5" ht="14.45" customHeight="1">
      <c r="B214" s="88"/>
      <c r="C214" s="68" t="s">
        <v>202</v>
      </c>
      <c r="D214" s="69">
        <v>1</v>
      </c>
      <c r="E214" s="70">
        <v>3.3707486433000001E-5</v>
      </c>
    </row>
    <row r="215" spans="2:5" ht="14.45" customHeight="1">
      <c r="B215" s="88"/>
      <c r="C215" s="68" t="s">
        <v>205</v>
      </c>
      <c r="D215" s="69">
        <v>1</v>
      </c>
      <c r="E215" s="70">
        <v>3.3707486433000001E-5</v>
      </c>
    </row>
    <row r="216" spans="2:5" ht="14.45" customHeight="1">
      <c r="B216" s="88"/>
      <c r="C216" s="68" t="s">
        <v>206</v>
      </c>
      <c r="D216" s="69">
        <v>1</v>
      </c>
      <c r="E216" s="70">
        <v>3.3707486433000001E-5</v>
      </c>
    </row>
    <row r="217" spans="2:5" ht="14.45" customHeight="1">
      <c r="B217" s="88"/>
      <c r="C217" s="68" t="s">
        <v>211</v>
      </c>
      <c r="D217" s="69">
        <v>1</v>
      </c>
      <c r="E217" s="70">
        <v>3.3707486433000001E-5</v>
      </c>
    </row>
    <row r="218" spans="2:5" ht="14.45" customHeight="1">
      <c r="B218" s="88"/>
      <c r="C218" s="68" t="s">
        <v>213</v>
      </c>
      <c r="D218" s="69">
        <v>3</v>
      </c>
      <c r="E218" s="70">
        <v>1.0112245929799999E-4</v>
      </c>
    </row>
    <row r="219" spans="2:5" ht="14.45" customHeight="1">
      <c r="B219" s="88"/>
      <c r="C219" s="68" t="s">
        <v>214</v>
      </c>
      <c r="D219" s="69">
        <v>7</v>
      </c>
      <c r="E219" s="70">
        <v>2.35952405029E-4</v>
      </c>
    </row>
    <row r="220" spans="2:5" ht="14.45" customHeight="1">
      <c r="B220" s="88"/>
      <c r="C220" s="68" t="s">
        <v>234</v>
      </c>
      <c r="D220" s="69">
        <v>1</v>
      </c>
      <c r="E220" s="70">
        <v>3.3707486433000001E-5</v>
      </c>
    </row>
    <row r="221" spans="2:5" ht="14.45" customHeight="1">
      <c r="B221" s="88"/>
      <c r="C221" s="68" t="s">
        <v>215</v>
      </c>
      <c r="D221" s="69">
        <v>3</v>
      </c>
      <c r="E221" s="70">
        <v>1.0112245929799999E-4</v>
      </c>
    </row>
    <row r="222" spans="2:5" ht="14.45" customHeight="1">
      <c r="B222" s="88"/>
      <c r="C222" s="68" t="s">
        <v>244</v>
      </c>
      <c r="D222" s="69">
        <v>1</v>
      </c>
      <c r="E222" s="70">
        <v>3.3707486433000001E-5</v>
      </c>
    </row>
    <row r="223" spans="2:5" ht="14.45" customHeight="1">
      <c r="B223" s="88"/>
      <c r="C223" s="68" t="s">
        <v>220</v>
      </c>
      <c r="D223" s="69">
        <v>3</v>
      </c>
      <c r="E223" s="70">
        <v>1.0112245929799999E-4</v>
      </c>
    </row>
    <row r="224" spans="2:5" ht="14.45" customHeight="1">
      <c r="B224" s="88"/>
      <c r="C224" s="68" t="s">
        <v>221</v>
      </c>
      <c r="D224" s="69">
        <v>7</v>
      </c>
      <c r="E224" s="70">
        <v>2.35952405029E-4</v>
      </c>
    </row>
    <row r="225" spans="2:5" ht="14.45" customHeight="1">
      <c r="B225" s="88"/>
      <c r="C225" s="36" t="s">
        <v>29</v>
      </c>
      <c r="D225" s="35">
        <v>32</v>
      </c>
      <c r="E225" s="34">
        <v>1.0786395658479999E-3</v>
      </c>
    </row>
    <row r="226" spans="2:5" ht="14.45" customHeight="1">
      <c r="B226" s="88" t="s">
        <v>108</v>
      </c>
      <c r="C226" s="68" t="s">
        <v>195</v>
      </c>
      <c r="D226" s="69">
        <v>3</v>
      </c>
      <c r="E226" s="70">
        <v>1.0112245929799999E-4</v>
      </c>
    </row>
    <row r="227" spans="2:5" ht="14.45" customHeight="1">
      <c r="B227" s="88"/>
      <c r="C227" s="68" t="s">
        <v>196</v>
      </c>
      <c r="D227" s="69">
        <v>10</v>
      </c>
      <c r="E227" s="70">
        <v>3.3707486432699998E-4</v>
      </c>
    </row>
    <row r="228" spans="2:5" ht="14.45" customHeight="1">
      <c r="B228" s="88"/>
      <c r="C228" s="68" t="s">
        <v>197</v>
      </c>
      <c r="D228" s="69">
        <v>9</v>
      </c>
      <c r="E228" s="70">
        <v>3.0336737789499998E-4</v>
      </c>
    </row>
    <row r="229" spans="2:5" ht="14.45" customHeight="1">
      <c r="B229" s="88"/>
      <c r="C229" s="68" t="s">
        <v>231</v>
      </c>
      <c r="D229" s="69">
        <v>1</v>
      </c>
      <c r="E229" s="70">
        <v>3.3707486433000001E-5</v>
      </c>
    </row>
    <row r="230" spans="2:5" ht="14.45" customHeight="1">
      <c r="B230" s="88"/>
      <c r="C230" s="68" t="s">
        <v>198</v>
      </c>
      <c r="D230" s="69">
        <v>3</v>
      </c>
      <c r="E230" s="70">
        <v>1.0112245929799999E-4</v>
      </c>
    </row>
    <row r="231" spans="2:5" ht="14.45" customHeight="1">
      <c r="B231" s="88"/>
      <c r="C231" s="68" t="s">
        <v>242</v>
      </c>
      <c r="D231" s="69">
        <v>3</v>
      </c>
      <c r="E231" s="70">
        <v>1.0112245929799999E-4</v>
      </c>
    </row>
    <row r="232" spans="2:5" ht="14.45" customHeight="1">
      <c r="B232" s="88"/>
      <c r="C232" s="68" t="s">
        <v>199</v>
      </c>
      <c r="D232" s="69">
        <v>11</v>
      </c>
      <c r="E232" s="70">
        <v>3.7078235075999999E-4</v>
      </c>
    </row>
    <row r="233" spans="2:5" ht="14.45" customHeight="1">
      <c r="B233" s="88"/>
      <c r="C233" s="68" t="s">
        <v>200</v>
      </c>
      <c r="D233" s="69">
        <v>9</v>
      </c>
      <c r="E233" s="70">
        <v>3.0336737789499998E-4</v>
      </c>
    </row>
    <row r="234" spans="2:5" ht="14.45" customHeight="1">
      <c r="B234" s="88"/>
      <c r="C234" s="68" t="s">
        <v>201</v>
      </c>
      <c r="D234" s="69">
        <v>22</v>
      </c>
      <c r="E234" s="70">
        <v>7.4156470151999997E-4</v>
      </c>
    </row>
    <row r="235" spans="2:5" ht="14.45" customHeight="1">
      <c r="B235" s="88"/>
      <c r="C235" s="68" t="s">
        <v>202</v>
      </c>
      <c r="D235" s="69">
        <v>23</v>
      </c>
      <c r="E235" s="70">
        <v>7.7527218795299998E-4</v>
      </c>
    </row>
    <row r="236" spans="2:5" ht="14.45" customHeight="1">
      <c r="B236" s="88"/>
      <c r="C236" s="68" t="s">
        <v>203</v>
      </c>
      <c r="D236" s="69">
        <v>46</v>
      </c>
      <c r="E236" s="70">
        <v>1.550544375906E-3</v>
      </c>
    </row>
    <row r="237" spans="2:5" ht="14.45" customHeight="1">
      <c r="B237" s="88"/>
      <c r="C237" s="68" t="s">
        <v>249</v>
      </c>
      <c r="D237" s="69">
        <v>1</v>
      </c>
      <c r="E237" s="70">
        <v>3.3707486433000001E-5</v>
      </c>
    </row>
    <row r="238" spans="2:5" ht="14.45" customHeight="1">
      <c r="B238" s="88"/>
      <c r="C238" s="68" t="s">
        <v>204</v>
      </c>
      <c r="D238" s="69">
        <v>10</v>
      </c>
      <c r="E238" s="70">
        <v>3.3707486432699998E-4</v>
      </c>
    </row>
    <row r="239" spans="2:5" ht="14.45" customHeight="1">
      <c r="B239" s="88"/>
      <c r="C239" s="68" t="s">
        <v>205</v>
      </c>
      <c r="D239" s="69">
        <v>13</v>
      </c>
      <c r="E239" s="70">
        <v>4.38197323626E-4</v>
      </c>
    </row>
    <row r="240" spans="2:5" ht="14.45" customHeight="1">
      <c r="B240" s="88"/>
      <c r="C240" s="68" t="s">
        <v>206</v>
      </c>
      <c r="D240" s="69">
        <v>7</v>
      </c>
      <c r="E240" s="70">
        <v>2.35952405029E-4</v>
      </c>
    </row>
    <row r="241" spans="2:5" ht="14.45" customHeight="1">
      <c r="B241" s="88"/>
      <c r="C241" s="68" t="s">
        <v>207</v>
      </c>
      <c r="D241" s="69">
        <v>1</v>
      </c>
      <c r="E241" s="70">
        <v>3.3707486433000001E-5</v>
      </c>
    </row>
    <row r="242" spans="2:5" ht="14.45" customHeight="1">
      <c r="B242" s="88"/>
      <c r="C242" s="68" t="s">
        <v>208</v>
      </c>
      <c r="D242" s="69">
        <v>16</v>
      </c>
      <c r="E242" s="70">
        <v>5.3931978292399995E-4</v>
      </c>
    </row>
    <row r="243" spans="2:5" ht="14.45" customHeight="1">
      <c r="B243" s="88"/>
      <c r="C243" s="68" t="s">
        <v>209</v>
      </c>
      <c r="D243" s="69">
        <v>21</v>
      </c>
      <c r="E243" s="70">
        <v>7.0785721508699996E-4</v>
      </c>
    </row>
    <row r="244" spans="2:5" ht="14.45" customHeight="1">
      <c r="B244" s="88"/>
      <c r="C244" s="68" t="s">
        <v>210</v>
      </c>
      <c r="D244" s="69">
        <v>3</v>
      </c>
      <c r="E244" s="70">
        <v>1.0112245929799999E-4</v>
      </c>
    </row>
    <row r="245" spans="2:5" ht="14.45" customHeight="1">
      <c r="B245" s="88"/>
      <c r="C245" s="68" t="s">
        <v>232</v>
      </c>
      <c r="D245" s="69">
        <v>48</v>
      </c>
      <c r="E245" s="70">
        <v>1.6179593487709999E-3</v>
      </c>
    </row>
    <row r="246" spans="2:5" ht="14.45" customHeight="1">
      <c r="B246" s="88"/>
      <c r="C246" s="68" t="s">
        <v>211</v>
      </c>
      <c r="D246" s="69">
        <v>7</v>
      </c>
      <c r="E246" s="70">
        <v>2.35952405029E-4</v>
      </c>
    </row>
    <row r="247" spans="2:5" ht="14.45" customHeight="1">
      <c r="B247" s="88"/>
      <c r="C247" s="68" t="s">
        <v>233</v>
      </c>
      <c r="D247" s="69">
        <v>1</v>
      </c>
      <c r="E247" s="70">
        <v>3.3707486433000001E-5</v>
      </c>
    </row>
    <row r="248" spans="2:5" ht="14.45" customHeight="1">
      <c r="B248" s="88"/>
      <c r="C248" s="68" t="s">
        <v>212</v>
      </c>
      <c r="D248" s="69">
        <v>16</v>
      </c>
      <c r="E248" s="70">
        <v>5.3931978292399995E-4</v>
      </c>
    </row>
    <row r="249" spans="2:5" ht="14.45" customHeight="1">
      <c r="B249" s="88"/>
      <c r="C249" s="68" t="s">
        <v>213</v>
      </c>
      <c r="D249" s="69">
        <v>101</v>
      </c>
      <c r="E249" s="70">
        <v>3.404456129706E-3</v>
      </c>
    </row>
    <row r="250" spans="2:5" ht="14.45" customHeight="1">
      <c r="B250" s="88"/>
      <c r="C250" s="68" t="s">
        <v>214</v>
      </c>
      <c r="D250" s="69">
        <v>7</v>
      </c>
      <c r="E250" s="70">
        <v>2.35952405029E-4</v>
      </c>
    </row>
    <row r="251" spans="2:5" ht="14.45" customHeight="1">
      <c r="B251" s="88"/>
      <c r="C251" s="68" t="s">
        <v>234</v>
      </c>
      <c r="D251" s="69">
        <v>9</v>
      </c>
      <c r="E251" s="70">
        <v>3.0336737789499998E-4</v>
      </c>
    </row>
    <row r="252" spans="2:5" ht="14.45" customHeight="1">
      <c r="B252" s="88"/>
      <c r="C252" s="68" t="s">
        <v>215</v>
      </c>
      <c r="D252" s="69">
        <v>71</v>
      </c>
      <c r="E252" s="70">
        <v>2.3932315367239999E-3</v>
      </c>
    </row>
    <row r="253" spans="2:5" ht="14.45" customHeight="1">
      <c r="B253" s="88"/>
      <c r="C253" s="68" t="s">
        <v>235</v>
      </c>
      <c r="D253" s="69">
        <v>4</v>
      </c>
      <c r="E253" s="70">
        <v>1.3482994573099999E-4</v>
      </c>
    </row>
    <row r="254" spans="2:5" ht="14.45" customHeight="1">
      <c r="B254" s="88"/>
      <c r="C254" s="68" t="s">
        <v>244</v>
      </c>
      <c r="D254" s="69">
        <v>2</v>
      </c>
      <c r="E254" s="70">
        <v>6.7414972865000001E-5</v>
      </c>
    </row>
    <row r="255" spans="2:5" ht="14.45" customHeight="1">
      <c r="B255" s="88"/>
      <c r="C255" s="68" t="s">
        <v>216</v>
      </c>
      <c r="D255" s="69">
        <v>2</v>
      </c>
      <c r="E255" s="70">
        <v>6.7414972865000001E-5</v>
      </c>
    </row>
    <row r="256" spans="2:5" ht="14.45" customHeight="1">
      <c r="B256" s="88"/>
      <c r="C256" s="68" t="s">
        <v>217</v>
      </c>
      <c r="D256" s="69">
        <v>4</v>
      </c>
      <c r="E256" s="70">
        <v>1.3482994573099999E-4</v>
      </c>
    </row>
    <row r="257" spans="2:5" ht="14.45" customHeight="1">
      <c r="B257" s="88"/>
      <c r="C257" s="68" t="s">
        <v>218</v>
      </c>
      <c r="D257" s="69">
        <v>20</v>
      </c>
      <c r="E257" s="70">
        <v>6.7414972865500002E-4</v>
      </c>
    </row>
    <row r="258" spans="2:5" ht="14.45" customHeight="1">
      <c r="B258" s="88"/>
      <c r="C258" s="68" t="s">
        <v>219</v>
      </c>
      <c r="D258" s="69">
        <v>4</v>
      </c>
      <c r="E258" s="70">
        <v>1.3482994573099999E-4</v>
      </c>
    </row>
    <row r="259" spans="2:5" ht="14.45" customHeight="1">
      <c r="B259" s="88"/>
      <c r="C259" s="68" t="s">
        <v>236</v>
      </c>
      <c r="D259" s="69">
        <v>4</v>
      </c>
      <c r="E259" s="70">
        <v>1.3482994573099999E-4</v>
      </c>
    </row>
    <row r="260" spans="2:5" ht="14.45" customHeight="1">
      <c r="B260" s="88"/>
      <c r="C260" s="68" t="s">
        <v>220</v>
      </c>
      <c r="D260" s="69">
        <v>18</v>
      </c>
      <c r="E260" s="70">
        <v>6.0673475578900001E-4</v>
      </c>
    </row>
    <row r="261" spans="2:5" ht="14.45" customHeight="1">
      <c r="B261" s="88"/>
      <c r="C261" s="68" t="s">
        <v>221</v>
      </c>
      <c r="D261" s="69">
        <v>23</v>
      </c>
      <c r="E261" s="70">
        <v>7.7527218795299998E-4</v>
      </c>
    </row>
    <row r="262" spans="2:5" ht="14.45" customHeight="1">
      <c r="B262" s="88"/>
      <c r="C262" s="68" t="s">
        <v>245</v>
      </c>
      <c r="D262" s="69">
        <v>2</v>
      </c>
      <c r="E262" s="70">
        <v>6.7414972865000001E-5</v>
      </c>
    </row>
    <row r="263" spans="2:5" ht="14.45" customHeight="1">
      <c r="B263" s="88"/>
      <c r="C263" s="68" t="s">
        <v>222</v>
      </c>
      <c r="D263" s="69">
        <v>12</v>
      </c>
      <c r="E263" s="70">
        <v>4.0448983719299999E-4</v>
      </c>
    </row>
    <row r="264" spans="2:5" ht="14.45" customHeight="1">
      <c r="B264" s="88"/>
      <c r="C264" s="68" t="s">
        <v>223</v>
      </c>
      <c r="D264" s="69">
        <v>1</v>
      </c>
      <c r="E264" s="70">
        <v>3.3707486433000001E-5</v>
      </c>
    </row>
    <row r="265" spans="2:5" ht="14.45" customHeight="1">
      <c r="B265" s="88"/>
      <c r="C265" s="68" t="s">
        <v>224</v>
      </c>
      <c r="D265" s="69">
        <v>2</v>
      </c>
      <c r="E265" s="70">
        <v>6.7414972865000001E-5</v>
      </c>
    </row>
    <row r="266" spans="2:5" ht="14.45" customHeight="1">
      <c r="B266" s="88"/>
      <c r="C266" s="68" t="s">
        <v>225</v>
      </c>
      <c r="D266" s="69">
        <v>4</v>
      </c>
      <c r="E266" s="70">
        <v>1.3482994573099999E-4</v>
      </c>
    </row>
    <row r="267" spans="2:5" ht="14.45" customHeight="1">
      <c r="B267" s="88"/>
      <c r="C267" s="68" t="s">
        <v>251</v>
      </c>
      <c r="D267" s="69">
        <v>2</v>
      </c>
      <c r="E267" s="70">
        <v>6.7414972865000001E-5</v>
      </c>
    </row>
    <row r="268" spans="2:5" ht="14.45" customHeight="1">
      <c r="B268" s="88"/>
      <c r="C268" s="68" t="s">
        <v>238</v>
      </c>
      <c r="D268" s="69">
        <v>1</v>
      </c>
      <c r="E268" s="70">
        <v>3.3707486433000001E-5</v>
      </c>
    </row>
    <row r="269" spans="2:5" ht="14.45" customHeight="1">
      <c r="B269" s="88"/>
      <c r="C269" s="68" t="s">
        <v>239</v>
      </c>
      <c r="D269" s="69">
        <v>4</v>
      </c>
      <c r="E269" s="70">
        <v>1.3482994573099999E-4</v>
      </c>
    </row>
    <row r="270" spans="2:5" ht="14.45" customHeight="1">
      <c r="B270" s="88"/>
      <c r="C270" s="68" t="s">
        <v>240</v>
      </c>
      <c r="D270" s="69">
        <v>6</v>
      </c>
      <c r="E270" s="70">
        <v>2.0224491859599999E-4</v>
      </c>
    </row>
    <row r="271" spans="2:5" ht="14.45" customHeight="1">
      <c r="B271" s="88"/>
      <c r="C271" s="68" t="s">
        <v>241</v>
      </c>
      <c r="D271" s="69">
        <v>1</v>
      </c>
      <c r="E271" s="70">
        <v>3.3707486433000001E-5</v>
      </c>
    </row>
    <row r="272" spans="2:5" ht="14.45" customHeight="1">
      <c r="B272" s="88"/>
      <c r="C272" s="68" t="s">
        <v>226</v>
      </c>
      <c r="D272" s="69">
        <v>15</v>
      </c>
      <c r="E272" s="70">
        <v>5.0561229649099995E-4</v>
      </c>
    </row>
    <row r="273" spans="2:5" ht="14.45" customHeight="1">
      <c r="B273" s="88"/>
      <c r="C273" s="68" t="s">
        <v>227</v>
      </c>
      <c r="D273" s="69">
        <v>6</v>
      </c>
      <c r="E273" s="70">
        <v>2.0224491859599999E-4</v>
      </c>
    </row>
    <row r="274" spans="2:5" ht="14.45" customHeight="1">
      <c r="B274" s="88"/>
      <c r="C274" s="68" t="s">
        <v>228</v>
      </c>
      <c r="D274" s="69">
        <v>3</v>
      </c>
      <c r="E274" s="70">
        <v>1.0112245929799999E-4</v>
      </c>
    </row>
    <row r="275" spans="2:5" ht="14.45" customHeight="1">
      <c r="B275" s="88"/>
      <c r="C275" s="68" t="s">
        <v>247</v>
      </c>
      <c r="D275" s="69">
        <v>1</v>
      </c>
      <c r="E275" s="70">
        <v>3.3707486433000001E-5</v>
      </c>
    </row>
    <row r="276" spans="2:5" ht="14.45" customHeight="1">
      <c r="B276" s="88"/>
      <c r="C276" s="68" t="s">
        <v>229</v>
      </c>
      <c r="D276" s="69">
        <v>40</v>
      </c>
      <c r="E276" s="70">
        <v>1.348299457309E-3</v>
      </c>
    </row>
    <row r="277" spans="2:5" ht="14.45" customHeight="1">
      <c r="B277" s="88"/>
      <c r="C277" s="68" t="s">
        <v>230</v>
      </c>
      <c r="D277" s="69">
        <v>11</v>
      </c>
      <c r="E277" s="70">
        <v>3.7078235075999999E-4</v>
      </c>
    </row>
    <row r="278" spans="2:5" ht="14.45" customHeight="1">
      <c r="B278" s="88"/>
      <c r="C278" s="36" t="s">
        <v>29</v>
      </c>
      <c r="D278" s="35">
        <v>664</v>
      </c>
      <c r="E278" s="34">
        <v>2.2381770991337001E-2</v>
      </c>
    </row>
    <row r="279" spans="2:5" ht="14.45" customHeight="1">
      <c r="B279" s="88" t="s">
        <v>109</v>
      </c>
      <c r="C279" s="68" t="s">
        <v>196</v>
      </c>
      <c r="D279" s="69">
        <v>13</v>
      </c>
      <c r="E279" s="70">
        <v>4.38197323626E-4</v>
      </c>
    </row>
    <row r="280" spans="2:5" ht="14.45" customHeight="1">
      <c r="B280" s="88"/>
      <c r="C280" s="68" t="s">
        <v>197</v>
      </c>
      <c r="D280" s="69">
        <v>4</v>
      </c>
      <c r="E280" s="70">
        <v>1.3482994573099999E-4</v>
      </c>
    </row>
    <row r="281" spans="2:5" ht="14.45" customHeight="1">
      <c r="B281" s="88"/>
      <c r="C281" s="68" t="s">
        <v>231</v>
      </c>
      <c r="D281" s="69">
        <v>1</v>
      </c>
      <c r="E281" s="70">
        <v>3.3707486433000001E-5</v>
      </c>
    </row>
    <row r="282" spans="2:5" ht="14.45" customHeight="1">
      <c r="B282" s="88"/>
      <c r="C282" s="68" t="s">
        <v>198</v>
      </c>
      <c r="D282" s="69">
        <v>2</v>
      </c>
      <c r="E282" s="70">
        <v>6.7414972865000001E-5</v>
      </c>
    </row>
    <row r="283" spans="2:5" ht="14.45" customHeight="1">
      <c r="B283" s="88"/>
      <c r="C283" s="68" t="s">
        <v>248</v>
      </c>
      <c r="D283" s="69">
        <v>5</v>
      </c>
      <c r="E283" s="70">
        <v>1.68537432164E-4</v>
      </c>
    </row>
    <row r="284" spans="2:5" ht="14.45" customHeight="1">
      <c r="B284" s="88"/>
      <c r="C284" s="68" t="s">
        <v>242</v>
      </c>
      <c r="D284" s="69">
        <v>5</v>
      </c>
      <c r="E284" s="70">
        <v>1.68537432164E-4</v>
      </c>
    </row>
    <row r="285" spans="2:5" ht="14.45" customHeight="1">
      <c r="B285" s="88"/>
      <c r="C285" s="68" t="s">
        <v>199</v>
      </c>
      <c r="D285" s="69">
        <v>18</v>
      </c>
      <c r="E285" s="70">
        <v>6.0673475578900001E-4</v>
      </c>
    </row>
    <row r="286" spans="2:5" ht="14.45" customHeight="1">
      <c r="B286" s="88"/>
      <c r="C286" s="68" t="s">
        <v>252</v>
      </c>
      <c r="D286" s="69">
        <v>1</v>
      </c>
      <c r="E286" s="70">
        <v>3.3707486433000001E-5</v>
      </c>
    </row>
    <row r="287" spans="2:5" ht="14.45" customHeight="1">
      <c r="B287" s="88"/>
      <c r="C287" s="68" t="s">
        <v>200</v>
      </c>
      <c r="D287" s="69">
        <v>7</v>
      </c>
      <c r="E287" s="70">
        <v>2.35952405029E-4</v>
      </c>
    </row>
    <row r="288" spans="2:5" ht="14.45" customHeight="1">
      <c r="B288" s="88"/>
      <c r="C288" s="68" t="s">
        <v>201</v>
      </c>
      <c r="D288" s="69">
        <v>20</v>
      </c>
      <c r="E288" s="70">
        <v>6.7414972865500002E-4</v>
      </c>
    </row>
    <row r="289" spans="2:5" ht="14.45" customHeight="1">
      <c r="B289" s="88"/>
      <c r="C289" s="68" t="s">
        <v>202</v>
      </c>
      <c r="D289" s="69">
        <v>44</v>
      </c>
      <c r="E289" s="70">
        <v>1.4831294030399999E-3</v>
      </c>
    </row>
    <row r="290" spans="2:5" ht="14.45" customHeight="1">
      <c r="B290" s="88"/>
      <c r="C290" s="68" t="s">
        <v>203</v>
      </c>
      <c r="D290" s="69">
        <v>63</v>
      </c>
      <c r="E290" s="70">
        <v>2.123571645262E-3</v>
      </c>
    </row>
    <row r="291" spans="2:5" ht="14.45" customHeight="1">
      <c r="B291" s="88"/>
      <c r="C291" s="68" t="s">
        <v>249</v>
      </c>
      <c r="D291" s="69">
        <v>1</v>
      </c>
      <c r="E291" s="70">
        <v>3.3707486433000001E-5</v>
      </c>
    </row>
    <row r="292" spans="2:5" ht="14.45" customHeight="1">
      <c r="B292" s="88"/>
      <c r="C292" s="68" t="s">
        <v>204</v>
      </c>
      <c r="D292" s="69">
        <v>32</v>
      </c>
      <c r="E292" s="70">
        <v>1.0786395658479999E-3</v>
      </c>
    </row>
    <row r="293" spans="2:5" ht="14.45" customHeight="1">
      <c r="B293" s="88"/>
      <c r="C293" s="68" t="s">
        <v>205</v>
      </c>
      <c r="D293" s="69">
        <v>24</v>
      </c>
      <c r="E293" s="70">
        <v>8.0897967438599999E-4</v>
      </c>
    </row>
    <row r="294" spans="2:5" ht="14.45" customHeight="1">
      <c r="B294" s="88"/>
      <c r="C294" s="68" t="s">
        <v>243</v>
      </c>
      <c r="D294" s="69">
        <v>2</v>
      </c>
      <c r="E294" s="70">
        <v>6.7414972865000001E-5</v>
      </c>
    </row>
    <row r="295" spans="2:5" ht="14.45" customHeight="1">
      <c r="B295" s="88"/>
      <c r="C295" s="68" t="s">
        <v>206</v>
      </c>
      <c r="D295" s="69">
        <v>14</v>
      </c>
      <c r="E295" s="70">
        <v>4.7190481005799999E-4</v>
      </c>
    </row>
    <row r="296" spans="2:5" ht="14.45" customHeight="1">
      <c r="B296" s="88"/>
      <c r="C296" s="68" t="s">
        <v>208</v>
      </c>
      <c r="D296" s="69">
        <v>8</v>
      </c>
      <c r="E296" s="70">
        <v>2.6965989146199998E-4</v>
      </c>
    </row>
    <row r="297" spans="2:5" ht="14.45" customHeight="1">
      <c r="B297" s="88"/>
      <c r="C297" s="68" t="s">
        <v>209</v>
      </c>
      <c r="D297" s="69">
        <v>31</v>
      </c>
      <c r="E297" s="70">
        <v>1.0449320794149999E-3</v>
      </c>
    </row>
    <row r="298" spans="2:5" ht="14.45" customHeight="1">
      <c r="B298" s="88"/>
      <c r="C298" s="68" t="s">
        <v>232</v>
      </c>
      <c r="D298" s="69">
        <v>38</v>
      </c>
      <c r="E298" s="70">
        <v>1.280884484444E-3</v>
      </c>
    </row>
    <row r="299" spans="2:5" ht="14.45" customHeight="1">
      <c r="B299" s="88"/>
      <c r="C299" s="68" t="s">
        <v>211</v>
      </c>
      <c r="D299" s="69">
        <v>1</v>
      </c>
      <c r="E299" s="70">
        <v>3.3707486433000001E-5</v>
      </c>
    </row>
    <row r="300" spans="2:5" ht="14.45" customHeight="1">
      <c r="B300" s="88"/>
      <c r="C300" s="68" t="s">
        <v>233</v>
      </c>
      <c r="D300" s="69">
        <v>3</v>
      </c>
      <c r="E300" s="70">
        <v>1.0112245929799999E-4</v>
      </c>
    </row>
    <row r="301" spans="2:5" ht="14.45" customHeight="1">
      <c r="B301" s="88"/>
      <c r="C301" s="68" t="s">
        <v>212</v>
      </c>
      <c r="D301" s="69">
        <v>35</v>
      </c>
      <c r="E301" s="70">
        <v>1.1797620251460001E-3</v>
      </c>
    </row>
    <row r="302" spans="2:5" ht="14.45" customHeight="1">
      <c r="B302" s="88"/>
      <c r="C302" s="68" t="s">
        <v>213</v>
      </c>
      <c r="D302" s="69">
        <v>172</v>
      </c>
      <c r="E302" s="70">
        <v>5.7976876664309999E-3</v>
      </c>
    </row>
    <row r="303" spans="2:5" ht="14.45" customHeight="1">
      <c r="B303" s="88"/>
      <c r="C303" s="68" t="s">
        <v>214</v>
      </c>
      <c r="D303" s="69">
        <v>108</v>
      </c>
      <c r="E303" s="70">
        <v>3.6404085347360002E-3</v>
      </c>
    </row>
    <row r="304" spans="2:5" ht="14.45" customHeight="1">
      <c r="B304" s="88"/>
      <c r="C304" s="68" t="s">
        <v>234</v>
      </c>
      <c r="D304" s="69">
        <v>8</v>
      </c>
      <c r="E304" s="70">
        <v>2.6965989146199998E-4</v>
      </c>
    </row>
    <row r="305" spans="2:5" ht="14.45" customHeight="1">
      <c r="B305" s="88"/>
      <c r="C305" s="68" t="s">
        <v>215</v>
      </c>
      <c r="D305" s="69">
        <v>137</v>
      </c>
      <c r="E305" s="70">
        <v>4.6179256412850001E-3</v>
      </c>
    </row>
    <row r="306" spans="2:5" ht="14.45" customHeight="1">
      <c r="B306" s="88"/>
      <c r="C306" s="68" t="s">
        <v>235</v>
      </c>
      <c r="D306" s="69">
        <v>1</v>
      </c>
      <c r="E306" s="70">
        <v>3.3707486433000001E-5</v>
      </c>
    </row>
    <row r="307" spans="2:5" ht="14.45" customHeight="1">
      <c r="B307" s="88"/>
      <c r="C307" s="68" t="s">
        <v>244</v>
      </c>
      <c r="D307" s="69">
        <v>10</v>
      </c>
      <c r="E307" s="70">
        <v>3.3707486432699998E-4</v>
      </c>
    </row>
    <row r="308" spans="2:5" ht="14.45" customHeight="1">
      <c r="B308" s="88"/>
      <c r="C308" s="68" t="s">
        <v>216</v>
      </c>
      <c r="D308" s="69">
        <v>6</v>
      </c>
      <c r="E308" s="70">
        <v>2.0224491859599999E-4</v>
      </c>
    </row>
    <row r="309" spans="2:5" ht="14.45" customHeight="1">
      <c r="B309" s="88"/>
      <c r="C309" s="68" t="s">
        <v>217</v>
      </c>
      <c r="D309" s="69">
        <v>21</v>
      </c>
      <c r="E309" s="70">
        <v>7.0785721508699996E-4</v>
      </c>
    </row>
    <row r="310" spans="2:5" ht="14.45" customHeight="1">
      <c r="B310" s="88"/>
      <c r="C310" s="68" t="s">
        <v>218</v>
      </c>
      <c r="D310" s="69">
        <v>28</v>
      </c>
      <c r="E310" s="70">
        <v>9.4380962011699995E-4</v>
      </c>
    </row>
    <row r="311" spans="2:5" ht="14.45" customHeight="1">
      <c r="B311" s="88"/>
      <c r="C311" s="68" t="s">
        <v>219</v>
      </c>
      <c r="D311" s="69">
        <v>4</v>
      </c>
      <c r="E311" s="70">
        <v>1.3482994573099999E-4</v>
      </c>
    </row>
    <row r="312" spans="2:5" ht="14.45" customHeight="1">
      <c r="B312" s="88"/>
      <c r="C312" s="68" t="s">
        <v>220</v>
      </c>
      <c r="D312" s="69">
        <v>21</v>
      </c>
      <c r="E312" s="70">
        <v>7.0785721508699996E-4</v>
      </c>
    </row>
    <row r="313" spans="2:5" ht="14.45" customHeight="1">
      <c r="B313" s="88"/>
      <c r="C313" s="68" t="s">
        <v>221</v>
      </c>
      <c r="D313" s="69">
        <v>19</v>
      </c>
      <c r="E313" s="70">
        <v>6.4044224222200002E-4</v>
      </c>
    </row>
    <row r="314" spans="2:5" ht="14.45" customHeight="1">
      <c r="B314" s="88"/>
      <c r="C314" s="68" t="s">
        <v>237</v>
      </c>
      <c r="D314" s="69">
        <v>2</v>
      </c>
      <c r="E314" s="70">
        <v>6.7414972865000001E-5</v>
      </c>
    </row>
    <row r="315" spans="2:5" ht="14.45" customHeight="1">
      <c r="B315" s="88"/>
      <c r="C315" s="68" t="s">
        <v>222</v>
      </c>
      <c r="D315" s="69">
        <v>31</v>
      </c>
      <c r="E315" s="70">
        <v>1.0449320794149999E-3</v>
      </c>
    </row>
    <row r="316" spans="2:5" ht="14.45" customHeight="1">
      <c r="B316" s="88"/>
      <c r="C316" s="68" t="s">
        <v>223</v>
      </c>
      <c r="D316" s="69">
        <v>2</v>
      </c>
      <c r="E316" s="70">
        <v>6.7414972865000001E-5</v>
      </c>
    </row>
    <row r="317" spans="2:5" ht="14.45" customHeight="1">
      <c r="B317" s="88"/>
      <c r="C317" s="68" t="s">
        <v>250</v>
      </c>
      <c r="D317" s="69">
        <v>5</v>
      </c>
      <c r="E317" s="70">
        <v>1.68537432164E-4</v>
      </c>
    </row>
    <row r="318" spans="2:5" ht="14.45" customHeight="1">
      <c r="B318" s="88"/>
      <c r="C318" s="68" t="s">
        <v>224</v>
      </c>
      <c r="D318" s="69">
        <v>5</v>
      </c>
      <c r="E318" s="70">
        <v>1.68537432164E-4</v>
      </c>
    </row>
    <row r="319" spans="2:5" ht="14.45" customHeight="1">
      <c r="B319" s="88"/>
      <c r="C319" s="68" t="s">
        <v>225</v>
      </c>
      <c r="D319" s="69">
        <v>6</v>
      </c>
      <c r="E319" s="70">
        <v>2.0224491859599999E-4</v>
      </c>
    </row>
    <row r="320" spans="2:5" ht="14.45" customHeight="1">
      <c r="B320" s="88"/>
      <c r="C320" s="68" t="s">
        <v>251</v>
      </c>
      <c r="D320" s="69">
        <v>4</v>
      </c>
      <c r="E320" s="70">
        <v>1.3482994573099999E-4</v>
      </c>
    </row>
    <row r="321" spans="2:5" ht="14.45" customHeight="1">
      <c r="B321" s="88"/>
      <c r="C321" s="68" t="s">
        <v>238</v>
      </c>
      <c r="D321" s="69">
        <v>5</v>
      </c>
      <c r="E321" s="70">
        <v>1.68537432164E-4</v>
      </c>
    </row>
    <row r="322" spans="2:5" ht="14.45" customHeight="1">
      <c r="B322" s="88"/>
      <c r="C322" s="68" t="s">
        <v>239</v>
      </c>
      <c r="D322" s="69">
        <v>4</v>
      </c>
      <c r="E322" s="70">
        <v>1.3482994573099999E-4</v>
      </c>
    </row>
    <row r="323" spans="2:5" ht="14.45" customHeight="1">
      <c r="B323" s="88"/>
      <c r="C323" s="68" t="s">
        <v>240</v>
      </c>
      <c r="D323" s="69">
        <v>3</v>
      </c>
      <c r="E323" s="70">
        <v>1.0112245929799999E-4</v>
      </c>
    </row>
    <row r="324" spans="2:5" ht="14.45" customHeight="1">
      <c r="B324" s="88"/>
      <c r="C324" s="68" t="s">
        <v>241</v>
      </c>
      <c r="D324" s="69">
        <v>3</v>
      </c>
      <c r="E324" s="70">
        <v>1.0112245929799999E-4</v>
      </c>
    </row>
    <row r="325" spans="2:5" ht="14.45" customHeight="1">
      <c r="B325" s="88"/>
      <c r="C325" s="68" t="s">
        <v>246</v>
      </c>
      <c r="D325" s="69">
        <v>1</v>
      </c>
      <c r="E325" s="70">
        <v>3.3707486433000001E-5</v>
      </c>
    </row>
    <row r="326" spans="2:5" ht="14.45" customHeight="1">
      <c r="B326" s="88"/>
      <c r="C326" s="68" t="s">
        <v>226</v>
      </c>
      <c r="D326" s="69">
        <v>35</v>
      </c>
      <c r="E326" s="70">
        <v>1.1797620251460001E-3</v>
      </c>
    </row>
    <row r="327" spans="2:5" ht="14.45" customHeight="1">
      <c r="B327" s="88"/>
      <c r="C327" s="68" t="s">
        <v>227</v>
      </c>
      <c r="D327" s="69">
        <v>3</v>
      </c>
      <c r="E327" s="70">
        <v>1.0112245929799999E-4</v>
      </c>
    </row>
    <row r="328" spans="2:5" ht="14.45" customHeight="1">
      <c r="B328" s="88"/>
      <c r="C328" s="68" t="s">
        <v>228</v>
      </c>
      <c r="D328" s="69">
        <v>2</v>
      </c>
      <c r="E328" s="70">
        <v>6.7414972865000001E-5</v>
      </c>
    </row>
    <row r="329" spans="2:5" ht="14.45" customHeight="1">
      <c r="B329" s="88"/>
      <c r="C329" s="68" t="s">
        <v>247</v>
      </c>
      <c r="D329" s="69">
        <v>11</v>
      </c>
      <c r="E329" s="70">
        <v>3.7078235075999999E-4</v>
      </c>
    </row>
    <row r="330" spans="2:5" ht="14.45" customHeight="1">
      <c r="B330" s="88"/>
      <c r="C330" s="68" t="s">
        <v>229</v>
      </c>
      <c r="D330" s="69">
        <v>4</v>
      </c>
      <c r="E330" s="70">
        <v>1.3482994573099999E-4</v>
      </c>
    </row>
    <row r="331" spans="2:5" ht="14.45" customHeight="1">
      <c r="B331" s="88"/>
      <c r="C331" s="68" t="s">
        <v>230</v>
      </c>
      <c r="D331" s="69">
        <v>4</v>
      </c>
      <c r="E331" s="70">
        <v>1.3482994573099999E-4</v>
      </c>
    </row>
    <row r="332" spans="2:5" ht="14.45" customHeight="1">
      <c r="B332" s="88"/>
      <c r="C332" s="36" t="s">
        <v>29</v>
      </c>
      <c r="D332" s="35">
        <v>1037</v>
      </c>
      <c r="E332" s="34">
        <v>3.4954663430747997E-2</v>
      </c>
    </row>
    <row r="333" spans="2:5" ht="14.45" customHeight="1">
      <c r="B333" s="88" t="s">
        <v>110</v>
      </c>
      <c r="C333" s="68" t="s">
        <v>221</v>
      </c>
      <c r="D333" s="69">
        <v>1</v>
      </c>
      <c r="E333" s="70">
        <v>3.3707486433000001E-5</v>
      </c>
    </row>
    <row r="334" spans="2:5" ht="14.45" customHeight="1">
      <c r="B334" s="88"/>
      <c r="C334" s="36" t="s">
        <v>29</v>
      </c>
      <c r="D334" s="35">
        <v>1</v>
      </c>
      <c r="E334" s="34">
        <v>3.3707486433000001E-5</v>
      </c>
    </row>
    <row r="335" spans="2:5" ht="14.45" customHeight="1">
      <c r="B335" s="88" t="s">
        <v>111</v>
      </c>
      <c r="C335" s="68" t="s">
        <v>196</v>
      </c>
      <c r="D335" s="69">
        <v>1</v>
      </c>
      <c r="E335" s="70">
        <v>3.3707486433000001E-5</v>
      </c>
    </row>
    <row r="336" spans="2:5" ht="14.45" customHeight="1">
      <c r="B336" s="88"/>
      <c r="C336" s="68" t="s">
        <v>231</v>
      </c>
      <c r="D336" s="69">
        <v>3</v>
      </c>
      <c r="E336" s="70">
        <v>1.0112245929799999E-4</v>
      </c>
    </row>
    <row r="337" spans="2:5" ht="14.45" customHeight="1">
      <c r="B337" s="88"/>
      <c r="C337" s="68" t="s">
        <v>198</v>
      </c>
      <c r="D337" s="69">
        <v>1</v>
      </c>
      <c r="E337" s="70">
        <v>3.3707486433000001E-5</v>
      </c>
    </row>
    <row r="338" spans="2:5" ht="14.45" customHeight="1">
      <c r="B338" s="88"/>
      <c r="C338" s="68" t="s">
        <v>201</v>
      </c>
      <c r="D338" s="69">
        <v>1</v>
      </c>
      <c r="E338" s="70">
        <v>3.3707486433000001E-5</v>
      </c>
    </row>
    <row r="339" spans="2:5" ht="14.45" customHeight="1">
      <c r="B339" s="88"/>
      <c r="C339" s="68" t="s">
        <v>203</v>
      </c>
      <c r="D339" s="69">
        <v>3</v>
      </c>
      <c r="E339" s="70">
        <v>1.0112245929799999E-4</v>
      </c>
    </row>
    <row r="340" spans="2:5" ht="14.45" customHeight="1">
      <c r="B340" s="88"/>
      <c r="C340" s="68" t="s">
        <v>205</v>
      </c>
      <c r="D340" s="69">
        <v>1</v>
      </c>
      <c r="E340" s="70">
        <v>3.3707486433000001E-5</v>
      </c>
    </row>
    <row r="341" spans="2:5" ht="14.45" customHeight="1">
      <c r="B341" s="88"/>
      <c r="C341" s="68" t="s">
        <v>209</v>
      </c>
      <c r="D341" s="69">
        <v>1</v>
      </c>
      <c r="E341" s="70">
        <v>3.3707486433000001E-5</v>
      </c>
    </row>
    <row r="342" spans="2:5" ht="14.45" customHeight="1">
      <c r="B342" s="88"/>
      <c r="C342" s="68" t="s">
        <v>232</v>
      </c>
      <c r="D342" s="69">
        <v>2</v>
      </c>
      <c r="E342" s="70">
        <v>6.7414972865000001E-5</v>
      </c>
    </row>
    <row r="343" spans="2:5" ht="14.45" customHeight="1">
      <c r="B343" s="88"/>
      <c r="C343" s="68" t="s">
        <v>211</v>
      </c>
      <c r="D343" s="69">
        <v>3</v>
      </c>
      <c r="E343" s="70">
        <v>1.0112245929799999E-4</v>
      </c>
    </row>
    <row r="344" spans="2:5" ht="14.45" customHeight="1">
      <c r="B344" s="88"/>
      <c r="C344" s="68" t="s">
        <v>213</v>
      </c>
      <c r="D344" s="69">
        <v>3</v>
      </c>
      <c r="E344" s="70">
        <v>1.0112245929799999E-4</v>
      </c>
    </row>
    <row r="345" spans="2:5" ht="14.45" customHeight="1">
      <c r="B345" s="88"/>
      <c r="C345" s="68" t="s">
        <v>215</v>
      </c>
      <c r="D345" s="69">
        <v>14</v>
      </c>
      <c r="E345" s="70">
        <v>4.7190481005799999E-4</v>
      </c>
    </row>
    <row r="346" spans="2:5" ht="14.45" customHeight="1">
      <c r="B346" s="88"/>
      <c r="C346" s="68" t="s">
        <v>244</v>
      </c>
      <c r="D346" s="69">
        <v>1</v>
      </c>
      <c r="E346" s="70">
        <v>3.3707486433000001E-5</v>
      </c>
    </row>
    <row r="347" spans="2:5" ht="14.45" customHeight="1">
      <c r="B347" s="88"/>
      <c r="C347" s="68" t="s">
        <v>218</v>
      </c>
      <c r="D347" s="69">
        <v>1</v>
      </c>
      <c r="E347" s="70">
        <v>3.3707486433000001E-5</v>
      </c>
    </row>
    <row r="348" spans="2:5" ht="14.45" customHeight="1">
      <c r="B348" s="88"/>
      <c r="C348" s="68" t="s">
        <v>219</v>
      </c>
      <c r="D348" s="69">
        <v>1</v>
      </c>
      <c r="E348" s="70">
        <v>3.3707486433000001E-5</v>
      </c>
    </row>
    <row r="349" spans="2:5" ht="14.45" customHeight="1">
      <c r="B349" s="88"/>
      <c r="C349" s="68" t="s">
        <v>236</v>
      </c>
      <c r="D349" s="69">
        <v>1</v>
      </c>
      <c r="E349" s="70">
        <v>3.3707486433000001E-5</v>
      </c>
    </row>
    <row r="350" spans="2:5" ht="14.45" customHeight="1">
      <c r="B350" s="88"/>
      <c r="C350" s="68" t="s">
        <v>226</v>
      </c>
      <c r="D350" s="69">
        <v>5</v>
      </c>
      <c r="E350" s="70">
        <v>1.68537432164E-4</v>
      </c>
    </row>
    <row r="351" spans="2:5" ht="14.45" customHeight="1">
      <c r="B351" s="88"/>
      <c r="C351" s="68" t="s">
        <v>227</v>
      </c>
      <c r="D351" s="69">
        <v>1</v>
      </c>
      <c r="E351" s="70">
        <v>3.3707486433000001E-5</v>
      </c>
    </row>
    <row r="352" spans="2:5" ht="14.45" customHeight="1">
      <c r="B352" s="88"/>
      <c r="C352" s="68" t="s">
        <v>229</v>
      </c>
      <c r="D352" s="69">
        <v>1</v>
      </c>
      <c r="E352" s="70">
        <v>3.3707486433000001E-5</v>
      </c>
    </row>
    <row r="353" spans="2:5" ht="14.45" customHeight="1">
      <c r="B353" s="88"/>
      <c r="C353" s="36" t="s">
        <v>29</v>
      </c>
      <c r="D353" s="35">
        <v>44</v>
      </c>
      <c r="E353" s="34">
        <v>1.4831294030399999E-3</v>
      </c>
    </row>
    <row r="354" spans="2:5" ht="14.45" customHeight="1">
      <c r="B354" s="88" t="s">
        <v>112</v>
      </c>
      <c r="C354" s="68" t="s">
        <v>195</v>
      </c>
      <c r="D354" s="69">
        <v>12</v>
      </c>
      <c r="E354" s="70">
        <v>4.0448983719299999E-4</v>
      </c>
    </row>
    <row r="355" spans="2:5" ht="14.45" customHeight="1">
      <c r="B355" s="88"/>
      <c r="C355" s="68" t="s">
        <v>196</v>
      </c>
      <c r="D355" s="69">
        <v>11</v>
      </c>
      <c r="E355" s="70">
        <v>3.7078235075999999E-4</v>
      </c>
    </row>
    <row r="356" spans="2:5" ht="14.45" customHeight="1">
      <c r="B356" s="88"/>
      <c r="C356" s="68" t="s">
        <v>197</v>
      </c>
      <c r="D356" s="69">
        <v>3</v>
      </c>
      <c r="E356" s="70">
        <v>1.0112245929799999E-4</v>
      </c>
    </row>
    <row r="357" spans="2:5" ht="14.45" customHeight="1">
      <c r="B357" s="88"/>
      <c r="C357" s="68" t="s">
        <v>231</v>
      </c>
      <c r="D357" s="69">
        <v>10</v>
      </c>
      <c r="E357" s="70">
        <v>3.3707486432699998E-4</v>
      </c>
    </row>
    <row r="358" spans="2:5" ht="14.45" customHeight="1">
      <c r="B358" s="88"/>
      <c r="C358" s="68" t="s">
        <v>248</v>
      </c>
      <c r="D358" s="69">
        <v>9</v>
      </c>
      <c r="E358" s="70">
        <v>3.0336737789499998E-4</v>
      </c>
    </row>
    <row r="359" spans="2:5" ht="14.45" customHeight="1">
      <c r="B359" s="88"/>
      <c r="C359" s="68" t="s">
        <v>199</v>
      </c>
      <c r="D359" s="69">
        <v>30</v>
      </c>
      <c r="E359" s="70">
        <v>1.0112245929819999E-3</v>
      </c>
    </row>
    <row r="360" spans="2:5" ht="14.45" customHeight="1">
      <c r="B360" s="88"/>
      <c r="C360" s="68" t="s">
        <v>252</v>
      </c>
      <c r="D360" s="69">
        <v>1</v>
      </c>
      <c r="E360" s="70">
        <v>3.3707486433000001E-5</v>
      </c>
    </row>
    <row r="361" spans="2:5" ht="14.45" customHeight="1">
      <c r="B361" s="88"/>
      <c r="C361" s="68" t="s">
        <v>200</v>
      </c>
      <c r="D361" s="69">
        <v>14</v>
      </c>
      <c r="E361" s="70">
        <v>4.7190481005799999E-4</v>
      </c>
    </row>
    <row r="362" spans="2:5" ht="14.45" customHeight="1">
      <c r="B362" s="88"/>
      <c r="C362" s="68" t="s">
        <v>201</v>
      </c>
      <c r="D362" s="69">
        <v>20</v>
      </c>
      <c r="E362" s="70">
        <v>6.7414972865500002E-4</v>
      </c>
    </row>
    <row r="363" spans="2:5" ht="14.45" customHeight="1">
      <c r="B363" s="88"/>
      <c r="C363" s="68" t="s">
        <v>202</v>
      </c>
      <c r="D363" s="69">
        <v>10</v>
      </c>
      <c r="E363" s="70">
        <v>3.3707486432699998E-4</v>
      </c>
    </row>
    <row r="364" spans="2:5" ht="14.45" customHeight="1">
      <c r="B364" s="88"/>
      <c r="C364" s="68" t="s">
        <v>203</v>
      </c>
      <c r="D364" s="69">
        <v>35</v>
      </c>
      <c r="E364" s="70">
        <v>1.1797620251460001E-3</v>
      </c>
    </row>
    <row r="365" spans="2:5" ht="14.45" customHeight="1">
      <c r="B365" s="88"/>
      <c r="C365" s="68" t="s">
        <v>249</v>
      </c>
      <c r="D365" s="69">
        <v>1</v>
      </c>
      <c r="E365" s="70">
        <v>3.3707486433000001E-5</v>
      </c>
    </row>
    <row r="366" spans="2:5" ht="14.45" customHeight="1">
      <c r="B366" s="88"/>
      <c r="C366" s="68" t="s">
        <v>204</v>
      </c>
      <c r="D366" s="69">
        <v>8</v>
      </c>
      <c r="E366" s="70">
        <v>2.6965989146199998E-4</v>
      </c>
    </row>
    <row r="367" spans="2:5" ht="14.45" customHeight="1">
      <c r="B367" s="88"/>
      <c r="C367" s="68" t="s">
        <v>205</v>
      </c>
      <c r="D367" s="69">
        <v>9</v>
      </c>
      <c r="E367" s="70">
        <v>3.0336737789499998E-4</v>
      </c>
    </row>
    <row r="368" spans="2:5" ht="14.45" customHeight="1">
      <c r="B368" s="88"/>
      <c r="C368" s="68" t="s">
        <v>243</v>
      </c>
      <c r="D368" s="69">
        <v>2</v>
      </c>
      <c r="E368" s="70">
        <v>6.7414972865000001E-5</v>
      </c>
    </row>
    <row r="369" spans="2:5" ht="14.45" customHeight="1">
      <c r="B369" s="88"/>
      <c r="C369" s="68" t="s">
        <v>206</v>
      </c>
      <c r="D369" s="69">
        <v>8</v>
      </c>
      <c r="E369" s="70">
        <v>2.6965989146199998E-4</v>
      </c>
    </row>
    <row r="370" spans="2:5" ht="14.45" customHeight="1">
      <c r="B370" s="88"/>
      <c r="C370" s="68" t="s">
        <v>208</v>
      </c>
      <c r="D370" s="69">
        <v>1</v>
      </c>
      <c r="E370" s="70">
        <v>3.3707486433000001E-5</v>
      </c>
    </row>
    <row r="371" spans="2:5" ht="14.45" customHeight="1">
      <c r="B371" s="88"/>
      <c r="C371" s="68" t="s">
        <v>209</v>
      </c>
      <c r="D371" s="69">
        <v>24</v>
      </c>
      <c r="E371" s="70">
        <v>8.0897967438599999E-4</v>
      </c>
    </row>
    <row r="372" spans="2:5" ht="14.45" customHeight="1">
      <c r="B372" s="88"/>
      <c r="C372" s="68" t="s">
        <v>210</v>
      </c>
      <c r="D372" s="69">
        <v>1</v>
      </c>
      <c r="E372" s="70">
        <v>3.3707486433000001E-5</v>
      </c>
    </row>
    <row r="373" spans="2:5" ht="14.45" customHeight="1">
      <c r="B373" s="88"/>
      <c r="C373" s="68" t="s">
        <v>232</v>
      </c>
      <c r="D373" s="69">
        <v>39</v>
      </c>
      <c r="E373" s="70">
        <v>1.314591970877E-3</v>
      </c>
    </row>
    <row r="374" spans="2:5" ht="14.45" customHeight="1">
      <c r="B374" s="88"/>
      <c r="C374" s="68" t="s">
        <v>211</v>
      </c>
      <c r="D374" s="69">
        <v>3</v>
      </c>
      <c r="E374" s="70">
        <v>1.0112245929799999E-4</v>
      </c>
    </row>
    <row r="375" spans="2:5" ht="14.45" customHeight="1">
      <c r="B375" s="88"/>
      <c r="C375" s="68" t="s">
        <v>212</v>
      </c>
      <c r="D375" s="69">
        <v>4</v>
      </c>
      <c r="E375" s="70">
        <v>1.3482994573099999E-4</v>
      </c>
    </row>
    <row r="376" spans="2:5" ht="14.45" customHeight="1">
      <c r="B376" s="88"/>
      <c r="C376" s="68" t="s">
        <v>213</v>
      </c>
      <c r="D376" s="69">
        <v>49</v>
      </c>
      <c r="E376" s="70">
        <v>1.6516668352039999E-3</v>
      </c>
    </row>
    <row r="377" spans="2:5" ht="14.45" customHeight="1">
      <c r="B377" s="88"/>
      <c r="C377" s="68" t="s">
        <v>214</v>
      </c>
      <c r="D377" s="69">
        <v>20</v>
      </c>
      <c r="E377" s="70">
        <v>6.7414972865500002E-4</v>
      </c>
    </row>
    <row r="378" spans="2:5" ht="14.45" customHeight="1">
      <c r="B378" s="88"/>
      <c r="C378" s="68" t="s">
        <v>57</v>
      </c>
      <c r="D378" s="69">
        <v>3</v>
      </c>
      <c r="E378" s="70">
        <v>1.0112245929799999E-4</v>
      </c>
    </row>
    <row r="379" spans="2:5" ht="14.45" customHeight="1">
      <c r="B379" s="88"/>
      <c r="C379" s="68" t="s">
        <v>234</v>
      </c>
      <c r="D379" s="69">
        <v>3</v>
      </c>
      <c r="E379" s="70">
        <v>1.0112245929799999E-4</v>
      </c>
    </row>
    <row r="380" spans="2:5" ht="14.45" customHeight="1">
      <c r="B380" s="88"/>
      <c r="C380" s="68" t="s">
        <v>215</v>
      </c>
      <c r="D380" s="69">
        <v>409</v>
      </c>
      <c r="E380" s="70">
        <v>1.3786361950989E-2</v>
      </c>
    </row>
    <row r="381" spans="2:5" ht="14.45" customHeight="1">
      <c r="B381" s="88"/>
      <c r="C381" s="68" t="s">
        <v>235</v>
      </c>
      <c r="D381" s="69">
        <v>6</v>
      </c>
      <c r="E381" s="70">
        <v>2.0224491859599999E-4</v>
      </c>
    </row>
    <row r="382" spans="2:5" ht="14.45" customHeight="1">
      <c r="B382" s="88"/>
      <c r="C382" s="68" t="s">
        <v>244</v>
      </c>
      <c r="D382" s="69">
        <v>20</v>
      </c>
      <c r="E382" s="70">
        <v>6.7414972865500002E-4</v>
      </c>
    </row>
    <row r="383" spans="2:5" ht="14.45" customHeight="1">
      <c r="B383" s="88"/>
      <c r="C383" s="68" t="s">
        <v>217</v>
      </c>
      <c r="D383" s="69">
        <v>3</v>
      </c>
      <c r="E383" s="70">
        <v>1.0112245929799999E-4</v>
      </c>
    </row>
    <row r="384" spans="2:5" ht="14.45" customHeight="1">
      <c r="B384" s="88"/>
      <c r="C384" s="68" t="s">
        <v>218</v>
      </c>
      <c r="D384" s="69">
        <v>20</v>
      </c>
      <c r="E384" s="70">
        <v>6.7414972865500002E-4</v>
      </c>
    </row>
    <row r="385" spans="2:5" ht="14.45" customHeight="1">
      <c r="B385" s="88"/>
      <c r="C385" s="68" t="s">
        <v>219</v>
      </c>
      <c r="D385" s="69">
        <v>23</v>
      </c>
      <c r="E385" s="70">
        <v>7.7527218795299998E-4</v>
      </c>
    </row>
    <row r="386" spans="2:5" ht="14.45" customHeight="1">
      <c r="B386" s="88"/>
      <c r="C386" s="68" t="s">
        <v>236</v>
      </c>
      <c r="D386" s="69">
        <v>35</v>
      </c>
      <c r="E386" s="70">
        <v>1.1797620251460001E-3</v>
      </c>
    </row>
    <row r="387" spans="2:5" ht="14.45" customHeight="1">
      <c r="B387" s="88"/>
      <c r="C387" s="68" t="s">
        <v>220</v>
      </c>
      <c r="D387" s="69">
        <v>8</v>
      </c>
      <c r="E387" s="70">
        <v>2.6965989146199998E-4</v>
      </c>
    </row>
    <row r="388" spans="2:5" ht="14.45" customHeight="1">
      <c r="B388" s="88"/>
      <c r="C388" s="68" t="s">
        <v>221</v>
      </c>
      <c r="D388" s="69">
        <v>12</v>
      </c>
      <c r="E388" s="70">
        <v>4.0448983719299999E-4</v>
      </c>
    </row>
    <row r="389" spans="2:5" ht="14.45" customHeight="1">
      <c r="B389" s="88"/>
      <c r="C389" s="68" t="s">
        <v>237</v>
      </c>
      <c r="D389" s="69">
        <v>1</v>
      </c>
      <c r="E389" s="70">
        <v>3.3707486433000001E-5</v>
      </c>
    </row>
    <row r="390" spans="2:5" ht="14.45" customHeight="1">
      <c r="B390" s="88"/>
      <c r="C390" s="68" t="s">
        <v>245</v>
      </c>
      <c r="D390" s="69">
        <v>2</v>
      </c>
      <c r="E390" s="70">
        <v>6.7414972865000001E-5</v>
      </c>
    </row>
    <row r="391" spans="2:5" ht="14.45" customHeight="1">
      <c r="B391" s="88"/>
      <c r="C391" s="68" t="s">
        <v>222</v>
      </c>
      <c r="D391" s="69">
        <v>9</v>
      </c>
      <c r="E391" s="70">
        <v>3.0336737789499998E-4</v>
      </c>
    </row>
    <row r="392" spans="2:5" ht="14.45" customHeight="1">
      <c r="B392" s="88"/>
      <c r="C392" s="68" t="s">
        <v>223</v>
      </c>
      <c r="D392" s="69">
        <v>4</v>
      </c>
      <c r="E392" s="70">
        <v>1.3482994573099999E-4</v>
      </c>
    </row>
    <row r="393" spans="2:5" ht="14.45" customHeight="1">
      <c r="B393" s="88"/>
      <c r="C393" s="68" t="s">
        <v>224</v>
      </c>
      <c r="D393" s="69">
        <v>4</v>
      </c>
      <c r="E393" s="70">
        <v>1.3482994573099999E-4</v>
      </c>
    </row>
    <row r="394" spans="2:5" ht="14.45" customHeight="1">
      <c r="B394" s="88"/>
      <c r="C394" s="68" t="s">
        <v>225</v>
      </c>
      <c r="D394" s="69">
        <v>5</v>
      </c>
      <c r="E394" s="70">
        <v>1.68537432164E-4</v>
      </c>
    </row>
    <row r="395" spans="2:5" ht="14.45" customHeight="1">
      <c r="B395" s="88"/>
      <c r="C395" s="68" t="s">
        <v>251</v>
      </c>
      <c r="D395" s="69">
        <v>1</v>
      </c>
      <c r="E395" s="70">
        <v>3.3707486433000001E-5</v>
      </c>
    </row>
    <row r="396" spans="2:5" ht="14.45" customHeight="1">
      <c r="B396" s="88"/>
      <c r="C396" s="68" t="s">
        <v>238</v>
      </c>
      <c r="D396" s="69">
        <v>8</v>
      </c>
      <c r="E396" s="70">
        <v>2.6965989146199998E-4</v>
      </c>
    </row>
    <row r="397" spans="2:5" ht="14.45" customHeight="1">
      <c r="B397" s="88"/>
      <c r="C397" s="68" t="s">
        <v>239</v>
      </c>
      <c r="D397" s="69">
        <v>1</v>
      </c>
      <c r="E397" s="70">
        <v>3.3707486433000001E-5</v>
      </c>
    </row>
    <row r="398" spans="2:5" ht="14.45" customHeight="1">
      <c r="B398" s="88"/>
      <c r="C398" s="68" t="s">
        <v>240</v>
      </c>
      <c r="D398" s="69">
        <v>2</v>
      </c>
      <c r="E398" s="70">
        <v>6.7414972865000001E-5</v>
      </c>
    </row>
    <row r="399" spans="2:5" ht="14.45" customHeight="1">
      <c r="B399" s="88"/>
      <c r="C399" s="68" t="s">
        <v>246</v>
      </c>
      <c r="D399" s="69">
        <v>1</v>
      </c>
      <c r="E399" s="70">
        <v>3.3707486433000001E-5</v>
      </c>
    </row>
    <row r="400" spans="2:5" ht="14.45" customHeight="1">
      <c r="B400" s="88"/>
      <c r="C400" s="68" t="s">
        <v>226</v>
      </c>
      <c r="D400" s="69">
        <v>25</v>
      </c>
      <c r="E400" s="70">
        <v>8.4268716081800003E-4</v>
      </c>
    </row>
    <row r="401" spans="2:5" ht="14.45" customHeight="1">
      <c r="B401" s="88"/>
      <c r="C401" s="68" t="s">
        <v>227</v>
      </c>
      <c r="D401" s="69">
        <v>21</v>
      </c>
      <c r="E401" s="70">
        <v>7.0785721508699996E-4</v>
      </c>
    </row>
    <row r="402" spans="2:5" ht="14.45" customHeight="1">
      <c r="B402" s="88"/>
      <c r="C402" s="68" t="s">
        <v>228</v>
      </c>
      <c r="D402" s="69">
        <v>4</v>
      </c>
      <c r="E402" s="70">
        <v>1.3482994573099999E-4</v>
      </c>
    </row>
    <row r="403" spans="2:5" ht="14.45" customHeight="1">
      <c r="B403" s="88"/>
      <c r="C403" s="68" t="s">
        <v>247</v>
      </c>
      <c r="D403" s="69">
        <v>39</v>
      </c>
      <c r="E403" s="70">
        <v>1.314591970877E-3</v>
      </c>
    </row>
    <row r="404" spans="2:5" ht="14.45" customHeight="1">
      <c r="B404" s="88"/>
      <c r="C404" s="68" t="s">
        <v>229</v>
      </c>
      <c r="D404" s="69">
        <v>7</v>
      </c>
      <c r="E404" s="70">
        <v>2.35952405029E-4</v>
      </c>
    </row>
    <row r="405" spans="2:5" ht="14.45" customHeight="1">
      <c r="B405" s="88"/>
      <c r="C405" s="68" t="s">
        <v>230</v>
      </c>
      <c r="D405" s="69">
        <v>11</v>
      </c>
      <c r="E405" s="70">
        <v>3.7078235075999999E-4</v>
      </c>
    </row>
    <row r="406" spans="2:5" ht="14.45" customHeight="1">
      <c r="B406" s="88"/>
      <c r="C406" s="36" t="s">
        <v>29</v>
      </c>
      <c r="D406" s="35">
        <v>1011</v>
      </c>
      <c r="E406" s="34">
        <v>3.4078268783496998E-2</v>
      </c>
    </row>
    <row r="407" spans="2:5" ht="14.45" customHeight="1">
      <c r="B407" s="88" t="s">
        <v>113</v>
      </c>
      <c r="C407" s="68" t="s">
        <v>195</v>
      </c>
      <c r="D407" s="69">
        <v>3</v>
      </c>
      <c r="E407" s="70">
        <v>1.0112245929799999E-4</v>
      </c>
    </row>
    <row r="408" spans="2:5" ht="14.45" customHeight="1">
      <c r="B408" s="88"/>
      <c r="C408" s="68" t="s">
        <v>196</v>
      </c>
      <c r="D408" s="69">
        <v>1</v>
      </c>
      <c r="E408" s="70">
        <v>3.3707486433000001E-5</v>
      </c>
    </row>
    <row r="409" spans="2:5" ht="14.45" customHeight="1">
      <c r="B409" s="88"/>
      <c r="C409" s="68" t="s">
        <v>231</v>
      </c>
      <c r="D409" s="69">
        <v>1</v>
      </c>
      <c r="E409" s="70">
        <v>3.3707486433000001E-5</v>
      </c>
    </row>
    <row r="410" spans="2:5" ht="14.45" customHeight="1">
      <c r="B410" s="88"/>
      <c r="C410" s="68" t="s">
        <v>248</v>
      </c>
      <c r="D410" s="69">
        <v>1</v>
      </c>
      <c r="E410" s="70">
        <v>3.3707486433000001E-5</v>
      </c>
    </row>
    <row r="411" spans="2:5" ht="14.45" customHeight="1">
      <c r="B411" s="88"/>
      <c r="C411" s="68" t="s">
        <v>242</v>
      </c>
      <c r="D411" s="69">
        <v>4</v>
      </c>
      <c r="E411" s="70">
        <v>1.3482994573099999E-4</v>
      </c>
    </row>
    <row r="412" spans="2:5" ht="14.45" customHeight="1">
      <c r="B412" s="88"/>
      <c r="C412" s="68" t="s">
        <v>199</v>
      </c>
      <c r="D412" s="69">
        <v>2</v>
      </c>
      <c r="E412" s="70">
        <v>6.7414972865000001E-5</v>
      </c>
    </row>
    <row r="413" spans="2:5" ht="14.45" customHeight="1">
      <c r="B413" s="88"/>
      <c r="C413" s="68" t="s">
        <v>200</v>
      </c>
      <c r="D413" s="69">
        <v>12</v>
      </c>
      <c r="E413" s="70">
        <v>4.0448983719299999E-4</v>
      </c>
    </row>
    <row r="414" spans="2:5" ht="14.45" customHeight="1">
      <c r="B414" s="88"/>
      <c r="C414" s="68" t="s">
        <v>201</v>
      </c>
      <c r="D414" s="69">
        <v>6</v>
      </c>
      <c r="E414" s="70">
        <v>2.0224491859599999E-4</v>
      </c>
    </row>
    <row r="415" spans="2:5" ht="14.45" customHeight="1">
      <c r="B415" s="88"/>
      <c r="C415" s="68" t="s">
        <v>202</v>
      </c>
      <c r="D415" s="69">
        <v>4</v>
      </c>
      <c r="E415" s="70">
        <v>1.3482994573099999E-4</v>
      </c>
    </row>
    <row r="416" spans="2:5" ht="14.45" customHeight="1">
      <c r="B416" s="88"/>
      <c r="C416" s="68" t="s">
        <v>203</v>
      </c>
      <c r="D416" s="69">
        <v>9</v>
      </c>
      <c r="E416" s="70">
        <v>3.0336737789499998E-4</v>
      </c>
    </row>
    <row r="417" spans="2:5" ht="14.45" customHeight="1">
      <c r="B417" s="88"/>
      <c r="C417" s="68" t="s">
        <v>204</v>
      </c>
      <c r="D417" s="69">
        <v>1</v>
      </c>
      <c r="E417" s="70">
        <v>3.3707486433000001E-5</v>
      </c>
    </row>
    <row r="418" spans="2:5" ht="14.45" customHeight="1">
      <c r="B418" s="88"/>
      <c r="C418" s="68" t="s">
        <v>206</v>
      </c>
      <c r="D418" s="69">
        <v>23</v>
      </c>
      <c r="E418" s="70">
        <v>7.7527218795299998E-4</v>
      </c>
    </row>
    <row r="419" spans="2:5" ht="14.45" customHeight="1">
      <c r="B419" s="88"/>
      <c r="C419" s="68" t="s">
        <v>209</v>
      </c>
      <c r="D419" s="69">
        <v>4</v>
      </c>
      <c r="E419" s="70">
        <v>1.3482994573099999E-4</v>
      </c>
    </row>
    <row r="420" spans="2:5" ht="14.45" customHeight="1">
      <c r="B420" s="88"/>
      <c r="C420" s="68" t="s">
        <v>232</v>
      </c>
      <c r="D420" s="69">
        <v>3</v>
      </c>
      <c r="E420" s="70">
        <v>1.0112245929799999E-4</v>
      </c>
    </row>
    <row r="421" spans="2:5" ht="14.45" customHeight="1">
      <c r="B421" s="88"/>
      <c r="C421" s="68" t="s">
        <v>211</v>
      </c>
      <c r="D421" s="69">
        <v>24</v>
      </c>
      <c r="E421" s="70">
        <v>8.0897967438599999E-4</v>
      </c>
    </row>
    <row r="422" spans="2:5" ht="14.45" customHeight="1">
      <c r="B422" s="88"/>
      <c r="C422" s="68" t="s">
        <v>213</v>
      </c>
      <c r="D422" s="69">
        <v>10</v>
      </c>
      <c r="E422" s="70">
        <v>3.3707486432699998E-4</v>
      </c>
    </row>
    <row r="423" spans="2:5" ht="14.45" customHeight="1">
      <c r="B423" s="88"/>
      <c r="C423" s="68" t="s">
        <v>214</v>
      </c>
      <c r="D423" s="69">
        <v>74</v>
      </c>
      <c r="E423" s="70">
        <v>2.4943539960230001E-3</v>
      </c>
    </row>
    <row r="424" spans="2:5" ht="14.45" customHeight="1">
      <c r="B424" s="88"/>
      <c r="C424" s="68" t="s">
        <v>234</v>
      </c>
      <c r="D424" s="69">
        <v>1</v>
      </c>
      <c r="E424" s="70">
        <v>3.3707486433000001E-5</v>
      </c>
    </row>
    <row r="425" spans="2:5" ht="14.45" customHeight="1">
      <c r="B425" s="88"/>
      <c r="C425" s="68" t="s">
        <v>215</v>
      </c>
      <c r="D425" s="69">
        <v>83</v>
      </c>
      <c r="E425" s="70">
        <v>2.7977213739170002E-3</v>
      </c>
    </row>
    <row r="426" spans="2:5" ht="14.45" customHeight="1">
      <c r="B426" s="88"/>
      <c r="C426" s="68" t="s">
        <v>244</v>
      </c>
      <c r="D426" s="69">
        <v>4</v>
      </c>
      <c r="E426" s="70">
        <v>1.3482994573099999E-4</v>
      </c>
    </row>
    <row r="427" spans="2:5" ht="14.45" customHeight="1">
      <c r="B427" s="88"/>
      <c r="C427" s="68" t="s">
        <v>217</v>
      </c>
      <c r="D427" s="69">
        <v>1</v>
      </c>
      <c r="E427" s="70">
        <v>3.3707486433000001E-5</v>
      </c>
    </row>
    <row r="428" spans="2:5" ht="14.45" customHeight="1">
      <c r="B428" s="88"/>
      <c r="C428" s="68" t="s">
        <v>218</v>
      </c>
      <c r="D428" s="69">
        <v>6</v>
      </c>
      <c r="E428" s="70">
        <v>2.0224491859599999E-4</v>
      </c>
    </row>
    <row r="429" spans="2:5" ht="14.45" customHeight="1">
      <c r="B429" s="88"/>
      <c r="C429" s="68" t="s">
        <v>219</v>
      </c>
      <c r="D429" s="69">
        <v>2</v>
      </c>
      <c r="E429" s="70">
        <v>6.7414972865000001E-5</v>
      </c>
    </row>
    <row r="430" spans="2:5" ht="14.45" customHeight="1">
      <c r="B430" s="88"/>
      <c r="C430" s="68" t="s">
        <v>236</v>
      </c>
      <c r="D430" s="69">
        <v>7</v>
      </c>
      <c r="E430" s="70">
        <v>2.35952405029E-4</v>
      </c>
    </row>
    <row r="431" spans="2:5" ht="14.45" customHeight="1">
      <c r="B431" s="88"/>
      <c r="C431" s="68" t="s">
        <v>220</v>
      </c>
      <c r="D431" s="69">
        <v>2</v>
      </c>
      <c r="E431" s="70">
        <v>6.7414972865000001E-5</v>
      </c>
    </row>
    <row r="432" spans="2:5" ht="14.45" customHeight="1">
      <c r="B432" s="88"/>
      <c r="C432" s="68" t="s">
        <v>221</v>
      </c>
      <c r="D432" s="69">
        <v>10</v>
      </c>
      <c r="E432" s="70">
        <v>3.3707486432699998E-4</v>
      </c>
    </row>
    <row r="433" spans="2:5" ht="14.45" customHeight="1">
      <c r="B433" s="88"/>
      <c r="C433" s="68" t="s">
        <v>245</v>
      </c>
      <c r="D433" s="69">
        <v>1</v>
      </c>
      <c r="E433" s="70">
        <v>3.3707486433000001E-5</v>
      </c>
    </row>
    <row r="434" spans="2:5" ht="14.45" customHeight="1">
      <c r="B434" s="88"/>
      <c r="C434" s="68" t="s">
        <v>222</v>
      </c>
      <c r="D434" s="69">
        <v>6</v>
      </c>
      <c r="E434" s="70">
        <v>2.0224491859599999E-4</v>
      </c>
    </row>
    <row r="435" spans="2:5" ht="14.45" customHeight="1">
      <c r="B435" s="88"/>
      <c r="C435" s="68" t="s">
        <v>250</v>
      </c>
      <c r="D435" s="69">
        <v>1</v>
      </c>
      <c r="E435" s="70">
        <v>3.3707486433000001E-5</v>
      </c>
    </row>
    <row r="436" spans="2:5" ht="14.45" customHeight="1">
      <c r="B436" s="88"/>
      <c r="C436" s="68" t="s">
        <v>225</v>
      </c>
      <c r="D436" s="69">
        <v>1</v>
      </c>
      <c r="E436" s="70">
        <v>3.3707486433000001E-5</v>
      </c>
    </row>
    <row r="437" spans="2:5" ht="14.45" customHeight="1">
      <c r="B437" s="88"/>
      <c r="C437" s="68" t="s">
        <v>238</v>
      </c>
      <c r="D437" s="69">
        <v>1</v>
      </c>
      <c r="E437" s="70">
        <v>3.3707486433000001E-5</v>
      </c>
    </row>
    <row r="438" spans="2:5" ht="14.45" customHeight="1">
      <c r="B438" s="88"/>
      <c r="C438" s="68" t="s">
        <v>239</v>
      </c>
      <c r="D438" s="69">
        <v>6</v>
      </c>
      <c r="E438" s="70">
        <v>2.0224491859599999E-4</v>
      </c>
    </row>
    <row r="439" spans="2:5" ht="14.45" customHeight="1">
      <c r="B439" s="88"/>
      <c r="C439" s="68" t="s">
        <v>240</v>
      </c>
      <c r="D439" s="69">
        <v>9</v>
      </c>
      <c r="E439" s="70">
        <v>3.0336737789499998E-4</v>
      </c>
    </row>
    <row r="440" spans="2:5" ht="14.45" customHeight="1">
      <c r="B440" s="88"/>
      <c r="C440" s="68" t="s">
        <v>226</v>
      </c>
      <c r="D440" s="69">
        <v>5</v>
      </c>
      <c r="E440" s="70">
        <v>1.68537432164E-4</v>
      </c>
    </row>
    <row r="441" spans="2:5" ht="14.45" customHeight="1">
      <c r="B441" s="88"/>
      <c r="C441" s="68" t="s">
        <v>227</v>
      </c>
      <c r="D441" s="69">
        <v>2</v>
      </c>
      <c r="E441" s="70">
        <v>6.7414972865000001E-5</v>
      </c>
    </row>
    <row r="442" spans="2:5" ht="14.45" customHeight="1">
      <c r="B442" s="88"/>
      <c r="C442" s="68" t="s">
        <v>228</v>
      </c>
      <c r="D442" s="69">
        <v>1</v>
      </c>
      <c r="E442" s="70">
        <v>3.3707486433000001E-5</v>
      </c>
    </row>
    <row r="443" spans="2:5" ht="14.45" customHeight="1">
      <c r="B443" s="88"/>
      <c r="C443" s="68" t="s">
        <v>229</v>
      </c>
      <c r="D443" s="69">
        <v>9</v>
      </c>
      <c r="E443" s="70">
        <v>3.0336737789499998E-4</v>
      </c>
    </row>
    <row r="444" spans="2:5" ht="14.45" customHeight="1">
      <c r="B444" s="88"/>
      <c r="C444" s="36" t="s">
        <v>29</v>
      </c>
      <c r="D444" s="35">
        <v>340</v>
      </c>
      <c r="E444" s="34">
        <v>1.1460545387130001E-2</v>
      </c>
    </row>
    <row r="445" spans="2:5" ht="14.45" customHeight="1">
      <c r="B445" s="88" t="s">
        <v>114</v>
      </c>
      <c r="C445" s="68" t="s">
        <v>242</v>
      </c>
      <c r="D445" s="69">
        <v>1</v>
      </c>
      <c r="E445" s="70">
        <v>3.3707486433000001E-5</v>
      </c>
    </row>
    <row r="446" spans="2:5" ht="14.45" customHeight="1">
      <c r="B446" s="88"/>
      <c r="C446" s="68" t="s">
        <v>199</v>
      </c>
      <c r="D446" s="69">
        <v>1</v>
      </c>
      <c r="E446" s="70">
        <v>3.3707486433000001E-5</v>
      </c>
    </row>
    <row r="447" spans="2:5" ht="14.45" customHeight="1">
      <c r="B447" s="88"/>
      <c r="C447" s="68" t="s">
        <v>201</v>
      </c>
      <c r="D447" s="69">
        <v>1</v>
      </c>
      <c r="E447" s="70">
        <v>3.3707486433000001E-5</v>
      </c>
    </row>
    <row r="448" spans="2:5" ht="14.45" customHeight="1">
      <c r="B448" s="88"/>
      <c r="C448" s="68" t="s">
        <v>203</v>
      </c>
      <c r="D448" s="69">
        <v>3</v>
      </c>
      <c r="E448" s="70">
        <v>1.0112245929799999E-4</v>
      </c>
    </row>
    <row r="449" spans="2:5" ht="14.45" customHeight="1">
      <c r="B449" s="88"/>
      <c r="C449" s="68" t="s">
        <v>205</v>
      </c>
      <c r="D449" s="69">
        <v>1</v>
      </c>
      <c r="E449" s="70">
        <v>3.3707486433000001E-5</v>
      </c>
    </row>
    <row r="450" spans="2:5" ht="14.45" customHeight="1">
      <c r="B450" s="88"/>
      <c r="C450" s="68" t="s">
        <v>208</v>
      </c>
      <c r="D450" s="69">
        <v>1</v>
      </c>
      <c r="E450" s="70">
        <v>3.3707486433000001E-5</v>
      </c>
    </row>
    <row r="451" spans="2:5" ht="14.45" customHeight="1">
      <c r="B451" s="88"/>
      <c r="C451" s="68" t="s">
        <v>210</v>
      </c>
      <c r="D451" s="69">
        <v>2</v>
      </c>
      <c r="E451" s="70">
        <v>6.7414972865000001E-5</v>
      </c>
    </row>
    <row r="452" spans="2:5" ht="14.45" customHeight="1">
      <c r="B452" s="88"/>
      <c r="C452" s="68" t="s">
        <v>232</v>
      </c>
      <c r="D452" s="69">
        <v>1</v>
      </c>
      <c r="E452" s="70">
        <v>3.3707486433000001E-5</v>
      </c>
    </row>
    <row r="453" spans="2:5" ht="14.45" customHeight="1">
      <c r="B453" s="88"/>
      <c r="C453" s="68" t="s">
        <v>213</v>
      </c>
      <c r="D453" s="69">
        <v>3</v>
      </c>
      <c r="E453" s="70">
        <v>1.0112245929799999E-4</v>
      </c>
    </row>
    <row r="454" spans="2:5" ht="14.45" customHeight="1">
      <c r="B454" s="88"/>
      <c r="C454" s="68" t="s">
        <v>214</v>
      </c>
      <c r="D454" s="69">
        <v>1</v>
      </c>
      <c r="E454" s="70">
        <v>3.3707486433000001E-5</v>
      </c>
    </row>
    <row r="455" spans="2:5" ht="14.45" customHeight="1">
      <c r="B455" s="88"/>
      <c r="C455" s="68" t="s">
        <v>215</v>
      </c>
      <c r="D455" s="69">
        <v>9</v>
      </c>
      <c r="E455" s="70">
        <v>3.0336737789499998E-4</v>
      </c>
    </row>
    <row r="456" spans="2:5" ht="14.45" customHeight="1">
      <c r="B456" s="88"/>
      <c r="C456" s="68" t="s">
        <v>221</v>
      </c>
      <c r="D456" s="69">
        <v>6</v>
      </c>
      <c r="E456" s="70">
        <v>2.0224491859599999E-4</v>
      </c>
    </row>
    <row r="457" spans="2:5" ht="14.45" customHeight="1">
      <c r="B457" s="88"/>
      <c r="C457" s="68" t="s">
        <v>226</v>
      </c>
      <c r="D457" s="69">
        <v>9</v>
      </c>
      <c r="E457" s="70">
        <v>3.0336737789499998E-4</v>
      </c>
    </row>
    <row r="458" spans="2:5" ht="14.45" customHeight="1">
      <c r="B458" s="88"/>
      <c r="C458" s="68" t="s">
        <v>229</v>
      </c>
      <c r="D458" s="69">
        <v>1</v>
      </c>
      <c r="E458" s="70">
        <v>3.3707486433000001E-5</v>
      </c>
    </row>
    <row r="459" spans="2:5" ht="14.45" customHeight="1">
      <c r="B459" s="88"/>
      <c r="C459" s="36" t="s">
        <v>29</v>
      </c>
      <c r="D459" s="35">
        <v>40</v>
      </c>
      <c r="E459" s="34">
        <v>1.348299457309E-3</v>
      </c>
    </row>
    <row r="460" spans="2:5" ht="14.45" customHeight="1">
      <c r="B460" s="88" t="s">
        <v>115</v>
      </c>
      <c r="C460" s="68" t="s">
        <v>195</v>
      </c>
      <c r="D460" s="69">
        <v>3</v>
      </c>
      <c r="E460" s="70">
        <v>1.0112245929799999E-4</v>
      </c>
    </row>
    <row r="461" spans="2:5" ht="14.45" customHeight="1">
      <c r="B461" s="88"/>
      <c r="C461" s="68" t="s">
        <v>197</v>
      </c>
      <c r="D461" s="69">
        <v>3</v>
      </c>
      <c r="E461" s="70">
        <v>1.0112245929799999E-4</v>
      </c>
    </row>
    <row r="462" spans="2:5" ht="14.45" customHeight="1">
      <c r="B462" s="88"/>
      <c r="C462" s="68" t="s">
        <v>242</v>
      </c>
      <c r="D462" s="69">
        <v>1</v>
      </c>
      <c r="E462" s="70">
        <v>3.3707486433000001E-5</v>
      </c>
    </row>
    <row r="463" spans="2:5" ht="14.45" customHeight="1">
      <c r="B463" s="88"/>
      <c r="C463" s="68" t="s">
        <v>199</v>
      </c>
      <c r="D463" s="69">
        <v>6</v>
      </c>
      <c r="E463" s="70">
        <v>2.0224491859599999E-4</v>
      </c>
    </row>
    <row r="464" spans="2:5" ht="14.45" customHeight="1">
      <c r="B464" s="88"/>
      <c r="C464" s="68" t="s">
        <v>252</v>
      </c>
      <c r="D464" s="69">
        <v>4</v>
      </c>
      <c r="E464" s="70">
        <v>1.3482994573099999E-4</v>
      </c>
    </row>
    <row r="465" spans="2:5" ht="14.45" customHeight="1">
      <c r="B465" s="88"/>
      <c r="C465" s="68" t="s">
        <v>200</v>
      </c>
      <c r="D465" s="69">
        <v>6</v>
      </c>
      <c r="E465" s="70">
        <v>2.0224491859599999E-4</v>
      </c>
    </row>
    <row r="466" spans="2:5" ht="14.45" customHeight="1">
      <c r="B466" s="88"/>
      <c r="C466" s="68" t="s">
        <v>201</v>
      </c>
      <c r="D466" s="69">
        <v>1</v>
      </c>
      <c r="E466" s="70">
        <v>3.3707486433000001E-5</v>
      </c>
    </row>
    <row r="467" spans="2:5" ht="14.45" customHeight="1">
      <c r="B467" s="88"/>
      <c r="C467" s="68" t="s">
        <v>202</v>
      </c>
      <c r="D467" s="69">
        <v>4</v>
      </c>
      <c r="E467" s="70">
        <v>1.3482994573099999E-4</v>
      </c>
    </row>
    <row r="468" spans="2:5" ht="14.45" customHeight="1">
      <c r="B468" s="88"/>
      <c r="C468" s="68" t="s">
        <v>203</v>
      </c>
      <c r="D468" s="69">
        <v>8</v>
      </c>
      <c r="E468" s="70">
        <v>2.6965989146199998E-4</v>
      </c>
    </row>
    <row r="469" spans="2:5" ht="14.45" customHeight="1">
      <c r="B469" s="88"/>
      <c r="C469" s="68" t="s">
        <v>204</v>
      </c>
      <c r="D469" s="69">
        <v>2</v>
      </c>
      <c r="E469" s="70">
        <v>6.7414972865000001E-5</v>
      </c>
    </row>
    <row r="470" spans="2:5" ht="14.45" customHeight="1">
      <c r="B470" s="88"/>
      <c r="C470" s="68" t="s">
        <v>206</v>
      </c>
      <c r="D470" s="69">
        <v>2</v>
      </c>
      <c r="E470" s="70">
        <v>6.7414972865000001E-5</v>
      </c>
    </row>
    <row r="471" spans="2:5" ht="14.45" customHeight="1">
      <c r="B471" s="88"/>
      <c r="C471" s="68" t="s">
        <v>208</v>
      </c>
      <c r="D471" s="69">
        <v>2</v>
      </c>
      <c r="E471" s="70">
        <v>6.7414972865000001E-5</v>
      </c>
    </row>
    <row r="472" spans="2:5" ht="14.45" customHeight="1">
      <c r="B472" s="88"/>
      <c r="C472" s="68" t="s">
        <v>209</v>
      </c>
      <c r="D472" s="69">
        <v>5</v>
      </c>
      <c r="E472" s="70">
        <v>1.68537432164E-4</v>
      </c>
    </row>
    <row r="473" spans="2:5" ht="14.45" customHeight="1">
      <c r="B473" s="88"/>
      <c r="C473" s="68" t="s">
        <v>232</v>
      </c>
      <c r="D473" s="69">
        <v>4</v>
      </c>
      <c r="E473" s="70">
        <v>1.3482994573099999E-4</v>
      </c>
    </row>
    <row r="474" spans="2:5" ht="14.45" customHeight="1">
      <c r="B474" s="88"/>
      <c r="C474" s="68" t="s">
        <v>211</v>
      </c>
      <c r="D474" s="69">
        <v>2</v>
      </c>
      <c r="E474" s="70">
        <v>6.7414972865000001E-5</v>
      </c>
    </row>
    <row r="475" spans="2:5" ht="14.45" customHeight="1">
      <c r="B475" s="88"/>
      <c r="C475" s="68" t="s">
        <v>212</v>
      </c>
      <c r="D475" s="69">
        <v>2</v>
      </c>
      <c r="E475" s="70">
        <v>6.7414972865000001E-5</v>
      </c>
    </row>
    <row r="476" spans="2:5" ht="14.45" customHeight="1">
      <c r="B476" s="88"/>
      <c r="C476" s="68" t="s">
        <v>213</v>
      </c>
      <c r="D476" s="69">
        <v>29</v>
      </c>
      <c r="E476" s="70">
        <v>9.775171065490001E-4</v>
      </c>
    </row>
    <row r="477" spans="2:5" ht="14.45" customHeight="1">
      <c r="B477" s="88"/>
      <c r="C477" s="68" t="s">
        <v>214</v>
      </c>
      <c r="D477" s="69">
        <v>17</v>
      </c>
      <c r="E477" s="70">
        <v>5.7302726935699996E-4</v>
      </c>
    </row>
    <row r="478" spans="2:5" ht="14.45" customHeight="1">
      <c r="B478" s="88"/>
      <c r="C478" s="68" t="s">
        <v>57</v>
      </c>
      <c r="D478" s="69">
        <v>2</v>
      </c>
      <c r="E478" s="70">
        <v>6.7414972865000001E-5</v>
      </c>
    </row>
    <row r="479" spans="2:5" ht="14.45" customHeight="1">
      <c r="B479" s="88"/>
      <c r="C479" s="68" t="s">
        <v>234</v>
      </c>
      <c r="D479" s="69">
        <v>1</v>
      </c>
      <c r="E479" s="70">
        <v>3.3707486433000001E-5</v>
      </c>
    </row>
    <row r="480" spans="2:5" ht="14.45" customHeight="1">
      <c r="B480" s="88"/>
      <c r="C480" s="68" t="s">
        <v>215</v>
      </c>
      <c r="D480" s="69">
        <v>45</v>
      </c>
      <c r="E480" s="70">
        <v>1.516836889473E-3</v>
      </c>
    </row>
    <row r="481" spans="2:5" ht="14.45" customHeight="1">
      <c r="B481" s="88"/>
      <c r="C481" s="68" t="s">
        <v>244</v>
      </c>
      <c r="D481" s="69">
        <v>1</v>
      </c>
      <c r="E481" s="70">
        <v>3.3707486433000001E-5</v>
      </c>
    </row>
    <row r="482" spans="2:5" ht="14.45" customHeight="1">
      <c r="B482" s="88"/>
      <c r="C482" s="68" t="s">
        <v>216</v>
      </c>
      <c r="D482" s="69">
        <v>1</v>
      </c>
      <c r="E482" s="70">
        <v>3.3707486433000001E-5</v>
      </c>
    </row>
    <row r="483" spans="2:5" ht="14.45" customHeight="1">
      <c r="B483" s="88"/>
      <c r="C483" s="68" t="s">
        <v>217</v>
      </c>
      <c r="D483" s="69">
        <v>1</v>
      </c>
      <c r="E483" s="70">
        <v>3.3707486433000001E-5</v>
      </c>
    </row>
    <row r="484" spans="2:5" ht="14.45" customHeight="1">
      <c r="B484" s="88"/>
      <c r="C484" s="68" t="s">
        <v>218</v>
      </c>
      <c r="D484" s="69">
        <v>10</v>
      </c>
      <c r="E484" s="70">
        <v>3.3707486432699998E-4</v>
      </c>
    </row>
    <row r="485" spans="2:5" ht="14.45" customHeight="1">
      <c r="B485" s="88"/>
      <c r="C485" s="68" t="s">
        <v>219</v>
      </c>
      <c r="D485" s="69">
        <v>5</v>
      </c>
      <c r="E485" s="70">
        <v>1.68537432164E-4</v>
      </c>
    </row>
    <row r="486" spans="2:5" ht="14.45" customHeight="1">
      <c r="B486" s="88"/>
      <c r="C486" s="68" t="s">
        <v>236</v>
      </c>
      <c r="D486" s="69">
        <v>2</v>
      </c>
      <c r="E486" s="70">
        <v>6.7414972865000001E-5</v>
      </c>
    </row>
    <row r="487" spans="2:5" ht="14.45" customHeight="1">
      <c r="B487" s="88"/>
      <c r="C487" s="68" t="s">
        <v>220</v>
      </c>
      <c r="D487" s="69">
        <v>3</v>
      </c>
      <c r="E487" s="70">
        <v>1.0112245929799999E-4</v>
      </c>
    </row>
    <row r="488" spans="2:5" ht="14.45" customHeight="1">
      <c r="B488" s="88"/>
      <c r="C488" s="68" t="s">
        <v>221</v>
      </c>
      <c r="D488" s="69">
        <v>2</v>
      </c>
      <c r="E488" s="70">
        <v>6.7414972865000001E-5</v>
      </c>
    </row>
    <row r="489" spans="2:5" ht="14.45" customHeight="1">
      <c r="B489" s="88"/>
      <c r="C489" s="68" t="s">
        <v>245</v>
      </c>
      <c r="D489" s="69">
        <v>1</v>
      </c>
      <c r="E489" s="70">
        <v>3.3707486433000001E-5</v>
      </c>
    </row>
    <row r="490" spans="2:5" ht="14.45" customHeight="1">
      <c r="B490" s="88"/>
      <c r="C490" s="68" t="s">
        <v>222</v>
      </c>
      <c r="D490" s="69">
        <v>1</v>
      </c>
      <c r="E490" s="70">
        <v>3.3707486433000001E-5</v>
      </c>
    </row>
    <row r="491" spans="2:5" ht="14.45" customHeight="1">
      <c r="B491" s="88"/>
      <c r="C491" s="68" t="s">
        <v>225</v>
      </c>
      <c r="D491" s="69">
        <v>1</v>
      </c>
      <c r="E491" s="70">
        <v>3.3707486433000001E-5</v>
      </c>
    </row>
    <row r="492" spans="2:5" ht="14.45" customHeight="1">
      <c r="B492" s="88"/>
      <c r="C492" s="68" t="s">
        <v>240</v>
      </c>
      <c r="D492" s="69">
        <v>1</v>
      </c>
      <c r="E492" s="70">
        <v>3.3707486433000001E-5</v>
      </c>
    </row>
    <row r="493" spans="2:5" ht="14.45" customHeight="1">
      <c r="B493" s="88"/>
      <c r="C493" s="68" t="s">
        <v>226</v>
      </c>
      <c r="D493" s="69">
        <v>16</v>
      </c>
      <c r="E493" s="70">
        <v>5.3931978292399995E-4</v>
      </c>
    </row>
    <row r="494" spans="2:5" ht="14.45" customHeight="1">
      <c r="B494" s="88"/>
      <c r="C494" s="68" t="s">
        <v>247</v>
      </c>
      <c r="D494" s="69">
        <v>1</v>
      </c>
      <c r="E494" s="70">
        <v>3.3707486433000001E-5</v>
      </c>
    </row>
    <row r="495" spans="2:5" ht="14.45" customHeight="1">
      <c r="B495" s="88"/>
      <c r="C495" s="68" t="s">
        <v>229</v>
      </c>
      <c r="D495" s="69">
        <v>8</v>
      </c>
      <c r="E495" s="70">
        <v>2.6965989146199998E-4</v>
      </c>
    </row>
    <row r="496" spans="2:5" ht="14.45" customHeight="1">
      <c r="B496" s="88"/>
      <c r="C496" s="68" t="s">
        <v>230</v>
      </c>
      <c r="D496" s="69">
        <v>7</v>
      </c>
      <c r="E496" s="70">
        <v>2.35952405029E-4</v>
      </c>
    </row>
    <row r="497" spans="2:5" ht="14.45" customHeight="1">
      <c r="B497" s="88"/>
      <c r="C497" s="36" t="s">
        <v>29</v>
      </c>
      <c r="D497" s="35">
        <v>210</v>
      </c>
      <c r="E497" s="34">
        <v>7.078572150875E-3</v>
      </c>
    </row>
    <row r="498" spans="2:5" ht="14.45" customHeight="1">
      <c r="B498" s="88" t="s">
        <v>116</v>
      </c>
      <c r="C498" s="68" t="s">
        <v>196</v>
      </c>
      <c r="D498" s="69">
        <v>2</v>
      </c>
      <c r="E498" s="70">
        <v>6.7414972865000001E-5</v>
      </c>
    </row>
    <row r="499" spans="2:5" ht="14.45" customHeight="1">
      <c r="B499" s="88"/>
      <c r="C499" s="68" t="s">
        <v>197</v>
      </c>
      <c r="D499" s="69">
        <v>1</v>
      </c>
      <c r="E499" s="70">
        <v>3.3707486433000001E-5</v>
      </c>
    </row>
    <row r="500" spans="2:5" ht="14.45" customHeight="1">
      <c r="B500" s="88"/>
      <c r="C500" s="68" t="s">
        <v>248</v>
      </c>
      <c r="D500" s="69">
        <v>4</v>
      </c>
      <c r="E500" s="70">
        <v>1.3482994573099999E-4</v>
      </c>
    </row>
    <row r="501" spans="2:5" ht="14.45" customHeight="1">
      <c r="B501" s="88"/>
      <c r="C501" s="68" t="s">
        <v>199</v>
      </c>
      <c r="D501" s="69">
        <v>1</v>
      </c>
      <c r="E501" s="70">
        <v>3.3707486433000001E-5</v>
      </c>
    </row>
    <row r="502" spans="2:5" ht="14.45" customHeight="1">
      <c r="B502" s="88"/>
      <c r="C502" s="68" t="s">
        <v>252</v>
      </c>
      <c r="D502" s="69">
        <v>1</v>
      </c>
      <c r="E502" s="70">
        <v>3.3707486433000001E-5</v>
      </c>
    </row>
    <row r="503" spans="2:5" ht="14.45" customHeight="1">
      <c r="B503" s="88"/>
      <c r="C503" s="68" t="s">
        <v>200</v>
      </c>
      <c r="D503" s="69">
        <v>1</v>
      </c>
      <c r="E503" s="70">
        <v>3.3707486433000001E-5</v>
      </c>
    </row>
    <row r="504" spans="2:5" ht="14.45" customHeight="1">
      <c r="B504" s="88"/>
      <c r="C504" s="68" t="s">
        <v>201</v>
      </c>
      <c r="D504" s="69">
        <v>2</v>
      </c>
      <c r="E504" s="70">
        <v>6.7414972865000001E-5</v>
      </c>
    </row>
    <row r="505" spans="2:5" ht="14.45" customHeight="1">
      <c r="B505" s="88"/>
      <c r="C505" s="68" t="s">
        <v>202</v>
      </c>
      <c r="D505" s="69">
        <v>3</v>
      </c>
      <c r="E505" s="70">
        <v>1.0112245929799999E-4</v>
      </c>
    </row>
    <row r="506" spans="2:5" ht="14.45" customHeight="1">
      <c r="B506" s="88"/>
      <c r="C506" s="68" t="s">
        <v>203</v>
      </c>
      <c r="D506" s="69">
        <v>16</v>
      </c>
      <c r="E506" s="70">
        <v>5.3931978292399995E-4</v>
      </c>
    </row>
    <row r="507" spans="2:5" ht="14.45" customHeight="1">
      <c r="B507" s="88"/>
      <c r="C507" s="68" t="s">
        <v>204</v>
      </c>
      <c r="D507" s="69">
        <v>1</v>
      </c>
      <c r="E507" s="70">
        <v>3.3707486433000001E-5</v>
      </c>
    </row>
    <row r="508" spans="2:5" ht="14.45" customHeight="1">
      <c r="B508" s="88"/>
      <c r="C508" s="68" t="s">
        <v>205</v>
      </c>
      <c r="D508" s="69">
        <v>9</v>
      </c>
      <c r="E508" s="70">
        <v>3.0336737789499998E-4</v>
      </c>
    </row>
    <row r="509" spans="2:5" ht="14.45" customHeight="1">
      <c r="B509" s="88"/>
      <c r="C509" s="68" t="s">
        <v>206</v>
      </c>
      <c r="D509" s="69">
        <v>1</v>
      </c>
      <c r="E509" s="70">
        <v>3.3707486433000001E-5</v>
      </c>
    </row>
    <row r="510" spans="2:5" ht="14.45" customHeight="1">
      <c r="B510" s="88"/>
      <c r="C510" s="68" t="s">
        <v>207</v>
      </c>
      <c r="D510" s="69">
        <v>1</v>
      </c>
      <c r="E510" s="70">
        <v>3.3707486433000001E-5</v>
      </c>
    </row>
    <row r="511" spans="2:5" ht="14.45" customHeight="1">
      <c r="B511" s="88"/>
      <c r="C511" s="68" t="s">
        <v>208</v>
      </c>
      <c r="D511" s="69">
        <v>1</v>
      </c>
      <c r="E511" s="70">
        <v>3.3707486433000001E-5</v>
      </c>
    </row>
    <row r="512" spans="2:5" ht="14.45" customHeight="1">
      <c r="B512" s="88"/>
      <c r="C512" s="68" t="s">
        <v>209</v>
      </c>
      <c r="D512" s="69">
        <v>4</v>
      </c>
      <c r="E512" s="70">
        <v>1.3482994573099999E-4</v>
      </c>
    </row>
    <row r="513" spans="2:5" ht="14.45" customHeight="1">
      <c r="B513" s="88"/>
      <c r="C513" s="68" t="s">
        <v>211</v>
      </c>
      <c r="D513" s="69">
        <v>1</v>
      </c>
      <c r="E513" s="70">
        <v>3.3707486433000001E-5</v>
      </c>
    </row>
    <row r="514" spans="2:5" ht="14.45" customHeight="1">
      <c r="B514" s="88"/>
      <c r="C514" s="68" t="s">
        <v>212</v>
      </c>
      <c r="D514" s="69">
        <v>2</v>
      </c>
      <c r="E514" s="70">
        <v>6.7414972865000001E-5</v>
      </c>
    </row>
    <row r="515" spans="2:5" ht="14.45" customHeight="1">
      <c r="B515" s="88"/>
      <c r="C515" s="68" t="s">
        <v>213</v>
      </c>
      <c r="D515" s="69">
        <v>7</v>
      </c>
      <c r="E515" s="70">
        <v>2.35952405029E-4</v>
      </c>
    </row>
    <row r="516" spans="2:5" ht="14.45" customHeight="1">
      <c r="B516" s="88"/>
      <c r="C516" s="68" t="s">
        <v>215</v>
      </c>
      <c r="D516" s="69">
        <v>16</v>
      </c>
      <c r="E516" s="70">
        <v>5.3931978292399995E-4</v>
      </c>
    </row>
    <row r="517" spans="2:5" ht="14.45" customHeight="1">
      <c r="B517" s="88"/>
      <c r="C517" s="68" t="s">
        <v>235</v>
      </c>
      <c r="D517" s="69">
        <v>1</v>
      </c>
      <c r="E517" s="70">
        <v>3.3707486433000001E-5</v>
      </c>
    </row>
    <row r="518" spans="2:5" ht="14.45" customHeight="1">
      <c r="B518" s="88"/>
      <c r="C518" s="68" t="s">
        <v>217</v>
      </c>
      <c r="D518" s="69">
        <v>4</v>
      </c>
      <c r="E518" s="70">
        <v>1.3482994573099999E-4</v>
      </c>
    </row>
    <row r="519" spans="2:5" ht="14.45" customHeight="1">
      <c r="B519" s="88"/>
      <c r="C519" s="68" t="s">
        <v>218</v>
      </c>
      <c r="D519" s="69">
        <v>2</v>
      </c>
      <c r="E519" s="70">
        <v>6.7414972865000001E-5</v>
      </c>
    </row>
    <row r="520" spans="2:5" ht="14.45" customHeight="1">
      <c r="B520" s="88"/>
      <c r="C520" s="68" t="s">
        <v>219</v>
      </c>
      <c r="D520" s="69">
        <v>1</v>
      </c>
      <c r="E520" s="70">
        <v>3.3707486433000001E-5</v>
      </c>
    </row>
    <row r="521" spans="2:5" ht="14.45" customHeight="1">
      <c r="B521" s="88"/>
      <c r="C521" s="68" t="s">
        <v>236</v>
      </c>
      <c r="D521" s="69">
        <v>1</v>
      </c>
      <c r="E521" s="70">
        <v>3.3707486433000001E-5</v>
      </c>
    </row>
    <row r="522" spans="2:5" ht="14.45" customHeight="1">
      <c r="B522" s="88"/>
      <c r="C522" s="68" t="s">
        <v>220</v>
      </c>
      <c r="D522" s="69">
        <v>19</v>
      </c>
      <c r="E522" s="70">
        <v>6.4044224222200002E-4</v>
      </c>
    </row>
    <row r="523" spans="2:5" ht="14.45" customHeight="1">
      <c r="B523" s="88"/>
      <c r="C523" s="68" t="s">
        <v>245</v>
      </c>
      <c r="D523" s="69">
        <v>1</v>
      </c>
      <c r="E523" s="70">
        <v>3.3707486433000001E-5</v>
      </c>
    </row>
    <row r="524" spans="2:5" ht="14.45" customHeight="1">
      <c r="B524" s="88"/>
      <c r="C524" s="68" t="s">
        <v>222</v>
      </c>
      <c r="D524" s="69">
        <v>5</v>
      </c>
      <c r="E524" s="70">
        <v>1.68537432164E-4</v>
      </c>
    </row>
    <row r="525" spans="2:5" ht="14.45" customHeight="1">
      <c r="B525" s="88"/>
      <c r="C525" s="68" t="s">
        <v>224</v>
      </c>
      <c r="D525" s="69">
        <v>2</v>
      </c>
      <c r="E525" s="70">
        <v>6.7414972865000001E-5</v>
      </c>
    </row>
    <row r="526" spans="2:5" ht="14.45" customHeight="1">
      <c r="B526" s="88"/>
      <c r="C526" s="68" t="s">
        <v>240</v>
      </c>
      <c r="D526" s="69">
        <v>1</v>
      </c>
      <c r="E526" s="70">
        <v>3.3707486433000001E-5</v>
      </c>
    </row>
    <row r="527" spans="2:5" ht="14.45" customHeight="1">
      <c r="B527" s="88"/>
      <c r="C527" s="68" t="s">
        <v>241</v>
      </c>
      <c r="D527" s="69">
        <v>5</v>
      </c>
      <c r="E527" s="70">
        <v>1.68537432164E-4</v>
      </c>
    </row>
    <row r="528" spans="2:5" ht="14.45" customHeight="1">
      <c r="B528" s="88"/>
      <c r="C528" s="68" t="s">
        <v>246</v>
      </c>
      <c r="D528" s="69">
        <v>2</v>
      </c>
      <c r="E528" s="70">
        <v>6.7414972865000001E-5</v>
      </c>
    </row>
    <row r="529" spans="2:5" ht="14.45" customHeight="1">
      <c r="B529" s="88"/>
      <c r="C529" s="68" t="s">
        <v>226</v>
      </c>
      <c r="D529" s="69">
        <v>5</v>
      </c>
      <c r="E529" s="70">
        <v>1.68537432164E-4</v>
      </c>
    </row>
    <row r="530" spans="2:5" ht="14.45" customHeight="1">
      <c r="B530" s="88"/>
      <c r="C530" s="68" t="s">
        <v>227</v>
      </c>
      <c r="D530" s="69">
        <v>2</v>
      </c>
      <c r="E530" s="70">
        <v>6.7414972865000001E-5</v>
      </c>
    </row>
    <row r="531" spans="2:5" ht="14.45" customHeight="1">
      <c r="B531" s="88"/>
      <c r="C531" s="68" t="s">
        <v>229</v>
      </c>
      <c r="D531" s="69">
        <v>1</v>
      </c>
      <c r="E531" s="70">
        <v>3.3707486433000001E-5</v>
      </c>
    </row>
    <row r="532" spans="2:5" ht="14.45" customHeight="1">
      <c r="B532" s="88"/>
      <c r="C532" s="68" t="s">
        <v>230</v>
      </c>
      <c r="D532" s="69">
        <v>4</v>
      </c>
      <c r="E532" s="70">
        <v>1.3482994573099999E-4</v>
      </c>
    </row>
    <row r="533" spans="2:5" ht="14.45" customHeight="1">
      <c r="B533" s="88"/>
      <c r="C533" s="36" t="s">
        <v>29</v>
      </c>
      <c r="D533" s="35">
        <v>130</v>
      </c>
      <c r="E533" s="34">
        <v>4.381973236256E-3</v>
      </c>
    </row>
    <row r="534" spans="2:5" ht="14.45" customHeight="1">
      <c r="B534" s="88" t="s">
        <v>117</v>
      </c>
      <c r="C534" s="68" t="s">
        <v>195</v>
      </c>
      <c r="D534" s="69">
        <v>2</v>
      </c>
      <c r="E534" s="70">
        <v>6.7414972865000001E-5</v>
      </c>
    </row>
    <row r="535" spans="2:5" ht="14.45" customHeight="1">
      <c r="B535" s="88"/>
      <c r="C535" s="68" t="s">
        <v>196</v>
      </c>
      <c r="D535" s="69">
        <v>3</v>
      </c>
      <c r="E535" s="70">
        <v>1.0112245929799999E-4</v>
      </c>
    </row>
    <row r="536" spans="2:5" ht="14.45" customHeight="1">
      <c r="B536" s="88"/>
      <c r="C536" s="68" t="s">
        <v>197</v>
      </c>
      <c r="D536" s="69">
        <v>1</v>
      </c>
      <c r="E536" s="70">
        <v>3.3707486433000001E-5</v>
      </c>
    </row>
    <row r="537" spans="2:5" ht="14.45" customHeight="1">
      <c r="B537" s="88"/>
      <c r="C537" s="68" t="s">
        <v>198</v>
      </c>
      <c r="D537" s="69">
        <v>2</v>
      </c>
      <c r="E537" s="70">
        <v>6.7414972865000001E-5</v>
      </c>
    </row>
    <row r="538" spans="2:5" ht="14.45" customHeight="1">
      <c r="B538" s="88"/>
      <c r="C538" s="68" t="s">
        <v>199</v>
      </c>
      <c r="D538" s="69">
        <v>12</v>
      </c>
      <c r="E538" s="70">
        <v>4.0448983719299999E-4</v>
      </c>
    </row>
    <row r="539" spans="2:5" ht="14.45" customHeight="1">
      <c r="B539" s="88"/>
      <c r="C539" s="68" t="s">
        <v>201</v>
      </c>
      <c r="D539" s="69">
        <v>5</v>
      </c>
      <c r="E539" s="70">
        <v>1.68537432164E-4</v>
      </c>
    </row>
    <row r="540" spans="2:5" ht="14.45" customHeight="1">
      <c r="B540" s="88"/>
      <c r="C540" s="68" t="s">
        <v>202</v>
      </c>
      <c r="D540" s="69">
        <v>17</v>
      </c>
      <c r="E540" s="70">
        <v>5.7302726935699996E-4</v>
      </c>
    </row>
    <row r="541" spans="2:5" ht="14.45" customHeight="1">
      <c r="B541" s="88"/>
      <c r="C541" s="68" t="s">
        <v>203</v>
      </c>
      <c r="D541" s="69">
        <v>22</v>
      </c>
      <c r="E541" s="70">
        <v>7.4156470151999997E-4</v>
      </c>
    </row>
    <row r="542" spans="2:5" ht="14.45" customHeight="1">
      <c r="B542" s="88"/>
      <c r="C542" s="68" t="s">
        <v>249</v>
      </c>
      <c r="D542" s="69">
        <v>2</v>
      </c>
      <c r="E542" s="70">
        <v>6.7414972865000001E-5</v>
      </c>
    </row>
    <row r="543" spans="2:5" ht="14.45" customHeight="1">
      <c r="B543" s="88"/>
      <c r="C543" s="68" t="s">
        <v>204</v>
      </c>
      <c r="D543" s="69">
        <v>11</v>
      </c>
      <c r="E543" s="70">
        <v>3.7078235075999999E-4</v>
      </c>
    </row>
    <row r="544" spans="2:5" ht="14.45" customHeight="1">
      <c r="B544" s="88"/>
      <c r="C544" s="68" t="s">
        <v>205</v>
      </c>
      <c r="D544" s="69">
        <v>11</v>
      </c>
      <c r="E544" s="70">
        <v>3.7078235075999999E-4</v>
      </c>
    </row>
    <row r="545" spans="2:5" ht="14.45" customHeight="1">
      <c r="B545" s="88"/>
      <c r="C545" s="68" t="s">
        <v>206</v>
      </c>
      <c r="D545" s="69">
        <v>1</v>
      </c>
      <c r="E545" s="70">
        <v>3.3707486433000001E-5</v>
      </c>
    </row>
    <row r="546" spans="2:5" ht="14.45" customHeight="1">
      <c r="B546" s="88"/>
      <c r="C546" s="68" t="s">
        <v>208</v>
      </c>
      <c r="D546" s="69">
        <v>4</v>
      </c>
      <c r="E546" s="70">
        <v>1.3482994573099999E-4</v>
      </c>
    </row>
    <row r="547" spans="2:5" ht="14.45" customHeight="1">
      <c r="B547" s="88"/>
      <c r="C547" s="68" t="s">
        <v>209</v>
      </c>
      <c r="D547" s="69">
        <v>6</v>
      </c>
      <c r="E547" s="70">
        <v>2.0224491859599999E-4</v>
      </c>
    </row>
    <row r="548" spans="2:5" ht="14.45" customHeight="1">
      <c r="B548" s="88"/>
      <c r="C548" s="68" t="s">
        <v>232</v>
      </c>
      <c r="D548" s="69">
        <v>4</v>
      </c>
      <c r="E548" s="70">
        <v>1.3482994573099999E-4</v>
      </c>
    </row>
    <row r="549" spans="2:5" ht="14.45" customHeight="1">
      <c r="B549" s="88"/>
      <c r="C549" s="68" t="s">
        <v>211</v>
      </c>
      <c r="D549" s="69">
        <v>2</v>
      </c>
      <c r="E549" s="70">
        <v>6.7414972865000001E-5</v>
      </c>
    </row>
    <row r="550" spans="2:5" ht="14.45" customHeight="1">
      <c r="B550" s="88"/>
      <c r="C550" s="68" t="s">
        <v>212</v>
      </c>
      <c r="D550" s="69">
        <v>8</v>
      </c>
      <c r="E550" s="70">
        <v>2.6965989146199998E-4</v>
      </c>
    </row>
    <row r="551" spans="2:5" ht="14.45" customHeight="1">
      <c r="B551" s="88"/>
      <c r="C551" s="68" t="s">
        <v>213</v>
      </c>
      <c r="D551" s="69">
        <v>69</v>
      </c>
      <c r="E551" s="70">
        <v>2.3258165638589999E-3</v>
      </c>
    </row>
    <row r="552" spans="2:5" ht="14.45" customHeight="1">
      <c r="B552" s="88"/>
      <c r="C552" s="68" t="s">
        <v>214</v>
      </c>
      <c r="D552" s="69">
        <v>3</v>
      </c>
      <c r="E552" s="70">
        <v>1.0112245929799999E-4</v>
      </c>
    </row>
    <row r="553" spans="2:5" ht="14.45" customHeight="1">
      <c r="B553" s="88"/>
      <c r="C553" s="68" t="s">
        <v>215</v>
      </c>
      <c r="D553" s="69">
        <v>29</v>
      </c>
      <c r="E553" s="70">
        <v>9.775171065490001E-4</v>
      </c>
    </row>
    <row r="554" spans="2:5" ht="14.45" customHeight="1">
      <c r="B554" s="88"/>
      <c r="C554" s="68" t="s">
        <v>235</v>
      </c>
      <c r="D554" s="69">
        <v>9</v>
      </c>
      <c r="E554" s="70">
        <v>3.0336737789499998E-4</v>
      </c>
    </row>
    <row r="555" spans="2:5" ht="14.45" customHeight="1">
      <c r="B555" s="88"/>
      <c r="C555" s="68" t="s">
        <v>244</v>
      </c>
      <c r="D555" s="69">
        <v>2</v>
      </c>
      <c r="E555" s="70">
        <v>6.7414972865000001E-5</v>
      </c>
    </row>
    <row r="556" spans="2:5" ht="14.45" customHeight="1">
      <c r="B556" s="88"/>
      <c r="C556" s="68" t="s">
        <v>216</v>
      </c>
      <c r="D556" s="69">
        <v>3</v>
      </c>
      <c r="E556" s="70">
        <v>1.0112245929799999E-4</v>
      </c>
    </row>
    <row r="557" spans="2:5" ht="14.45" customHeight="1">
      <c r="B557" s="88"/>
      <c r="C557" s="68" t="s">
        <v>217</v>
      </c>
      <c r="D557" s="69">
        <v>8</v>
      </c>
      <c r="E557" s="70">
        <v>2.6965989146199998E-4</v>
      </c>
    </row>
    <row r="558" spans="2:5" ht="14.45" customHeight="1">
      <c r="B558" s="88"/>
      <c r="C558" s="68" t="s">
        <v>218</v>
      </c>
      <c r="D558" s="69">
        <v>5</v>
      </c>
      <c r="E558" s="70">
        <v>1.68537432164E-4</v>
      </c>
    </row>
    <row r="559" spans="2:5" ht="14.45" customHeight="1">
      <c r="B559" s="88"/>
      <c r="C559" s="68" t="s">
        <v>220</v>
      </c>
      <c r="D559" s="69">
        <v>4</v>
      </c>
      <c r="E559" s="70">
        <v>1.3482994573099999E-4</v>
      </c>
    </row>
    <row r="560" spans="2:5" ht="14.45" customHeight="1">
      <c r="B560" s="88"/>
      <c r="C560" s="68" t="s">
        <v>221</v>
      </c>
      <c r="D560" s="69">
        <v>7</v>
      </c>
      <c r="E560" s="70">
        <v>2.35952405029E-4</v>
      </c>
    </row>
    <row r="561" spans="2:5" ht="14.45" customHeight="1">
      <c r="B561" s="88"/>
      <c r="C561" s="68" t="s">
        <v>222</v>
      </c>
      <c r="D561" s="69">
        <v>4</v>
      </c>
      <c r="E561" s="70">
        <v>1.3482994573099999E-4</v>
      </c>
    </row>
    <row r="562" spans="2:5" ht="14.45" customHeight="1">
      <c r="B562" s="88"/>
      <c r="C562" s="68" t="s">
        <v>223</v>
      </c>
      <c r="D562" s="69">
        <v>1</v>
      </c>
      <c r="E562" s="70">
        <v>3.3707486433000001E-5</v>
      </c>
    </row>
    <row r="563" spans="2:5" ht="14.45" customHeight="1">
      <c r="B563" s="88"/>
      <c r="C563" s="68" t="s">
        <v>250</v>
      </c>
      <c r="D563" s="69">
        <v>1</v>
      </c>
      <c r="E563" s="70">
        <v>3.3707486433000001E-5</v>
      </c>
    </row>
    <row r="564" spans="2:5" ht="14.45" customHeight="1">
      <c r="B564" s="88"/>
      <c r="C564" s="68" t="s">
        <v>225</v>
      </c>
      <c r="D564" s="69">
        <v>1</v>
      </c>
      <c r="E564" s="70">
        <v>3.3707486433000001E-5</v>
      </c>
    </row>
    <row r="565" spans="2:5" ht="14.45" customHeight="1">
      <c r="B565" s="88"/>
      <c r="C565" s="68" t="s">
        <v>238</v>
      </c>
      <c r="D565" s="69">
        <v>2</v>
      </c>
      <c r="E565" s="70">
        <v>6.7414972865000001E-5</v>
      </c>
    </row>
    <row r="566" spans="2:5" ht="14.45" customHeight="1">
      <c r="B566" s="88"/>
      <c r="C566" s="68" t="s">
        <v>240</v>
      </c>
      <c r="D566" s="69">
        <v>1</v>
      </c>
      <c r="E566" s="70">
        <v>3.3707486433000001E-5</v>
      </c>
    </row>
    <row r="567" spans="2:5" ht="14.45" customHeight="1">
      <c r="B567" s="88"/>
      <c r="C567" s="68" t="s">
        <v>241</v>
      </c>
      <c r="D567" s="69">
        <v>3</v>
      </c>
      <c r="E567" s="70">
        <v>1.0112245929799999E-4</v>
      </c>
    </row>
    <row r="568" spans="2:5" ht="14.45" customHeight="1">
      <c r="B568" s="88"/>
      <c r="C568" s="68" t="s">
        <v>226</v>
      </c>
      <c r="D568" s="69">
        <v>6</v>
      </c>
      <c r="E568" s="70">
        <v>2.0224491859599999E-4</v>
      </c>
    </row>
    <row r="569" spans="2:5" ht="14.45" customHeight="1">
      <c r="B569" s="88"/>
      <c r="C569" s="68" t="s">
        <v>228</v>
      </c>
      <c r="D569" s="69">
        <v>1</v>
      </c>
      <c r="E569" s="70">
        <v>3.3707486433000001E-5</v>
      </c>
    </row>
    <row r="570" spans="2:5" ht="14.45" customHeight="1">
      <c r="B570" s="88"/>
      <c r="C570" s="68" t="s">
        <v>247</v>
      </c>
      <c r="D570" s="69">
        <v>7</v>
      </c>
      <c r="E570" s="70">
        <v>2.35952405029E-4</v>
      </c>
    </row>
    <row r="571" spans="2:5" ht="14.45" customHeight="1">
      <c r="B571" s="88"/>
      <c r="C571" s="68" t="s">
        <v>229</v>
      </c>
      <c r="D571" s="69">
        <v>3</v>
      </c>
      <c r="E571" s="70">
        <v>1.0112245929799999E-4</v>
      </c>
    </row>
    <row r="572" spans="2:5" ht="14.45" customHeight="1">
      <c r="B572" s="88"/>
      <c r="C572" s="68" t="s">
        <v>230</v>
      </c>
      <c r="D572" s="69">
        <v>2</v>
      </c>
      <c r="E572" s="70">
        <v>6.7414972865000001E-5</v>
      </c>
    </row>
    <row r="573" spans="2:5" ht="14.45" customHeight="1">
      <c r="B573" s="88"/>
      <c r="C573" s="36" t="s">
        <v>29</v>
      </c>
      <c r="D573" s="35">
        <v>284</v>
      </c>
      <c r="E573" s="34">
        <v>9.5729261468970005E-3</v>
      </c>
    </row>
    <row r="574" spans="2:5" ht="14.45" customHeight="1">
      <c r="B574" s="88" t="s">
        <v>118</v>
      </c>
      <c r="C574" s="68" t="s">
        <v>198</v>
      </c>
      <c r="D574" s="69">
        <v>2</v>
      </c>
      <c r="E574" s="70">
        <v>6.7414972865000001E-5</v>
      </c>
    </row>
    <row r="575" spans="2:5" ht="14.45" customHeight="1">
      <c r="B575" s="88"/>
      <c r="C575" s="68" t="s">
        <v>200</v>
      </c>
      <c r="D575" s="69">
        <v>2</v>
      </c>
      <c r="E575" s="70">
        <v>6.7414972865000001E-5</v>
      </c>
    </row>
    <row r="576" spans="2:5" ht="14.45" customHeight="1">
      <c r="B576" s="88"/>
      <c r="C576" s="68" t="s">
        <v>201</v>
      </c>
      <c r="D576" s="69">
        <v>2</v>
      </c>
      <c r="E576" s="70">
        <v>6.7414972865000001E-5</v>
      </c>
    </row>
    <row r="577" spans="2:5" ht="14.45" customHeight="1">
      <c r="B577" s="88"/>
      <c r="C577" s="68" t="s">
        <v>202</v>
      </c>
      <c r="D577" s="69">
        <v>1</v>
      </c>
      <c r="E577" s="70">
        <v>3.3707486433000001E-5</v>
      </c>
    </row>
    <row r="578" spans="2:5" ht="14.45" customHeight="1">
      <c r="B578" s="88"/>
      <c r="C578" s="68" t="s">
        <v>203</v>
      </c>
      <c r="D578" s="69">
        <v>2</v>
      </c>
      <c r="E578" s="70">
        <v>6.7414972865000001E-5</v>
      </c>
    </row>
    <row r="579" spans="2:5" ht="14.45" customHeight="1">
      <c r="B579" s="88"/>
      <c r="C579" s="68" t="s">
        <v>206</v>
      </c>
      <c r="D579" s="69">
        <v>1</v>
      </c>
      <c r="E579" s="70">
        <v>3.3707486433000001E-5</v>
      </c>
    </row>
    <row r="580" spans="2:5" ht="14.45" customHeight="1">
      <c r="B580" s="88"/>
      <c r="C580" s="68" t="s">
        <v>209</v>
      </c>
      <c r="D580" s="69">
        <v>3</v>
      </c>
      <c r="E580" s="70">
        <v>1.0112245929799999E-4</v>
      </c>
    </row>
    <row r="581" spans="2:5" ht="14.45" customHeight="1">
      <c r="B581" s="88"/>
      <c r="C581" s="68" t="s">
        <v>212</v>
      </c>
      <c r="D581" s="69">
        <v>1</v>
      </c>
      <c r="E581" s="70">
        <v>3.3707486433000001E-5</v>
      </c>
    </row>
    <row r="582" spans="2:5" ht="14.45" customHeight="1">
      <c r="B582" s="88"/>
      <c r="C582" s="68" t="s">
        <v>213</v>
      </c>
      <c r="D582" s="69">
        <v>1</v>
      </c>
      <c r="E582" s="70">
        <v>3.3707486433000001E-5</v>
      </c>
    </row>
    <row r="583" spans="2:5" ht="14.45" customHeight="1">
      <c r="B583" s="88"/>
      <c r="C583" s="68" t="s">
        <v>214</v>
      </c>
      <c r="D583" s="69">
        <v>2</v>
      </c>
      <c r="E583" s="70">
        <v>6.7414972865000001E-5</v>
      </c>
    </row>
    <row r="584" spans="2:5" ht="14.45" customHeight="1">
      <c r="B584" s="88"/>
      <c r="C584" s="68" t="s">
        <v>215</v>
      </c>
      <c r="D584" s="69">
        <v>2</v>
      </c>
      <c r="E584" s="70">
        <v>6.7414972865000001E-5</v>
      </c>
    </row>
    <row r="585" spans="2:5" ht="14.45" customHeight="1">
      <c r="B585" s="88"/>
      <c r="C585" s="68" t="s">
        <v>218</v>
      </c>
      <c r="D585" s="69">
        <v>1</v>
      </c>
      <c r="E585" s="70">
        <v>3.3707486433000001E-5</v>
      </c>
    </row>
    <row r="586" spans="2:5" ht="14.45" customHeight="1">
      <c r="B586" s="88"/>
      <c r="C586" s="68" t="s">
        <v>221</v>
      </c>
      <c r="D586" s="69">
        <v>3</v>
      </c>
      <c r="E586" s="70">
        <v>1.0112245929799999E-4</v>
      </c>
    </row>
    <row r="587" spans="2:5" ht="14.45" customHeight="1">
      <c r="B587" s="88"/>
      <c r="C587" s="68" t="s">
        <v>226</v>
      </c>
      <c r="D587" s="69">
        <v>1</v>
      </c>
      <c r="E587" s="70">
        <v>3.3707486433000001E-5</v>
      </c>
    </row>
    <row r="588" spans="2:5" ht="14.45" customHeight="1">
      <c r="B588" s="88"/>
      <c r="C588" s="68" t="s">
        <v>247</v>
      </c>
      <c r="D588" s="69">
        <v>1</v>
      </c>
      <c r="E588" s="70">
        <v>3.3707486433000001E-5</v>
      </c>
    </row>
    <row r="589" spans="2:5" ht="14.45" customHeight="1">
      <c r="B589" s="88"/>
      <c r="C589" s="68" t="s">
        <v>229</v>
      </c>
      <c r="D589" s="69">
        <v>1</v>
      </c>
      <c r="E589" s="70">
        <v>3.3707486433000001E-5</v>
      </c>
    </row>
    <row r="590" spans="2:5" ht="14.45" customHeight="1">
      <c r="B590" s="88"/>
      <c r="C590" s="36" t="s">
        <v>29</v>
      </c>
      <c r="D590" s="35">
        <v>26</v>
      </c>
      <c r="E590" s="34">
        <v>8.7639464725100004E-4</v>
      </c>
    </row>
    <row r="591" spans="2:5" ht="14.45" customHeight="1">
      <c r="B591" s="88" t="s">
        <v>119</v>
      </c>
      <c r="C591" s="68" t="s">
        <v>195</v>
      </c>
      <c r="D591" s="69">
        <v>1</v>
      </c>
      <c r="E591" s="70">
        <v>3.3707486433000001E-5</v>
      </c>
    </row>
    <row r="592" spans="2:5" ht="14.45" customHeight="1">
      <c r="B592" s="88"/>
      <c r="C592" s="68" t="s">
        <v>203</v>
      </c>
      <c r="D592" s="69">
        <v>1</v>
      </c>
      <c r="E592" s="70">
        <v>3.3707486433000001E-5</v>
      </c>
    </row>
    <row r="593" spans="2:5" ht="14.45" customHeight="1">
      <c r="B593" s="88"/>
      <c r="C593" s="68" t="s">
        <v>209</v>
      </c>
      <c r="D593" s="69">
        <v>1</v>
      </c>
      <c r="E593" s="70">
        <v>3.3707486433000001E-5</v>
      </c>
    </row>
    <row r="594" spans="2:5" ht="14.45" customHeight="1">
      <c r="B594" s="88"/>
      <c r="C594" s="68" t="s">
        <v>213</v>
      </c>
      <c r="D594" s="69">
        <v>1</v>
      </c>
      <c r="E594" s="70">
        <v>3.3707486433000001E-5</v>
      </c>
    </row>
    <row r="595" spans="2:5" ht="14.45" customHeight="1">
      <c r="B595" s="88"/>
      <c r="C595" s="68" t="s">
        <v>214</v>
      </c>
      <c r="D595" s="69">
        <v>6</v>
      </c>
      <c r="E595" s="70">
        <v>2.0224491859599999E-4</v>
      </c>
    </row>
    <row r="596" spans="2:5" ht="14.45" customHeight="1">
      <c r="B596" s="88"/>
      <c r="C596" s="68" t="s">
        <v>215</v>
      </c>
      <c r="D596" s="69">
        <v>6</v>
      </c>
      <c r="E596" s="70">
        <v>2.0224491859599999E-4</v>
      </c>
    </row>
    <row r="597" spans="2:5" ht="14.45" customHeight="1">
      <c r="B597" s="88"/>
      <c r="C597" s="68" t="s">
        <v>251</v>
      </c>
      <c r="D597" s="69">
        <v>1</v>
      </c>
      <c r="E597" s="70">
        <v>3.3707486433000001E-5</v>
      </c>
    </row>
    <row r="598" spans="2:5" ht="14.45" customHeight="1">
      <c r="B598" s="88"/>
      <c r="C598" s="68" t="s">
        <v>241</v>
      </c>
      <c r="D598" s="69">
        <v>1</v>
      </c>
      <c r="E598" s="70">
        <v>3.3707486433000001E-5</v>
      </c>
    </row>
    <row r="599" spans="2:5" ht="14.45" customHeight="1">
      <c r="B599" s="88"/>
      <c r="C599" s="68" t="s">
        <v>227</v>
      </c>
      <c r="D599" s="69">
        <v>6</v>
      </c>
      <c r="E599" s="70">
        <v>2.0224491859599999E-4</v>
      </c>
    </row>
    <row r="600" spans="2:5" ht="14.45" customHeight="1">
      <c r="B600" s="88"/>
      <c r="C600" s="36" t="s">
        <v>29</v>
      </c>
      <c r="D600" s="35">
        <v>24</v>
      </c>
      <c r="E600" s="34">
        <v>8.0897967438599999E-4</v>
      </c>
    </row>
    <row r="601" spans="2:5" ht="14.45" customHeight="1">
      <c r="B601" s="88" t="s">
        <v>120</v>
      </c>
      <c r="C601" s="68" t="s">
        <v>195</v>
      </c>
      <c r="D601" s="69">
        <v>1</v>
      </c>
      <c r="E601" s="70">
        <v>3.3707486433000001E-5</v>
      </c>
    </row>
    <row r="602" spans="2:5" ht="14.45" customHeight="1">
      <c r="B602" s="88"/>
      <c r="C602" s="68" t="s">
        <v>196</v>
      </c>
      <c r="D602" s="69">
        <v>2</v>
      </c>
      <c r="E602" s="70">
        <v>6.7414972865000001E-5</v>
      </c>
    </row>
    <row r="603" spans="2:5" ht="14.45" customHeight="1">
      <c r="B603" s="88"/>
      <c r="C603" s="68" t="s">
        <v>197</v>
      </c>
      <c r="D603" s="69">
        <v>12</v>
      </c>
      <c r="E603" s="70">
        <v>4.0448983719299999E-4</v>
      </c>
    </row>
    <row r="604" spans="2:5" ht="14.45" customHeight="1">
      <c r="B604" s="88"/>
      <c r="C604" s="68" t="s">
        <v>231</v>
      </c>
      <c r="D604" s="69">
        <v>1</v>
      </c>
      <c r="E604" s="70">
        <v>3.3707486433000001E-5</v>
      </c>
    </row>
    <row r="605" spans="2:5" ht="14.45" customHeight="1">
      <c r="B605" s="88"/>
      <c r="C605" s="68" t="s">
        <v>199</v>
      </c>
      <c r="D605" s="69">
        <v>2</v>
      </c>
      <c r="E605" s="70">
        <v>6.7414972865000001E-5</v>
      </c>
    </row>
    <row r="606" spans="2:5" ht="14.45" customHeight="1">
      <c r="B606" s="88"/>
      <c r="C606" s="68" t="s">
        <v>201</v>
      </c>
      <c r="D606" s="69">
        <v>6</v>
      </c>
      <c r="E606" s="70">
        <v>2.0224491859599999E-4</v>
      </c>
    </row>
    <row r="607" spans="2:5" ht="14.45" customHeight="1">
      <c r="B607" s="88"/>
      <c r="C607" s="68" t="s">
        <v>203</v>
      </c>
      <c r="D607" s="69">
        <v>12</v>
      </c>
      <c r="E607" s="70">
        <v>4.0448983719299999E-4</v>
      </c>
    </row>
    <row r="608" spans="2:5" ht="14.45" customHeight="1">
      <c r="B608" s="88"/>
      <c r="C608" s="68" t="s">
        <v>205</v>
      </c>
      <c r="D608" s="69">
        <v>4</v>
      </c>
      <c r="E608" s="70">
        <v>1.3482994573099999E-4</v>
      </c>
    </row>
    <row r="609" spans="2:5" ht="14.45" customHeight="1">
      <c r="B609" s="88"/>
      <c r="C609" s="68" t="s">
        <v>243</v>
      </c>
      <c r="D609" s="69">
        <v>1</v>
      </c>
      <c r="E609" s="70">
        <v>3.3707486433000001E-5</v>
      </c>
    </row>
    <row r="610" spans="2:5" ht="14.45" customHeight="1">
      <c r="B610" s="88"/>
      <c r="C610" s="68" t="s">
        <v>206</v>
      </c>
      <c r="D610" s="69">
        <v>1</v>
      </c>
      <c r="E610" s="70">
        <v>3.3707486433000001E-5</v>
      </c>
    </row>
    <row r="611" spans="2:5" ht="14.45" customHeight="1">
      <c r="B611" s="88"/>
      <c r="C611" s="68" t="s">
        <v>208</v>
      </c>
      <c r="D611" s="69">
        <v>2</v>
      </c>
      <c r="E611" s="70">
        <v>6.7414972865000001E-5</v>
      </c>
    </row>
    <row r="612" spans="2:5" ht="14.45" customHeight="1">
      <c r="B612" s="88"/>
      <c r="C612" s="68" t="s">
        <v>209</v>
      </c>
      <c r="D612" s="69">
        <v>16</v>
      </c>
      <c r="E612" s="70">
        <v>5.3931978292399995E-4</v>
      </c>
    </row>
    <row r="613" spans="2:5" ht="14.45" customHeight="1">
      <c r="B613" s="88"/>
      <c r="C613" s="68" t="s">
        <v>232</v>
      </c>
      <c r="D613" s="69">
        <v>1</v>
      </c>
      <c r="E613" s="70">
        <v>3.3707486433000001E-5</v>
      </c>
    </row>
    <row r="614" spans="2:5" ht="14.45" customHeight="1">
      <c r="B614" s="88"/>
      <c r="C614" s="68" t="s">
        <v>211</v>
      </c>
      <c r="D614" s="69">
        <v>4</v>
      </c>
      <c r="E614" s="70">
        <v>1.3482994573099999E-4</v>
      </c>
    </row>
    <row r="615" spans="2:5" ht="14.45" customHeight="1">
      <c r="B615" s="88"/>
      <c r="C615" s="68" t="s">
        <v>212</v>
      </c>
      <c r="D615" s="69">
        <v>2</v>
      </c>
      <c r="E615" s="70">
        <v>6.7414972865000001E-5</v>
      </c>
    </row>
    <row r="616" spans="2:5" ht="14.45" customHeight="1">
      <c r="B616" s="88"/>
      <c r="C616" s="68" t="s">
        <v>213</v>
      </c>
      <c r="D616" s="69">
        <v>14</v>
      </c>
      <c r="E616" s="70">
        <v>4.7190481005799999E-4</v>
      </c>
    </row>
    <row r="617" spans="2:5" ht="14.45" customHeight="1">
      <c r="B617" s="88"/>
      <c r="C617" s="68" t="s">
        <v>214</v>
      </c>
      <c r="D617" s="69">
        <v>2</v>
      </c>
      <c r="E617" s="70">
        <v>6.7414972865000001E-5</v>
      </c>
    </row>
    <row r="618" spans="2:5" ht="14.45" customHeight="1">
      <c r="B618" s="88"/>
      <c r="C618" s="68" t="s">
        <v>57</v>
      </c>
      <c r="D618" s="69">
        <v>1</v>
      </c>
      <c r="E618" s="70">
        <v>3.3707486433000001E-5</v>
      </c>
    </row>
    <row r="619" spans="2:5" ht="14.45" customHeight="1">
      <c r="B619" s="88"/>
      <c r="C619" s="68" t="s">
        <v>234</v>
      </c>
      <c r="D619" s="69">
        <v>1</v>
      </c>
      <c r="E619" s="70">
        <v>3.3707486433000001E-5</v>
      </c>
    </row>
    <row r="620" spans="2:5" ht="14.45" customHeight="1">
      <c r="B620" s="88"/>
      <c r="C620" s="68" t="s">
        <v>215</v>
      </c>
      <c r="D620" s="69">
        <v>36</v>
      </c>
      <c r="E620" s="70">
        <v>1.2134695115790001E-3</v>
      </c>
    </row>
    <row r="621" spans="2:5" ht="14.45" customHeight="1">
      <c r="B621" s="88"/>
      <c r="C621" s="68" t="s">
        <v>244</v>
      </c>
      <c r="D621" s="69">
        <v>1</v>
      </c>
      <c r="E621" s="70">
        <v>3.3707486433000001E-5</v>
      </c>
    </row>
    <row r="622" spans="2:5" ht="14.45" customHeight="1">
      <c r="B622" s="88"/>
      <c r="C622" s="68" t="s">
        <v>218</v>
      </c>
      <c r="D622" s="69">
        <v>5</v>
      </c>
      <c r="E622" s="70">
        <v>1.68537432164E-4</v>
      </c>
    </row>
    <row r="623" spans="2:5" ht="14.45" customHeight="1">
      <c r="B623" s="88"/>
      <c r="C623" s="68" t="s">
        <v>236</v>
      </c>
      <c r="D623" s="69">
        <v>4</v>
      </c>
      <c r="E623" s="70">
        <v>1.3482994573099999E-4</v>
      </c>
    </row>
    <row r="624" spans="2:5" ht="14.45" customHeight="1">
      <c r="B624" s="88"/>
      <c r="C624" s="68" t="s">
        <v>220</v>
      </c>
      <c r="D624" s="69">
        <v>3</v>
      </c>
      <c r="E624" s="70">
        <v>1.0112245929799999E-4</v>
      </c>
    </row>
    <row r="625" spans="2:5" ht="14.45" customHeight="1">
      <c r="B625" s="88"/>
      <c r="C625" s="68" t="s">
        <v>221</v>
      </c>
      <c r="D625" s="69">
        <v>6</v>
      </c>
      <c r="E625" s="70">
        <v>2.0224491859599999E-4</v>
      </c>
    </row>
    <row r="626" spans="2:5" ht="14.45" customHeight="1">
      <c r="B626" s="88"/>
      <c r="C626" s="68" t="s">
        <v>237</v>
      </c>
      <c r="D626" s="69">
        <v>1</v>
      </c>
      <c r="E626" s="70">
        <v>3.3707486433000001E-5</v>
      </c>
    </row>
    <row r="627" spans="2:5" ht="14.45" customHeight="1">
      <c r="B627" s="88"/>
      <c r="C627" s="68" t="s">
        <v>245</v>
      </c>
      <c r="D627" s="69">
        <v>1</v>
      </c>
      <c r="E627" s="70">
        <v>3.3707486433000001E-5</v>
      </c>
    </row>
    <row r="628" spans="2:5" ht="14.45" customHeight="1">
      <c r="B628" s="88"/>
      <c r="C628" s="68" t="s">
        <v>222</v>
      </c>
      <c r="D628" s="69">
        <v>1</v>
      </c>
      <c r="E628" s="70">
        <v>3.3707486433000001E-5</v>
      </c>
    </row>
    <row r="629" spans="2:5" ht="14.45" customHeight="1">
      <c r="B629" s="88"/>
      <c r="C629" s="68" t="s">
        <v>225</v>
      </c>
      <c r="D629" s="69">
        <v>2</v>
      </c>
      <c r="E629" s="70">
        <v>6.7414972865000001E-5</v>
      </c>
    </row>
    <row r="630" spans="2:5" ht="14.45" customHeight="1">
      <c r="B630" s="88"/>
      <c r="C630" s="68" t="s">
        <v>251</v>
      </c>
      <c r="D630" s="69">
        <v>2</v>
      </c>
      <c r="E630" s="70">
        <v>6.7414972865000001E-5</v>
      </c>
    </row>
    <row r="631" spans="2:5" ht="14.45" customHeight="1">
      <c r="B631" s="88"/>
      <c r="C631" s="68" t="s">
        <v>238</v>
      </c>
      <c r="D631" s="69">
        <v>1</v>
      </c>
      <c r="E631" s="70">
        <v>3.3707486433000001E-5</v>
      </c>
    </row>
    <row r="632" spans="2:5" ht="14.45" customHeight="1">
      <c r="B632" s="88"/>
      <c r="C632" s="68" t="s">
        <v>246</v>
      </c>
      <c r="D632" s="69">
        <v>2</v>
      </c>
      <c r="E632" s="70">
        <v>6.7414972865000001E-5</v>
      </c>
    </row>
    <row r="633" spans="2:5" ht="14.45" customHeight="1">
      <c r="B633" s="88"/>
      <c r="C633" s="68" t="s">
        <v>226</v>
      </c>
      <c r="D633" s="69">
        <v>9</v>
      </c>
      <c r="E633" s="70">
        <v>3.0336737789499998E-4</v>
      </c>
    </row>
    <row r="634" spans="2:5" ht="14.45" customHeight="1">
      <c r="B634" s="88"/>
      <c r="C634" s="68" t="s">
        <v>227</v>
      </c>
      <c r="D634" s="69">
        <v>1</v>
      </c>
      <c r="E634" s="70">
        <v>3.3707486433000001E-5</v>
      </c>
    </row>
    <row r="635" spans="2:5" ht="14.45" customHeight="1">
      <c r="B635" s="88"/>
      <c r="C635" s="68" t="s">
        <v>229</v>
      </c>
      <c r="D635" s="69">
        <v>2</v>
      </c>
      <c r="E635" s="70">
        <v>6.7414972865000001E-5</v>
      </c>
    </row>
    <row r="636" spans="2:5" ht="14.45" customHeight="1">
      <c r="B636" s="88"/>
      <c r="C636" s="68" t="s">
        <v>230</v>
      </c>
      <c r="D636" s="69">
        <v>2</v>
      </c>
      <c r="E636" s="70">
        <v>6.7414972865000001E-5</v>
      </c>
    </row>
    <row r="637" spans="2:5" ht="14.45" customHeight="1">
      <c r="B637" s="88"/>
      <c r="C637" s="36" t="s">
        <v>29</v>
      </c>
      <c r="D637" s="35">
        <v>164</v>
      </c>
      <c r="E637" s="34">
        <v>5.528027774969E-3</v>
      </c>
    </row>
    <row r="638" spans="2:5" ht="14.45" customHeight="1">
      <c r="B638" s="88" t="s">
        <v>121</v>
      </c>
      <c r="C638" s="68" t="s">
        <v>195</v>
      </c>
      <c r="D638" s="69">
        <v>3</v>
      </c>
      <c r="E638" s="70">
        <v>1.0112245929799999E-4</v>
      </c>
    </row>
    <row r="639" spans="2:5" ht="14.45" customHeight="1">
      <c r="B639" s="88"/>
      <c r="C639" s="68" t="s">
        <v>242</v>
      </c>
      <c r="D639" s="69">
        <v>1</v>
      </c>
      <c r="E639" s="70">
        <v>3.3707486433000001E-5</v>
      </c>
    </row>
    <row r="640" spans="2:5" ht="14.45" customHeight="1">
      <c r="B640" s="88"/>
      <c r="C640" s="68" t="s">
        <v>199</v>
      </c>
      <c r="D640" s="69">
        <v>2</v>
      </c>
      <c r="E640" s="70">
        <v>6.7414972865000001E-5</v>
      </c>
    </row>
    <row r="641" spans="2:5" ht="14.45" customHeight="1">
      <c r="B641" s="88"/>
      <c r="C641" s="68" t="s">
        <v>200</v>
      </c>
      <c r="D641" s="69">
        <v>1</v>
      </c>
      <c r="E641" s="70">
        <v>3.3707486433000001E-5</v>
      </c>
    </row>
    <row r="642" spans="2:5" ht="14.45" customHeight="1">
      <c r="B642" s="88"/>
      <c r="C642" s="68" t="s">
        <v>201</v>
      </c>
      <c r="D642" s="69">
        <v>3</v>
      </c>
      <c r="E642" s="70">
        <v>1.0112245929799999E-4</v>
      </c>
    </row>
    <row r="643" spans="2:5" ht="14.45" customHeight="1">
      <c r="B643" s="88"/>
      <c r="C643" s="68" t="s">
        <v>202</v>
      </c>
      <c r="D643" s="69">
        <v>1</v>
      </c>
      <c r="E643" s="70">
        <v>3.3707486433000001E-5</v>
      </c>
    </row>
    <row r="644" spans="2:5" ht="14.45" customHeight="1">
      <c r="B644" s="88"/>
      <c r="C644" s="68" t="s">
        <v>203</v>
      </c>
      <c r="D644" s="69">
        <v>7</v>
      </c>
      <c r="E644" s="70">
        <v>2.35952405029E-4</v>
      </c>
    </row>
    <row r="645" spans="2:5" ht="14.45" customHeight="1">
      <c r="B645" s="88"/>
      <c r="C645" s="68" t="s">
        <v>204</v>
      </c>
      <c r="D645" s="69">
        <v>2</v>
      </c>
      <c r="E645" s="70">
        <v>6.7414972865000001E-5</v>
      </c>
    </row>
    <row r="646" spans="2:5" ht="14.45" customHeight="1">
      <c r="B646" s="88"/>
      <c r="C646" s="68" t="s">
        <v>205</v>
      </c>
      <c r="D646" s="69">
        <v>3</v>
      </c>
      <c r="E646" s="70">
        <v>1.0112245929799999E-4</v>
      </c>
    </row>
    <row r="647" spans="2:5" ht="14.45" customHeight="1">
      <c r="B647" s="88"/>
      <c r="C647" s="68" t="s">
        <v>209</v>
      </c>
      <c r="D647" s="69">
        <v>2</v>
      </c>
      <c r="E647" s="70">
        <v>6.7414972865000001E-5</v>
      </c>
    </row>
    <row r="648" spans="2:5" ht="14.45" customHeight="1">
      <c r="B648" s="88"/>
      <c r="C648" s="68" t="s">
        <v>232</v>
      </c>
      <c r="D648" s="69">
        <v>1</v>
      </c>
      <c r="E648" s="70">
        <v>3.3707486433000001E-5</v>
      </c>
    </row>
    <row r="649" spans="2:5" ht="14.45" customHeight="1">
      <c r="B649" s="88"/>
      <c r="C649" s="68" t="s">
        <v>212</v>
      </c>
      <c r="D649" s="69">
        <v>1</v>
      </c>
      <c r="E649" s="70">
        <v>3.3707486433000001E-5</v>
      </c>
    </row>
    <row r="650" spans="2:5" ht="14.45" customHeight="1">
      <c r="B650" s="88"/>
      <c r="C650" s="68" t="s">
        <v>213</v>
      </c>
      <c r="D650" s="69">
        <v>4</v>
      </c>
      <c r="E650" s="70">
        <v>1.3482994573099999E-4</v>
      </c>
    </row>
    <row r="651" spans="2:5" ht="14.45" customHeight="1">
      <c r="B651" s="88"/>
      <c r="C651" s="68" t="s">
        <v>214</v>
      </c>
      <c r="D651" s="69">
        <v>25</v>
      </c>
      <c r="E651" s="70">
        <v>8.4268716081800003E-4</v>
      </c>
    </row>
    <row r="652" spans="2:5" ht="14.45" customHeight="1">
      <c r="B652" s="88"/>
      <c r="C652" s="68" t="s">
        <v>215</v>
      </c>
      <c r="D652" s="69">
        <v>32</v>
      </c>
      <c r="E652" s="70">
        <v>1.0786395658479999E-3</v>
      </c>
    </row>
    <row r="653" spans="2:5" ht="14.45" customHeight="1">
      <c r="B653" s="88"/>
      <c r="C653" s="68" t="s">
        <v>244</v>
      </c>
      <c r="D653" s="69">
        <v>1</v>
      </c>
      <c r="E653" s="70">
        <v>3.3707486433000001E-5</v>
      </c>
    </row>
    <row r="654" spans="2:5" ht="14.45" customHeight="1">
      <c r="B654" s="88"/>
      <c r="C654" s="68" t="s">
        <v>219</v>
      </c>
      <c r="D654" s="69">
        <v>1</v>
      </c>
      <c r="E654" s="70">
        <v>3.3707486433000001E-5</v>
      </c>
    </row>
    <row r="655" spans="2:5" ht="14.45" customHeight="1">
      <c r="B655" s="88"/>
      <c r="C655" s="68" t="s">
        <v>236</v>
      </c>
      <c r="D655" s="69">
        <v>2</v>
      </c>
      <c r="E655" s="70">
        <v>6.7414972865000001E-5</v>
      </c>
    </row>
    <row r="656" spans="2:5" ht="14.45" customHeight="1">
      <c r="B656" s="88"/>
      <c r="C656" s="68" t="s">
        <v>220</v>
      </c>
      <c r="D656" s="69">
        <v>2</v>
      </c>
      <c r="E656" s="70">
        <v>6.7414972865000001E-5</v>
      </c>
    </row>
    <row r="657" spans="2:5" ht="14.45" customHeight="1">
      <c r="B657" s="88"/>
      <c r="C657" s="68" t="s">
        <v>221</v>
      </c>
      <c r="D657" s="69">
        <v>5</v>
      </c>
      <c r="E657" s="70">
        <v>1.68537432164E-4</v>
      </c>
    </row>
    <row r="658" spans="2:5" ht="14.45" customHeight="1">
      <c r="B658" s="88"/>
      <c r="C658" s="68" t="s">
        <v>222</v>
      </c>
      <c r="D658" s="69">
        <v>2</v>
      </c>
      <c r="E658" s="70">
        <v>6.7414972865000001E-5</v>
      </c>
    </row>
    <row r="659" spans="2:5" ht="14.45" customHeight="1">
      <c r="B659" s="88"/>
      <c r="C659" s="68" t="s">
        <v>225</v>
      </c>
      <c r="D659" s="69">
        <v>7</v>
      </c>
      <c r="E659" s="70">
        <v>2.35952405029E-4</v>
      </c>
    </row>
    <row r="660" spans="2:5" ht="14.45" customHeight="1">
      <c r="B660" s="88"/>
      <c r="C660" s="68" t="s">
        <v>251</v>
      </c>
      <c r="D660" s="69">
        <v>1</v>
      </c>
      <c r="E660" s="70">
        <v>3.3707486433000001E-5</v>
      </c>
    </row>
    <row r="661" spans="2:5" ht="14.45" customHeight="1">
      <c r="B661" s="88"/>
      <c r="C661" s="68" t="s">
        <v>239</v>
      </c>
      <c r="D661" s="69">
        <v>2</v>
      </c>
      <c r="E661" s="70">
        <v>6.7414972865000001E-5</v>
      </c>
    </row>
    <row r="662" spans="2:5" ht="14.45" customHeight="1">
      <c r="B662" s="88"/>
      <c r="C662" s="68" t="s">
        <v>226</v>
      </c>
      <c r="D662" s="69">
        <v>9</v>
      </c>
      <c r="E662" s="70">
        <v>3.0336737789499998E-4</v>
      </c>
    </row>
    <row r="663" spans="2:5" ht="14.45" customHeight="1">
      <c r="B663" s="88"/>
      <c r="C663" s="68" t="s">
        <v>227</v>
      </c>
      <c r="D663" s="69">
        <v>2</v>
      </c>
      <c r="E663" s="70">
        <v>6.7414972865000001E-5</v>
      </c>
    </row>
    <row r="664" spans="2:5" ht="14.45" customHeight="1">
      <c r="B664" s="88"/>
      <c r="C664" s="68" t="s">
        <v>228</v>
      </c>
      <c r="D664" s="69">
        <v>1</v>
      </c>
      <c r="E664" s="70">
        <v>3.3707486433000001E-5</v>
      </c>
    </row>
    <row r="665" spans="2:5" ht="14.45" customHeight="1">
      <c r="B665" s="88"/>
      <c r="C665" s="68" t="s">
        <v>229</v>
      </c>
      <c r="D665" s="69">
        <v>4</v>
      </c>
      <c r="E665" s="70">
        <v>1.3482994573099999E-4</v>
      </c>
    </row>
    <row r="666" spans="2:5" ht="14.45" customHeight="1">
      <c r="B666" s="88"/>
      <c r="C666" s="68" t="s">
        <v>230</v>
      </c>
      <c r="D666" s="69">
        <v>1</v>
      </c>
      <c r="E666" s="70">
        <v>3.3707486433000001E-5</v>
      </c>
    </row>
    <row r="667" spans="2:5" ht="14.45" customHeight="1">
      <c r="B667" s="88"/>
      <c r="C667" s="36" t="s">
        <v>29</v>
      </c>
      <c r="D667" s="35">
        <v>128</v>
      </c>
      <c r="E667" s="34">
        <v>4.3145582633900004E-3</v>
      </c>
    </row>
    <row r="668" spans="2:5" ht="14.45" customHeight="1">
      <c r="B668" s="88" t="s">
        <v>122</v>
      </c>
      <c r="C668" s="68" t="s">
        <v>195</v>
      </c>
      <c r="D668" s="69">
        <v>1</v>
      </c>
      <c r="E668" s="70">
        <v>3.3707486433000001E-5</v>
      </c>
    </row>
    <row r="669" spans="2:5" ht="14.45" customHeight="1">
      <c r="B669" s="88"/>
      <c r="C669" s="68" t="s">
        <v>196</v>
      </c>
      <c r="D669" s="69">
        <v>1</v>
      </c>
      <c r="E669" s="70">
        <v>3.3707486433000001E-5</v>
      </c>
    </row>
    <row r="670" spans="2:5" ht="14.45" customHeight="1">
      <c r="B670" s="88"/>
      <c r="C670" s="68" t="s">
        <v>197</v>
      </c>
      <c r="D670" s="69">
        <v>9</v>
      </c>
      <c r="E670" s="70">
        <v>3.0336737789499998E-4</v>
      </c>
    </row>
    <row r="671" spans="2:5" ht="14.45" customHeight="1">
      <c r="B671" s="88"/>
      <c r="C671" s="68" t="s">
        <v>199</v>
      </c>
      <c r="D671" s="69">
        <v>13</v>
      </c>
      <c r="E671" s="70">
        <v>4.38197323626E-4</v>
      </c>
    </row>
    <row r="672" spans="2:5" ht="14.45" customHeight="1">
      <c r="B672" s="88"/>
      <c r="C672" s="68" t="s">
        <v>201</v>
      </c>
      <c r="D672" s="69">
        <v>5</v>
      </c>
      <c r="E672" s="70">
        <v>1.68537432164E-4</v>
      </c>
    </row>
    <row r="673" spans="2:5" ht="14.45" customHeight="1">
      <c r="B673" s="88"/>
      <c r="C673" s="68" t="s">
        <v>202</v>
      </c>
      <c r="D673" s="69">
        <v>4</v>
      </c>
      <c r="E673" s="70">
        <v>1.3482994573099999E-4</v>
      </c>
    </row>
    <row r="674" spans="2:5" ht="14.45" customHeight="1">
      <c r="B674" s="88"/>
      <c r="C674" s="68" t="s">
        <v>203</v>
      </c>
      <c r="D674" s="69">
        <v>6</v>
      </c>
      <c r="E674" s="70">
        <v>2.0224491859599999E-4</v>
      </c>
    </row>
    <row r="675" spans="2:5" ht="14.45" customHeight="1">
      <c r="B675" s="88"/>
      <c r="C675" s="68" t="s">
        <v>204</v>
      </c>
      <c r="D675" s="69">
        <v>1</v>
      </c>
      <c r="E675" s="70">
        <v>3.3707486433000001E-5</v>
      </c>
    </row>
    <row r="676" spans="2:5" ht="14.45" customHeight="1">
      <c r="B676" s="88"/>
      <c r="C676" s="68" t="s">
        <v>205</v>
      </c>
      <c r="D676" s="69">
        <v>5</v>
      </c>
      <c r="E676" s="70">
        <v>1.68537432164E-4</v>
      </c>
    </row>
    <row r="677" spans="2:5" ht="14.45" customHeight="1">
      <c r="B677" s="88"/>
      <c r="C677" s="68" t="s">
        <v>243</v>
      </c>
      <c r="D677" s="69">
        <v>1</v>
      </c>
      <c r="E677" s="70">
        <v>3.3707486433000001E-5</v>
      </c>
    </row>
    <row r="678" spans="2:5" ht="14.45" customHeight="1">
      <c r="B678" s="88"/>
      <c r="C678" s="68" t="s">
        <v>209</v>
      </c>
      <c r="D678" s="69">
        <v>1</v>
      </c>
      <c r="E678" s="70">
        <v>3.3707486433000001E-5</v>
      </c>
    </row>
    <row r="679" spans="2:5" ht="14.45" customHeight="1">
      <c r="B679" s="88"/>
      <c r="C679" s="68" t="s">
        <v>211</v>
      </c>
      <c r="D679" s="69">
        <v>1</v>
      </c>
      <c r="E679" s="70">
        <v>3.3707486433000001E-5</v>
      </c>
    </row>
    <row r="680" spans="2:5" ht="14.45" customHeight="1">
      <c r="B680" s="88"/>
      <c r="C680" s="68" t="s">
        <v>212</v>
      </c>
      <c r="D680" s="69">
        <v>3</v>
      </c>
      <c r="E680" s="70">
        <v>1.0112245929799999E-4</v>
      </c>
    </row>
    <row r="681" spans="2:5" ht="14.45" customHeight="1">
      <c r="B681" s="88"/>
      <c r="C681" s="68" t="s">
        <v>213</v>
      </c>
      <c r="D681" s="69">
        <v>22</v>
      </c>
      <c r="E681" s="70">
        <v>7.4156470151999997E-4</v>
      </c>
    </row>
    <row r="682" spans="2:5" ht="14.45" customHeight="1">
      <c r="B682" s="88"/>
      <c r="C682" s="68" t="s">
        <v>214</v>
      </c>
      <c r="D682" s="69">
        <v>8</v>
      </c>
      <c r="E682" s="70">
        <v>2.6965989146199998E-4</v>
      </c>
    </row>
    <row r="683" spans="2:5" ht="14.45" customHeight="1">
      <c r="B683" s="88"/>
      <c r="C683" s="68" t="s">
        <v>234</v>
      </c>
      <c r="D683" s="69">
        <v>1</v>
      </c>
      <c r="E683" s="70">
        <v>3.3707486433000001E-5</v>
      </c>
    </row>
    <row r="684" spans="2:5" ht="14.45" customHeight="1">
      <c r="B684" s="88"/>
      <c r="C684" s="68" t="s">
        <v>215</v>
      </c>
      <c r="D684" s="69">
        <v>11</v>
      </c>
      <c r="E684" s="70">
        <v>3.7078235075999999E-4</v>
      </c>
    </row>
    <row r="685" spans="2:5" ht="14.45" customHeight="1">
      <c r="B685" s="88"/>
      <c r="C685" s="68" t="s">
        <v>244</v>
      </c>
      <c r="D685" s="69">
        <v>1</v>
      </c>
      <c r="E685" s="70">
        <v>3.3707486433000001E-5</v>
      </c>
    </row>
    <row r="686" spans="2:5" ht="14.45" customHeight="1">
      <c r="B686" s="88"/>
      <c r="C686" s="68" t="s">
        <v>216</v>
      </c>
      <c r="D686" s="69">
        <v>1</v>
      </c>
      <c r="E686" s="70">
        <v>3.3707486433000001E-5</v>
      </c>
    </row>
    <row r="687" spans="2:5" ht="14.45" customHeight="1">
      <c r="B687" s="88"/>
      <c r="C687" s="68" t="s">
        <v>217</v>
      </c>
      <c r="D687" s="69">
        <v>3</v>
      </c>
      <c r="E687" s="70">
        <v>1.0112245929799999E-4</v>
      </c>
    </row>
    <row r="688" spans="2:5" ht="14.45" customHeight="1">
      <c r="B688" s="88"/>
      <c r="C688" s="68" t="s">
        <v>218</v>
      </c>
      <c r="D688" s="69">
        <v>4</v>
      </c>
      <c r="E688" s="70">
        <v>1.3482994573099999E-4</v>
      </c>
    </row>
    <row r="689" spans="2:5" ht="14.45" customHeight="1">
      <c r="B689" s="88"/>
      <c r="C689" s="68" t="s">
        <v>220</v>
      </c>
      <c r="D689" s="69">
        <v>1</v>
      </c>
      <c r="E689" s="70">
        <v>3.3707486433000001E-5</v>
      </c>
    </row>
    <row r="690" spans="2:5" ht="14.45" customHeight="1">
      <c r="B690" s="88"/>
      <c r="C690" s="68" t="s">
        <v>221</v>
      </c>
      <c r="D690" s="69">
        <v>3</v>
      </c>
      <c r="E690" s="70">
        <v>1.0112245929799999E-4</v>
      </c>
    </row>
    <row r="691" spans="2:5" ht="14.45" customHeight="1">
      <c r="B691" s="88"/>
      <c r="C691" s="68" t="s">
        <v>222</v>
      </c>
      <c r="D691" s="69">
        <v>3</v>
      </c>
      <c r="E691" s="70">
        <v>1.0112245929799999E-4</v>
      </c>
    </row>
    <row r="692" spans="2:5" ht="14.45" customHeight="1">
      <c r="B692" s="88"/>
      <c r="C692" s="68" t="s">
        <v>250</v>
      </c>
      <c r="D692" s="69">
        <v>1</v>
      </c>
      <c r="E692" s="70">
        <v>3.3707486433000001E-5</v>
      </c>
    </row>
    <row r="693" spans="2:5" ht="14.45" customHeight="1">
      <c r="B693" s="88"/>
      <c r="C693" s="68" t="s">
        <v>224</v>
      </c>
      <c r="D693" s="69">
        <v>3</v>
      </c>
      <c r="E693" s="70">
        <v>1.0112245929799999E-4</v>
      </c>
    </row>
    <row r="694" spans="2:5" ht="14.45" customHeight="1">
      <c r="B694" s="88"/>
      <c r="C694" s="68" t="s">
        <v>225</v>
      </c>
      <c r="D694" s="69">
        <v>3</v>
      </c>
      <c r="E694" s="70">
        <v>1.0112245929799999E-4</v>
      </c>
    </row>
    <row r="695" spans="2:5" ht="14.45" customHeight="1">
      <c r="B695" s="88"/>
      <c r="C695" s="68" t="s">
        <v>240</v>
      </c>
      <c r="D695" s="69">
        <v>2</v>
      </c>
      <c r="E695" s="70">
        <v>6.7414972865000001E-5</v>
      </c>
    </row>
    <row r="696" spans="2:5" ht="14.45" customHeight="1">
      <c r="B696" s="88"/>
      <c r="C696" s="68" t="s">
        <v>226</v>
      </c>
      <c r="D696" s="69">
        <v>10</v>
      </c>
      <c r="E696" s="70">
        <v>3.3707486432699998E-4</v>
      </c>
    </row>
    <row r="697" spans="2:5" ht="14.45" customHeight="1">
      <c r="B697" s="88"/>
      <c r="C697" s="68" t="s">
        <v>247</v>
      </c>
      <c r="D697" s="69">
        <v>4</v>
      </c>
      <c r="E697" s="70">
        <v>1.3482994573099999E-4</v>
      </c>
    </row>
    <row r="698" spans="2:5" ht="14.45" customHeight="1">
      <c r="B698" s="88"/>
      <c r="C698" s="68" t="s">
        <v>229</v>
      </c>
      <c r="D698" s="69">
        <v>5</v>
      </c>
      <c r="E698" s="70">
        <v>1.68537432164E-4</v>
      </c>
    </row>
    <row r="699" spans="2:5" ht="14.45" customHeight="1">
      <c r="B699" s="88"/>
      <c r="C699" s="36" t="s">
        <v>29</v>
      </c>
      <c r="D699" s="35">
        <v>137</v>
      </c>
      <c r="E699" s="34">
        <v>4.6179256412850001E-3</v>
      </c>
    </row>
    <row r="700" spans="2:5" ht="14.45" customHeight="1">
      <c r="B700" s="88" t="s">
        <v>123</v>
      </c>
      <c r="C700" s="68" t="s">
        <v>195</v>
      </c>
      <c r="D700" s="69">
        <v>2</v>
      </c>
      <c r="E700" s="70">
        <v>6.7414972865000001E-5</v>
      </c>
    </row>
    <row r="701" spans="2:5" ht="14.45" customHeight="1">
      <c r="B701" s="88"/>
      <c r="C701" s="68" t="s">
        <v>197</v>
      </c>
      <c r="D701" s="69">
        <v>3</v>
      </c>
      <c r="E701" s="70">
        <v>1.0112245929799999E-4</v>
      </c>
    </row>
    <row r="702" spans="2:5" ht="14.45" customHeight="1">
      <c r="B702" s="88"/>
      <c r="C702" s="68" t="s">
        <v>198</v>
      </c>
      <c r="D702" s="69">
        <v>1</v>
      </c>
      <c r="E702" s="70">
        <v>3.3707486433000001E-5</v>
      </c>
    </row>
    <row r="703" spans="2:5" ht="14.45" customHeight="1">
      <c r="B703" s="88"/>
      <c r="C703" s="68" t="s">
        <v>199</v>
      </c>
      <c r="D703" s="69">
        <v>1</v>
      </c>
      <c r="E703" s="70">
        <v>3.3707486433000001E-5</v>
      </c>
    </row>
    <row r="704" spans="2:5" ht="14.45" customHeight="1">
      <c r="B704" s="88"/>
      <c r="C704" s="68" t="s">
        <v>200</v>
      </c>
      <c r="D704" s="69">
        <v>3</v>
      </c>
      <c r="E704" s="70">
        <v>1.0112245929799999E-4</v>
      </c>
    </row>
    <row r="705" spans="2:5" ht="14.45" customHeight="1">
      <c r="B705" s="88"/>
      <c r="C705" s="68" t="s">
        <v>202</v>
      </c>
      <c r="D705" s="69">
        <v>1</v>
      </c>
      <c r="E705" s="70">
        <v>3.3707486433000001E-5</v>
      </c>
    </row>
    <row r="706" spans="2:5" ht="14.45" customHeight="1">
      <c r="B706" s="88"/>
      <c r="C706" s="68" t="s">
        <v>203</v>
      </c>
      <c r="D706" s="69">
        <v>4</v>
      </c>
      <c r="E706" s="70">
        <v>1.3482994573099999E-4</v>
      </c>
    </row>
    <row r="707" spans="2:5" ht="14.45" customHeight="1">
      <c r="B707" s="88"/>
      <c r="C707" s="68" t="s">
        <v>205</v>
      </c>
      <c r="D707" s="69">
        <v>1</v>
      </c>
      <c r="E707" s="70">
        <v>3.3707486433000001E-5</v>
      </c>
    </row>
    <row r="708" spans="2:5" ht="14.45" customHeight="1">
      <c r="B708" s="88"/>
      <c r="C708" s="68" t="s">
        <v>207</v>
      </c>
      <c r="D708" s="69">
        <v>1</v>
      </c>
      <c r="E708" s="70">
        <v>3.3707486433000001E-5</v>
      </c>
    </row>
    <row r="709" spans="2:5" ht="14.45" customHeight="1">
      <c r="B709" s="88"/>
      <c r="C709" s="68" t="s">
        <v>209</v>
      </c>
      <c r="D709" s="69">
        <v>2</v>
      </c>
      <c r="E709" s="70">
        <v>6.7414972865000001E-5</v>
      </c>
    </row>
    <row r="710" spans="2:5" ht="14.45" customHeight="1">
      <c r="B710" s="88"/>
      <c r="C710" s="68" t="s">
        <v>232</v>
      </c>
      <c r="D710" s="69">
        <v>3</v>
      </c>
      <c r="E710" s="70">
        <v>1.0112245929799999E-4</v>
      </c>
    </row>
    <row r="711" spans="2:5" ht="14.45" customHeight="1">
      <c r="B711" s="88"/>
      <c r="C711" s="68" t="s">
        <v>211</v>
      </c>
      <c r="D711" s="69">
        <v>1</v>
      </c>
      <c r="E711" s="70">
        <v>3.3707486433000001E-5</v>
      </c>
    </row>
    <row r="712" spans="2:5" ht="14.45" customHeight="1">
      <c r="B712" s="88"/>
      <c r="C712" s="68" t="s">
        <v>212</v>
      </c>
      <c r="D712" s="69">
        <v>1</v>
      </c>
      <c r="E712" s="70">
        <v>3.3707486433000001E-5</v>
      </c>
    </row>
    <row r="713" spans="2:5" ht="14.45" customHeight="1">
      <c r="B713" s="88"/>
      <c r="C713" s="68" t="s">
        <v>213</v>
      </c>
      <c r="D713" s="69">
        <v>15</v>
      </c>
      <c r="E713" s="70">
        <v>5.0561229649099995E-4</v>
      </c>
    </row>
    <row r="714" spans="2:5" ht="14.45" customHeight="1">
      <c r="B714" s="88"/>
      <c r="C714" s="68" t="s">
        <v>214</v>
      </c>
      <c r="D714" s="69">
        <v>8</v>
      </c>
      <c r="E714" s="70">
        <v>2.6965989146199998E-4</v>
      </c>
    </row>
    <row r="715" spans="2:5" ht="14.45" customHeight="1">
      <c r="B715" s="88"/>
      <c r="C715" s="68" t="s">
        <v>234</v>
      </c>
      <c r="D715" s="69">
        <v>1</v>
      </c>
      <c r="E715" s="70">
        <v>3.3707486433000001E-5</v>
      </c>
    </row>
    <row r="716" spans="2:5" ht="14.45" customHeight="1">
      <c r="B716" s="88"/>
      <c r="C716" s="68" t="s">
        <v>215</v>
      </c>
      <c r="D716" s="69">
        <v>29</v>
      </c>
      <c r="E716" s="70">
        <v>9.775171065490001E-4</v>
      </c>
    </row>
    <row r="717" spans="2:5" ht="14.45" customHeight="1">
      <c r="B717" s="88"/>
      <c r="C717" s="68" t="s">
        <v>218</v>
      </c>
      <c r="D717" s="69">
        <v>8</v>
      </c>
      <c r="E717" s="70">
        <v>2.6965989146199998E-4</v>
      </c>
    </row>
    <row r="718" spans="2:5" ht="14.45" customHeight="1">
      <c r="B718" s="88"/>
      <c r="C718" s="68" t="s">
        <v>219</v>
      </c>
      <c r="D718" s="69">
        <v>1</v>
      </c>
      <c r="E718" s="70">
        <v>3.3707486433000001E-5</v>
      </c>
    </row>
    <row r="719" spans="2:5" ht="14.45" customHeight="1">
      <c r="B719" s="88"/>
      <c r="C719" s="68" t="s">
        <v>220</v>
      </c>
      <c r="D719" s="69">
        <v>1</v>
      </c>
      <c r="E719" s="70">
        <v>3.3707486433000001E-5</v>
      </c>
    </row>
    <row r="720" spans="2:5" ht="14.45" customHeight="1">
      <c r="B720" s="88"/>
      <c r="C720" s="68" t="s">
        <v>221</v>
      </c>
      <c r="D720" s="69">
        <v>2</v>
      </c>
      <c r="E720" s="70">
        <v>6.7414972865000001E-5</v>
      </c>
    </row>
    <row r="721" spans="2:5" ht="14.45" customHeight="1">
      <c r="B721" s="88"/>
      <c r="C721" s="68" t="s">
        <v>222</v>
      </c>
      <c r="D721" s="69">
        <v>2</v>
      </c>
      <c r="E721" s="70">
        <v>6.7414972865000001E-5</v>
      </c>
    </row>
    <row r="722" spans="2:5" ht="14.45" customHeight="1">
      <c r="B722" s="88"/>
      <c r="C722" s="68" t="s">
        <v>250</v>
      </c>
      <c r="D722" s="69">
        <v>1</v>
      </c>
      <c r="E722" s="70">
        <v>3.3707486433000001E-5</v>
      </c>
    </row>
    <row r="723" spans="2:5" ht="14.45" customHeight="1">
      <c r="B723" s="88"/>
      <c r="C723" s="68" t="s">
        <v>225</v>
      </c>
      <c r="D723" s="69">
        <v>10</v>
      </c>
      <c r="E723" s="70">
        <v>3.3707486432699998E-4</v>
      </c>
    </row>
    <row r="724" spans="2:5" ht="14.45" customHeight="1">
      <c r="B724" s="88"/>
      <c r="C724" s="68" t="s">
        <v>240</v>
      </c>
      <c r="D724" s="69">
        <v>1</v>
      </c>
      <c r="E724" s="70">
        <v>3.3707486433000001E-5</v>
      </c>
    </row>
    <row r="725" spans="2:5" ht="14.45" customHeight="1">
      <c r="B725" s="88"/>
      <c r="C725" s="68" t="s">
        <v>246</v>
      </c>
      <c r="D725" s="69">
        <v>1</v>
      </c>
      <c r="E725" s="70">
        <v>3.3707486433000001E-5</v>
      </c>
    </row>
    <row r="726" spans="2:5" ht="14.45" customHeight="1">
      <c r="B726" s="88"/>
      <c r="C726" s="68" t="s">
        <v>226</v>
      </c>
      <c r="D726" s="69">
        <v>4</v>
      </c>
      <c r="E726" s="70">
        <v>1.3482994573099999E-4</v>
      </c>
    </row>
    <row r="727" spans="2:5" ht="14.45" customHeight="1">
      <c r="B727" s="88"/>
      <c r="C727" s="68" t="s">
        <v>228</v>
      </c>
      <c r="D727" s="69">
        <v>2</v>
      </c>
      <c r="E727" s="70">
        <v>6.7414972865000001E-5</v>
      </c>
    </row>
    <row r="728" spans="2:5" ht="14.45" customHeight="1">
      <c r="B728" s="88"/>
      <c r="C728" s="68" t="s">
        <v>229</v>
      </c>
      <c r="D728" s="69">
        <v>9</v>
      </c>
      <c r="E728" s="70">
        <v>3.0336737789499998E-4</v>
      </c>
    </row>
    <row r="729" spans="2:5" ht="14.45" customHeight="1">
      <c r="B729" s="88"/>
      <c r="C729" s="68" t="s">
        <v>230</v>
      </c>
      <c r="D729" s="69">
        <v>1</v>
      </c>
      <c r="E729" s="70">
        <v>3.3707486433000001E-5</v>
      </c>
    </row>
    <row r="730" spans="2:5" ht="14.45" customHeight="1">
      <c r="B730" s="88"/>
      <c r="C730" s="36" t="s">
        <v>29</v>
      </c>
      <c r="D730" s="35">
        <v>120</v>
      </c>
      <c r="E730" s="34">
        <v>4.0448983719279996E-3</v>
      </c>
    </row>
    <row r="731" spans="2:5" ht="14.45" customHeight="1">
      <c r="B731" s="88" t="s">
        <v>124</v>
      </c>
      <c r="C731" s="68" t="s">
        <v>203</v>
      </c>
      <c r="D731" s="69">
        <v>1</v>
      </c>
      <c r="E731" s="70">
        <v>3.3707486433000001E-5</v>
      </c>
    </row>
    <row r="732" spans="2:5" ht="14.45" customHeight="1">
      <c r="B732" s="88"/>
      <c r="C732" s="68" t="s">
        <v>205</v>
      </c>
      <c r="D732" s="69">
        <v>1</v>
      </c>
      <c r="E732" s="70">
        <v>3.3707486433000001E-5</v>
      </c>
    </row>
    <row r="733" spans="2:5" ht="14.45" customHeight="1">
      <c r="B733" s="88"/>
      <c r="C733" s="68" t="s">
        <v>232</v>
      </c>
      <c r="D733" s="69">
        <v>2</v>
      </c>
      <c r="E733" s="70">
        <v>6.7414972865000001E-5</v>
      </c>
    </row>
    <row r="734" spans="2:5" ht="14.45" customHeight="1">
      <c r="B734" s="88"/>
      <c r="C734" s="68" t="s">
        <v>214</v>
      </c>
      <c r="D734" s="69">
        <v>2</v>
      </c>
      <c r="E734" s="70">
        <v>6.7414972865000001E-5</v>
      </c>
    </row>
    <row r="735" spans="2:5" ht="14.45" customHeight="1">
      <c r="B735" s="88"/>
      <c r="C735" s="68" t="s">
        <v>215</v>
      </c>
      <c r="D735" s="69">
        <v>1</v>
      </c>
      <c r="E735" s="70">
        <v>3.3707486433000001E-5</v>
      </c>
    </row>
    <row r="736" spans="2:5" ht="14.45" customHeight="1">
      <c r="B736" s="88"/>
      <c r="C736" s="68" t="s">
        <v>226</v>
      </c>
      <c r="D736" s="69">
        <v>2</v>
      </c>
      <c r="E736" s="70">
        <v>6.7414972865000001E-5</v>
      </c>
    </row>
    <row r="737" spans="2:5" ht="14.45" customHeight="1">
      <c r="B737" s="88"/>
      <c r="C737" s="68" t="s">
        <v>229</v>
      </c>
      <c r="D737" s="69">
        <v>1</v>
      </c>
      <c r="E737" s="70">
        <v>3.3707486433000001E-5</v>
      </c>
    </row>
    <row r="738" spans="2:5" ht="14.45" customHeight="1">
      <c r="B738" s="88"/>
      <c r="C738" s="36" t="s">
        <v>29</v>
      </c>
      <c r="D738" s="35">
        <v>10</v>
      </c>
      <c r="E738" s="34">
        <v>3.3707486432699998E-4</v>
      </c>
    </row>
    <row r="739" spans="2:5" ht="14.45" customHeight="1">
      <c r="B739" s="88" t="s">
        <v>125</v>
      </c>
      <c r="C739" s="68" t="s">
        <v>197</v>
      </c>
      <c r="D739" s="69">
        <v>1</v>
      </c>
      <c r="E739" s="70">
        <v>3.3707486433000001E-5</v>
      </c>
    </row>
    <row r="740" spans="2:5" ht="14.45" customHeight="1">
      <c r="B740" s="88"/>
      <c r="C740" s="68" t="s">
        <v>199</v>
      </c>
      <c r="D740" s="69">
        <v>15</v>
      </c>
      <c r="E740" s="70">
        <v>5.0561229649099995E-4</v>
      </c>
    </row>
    <row r="741" spans="2:5" ht="14.45" customHeight="1">
      <c r="B741" s="88"/>
      <c r="C741" s="68" t="s">
        <v>200</v>
      </c>
      <c r="D741" s="69">
        <v>4</v>
      </c>
      <c r="E741" s="70">
        <v>1.3482994573099999E-4</v>
      </c>
    </row>
    <row r="742" spans="2:5" ht="14.45" customHeight="1">
      <c r="B742" s="88"/>
      <c r="C742" s="68" t="s">
        <v>202</v>
      </c>
      <c r="D742" s="69">
        <v>4</v>
      </c>
      <c r="E742" s="70">
        <v>1.3482994573099999E-4</v>
      </c>
    </row>
    <row r="743" spans="2:5" ht="14.45" customHeight="1">
      <c r="B743" s="88"/>
      <c r="C743" s="68" t="s">
        <v>205</v>
      </c>
      <c r="D743" s="69">
        <v>1</v>
      </c>
      <c r="E743" s="70">
        <v>3.3707486433000001E-5</v>
      </c>
    </row>
    <row r="744" spans="2:5" ht="14.45" customHeight="1">
      <c r="B744" s="88"/>
      <c r="C744" s="68" t="s">
        <v>232</v>
      </c>
      <c r="D744" s="69">
        <v>1</v>
      </c>
      <c r="E744" s="70">
        <v>3.3707486433000001E-5</v>
      </c>
    </row>
    <row r="745" spans="2:5" ht="14.45" customHeight="1">
      <c r="B745" s="88"/>
      <c r="C745" s="68" t="s">
        <v>213</v>
      </c>
      <c r="D745" s="69">
        <v>9</v>
      </c>
      <c r="E745" s="70">
        <v>3.0336737789499998E-4</v>
      </c>
    </row>
    <row r="746" spans="2:5" ht="14.45" customHeight="1">
      <c r="B746" s="88"/>
      <c r="C746" s="68" t="s">
        <v>214</v>
      </c>
      <c r="D746" s="69">
        <v>3</v>
      </c>
      <c r="E746" s="70">
        <v>1.0112245929799999E-4</v>
      </c>
    </row>
    <row r="747" spans="2:5" ht="14.45" customHeight="1">
      <c r="B747" s="88"/>
      <c r="C747" s="68" t="s">
        <v>215</v>
      </c>
      <c r="D747" s="69">
        <v>7</v>
      </c>
      <c r="E747" s="70">
        <v>2.35952405029E-4</v>
      </c>
    </row>
    <row r="748" spans="2:5" ht="14.45" customHeight="1">
      <c r="B748" s="88"/>
      <c r="C748" s="68" t="s">
        <v>216</v>
      </c>
      <c r="D748" s="69">
        <v>1</v>
      </c>
      <c r="E748" s="70">
        <v>3.3707486433000001E-5</v>
      </c>
    </row>
    <row r="749" spans="2:5" ht="14.45" customHeight="1">
      <c r="B749" s="88"/>
      <c r="C749" s="68" t="s">
        <v>219</v>
      </c>
      <c r="D749" s="69">
        <v>6</v>
      </c>
      <c r="E749" s="70">
        <v>2.0224491859599999E-4</v>
      </c>
    </row>
    <row r="750" spans="2:5" ht="14.45" customHeight="1">
      <c r="B750" s="88"/>
      <c r="C750" s="68" t="s">
        <v>236</v>
      </c>
      <c r="D750" s="69">
        <v>1</v>
      </c>
      <c r="E750" s="70">
        <v>3.3707486433000001E-5</v>
      </c>
    </row>
    <row r="751" spans="2:5" ht="14.45" customHeight="1">
      <c r="B751" s="88"/>
      <c r="C751" s="68" t="s">
        <v>226</v>
      </c>
      <c r="D751" s="69">
        <v>3</v>
      </c>
      <c r="E751" s="70">
        <v>1.0112245929799999E-4</v>
      </c>
    </row>
    <row r="752" spans="2:5" ht="14.45" customHeight="1">
      <c r="B752" s="88"/>
      <c r="C752" s="68" t="s">
        <v>227</v>
      </c>
      <c r="D752" s="69">
        <v>1</v>
      </c>
      <c r="E752" s="70">
        <v>3.3707486433000001E-5</v>
      </c>
    </row>
    <row r="753" spans="2:5" ht="14.45" customHeight="1">
      <c r="B753" s="88"/>
      <c r="C753" s="68" t="s">
        <v>228</v>
      </c>
      <c r="D753" s="69">
        <v>4</v>
      </c>
      <c r="E753" s="70">
        <v>1.3482994573099999E-4</v>
      </c>
    </row>
    <row r="754" spans="2:5" ht="14.45" customHeight="1">
      <c r="B754" s="88"/>
      <c r="C754" s="68" t="s">
        <v>247</v>
      </c>
      <c r="D754" s="69">
        <v>19</v>
      </c>
      <c r="E754" s="70">
        <v>6.4044224222200002E-4</v>
      </c>
    </row>
    <row r="755" spans="2:5" ht="14.45" customHeight="1">
      <c r="B755" s="88"/>
      <c r="C755" s="36" t="s">
        <v>29</v>
      </c>
      <c r="D755" s="35">
        <v>80</v>
      </c>
      <c r="E755" s="34">
        <v>2.696598914619E-3</v>
      </c>
    </row>
    <row r="756" spans="2:5" ht="14.45" customHeight="1">
      <c r="B756" s="88" t="s">
        <v>126</v>
      </c>
      <c r="C756" s="68" t="s">
        <v>200</v>
      </c>
      <c r="D756" s="69">
        <v>12</v>
      </c>
      <c r="E756" s="70">
        <v>4.0448983719299999E-4</v>
      </c>
    </row>
    <row r="757" spans="2:5" ht="14.45" customHeight="1">
      <c r="B757" s="88"/>
      <c r="C757" s="68" t="s">
        <v>203</v>
      </c>
      <c r="D757" s="69">
        <v>2</v>
      </c>
      <c r="E757" s="70">
        <v>6.7414972865000001E-5</v>
      </c>
    </row>
    <row r="758" spans="2:5" ht="14.45" customHeight="1">
      <c r="B758" s="88"/>
      <c r="C758" s="68" t="s">
        <v>209</v>
      </c>
      <c r="D758" s="69">
        <v>3</v>
      </c>
      <c r="E758" s="70">
        <v>1.0112245929799999E-4</v>
      </c>
    </row>
    <row r="759" spans="2:5" ht="14.45" customHeight="1">
      <c r="B759" s="88"/>
      <c r="C759" s="68" t="s">
        <v>210</v>
      </c>
      <c r="D759" s="69">
        <v>2</v>
      </c>
      <c r="E759" s="70">
        <v>6.7414972865000001E-5</v>
      </c>
    </row>
    <row r="760" spans="2:5" ht="14.45" customHeight="1">
      <c r="B760" s="88"/>
      <c r="C760" s="68" t="s">
        <v>232</v>
      </c>
      <c r="D760" s="69">
        <v>1</v>
      </c>
      <c r="E760" s="70">
        <v>3.3707486433000001E-5</v>
      </c>
    </row>
    <row r="761" spans="2:5" ht="14.45" customHeight="1">
      <c r="B761" s="88"/>
      <c r="C761" s="68" t="s">
        <v>212</v>
      </c>
      <c r="D761" s="69">
        <v>1</v>
      </c>
      <c r="E761" s="70">
        <v>3.3707486433000001E-5</v>
      </c>
    </row>
    <row r="762" spans="2:5" ht="14.45" customHeight="1">
      <c r="B762" s="88"/>
      <c r="C762" s="68" t="s">
        <v>213</v>
      </c>
      <c r="D762" s="69">
        <v>4</v>
      </c>
      <c r="E762" s="70">
        <v>1.3482994573099999E-4</v>
      </c>
    </row>
    <row r="763" spans="2:5" ht="14.45" customHeight="1">
      <c r="B763" s="88"/>
      <c r="C763" s="68" t="s">
        <v>214</v>
      </c>
      <c r="D763" s="69">
        <v>12</v>
      </c>
      <c r="E763" s="70">
        <v>4.0448983719299999E-4</v>
      </c>
    </row>
    <row r="764" spans="2:5" ht="14.45" customHeight="1">
      <c r="B764" s="88"/>
      <c r="C764" s="68" t="s">
        <v>234</v>
      </c>
      <c r="D764" s="69">
        <v>1</v>
      </c>
      <c r="E764" s="70">
        <v>3.3707486433000001E-5</v>
      </c>
    </row>
    <row r="765" spans="2:5" ht="14.45" customHeight="1">
      <c r="B765" s="88"/>
      <c r="C765" s="68" t="s">
        <v>215</v>
      </c>
      <c r="D765" s="69">
        <v>27</v>
      </c>
      <c r="E765" s="70">
        <v>9.1010213368400005E-4</v>
      </c>
    </row>
    <row r="766" spans="2:5" ht="14.45" customHeight="1">
      <c r="B766" s="88"/>
      <c r="C766" s="68" t="s">
        <v>235</v>
      </c>
      <c r="D766" s="69">
        <v>1</v>
      </c>
      <c r="E766" s="70">
        <v>3.3707486433000001E-5</v>
      </c>
    </row>
    <row r="767" spans="2:5" ht="14.45" customHeight="1">
      <c r="B767" s="88"/>
      <c r="C767" s="68" t="s">
        <v>244</v>
      </c>
      <c r="D767" s="69">
        <v>1</v>
      </c>
      <c r="E767" s="70">
        <v>3.3707486433000001E-5</v>
      </c>
    </row>
    <row r="768" spans="2:5" ht="14.45" customHeight="1">
      <c r="B768" s="88"/>
      <c r="C768" s="68" t="s">
        <v>218</v>
      </c>
      <c r="D768" s="69">
        <v>6</v>
      </c>
      <c r="E768" s="70">
        <v>2.0224491859599999E-4</v>
      </c>
    </row>
    <row r="769" spans="2:5" ht="14.45" customHeight="1">
      <c r="B769" s="88"/>
      <c r="C769" s="68" t="s">
        <v>219</v>
      </c>
      <c r="D769" s="69">
        <v>28</v>
      </c>
      <c r="E769" s="70">
        <v>9.4380962011699995E-4</v>
      </c>
    </row>
    <row r="770" spans="2:5" ht="14.45" customHeight="1">
      <c r="B770" s="88"/>
      <c r="C770" s="68" t="s">
        <v>220</v>
      </c>
      <c r="D770" s="69">
        <v>1</v>
      </c>
      <c r="E770" s="70">
        <v>3.3707486433000001E-5</v>
      </c>
    </row>
    <row r="771" spans="2:5" ht="14.45" customHeight="1">
      <c r="B771" s="88"/>
      <c r="C771" s="68" t="s">
        <v>221</v>
      </c>
      <c r="D771" s="69">
        <v>4</v>
      </c>
      <c r="E771" s="70">
        <v>1.3482994573099999E-4</v>
      </c>
    </row>
    <row r="772" spans="2:5" ht="14.45" customHeight="1">
      <c r="B772" s="88"/>
      <c r="C772" s="68" t="s">
        <v>222</v>
      </c>
      <c r="D772" s="69">
        <v>2</v>
      </c>
      <c r="E772" s="70">
        <v>6.7414972865000001E-5</v>
      </c>
    </row>
    <row r="773" spans="2:5" ht="14.45" customHeight="1">
      <c r="B773" s="88"/>
      <c r="C773" s="68" t="s">
        <v>250</v>
      </c>
      <c r="D773" s="69">
        <v>1</v>
      </c>
      <c r="E773" s="70">
        <v>3.3707486433000001E-5</v>
      </c>
    </row>
    <row r="774" spans="2:5" ht="14.45" customHeight="1">
      <c r="B774" s="88"/>
      <c r="C774" s="68" t="s">
        <v>225</v>
      </c>
      <c r="D774" s="69">
        <v>3</v>
      </c>
      <c r="E774" s="70">
        <v>1.0112245929799999E-4</v>
      </c>
    </row>
    <row r="775" spans="2:5" ht="14.45" customHeight="1">
      <c r="B775" s="88"/>
      <c r="C775" s="68" t="s">
        <v>246</v>
      </c>
      <c r="D775" s="69">
        <v>1</v>
      </c>
      <c r="E775" s="70">
        <v>3.3707486433000001E-5</v>
      </c>
    </row>
    <row r="776" spans="2:5" ht="14.45" customHeight="1">
      <c r="B776" s="88"/>
      <c r="C776" s="68" t="s">
        <v>226</v>
      </c>
      <c r="D776" s="69">
        <v>26</v>
      </c>
      <c r="E776" s="70">
        <v>8.7639464725100004E-4</v>
      </c>
    </row>
    <row r="777" spans="2:5" ht="14.45" customHeight="1">
      <c r="B777" s="88"/>
      <c r="C777" s="68" t="s">
        <v>229</v>
      </c>
      <c r="D777" s="69">
        <v>1</v>
      </c>
      <c r="E777" s="70">
        <v>3.3707486433000001E-5</v>
      </c>
    </row>
    <row r="778" spans="2:5" ht="14.45" customHeight="1">
      <c r="B778" s="88"/>
      <c r="C778" s="68" t="s">
        <v>230</v>
      </c>
      <c r="D778" s="69">
        <v>1</v>
      </c>
      <c r="E778" s="70">
        <v>3.3707486433000001E-5</v>
      </c>
    </row>
    <row r="779" spans="2:5" ht="14.45" customHeight="1">
      <c r="B779" s="88"/>
      <c r="C779" s="36" t="s">
        <v>29</v>
      </c>
      <c r="D779" s="35">
        <v>141</v>
      </c>
      <c r="E779" s="34">
        <v>4.752755587016E-3</v>
      </c>
    </row>
    <row r="780" spans="2:5" ht="14.45" customHeight="1">
      <c r="B780" s="88" t="s">
        <v>127</v>
      </c>
      <c r="C780" s="68" t="s">
        <v>203</v>
      </c>
      <c r="D780" s="69">
        <v>2</v>
      </c>
      <c r="E780" s="70">
        <v>6.7414972865000001E-5</v>
      </c>
    </row>
    <row r="781" spans="2:5" ht="14.45" customHeight="1">
      <c r="B781" s="88"/>
      <c r="C781" s="36" t="s">
        <v>29</v>
      </c>
      <c r="D781" s="35">
        <v>2</v>
      </c>
      <c r="E781" s="34">
        <v>6.7414972865000001E-5</v>
      </c>
    </row>
    <row r="782" spans="2:5" ht="14.45" customHeight="1">
      <c r="B782" s="88" t="s">
        <v>128</v>
      </c>
      <c r="C782" s="68" t="s">
        <v>197</v>
      </c>
      <c r="D782" s="69">
        <v>1</v>
      </c>
      <c r="E782" s="70">
        <v>3.3707486433000001E-5</v>
      </c>
    </row>
    <row r="783" spans="2:5" ht="14.45" customHeight="1">
      <c r="B783" s="88"/>
      <c r="C783" s="68" t="s">
        <v>199</v>
      </c>
      <c r="D783" s="69">
        <v>1</v>
      </c>
      <c r="E783" s="70">
        <v>3.3707486433000001E-5</v>
      </c>
    </row>
    <row r="784" spans="2:5" ht="14.45" customHeight="1">
      <c r="B784" s="88"/>
      <c r="C784" s="68" t="s">
        <v>201</v>
      </c>
      <c r="D784" s="69">
        <v>1</v>
      </c>
      <c r="E784" s="70">
        <v>3.3707486433000001E-5</v>
      </c>
    </row>
    <row r="785" spans="2:5" ht="14.45" customHeight="1">
      <c r="B785" s="88"/>
      <c r="C785" s="68" t="s">
        <v>203</v>
      </c>
      <c r="D785" s="69">
        <v>3</v>
      </c>
      <c r="E785" s="70">
        <v>1.0112245929799999E-4</v>
      </c>
    </row>
    <row r="786" spans="2:5" ht="14.45" customHeight="1">
      <c r="B786" s="88"/>
      <c r="C786" s="68" t="s">
        <v>205</v>
      </c>
      <c r="D786" s="69">
        <v>1</v>
      </c>
      <c r="E786" s="70">
        <v>3.3707486433000001E-5</v>
      </c>
    </row>
    <row r="787" spans="2:5" ht="14.45" customHeight="1">
      <c r="B787" s="88"/>
      <c r="C787" s="68" t="s">
        <v>208</v>
      </c>
      <c r="D787" s="69">
        <v>1</v>
      </c>
      <c r="E787" s="70">
        <v>3.3707486433000001E-5</v>
      </c>
    </row>
    <row r="788" spans="2:5" ht="14.45" customHeight="1">
      <c r="B788" s="88"/>
      <c r="C788" s="68" t="s">
        <v>213</v>
      </c>
      <c r="D788" s="69">
        <v>3</v>
      </c>
      <c r="E788" s="70">
        <v>1.0112245929799999E-4</v>
      </c>
    </row>
    <row r="789" spans="2:5" ht="14.45" customHeight="1">
      <c r="B789" s="88"/>
      <c r="C789" s="68" t="s">
        <v>57</v>
      </c>
      <c r="D789" s="69">
        <v>1</v>
      </c>
      <c r="E789" s="70">
        <v>3.3707486433000001E-5</v>
      </c>
    </row>
    <row r="790" spans="2:5" ht="14.45" customHeight="1">
      <c r="B790" s="88"/>
      <c r="C790" s="68" t="s">
        <v>215</v>
      </c>
      <c r="D790" s="69">
        <v>5</v>
      </c>
      <c r="E790" s="70">
        <v>1.68537432164E-4</v>
      </c>
    </row>
    <row r="791" spans="2:5" ht="14.45" customHeight="1">
      <c r="B791" s="88"/>
      <c r="C791" s="68" t="s">
        <v>235</v>
      </c>
      <c r="D791" s="69">
        <v>1</v>
      </c>
      <c r="E791" s="70">
        <v>3.3707486433000001E-5</v>
      </c>
    </row>
    <row r="792" spans="2:5" ht="14.45" customHeight="1">
      <c r="B792" s="88"/>
      <c r="C792" s="68" t="s">
        <v>244</v>
      </c>
      <c r="D792" s="69">
        <v>1</v>
      </c>
      <c r="E792" s="70">
        <v>3.3707486433000001E-5</v>
      </c>
    </row>
    <row r="793" spans="2:5" ht="14.45" customHeight="1">
      <c r="B793" s="88"/>
      <c r="C793" s="68" t="s">
        <v>221</v>
      </c>
      <c r="D793" s="69">
        <v>3</v>
      </c>
      <c r="E793" s="70">
        <v>1.0112245929799999E-4</v>
      </c>
    </row>
    <row r="794" spans="2:5" ht="14.45" customHeight="1">
      <c r="B794" s="88"/>
      <c r="C794" s="68" t="s">
        <v>245</v>
      </c>
      <c r="D794" s="69">
        <v>1</v>
      </c>
      <c r="E794" s="70">
        <v>3.3707486433000001E-5</v>
      </c>
    </row>
    <row r="795" spans="2:5" ht="14.45" customHeight="1">
      <c r="B795" s="88"/>
      <c r="C795" s="68" t="s">
        <v>223</v>
      </c>
      <c r="D795" s="69">
        <v>1</v>
      </c>
      <c r="E795" s="70">
        <v>3.3707486433000001E-5</v>
      </c>
    </row>
    <row r="796" spans="2:5" ht="14.45" customHeight="1">
      <c r="B796" s="88"/>
      <c r="C796" s="68" t="s">
        <v>225</v>
      </c>
      <c r="D796" s="69">
        <v>1</v>
      </c>
      <c r="E796" s="70">
        <v>3.3707486433000001E-5</v>
      </c>
    </row>
    <row r="797" spans="2:5" ht="14.45" customHeight="1">
      <c r="B797" s="88"/>
      <c r="C797" s="68" t="s">
        <v>251</v>
      </c>
      <c r="D797" s="69">
        <v>1</v>
      </c>
      <c r="E797" s="70">
        <v>3.3707486433000001E-5</v>
      </c>
    </row>
    <row r="798" spans="2:5" ht="14.45" customHeight="1">
      <c r="B798" s="88"/>
      <c r="C798" s="68" t="s">
        <v>238</v>
      </c>
      <c r="D798" s="69">
        <v>1</v>
      </c>
      <c r="E798" s="70">
        <v>3.3707486433000001E-5</v>
      </c>
    </row>
    <row r="799" spans="2:5" ht="14.45" customHeight="1">
      <c r="B799" s="88"/>
      <c r="C799" s="68" t="s">
        <v>229</v>
      </c>
      <c r="D799" s="69">
        <v>5</v>
      </c>
      <c r="E799" s="70">
        <v>1.68537432164E-4</v>
      </c>
    </row>
    <row r="800" spans="2:5" ht="14.45" customHeight="1">
      <c r="B800" s="88"/>
      <c r="C800" s="36" t="s">
        <v>29</v>
      </c>
      <c r="D800" s="35">
        <v>32</v>
      </c>
      <c r="E800" s="34">
        <v>1.0786395658479999E-3</v>
      </c>
    </row>
    <row r="801" spans="2:5" ht="14.45" customHeight="1">
      <c r="B801" s="88" t="s">
        <v>129</v>
      </c>
      <c r="C801" s="68" t="s">
        <v>200</v>
      </c>
      <c r="D801" s="69">
        <v>4</v>
      </c>
      <c r="E801" s="70">
        <v>1.3482994573099999E-4</v>
      </c>
    </row>
    <row r="802" spans="2:5" ht="14.45" customHeight="1">
      <c r="B802" s="88"/>
      <c r="C802" s="68" t="s">
        <v>203</v>
      </c>
      <c r="D802" s="69">
        <v>3</v>
      </c>
      <c r="E802" s="70">
        <v>1.0112245929799999E-4</v>
      </c>
    </row>
    <row r="803" spans="2:5" ht="14.45" customHeight="1">
      <c r="B803" s="88"/>
      <c r="C803" s="68" t="s">
        <v>204</v>
      </c>
      <c r="D803" s="69">
        <v>1</v>
      </c>
      <c r="E803" s="70">
        <v>3.3707486433000001E-5</v>
      </c>
    </row>
    <row r="804" spans="2:5" ht="14.45" customHeight="1">
      <c r="B804" s="88"/>
      <c r="C804" s="68" t="s">
        <v>205</v>
      </c>
      <c r="D804" s="69">
        <v>1</v>
      </c>
      <c r="E804" s="70">
        <v>3.3707486433000001E-5</v>
      </c>
    </row>
    <row r="805" spans="2:5" ht="14.45" customHeight="1">
      <c r="B805" s="88"/>
      <c r="C805" s="68" t="s">
        <v>209</v>
      </c>
      <c r="D805" s="69">
        <v>2</v>
      </c>
      <c r="E805" s="70">
        <v>6.7414972865000001E-5</v>
      </c>
    </row>
    <row r="806" spans="2:5" ht="14.45" customHeight="1">
      <c r="B806" s="88"/>
      <c r="C806" s="68" t="s">
        <v>233</v>
      </c>
      <c r="D806" s="69">
        <v>1</v>
      </c>
      <c r="E806" s="70">
        <v>3.3707486433000001E-5</v>
      </c>
    </row>
    <row r="807" spans="2:5" ht="14.45" customHeight="1">
      <c r="B807" s="88"/>
      <c r="C807" s="68" t="s">
        <v>214</v>
      </c>
      <c r="D807" s="69">
        <v>1</v>
      </c>
      <c r="E807" s="70">
        <v>3.3707486433000001E-5</v>
      </c>
    </row>
    <row r="808" spans="2:5" ht="14.45" customHeight="1">
      <c r="B808" s="88"/>
      <c r="C808" s="68" t="s">
        <v>234</v>
      </c>
      <c r="D808" s="69">
        <v>1</v>
      </c>
      <c r="E808" s="70">
        <v>3.3707486433000001E-5</v>
      </c>
    </row>
    <row r="809" spans="2:5" ht="14.45" customHeight="1">
      <c r="B809" s="88"/>
      <c r="C809" s="68" t="s">
        <v>215</v>
      </c>
      <c r="D809" s="69">
        <v>7</v>
      </c>
      <c r="E809" s="70">
        <v>2.35952405029E-4</v>
      </c>
    </row>
    <row r="810" spans="2:5" ht="14.45" customHeight="1">
      <c r="B810" s="88"/>
      <c r="C810" s="68" t="s">
        <v>244</v>
      </c>
      <c r="D810" s="69">
        <v>1</v>
      </c>
      <c r="E810" s="70">
        <v>3.3707486433000001E-5</v>
      </c>
    </row>
    <row r="811" spans="2:5" ht="14.45" customHeight="1">
      <c r="B811" s="88"/>
      <c r="C811" s="68" t="s">
        <v>217</v>
      </c>
      <c r="D811" s="69">
        <v>2</v>
      </c>
      <c r="E811" s="70">
        <v>6.7414972865000001E-5</v>
      </c>
    </row>
    <row r="812" spans="2:5" ht="14.45" customHeight="1">
      <c r="B812" s="88"/>
      <c r="C812" s="68" t="s">
        <v>219</v>
      </c>
      <c r="D812" s="69">
        <v>29</v>
      </c>
      <c r="E812" s="70">
        <v>9.775171065490001E-4</v>
      </c>
    </row>
    <row r="813" spans="2:5" ht="14.45" customHeight="1">
      <c r="B813" s="88"/>
      <c r="C813" s="68" t="s">
        <v>226</v>
      </c>
      <c r="D813" s="69">
        <v>4</v>
      </c>
      <c r="E813" s="70">
        <v>1.3482994573099999E-4</v>
      </c>
    </row>
    <row r="814" spans="2:5" ht="14.45" customHeight="1">
      <c r="B814" s="88"/>
      <c r="C814" s="36" t="s">
        <v>29</v>
      </c>
      <c r="D814" s="35">
        <v>57</v>
      </c>
      <c r="E814" s="34">
        <v>1.9213267266660001E-3</v>
      </c>
    </row>
    <row r="815" spans="2:5" ht="14.45" customHeight="1">
      <c r="B815" s="88" t="s">
        <v>130</v>
      </c>
      <c r="C815" s="68" t="s">
        <v>196</v>
      </c>
      <c r="D815" s="69">
        <v>1</v>
      </c>
      <c r="E815" s="70">
        <v>3.3707486433000001E-5</v>
      </c>
    </row>
    <row r="816" spans="2:5" ht="14.45" customHeight="1">
      <c r="B816" s="88"/>
      <c r="C816" s="68" t="s">
        <v>200</v>
      </c>
      <c r="D816" s="69">
        <v>1</v>
      </c>
      <c r="E816" s="70">
        <v>3.3707486433000001E-5</v>
      </c>
    </row>
    <row r="817" spans="2:5" ht="14.45" customHeight="1">
      <c r="B817" s="88"/>
      <c r="C817" s="68" t="s">
        <v>203</v>
      </c>
      <c r="D817" s="69">
        <v>2</v>
      </c>
      <c r="E817" s="70">
        <v>6.7414972865000001E-5</v>
      </c>
    </row>
    <row r="818" spans="2:5" ht="14.45" customHeight="1">
      <c r="B818" s="88"/>
      <c r="C818" s="68" t="s">
        <v>204</v>
      </c>
      <c r="D818" s="69">
        <v>1</v>
      </c>
      <c r="E818" s="70">
        <v>3.3707486433000001E-5</v>
      </c>
    </row>
    <row r="819" spans="2:5" ht="14.45" customHeight="1">
      <c r="B819" s="88"/>
      <c r="C819" s="68" t="s">
        <v>205</v>
      </c>
      <c r="D819" s="69">
        <v>2</v>
      </c>
      <c r="E819" s="70">
        <v>6.7414972865000001E-5</v>
      </c>
    </row>
    <row r="820" spans="2:5" ht="14.45" customHeight="1">
      <c r="B820" s="88"/>
      <c r="C820" s="68" t="s">
        <v>209</v>
      </c>
      <c r="D820" s="69">
        <v>2</v>
      </c>
      <c r="E820" s="70">
        <v>6.7414972865000001E-5</v>
      </c>
    </row>
    <row r="821" spans="2:5" ht="14.45" customHeight="1">
      <c r="B821" s="88"/>
      <c r="C821" s="68" t="s">
        <v>212</v>
      </c>
      <c r="D821" s="69">
        <v>1</v>
      </c>
      <c r="E821" s="70">
        <v>3.3707486433000001E-5</v>
      </c>
    </row>
    <row r="822" spans="2:5" ht="14.45" customHeight="1">
      <c r="B822" s="88"/>
      <c r="C822" s="68" t="s">
        <v>213</v>
      </c>
      <c r="D822" s="69">
        <v>3</v>
      </c>
      <c r="E822" s="70">
        <v>1.0112245929799999E-4</v>
      </c>
    </row>
    <row r="823" spans="2:5" ht="14.45" customHeight="1">
      <c r="B823" s="88"/>
      <c r="C823" s="68" t="s">
        <v>214</v>
      </c>
      <c r="D823" s="69">
        <v>3</v>
      </c>
      <c r="E823" s="70">
        <v>1.0112245929799999E-4</v>
      </c>
    </row>
    <row r="824" spans="2:5" ht="14.45" customHeight="1">
      <c r="B824" s="88"/>
      <c r="C824" s="68" t="s">
        <v>215</v>
      </c>
      <c r="D824" s="69">
        <v>10</v>
      </c>
      <c r="E824" s="70">
        <v>3.3707486432699998E-4</v>
      </c>
    </row>
    <row r="825" spans="2:5" ht="14.45" customHeight="1">
      <c r="B825" s="88"/>
      <c r="C825" s="68" t="s">
        <v>235</v>
      </c>
      <c r="D825" s="69">
        <v>2</v>
      </c>
      <c r="E825" s="70">
        <v>6.7414972865000001E-5</v>
      </c>
    </row>
    <row r="826" spans="2:5" ht="14.45" customHeight="1">
      <c r="B826" s="88"/>
      <c r="C826" s="68" t="s">
        <v>218</v>
      </c>
      <c r="D826" s="69">
        <v>1</v>
      </c>
      <c r="E826" s="70">
        <v>3.3707486433000001E-5</v>
      </c>
    </row>
    <row r="827" spans="2:5" ht="14.45" customHeight="1">
      <c r="B827" s="88"/>
      <c r="C827" s="68" t="s">
        <v>220</v>
      </c>
      <c r="D827" s="69">
        <v>1</v>
      </c>
      <c r="E827" s="70">
        <v>3.3707486433000001E-5</v>
      </c>
    </row>
    <row r="828" spans="2:5" ht="14.45" customHeight="1">
      <c r="B828" s="88"/>
      <c r="C828" s="68" t="s">
        <v>221</v>
      </c>
      <c r="D828" s="69">
        <v>13</v>
      </c>
      <c r="E828" s="70">
        <v>4.38197323626E-4</v>
      </c>
    </row>
    <row r="829" spans="2:5" ht="14.45" customHeight="1">
      <c r="B829" s="88"/>
      <c r="C829" s="68" t="s">
        <v>237</v>
      </c>
      <c r="D829" s="69">
        <v>1</v>
      </c>
      <c r="E829" s="70">
        <v>3.3707486433000001E-5</v>
      </c>
    </row>
    <row r="830" spans="2:5" ht="14.45" customHeight="1">
      <c r="B830" s="88"/>
      <c r="C830" s="68" t="s">
        <v>245</v>
      </c>
      <c r="D830" s="69">
        <v>2</v>
      </c>
      <c r="E830" s="70">
        <v>6.7414972865000001E-5</v>
      </c>
    </row>
    <row r="831" spans="2:5" ht="14.45" customHeight="1">
      <c r="B831" s="88"/>
      <c r="C831" s="68" t="s">
        <v>222</v>
      </c>
      <c r="D831" s="69">
        <v>1</v>
      </c>
      <c r="E831" s="70">
        <v>3.3707486433000001E-5</v>
      </c>
    </row>
    <row r="832" spans="2:5" ht="14.45" customHeight="1">
      <c r="B832" s="88"/>
      <c r="C832" s="68" t="s">
        <v>223</v>
      </c>
      <c r="D832" s="69">
        <v>1</v>
      </c>
      <c r="E832" s="70">
        <v>3.3707486433000001E-5</v>
      </c>
    </row>
    <row r="833" spans="2:5" ht="14.45" customHeight="1">
      <c r="B833" s="88"/>
      <c r="C833" s="68" t="s">
        <v>224</v>
      </c>
      <c r="D833" s="69">
        <v>3</v>
      </c>
      <c r="E833" s="70">
        <v>1.0112245929799999E-4</v>
      </c>
    </row>
    <row r="834" spans="2:5" ht="14.45" customHeight="1">
      <c r="B834" s="88"/>
      <c r="C834" s="68" t="s">
        <v>230</v>
      </c>
      <c r="D834" s="69">
        <v>1</v>
      </c>
      <c r="E834" s="70">
        <v>3.3707486433000001E-5</v>
      </c>
    </row>
    <row r="835" spans="2:5" ht="14.45" customHeight="1">
      <c r="B835" s="88"/>
      <c r="C835" s="36" t="s">
        <v>29</v>
      </c>
      <c r="D835" s="35">
        <v>52</v>
      </c>
      <c r="E835" s="34">
        <v>1.7527892945020001E-3</v>
      </c>
    </row>
    <row r="836" spans="2:5" ht="14.45" customHeight="1">
      <c r="B836" s="88" t="s">
        <v>131</v>
      </c>
      <c r="C836" s="68" t="s">
        <v>195</v>
      </c>
      <c r="D836" s="69">
        <v>10</v>
      </c>
      <c r="E836" s="70">
        <v>3.3707486432699998E-4</v>
      </c>
    </row>
    <row r="837" spans="2:5" ht="14.45" customHeight="1">
      <c r="B837" s="88"/>
      <c r="C837" s="68" t="s">
        <v>196</v>
      </c>
      <c r="D837" s="69">
        <v>5</v>
      </c>
      <c r="E837" s="70">
        <v>1.68537432164E-4</v>
      </c>
    </row>
    <row r="838" spans="2:5" ht="14.45" customHeight="1">
      <c r="B838" s="88"/>
      <c r="C838" s="68" t="s">
        <v>197</v>
      </c>
      <c r="D838" s="69">
        <v>36</v>
      </c>
      <c r="E838" s="70">
        <v>1.2134695115790001E-3</v>
      </c>
    </row>
    <row r="839" spans="2:5" ht="14.45" customHeight="1">
      <c r="B839" s="88"/>
      <c r="C839" s="68" t="s">
        <v>231</v>
      </c>
      <c r="D839" s="69">
        <v>1</v>
      </c>
      <c r="E839" s="70">
        <v>3.3707486433000001E-5</v>
      </c>
    </row>
    <row r="840" spans="2:5" ht="14.45" customHeight="1">
      <c r="B840" s="88"/>
      <c r="C840" s="68" t="s">
        <v>198</v>
      </c>
      <c r="D840" s="69">
        <v>3</v>
      </c>
      <c r="E840" s="70">
        <v>1.0112245929799999E-4</v>
      </c>
    </row>
    <row r="841" spans="2:5" ht="14.45" customHeight="1">
      <c r="B841" s="88"/>
      <c r="C841" s="68" t="s">
        <v>248</v>
      </c>
      <c r="D841" s="69">
        <v>2</v>
      </c>
      <c r="E841" s="70">
        <v>6.7414972865000001E-5</v>
      </c>
    </row>
    <row r="842" spans="2:5" ht="14.45" customHeight="1">
      <c r="B842" s="88"/>
      <c r="C842" s="68" t="s">
        <v>199</v>
      </c>
      <c r="D842" s="69">
        <v>11</v>
      </c>
      <c r="E842" s="70">
        <v>3.7078235075999999E-4</v>
      </c>
    </row>
    <row r="843" spans="2:5" ht="14.45" customHeight="1">
      <c r="B843" s="88"/>
      <c r="C843" s="68" t="s">
        <v>200</v>
      </c>
      <c r="D843" s="69">
        <v>5</v>
      </c>
      <c r="E843" s="70">
        <v>1.68537432164E-4</v>
      </c>
    </row>
    <row r="844" spans="2:5" ht="14.45" customHeight="1">
      <c r="B844" s="88"/>
      <c r="C844" s="68" t="s">
        <v>201</v>
      </c>
      <c r="D844" s="69">
        <v>50</v>
      </c>
      <c r="E844" s="70">
        <v>1.6853743216369999E-3</v>
      </c>
    </row>
    <row r="845" spans="2:5" ht="14.45" customHeight="1">
      <c r="B845" s="88"/>
      <c r="C845" s="68" t="s">
        <v>202</v>
      </c>
      <c r="D845" s="69">
        <v>67</v>
      </c>
      <c r="E845" s="70">
        <v>2.2584015909929999E-3</v>
      </c>
    </row>
    <row r="846" spans="2:5" ht="14.45" customHeight="1">
      <c r="B846" s="88"/>
      <c r="C846" s="68" t="s">
        <v>203</v>
      </c>
      <c r="D846" s="69">
        <v>63</v>
      </c>
      <c r="E846" s="70">
        <v>2.123571645262E-3</v>
      </c>
    </row>
    <row r="847" spans="2:5" ht="14.45" customHeight="1">
      <c r="B847" s="88"/>
      <c r="C847" s="68" t="s">
        <v>249</v>
      </c>
      <c r="D847" s="69">
        <v>1</v>
      </c>
      <c r="E847" s="70">
        <v>3.3707486433000001E-5</v>
      </c>
    </row>
    <row r="848" spans="2:5" ht="14.45" customHeight="1">
      <c r="B848" s="88"/>
      <c r="C848" s="68" t="s">
        <v>204</v>
      </c>
      <c r="D848" s="69">
        <v>22</v>
      </c>
      <c r="E848" s="70">
        <v>7.4156470151999997E-4</v>
      </c>
    </row>
    <row r="849" spans="2:5" ht="14.45" customHeight="1">
      <c r="B849" s="88"/>
      <c r="C849" s="68" t="s">
        <v>205</v>
      </c>
      <c r="D849" s="69">
        <v>16</v>
      </c>
      <c r="E849" s="70">
        <v>5.3931978292399995E-4</v>
      </c>
    </row>
    <row r="850" spans="2:5" ht="14.45" customHeight="1">
      <c r="B850" s="88"/>
      <c r="C850" s="68" t="s">
        <v>243</v>
      </c>
      <c r="D850" s="69">
        <v>2</v>
      </c>
      <c r="E850" s="70">
        <v>6.7414972865000001E-5</v>
      </c>
    </row>
    <row r="851" spans="2:5" ht="14.45" customHeight="1">
      <c r="B851" s="88"/>
      <c r="C851" s="68" t="s">
        <v>206</v>
      </c>
      <c r="D851" s="69">
        <v>11</v>
      </c>
      <c r="E851" s="70">
        <v>3.7078235075999999E-4</v>
      </c>
    </row>
    <row r="852" spans="2:5" ht="14.45" customHeight="1">
      <c r="B852" s="88"/>
      <c r="C852" s="68" t="s">
        <v>207</v>
      </c>
      <c r="D852" s="69">
        <v>3</v>
      </c>
      <c r="E852" s="70">
        <v>1.0112245929799999E-4</v>
      </c>
    </row>
    <row r="853" spans="2:5" ht="14.45" customHeight="1">
      <c r="B853" s="88"/>
      <c r="C853" s="68" t="s">
        <v>208</v>
      </c>
      <c r="D853" s="69">
        <v>6</v>
      </c>
      <c r="E853" s="70">
        <v>2.0224491859599999E-4</v>
      </c>
    </row>
    <row r="854" spans="2:5" ht="14.45" customHeight="1">
      <c r="B854" s="88"/>
      <c r="C854" s="68" t="s">
        <v>209</v>
      </c>
      <c r="D854" s="69">
        <v>21</v>
      </c>
      <c r="E854" s="70">
        <v>7.0785721508699996E-4</v>
      </c>
    </row>
    <row r="855" spans="2:5" ht="14.45" customHeight="1">
      <c r="B855" s="88"/>
      <c r="C855" s="68" t="s">
        <v>210</v>
      </c>
      <c r="D855" s="69">
        <v>2</v>
      </c>
      <c r="E855" s="70">
        <v>6.7414972865000001E-5</v>
      </c>
    </row>
    <row r="856" spans="2:5" ht="14.45" customHeight="1">
      <c r="B856" s="88"/>
      <c r="C856" s="68" t="s">
        <v>232</v>
      </c>
      <c r="D856" s="69">
        <v>21</v>
      </c>
      <c r="E856" s="70">
        <v>7.0785721508699996E-4</v>
      </c>
    </row>
    <row r="857" spans="2:5" ht="14.45" customHeight="1">
      <c r="B857" s="88"/>
      <c r="C857" s="68" t="s">
        <v>211</v>
      </c>
      <c r="D857" s="69">
        <v>6</v>
      </c>
      <c r="E857" s="70">
        <v>2.0224491859599999E-4</v>
      </c>
    </row>
    <row r="858" spans="2:5" ht="14.45" customHeight="1">
      <c r="B858" s="88"/>
      <c r="C858" s="68" t="s">
        <v>212</v>
      </c>
      <c r="D858" s="69">
        <v>16</v>
      </c>
      <c r="E858" s="70">
        <v>5.3931978292399995E-4</v>
      </c>
    </row>
    <row r="859" spans="2:5" ht="14.45" customHeight="1">
      <c r="B859" s="88"/>
      <c r="C859" s="68" t="s">
        <v>213</v>
      </c>
      <c r="D859" s="69">
        <v>135</v>
      </c>
      <c r="E859" s="70">
        <v>4.5505106684189996E-3</v>
      </c>
    </row>
    <row r="860" spans="2:5" ht="14.45" customHeight="1">
      <c r="B860" s="88"/>
      <c r="C860" s="68" t="s">
        <v>214</v>
      </c>
      <c r="D860" s="69">
        <v>18</v>
      </c>
      <c r="E860" s="70">
        <v>6.0673475578900001E-4</v>
      </c>
    </row>
    <row r="861" spans="2:5" ht="14.45" customHeight="1">
      <c r="B861" s="88"/>
      <c r="C861" s="68" t="s">
        <v>234</v>
      </c>
      <c r="D861" s="69">
        <v>7</v>
      </c>
      <c r="E861" s="70">
        <v>2.35952405029E-4</v>
      </c>
    </row>
    <row r="862" spans="2:5" ht="14.45" customHeight="1">
      <c r="B862" s="88"/>
      <c r="C862" s="68" t="s">
        <v>215</v>
      </c>
      <c r="D862" s="69">
        <v>97</v>
      </c>
      <c r="E862" s="70">
        <v>3.269626183975E-3</v>
      </c>
    </row>
    <row r="863" spans="2:5" ht="14.45" customHeight="1">
      <c r="B863" s="88"/>
      <c r="C863" s="68" t="s">
        <v>235</v>
      </c>
      <c r="D863" s="69">
        <v>2</v>
      </c>
      <c r="E863" s="70">
        <v>6.7414972865000001E-5</v>
      </c>
    </row>
    <row r="864" spans="2:5" ht="14.45" customHeight="1">
      <c r="B864" s="88"/>
      <c r="C864" s="68" t="s">
        <v>244</v>
      </c>
      <c r="D864" s="69">
        <v>4</v>
      </c>
      <c r="E864" s="70">
        <v>1.3482994573099999E-4</v>
      </c>
    </row>
    <row r="865" spans="2:5" ht="14.45" customHeight="1">
      <c r="B865" s="88"/>
      <c r="C865" s="68" t="s">
        <v>216</v>
      </c>
      <c r="D865" s="69">
        <v>4</v>
      </c>
      <c r="E865" s="70">
        <v>1.3482994573099999E-4</v>
      </c>
    </row>
    <row r="866" spans="2:5" ht="14.45" customHeight="1">
      <c r="B866" s="88"/>
      <c r="C866" s="68" t="s">
        <v>217</v>
      </c>
      <c r="D866" s="69">
        <v>23</v>
      </c>
      <c r="E866" s="70">
        <v>7.7527218795299998E-4</v>
      </c>
    </row>
    <row r="867" spans="2:5" ht="14.45" customHeight="1">
      <c r="B867" s="88"/>
      <c r="C867" s="68" t="s">
        <v>218</v>
      </c>
      <c r="D867" s="69">
        <v>19</v>
      </c>
      <c r="E867" s="70">
        <v>6.4044224222200002E-4</v>
      </c>
    </row>
    <row r="868" spans="2:5" ht="14.45" customHeight="1">
      <c r="B868" s="88"/>
      <c r="C868" s="68" t="s">
        <v>219</v>
      </c>
      <c r="D868" s="69">
        <v>2</v>
      </c>
      <c r="E868" s="70">
        <v>6.7414972865000001E-5</v>
      </c>
    </row>
    <row r="869" spans="2:5" ht="14.45" customHeight="1">
      <c r="B869" s="88"/>
      <c r="C869" s="68" t="s">
        <v>236</v>
      </c>
      <c r="D869" s="69">
        <v>10</v>
      </c>
      <c r="E869" s="70">
        <v>3.3707486432699998E-4</v>
      </c>
    </row>
    <row r="870" spans="2:5" ht="14.45" customHeight="1">
      <c r="B870" s="88"/>
      <c r="C870" s="68" t="s">
        <v>220</v>
      </c>
      <c r="D870" s="69">
        <v>28</v>
      </c>
      <c r="E870" s="70">
        <v>9.4380962011699995E-4</v>
      </c>
    </row>
    <row r="871" spans="2:5" ht="14.45" customHeight="1">
      <c r="B871" s="88"/>
      <c r="C871" s="68" t="s">
        <v>221</v>
      </c>
      <c r="D871" s="69">
        <v>30</v>
      </c>
      <c r="E871" s="70">
        <v>1.0112245929819999E-3</v>
      </c>
    </row>
    <row r="872" spans="2:5" ht="14.45" customHeight="1">
      <c r="B872" s="88"/>
      <c r="C872" s="68" t="s">
        <v>245</v>
      </c>
      <c r="D872" s="69">
        <v>1</v>
      </c>
      <c r="E872" s="70">
        <v>3.3707486433000001E-5</v>
      </c>
    </row>
    <row r="873" spans="2:5" ht="14.45" customHeight="1">
      <c r="B873" s="88"/>
      <c r="C873" s="68" t="s">
        <v>222</v>
      </c>
      <c r="D873" s="69">
        <v>10</v>
      </c>
      <c r="E873" s="70">
        <v>3.3707486432699998E-4</v>
      </c>
    </row>
    <row r="874" spans="2:5" ht="14.45" customHeight="1">
      <c r="B874" s="88"/>
      <c r="C874" s="68" t="s">
        <v>224</v>
      </c>
      <c r="D874" s="69">
        <v>2</v>
      </c>
      <c r="E874" s="70">
        <v>6.7414972865000001E-5</v>
      </c>
    </row>
    <row r="875" spans="2:5" ht="14.45" customHeight="1">
      <c r="B875" s="88"/>
      <c r="C875" s="68" t="s">
        <v>225</v>
      </c>
      <c r="D875" s="69">
        <v>5</v>
      </c>
      <c r="E875" s="70">
        <v>1.68537432164E-4</v>
      </c>
    </row>
    <row r="876" spans="2:5" ht="14.45" customHeight="1">
      <c r="B876" s="88"/>
      <c r="C876" s="68" t="s">
        <v>251</v>
      </c>
      <c r="D876" s="69">
        <v>7</v>
      </c>
      <c r="E876" s="70">
        <v>2.35952405029E-4</v>
      </c>
    </row>
    <row r="877" spans="2:5" ht="14.45" customHeight="1">
      <c r="B877" s="88"/>
      <c r="C877" s="68" t="s">
        <v>238</v>
      </c>
      <c r="D877" s="69">
        <v>4</v>
      </c>
      <c r="E877" s="70">
        <v>1.3482994573099999E-4</v>
      </c>
    </row>
    <row r="878" spans="2:5" ht="14.45" customHeight="1">
      <c r="B878" s="88"/>
      <c r="C878" s="68" t="s">
        <v>239</v>
      </c>
      <c r="D878" s="69">
        <v>3</v>
      </c>
      <c r="E878" s="70">
        <v>1.0112245929799999E-4</v>
      </c>
    </row>
    <row r="879" spans="2:5" ht="14.45" customHeight="1">
      <c r="B879" s="88"/>
      <c r="C879" s="68" t="s">
        <v>240</v>
      </c>
      <c r="D879" s="69">
        <v>4</v>
      </c>
      <c r="E879" s="70">
        <v>1.3482994573099999E-4</v>
      </c>
    </row>
    <row r="880" spans="2:5" ht="14.45" customHeight="1">
      <c r="B880" s="88"/>
      <c r="C880" s="68" t="s">
        <v>241</v>
      </c>
      <c r="D880" s="69">
        <v>6</v>
      </c>
      <c r="E880" s="70">
        <v>2.0224491859599999E-4</v>
      </c>
    </row>
    <row r="881" spans="2:5" ht="14.45" customHeight="1">
      <c r="B881" s="88"/>
      <c r="C881" s="68" t="s">
        <v>226</v>
      </c>
      <c r="D881" s="69">
        <v>6</v>
      </c>
      <c r="E881" s="70">
        <v>2.0224491859599999E-4</v>
      </c>
    </row>
    <row r="882" spans="2:5" ht="14.45" customHeight="1">
      <c r="B882" s="88"/>
      <c r="C882" s="68" t="s">
        <v>227</v>
      </c>
      <c r="D882" s="69">
        <v>4</v>
      </c>
      <c r="E882" s="70">
        <v>1.3482994573099999E-4</v>
      </c>
    </row>
    <row r="883" spans="2:5" ht="14.45" customHeight="1">
      <c r="B883" s="88"/>
      <c r="C883" s="68" t="s">
        <v>247</v>
      </c>
      <c r="D883" s="69">
        <v>1</v>
      </c>
      <c r="E883" s="70">
        <v>3.3707486433000001E-5</v>
      </c>
    </row>
    <row r="884" spans="2:5" ht="14.45" customHeight="1">
      <c r="B884" s="88"/>
      <c r="C884" s="68" t="s">
        <v>229</v>
      </c>
      <c r="D884" s="69">
        <v>12</v>
      </c>
      <c r="E884" s="70">
        <v>4.0448983719299999E-4</v>
      </c>
    </row>
    <row r="885" spans="2:5" ht="14.45" customHeight="1">
      <c r="B885" s="88"/>
      <c r="C885" s="68" t="s">
        <v>230</v>
      </c>
      <c r="D885" s="69">
        <v>7</v>
      </c>
      <c r="E885" s="70">
        <v>2.35952405029E-4</v>
      </c>
    </row>
    <row r="886" spans="2:5" ht="14.45" customHeight="1">
      <c r="B886" s="88"/>
      <c r="C886" s="36" t="s">
        <v>29</v>
      </c>
      <c r="D886" s="35">
        <v>831</v>
      </c>
      <c r="E886" s="34">
        <v>2.8010921225603998E-2</v>
      </c>
    </row>
    <row r="887" spans="2:5" ht="14.45" customHeight="1">
      <c r="B887" s="88" t="s">
        <v>132</v>
      </c>
      <c r="C887" s="68" t="s">
        <v>197</v>
      </c>
      <c r="D887" s="69">
        <v>1</v>
      </c>
      <c r="E887" s="70">
        <v>3.3707486433000001E-5</v>
      </c>
    </row>
    <row r="888" spans="2:5" ht="14.45" customHeight="1">
      <c r="B888" s="88"/>
      <c r="C888" s="68" t="s">
        <v>212</v>
      </c>
      <c r="D888" s="69">
        <v>1</v>
      </c>
      <c r="E888" s="70">
        <v>3.3707486433000001E-5</v>
      </c>
    </row>
    <row r="889" spans="2:5" ht="14.45" customHeight="1">
      <c r="B889" s="88"/>
      <c r="C889" s="68" t="s">
        <v>215</v>
      </c>
      <c r="D889" s="69">
        <v>3</v>
      </c>
      <c r="E889" s="70">
        <v>1.0112245929799999E-4</v>
      </c>
    </row>
    <row r="890" spans="2:5" ht="14.45" customHeight="1">
      <c r="B890" s="88"/>
      <c r="C890" s="68" t="s">
        <v>218</v>
      </c>
      <c r="D890" s="69">
        <v>2</v>
      </c>
      <c r="E890" s="70">
        <v>6.7414972865000001E-5</v>
      </c>
    </row>
    <row r="891" spans="2:5" ht="14.45" customHeight="1">
      <c r="B891" s="88"/>
      <c r="C891" s="68" t="s">
        <v>222</v>
      </c>
      <c r="D891" s="69">
        <v>1</v>
      </c>
      <c r="E891" s="70">
        <v>3.3707486433000001E-5</v>
      </c>
    </row>
    <row r="892" spans="2:5" ht="14.45" customHeight="1">
      <c r="B892" s="88"/>
      <c r="C892" s="68" t="s">
        <v>229</v>
      </c>
      <c r="D892" s="69">
        <v>1</v>
      </c>
      <c r="E892" s="70">
        <v>3.3707486433000001E-5</v>
      </c>
    </row>
    <row r="893" spans="2:5" ht="14.45" customHeight="1">
      <c r="B893" s="88"/>
      <c r="C893" s="68" t="s">
        <v>230</v>
      </c>
      <c r="D893" s="69">
        <v>1</v>
      </c>
      <c r="E893" s="70">
        <v>3.3707486433000001E-5</v>
      </c>
    </row>
    <row r="894" spans="2:5" ht="14.45" customHeight="1">
      <c r="B894" s="88"/>
      <c r="C894" s="36" t="s">
        <v>29</v>
      </c>
      <c r="D894" s="35">
        <v>10</v>
      </c>
      <c r="E894" s="34">
        <v>3.3707486432699998E-4</v>
      </c>
    </row>
    <row r="895" spans="2:5" ht="14.45" customHeight="1">
      <c r="B895" s="88" t="s">
        <v>133</v>
      </c>
      <c r="C895" s="68" t="s">
        <v>195</v>
      </c>
      <c r="D895" s="69">
        <v>1</v>
      </c>
      <c r="E895" s="70">
        <v>3.3707486433000001E-5</v>
      </c>
    </row>
    <row r="896" spans="2:5" ht="14.45" customHeight="1">
      <c r="B896" s="88"/>
      <c r="C896" s="68" t="s">
        <v>197</v>
      </c>
      <c r="D896" s="69">
        <v>1</v>
      </c>
      <c r="E896" s="70">
        <v>3.3707486433000001E-5</v>
      </c>
    </row>
    <row r="897" spans="2:5" ht="14.45" customHeight="1">
      <c r="B897" s="88"/>
      <c r="C897" s="68" t="s">
        <v>198</v>
      </c>
      <c r="D897" s="69">
        <v>2</v>
      </c>
      <c r="E897" s="70">
        <v>6.7414972865000001E-5</v>
      </c>
    </row>
    <row r="898" spans="2:5" ht="14.45" customHeight="1">
      <c r="B898" s="88"/>
      <c r="C898" s="68" t="s">
        <v>248</v>
      </c>
      <c r="D898" s="69">
        <v>5</v>
      </c>
      <c r="E898" s="70">
        <v>1.68537432164E-4</v>
      </c>
    </row>
    <row r="899" spans="2:5" ht="14.45" customHeight="1">
      <c r="B899" s="88"/>
      <c r="C899" s="68" t="s">
        <v>242</v>
      </c>
      <c r="D899" s="69">
        <v>1</v>
      </c>
      <c r="E899" s="70">
        <v>3.3707486433000001E-5</v>
      </c>
    </row>
    <row r="900" spans="2:5" ht="14.45" customHeight="1">
      <c r="B900" s="88"/>
      <c r="C900" s="68" t="s">
        <v>199</v>
      </c>
      <c r="D900" s="69">
        <v>7</v>
      </c>
      <c r="E900" s="70">
        <v>2.35952405029E-4</v>
      </c>
    </row>
    <row r="901" spans="2:5" ht="14.45" customHeight="1">
      <c r="B901" s="88"/>
      <c r="C901" s="68" t="s">
        <v>200</v>
      </c>
      <c r="D901" s="69">
        <v>2</v>
      </c>
      <c r="E901" s="70">
        <v>6.7414972865000001E-5</v>
      </c>
    </row>
    <row r="902" spans="2:5" ht="14.45" customHeight="1">
      <c r="B902" s="88"/>
      <c r="C902" s="68" t="s">
        <v>201</v>
      </c>
      <c r="D902" s="69">
        <v>3</v>
      </c>
      <c r="E902" s="70">
        <v>1.0112245929799999E-4</v>
      </c>
    </row>
    <row r="903" spans="2:5" ht="14.45" customHeight="1">
      <c r="B903" s="88"/>
      <c r="C903" s="68" t="s">
        <v>203</v>
      </c>
      <c r="D903" s="69">
        <v>5</v>
      </c>
      <c r="E903" s="70">
        <v>1.68537432164E-4</v>
      </c>
    </row>
    <row r="904" spans="2:5" ht="14.45" customHeight="1">
      <c r="B904" s="88"/>
      <c r="C904" s="68" t="s">
        <v>204</v>
      </c>
      <c r="D904" s="69">
        <v>2</v>
      </c>
      <c r="E904" s="70">
        <v>6.7414972865000001E-5</v>
      </c>
    </row>
    <row r="905" spans="2:5" ht="14.45" customHeight="1">
      <c r="B905" s="88"/>
      <c r="C905" s="68" t="s">
        <v>205</v>
      </c>
      <c r="D905" s="69">
        <v>1</v>
      </c>
      <c r="E905" s="70">
        <v>3.3707486433000001E-5</v>
      </c>
    </row>
    <row r="906" spans="2:5" ht="14.45" customHeight="1">
      <c r="B906" s="88"/>
      <c r="C906" s="68" t="s">
        <v>206</v>
      </c>
      <c r="D906" s="69">
        <v>3</v>
      </c>
      <c r="E906" s="70">
        <v>1.0112245929799999E-4</v>
      </c>
    </row>
    <row r="907" spans="2:5" ht="14.45" customHeight="1">
      <c r="B907" s="88"/>
      <c r="C907" s="68" t="s">
        <v>207</v>
      </c>
      <c r="D907" s="69">
        <v>1</v>
      </c>
      <c r="E907" s="70">
        <v>3.3707486433000001E-5</v>
      </c>
    </row>
    <row r="908" spans="2:5" ht="14.45" customHeight="1">
      <c r="B908" s="88"/>
      <c r="C908" s="68" t="s">
        <v>209</v>
      </c>
      <c r="D908" s="69">
        <v>3</v>
      </c>
      <c r="E908" s="70">
        <v>1.0112245929799999E-4</v>
      </c>
    </row>
    <row r="909" spans="2:5" ht="14.45" customHeight="1">
      <c r="B909" s="88"/>
      <c r="C909" s="68" t="s">
        <v>232</v>
      </c>
      <c r="D909" s="69">
        <v>5</v>
      </c>
      <c r="E909" s="70">
        <v>1.68537432164E-4</v>
      </c>
    </row>
    <row r="910" spans="2:5" ht="14.45" customHeight="1">
      <c r="B910" s="88"/>
      <c r="C910" s="68" t="s">
        <v>212</v>
      </c>
      <c r="D910" s="69">
        <v>1</v>
      </c>
      <c r="E910" s="70">
        <v>3.3707486433000001E-5</v>
      </c>
    </row>
    <row r="911" spans="2:5" ht="14.45" customHeight="1">
      <c r="B911" s="88"/>
      <c r="C911" s="68" t="s">
        <v>213</v>
      </c>
      <c r="D911" s="69">
        <v>3</v>
      </c>
      <c r="E911" s="70">
        <v>1.0112245929799999E-4</v>
      </c>
    </row>
    <row r="912" spans="2:5" ht="14.45" customHeight="1">
      <c r="B912" s="88"/>
      <c r="C912" s="68" t="s">
        <v>214</v>
      </c>
      <c r="D912" s="69">
        <v>17</v>
      </c>
      <c r="E912" s="70">
        <v>5.7302726935699996E-4</v>
      </c>
    </row>
    <row r="913" spans="2:5" ht="14.45" customHeight="1">
      <c r="B913" s="88"/>
      <c r="C913" s="68" t="s">
        <v>234</v>
      </c>
      <c r="D913" s="69">
        <v>2</v>
      </c>
      <c r="E913" s="70">
        <v>6.7414972865000001E-5</v>
      </c>
    </row>
    <row r="914" spans="2:5" ht="14.45" customHeight="1">
      <c r="B914" s="88"/>
      <c r="C914" s="68" t="s">
        <v>215</v>
      </c>
      <c r="D914" s="69">
        <v>19</v>
      </c>
      <c r="E914" s="70">
        <v>6.4044224222200002E-4</v>
      </c>
    </row>
    <row r="915" spans="2:5" ht="14.45" customHeight="1">
      <c r="B915" s="88"/>
      <c r="C915" s="68" t="s">
        <v>218</v>
      </c>
      <c r="D915" s="69">
        <v>1</v>
      </c>
      <c r="E915" s="70">
        <v>3.3707486433000001E-5</v>
      </c>
    </row>
    <row r="916" spans="2:5" ht="14.45" customHeight="1">
      <c r="B916" s="88"/>
      <c r="C916" s="68" t="s">
        <v>236</v>
      </c>
      <c r="D916" s="69">
        <v>1</v>
      </c>
      <c r="E916" s="70">
        <v>3.3707486433000001E-5</v>
      </c>
    </row>
    <row r="917" spans="2:5" ht="14.45" customHeight="1">
      <c r="B917" s="88"/>
      <c r="C917" s="68" t="s">
        <v>221</v>
      </c>
      <c r="D917" s="69">
        <v>4</v>
      </c>
      <c r="E917" s="70">
        <v>1.3482994573099999E-4</v>
      </c>
    </row>
    <row r="918" spans="2:5" ht="14.45" customHeight="1">
      <c r="B918" s="88"/>
      <c r="C918" s="68" t="s">
        <v>239</v>
      </c>
      <c r="D918" s="69">
        <v>1</v>
      </c>
      <c r="E918" s="70">
        <v>3.3707486433000001E-5</v>
      </c>
    </row>
    <row r="919" spans="2:5" ht="14.45" customHeight="1">
      <c r="B919" s="88"/>
      <c r="C919" s="68" t="s">
        <v>240</v>
      </c>
      <c r="D919" s="69">
        <v>1</v>
      </c>
      <c r="E919" s="70">
        <v>3.3707486433000001E-5</v>
      </c>
    </row>
    <row r="920" spans="2:5" ht="14.45" customHeight="1">
      <c r="B920" s="88"/>
      <c r="C920" s="68" t="s">
        <v>241</v>
      </c>
      <c r="D920" s="69">
        <v>2</v>
      </c>
      <c r="E920" s="70">
        <v>6.7414972865000001E-5</v>
      </c>
    </row>
    <row r="921" spans="2:5" ht="14.45" customHeight="1">
      <c r="B921" s="88"/>
      <c r="C921" s="68" t="s">
        <v>226</v>
      </c>
      <c r="D921" s="69">
        <v>53</v>
      </c>
      <c r="E921" s="70">
        <v>1.7864967809350001E-3</v>
      </c>
    </row>
    <row r="922" spans="2:5" ht="14.45" customHeight="1">
      <c r="B922" s="88"/>
      <c r="C922" s="68" t="s">
        <v>227</v>
      </c>
      <c r="D922" s="69">
        <v>1</v>
      </c>
      <c r="E922" s="70">
        <v>3.3707486433000001E-5</v>
      </c>
    </row>
    <row r="923" spans="2:5" ht="14.45" customHeight="1">
      <c r="B923" s="88"/>
      <c r="C923" s="68" t="s">
        <v>228</v>
      </c>
      <c r="D923" s="69">
        <v>9</v>
      </c>
      <c r="E923" s="70">
        <v>3.0336737789499998E-4</v>
      </c>
    </row>
    <row r="924" spans="2:5" ht="14.45" customHeight="1">
      <c r="B924" s="88"/>
      <c r="C924" s="68" t="s">
        <v>229</v>
      </c>
      <c r="D924" s="69">
        <v>1</v>
      </c>
      <c r="E924" s="70">
        <v>3.3707486433000001E-5</v>
      </c>
    </row>
    <row r="925" spans="2:5" ht="14.45" customHeight="1">
      <c r="B925" s="88"/>
      <c r="C925" s="36" t="s">
        <v>29</v>
      </c>
      <c r="D925" s="35">
        <v>158</v>
      </c>
      <c r="E925" s="34">
        <v>5.3257828563719996E-3</v>
      </c>
    </row>
    <row r="926" spans="2:5" ht="14.45" customHeight="1">
      <c r="B926" s="88" t="s">
        <v>134</v>
      </c>
      <c r="C926" s="68" t="s">
        <v>195</v>
      </c>
      <c r="D926" s="69">
        <v>16</v>
      </c>
      <c r="E926" s="70">
        <v>5.3931978292399995E-4</v>
      </c>
    </row>
    <row r="927" spans="2:5" ht="14.45" customHeight="1">
      <c r="B927" s="88"/>
      <c r="C927" s="68" t="s">
        <v>196</v>
      </c>
      <c r="D927" s="69">
        <v>23</v>
      </c>
      <c r="E927" s="70">
        <v>7.7527218795299998E-4</v>
      </c>
    </row>
    <row r="928" spans="2:5" ht="14.45" customHeight="1">
      <c r="B928" s="88"/>
      <c r="C928" s="68" t="s">
        <v>197</v>
      </c>
      <c r="D928" s="69">
        <v>10</v>
      </c>
      <c r="E928" s="70">
        <v>3.3707486432699998E-4</v>
      </c>
    </row>
    <row r="929" spans="2:5" ht="14.45" customHeight="1">
      <c r="B929" s="88"/>
      <c r="C929" s="68" t="s">
        <v>231</v>
      </c>
      <c r="D929" s="69">
        <v>2</v>
      </c>
      <c r="E929" s="70">
        <v>6.7414972865000001E-5</v>
      </c>
    </row>
    <row r="930" spans="2:5" ht="14.45" customHeight="1">
      <c r="B930" s="88"/>
      <c r="C930" s="68" t="s">
        <v>248</v>
      </c>
      <c r="D930" s="69">
        <v>3</v>
      </c>
      <c r="E930" s="70">
        <v>1.0112245929799999E-4</v>
      </c>
    </row>
    <row r="931" spans="2:5" ht="14.45" customHeight="1">
      <c r="B931" s="88"/>
      <c r="C931" s="68" t="s">
        <v>242</v>
      </c>
      <c r="D931" s="69">
        <v>7</v>
      </c>
      <c r="E931" s="70">
        <v>2.35952405029E-4</v>
      </c>
    </row>
    <row r="932" spans="2:5" ht="14.45" customHeight="1">
      <c r="B932" s="88"/>
      <c r="C932" s="68" t="s">
        <v>199</v>
      </c>
      <c r="D932" s="69">
        <v>9</v>
      </c>
      <c r="E932" s="70">
        <v>3.0336737789499998E-4</v>
      </c>
    </row>
    <row r="933" spans="2:5" ht="14.45" customHeight="1">
      <c r="B933" s="88"/>
      <c r="C933" s="68" t="s">
        <v>252</v>
      </c>
      <c r="D933" s="69">
        <v>1</v>
      </c>
      <c r="E933" s="70">
        <v>3.3707486433000001E-5</v>
      </c>
    </row>
    <row r="934" spans="2:5" ht="14.45" customHeight="1">
      <c r="B934" s="88"/>
      <c r="C934" s="68" t="s">
        <v>200</v>
      </c>
      <c r="D934" s="69">
        <v>5</v>
      </c>
      <c r="E934" s="70">
        <v>1.68537432164E-4</v>
      </c>
    </row>
    <row r="935" spans="2:5" ht="14.45" customHeight="1">
      <c r="B935" s="88"/>
      <c r="C935" s="68" t="s">
        <v>201</v>
      </c>
      <c r="D935" s="69">
        <v>10</v>
      </c>
      <c r="E935" s="70">
        <v>3.3707486432699998E-4</v>
      </c>
    </row>
    <row r="936" spans="2:5" ht="14.45" customHeight="1">
      <c r="B936" s="88"/>
      <c r="C936" s="68" t="s">
        <v>202</v>
      </c>
      <c r="D936" s="69">
        <v>10</v>
      </c>
      <c r="E936" s="70">
        <v>3.3707486432699998E-4</v>
      </c>
    </row>
    <row r="937" spans="2:5" ht="14.45" customHeight="1">
      <c r="B937" s="88"/>
      <c r="C937" s="68" t="s">
        <v>203</v>
      </c>
      <c r="D937" s="69">
        <v>40</v>
      </c>
      <c r="E937" s="70">
        <v>1.348299457309E-3</v>
      </c>
    </row>
    <row r="938" spans="2:5" ht="14.45" customHeight="1">
      <c r="B938" s="88"/>
      <c r="C938" s="68" t="s">
        <v>204</v>
      </c>
      <c r="D938" s="69">
        <v>99</v>
      </c>
      <c r="E938" s="70">
        <v>3.337041156841E-3</v>
      </c>
    </row>
    <row r="939" spans="2:5" ht="14.45" customHeight="1">
      <c r="B939" s="88"/>
      <c r="C939" s="68" t="s">
        <v>205</v>
      </c>
      <c r="D939" s="69">
        <v>7</v>
      </c>
      <c r="E939" s="70">
        <v>2.35952405029E-4</v>
      </c>
    </row>
    <row r="940" spans="2:5" ht="14.45" customHeight="1">
      <c r="B940" s="88"/>
      <c r="C940" s="68" t="s">
        <v>243</v>
      </c>
      <c r="D940" s="69">
        <v>1</v>
      </c>
      <c r="E940" s="70">
        <v>3.3707486433000001E-5</v>
      </c>
    </row>
    <row r="941" spans="2:5" ht="14.45" customHeight="1">
      <c r="B941" s="88"/>
      <c r="C941" s="68" t="s">
        <v>206</v>
      </c>
      <c r="D941" s="69">
        <v>11</v>
      </c>
      <c r="E941" s="70">
        <v>3.7078235075999999E-4</v>
      </c>
    </row>
    <row r="942" spans="2:5" ht="14.45" customHeight="1">
      <c r="B942" s="88"/>
      <c r="C942" s="68" t="s">
        <v>208</v>
      </c>
      <c r="D942" s="69">
        <v>6</v>
      </c>
      <c r="E942" s="70">
        <v>2.0224491859599999E-4</v>
      </c>
    </row>
    <row r="943" spans="2:5" ht="14.45" customHeight="1">
      <c r="B943" s="88"/>
      <c r="C943" s="68" t="s">
        <v>209</v>
      </c>
      <c r="D943" s="69">
        <v>30</v>
      </c>
      <c r="E943" s="70">
        <v>1.0112245929819999E-3</v>
      </c>
    </row>
    <row r="944" spans="2:5" ht="14.45" customHeight="1">
      <c r="B944" s="88"/>
      <c r="C944" s="68" t="s">
        <v>210</v>
      </c>
      <c r="D944" s="69">
        <v>2</v>
      </c>
      <c r="E944" s="70">
        <v>6.7414972865000001E-5</v>
      </c>
    </row>
    <row r="945" spans="2:5" ht="14.45" customHeight="1">
      <c r="B945" s="88"/>
      <c r="C945" s="68" t="s">
        <v>232</v>
      </c>
      <c r="D945" s="69">
        <v>34</v>
      </c>
      <c r="E945" s="70">
        <v>1.1460545387130001E-3</v>
      </c>
    </row>
    <row r="946" spans="2:5" ht="14.45" customHeight="1">
      <c r="B946" s="88"/>
      <c r="C946" s="68" t="s">
        <v>211</v>
      </c>
      <c r="D946" s="69">
        <v>6</v>
      </c>
      <c r="E946" s="70">
        <v>2.0224491859599999E-4</v>
      </c>
    </row>
    <row r="947" spans="2:5" ht="14.45" customHeight="1">
      <c r="B947" s="88"/>
      <c r="C947" s="68" t="s">
        <v>233</v>
      </c>
      <c r="D947" s="69">
        <v>10</v>
      </c>
      <c r="E947" s="70">
        <v>3.3707486432699998E-4</v>
      </c>
    </row>
    <row r="948" spans="2:5" ht="14.45" customHeight="1">
      <c r="B948" s="88"/>
      <c r="C948" s="68" t="s">
        <v>212</v>
      </c>
      <c r="D948" s="69">
        <v>23</v>
      </c>
      <c r="E948" s="70">
        <v>7.7527218795299998E-4</v>
      </c>
    </row>
    <row r="949" spans="2:5" ht="14.45" customHeight="1">
      <c r="B949" s="88"/>
      <c r="C949" s="68" t="s">
        <v>213</v>
      </c>
      <c r="D949" s="69">
        <v>77</v>
      </c>
      <c r="E949" s="70">
        <v>2.5954764553209999E-3</v>
      </c>
    </row>
    <row r="950" spans="2:5" ht="14.45" customHeight="1">
      <c r="B950" s="88"/>
      <c r="C950" s="68" t="s">
        <v>214</v>
      </c>
      <c r="D950" s="69">
        <v>24</v>
      </c>
      <c r="E950" s="70">
        <v>8.0897967438599999E-4</v>
      </c>
    </row>
    <row r="951" spans="2:5" ht="14.45" customHeight="1">
      <c r="B951" s="88"/>
      <c r="C951" s="68" t="s">
        <v>234</v>
      </c>
      <c r="D951" s="69">
        <v>6</v>
      </c>
      <c r="E951" s="70">
        <v>2.0224491859599999E-4</v>
      </c>
    </row>
    <row r="952" spans="2:5" ht="14.45" customHeight="1">
      <c r="B952" s="88"/>
      <c r="C952" s="68" t="s">
        <v>215</v>
      </c>
      <c r="D952" s="69">
        <v>154</v>
      </c>
      <c r="E952" s="70">
        <v>5.1909529106409997E-3</v>
      </c>
    </row>
    <row r="953" spans="2:5" ht="14.45" customHeight="1">
      <c r="B953" s="88"/>
      <c r="C953" s="68" t="s">
        <v>235</v>
      </c>
      <c r="D953" s="69">
        <v>2</v>
      </c>
      <c r="E953" s="70">
        <v>6.7414972865000001E-5</v>
      </c>
    </row>
    <row r="954" spans="2:5" ht="14.45" customHeight="1">
      <c r="B954" s="88"/>
      <c r="C954" s="68" t="s">
        <v>244</v>
      </c>
      <c r="D954" s="69">
        <v>3</v>
      </c>
      <c r="E954" s="70">
        <v>1.0112245929799999E-4</v>
      </c>
    </row>
    <row r="955" spans="2:5" ht="14.45" customHeight="1">
      <c r="B955" s="88"/>
      <c r="C955" s="68" t="s">
        <v>216</v>
      </c>
      <c r="D955" s="69">
        <v>2</v>
      </c>
      <c r="E955" s="70">
        <v>6.7414972865000001E-5</v>
      </c>
    </row>
    <row r="956" spans="2:5" ht="14.45" customHeight="1">
      <c r="B956" s="88"/>
      <c r="C956" s="68" t="s">
        <v>217</v>
      </c>
      <c r="D956" s="69">
        <v>11</v>
      </c>
      <c r="E956" s="70">
        <v>3.7078235075999999E-4</v>
      </c>
    </row>
    <row r="957" spans="2:5" ht="14.45" customHeight="1">
      <c r="B957" s="88"/>
      <c r="C957" s="68" t="s">
        <v>218</v>
      </c>
      <c r="D957" s="69">
        <v>49</v>
      </c>
      <c r="E957" s="70">
        <v>1.6516668352039999E-3</v>
      </c>
    </row>
    <row r="958" spans="2:5" ht="14.45" customHeight="1">
      <c r="B958" s="88"/>
      <c r="C958" s="68" t="s">
        <v>219</v>
      </c>
      <c r="D958" s="69">
        <v>1</v>
      </c>
      <c r="E958" s="70">
        <v>3.3707486433000001E-5</v>
      </c>
    </row>
    <row r="959" spans="2:5" ht="14.45" customHeight="1">
      <c r="B959" s="88"/>
      <c r="C959" s="68" t="s">
        <v>236</v>
      </c>
      <c r="D959" s="69">
        <v>4</v>
      </c>
      <c r="E959" s="70">
        <v>1.3482994573099999E-4</v>
      </c>
    </row>
    <row r="960" spans="2:5" ht="14.45" customHeight="1">
      <c r="B960" s="88"/>
      <c r="C960" s="68" t="s">
        <v>220</v>
      </c>
      <c r="D960" s="69">
        <v>28</v>
      </c>
      <c r="E960" s="70">
        <v>9.4380962011699995E-4</v>
      </c>
    </row>
    <row r="961" spans="2:5" ht="14.45" customHeight="1">
      <c r="B961" s="88"/>
      <c r="C961" s="68" t="s">
        <v>221</v>
      </c>
      <c r="D961" s="69">
        <v>10</v>
      </c>
      <c r="E961" s="70">
        <v>3.3707486432699998E-4</v>
      </c>
    </row>
    <row r="962" spans="2:5" ht="14.45" customHeight="1">
      <c r="B962" s="88"/>
      <c r="C962" s="68" t="s">
        <v>222</v>
      </c>
      <c r="D962" s="69">
        <v>2</v>
      </c>
      <c r="E962" s="70">
        <v>6.7414972865000001E-5</v>
      </c>
    </row>
    <row r="963" spans="2:5" ht="14.45" customHeight="1">
      <c r="B963" s="88"/>
      <c r="C963" s="68" t="s">
        <v>250</v>
      </c>
      <c r="D963" s="69">
        <v>1</v>
      </c>
      <c r="E963" s="70">
        <v>3.3707486433000001E-5</v>
      </c>
    </row>
    <row r="964" spans="2:5" ht="14.45" customHeight="1">
      <c r="B964" s="88"/>
      <c r="C964" s="68" t="s">
        <v>224</v>
      </c>
      <c r="D964" s="69">
        <v>1</v>
      </c>
      <c r="E964" s="70">
        <v>3.3707486433000001E-5</v>
      </c>
    </row>
    <row r="965" spans="2:5" ht="14.45" customHeight="1">
      <c r="B965" s="88"/>
      <c r="C965" s="68" t="s">
        <v>225</v>
      </c>
      <c r="D965" s="69">
        <v>2</v>
      </c>
      <c r="E965" s="70">
        <v>6.7414972865000001E-5</v>
      </c>
    </row>
    <row r="966" spans="2:5" ht="14.45" customHeight="1">
      <c r="B966" s="88"/>
      <c r="C966" s="68" t="s">
        <v>251</v>
      </c>
      <c r="D966" s="69">
        <v>1</v>
      </c>
      <c r="E966" s="70">
        <v>3.3707486433000001E-5</v>
      </c>
    </row>
    <row r="967" spans="2:5" ht="14.45" customHeight="1">
      <c r="B967" s="88"/>
      <c r="C967" s="68" t="s">
        <v>238</v>
      </c>
      <c r="D967" s="69">
        <v>2</v>
      </c>
      <c r="E967" s="70">
        <v>6.7414972865000001E-5</v>
      </c>
    </row>
    <row r="968" spans="2:5" ht="14.45" customHeight="1">
      <c r="B968" s="88"/>
      <c r="C968" s="68" t="s">
        <v>239</v>
      </c>
      <c r="D968" s="69">
        <v>1</v>
      </c>
      <c r="E968" s="70">
        <v>3.3707486433000001E-5</v>
      </c>
    </row>
    <row r="969" spans="2:5" ht="14.45" customHeight="1">
      <c r="B969" s="88"/>
      <c r="C969" s="68" t="s">
        <v>240</v>
      </c>
      <c r="D969" s="69">
        <v>13</v>
      </c>
      <c r="E969" s="70">
        <v>4.38197323626E-4</v>
      </c>
    </row>
    <row r="970" spans="2:5" ht="14.45" customHeight="1">
      <c r="B970" s="88"/>
      <c r="C970" s="68" t="s">
        <v>241</v>
      </c>
      <c r="D970" s="69">
        <v>10</v>
      </c>
      <c r="E970" s="70">
        <v>3.3707486432699998E-4</v>
      </c>
    </row>
    <row r="971" spans="2:5" ht="14.45" customHeight="1">
      <c r="B971" s="88"/>
      <c r="C971" s="68" t="s">
        <v>246</v>
      </c>
      <c r="D971" s="69">
        <v>2</v>
      </c>
      <c r="E971" s="70">
        <v>6.7414972865000001E-5</v>
      </c>
    </row>
    <row r="972" spans="2:5" ht="14.45" customHeight="1">
      <c r="B972" s="88"/>
      <c r="C972" s="68" t="s">
        <v>226</v>
      </c>
      <c r="D972" s="69">
        <v>26</v>
      </c>
      <c r="E972" s="70">
        <v>8.7639464725100004E-4</v>
      </c>
    </row>
    <row r="973" spans="2:5" ht="14.45" customHeight="1">
      <c r="B973" s="88"/>
      <c r="C973" s="68" t="s">
        <v>227</v>
      </c>
      <c r="D973" s="69">
        <v>23</v>
      </c>
      <c r="E973" s="70">
        <v>7.7527218795299998E-4</v>
      </c>
    </row>
    <row r="974" spans="2:5" ht="14.45" customHeight="1">
      <c r="B974" s="88"/>
      <c r="C974" s="68" t="s">
        <v>228</v>
      </c>
      <c r="D974" s="69">
        <v>6</v>
      </c>
      <c r="E974" s="70">
        <v>2.0224491859599999E-4</v>
      </c>
    </row>
    <row r="975" spans="2:5" ht="14.45" customHeight="1">
      <c r="B975" s="88"/>
      <c r="C975" s="68" t="s">
        <v>247</v>
      </c>
      <c r="D975" s="69">
        <v>2</v>
      </c>
      <c r="E975" s="70">
        <v>6.7414972865000001E-5</v>
      </c>
    </row>
    <row r="976" spans="2:5" ht="14.45" customHeight="1">
      <c r="B976" s="88"/>
      <c r="C976" s="68" t="s">
        <v>229</v>
      </c>
      <c r="D976" s="69">
        <v>19</v>
      </c>
      <c r="E976" s="70">
        <v>6.4044224222200002E-4</v>
      </c>
    </row>
    <row r="977" spans="2:5" ht="14.45" customHeight="1">
      <c r="B977" s="88"/>
      <c r="C977" s="68" t="s">
        <v>230</v>
      </c>
      <c r="D977" s="69">
        <v>17</v>
      </c>
      <c r="E977" s="70">
        <v>5.7302726935699996E-4</v>
      </c>
    </row>
    <row r="978" spans="2:5" ht="14.45" customHeight="1">
      <c r="B978" s="88"/>
      <c r="C978" s="36" t="s">
        <v>29</v>
      </c>
      <c r="D978" s="35">
        <v>864</v>
      </c>
      <c r="E978" s="34">
        <v>2.9123268277885E-2</v>
      </c>
    </row>
    <row r="979" spans="2:5" ht="14.45" customHeight="1">
      <c r="B979" s="88" t="s">
        <v>135</v>
      </c>
      <c r="C979" s="68" t="s">
        <v>200</v>
      </c>
      <c r="D979" s="69">
        <v>2</v>
      </c>
      <c r="E979" s="70">
        <v>6.7414972865000001E-5</v>
      </c>
    </row>
    <row r="980" spans="2:5" ht="14.45" customHeight="1">
      <c r="B980" s="88"/>
      <c r="C980" s="68" t="s">
        <v>204</v>
      </c>
      <c r="D980" s="69">
        <v>1</v>
      </c>
      <c r="E980" s="70">
        <v>3.3707486433000001E-5</v>
      </c>
    </row>
    <row r="981" spans="2:5" ht="14.45" customHeight="1">
      <c r="B981" s="88"/>
      <c r="C981" s="68" t="s">
        <v>215</v>
      </c>
      <c r="D981" s="69">
        <v>1</v>
      </c>
      <c r="E981" s="70">
        <v>3.3707486433000001E-5</v>
      </c>
    </row>
    <row r="982" spans="2:5" ht="14.45" customHeight="1">
      <c r="B982" s="88"/>
      <c r="C982" s="68" t="s">
        <v>219</v>
      </c>
      <c r="D982" s="69">
        <v>4</v>
      </c>
      <c r="E982" s="70">
        <v>1.3482994573099999E-4</v>
      </c>
    </row>
    <row r="983" spans="2:5" ht="14.45" customHeight="1">
      <c r="B983" s="88"/>
      <c r="C983" s="68" t="s">
        <v>220</v>
      </c>
      <c r="D983" s="69">
        <v>1</v>
      </c>
      <c r="E983" s="70">
        <v>3.3707486433000001E-5</v>
      </c>
    </row>
    <row r="984" spans="2:5" ht="14.45" customHeight="1">
      <c r="B984" s="88"/>
      <c r="C984" s="68" t="s">
        <v>226</v>
      </c>
      <c r="D984" s="69">
        <v>3</v>
      </c>
      <c r="E984" s="70">
        <v>1.0112245929799999E-4</v>
      </c>
    </row>
    <row r="985" spans="2:5" ht="14.45" customHeight="1">
      <c r="B985" s="88"/>
      <c r="C985" s="36" t="s">
        <v>29</v>
      </c>
      <c r="D985" s="35">
        <v>12</v>
      </c>
      <c r="E985" s="34">
        <v>4.0448983719299999E-4</v>
      </c>
    </row>
    <row r="986" spans="2:5" ht="14.45" customHeight="1">
      <c r="B986" s="88" t="s">
        <v>136</v>
      </c>
      <c r="C986" s="68" t="s">
        <v>195</v>
      </c>
      <c r="D986" s="69">
        <v>2</v>
      </c>
      <c r="E986" s="70">
        <v>6.7414972865000001E-5</v>
      </c>
    </row>
    <row r="987" spans="2:5" ht="14.45" customHeight="1">
      <c r="B987" s="88"/>
      <c r="C987" s="68" t="s">
        <v>196</v>
      </c>
      <c r="D987" s="69">
        <v>1</v>
      </c>
      <c r="E987" s="70">
        <v>3.3707486433000001E-5</v>
      </c>
    </row>
    <row r="988" spans="2:5" ht="14.45" customHeight="1">
      <c r="B988" s="88"/>
      <c r="C988" s="68" t="s">
        <v>197</v>
      </c>
      <c r="D988" s="69">
        <v>1</v>
      </c>
      <c r="E988" s="70">
        <v>3.3707486433000001E-5</v>
      </c>
    </row>
    <row r="989" spans="2:5" ht="14.45" customHeight="1">
      <c r="B989" s="88"/>
      <c r="C989" s="68" t="s">
        <v>198</v>
      </c>
      <c r="D989" s="69">
        <v>2</v>
      </c>
      <c r="E989" s="70">
        <v>6.7414972865000001E-5</v>
      </c>
    </row>
    <row r="990" spans="2:5" ht="14.45" customHeight="1">
      <c r="B990" s="88"/>
      <c r="C990" s="68" t="s">
        <v>200</v>
      </c>
      <c r="D990" s="69">
        <v>1</v>
      </c>
      <c r="E990" s="70">
        <v>3.3707486433000001E-5</v>
      </c>
    </row>
    <row r="991" spans="2:5" ht="14.45" customHeight="1">
      <c r="B991" s="88"/>
      <c r="C991" s="68" t="s">
        <v>203</v>
      </c>
      <c r="D991" s="69">
        <v>1</v>
      </c>
      <c r="E991" s="70">
        <v>3.3707486433000001E-5</v>
      </c>
    </row>
    <row r="992" spans="2:5" ht="14.45" customHeight="1">
      <c r="B992" s="88"/>
      <c r="C992" s="68" t="s">
        <v>205</v>
      </c>
      <c r="D992" s="69">
        <v>1</v>
      </c>
      <c r="E992" s="70">
        <v>3.3707486433000001E-5</v>
      </c>
    </row>
    <row r="993" spans="2:5" ht="14.45" customHeight="1">
      <c r="B993" s="88"/>
      <c r="C993" s="68" t="s">
        <v>206</v>
      </c>
      <c r="D993" s="69">
        <v>1</v>
      </c>
      <c r="E993" s="70">
        <v>3.3707486433000001E-5</v>
      </c>
    </row>
    <row r="994" spans="2:5" ht="14.45" customHeight="1">
      <c r="B994" s="88"/>
      <c r="C994" s="68" t="s">
        <v>209</v>
      </c>
      <c r="D994" s="69">
        <v>5</v>
      </c>
      <c r="E994" s="70">
        <v>1.68537432164E-4</v>
      </c>
    </row>
    <row r="995" spans="2:5" ht="14.45" customHeight="1">
      <c r="B995" s="88"/>
      <c r="C995" s="68" t="s">
        <v>215</v>
      </c>
      <c r="D995" s="69">
        <v>5</v>
      </c>
      <c r="E995" s="70">
        <v>1.68537432164E-4</v>
      </c>
    </row>
    <row r="996" spans="2:5" ht="14.45" customHeight="1">
      <c r="B996" s="88"/>
      <c r="C996" s="68" t="s">
        <v>218</v>
      </c>
      <c r="D996" s="69">
        <v>1</v>
      </c>
      <c r="E996" s="70">
        <v>3.3707486433000001E-5</v>
      </c>
    </row>
    <row r="997" spans="2:5" ht="14.45" customHeight="1">
      <c r="B997" s="88"/>
      <c r="C997" s="68" t="s">
        <v>221</v>
      </c>
      <c r="D997" s="69">
        <v>3</v>
      </c>
      <c r="E997" s="70">
        <v>1.0112245929799999E-4</v>
      </c>
    </row>
    <row r="998" spans="2:5" ht="14.45" customHeight="1">
      <c r="B998" s="88"/>
      <c r="C998" s="68" t="s">
        <v>222</v>
      </c>
      <c r="D998" s="69">
        <v>2</v>
      </c>
      <c r="E998" s="70">
        <v>6.7414972865000001E-5</v>
      </c>
    </row>
    <row r="999" spans="2:5" ht="14.45" customHeight="1">
      <c r="B999" s="88"/>
      <c r="C999" s="68" t="s">
        <v>241</v>
      </c>
      <c r="D999" s="69">
        <v>1</v>
      </c>
      <c r="E999" s="70">
        <v>3.3707486433000001E-5</v>
      </c>
    </row>
    <row r="1000" spans="2:5" ht="14.45" customHeight="1">
      <c r="B1000" s="88"/>
      <c r="C1000" s="36" t="s">
        <v>29</v>
      </c>
      <c r="D1000" s="35">
        <v>27</v>
      </c>
      <c r="E1000" s="34">
        <v>9.1010213368400005E-4</v>
      </c>
    </row>
    <row r="1001" spans="2:5" ht="14.45" customHeight="1">
      <c r="B1001" s="88" t="s">
        <v>137</v>
      </c>
      <c r="C1001" s="68" t="s">
        <v>206</v>
      </c>
      <c r="D1001" s="69">
        <v>1</v>
      </c>
      <c r="E1001" s="70">
        <v>3.3707486433000001E-5</v>
      </c>
    </row>
    <row r="1002" spans="2:5" ht="14.45" customHeight="1">
      <c r="B1002" s="88"/>
      <c r="C1002" s="68" t="s">
        <v>213</v>
      </c>
      <c r="D1002" s="69">
        <v>1</v>
      </c>
      <c r="E1002" s="70">
        <v>3.3707486433000001E-5</v>
      </c>
    </row>
    <row r="1003" spans="2:5" ht="14.45" customHeight="1">
      <c r="B1003" s="88"/>
      <c r="C1003" s="36" t="s">
        <v>29</v>
      </c>
      <c r="D1003" s="35">
        <v>2</v>
      </c>
      <c r="E1003" s="34">
        <v>6.7414972865000001E-5</v>
      </c>
    </row>
    <row r="1004" spans="2:5" ht="14.45" customHeight="1">
      <c r="B1004" s="88" t="s">
        <v>138</v>
      </c>
      <c r="C1004" s="68" t="s">
        <v>196</v>
      </c>
      <c r="D1004" s="69">
        <v>10</v>
      </c>
      <c r="E1004" s="70">
        <v>3.3707486432699998E-4</v>
      </c>
    </row>
    <row r="1005" spans="2:5" ht="14.45" customHeight="1">
      <c r="B1005" s="88"/>
      <c r="C1005" s="68" t="s">
        <v>197</v>
      </c>
      <c r="D1005" s="69">
        <v>11</v>
      </c>
      <c r="E1005" s="70">
        <v>3.7078235075999999E-4</v>
      </c>
    </row>
    <row r="1006" spans="2:5" ht="14.45" customHeight="1">
      <c r="B1006" s="88"/>
      <c r="C1006" s="68" t="s">
        <v>198</v>
      </c>
      <c r="D1006" s="69">
        <v>2</v>
      </c>
      <c r="E1006" s="70">
        <v>6.7414972865000001E-5</v>
      </c>
    </row>
    <row r="1007" spans="2:5" ht="14.45" customHeight="1">
      <c r="B1007" s="88"/>
      <c r="C1007" s="68" t="s">
        <v>248</v>
      </c>
      <c r="D1007" s="69">
        <v>1</v>
      </c>
      <c r="E1007" s="70">
        <v>3.3707486433000001E-5</v>
      </c>
    </row>
    <row r="1008" spans="2:5" ht="14.45" customHeight="1">
      <c r="B1008" s="88"/>
      <c r="C1008" s="68" t="s">
        <v>242</v>
      </c>
      <c r="D1008" s="69">
        <v>2</v>
      </c>
      <c r="E1008" s="70">
        <v>6.7414972865000001E-5</v>
      </c>
    </row>
    <row r="1009" spans="2:5" ht="14.45" customHeight="1">
      <c r="B1009" s="88"/>
      <c r="C1009" s="68" t="s">
        <v>199</v>
      </c>
      <c r="D1009" s="69">
        <v>1</v>
      </c>
      <c r="E1009" s="70">
        <v>3.3707486433000001E-5</v>
      </c>
    </row>
    <row r="1010" spans="2:5" ht="14.45" customHeight="1">
      <c r="B1010" s="88"/>
      <c r="C1010" s="68" t="s">
        <v>200</v>
      </c>
      <c r="D1010" s="69">
        <v>7</v>
      </c>
      <c r="E1010" s="70">
        <v>2.35952405029E-4</v>
      </c>
    </row>
    <row r="1011" spans="2:5" ht="14.45" customHeight="1">
      <c r="B1011" s="88"/>
      <c r="C1011" s="68" t="s">
        <v>201</v>
      </c>
      <c r="D1011" s="69">
        <v>13</v>
      </c>
      <c r="E1011" s="70">
        <v>4.38197323626E-4</v>
      </c>
    </row>
    <row r="1012" spans="2:5" ht="14.45" customHeight="1">
      <c r="B1012" s="88"/>
      <c r="C1012" s="68" t="s">
        <v>202</v>
      </c>
      <c r="D1012" s="69">
        <v>5</v>
      </c>
      <c r="E1012" s="70">
        <v>1.68537432164E-4</v>
      </c>
    </row>
    <row r="1013" spans="2:5" ht="14.45" customHeight="1">
      <c r="B1013" s="88"/>
      <c r="C1013" s="68" t="s">
        <v>203</v>
      </c>
      <c r="D1013" s="69">
        <v>23</v>
      </c>
      <c r="E1013" s="70">
        <v>7.7527218795299998E-4</v>
      </c>
    </row>
    <row r="1014" spans="2:5" ht="14.45" customHeight="1">
      <c r="B1014" s="88"/>
      <c r="C1014" s="68" t="s">
        <v>204</v>
      </c>
      <c r="D1014" s="69">
        <v>8</v>
      </c>
      <c r="E1014" s="70">
        <v>2.6965989146199998E-4</v>
      </c>
    </row>
    <row r="1015" spans="2:5" ht="14.45" customHeight="1">
      <c r="B1015" s="88"/>
      <c r="C1015" s="68" t="s">
        <v>205</v>
      </c>
      <c r="D1015" s="69">
        <v>8</v>
      </c>
      <c r="E1015" s="70">
        <v>2.6965989146199998E-4</v>
      </c>
    </row>
    <row r="1016" spans="2:5" ht="14.45" customHeight="1">
      <c r="B1016" s="88"/>
      <c r="C1016" s="68" t="s">
        <v>243</v>
      </c>
      <c r="D1016" s="69">
        <v>4</v>
      </c>
      <c r="E1016" s="70">
        <v>1.3482994573099999E-4</v>
      </c>
    </row>
    <row r="1017" spans="2:5" ht="14.45" customHeight="1">
      <c r="B1017" s="88"/>
      <c r="C1017" s="68" t="s">
        <v>206</v>
      </c>
      <c r="D1017" s="69">
        <v>5</v>
      </c>
      <c r="E1017" s="70">
        <v>1.68537432164E-4</v>
      </c>
    </row>
    <row r="1018" spans="2:5" ht="14.45" customHeight="1">
      <c r="B1018" s="88"/>
      <c r="C1018" s="68" t="s">
        <v>207</v>
      </c>
      <c r="D1018" s="69">
        <v>3</v>
      </c>
      <c r="E1018" s="70">
        <v>1.0112245929799999E-4</v>
      </c>
    </row>
    <row r="1019" spans="2:5" ht="14.45" customHeight="1">
      <c r="B1019" s="88"/>
      <c r="C1019" s="68" t="s">
        <v>208</v>
      </c>
      <c r="D1019" s="69">
        <v>1</v>
      </c>
      <c r="E1019" s="70">
        <v>3.3707486433000001E-5</v>
      </c>
    </row>
    <row r="1020" spans="2:5" ht="14.45" customHeight="1">
      <c r="B1020" s="88"/>
      <c r="C1020" s="68" t="s">
        <v>209</v>
      </c>
      <c r="D1020" s="69">
        <v>5</v>
      </c>
      <c r="E1020" s="70">
        <v>1.68537432164E-4</v>
      </c>
    </row>
    <row r="1021" spans="2:5" ht="14.45" customHeight="1">
      <c r="B1021" s="88"/>
      <c r="C1021" s="68" t="s">
        <v>232</v>
      </c>
      <c r="D1021" s="69">
        <v>1</v>
      </c>
      <c r="E1021" s="70">
        <v>3.3707486433000001E-5</v>
      </c>
    </row>
    <row r="1022" spans="2:5" ht="14.45" customHeight="1">
      <c r="B1022" s="88"/>
      <c r="C1022" s="68" t="s">
        <v>212</v>
      </c>
      <c r="D1022" s="69">
        <v>10</v>
      </c>
      <c r="E1022" s="70">
        <v>3.3707486432699998E-4</v>
      </c>
    </row>
    <row r="1023" spans="2:5" ht="14.45" customHeight="1">
      <c r="B1023" s="88"/>
      <c r="C1023" s="68" t="s">
        <v>213</v>
      </c>
      <c r="D1023" s="69">
        <v>30</v>
      </c>
      <c r="E1023" s="70">
        <v>1.0112245929819999E-3</v>
      </c>
    </row>
    <row r="1024" spans="2:5" ht="14.45" customHeight="1">
      <c r="B1024" s="88"/>
      <c r="C1024" s="68" t="s">
        <v>214</v>
      </c>
      <c r="D1024" s="69">
        <v>2</v>
      </c>
      <c r="E1024" s="70">
        <v>6.7414972865000001E-5</v>
      </c>
    </row>
    <row r="1025" spans="2:5" ht="14.45" customHeight="1">
      <c r="B1025" s="88"/>
      <c r="C1025" s="68" t="s">
        <v>234</v>
      </c>
      <c r="D1025" s="69">
        <v>6</v>
      </c>
      <c r="E1025" s="70">
        <v>2.0224491859599999E-4</v>
      </c>
    </row>
    <row r="1026" spans="2:5" ht="14.45" customHeight="1">
      <c r="B1026" s="88"/>
      <c r="C1026" s="68" t="s">
        <v>215</v>
      </c>
      <c r="D1026" s="69">
        <v>31</v>
      </c>
      <c r="E1026" s="70">
        <v>1.0449320794149999E-3</v>
      </c>
    </row>
    <row r="1027" spans="2:5" ht="14.45" customHeight="1">
      <c r="B1027" s="88"/>
      <c r="C1027" s="68" t="s">
        <v>216</v>
      </c>
      <c r="D1027" s="69">
        <v>1</v>
      </c>
      <c r="E1027" s="70">
        <v>3.3707486433000001E-5</v>
      </c>
    </row>
    <row r="1028" spans="2:5" ht="14.45" customHeight="1">
      <c r="B1028" s="88"/>
      <c r="C1028" s="68" t="s">
        <v>217</v>
      </c>
      <c r="D1028" s="69">
        <v>2</v>
      </c>
      <c r="E1028" s="70">
        <v>6.7414972865000001E-5</v>
      </c>
    </row>
    <row r="1029" spans="2:5" ht="14.45" customHeight="1">
      <c r="B1029" s="88"/>
      <c r="C1029" s="68" t="s">
        <v>218</v>
      </c>
      <c r="D1029" s="69">
        <v>4</v>
      </c>
      <c r="E1029" s="70">
        <v>1.3482994573099999E-4</v>
      </c>
    </row>
    <row r="1030" spans="2:5" ht="14.45" customHeight="1">
      <c r="B1030" s="88"/>
      <c r="C1030" s="68" t="s">
        <v>236</v>
      </c>
      <c r="D1030" s="69">
        <v>1</v>
      </c>
      <c r="E1030" s="70">
        <v>3.3707486433000001E-5</v>
      </c>
    </row>
    <row r="1031" spans="2:5" ht="14.45" customHeight="1">
      <c r="B1031" s="88"/>
      <c r="C1031" s="68" t="s">
        <v>220</v>
      </c>
      <c r="D1031" s="69">
        <v>12</v>
      </c>
      <c r="E1031" s="70">
        <v>4.0448983719299999E-4</v>
      </c>
    </row>
    <row r="1032" spans="2:5" ht="14.45" customHeight="1">
      <c r="B1032" s="88"/>
      <c r="C1032" s="68" t="s">
        <v>221</v>
      </c>
      <c r="D1032" s="69">
        <v>30</v>
      </c>
      <c r="E1032" s="70">
        <v>1.0112245929819999E-3</v>
      </c>
    </row>
    <row r="1033" spans="2:5" ht="14.45" customHeight="1">
      <c r="B1033" s="88"/>
      <c r="C1033" s="68" t="s">
        <v>245</v>
      </c>
      <c r="D1033" s="69">
        <v>2</v>
      </c>
      <c r="E1033" s="70">
        <v>6.7414972865000001E-5</v>
      </c>
    </row>
    <row r="1034" spans="2:5" ht="14.45" customHeight="1">
      <c r="B1034" s="88"/>
      <c r="C1034" s="68" t="s">
        <v>222</v>
      </c>
      <c r="D1034" s="69">
        <v>5</v>
      </c>
      <c r="E1034" s="70">
        <v>1.68537432164E-4</v>
      </c>
    </row>
    <row r="1035" spans="2:5" ht="14.45" customHeight="1">
      <c r="B1035" s="88"/>
      <c r="C1035" s="68" t="s">
        <v>223</v>
      </c>
      <c r="D1035" s="69">
        <v>1</v>
      </c>
      <c r="E1035" s="70">
        <v>3.3707486433000001E-5</v>
      </c>
    </row>
    <row r="1036" spans="2:5" ht="14.45" customHeight="1">
      <c r="B1036" s="88"/>
      <c r="C1036" s="68" t="s">
        <v>250</v>
      </c>
      <c r="D1036" s="69">
        <v>1</v>
      </c>
      <c r="E1036" s="70">
        <v>3.3707486433000001E-5</v>
      </c>
    </row>
    <row r="1037" spans="2:5" ht="14.45" customHeight="1">
      <c r="B1037" s="88"/>
      <c r="C1037" s="68" t="s">
        <v>225</v>
      </c>
      <c r="D1037" s="69">
        <v>9</v>
      </c>
      <c r="E1037" s="70">
        <v>3.0336737789499998E-4</v>
      </c>
    </row>
    <row r="1038" spans="2:5" ht="14.45" customHeight="1">
      <c r="B1038" s="88"/>
      <c r="C1038" s="68" t="s">
        <v>251</v>
      </c>
      <c r="D1038" s="69">
        <v>1</v>
      </c>
      <c r="E1038" s="70">
        <v>3.3707486433000001E-5</v>
      </c>
    </row>
    <row r="1039" spans="2:5" ht="14.45" customHeight="1">
      <c r="B1039" s="88"/>
      <c r="C1039" s="68" t="s">
        <v>239</v>
      </c>
      <c r="D1039" s="69">
        <v>1</v>
      </c>
      <c r="E1039" s="70">
        <v>3.3707486433000001E-5</v>
      </c>
    </row>
    <row r="1040" spans="2:5" ht="14.45" customHeight="1">
      <c r="B1040" s="88"/>
      <c r="C1040" s="68" t="s">
        <v>240</v>
      </c>
      <c r="D1040" s="69">
        <v>2</v>
      </c>
      <c r="E1040" s="70">
        <v>6.7414972865000001E-5</v>
      </c>
    </row>
    <row r="1041" spans="2:5" ht="14.45" customHeight="1">
      <c r="B1041" s="88"/>
      <c r="C1041" s="68" t="s">
        <v>226</v>
      </c>
      <c r="D1041" s="69">
        <v>10</v>
      </c>
      <c r="E1041" s="70">
        <v>3.3707486432699998E-4</v>
      </c>
    </row>
    <row r="1042" spans="2:5" ht="14.45" customHeight="1">
      <c r="B1042" s="88"/>
      <c r="C1042" s="68" t="s">
        <v>247</v>
      </c>
      <c r="D1042" s="69">
        <v>1</v>
      </c>
      <c r="E1042" s="70">
        <v>3.3707486433000001E-5</v>
      </c>
    </row>
    <row r="1043" spans="2:5" ht="14.45" customHeight="1">
      <c r="B1043" s="88"/>
      <c r="C1043" s="68" t="s">
        <v>229</v>
      </c>
      <c r="D1043" s="69">
        <v>9</v>
      </c>
      <c r="E1043" s="70">
        <v>3.0336737789499998E-4</v>
      </c>
    </row>
    <row r="1044" spans="2:5" ht="14.45" customHeight="1">
      <c r="B1044" s="88"/>
      <c r="C1044" s="36" t="s">
        <v>29</v>
      </c>
      <c r="D1044" s="35">
        <v>281</v>
      </c>
      <c r="E1044" s="34">
        <v>9.4718036875989994E-3</v>
      </c>
    </row>
    <row r="1045" spans="2:5" ht="14.45" customHeight="1">
      <c r="B1045" s="88" t="s">
        <v>139</v>
      </c>
      <c r="C1045" s="68" t="s">
        <v>203</v>
      </c>
      <c r="D1045" s="69">
        <v>1</v>
      </c>
      <c r="E1045" s="70">
        <v>3.3707486433000001E-5</v>
      </c>
    </row>
    <row r="1046" spans="2:5" ht="14.45" customHeight="1">
      <c r="B1046" s="88"/>
      <c r="C1046" s="68" t="s">
        <v>214</v>
      </c>
      <c r="D1046" s="69">
        <v>1</v>
      </c>
      <c r="E1046" s="70">
        <v>3.3707486433000001E-5</v>
      </c>
    </row>
    <row r="1047" spans="2:5" ht="14.45" customHeight="1">
      <c r="B1047" s="88"/>
      <c r="C1047" s="68" t="s">
        <v>215</v>
      </c>
      <c r="D1047" s="69">
        <v>3</v>
      </c>
      <c r="E1047" s="70">
        <v>1.0112245929799999E-4</v>
      </c>
    </row>
    <row r="1048" spans="2:5" ht="14.45" customHeight="1">
      <c r="B1048" s="88"/>
      <c r="C1048" s="68" t="s">
        <v>218</v>
      </c>
      <c r="D1048" s="69">
        <v>2</v>
      </c>
      <c r="E1048" s="70">
        <v>6.7414972865000001E-5</v>
      </c>
    </row>
    <row r="1049" spans="2:5" ht="14.45" customHeight="1">
      <c r="B1049" s="88"/>
      <c r="C1049" s="68" t="s">
        <v>220</v>
      </c>
      <c r="D1049" s="69">
        <v>1</v>
      </c>
      <c r="E1049" s="70">
        <v>3.3707486433000001E-5</v>
      </c>
    </row>
    <row r="1050" spans="2:5" ht="14.45" customHeight="1">
      <c r="B1050" s="88"/>
      <c r="C1050" s="68" t="s">
        <v>222</v>
      </c>
      <c r="D1050" s="69">
        <v>1</v>
      </c>
      <c r="E1050" s="70">
        <v>3.3707486433000001E-5</v>
      </c>
    </row>
    <row r="1051" spans="2:5" ht="14.45" customHeight="1">
      <c r="B1051" s="88"/>
      <c r="C1051" s="68" t="s">
        <v>225</v>
      </c>
      <c r="D1051" s="69">
        <v>1</v>
      </c>
      <c r="E1051" s="70">
        <v>3.3707486433000001E-5</v>
      </c>
    </row>
    <row r="1052" spans="2:5" ht="14.45" customHeight="1">
      <c r="B1052" s="88"/>
      <c r="C1052" s="68" t="s">
        <v>226</v>
      </c>
      <c r="D1052" s="69">
        <v>3</v>
      </c>
      <c r="E1052" s="70">
        <v>1.0112245929799999E-4</v>
      </c>
    </row>
    <row r="1053" spans="2:5" ht="14.45" customHeight="1">
      <c r="B1053" s="88"/>
      <c r="C1053" s="36" t="s">
        <v>29</v>
      </c>
      <c r="D1053" s="35">
        <v>13</v>
      </c>
      <c r="E1053" s="34">
        <v>4.38197323626E-4</v>
      </c>
    </row>
    <row r="1054" spans="2:5" ht="14.45" customHeight="1">
      <c r="B1054" s="88" t="s">
        <v>140</v>
      </c>
      <c r="C1054" s="68" t="s">
        <v>195</v>
      </c>
      <c r="D1054" s="69">
        <v>4</v>
      </c>
      <c r="E1054" s="70">
        <v>1.3482994573099999E-4</v>
      </c>
    </row>
    <row r="1055" spans="2:5" ht="14.45" customHeight="1">
      <c r="B1055" s="88"/>
      <c r="C1055" s="68" t="s">
        <v>196</v>
      </c>
      <c r="D1055" s="69">
        <v>2</v>
      </c>
      <c r="E1055" s="70">
        <v>6.7414972865000001E-5</v>
      </c>
    </row>
    <row r="1056" spans="2:5" ht="14.45" customHeight="1">
      <c r="B1056" s="88"/>
      <c r="C1056" s="68" t="s">
        <v>197</v>
      </c>
      <c r="D1056" s="69">
        <v>16</v>
      </c>
      <c r="E1056" s="70">
        <v>5.3931978292399995E-4</v>
      </c>
    </row>
    <row r="1057" spans="2:5" ht="14.45" customHeight="1">
      <c r="B1057" s="88"/>
      <c r="C1057" s="68" t="s">
        <v>198</v>
      </c>
      <c r="D1057" s="69">
        <v>1</v>
      </c>
      <c r="E1057" s="70">
        <v>3.3707486433000001E-5</v>
      </c>
    </row>
    <row r="1058" spans="2:5" ht="14.45" customHeight="1">
      <c r="B1058" s="88"/>
      <c r="C1058" s="68" t="s">
        <v>248</v>
      </c>
      <c r="D1058" s="69">
        <v>4</v>
      </c>
      <c r="E1058" s="70">
        <v>1.3482994573099999E-4</v>
      </c>
    </row>
    <row r="1059" spans="2:5" ht="14.45" customHeight="1">
      <c r="B1059" s="88"/>
      <c r="C1059" s="68" t="s">
        <v>242</v>
      </c>
      <c r="D1059" s="69">
        <v>2</v>
      </c>
      <c r="E1059" s="70">
        <v>6.7414972865000001E-5</v>
      </c>
    </row>
    <row r="1060" spans="2:5" ht="14.45" customHeight="1">
      <c r="B1060" s="88"/>
      <c r="C1060" s="68" t="s">
        <v>199</v>
      </c>
      <c r="D1060" s="69">
        <v>1</v>
      </c>
      <c r="E1060" s="70">
        <v>3.3707486433000001E-5</v>
      </c>
    </row>
    <row r="1061" spans="2:5" ht="14.45" customHeight="1">
      <c r="B1061" s="88"/>
      <c r="C1061" s="68" t="s">
        <v>200</v>
      </c>
      <c r="D1061" s="69">
        <v>10</v>
      </c>
      <c r="E1061" s="70">
        <v>3.3707486432699998E-4</v>
      </c>
    </row>
    <row r="1062" spans="2:5" ht="14.45" customHeight="1">
      <c r="B1062" s="88"/>
      <c r="C1062" s="68" t="s">
        <v>201</v>
      </c>
      <c r="D1062" s="69">
        <v>17</v>
      </c>
      <c r="E1062" s="70">
        <v>5.7302726935699996E-4</v>
      </c>
    </row>
    <row r="1063" spans="2:5" ht="14.45" customHeight="1">
      <c r="B1063" s="88"/>
      <c r="C1063" s="68" t="s">
        <v>202</v>
      </c>
      <c r="D1063" s="69">
        <v>14</v>
      </c>
      <c r="E1063" s="70">
        <v>4.7190481005799999E-4</v>
      </c>
    </row>
    <row r="1064" spans="2:5" ht="14.45" customHeight="1">
      <c r="B1064" s="88"/>
      <c r="C1064" s="68" t="s">
        <v>203</v>
      </c>
      <c r="D1064" s="69">
        <v>21</v>
      </c>
      <c r="E1064" s="70">
        <v>7.0785721508699996E-4</v>
      </c>
    </row>
    <row r="1065" spans="2:5" ht="14.45" customHeight="1">
      <c r="B1065" s="88"/>
      <c r="C1065" s="68" t="s">
        <v>204</v>
      </c>
      <c r="D1065" s="69">
        <v>1</v>
      </c>
      <c r="E1065" s="70">
        <v>3.3707486433000001E-5</v>
      </c>
    </row>
    <row r="1066" spans="2:5" ht="14.45" customHeight="1">
      <c r="B1066" s="88"/>
      <c r="C1066" s="68" t="s">
        <v>205</v>
      </c>
      <c r="D1066" s="69">
        <v>8</v>
      </c>
      <c r="E1066" s="70">
        <v>2.6965989146199998E-4</v>
      </c>
    </row>
    <row r="1067" spans="2:5" ht="14.45" customHeight="1">
      <c r="B1067" s="88"/>
      <c r="C1067" s="68" t="s">
        <v>243</v>
      </c>
      <c r="D1067" s="69">
        <v>4</v>
      </c>
      <c r="E1067" s="70">
        <v>1.3482994573099999E-4</v>
      </c>
    </row>
    <row r="1068" spans="2:5" ht="14.45" customHeight="1">
      <c r="B1068" s="88"/>
      <c r="C1068" s="68" t="s">
        <v>206</v>
      </c>
      <c r="D1068" s="69">
        <v>8</v>
      </c>
      <c r="E1068" s="70">
        <v>2.6965989146199998E-4</v>
      </c>
    </row>
    <row r="1069" spans="2:5" ht="14.45" customHeight="1">
      <c r="B1069" s="88"/>
      <c r="C1069" s="68" t="s">
        <v>208</v>
      </c>
      <c r="D1069" s="69">
        <v>3</v>
      </c>
      <c r="E1069" s="70">
        <v>1.0112245929799999E-4</v>
      </c>
    </row>
    <row r="1070" spans="2:5" ht="14.45" customHeight="1">
      <c r="B1070" s="88"/>
      <c r="C1070" s="68" t="s">
        <v>209</v>
      </c>
      <c r="D1070" s="69">
        <v>21</v>
      </c>
      <c r="E1070" s="70">
        <v>7.0785721508699996E-4</v>
      </c>
    </row>
    <row r="1071" spans="2:5" ht="14.45" customHeight="1">
      <c r="B1071" s="88"/>
      <c r="C1071" s="68" t="s">
        <v>210</v>
      </c>
      <c r="D1071" s="69">
        <v>1</v>
      </c>
      <c r="E1071" s="70">
        <v>3.3707486433000001E-5</v>
      </c>
    </row>
    <row r="1072" spans="2:5" ht="14.45" customHeight="1">
      <c r="B1072" s="88"/>
      <c r="C1072" s="68" t="s">
        <v>232</v>
      </c>
      <c r="D1072" s="69">
        <v>3</v>
      </c>
      <c r="E1072" s="70">
        <v>1.0112245929799999E-4</v>
      </c>
    </row>
    <row r="1073" spans="2:5" ht="14.45" customHeight="1">
      <c r="B1073" s="88"/>
      <c r="C1073" s="68" t="s">
        <v>211</v>
      </c>
      <c r="D1073" s="69">
        <v>4</v>
      </c>
      <c r="E1073" s="70">
        <v>1.3482994573099999E-4</v>
      </c>
    </row>
    <row r="1074" spans="2:5" ht="14.45" customHeight="1">
      <c r="B1074" s="88"/>
      <c r="C1074" s="68" t="s">
        <v>212</v>
      </c>
      <c r="D1074" s="69">
        <v>3</v>
      </c>
      <c r="E1074" s="70">
        <v>1.0112245929799999E-4</v>
      </c>
    </row>
    <row r="1075" spans="2:5" ht="14.45" customHeight="1">
      <c r="B1075" s="88"/>
      <c r="C1075" s="68" t="s">
        <v>213</v>
      </c>
      <c r="D1075" s="69">
        <v>47</v>
      </c>
      <c r="E1075" s="70">
        <v>1.584251862339E-3</v>
      </c>
    </row>
    <row r="1076" spans="2:5" ht="14.45" customHeight="1">
      <c r="B1076" s="88"/>
      <c r="C1076" s="68" t="s">
        <v>214</v>
      </c>
      <c r="D1076" s="69">
        <v>13</v>
      </c>
      <c r="E1076" s="70">
        <v>4.38197323626E-4</v>
      </c>
    </row>
    <row r="1077" spans="2:5" ht="14.45" customHeight="1">
      <c r="B1077" s="88"/>
      <c r="C1077" s="68" t="s">
        <v>234</v>
      </c>
      <c r="D1077" s="69">
        <v>2</v>
      </c>
      <c r="E1077" s="70">
        <v>6.7414972865000001E-5</v>
      </c>
    </row>
    <row r="1078" spans="2:5" ht="14.45" customHeight="1">
      <c r="B1078" s="88"/>
      <c r="C1078" s="68" t="s">
        <v>215</v>
      </c>
      <c r="D1078" s="69">
        <v>75</v>
      </c>
      <c r="E1078" s="70">
        <v>2.5280614824549998E-3</v>
      </c>
    </row>
    <row r="1079" spans="2:5" ht="14.45" customHeight="1">
      <c r="B1079" s="88"/>
      <c r="C1079" s="68" t="s">
        <v>244</v>
      </c>
      <c r="D1079" s="69">
        <v>1</v>
      </c>
      <c r="E1079" s="70">
        <v>3.3707486433000001E-5</v>
      </c>
    </row>
    <row r="1080" spans="2:5" ht="14.45" customHeight="1">
      <c r="B1080" s="88"/>
      <c r="C1080" s="68" t="s">
        <v>217</v>
      </c>
      <c r="D1080" s="69">
        <v>7</v>
      </c>
      <c r="E1080" s="70">
        <v>2.35952405029E-4</v>
      </c>
    </row>
    <row r="1081" spans="2:5" ht="14.45" customHeight="1">
      <c r="B1081" s="88"/>
      <c r="C1081" s="68" t="s">
        <v>218</v>
      </c>
      <c r="D1081" s="69">
        <v>42</v>
      </c>
      <c r="E1081" s="70">
        <v>1.415714430175E-3</v>
      </c>
    </row>
    <row r="1082" spans="2:5" ht="14.45" customHeight="1">
      <c r="B1082" s="88"/>
      <c r="C1082" s="68" t="s">
        <v>219</v>
      </c>
      <c r="D1082" s="69">
        <v>1</v>
      </c>
      <c r="E1082" s="70">
        <v>3.3707486433000001E-5</v>
      </c>
    </row>
    <row r="1083" spans="2:5" ht="14.45" customHeight="1">
      <c r="B1083" s="88"/>
      <c r="C1083" s="68" t="s">
        <v>236</v>
      </c>
      <c r="D1083" s="69">
        <v>2</v>
      </c>
      <c r="E1083" s="70">
        <v>6.7414972865000001E-5</v>
      </c>
    </row>
    <row r="1084" spans="2:5" ht="14.45" customHeight="1">
      <c r="B1084" s="88"/>
      <c r="C1084" s="68" t="s">
        <v>220</v>
      </c>
      <c r="D1084" s="69">
        <v>21</v>
      </c>
      <c r="E1084" s="70">
        <v>7.0785721508699996E-4</v>
      </c>
    </row>
    <row r="1085" spans="2:5" ht="14.45" customHeight="1">
      <c r="B1085" s="88"/>
      <c r="C1085" s="68" t="s">
        <v>221</v>
      </c>
      <c r="D1085" s="69">
        <v>13</v>
      </c>
      <c r="E1085" s="70">
        <v>4.38197323626E-4</v>
      </c>
    </row>
    <row r="1086" spans="2:5" ht="14.45" customHeight="1">
      <c r="B1086" s="88"/>
      <c r="C1086" s="68" t="s">
        <v>237</v>
      </c>
      <c r="D1086" s="69">
        <v>1</v>
      </c>
      <c r="E1086" s="70">
        <v>3.3707486433000001E-5</v>
      </c>
    </row>
    <row r="1087" spans="2:5" ht="14.45" customHeight="1">
      <c r="B1087" s="88"/>
      <c r="C1087" s="68" t="s">
        <v>245</v>
      </c>
      <c r="D1087" s="69">
        <v>1</v>
      </c>
      <c r="E1087" s="70">
        <v>3.3707486433000001E-5</v>
      </c>
    </row>
    <row r="1088" spans="2:5" ht="14.45" customHeight="1">
      <c r="B1088" s="88"/>
      <c r="C1088" s="68" t="s">
        <v>222</v>
      </c>
      <c r="D1088" s="69">
        <v>5</v>
      </c>
      <c r="E1088" s="70">
        <v>1.68537432164E-4</v>
      </c>
    </row>
    <row r="1089" spans="2:5" ht="14.45" customHeight="1">
      <c r="B1089" s="88"/>
      <c r="C1089" s="68" t="s">
        <v>250</v>
      </c>
      <c r="D1089" s="69">
        <v>1</v>
      </c>
      <c r="E1089" s="70">
        <v>3.3707486433000001E-5</v>
      </c>
    </row>
    <row r="1090" spans="2:5" ht="14.45" customHeight="1">
      <c r="B1090" s="88"/>
      <c r="C1090" s="68" t="s">
        <v>224</v>
      </c>
      <c r="D1090" s="69">
        <v>4</v>
      </c>
      <c r="E1090" s="70">
        <v>1.3482994573099999E-4</v>
      </c>
    </row>
    <row r="1091" spans="2:5" ht="14.45" customHeight="1">
      <c r="B1091" s="88"/>
      <c r="C1091" s="68" t="s">
        <v>225</v>
      </c>
      <c r="D1091" s="69">
        <v>3</v>
      </c>
      <c r="E1091" s="70">
        <v>1.0112245929799999E-4</v>
      </c>
    </row>
    <row r="1092" spans="2:5" ht="14.45" customHeight="1">
      <c r="B1092" s="88"/>
      <c r="C1092" s="68" t="s">
        <v>251</v>
      </c>
      <c r="D1092" s="69">
        <v>3</v>
      </c>
      <c r="E1092" s="70">
        <v>1.0112245929799999E-4</v>
      </c>
    </row>
    <row r="1093" spans="2:5" ht="14.45" customHeight="1">
      <c r="B1093" s="88"/>
      <c r="C1093" s="68" t="s">
        <v>238</v>
      </c>
      <c r="D1093" s="69">
        <v>2</v>
      </c>
      <c r="E1093" s="70">
        <v>6.7414972865000001E-5</v>
      </c>
    </row>
    <row r="1094" spans="2:5" ht="14.45" customHeight="1">
      <c r="B1094" s="88"/>
      <c r="C1094" s="68" t="s">
        <v>240</v>
      </c>
      <c r="D1094" s="69">
        <v>3</v>
      </c>
      <c r="E1094" s="70">
        <v>1.0112245929799999E-4</v>
      </c>
    </row>
    <row r="1095" spans="2:5" ht="14.45" customHeight="1">
      <c r="B1095" s="88"/>
      <c r="C1095" s="68" t="s">
        <v>241</v>
      </c>
      <c r="D1095" s="69">
        <v>7</v>
      </c>
      <c r="E1095" s="70">
        <v>2.35952405029E-4</v>
      </c>
    </row>
    <row r="1096" spans="2:5" ht="14.45" customHeight="1">
      <c r="B1096" s="88"/>
      <c r="C1096" s="68" t="s">
        <v>246</v>
      </c>
      <c r="D1096" s="69">
        <v>4</v>
      </c>
      <c r="E1096" s="70">
        <v>1.3482994573099999E-4</v>
      </c>
    </row>
    <row r="1097" spans="2:5" ht="14.45" customHeight="1">
      <c r="B1097" s="88"/>
      <c r="C1097" s="68" t="s">
        <v>226</v>
      </c>
      <c r="D1097" s="69">
        <v>165</v>
      </c>
      <c r="E1097" s="70">
        <v>5.5617352614019998E-3</v>
      </c>
    </row>
    <row r="1098" spans="2:5" ht="14.45" customHeight="1">
      <c r="B1098" s="88"/>
      <c r="C1098" s="68" t="s">
        <v>227</v>
      </c>
      <c r="D1098" s="69">
        <v>26</v>
      </c>
      <c r="E1098" s="70">
        <v>8.7639464725100004E-4</v>
      </c>
    </row>
    <row r="1099" spans="2:5" ht="14.45" customHeight="1">
      <c r="B1099" s="88"/>
      <c r="C1099" s="68" t="s">
        <v>228</v>
      </c>
      <c r="D1099" s="69">
        <v>1</v>
      </c>
      <c r="E1099" s="70">
        <v>3.3707486433000001E-5</v>
      </c>
    </row>
    <row r="1100" spans="2:5" ht="14.45" customHeight="1">
      <c r="B1100" s="88"/>
      <c r="C1100" s="68" t="s">
        <v>247</v>
      </c>
      <c r="D1100" s="69">
        <v>1</v>
      </c>
      <c r="E1100" s="70">
        <v>3.3707486433000001E-5</v>
      </c>
    </row>
    <row r="1101" spans="2:5" ht="14.45" customHeight="1">
      <c r="B1101" s="88"/>
      <c r="C1101" s="68" t="s">
        <v>229</v>
      </c>
      <c r="D1101" s="69">
        <v>25</v>
      </c>
      <c r="E1101" s="70">
        <v>8.4268716081800003E-4</v>
      </c>
    </row>
    <row r="1102" spans="2:5" ht="14.45" customHeight="1">
      <c r="B1102" s="88"/>
      <c r="C1102" s="68" t="s">
        <v>230</v>
      </c>
      <c r="D1102" s="69">
        <v>4</v>
      </c>
      <c r="E1102" s="70">
        <v>1.3482994573099999E-4</v>
      </c>
    </row>
    <row r="1103" spans="2:5" ht="14.45" customHeight="1">
      <c r="B1103" s="88"/>
      <c r="C1103" s="36" t="s">
        <v>29</v>
      </c>
      <c r="D1103" s="35">
        <v>628</v>
      </c>
      <c r="E1103" s="34">
        <v>2.1168301479759E-2</v>
      </c>
    </row>
    <row r="1104" spans="2:5" ht="14.45" customHeight="1">
      <c r="B1104" s="88" t="s">
        <v>141</v>
      </c>
      <c r="C1104" s="68" t="s">
        <v>195</v>
      </c>
      <c r="D1104" s="69">
        <v>654</v>
      </c>
      <c r="E1104" s="70">
        <v>2.2044696127009999E-2</v>
      </c>
    </row>
    <row r="1105" spans="2:5" ht="14.45" customHeight="1">
      <c r="B1105" s="88"/>
      <c r="C1105" s="68" t="s">
        <v>196</v>
      </c>
      <c r="D1105" s="69">
        <v>152</v>
      </c>
      <c r="E1105" s="70">
        <v>5.1235379377760001E-3</v>
      </c>
    </row>
    <row r="1106" spans="2:5" ht="14.45" customHeight="1">
      <c r="B1106" s="88"/>
      <c r="C1106" s="68" t="s">
        <v>197</v>
      </c>
      <c r="D1106" s="69">
        <v>157</v>
      </c>
      <c r="E1106" s="70">
        <v>5.2920753699399999E-3</v>
      </c>
    </row>
    <row r="1107" spans="2:5" ht="14.45" customHeight="1">
      <c r="B1107" s="88"/>
      <c r="C1107" s="68" t="s">
        <v>231</v>
      </c>
      <c r="D1107" s="69">
        <v>76</v>
      </c>
      <c r="E1107" s="70">
        <v>2.5617689688880001E-3</v>
      </c>
    </row>
    <row r="1108" spans="2:5" ht="14.45" customHeight="1">
      <c r="B1108" s="88"/>
      <c r="C1108" s="68" t="s">
        <v>198</v>
      </c>
      <c r="D1108" s="69">
        <v>35</v>
      </c>
      <c r="E1108" s="70">
        <v>1.1797620251460001E-3</v>
      </c>
    </row>
    <row r="1109" spans="2:5" ht="14.45" customHeight="1">
      <c r="B1109" s="88"/>
      <c r="C1109" s="68" t="s">
        <v>248</v>
      </c>
      <c r="D1109" s="69">
        <v>45</v>
      </c>
      <c r="E1109" s="70">
        <v>1.516836889473E-3</v>
      </c>
    </row>
    <row r="1110" spans="2:5" ht="14.45" customHeight="1">
      <c r="B1110" s="88"/>
      <c r="C1110" s="68" t="s">
        <v>242</v>
      </c>
      <c r="D1110" s="69">
        <v>286</v>
      </c>
      <c r="E1110" s="70">
        <v>9.6403411197630001E-3</v>
      </c>
    </row>
    <row r="1111" spans="2:5" ht="14.45" customHeight="1">
      <c r="B1111" s="88"/>
      <c r="C1111" s="68" t="s">
        <v>199</v>
      </c>
      <c r="D1111" s="69">
        <v>668</v>
      </c>
      <c r="E1111" s="70">
        <v>2.2516600937068001E-2</v>
      </c>
    </row>
    <row r="1112" spans="2:5" ht="14.45" customHeight="1">
      <c r="B1112" s="88"/>
      <c r="C1112" s="68" t="s">
        <v>252</v>
      </c>
      <c r="D1112" s="69">
        <v>16</v>
      </c>
      <c r="E1112" s="70">
        <v>5.3931978292399995E-4</v>
      </c>
    </row>
    <row r="1113" spans="2:5" ht="14.45" customHeight="1">
      <c r="B1113" s="88"/>
      <c r="C1113" s="68" t="s">
        <v>200</v>
      </c>
      <c r="D1113" s="69">
        <v>315</v>
      </c>
      <c r="E1113" s="70">
        <v>1.0617858226312E-2</v>
      </c>
    </row>
    <row r="1114" spans="2:5" ht="14.45" customHeight="1">
      <c r="B1114" s="88"/>
      <c r="C1114" s="68" t="s">
        <v>201</v>
      </c>
      <c r="D1114" s="69">
        <v>629</v>
      </c>
      <c r="E1114" s="70">
        <v>2.1202008966191E-2</v>
      </c>
    </row>
    <row r="1115" spans="2:5" ht="14.45" customHeight="1">
      <c r="B1115" s="88"/>
      <c r="C1115" s="68" t="s">
        <v>202</v>
      </c>
      <c r="D1115" s="69">
        <v>583</v>
      </c>
      <c r="E1115" s="70">
        <v>1.9651464590286001E-2</v>
      </c>
    </row>
    <row r="1116" spans="2:5" ht="14.45" customHeight="1">
      <c r="B1116" s="88"/>
      <c r="C1116" s="68" t="s">
        <v>203</v>
      </c>
      <c r="D1116" s="69">
        <v>771</v>
      </c>
      <c r="E1116" s="70">
        <v>2.5988472039640002E-2</v>
      </c>
    </row>
    <row r="1117" spans="2:5" ht="14.45" customHeight="1">
      <c r="B1117" s="88"/>
      <c r="C1117" s="68" t="s">
        <v>253</v>
      </c>
      <c r="D1117" s="69">
        <v>1</v>
      </c>
      <c r="E1117" s="70">
        <v>3.3707486433000001E-5</v>
      </c>
    </row>
    <row r="1118" spans="2:5" ht="14.45" customHeight="1">
      <c r="B1118" s="88"/>
      <c r="C1118" s="68" t="s">
        <v>249</v>
      </c>
      <c r="D1118" s="69">
        <v>16</v>
      </c>
      <c r="E1118" s="70">
        <v>5.3931978292399995E-4</v>
      </c>
    </row>
    <row r="1119" spans="2:5" ht="14.45" customHeight="1">
      <c r="B1119" s="88"/>
      <c r="C1119" s="68" t="s">
        <v>204</v>
      </c>
      <c r="D1119" s="69">
        <v>343</v>
      </c>
      <c r="E1119" s="70">
        <v>1.1561667846428999E-2</v>
      </c>
    </row>
    <row r="1120" spans="2:5" ht="14.45" customHeight="1">
      <c r="B1120" s="88"/>
      <c r="C1120" s="68" t="s">
        <v>205</v>
      </c>
      <c r="D1120" s="69">
        <v>251</v>
      </c>
      <c r="E1120" s="70">
        <v>8.4605790946169993E-3</v>
      </c>
    </row>
    <row r="1121" spans="2:5" ht="14.45" customHeight="1">
      <c r="B1121" s="88"/>
      <c r="C1121" s="68" t="s">
        <v>243</v>
      </c>
      <c r="D1121" s="69">
        <v>43</v>
      </c>
      <c r="E1121" s="70">
        <v>1.449421916608E-3</v>
      </c>
    </row>
    <row r="1122" spans="2:5" ht="14.45" customHeight="1">
      <c r="B1122" s="88"/>
      <c r="C1122" s="68" t="s">
        <v>206</v>
      </c>
      <c r="D1122" s="69">
        <v>368</v>
      </c>
      <c r="E1122" s="70">
        <v>1.2404355007247E-2</v>
      </c>
    </row>
    <row r="1123" spans="2:5" ht="14.45" customHeight="1">
      <c r="B1123" s="88"/>
      <c r="C1123" s="68" t="s">
        <v>207</v>
      </c>
      <c r="D1123" s="69">
        <v>21</v>
      </c>
      <c r="E1123" s="70">
        <v>7.0785721508699996E-4</v>
      </c>
    </row>
    <row r="1124" spans="2:5" ht="14.45" customHeight="1">
      <c r="B1124" s="88"/>
      <c r="C1124" s="68" t="s">
        <v>208</v>
      </c>
      <c r="D1124" s="69">
        <v>262</v>
      </c>
      <c r="E1124" s="70">
        <v>8.8313614453770003E-3</v>
      </c>
    </row>
    <row r="1125" spans="2:5" ht="14.45" customHeight="1">
      <c r="B1125" s="88"/>
      <c r="C1125" s="68" t="s">
        <v>209</v>
      </c>
      <c r="D1125" s="69">
        <v>1467</v>
      </c>
      <c r="E1125" s="70">
        <v>4.9448882596824999E-2</v>
      </c>
    </row>
    <row r="1126" spans="2:5" ht="14.45" customHeight="1">
      <c r="B1126" s="88"/>
      <c r="C1126" s="68" t="s">
        <v>210</v>
      </c>
      <c r="D1126" s="69">
        <v>5</v>
      </c>
      <c r="E1126" s="70">
        <v>1.68537432164E-4</v>
      </c>
    </row>
    <row r="1127" spans="2:5" ht="14.45" customHeight="1">
      <c r="B1127" s="88"/>
      <c r="C1127" s="68" t="s">
        <v>232</v>
      </c>
      <c r="D1127" s="69">
        <v>828</v>
      </c>
      <c r="E1127" s="70">
        <v>2.7909798766306001E-2</v>
      </c>
    </row>
    <row r="1128" spans="2:5" ht="14.45" customHeight="1">
      <c r="B1128" s="88"/>
      <c r="C1128" s="68" t="s">
        <v>211</v>
      </c>
      <c r="D1128" s="69">
        <v>427</v>
      </c>
      <c r="E1128" s="70">
        <v>1.4393096706778999E-2</v>
      </c>
    </row>
    <row r="1129" spans="2:5" ht="14.45" customHeight="1">
      <c r="B1129" s="88"/>
      <c r="C1129" s="68" t="s">
        <v>233</v>
      </c>
      <c r="D1129" s="69">
        <v>20</v>
      </c>
      <c r="E1129" s="70">
        <v>6.7414972865500002E-4</v>
      </c>
    </row>
    <row r="1130" spans="2:5" ht="14.45" customHeight="1">
      <c r="B1130" s="88"/>
      <c r="C1130" s="68" t="s">
        <v>212</v>
      </c>
      <c r="D1130" s="69">
        <v>363</v>
      </c>
      <c r="E1130" s="70">
        <v>1.2235817575083E-2</v>
      </c>
    </row>
    <row r="1131" spans="2:5" ht="14.45" customHeight="1">
      <c r="B1131" s="88"/>
      <c r="C1131" s="68" t="s">
        <v>213</v>
      </c>
      <c r="D1131" s="69">
        <v>1982</v>
      </c>
      <c r="E1131" s="70">
        <v>6.6808238109684004E-2</v>
      </c>
    </row>
    <row r="1132" spans="2:5" ht="14.45" customHeight="1">
      <c r="B1132" s="88"/>
      <c r="C1132" s="68" t="s">
        <v>214</v>
      </c>
      <c r="D1132" s="69">
        <v>187</v>
      </c>
      <c r="E1132" s="70">
        <v>6.303299962922E-3</v>
      </c>
    </row>
    <row r="1133" spans="2:5" ht="14.45" customHeight="1">
      <c r="B1133" s="88"/>
      <c r="C1133" s="68" t="s">
        <v>57</v>
      </c>
      <c r="D1133" s="69">
        <v>9</v>
      </c>
      <c r="E1133" s="70">
        <v>3.0336737789499998E-4</v>
      </c>
    </row>
    <row r="1134" spans="2:5" ht="14.45" customHeight="1">
      <c r="B1134" s="88"/>
      <c r="C1134" s="68" t="s">
        <v>234</v>
      </c>
      <c r="D1134" s="69">
        <v>300</v>
      </c>
      <c r="E1134" s="70">
        <v>1.0112245929821E-2</v>
      </c>
    </row>
    <row r="1135" spans="2:5" ht="14.45" customHeight="1">
      <c r="B1135" s="88"/>
      <c r="C1135" s="68" t="s">
        <v>215</v>
      </c>
      <c r="D1135" s="69">
        <v>3631</v>
      </c>
      <c r="E1135" s="70">
        <v>0.122391883237267</v>
      </c>
    </row>
    <row r="1136" spans="2:5" ht="14.45" customHeight="1">
      <c r="B1136" s="88"/>
      <c r="C1136" s="68" t="s">
        <v>235</v>
      </c>
      <c r="D1136" s="69">
        <v>39</v>
      </c>
      <c r="E1136" s="70">
        <v>1.314591970877E-3</v>
      </c>
    </row>
    <row r="1137" spans="2:5" ht="14.45" customHeight="1">
      <c r="B1137" s="88"/>
      <c r="C1137" s="68" t="s">
        <v>244</v>
      </c>
      <c r="D1137" s="69">
        <v>191</v>
      </c>
      <c r="E1137" s="70">
        <v>6.438129908653E-3</v>
      </c>
    </row>
    <row r="1138" spans="2:5" ht="14.45" customHeight="1">
      <c r="B1138" s="88"/>
      <c r="C1138" s="68" t="s">
        <v>216</v>
      </c>
      <c r="D1138" s="69">
        <v>34</v>
      </c>
      <c r="E1138" s="70">
        <v>1.1460545387130001E-3</v>
      </c>
    </row>
    <row r="1139" spans="2:5" ht="14.45" customHeight="1">
      <c r="B1139" s="88"/>
      <c r="C1139" s="68" t="s">
        <v>217</v>
      </c>
      <c r="D1139" s="69">
        <v>173</v>
      </c>
      <c r="E1139" s="70">
        <v>5.8313951528629997E-3</v>
      </c>
    </row>
    <row r="1140" spans="2:5" ht="14.45" customHeight="1">
      <c r="B1140" s="88"/>
      <c r="C1140" s="68" t="s">
        <v>218</v>
      </c>
      <c r="D1140" s="69">
        <v>611</v>
      </c>
      <c r="E1140" s="70">
        <v>2.0595274210402002E-2</v>
      </c>
    </row>
    <row r="1141" spans="2:5" ht="14.45" customHeight="1">
      <c r="B1141" s="88"/>
      <c r="C1141" s="68" t="s">
        <v>219</v>
      </c>
      <c r="D1141" s="69">
        <v>51</v>
      </c>
      <c r="E1141" s="70">
        <v>1.7190818080699999E-3</v>
      </c>
    </row>
    <row r="1142" spans="2:5" ht="14.45" customHeight="1">
      <c r="B1142" s="88"/>
      <c r="C1142" s="68" t="s">
        <v>236</v>
      </c>
      <c r="D1142" s="69">
        <v>241</v>
      </c>
      <c r="E1142" s="70">
        <v>8.1235042302900008E-3</v>
      </c>
    </row>
    <row r="1143" spans="2:5" ht="14.45" customHeight="1">
      <c r="B1143" s="88"/>
      <c r="C1143" s="68" t="s">
        <v>220</v>
      </c>
      <c r="D1143" s="69">
        <v>341</v>
      </c>
      <c r="E1143" s="70">
        <v>1.1494252873563E-2</v>
      </c>
    </row>
    <row r="1144" spans="2:5" ht="14.45" customHeight="1">
      <c r="B1144" s="88"/>
      <c r="C1144" s="68" t="s">
        <v>221</v>
      </c>
      <c r="D1144" s="69">
        <v>177</v>
      </c>
      <c r="E1144" s="70">
        <v>5.9662250985939996E-3</v>
      </c>
    </row>
    <row r="1145" spans="2:5" ht="14.45" customHeight="1">
      <c r="B1145" s="88"/>
      <c r="C1145" s="68" t="s">
        <v>237</v>
      </c>
      <c r="D1145" s="69">
        <v>18</v>
      </c>
      <c r="E1145" s="70">
        <v>6.0673475578900001E-4</v>
      </c>
    </row>
    <row r="1146" spans="2:5" ht="14.45" customHeight="1">
      <c r="B1146" s="88"/>
      <c r="C1146" s="68" t="s">
        <v>245</v>
      </c>
      <c r="D1146" s="69">
        <v>18</v>
      </c>
      <c r="E1146" s="70">
        <v>6.0673475578900001E-4</v>
      </c>
    </row>
    <row r="1147" spans="2:5" ht="14.45" customHeight="1">
      <c r="B1147" s="88"/>
      <c r="C1147" s="68" t="s">
        <v>222</v>
      </c>
      <c r="D1147" s="69">
        <v>152</v>
      </c>
      <c r="E1147" s="70">
        <v>5.1235379377760001E-3</v>
      </c>
    </row>
    <row r="1148" spans="2:5" ht="14.45" customHeight="1">
      <c r="B1148" s="88"/>
      <c r="C1148" s="68" t="s">
        <v>223</v>
      </c>
      <c r="D1148" s="69">
        <v>16</v>
      </c>
      <c r="E1148" s="70">
        <v>5.3931978292399995E-4</v>
      </c>
    </row>
    <row r="1149" spans="2:5" ht="14.45" customHeight="1">
      <c r="B1149" s="88"/>
      <c r="C1149" s="68" t="s">
        <v>250</v>
      </c>
      <c r="D1149" s="69">
        <v>17</v>
      </c>
      <c r="E1149" s="70">
        <v>5.7302726935699996E-4</v>
      </c>
    </row>
    <row r="1150" spans="2:5" ht="14.45" customHeight="1">
      <c r="B1150" s="88"/>
      <c r="C1150" s="68" t="s">
        <v>224</v>
      </c>
      <c r="D1150" s="69">
        <v>54</v>
      </c>
      <c r="E1150" s="70">
        <v>1.8202042673680001E-3</v>
      </c>
    </row>
    <row r="1151" spans="2:5" ht="14.45" customHeight="1">
      <c r="B1151" s="88"/>
      <c r="C1151" s="68" t="s">
        <v>225</v>
      </c>
      <c r="D1151" s="69">
        <v>188</v>
      </c>
      <c r="E1151" s="70">
        <v>6.3370074493549998E-3</v>
      </c>
    </row>
    <row r="1152" spans="2:5" ht="14.45" customHeight="1">
      <c r="B1152" s="88"/>
      <c r="C1152" s="68" t="s">
        <v>251</v>
      </c>
      <c r="D1152" s="69">
        <v>69</v>
      </c>
      <c r="E1152" s="70">
        <v>2.3258165638589999E-3</v>
      </c>
    </row>
    <row r="1153" spans="2:5" ht="14.45" customHeight="1">
      <c r="B1153" s="88"/>
      <c r="C1153" s="68" t="s">
        <v>238</v>
      </c>
      <c r="D1153" s="69">
        <v>178</v>
      </c>
      <c r="E1153" s="70">
        <v>5.9999325850270003E-3</v>
      </c>
    </row>
    <row r="1154" spans="2:5" ht="14.45" customHeight="1">
      <c r="B1154" s="88"/>
      <c r="C1154" s="68" t="s">
        <v>254</v>
      </c>
      <c r="D1154" s="69">
        <v>1</v>
      </c>
      <c r="E1154" s="70">
        <v>3.3707486433000001E-5</v>
      </c>
    </row>
    <row r="1155" spans="2:5" ht="14.45" customHeight="1">
      <c r="B1155" s="88"/>
      <c r="C1155" s="68" t="s">
        <v>239</v>
      </c>
      <c r="D1155" s="69">
        <v>214</v>
      </c>
      <c r="E1155" s="70">
        <v>7.2134020966059999E-3</v>
      </c>
    </row>
    <row r="1156" spans="2:5" ht="14.45" customHeight="1">
      <c r="B1156" s="88"/>
      <c r="C1156" s="68" t="s">
        <v>240</v>
      </c>
      <c r="D1156" s="69">
        <v>147</v>
      </c>
      <c r="E1156" s="70">
        <v>4.9550005056120004E-3</v>
      </c>
    </row>
    <row r="1157" spans="2:5" ht="14.45" customHeight="1">
      <c r="B1157" s="88"/>
      <c r="C1157" s="68" t="s">
        <v>241</v>
      </c>
      <c r="D1157" s="69">
        <v>264</v>
      </c>
      <c r="E1157" s="70">
        <v>8.8987764182420007E-3</v>
      </c>
    </row>
    <row r="1158" spans="2:5" ht="14.45" customHeight="1">
      <c r="B1158" s="88"/>
      <c r="C1158" s="68" t="s">
        <v>246</v>
      </c>
      <c r="D1158" s="69">
        <v>63</v>
      </c>
      <c r="E1158" s="70">
        <v>2.123571645262E-3</v>
      </c>
    </row>
    <row r="1159" spans="2:5" ht="14.45" customHeight="1">
      <c r="B1159" s="88"/>
      <c r="C1159" s="68" t="s">
        <v>226</v>
      </c>
      <c r="D1159" s="69">
        <v>290</v>
      </c>
      <c r="E1159" s="70">
        <v>9.775171065494E-3</v>
      </c>
    </row>
    <row r="1160" spans="2:5" ht="14.45" customHeight="1">
      <c r="B1160" s="88"/>
      <c r="C1160" s="68" t="s">
        <v>227</v>
      </c>
      <c r="D1160" s="69">
        <v>250</v>
      </c>
      <c r="E1160" s="70">
        <v>8.4268716081840004E-3</v>
      </c>
    </row>
    <row r="1161" spans="2:5" ht="14.45" customHeight="1">
      <c r="B1161" s="88"/>
      <c r="C1161" s="68" t="s">
        <v>228</v>
      </c>
      <c r="D1161" s="69">
        <v>316</v>
      </c>
      <c r="E1161" s="70">
        <v>1.0651565712745E-2</v>
      </c>
    </row>
    <row r="1162" spans="2:5" ht="14.45" customHeight="1">
      <c r="B1162" s="88"/>
      <c r="C1162" s="68" t="s">
        <v>247</v>
      </c>
      <c r="D1162" s="69">
        <v>238</v>
      </c>
      <c r="E1162" s="70">
        <v>8.0223817709910005E-3</v>
      </c>
    </row>
    <row r="1163" spans="2:5" ht="14.45" customHeight="1">
      <c r="B1163" s="88"/>
      <c r="C1163" s="68" t="s">
        <v>229</v>
      </c>
      <c r="D1163" s="69">
        <v>314</v>
      </c>
      <c r="E1163" s="70">
        <v>1.0584150739879001E-2</v>
      </c>
    </row>
    <row r="1164" spans="2:5" ht="14.45" customHeight="1">
      <c r="B1164" s="88"/>
      <c r="C1164" s="68" t="s">
        <v>230</v>
      </c>
      <c r="D1164" s="69">
        <v>121</v>
      </c>
      <c r="E1164" s="70">
        <v>4.0786058583610002E-3</v>
      </c>
    </row>
    <row r="1165" spans="2:5" ht="14.45" customHeight="1">
      <c r="B1165" s="88"/>
      <c r="C1165" s="36" t="s">
        <v>29</v>
      </c>
      <c r="D1165" s="35">
        <v>19697</v>
      </c>
      <c r="E1165" s="34">
        <v>0.66393636026561498</v>
      </c>
    </row>
    <row r="1166" spans="2:5" ht="14.45" customHeight="1">
      <c r="B1166" s="88" t="s">
        <v>142</v>
      </c>
      <c r="C1166" s="68" t="s">
        <v>195</v>
      </c>
      <c r="D1166" s="69">
        <v>1</v>
      </c>
      <c r="E1166" s="70">
        <v>3.3707486433000001E-5</v>
      </c>
    </row>
    <row r="1167" spans="2:5" ht="14.45" customHeight="1">
      <c r="B1167" s="88"/>
      <c r="C1167" s="68" t="s">
        <v>199</v>
      </c>
      <c r="D1167" s="69">
        <v>1</v>
      </c>
      <c r="E1167" s="70">
        <v>3.3707486433000001E-5</v>
      </c>
    </row>
    <row r="1168" spans="2:5" ht="14.45" customHeight="1">
      <c r="B1168" s="88"/>
      <c r="C1168" s="68" t="s">
        <v>200</v>
      </c>
      <c r="D1168" s="69">
        <v>4</v>
      </c>
      <c r="E1168" s="70">
        <v>1.3482994573099999E-4</v>
      </c>
    </row>
    <row r="1169" spans="2:5" ht="14.45" customHeight="1">
      <c r="B1169" s="88"/>
      <c r="C1169" s="68" t="s">
        <v>203</v>
      </c>
      <c r="D1169" s="69">
        <v>2</v>
      </c>
      <c r="E1169" s="70">
        <v>6.7414972865000001E-5</v>
      </c>
    </row>
    <row r="1170" spans="2:5" ht="14.45" customHeight="1">
      <c r="B1170" s="88"/>
      <c r="C1170" s="68" t="s">
        <v>232</v>
      </c>
      <c r="D1170" s="69">
        <v>7</v>
      </c>
      <c r="E1170" s="70">
        <v>2.35952405029E-4</v>
      </c>
    </row>
    <row r="1171" spans="2:5" ht="14.45" customHeight="1">
      <c r="B1171" s="88"/>
      <c r="C1171" s="68" t="s">
        <v>213</v>
      </c>
      <c r="D1171" s="69">
        <v>2</v>
      </c>
      <c r="E1171" s="70">
        <v>6.7414972865000001E-5</v>
      </c>
    </row>
    <row r="1172" spans="2:5" ht="14.45" customHeight="1">
      <c r="B1172" s="88"/>
      <c r="C1172" s="68" t="s">
        <v>215</v>
      </c>
      <c r="D1172" s="69">
        <v>12</v>
      </c>
      <c r="E1172" s="70">
        <v>4.0448983719299999E-4</v>
      </c>
    </row>
    <row r="1173" spans="2:5" ht="14.45" customHeight="1">
      <c r="B1173" s="88"/>
      <c r="C1173" s="68" t="s">
        <v>218</v>
      </c>
      <c r="D1173" s="69">
        <v>1</v>
      </c>
      <c r="E1173" s="70">
        <v>3.3707486433000001E-5</v>
      </c>
    </row>
    <row r="1174" spans="2:5" ht="14.45" customHeight="1">
      <c r="B1174" s="88"/>
      <c r="C1174" s="68" t="s">
        <v>219</v>
      </c>
      <c r="D1174" s="69">
        <v>5</v>
      </c>
      <c r="E1174" s="70">
        <v>1.68537432164E-4</v>
      </c>
    </row>
    <row r="1175" spans="2:5" ht="14.45" customHeight="1">
      <c r="B1175" s="88"/>
      <c r="C1175" s="68" t="s">
        <v>222</v>
      </c>
      <c r="D1175" s="69">
        <v>1</v>
      </c>
      <c r="E1175" s="70">
        <v>3.3707486433000001E-5</v>
      </c>
    </row>
    <row r="1176" spans="2:5" ht="14.45" customHeight="1">
      <c r="B1176" s="88"/>
      <c r="C1176" s="68" t="s">
        <v>238</v>
      </c>
      <c r="D1176" s="69">
        <v>1</v>
      </c>
      <c r="E1176" s="70">
        <v>3.3707486433000001E-5</v>
      </c>
    </row>
    <row r="1177" spans="2:5" ht="14.45" customHeight="1">
      <c r="B1177" s="88"/>
      <c r="C1177" s="68" t="s">
        <v>239</v>
      </c>
      <c r="D1177" s="69">
        <v>1</v>
      </c>
      <c r="E1177" s="70">
        <v>3.3707486433000001E-5</v>
      </c>
    </row>
    <row r="1178" spans="2:5" ht="14.45" customHeight="1">
      <c r="B1178" s="88"/>
      <c r="C1178" s="68" t="s">
        <v>240</v>
      </c>
      <c r="D1178" s="69">
        <v>4</v>
      </c>
      <c r="E1178" s="70">
        <v>1.3482994573099999E-4</v>
      </c>
    </row>
    <row r="1179" spans="2:5" ht="14.45" customHeight="1">
      <c r="B1179" s="88"/>
      <c r="C1179" s="68" t="s">
        <v>226</v>
      </c>
      <c r="D1179" s="69">
        <v>1</v>
      </c>
      <c r="E1179" s="70">
        <v>3.3707486433000001E-5</v>
      </c>
    </row>
    <row r="1180" spans="2:5" ht="14.45" customHeight="1">
      <c r="B1180" s="88"/>
      <c r="C1180" s="68" t="s">
        <v>247</v>
      </c>
      <c r="D1180" s="69">
        <v>3</v>
      </c>
      <c r="E1180" s="70">
        <v>1.0112245929799999E-4</v>
      </c>
    </row>
    <row r="1181" spans="2:5" ht="14.45" customHeight="1">
      <c r="B1181" s="88"/>
      <c r="C1181" s="68" t="s">
        <v>229</v>
      </c>
      <c r="D1181" s="69">
        <v>4</v>
      </c>
      <c r="E1181" s="70">
        <v>1.3482994573099999E-4</v>
      </c>
    </row>
    <row r="1182" spans="2:5" ht="14.45" customHeight="1">
      <c r="B1182" s="88"/>
      <c r="C1182" s="36" t="s">
        <v>29</v>
      </c>
      <c r="D1182" s="35">
        <v>50</v>
      </c>
      <c r="E1182" s="34">
        <v>1.6853743216369999E-3</v>
      </c>
    </row>
    <row r="1183" spans="2:5" ht="14.45" customHeight="1">
      <c r="B1183" s="88" t="s">
        <v>143</v>
      </c>
      <c r="C1183" s="68" t="s">
        <v>225</v>
      </c>
      <c r="D1183" s="69">
        <v>1</v>
      </c>
      <c r="E1183" s="70">
        <v>3.3707486433000001E-5</v>
      </c>
    </row>
    <row r="1184" spans="2:5" ht="14.45" customHeight="1">
      <c r="B1184" s="88"/>
      <c r="C1184" s="68" t="s">
        <v>229</v>
      </c>
      <c r="D1184" s="69">
        <v>1</v>
      </c>
      <c r="E1184" s="70">
        <v>3.3707486433000001E-5</v>
      </c>
    </row>
    <row r="1185" spans="2:5" ht="14.45" customHeight="1">
      <c r="B1185" s="88"/>
      <c r="C1185" s="36" t="s">
        <v>29</v>
      </c>
      <c r="D1185" s="35">
        <v>2</v>
      </c>
      <c r="E1185" s="34">
        <v>6.7414972865000001E-5</v>
      </c>
    </row>
    <row r="1186" spans="2:5" ht="14.45" customHeight="1">
      <c r="B1186" s="88" t="s">
        <v>144</v>
      </c>
      <c r="C1186" s="68" t="s">
        <v>196</v>
      </c>
      <c r="D1186" s="69">
        <v>1</v>
      </c>
      <c r="E1186" s="70">
        <v>3.3707486433000001E-5</v>
      </c>
    </row>
    <row r="1187" spans="2:5" ht="14.45" customHeight="1">
      <c r="B1187" s="88"/>
      <c r="C1187" s="68" t="s">
        <v>197</v>
      </c>
      <c r="D1187" s="69">
        <v>3</v>
      </c>
      <c r="E1187" s="70">
        <v>1.0112245929799999E-4</v>
      </c>
    </row>
    <row r="1188" spans="2:5" ht="14.45" customHeight="1">
      <c r="B1188" s="88"/>
      <c r="C1188" s="68" t="s">
        <v>198</v>
      </c>
      <c r="D1188" s="69">
        <v>1</v>
      </c>
      <c r="E1188" s="70">
        <v>3.3707486433000001E-5</v>
      </c>
    </row>
    <row r="1189" spans="2:5" ht="14.45" customHeight="1">
      <c r="B1189" s="88"/>
      <c r="C1189" s="68" t="s">
        <v>199</v>
      </c>
      <c r="D1189" s="69">
        <v>3</v>
      </c>
      <c r="E1189" s="70">
        <v>1.0112245929799999E-4</v>
      </c>
    </row>
    <row r="1190" spans="2:5" ht="14.45" customHeight="1">
      <c r="B1190" s="88"/>
      <c r="C1190" s="68" t="s">
        <v>200</v>
      </c>
      <c r="D1190" s="69">
        <v>1</v>
      </c>
      <c r="E1190" s="70">
        <v>3.3707486433000001E-5</v>
      </c>
    </row>
    <row r="1191" spans="2:5" ht="14.45" customHeight="1">
      <c r="B1191" s="88"/>
      <c r="C1191" s="68" t="s">
        <v>201</v>
      </c>
      <c r="D1191" s="69">
        <v>9</v>
      </c>
      <c r="E1191" s="70">
        <v>3.0336737789499998E-4</v>
      </c>
    </row>
    <row r="1192" spans="2:5" ht="14.45" customHeight="1">
      <c r="B1192" s="88"/>
      <c r="C1192" s="68" t="s">
        <v>202</v>
      </c>
      <c r="D1192" s="69">
        <v>3</v>
      </c>
      <c r="E1192" s="70">
        <v>1.0112245929799999E-4</v>
      </c>
    </row>
    <row r="1193" spans="2:5" ht="14.45" customHeight="1">
      <c r="B1193" s="88"/>
      <c r="C1193" s="68" t="s">
        <v>203</v>
      </c>
      <c r="D1193" s="69">
        <v>7</v>
      </c>
      <c r="E1193" s="70">
        <v>2.35952405029E-4</v>
      </c>
    </row>
    <row r="1194" spans="2:5" ht="14.45" customHeight="1">
      <c r="B1194" s="88"/>
      <c r="C1194" s="68" t="s">
        <v>204</v>
      </c>
      <c r="D1194" s="69">
        <v>7</v>
      </c>
      <c r="E1194" s="70">
        <v>2.35952405029E-4</v>
      </c>
    </row>
    <row r="1195" spans="2:5" ht="14.45" customHeight="1">
      <c r="B1195" s="88"/>
      <c r="C1195" s="68" t="s">
        <v>243</v>
      </c>
      <c r="D1195" s="69">
        <v>1</v>
      </c>
      <c r="E1195" s="70">
        <v>3.3707486433000001E-5</v>
      </c>
    </row>
    <row r="1196" spans="2:5" ht="14.45" customHeight="1">
      <c r="B1196" s="88"/>
      <c r="C1196" s="68" t="s">
        <v>206</v>
      </c>
      <c r="D1196" s="69">
        <v>1</v>
      </c>
      <c r="E1196" s="70">
        <v>3.3707486433000001E-5</v>
      </c>
    </row>
    <row r="1197" spans="2:5" ht="14.45" customHeight="1">
      <c r="B1197" s="88"/>
      <c r="C1197" s="68" t="s">
        <v>207</v>
      </c>
      <c r="D1197" s="69">
        <v>2</v>
      </c>
      <c r="E1197" s="70">
        <v>6.7414972865000001E-5</v>
      </c>
    </row>
    <row r="1198" spans="2:5" ht="14.45" customHeight="1">
      <c r="B1198" s="88"/>
      <c r="C1198" s="68" t="s">
        <v>208</v>
      </c>
      <c r="D1198" s="69">
        <v>1</v>
      </c>
      <c r="E1198" s="70">
        <v>3.3707486433000001E-5</v>
      </c>
    </row>
    <row r="1199" spans="2:5" ht="14.45" customHeight="1">
      <c r="B1199" s="88"/>
      <c r="C1199" s="68" t="s">
        <v>209</v>
      </c>
      <c r="D1199" s="69">
        <v>18</v>
      </c>
      <c r="E1199" s="70">
        <v>6.0673475578900001E-4</v>
      </c>
    </row>
    <row r="1200" spans="2:5" ht="14.45" customHeight="1">
      <c r="B1200" s="88"/>
      <c r="C1200" s="68" t="s">
        <v>211</v>
      </c>
      <c r="D1200" s="69">
        <v>1</v>
      </c>
      <c r="E1200" s="70">
        <v>3.3707486433000001E-5</v>
      </c>
    </row>
    <row r="1201" spans="2:5" ht="14.45" customHeight="1">
      <c r="B1201" s="88"/>
      <c r="C1201" s="68" t="s">
        <v>212</v>
      </c>
      <c r="D1201" s="69">
        <v>5</v>
      </c>
      <c r="E1201" s="70">
        <v>1.68537432164E-4</v>
      </c>
    </row>
    <row r="1202" spans="2:5" ht="14.45" customHeight="1">
      <c r="B1202" s="88"/>
      <c r="C1202" s="68" t="s">
        <v>213</v>
      </c>
      <c r="D1202" s="69">
        <v>23</v>
      </c>
      <c r="E1202" s="70">
        <v>7.7527218795299998E-4</v>
      </c>
    </row>
    <row r="1203" spans="2:5" ht="14.45" customHeight="1">
      <c r="B1203" s="88"/>
      <c r="C1203" s="68" t="s">
        <v>234</v>
      </c>
      <c r="D1203" s="69">
        <v>1</v>
      </c>
      <c r="E1203" s="70">
        <v>3.3707486433000001E-5</v>
      </c>
    </row>
    <row r="1204" spans="2:5" ht="14.45" customHeight="1">
      <c r="B1204" s="88"/>
      <c r="C1204" s="68" t="s">
        <v>215</v>
      </c>
      <c r="D1204" s="69">
        <v>18</v>
      </c>
      <c r="E1204" s="70">
        <v>6.0673475578900001E-4</v>
      </c>
    </row>
    <row r="1205" spans="2:5" ht="14.45" customHeight="1">
      <c r="B1205" s="88"/>
      <c r="C1205" s="68" t="s">
        <v>235</v>
      </c>
      <c r="D1205" s="69">
        <v>1</v>
      </c>
      <c r="E1205" s="70">
        <v>3.3707486433000001E-5</v>
      </c>
    </row>
    <row r="1206" spans="2:5" ht="14.45" customHeight="1">
      <c r="B1206" s="88"/>
      <c r="C1206" s="68" t="s">
        <v>217</v>
      </c>
      <c r="D1206" s="69">
        <v>3</v>
      </c>
      <c r="E1206" s="70">
        <v>1.0112245929799999E-4</v>
      </c>
    </row>
    <row r="1207" spans="2:5" ht="14.45" customHeight="1">
      <c r="B1207" s="88"/>
      <c r="C1207" s="68" t="s">
        <v>218</v>
      </c>
      <c r="D1207" s="69">
        <v>1</v>
      </c>
      <c r="E1207" s="70">
        <v>3.3707486433000001E-5</v>
      </c>
    </row>
    <row r="1208" spans="2:5" ht="14.45" customHeight="1">
      <c r="B1208" s="88"/>
      <c r="C1208" s="68" t="s">
        <v>219</v>
      </c>
      <c r="D1208" s="69">
        <v>1</v>
      </c>
      <c r="E1208" s="70">
        <v>3.3707486433000001E-5</v>
      </c>
    </row>
    <row r="1209" spans="2:5" ht="14.45" customHeight="1">
      <c r="B1209" s="88"/>
      <c r="C1209" s="68" t="s">
        <v>220</v>
      </c>
      <c r="D1209" s="69">
        <v>6</v>
      </c>
      <c r="E1209" s="70">
        <v>2.0224491859599999E-4</v>
      </c>
    </row>
    <row r="1210" spans="2:5" ht="14.45" customHeight="1">
      <c r="B1210" s="88"/>
      <c r="C1210" s="68" t="s">
        <v>221</v>
      </c>
      <c r="D1210" s="69">
        <v>6</v>
      </c>
      <c r="E1210" s="70">
        <v>2.0224491859599999E-4</v>
      </c>
    </row>
    <row r="1211" spans="2:5" ht="14.45" customHeight="1">
      <c r="B1211" s="88"/>
      <c r="C1211" s="68" t="s">
        <v>222</v>
      </c>
      <c r="D1211" s="69">
        <v>1</v>
      </c>
      <c r="E1211" s="70">
        <v>3.3707486433000001E-5</v>
      </c>
    </row>
    <row r="1212" spans="2:5" ht="14.45" customHeight="1">
      <c r="B1212" s="88"/>
      <c r="C1212" s="68" t="s">
        <v>225</v>
      </c>
      <c r="D1212" s="69">
        <v>7</v>
      </c>
      <c r="E1212" s="70">
        <v>2.35952405029E-4</v>
      </c>
    </row>
    <row r="1213" spans="2:5" ht="14.45" customHeight="1">
      <c r="B1213" s="88"/>
      <c r="C1213" s="68" t="s">
        <v>241</v>
      </c>
      <c r="D1213" s="69">
        <v>4</v>
      </c>
      <c r="E1213" s="70">
        <v>1.3482994573099999E-4</v>
      </c>
    </row>
    <row r="1214" spans="2:5" ht="14.45" customHeight="1">
      <c r="B1214" s="88"/>
      <c r="C1214" s="68" t="s">
        <v>246</v>
      </c>
      <c r="D1214" s="69">
        <v>6</v>
      </c>
      <c r="E1214" s="70">
        <v>2.0224491859599999E-4</v>
      </c>
    </row>
    <row r="1215" spans="2:5" ht="14.45" customHeight="1">
      <c r="B1215" s="88"/>
      <c r="C1215" s="68" t="s">
        <v>226</v>
      </c>
      <c r="D1215" s="69">
        <v>2</v>
      </c>
      <c r="E1215" s="70">
        <v>6.7414972865000001E-5</v>
      </c>
    </row>
    <row r="1216" spans="2:5" ht="14.45" customHeight="1">
      <c r="B1216" s="88"/>
      <c r="C1216" s="68" t="s">
        <v>228</v>
      </c>
      <c r="D1216" s="69">
        <v>1</v>
      </c>
      <c r="E1216" s="70">
        <v>3.3707486433000001E-5</v>
      </c>
    </row>
    <row r="1217" spans="2:5" ht="14.45" customHeight="1">
      <c r="B1217" s="88"/>
      <c r="C1217" s="68" t="s">
        <v>229</v>
      </c>
      <c r="D1217" s="69">
        <v>1</v>
      </c>
      <c r="E1217" s="70">
        <v>3.3707486433000001E-5</v>
      </c>
    </row>
    <row r="1218" spans="2:5" ht="14.45" customHeight="1">
      <c r="B1218" s="88"/>
      <c r="C1218" s="36" t="s">
        <v>29</v>
      </c>
      <c r="D1218" s="35">
        <v>146</v>
      </c>
      <c r="E1218" s="34">
        <v>4.9212930191799998E-3</v>
      </c>
    </row>
    <row r="1219" spans="2:5" ht="14.45" customHeight="1">
      <c r="B1219" s="88" t="s">
        <v>70</v>
      </c>
      <c r="C1219" s="68" t="s">
        <v>231</v>
      </c>
      <c r="D1219" s="69">
        <v>1</v>
      </c>
      <c r="E1219" s="70">
        <v>3.3707486433000001E-5</v>
      </c>
    </row>
    <row r="1220" spans="2:5" ht="14.45" customHeight="1">
      <c r="B1220" s="88"/>
      <c r="C1220" s="68" t="s">
        <v>199</v>
      </c>
      <c r="D1220" s="69">
        <v>2</v>
      </c>
      <c r="E1220" s="70">
        <v>6.7414972865000001E-5</v>
      </c>
    </row>
    <row r="1221" spans="2:5" ht="14.45" customHeight="1">
      <c r="B1221" s="88"/>
      <c r="C1221" s="68" t="s">
        <v>200</v>
      </c>
      <c r="D1221" s="69">
        <v>4</v>
      </c>
      <c r="E1221" s="70">
        <v>1.3482994573099999E-4</v>
      </c>
    </row>
    <row r="1222" spans="2:5" ht="14.45" customHeight="1">
      <c r="B1222" s="88"/>
      <c r="C1222" s="68" t="s">
        <v>201</v>
      </c>
      <c r="D1222" s="69">
        <v>1</v>
      </c>
      <c r="E1222" s="70">
        <v>3.3707486433000001E-5</v>
      </c>
    </row>
    <row r="1223" spans="2:5" ht="14.45" customHeight="1">
      <c r="B1223" s="88"/>
      <c r="C1223" s="68" t="s">
        <v>202</v>
      </c>
      <c r="D1223" s="69">
        <v>1</v>
      </c>
      <c r="E1223" s="70">
        <v>3.3707486433000001E-5</v>
      </c>
    </row>
    <row r="1224" spans="2:5" ht="14.45" customHeight="1">
      <c r="B1224" s="88"/>
      <c r="C1224" s="68" t="s">
        <v>213</v>
      </c>
      <c r="D1224" s="69">
        <v>1</v>
      </c>
      <c r="E1224" s="70">
        <v>3.3707486433000001E-5</v>
      </c>
    </row>
    <row r="1225" spans="2:5" ht="14.45" customHeight="1">
      <c r="B1225" s="88"/>
      <c r="C1225" s="68" t="s">
        <v>214</v>
      </c>
      <c r="D1225" s="69">
        <v>7</v>
      </c>
      <c r="E1225" s="70">
        <v>2.35952405029E-4</v>
      </c>
    </row>
    <row r="1226" spans="2:5" ht="14.45" customHeight="1">
      <c r="B1226" s="88"/>
      <c r="C1226" s="68" t="s">
        <v>57</v>
      </c>
      <c r="D1226" s="69">
        <v>1</v>
      </c>
      <c r="E1226" s="70">
        <v>3.3707486433000001E-5</v>
      </c>
    </row>
    <row r="1227" spans="2:5" ht="14.45" customHeight="1">
      <c r="B1227" s="88"/>
      <c r="C1227" s="68" t="s">
        <v>215</v>
      </c>
      <c r="D1227" s="69">
        <v>9</v>
      </c>
      <c r="E1227" s="70">
        <v>3.0336737789499998E-4</v>
      </c>
    </row>
    <row r="1228" spans="2:5" ht="14.45" customHeight="1">
      <c r="B1228" s="88"/>
      <c r="C1228" s="68" t="s">
        <v>244</v>
      </c>
      <c r="D1228" s="69">
        <v>1</v>
      </c>
      <c r="E1228" s="70">
        <v>3.3707486433000001E-5</v>
      </c>
    </row>
    <row r="1229" spans="2:5" ht="14.45" customHeight="1">
      <c r="B1229" s="88"/>
      <c r="C1229" s="68" t="s">
        <v>218</v>
      </c>
      <c r="D1229" s="69">
        <v>2</v>
      </c>
      <c r="E1229" s="70">
        <v>6.7414972865000001E-5</v>
      </c>
    </row>
    <row r="1230" spans="2:5" ht="14.45" customHeight="1">
      <c r="B1230" s="88"/>
      <c r="C1230" s="68" t="s">
        <v>219</v>
      </c>
      <c r="D1230" s="69">
        <v>3</v>
      </c>
      <c r="E1230" s="70">
        <v>1.0112245929799999E-4</v>
      </c>
    </row>
    <row r="1231" spans="2:5" ht="14.45" customHeight="1">
      <c r="B1231" s="88"/>
      <c r="C1231" s="68" t="s">
        <v>251</v>
      </c>
      <c r="D1231" s="69">
        <v>1</v>
      </c>
      <c r="E1231" s="70">
        <v>3.3707486433000001E-5</v>
      </c>
    </row>
    <row r="1232" spans="2:5" ht="14.45" customHeight="1">
      <c r="B1232" s="88"/>
      <c r="C1232" s="68" t="s">
        <v>226</v>
      </c>
      <c r="D1232" s="69">
        <v>5</v>
      </c>
      <c r="E1232" s="70">
        <v>1.68537432164E-4</v>
      </c>
    </row>
    <row r="1233" spans="2:5" ht="14.45" customHeight="1">
      <c r="B1233" s="88"/>
      <c r="C1233" s="68" t="s">
        <v>230</v>
      </c>
      <c r="D1233" s="69">
        <v>2</v>
      </c>
      <c r="E1233" s="70">
        <v>6.7414972865000001E-5</v>
      </c>
    </row>
    <row r="1234" spans="2:5" ht="14.45" customHeight="1">
      <c r="B1234" s="88"/>
      <c r="C1234" s="36" t="s">
        <v>29</v>
      </c>
      <c r="D1234" s="35">
        <v>41</v>
      </c>
      <c r="E1234" s="34">
        <v>1.382006943742E-3</v>
      </c>
    </row>
    <row r="1235" spans="2:5" ht="14.45" customHeight="1">
      <c r="B1235" s="88" t="s">
        <v>145</v>
      </c>
      <c r="C1235" s="68" t="s">
        <v>207</v>
      </c>
      <c r="D1235" s="69">
        <v>1</v>
      </c>
      <c r="E1235" s="70">
        <v>3.3707486433000001E-5</v>
      </c>
    </row>
    <row r="1236" spans="2:5" ht="14.45" customHeight="1">
      <c r="B1236" s="88"/>
      <c r="C1236" s="68" t="s">
        <v>213</v>
      </c>
      <c r="D1236" s="69">
        <v>1</v>
      </c>
      <c r="E1236" s="70">
        <v>3.3707486433000001E-5</v>
      </c>
    </row>
    <row r="1237" spans="2:5" ht="14.45" customHeight="1">
      <c r="B1237" s="88"/>
      <c r="C1237" s="68" t="s">
        <v>228</v>
      </c>
      <c r="D1237" s="69">
        <v>1</v>
      </c>
      <c r="E1237" s="70">
        <v>3.3707486433000001E-5</v>
      </c>
    </row>
    <row r="1238" spans="2:5" ht="14.45" customHeight="1">
      <c r="B1238" s="88"/>
      <c r="C1238" s="36" t="s">
        <v>29</v>
      </c>
      <c r="D1238" s="35">
        <v>3</v>
      </c>
      <c r="E1238" s="34">
        <v>1.0112245929799999E-4</v>
      </c>
    </row>
    <row r="1239" spans="2:5" ht="14.45" customHeight="1">
      <c r="B1239" s="88" t="s">
        <v>146</v>
      </c>
      <c r="C1239" s="68" t="s">
        <v>196</v>
      </c>
      <c r="D1239" s="69">
        <v>1</v>
      </c>
      <c r="E1239" s="70">
        <v>3.3707486433000001E-5</v>
      </c>
    </row>
    <row r="1240" spans="2:5" ht="14.45" customHeight="1">
      <c r="B1240" s="88"/>
      <c r="C1240" s="68" t="s">
        <v>197</v>
      </c>
      <c r="D1240" s="69">
        <v>1</v>
      </c>
      <c r="E1240" s="70">
        <v>3.3707486433000001E-5</v>
      </c>
    </row>
    <row r="1241" spans="2:5" ht="14.45" customHeight="1">
      <c r="B1241" s="88"/>
      <c r="C1241" s="68" t="s">
        <v>198</v>
      </c>
      <c r="D1241" s="69">
        <v>1</v>
      </c>
      <c r="E1241" s="70">
        <v>3.3707486433000001E-5</v>
      </c>
    </row>
    <row r="1242" spans="2:5" ht="14.45" customHeight="1">
      <c r="B1242" s="88"/>
      <c r="C1242" s="68" t="s">
        <v>248</v>
      </c>
      <c r="D1242" s="69">
        <v>1</v>
      </c>
      <c r="E1242" s="70">
        <v>3.3707486433000001E-5</v>
      </c>
    </row>
    <row r="1243" spans="2:5" ht="14.45" customHeight="1">
      <c r="B1243" s="88"/>
      <c r="C1243" s="68" t="s">
        <v>199</v>
      </c>
      <c r="D1243" s="69">
        <v>3</v>
      </c>
      <c r="E1243" s="70">
        <v>1.0112245929799999E-4</v>
      </c>
    </row>
    <row r="1244" spans="2:5" ht="14.45" customHeight="1">
      <c r="B1244" s="88"/>
      <c r="C1244" s="68" t="s">
        <v>200</v>
      </c>
      <c r="D1244" s="69">
        <v>2</v>
      </c>
      <c r="E1244" s="70">
        <v>6.7414972865000001E-5</v>
      </c>
    </row>
    <row r="1245" spans="2:5" ht="14.45" customHeight="1">
      <c r="B1245" s="88"/>
      <c r="C1245" s="68" t="s">
        <v>201</v>
      </c>
      <c r="D1245" s="69">
        <v>4</v>
      </c>
      <c r="E1245" s="70">
        <v>1.3482994573099999E-4</v>
      </c>
    </row>
    <row r="1246" spans="2:5" ht="14.45" customHeight="1">
      <c r="B1246" s="88"/>
      <c r="C1246" s="68" t="s">
        <v>203</v>
      </c>
      <c r="D1246" s="69">
        <v>7</v>
      </c>
      <c r="E1246" s="70">
        <v>2.35952405029E-4</v>
      </c>
    </row>
    <row r="1247" spans="2:5" ht="14.45" customHeight="1">
      <c r="B1247" s="88"/>
      <c r="C1247" s="68" t="s">
        <v>204</v>
      </c>
      <c r="D1247" s="69">
        <v>1</v>
      </c>
      <c r="E1247" s="70">
        <v>3.3707486433000001E-5</v>
      </c>
    </row>
    <row r="1248" spans="2:5" ht="14.45" customHeight="1">
      <c r="B1248" s="88"/>
      <c r="C1248" s="68" t="s">
        <v>209</v>
      </c>
      <c r="D1248" s="69">
        <v>4</v>
      </c>
      <c r="E1248" s="70">
        <v>1.3482994573099999E-4</v>
      </c>
    </row>
    <row r="1249" spans="2:5" ht="14.45" customHeight="1">
      <c r="B1249" s="88"/>
      <c r="C1249" s="68" t="s">
        <v>211</v>
      </c>
      <c r="D1249" s="69">
        <v>2</v>
      </c>
      <c r="E1249" s="70">
        <v>6.7414972865000001E-5</v>
      </c>
    </row>
    <row r="1250" spans="2:5" ht="14.45" customHeight="1">
      <c r="B1250" s="88"/>
      <c r="C1250" s="68" t="s">
        <v>213</v>
      </c>
      <c r="D1250" s="69">
        <v>2</v>
      </c>
      <c r="E1250" s="70">
        <v>6.7414972865000001E-5</v>
      </c>
    </row>
    <row r="1251" spans="2:5" ht="14.45" customHeight="1">
      <c r="B1251" s="88"/>
      <c r="C1251" s="68" t="s">
        <v>214</v>
      </c>
      <c r="D1251" s="69">
        <v>4</v>
      </c>
      <c r="E1251" s="70">
        <v>1.3482994573099999E-4</v>
      </c>
    </row>
    <row r="1252" spans="2:5" ht="14.45" customHeight="1">
      <c r="B1252" s="88"/>
      <c r="C1252" s="68" t="s">
        <v>234</v>
      </c>
      <c r="D1252" s="69">
        <v>2</v>
      </c>
      <c r="E1252" s="70">
        <v>6.7414972865000001E-5</v>
      </c>
    </row>
    <row r="1253" spans="2:5" ht="14.45" customHeight="1">
      <c r="B1253" s="88"/>
      <c r="C1253" s="68" t="s">
        <v>215</v>
      </c>
      <c r="D1253" s="69">
        <v>17</v>
      </c>
      <c r="E1253" s="70">
        <v>5.7302726935699996E-4</v>
      </c>
    </row>
    <row r="1254" spans="2:5" ht="14.45" customHeight="1">
      <c r="B1254" s="88"/>
      <c r="C1254" s="68" t="s">
        <v>217</v>
      </c>
      <c r="D1254" s="69">
        <v>1</v>
      </c>
      <c r="E1254" s="70">
        <v>3.3707486433000001E-5</v>
      </c>
    </row>
    <row r="1255" spans="2:5" ht="14.45" customHeight="1">
      <c r="B1255" s="88"/>
      <c r="C1255" s="68" t="s">
        <v>218</v>
      </c>
      <c r="D1255" s="69">
        <v>4</v>
      </c>
      <c r="E1255" s="70">
        <v>1.3482994573099999E-4</v>
      </c>
    </row>
    <row r="1256" spans="2:5" ht="14.45" customHeight="1">
      <c r="B1256" s="88"/>
      <c r="C1256" s="68" t="s">
        <v>219</v>
      </c>
      <c r="D1256" s="69">
        <v>1</v>
      </c>
      <c r="E1256" s="70">
        <v>3.3707486433000001E-5</v>
      </c>
    </row>
    <row r="1257" spans="2:5" ht="14.45" customHeight="1">
      <c r="B1257" s="88"/>
      <c r="C1257" s="68" t="s">
        <v>221</v>
      </c>
      <c r="D1257" s="69">
        <v>1</v>
      </c>
      <c r="E1257" s="70">
        <v>3.3707486433000001E-5</v>
      </c>
    </row>
    <row r="1258" spans="2:5" ht="14.45" customHeight="1">
      <c r="B1258" s="88"/>
      <c r="C1258" s="68" t="s">
        <v>237</v>
      </c>
      <c r="D1258" s="69">
        <v>1</v>
      </c>
      <c r="E1258" s="70">
        <v>3.3707486433000001E-5</v>
      </c>
    </row>
    <row r="1259" spans="2:5" ht="14.45" customHeight="1">
      <c r="B1259" s="88"/>
      <c r="C1259" s="68" t="s">
        <v>225</v>
      </c>
      <c r="D1259" s="69">
        <v>2</v>
      </c>
      <c r="E1259" s="70">
        <v>6.7414972865000001E-5</v>
      </c>
    </row>
    <row r="1260" spans="2:5" ht="14.45" customHeight="1">
      <c r="B1260" s="88"/>
      <c r="C1260" s="36" t="s">
        <v>29</v>
      </c>
      <c r="D1260" s="35">
        <v>62</v>
      </c>
      <c r="E1260" s="34">
        <v>2.0898641588299998E-3</v>
      </c>
    </row>
    <row r="1261" spans="2:5" ht="14.45" customHeight="1">
      <c r="B1261" s="88" t="s">
        <v>147</v>
      </c>
      <c r="C1261" s="68" t="s">
        <v>205</v>
      </c>
      <c r="D1261" s="69">
        <v>1</v>
      </c>
      <c r="E1261" s="70">
        <v>3.3707486433000001E-5</v>
      </c>
    </row>
    <row r="1262" spans="2:5" ht="14.45" customHeight="1">
      <c r="B1262" s="88"/>
      <c r="C1262" s="68" t="s">
        <v>209</v>
      </c>
      <c r="D1262" s="69">
        <v>2</v>
      </c>
      <c r="E1262" s="70">
        <v>6.7414972865000001E-5</v>
      </c>
    </row>
    <row r="1263" spans="2:5" ht="14.45" customHeight="1">
      <c r="B1263" s="88"/>
      <c r="C1263" s="68" t="s">
        <v>232</v>
      </c>
      <c r="D1263" s="69">
        <v>1</v>
      </c>
      <c r="E1263" s="70">
        <v>3.3707486433000001E-5</v>
      </c>
    </row>
    <row r="1264" spans="2:5" ht="14.45" customHeight="1">
      <c r="B1264" s="88"/>
      <c r="C1264" s="68" t="s">
        <v>215</v>
      </c>
      <c r="D1264" s="69">
        <v>1</v>
      </c>
      <c r="E1264" s="70">
        <v>3.3707486433000001E-5</v>
      </c>
    </row>
    <row r="1265" spans="2:5" ht="14.45" customHeight="1">
      <c r="B1265" s="88"/>
      <c r="C1265" s="68" t="s">
        <v>235</v>
      </c>
      <c r="D1265" s="69">
        <v>2</v>
      </c>
      <c r="E1265" s="70">
        <v>6.7414972865000001E-5</v>
      </c>
    </row>
    <row r="1266" spans="2:5" ht="14.45" customHeight="1">
      <c r="B1266" s="88"/>
      <c r="C1266" s="68" t="s">
        <v>218</v>
      </c>
      <c r="D1266" s="69">
        <v>7</v>
      </c>
      <c r="E1266" s="70">
        <v>2.35952405029E-4</v>
      </c>
    </row>
    <row r="1267" spans="2:5" ht="14.45" customHeight="1">
      <c r="B1267" s="88"/>
      <c r="C1267" s="68" t="s">
        <v>219</v>
      </c>
      <c r="D1267" s="69">
        <v>1</v>
      </c>
      <c r="E1267" s="70">
        <v>3.3707486433000001E-5</v>
      </c>
    </row>
    <row r="1268" spans="2:5" ht="14.45" customHeight="1">
      <c r="B1268" s="88"/>
      <c r="C1268" s="68" t="s">
        <v>226</v>
      </c>
      <c r="D1268" s="69">
        <v>1</v>
      </c>
      <c r="E1268" s="70">
        <v>3.3707486433000001E-5</v>
      </c>
    </row>
    <row r="1269" spans="2:5" ht="14.45" customHeight="1">
      <c r="B1269" s="88"/>
      <c r="C1269" s="36" t="s">
        <v>29</v>
      </c>
      <c r="D1269" s="35">
        <v>16</v>
      </c>
      <c r="E1269" s="34">
        <v>5.3931978292399995E-4</v>
      </c>
    </row>
    <row r="1270" spans="2:5" ht="14.45" customHeight="1">
      <c r="B1270" s="90" t="s">
        <v>29</v>
      </c>
      <c r="C1270" s="90"/>
      <c r="D1270" s="65">
        <v>29667</v>
      </c>
      <c r="E1270" s="66">
        <v>1</v>
      </c>
    </row>
    <row r="1271" spans="2:5" ht="14.45" customHeight="1"/>
    <row r="1272" spans="2:5" ht="14.45" customHeight="1">
      <c r="B1272" s="15" t="s">
        <v>47</v>
      </c>
    </row>
    <row r="1273" spans="2:5" ht="14.45" customHeight="1">
      <c r="B1273" s="17" t="s">
        <v>18</v>
      </c>
    </row>
    <row r="1274" spans="2:5" ht="14.45" customHeight="1">
      <c r="B1274" s="16" t="s">
        <v>48</v>
      </c>
    </row>
    <row r="1275" spans="2:5" ht="14.45" customHeight="1">
      <c r="B1275" s="15" t="s">
        <v>17</v>
      </c>
    </row>
    <row r="1276" spans="2:5" ht="14.45" customHeight="1">
      <c r="B1276" s="15" t="s">
        <v>49</v>
      </c>
    </row>
  </sheetData>
  <mergeCells count="50">
    <mergeCell ref="B1001:B1003"/>
    <mergeCell ref="B1261:B1269"/>
    <mergeCell ref="B1270:C1270"/>
    <mergeCell ref="B1183:B1185"/>
    <mergeCell ref="B1186:B1218"/>
    <mergeCell ref="B1219:B1234"/>
    <mergeCell ref="B1235:B1238"/>
    <mergeCell ref="B1239:B1260"/>
    <mergeCell ref="B887:B894"/>
    <mergeCell ref="B895:B925"/>
    <mergeCell ref="B926:B978"/>
    <mergeCell ref="B979:B985"/>
    <mergeCell ref="B986:B1000"/>
    <mergeCell ref="B354:B406"/>
    <mergeCell ref="B407:B444"/>
    <mergeCell ref="B445:B459"/>
    <mergeCell ref="B460:B497"/>
    <mergeCell ref="B700:B730"/>
    <mergeCell ref="B7:E8"/>
    <mergeCell ref="B498:B533"/>
    <mergeCell ref="B534:B573"/>
    <mergeCell ref="B574:B590"/>
    <mergeCell ref="B591:B600"/>
    <mergeCell ref="B10:B46"/>
    <mergeCell ref="B47:B74"/>
    <mergeCell ref="B75:B122"/>
    <mergeCell ref="B123:B175"/>
    <mergeCell ref="B176:B202"/>
    <mergeCell ref="B203:B212"/>
    <mergeCell ref="B213:B225"/>
    <mergeCell ref="B226:B278"/>
    <mergeCell ref="B279:B332"/>
    <mergeCell ref="B333:B334"/>
    <mergeCell ref="B335:B353"/>
    <mergeCell ref="B1054:B1103"/>
    <mergeCell ref="B1104:B1165"/>
    <mergeCell ref="B1166:B1182"/>
    <mergeCell ref="B601:B637"/>
    <mergeCell ref="B638:B667"/>
    <mergeCell ref="B668:B699"/>
    <mergeCell ref="B1004:B1044"/>
    <mergeCell ref="B1045:B1053"/>
    <mergeCell ref="B731:B738"/>
    <mergeCell ref="B739:B755"/>
    <mergeCell ref="B756:B779"/>
    <mergeCell ref="B780:B781"/>
    <mergeCell ref="B782:B800"/>
    <mergeCell ref="B801:B814"/>
    <mergeCell ref="B815:B835"/>
    <mergeCell ref="B836:B88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E1589"/>
  <sheetViews>
    <sheetView showGridLines="0" view="pageBreakPreview" zoomScale="85" zoomScaleNormal="85" zoomScaleSheetLayoutView="85" workbookViewId="0">
      <selection activeCell="E1583" sqref="B9:E1583"/>
    </sheetView>
  </sheetViews>
  <sheetFormatPr baseColWidth="10" defaultColWidth="35" defaultRowHeight="15" customHeight="1"/>
  <cols>
    <col min="1" max="1" width="1" style="32" customWidth="1"/>
    <col min="2" max="2" width="22.85546875" style="33" customWidth="1"/>
    <col min="3" max="3" width="37.7109375" style="33" customWidth="1"/>
    <col min="4" max="4" width="14.28515625" style="33" customWidth="1"/>
    <col min="5" max="5" width="16.85546875" style="33" customWidth="1"/>
    <col min="6" max="16384" width="35" style="32"/>
  </cols>
  <sheetData>
    <row r="1" spans="1:5" s="41" customFormat="1" ht="12" customHeight="1">
      <c r="B1" s="43"/>
      <c r="C1" s="37"/>
      <c r="D1" s="37"/>
      <c r="E1" s="37"/>
    </row>
    <row r="2" spans="1:5" s="41" customFormat="1" ht="15" customHeight="1">
      <c r="C2" s="45"/>
    </row>
    <row r="3" spans="1:5" s="41" customFormat="1" ht="15" customHeight="1">
      <c r="C3" s="45"/>
    </row>
    <row r="4" spans="1:5" s="41" customFormat="1" ht="30" customHeight="1">
      <c r="C4" s="45"/>
      <c r="D4" s="44"/>
    </row>
    <row r="5" spans="1:5" s="41" customFormat="1" ht="15" customHeight="1">
      <c r="C5" s="45"/>
      <c r="D5" s="44"/>
    </row>
    <row r="6" spans="1:5" s="41" customFormat="1" ht="24" customHeight="1">
      <c r="B6" s="43"/>
      <c r="C6" s="37"/>
      <c r="D6" s="37"/>
      <c r="E6" s="37"/>
    </row>
    <row r="7" spans="1:5" s="41" customFormat="1" ht="26.25" customHeight="1">
      <c r="A7" s="42"/>
      <c r="B7" s="89"/>
      <c r="C7" s="89"/>
      <c r="D7" s="89"/>
      <c r="E7" s="89"/>
    </row>
    <row r="8" spans="1:5" s="41" customFormat="1" ht="33" customHeight="1">
      <c r="A8" s="42"/>
      <c r="B8" s="89"/>
      <c r="C8" s="89"/>
      <c r="D8" s="89"/>
      <c r="E8" s="89"/>
    </row>
    <row r="9" spans="1:5" s="25" customFormat="1" ht="40.5" customHeight="1">
      <c r="B9" s="38" t="s">
        <v>22</v>
      </c>
      <c r="C9" s="40" t="s">
        <v>24</v>
      </c>
      <c r="D9" s="39" t="s">
        <v>20</v>
      </c>
      <c r="E9" s="38" t="s">
        <v>19</v>
      </c>
    </row>
    <row r="10" spans="1:5" ht="15" customHeight="1">
      <c r="B10" s="91" t="s">
        <v>75</v>
      </c>
      <c r="C10" s="68" t="s">
        <v>195</v>
      </c>
      <c r="D10" s="69">
        <v>1</v>
      </c>
      <c r="E10" s="70">
        <v>3.3707486433000001E-5</v>
      </c>
    </row>
    <row r="11" spans="1:5" ht="15" customHeight="1">
      <c r="B11" s="92"/>
      <c r="C11" s="68" t="s">
        <v>248</v>
      </c>
      <c r="D11" s="69">
        <v>1</v>
      </c>
      <c r="E11" s="70">
        <v>3.3707486433000001E-5</v>
      </c>
    </row>
    <row r="12" spans="1:5" ht="15" customHeight="1">
      <c r="B12" s="92"/>
      <c r="C12" s="68" t="s">
        <v>199</v>
      </c>
      <c r="D12" s="69">
        <v>2</v>
      </c>
      <c r="E12" s="70">
        <v>6.7414972865000001E-5</v>
      </c>
    </row>
    <row r="13" spans="1:5" ht="15" customHeight="1">
      <c r="B13" s="92"/>
      <c r="C13" s="68" t="s">
        <v>252</v>
      </c>
      <c r="D13" s="69">
        <v>3</v>
      </c>
      <c r="E13" s="70">
        <v>1.0112245929799999E-4</v>
      </c>
    </row>
    <row r="14" spans="1:5" ht="15" customHeight="1">
      <c r="B14" s="92"/>
      <c r="C14" s="68" t="s">
        <v>200</v>
      </c>
      <c r="D14" s="69">
        <v>3</v>
      </c>
      <c r="E14" s="70">
        <v>1.0112245929799999E-4</v>
      </c>
    </row>
    <row r="15" spans="1:5" ht="15" customHeight="1">
      <c r="B15" s="92"/>
      <c r="C15" s="68" t="s">
        <v>201</v>
      </c>
      <c r="D15" s="69">
        <v>7</v>
      </c>
      <c r="E15" s="70">
        <v>2.35952405029E-4</v>
      </c>
    </row>
    <row r="16" spans="1:5" ht="15" customHeight="1">
      <c r="B16" s="92"/>
      <c r="C16" s="68" t="s">
        <v>202</v>
      </c>
      <c r="D16" s="69">
        <v>5</v>
      </c>
      <c r="E16" s="70">
        <v>1.68537432164E-4</v>
      </c>
    </row>
    <row r="17" spans="2:5" ht="15" customHeight="1">
      <c r="B17" s="92"/>
      <c r="C17" s="68" t="s">
        <v>203</v>
      </c>
      <c r="D17" s="69">
        <v>3</v>
      </c>
      <c r="E17" s="70">
        <v>1.0112245929799999E-4</v>
      </c>
    </row>
    <row r="18" spans="2:5" ht="15" customHeight="1">
      <c r="B18" s="92"/>
      <c r="C18" s="68" t="s">
        <v>204</v>
      </c>
      <c r="D18" s="69">
        <v>1</v>
      </c>
      <c r="E18" s="70">
        <v>3.3707486433000001E-5</v>
      </c>
    </row>
    <row r="19" spans="2:5" ht="15" customHeight="1">
      <c r="B19" s="92"/>
      <c r="C19" s="68" t="s">
        <v>205</v>
      </c>
      <c r="D19" s="69">
        <v>1</v>
      </c>
      <c r="E19" s="70">
        <v>3.3707486433000001E-5</v>
      </c>
    </row>
    <row r="20" spans="2:5" ht="15" customHeight="1">
      <c r="B20" s="92"/>
      <c r="C20" s="68" t="s">
        <v>207</v>
      </c>
      <c r="D20" s="69">
        <v>1</v>
      </c>
      <c r="E20" s="70">
        <v>3.3707486433000001E-5</v>
      </c>
    </row>
    <row r="21" spans="2:5" ht="15" customHeight="1">
      <c r="B21" s="92"/>
      <c r="C21" s="68" t="s">
        <v>208</v>
      </c>
      <c r="D21" s="69">
        <v>3</v>
      </c>
      <c r="E21" s="70">
        <v>1.0112245929799999E-4</v>
      </c>
    </row>
    <row r="22" spans="2:5" ht="15" customHeight="1">
      <c r="B22" s="92"/>
      <c r="C22" s="68" t="s">
        <v>209</v>
      </c>
      <c r="D22" s="69">
        <v>3</v>
      </c>
      <c r="E22" s="70">
        <v>1.0112245929799999E-4</v>
      </c>
    </row>
    <row r="23" spans="2:5" ht="15" customHeight="1">
      <c r="B23" s="92"/>
      <c r="C23" s="68" t="s">
        <v>232</v>
      </c>
      <c r="D23" s="69">
        <v>2</v>
      </c>
      <c r="E23" s="70">
        <v>6.7414972865000001E-5</v>
      </c>
    </row>
    <row r="24" spans="2:5" ht="15" customHeight="1">
      <c r="B24" s="92"/>
      <c r="C24" s="68" t="s">
        <v>211</v>
      </c>
      <c r="D24" s="69">
        <v>1</v>
      </c>
      <c r="E24" s="70">
        <v>3.3707486433000001E-5</v>
      </c>
    </row>
    <row r="25" spans="2:5" ht="15" customHeight="1">
      <c r="B25" s="92"/>
      <c r="C25" s="68" t="s">
        <v>213</v>
      </c>
      <c r="D25" s="69">
        <v>20</v>
      </c>
      <c r="E25" s="70">
        <v>6.7414972865500002E-4</v>
      </c>
    </row>
    <row r="26" spans="2:5" ht="15" customHeight="1">
      <c r="B26" s="92"/>
      <c r="C26" s="68" t="s">
        <v>214</v>
      </c>
      <c r="D26" s="69">
        <v>1</v>
      </c>
      <c r="E26" s="70">
        <v>3.3707486433000001E-5</v>
      </c>
    </row>
    <row r="27" spans="2:5" ht="15" customHeight="1">
      <c r="B27" s="92"/>
      <c r="C27" s="68" t="s">
        <v>234</v>
      </c>
      <c r="D27" s="69">
        <v>1</v>
      </c>
      <c r="E27" s="70">
        <v>3.3707486433000001E-5</v>
      </c>
    </row>
    <row r="28" spans="2:5" ht="15" customHeight="1">
      <c r="B28" s="92"/>
      <c r="C28" s="68" t="s">
        <v>215</v>
      </c>
      <c r="D28" s="69">
        <v>20</v>
      </c>
      <c r="E28" s="70">
        <v>6.7414972865500002E-4</v>
      </c>
    </row>
    <row r="29" spans="2:5" ht="15" customHeight="1">
      <c r="B29" s="92"/>
      <c r="C29" s="68" t="s">
        <v>244</v>
      </c>
      <c r="D29" s="69">
        <v>3</v>
      </c>
      <c r="E29" s="70">
        <v>1.0112245929799999E-4</v>
      </c>
    </row>
    <row r="30" spans="2:5" ht="15" customHeight="1">
      <c r="B30" s="92"/>
      <c r="C30" s="68" t="s">
        <v>216</v>
      </c>
      <c r="D30" s="69">
        <v>1</v>
      </c>
      <c r="E30" s="70">
        <v>3.3707486433000001E-5</v>
      </c>
    </row>
    <row r="31" spans="2:5" ht="15" customHeight="1">
      <c r="B31" s="92"/>
      <c r="C31" s="68" t="s">
        <v>218</v>
      </c>
      <c r="D31" s="69">
        <v>1</v>
      </c>
      <c r="E31" s="70">
        <v>3.3707486433000001E-5</v>
      </c>
    </row>
    <row r="32" spans="2:5" ht="15" customHeight="1">
      <c r="B32" s="92"/>
      <c r="C32" s="68" t="s">
        <v>219</v>
      </c>
      <c r="D32" s="69">
        <v>30</v>
      </c>
      <c r="E32" s="70">
        <v>1.0112245929819999E-3</v>
      </c>
    </row>
    <row r="33" spans="2:5" ht="15" customHeight="1">
      <c r="B33" s="92"/>
      <c r="C33" s="68" t="s">
        <v>220</v>
      </c>
      <c r="D33" s="69">
        <v>4</v>
      </c>
      <c r="E33" s="70">
        <v>1.3482994573099999E-4</v>
      </c>
    </row>
    <row r="34" spans="2:5" ht="15" customHeight="1">
      <c r="B34" s="92"/>
      <c r="C34" s="68" t="s">
        <v>223</v>
      </c>
      <c r="D34" s="69">
        <v>1</v>
      </c>
      <c r="E34" s="70">
        <v>3.3707486433000001E-5</v>
      </c>
    </row>
    <row r="35" spans="2:5" ht="15" customHeight="1">
      <c r="B35" s="92"/>
      <c r="C35" s="68" t="s">
        <v>225</v>
      </c>
      <c r="D35" s="69">
        <v>2</v>
      </c>
      <c r="E35" s="70">
        <v>6.7414972865000001E-5</v>
      </c>
    </row>
    <row r="36" spans="2:5" ht="15" customHeight="1">
      <c r="B36" s="92"/>
      <c r="C36" s="68" t="s">
        <v>251</v>
      </c>
      <c r="D36" s="69">
        <v>2</v>
      </c>
      <c r="E36" s="70">
        <v>6.7414972865000001E-5</v>
      </c>
    </row>
    <row r="37" spans="2:5" ht="15" customHeight="1">
      <c r="B37" s="92"/>
      <c r="C37" s="68" t="s">
        <v>241</v>
      </c>
      <c r="D37" s="69">
        <v>2</v>
      </c>
      <c r="E37" s="70">
        <v>6.7414972865000001E-5</v>
      </c>
    </row>
    <row r="38" spans="2:5" ht="15" customHeight="1">
      <c r="B38" s="92"/>
      <c r="C38" s="68" t="s">
        <v>226</v>
      </c>
      <c r="D38" s="69">
        <v>4</v>
      </c>
      <c r="E38" s="70">
        <v>1.3482994573099999E-4</v>
      </c>
    </row>
    <row r="39" spans="2:5" ht="15" customHeight="1">
      <c r="B39" s="92"/>
      <c r="C39" s="68" t="s">
        <v>229</v>
      </c>
      <c r="D39" s="69">
        <v>1</v>
      </c>
      <c r="E39" s="70">
        <v>3.3707486433000001E-5</v>
      </c>
    </row>
    <row r="40" spans="2:5" ht="15" customHeight="1">
      <c r="B40" s="92"/>
      <c r="C40" s="68" t="s">
        <v>230</v>
      </c>
      <c r="D40" s="69">
        <v>5</v>
      </c>
      <c r="E40" s="70">
        <v>1.68537432164E-4</v>
      </c>
    </row>
    <row r="41" spans="2:5" ht="15" customHeight="1">
      <c r="B41" s="93"/>
      <c r="C41" s="36" t="s">
        <v>29</v>
      </c>
      <c r="D41" s="35">
        <v>135</v>
      </c>
      <c r="E41" s="34">
        <v>4.5505106684189996E-3</v>
      </c>
    </row>
    <row r="42" spans="2:5" ht="15" customHeight="1">
      <c r="B42" s="91" t="s">
        <v>53</v>
      </c>
      <c r="C42" s="68" t="s">
        <v>195</v>
      </c>
      <c r="D42" s="69">
        <v>6</v>
      </c>
      <c r="E42" s="70">
        <v>2.0224491859599999E-4</v>
      </c>
    </row>
    <row r="43" spans="2:5" ht="15" customHeight="1">
      <c r="B43" s="92"/>
      <c r="C43" s="68" t="s">
        <v>196</v>
      </c>
      <c r="D43" s="69">
        <v>16</v>
      </c>
      <c r="E43" s="70">
        <v>5.3931978292399995E-4</v>
      </c>
    </row>
    <row r="44" spans="2:5" ht="15" customHeight="1">
      <c r="B44" s="92"/>
      <c r="C44" s="68" t="s">
        <v>197</v>
      </c>
      <c r="D44" s="69">
        <v>14</v>
      </c>
      <c r="E44" s="70">
        <v>4.7190481005799999E-4</v>
      </c>
    </row>
    <row r="45" spans="2:5" ht="15" customHeight="1">
      <c r="B45" s="92"/>
      <c r="C45" s="68" t="s">
        <v>198</v>
      </c>
      <c r="D45" s="69">
        <v>4</v>
      </c>
      <c r="E45" s="70">
        <v>1.3482994573099999E-4</v>
      </c>
    </row>
    <row r="46" spans="2:5" ht="15" customHeight="1">
      <c r="B46" s="92"/>
      <c r="C46" s="68" t="s">
        <v>248</v>
      </c>
      <c r="D46" s="69">
        <v>8</v>
      </c>
      <c r="E46" s="70">
        <v>2.6965989146199998E-4</v>
      </c>
    </row>
    <row r="47" spans="2:5" ht="15" customHeight="1">
      <c r="B47" s="92"/>
      <c r="C47" s="68" t="s">
        <v>242</v>
      </c>
      <c r="D47" s="69">
        <v>5</v>
      </c>
      <c r="E47" s="70">
        <v>1.68537432164E-4</v>
      </c>
    </row>
    <row r="48" spans="2:5" ht="15" customHeight="1">
      <c r="B48" s="92"/>
      <c r="C48" s="68" t="s">
        <v>199</v>
      </c>
      <c r="D48" s="69">
        <v>20</v>
      </c>
      <c r="E48" s="70">
        <v>6.7414972865500002E-4</v>
      </c>
    </row>
    <row r="49" spans="2:5" ht="15" customHeight="1">
      <c r="B49" s="92"/>
      <c r="C49" s="68" t="s">
        <v>252</v>
      </c>
      <c r="D49" s="69">
        <v>1</v>
      </c>
      <c r="E49" s="70">
        <v>3.3707486433000001E-5</v>
      </c>
    </row>
    <row r="50" spans="2:5" ht="15" customHeight="1">
      <c r="B50" s="92"/>
      <c r="C50" s="68" t="s">
        <v>200</v>
      </c>
      <c r="D50" s="69">
        <v>17</v>
      </c>
      <c r="E50" s="70">
        <v>5.7302726935699996E-4</v>
      </c>
    </row>
    <row r="51" spans="2:5" ht="15" customHeight="1">
      <c r="B51" s="92"/>
      <c r="C51" s="68" t="s">
        <v>201</v>
      </c>
      <c r="D51" s="69">
        <v>34</v>
      </c>
      <c r="E51" s="70">
        <v>1.1460545387130001E-3</v>
      </c>
    </row>
    <row r="52" spans="2:5" ht="15" customHeight="1">
      <c r="B52" s="92"/>
      <c r="C52" s="68" t="s">
        <v>202</v>
      </c>
      <c r="D52" s="69">
        <v>53</v>
      </c>
      <c r="E52" s="70">
        <v>1.7864967809350001E-3</v>
      </c>
    </row>
    <row r="53" spans="2:5" ht="15" customHeight="1">
      <c r="B53" s="92"/>
      <c r="C53" s="68" t="s">
        <v>203</v>
      </c>
      <c r="D53" s="69">
        <v>82</v>
      </c>
      <c r="E53" s="70">
        <v>2.764013887484E-3</v>
      </c>
    </row>
    <row r="54" spans="2:5" ht="15" customHeight="1">
      <c r="B54" s="92"/>
      <c r="C54" s="68" t="s">
        <v>249</v>
      </c>
      <c r="D54" s="69">
        <v>1</v>
      </c>
      <c r="E54" s="70">
        <v>3.3707486433000001E-5</v>
      </c>
    </row>
    <row r="55" spans="2:5" ht="15" customHeight="1">
      <c r="B55" s="92"/>
      <c r="C55" s="68" t="s">
        <v>204</v>
      </c>
      <c r="D55" s="69">
        <v>29</v>
      </c>
      <c r="E55" s="70">
        <v>9.775171065490001E-4</v>
      </c>
    </row>
    <row r="56" spans="2:5" ht="15" customHeight="1">
      <c r="B56" s="92"/>
      <c r="C56" s="68" t="s">
        <v>205</v>
      </c>
      <c r="D56" s="69">
        <v>23</v>
      </c>
      <c r="E56" s="70">
        <v>7.7527218795299998E-4</v>
      </c>
    </row>
    <row r="57" spans="2:5" ht="15" customHeight="1">
      <c r="B57" s="92"/>
      <c r="C57" s="68" t="s">
        <v>243</v>
      </c>
      <c r="D57" s="69">
        <v>6</v>
      </c>
      <c r="E57" s="70">
        <v>2.0224491859599999E-4</v>
      </c>
    </row>
    <row r="58" spans="2:5" ht="15" customHeight="1">
      <c r="B58" s="92"/>
      <c r="C58" s="68" t="s">
        <v>206</v>
      </c>
      <c r="D58" s="69">
        <v>20</v>
      </c>
      <c r="E58" s="70">
        <v>6.7414972865500002E-4</v>
      </c>
    </row>
    <row r="59" spans="2:5" ht="15" customHeight="1">
      <c r="B59" s="92"/>
      <c r="C59" s="68" t="s">
        <v>208</v>
      </c>
      <c r="D59" s="69">
        <v>12</v>
      </c>
      <c r="E59" s="70">
        <v>4.0448983719299999E-4</v>
      </c>
    </row>
    <row r="60" spans="2:5" ht="15" customHeight="1">
      <c r="B60" s="92"/>
      <c r="C60" s="68" t="s">
        <v>209</v>
      </c>
      <c r="D60" s="69">
        <v>53</v>
      </c>
      <c r="E60" s="70">
        <v>1.7864967809350001E-3</v>
      </c>
    </row>
    <row r="61" spans="2:5" ht="15" customHeight="1">
      <c r="B61" s="92"/>
      <c r="C61" s="68" t="s">
        <v>210</v>
      </c>
      <c r="D61" s="69">
        <v>2</v>
      </c>
      <c r="E61" s="70">
        <v>6.7414972865000001E-5</v>
      </c>
    </row>
    <row r="62" spans="2:5" ht="15" customHeight="1">
      <c r="B62" s="92"/>
      <c r="C62" s="68" t="s">
        <v>232</v>
      </c>
      <c r="D62" s="69">
        <v>40</v>
      </c>
      <c r="E62" s="70">
        <v>1.348299457309E-3</v>
      </c>
    </row>
    <row r="63" spans="2:5" ht="15" customHeight="1">
      <c r="B63" s="92"/>
      <c r="C63" s="68" t="s">
        <v>211</v>
      </c>
      <c r="D63" s="69">
        <v>9</v>
      </c>
      <c r="E63" s="70">
        <v>3.0336737789499998E-4</v>
      </c>
    </row>
    <row r="64" spans="2:5" ht="15" customHeight="1">
      <c r="B64" s="92"/>
      <c r="C64" s="68" t="s">
        <v>233</v>
      </c>
      <c r="D64" s="69">
        <v>3</v>
      </c>
      <c r="E64" s="70">
        <v>1.0112245929799999E-4</v>
      </c>
    </row>
    <row r="65" spans="2:5" ht="15" customHeight="1">
      <c r="B65" s="92"/>
      <c r="C65" s="68" t="s">
        <v>212</v>
      </c>
      <c r="D65" s="69">
        <v>45</v>
      </c>
      <c r="E65" s="70">
        <v>1.516836889473E-3</v>
      </c>
    </row>
    <row r="66" spans="2:5" ht="15" customHeight="1">
      <c r="B66" s="92"/>
      <c r="C66" s="68" t="s">
        <v>213</v>
      </c>
      <c r="D66" s="69">
        <v>237</v>
      </c>
      <c r="E66" s="70">
        <v>7.9886742845590008E-3</v>
      </c>
    </row>
    <row r="67" spans="2:5" ht="15" customHeight="1">
      <c r="B67" s="92"/>
      <c r="C67" s="68" t="s">
        <v>214</v>
      </c>
      <c r="D67" s="69">
        <v>122</v>
      </c>
      <c r="E67" s="70">
        <v>4.112313344794E-3</v>
      </c>
    </row>
    <row r="68" spans="2:5" ht="15" customHeight="1">
      <c r="B68" s="92"/>
      <c r="C68" s="68" t="s">
        <v>234</v>
      </c>
      <c r="D68" s="69">
        <v>10</v>
      </c>
      <c r="E68" s="70">
        <v>3.3707486432699998E-4</v>
      </c>
    </row>
    <row r="69" spans="2:5" ht="15" customHeight="1">
      <c r="B69" s="92"/>
      <c r="C69" s="68" t="s">
        <v>215</v>
      </c>
      <c r="D69" s="69">
        <v>193</v>
      </c>
      <c r="E69" s="70">
        <v>6.5055448815180003E-3</v>
      </c>
    </row>
    <row r="70" spans="2:5" ht="15" customHeight="1">
      <c r="B70" s="92"/>
      <c r="C70" s="68" t="s">
        <v>235</v>
      </c>
      <c r="D70" s="69">
        <v>1</v>
      </c>
      <c r="E70" s="70">
        <v>3.3707486433000001E-5</v>
      </c>
    </row>
    <row r="71" spans="2:5" ht="15" customHeight="1">
      <c r="B71" s="92"/>
      <c r="C71" s="68" t="s">
        <v>244</v>
      </c>
      <c r="D71" s="69">
        <v>10</v>
      </c>
      <c r="E71" s="70">
        <v>3.3707486432699998E-4</v>
      </c>
    </row>
    <row r="72" spans="2:5" ht="15" customHeight="1">
      <c r="B72" s="92"/>
      <c r="C72" s="68" t="s">
        <v>216</v>
      </c>
      <c r="D72" s="69">
        <v>7</v>
      </c>
      <c r="E72" s="70">
        <v>2.35952405029E-4</v>
      </c>
    </row>
    <row r="73" spans="2:5" ht="15" customHeight="1">
      <c r="B73" s="92"/>
      <c r="C73" s="68" t="s">
        <v>217</v>
      </c>
      <c r="D73" s="69">
        <v>30</v>
      </c>
      <c r="E73" s="70">
        <v>1.0112245929819999E-3</v>
      </c>
    </row>
    <row r="74" spans="2:5" ht="15" customHeight="1">
      <c r="B74" s="92"/>
      <c r="C74" s="68" t="s">
        <v>218</v>
      </c>
      <c r="D74" s="69">
        <v>36</v>
      </c>
      <c r="E74" s="70">
        <v>1.2134695115790001E-3</v>
      </c>
    </row>
    <row r="75" spans="2:5" ht="15" customHeight="1">
      <c r="B75" s="92"/>
      <c r="C75" s="68" t="s">
        <v>219</v>
      </c>
      <c r="D75" s="69">
        <v>5</v>
      </c>
      <c r="E75" s="70">
        <v>1.68537432164E-4</v>
      </c>
    </row>
    <row r="76" spans="2:5" ht="15" customHeight="1">
      <c r="B76" s="92"/>
      <c r="C76" s="68" t="s">
        <v>236</v>
      </c>
      <c r="D76" s="69">
        <v>1</v>
      </c>
      <c r="E76" s="70">
        <v>3.3707486433000001E-5</v>
      </c>
    </row>
    <row r="77" spans="2:5" ht="15" customHeight="1">
      <c r="B77" s="92"/>
      <c r="C77" s="68" t="s">
        <v>220</v>
      </c>
      <c r="D77" s="69">
        <v>39</v>
      </c>
      <c r="E77" s="70">
        <v>1.314591970877E-3</v>
      </c>
    </row>
    <row r="78" spans="2:5" ht="15" customHeight="1">
      <c r="B78" s="92"/>
      <c r="C78" s="68" t="s">
        <v>221</v>
      </c>
      <c r="D78" s="69">
        <v>49</v>
      </c>
      <c r="E78" s="70">
        <v>1.6516668352039999E-3</v>
      </c>
    </row>
    <row r="79" spans="2:5" ht="15" customHeight="1">
      <c r="B79" s="92"/>
      <c r="C79" s="68" t="s">
        <v>237</v>
      </c>
      <c r="D79" s="69">
        <v>2</v>
      </c>
      <c r="E79" s="70">
        <v>6.7414972865000001E-5</v>
      </c>
    </row>
    <row r="80" spans="2:5" ht="15" customHeight="1">
      <c r="B80" s="92"/>
      <c r="C80" s="68" t="s">
        <v>222</v>
      </c>
      <c r="D80" s="69">
        <v>31</v>
      </c>
      <c r="E80" s="70">
        <v>1.0449320794149999E-3</v>
      </c>
    </row>
    <row r="81" spans="2:5" ht="15" customHeight="1">
      <c r="B81" s="92"/>
      <c r="C81" s="68" t="s">
        <v>223</v>
      </c>
      <c r="D81" s="69">
        <v>3</v>
      </c>
      <c r="E81" s="70">
        <v>1.0112245929799999E-4</v>
      </c>
    </row>
    <row r="82" spans="2:5" ht="15" customHeight="1">
      <c r="B82" s="92"/>
      <c r="C82" s="68" t="s">
        <v>250</v>
      </c>
      <c r="D82" s="69">
        <v>5</v>
      </c>
      <c r="E82" s="70">
        <v>1.68537432164E-4</v>
      </c>
    </row>
    <row r="83" spans="2:5" ht="15" customHeight="1">
      <c r="B83" s="92"/>
      <c r="C83" s="68" t="s">
        <v>224</v>
      </c>
      <c r="D83" s="69">
        <v>6</v>
      </c>
      <c r="E83" s="70">
        <v>2.0224491859599999E-4</v>
      </c>
    </row>
    <row r="84" spans="2:5" ht="15" customHeight="1">
      <c r="B84" s="92"/>
      <c r="C84" s="68" t="s">
        <v>225</v>
      </c>
      <c r="D84" s="69">
        <v>9</v>
      </c>
      <c r="E84" s="70">
        <v>3.0336737789499998E-4</v>
      </c>
    </row>
    <row r="85" spans="2:5" ht="15" customHeight="1">
      <c r="B85" s="92"/>
      <c r="C85" s="68" t="s">
        <v>251</v>
      </c>
      <c r="D85" s="69">
        <v>5</v>
      </c>
      <c r="E85" s="70">
        <v>1.68537432164E-4</v>
      </c>
    </row>
    <row r="86" spans="2:5" ht="15" customHeight="1">
      <c r="B86" s="92"/>
      <c r="C86" s="68" t="s">
        <v>238</v>
      </c>
      <c r="D86" s="69">
        <v>7</v>
      </c>
      <c r="E86" s="70">
        <v>2.35952405029E-4</v>
      </c>
    </row>
    <row r="87" spans="2:5" ht="15" customHeight="1">
      <c r="B87" s="92"/>
      <c r="C87" s="68" t="s">
        <v>239</v>
      </c>
      <c r="D87" s="69">
        <v>4</v>
      </c>
      <c r="E87" s="70">
        <v>1.3482994573099999E-4</v>
      </c>
    </row>
    <row r="88" spans="2:5" ht="15" customHeight="1">
      <c r="B88" s="92"/>
      <c r="C88" s="68" t="s">
        <v>240</v>
      </c>
      <c r="D88" s="69">
        <v>6</v>
      </c>
      <c r="E88" s="70">
        <v>2.0224491859599999E-4</v>
      </c>
    </row>
    <row r="89" spans="2:5" ht="15" customHeight="1">
      <c r="B89" s="92"/>
      <c r="C89" s="68" t="s">
        <v>241</v>
      </c>
      <c r="D89" s="69">
        <v>8</v>
      </c>
      <c r="E89" s="70">
        <v>2.6965989146199998E-4</v>
      </c>
    </row>
    <row r="90" spans="2:5" ht="15" customHeight="1">
      <c r="B90" s="92"/>
      <c r="C90" s="68" t="s">
        <v>246</v>
      </c>
      <c r="D90" s="69">
        <v>3</v>
      </c>
      <c r="E90" s="70">
        <v>1.0112245929799999E-4</v>
      </c>
    </row>
    <row r="91" spans="2:5" ht="15" customHeight="1">
      <c r="B91" s="92"/>
      <c r="C91" s="68" t="s">
        <v>226</v>
      </c>
      <c r="D91" s="69">
        <v>106</v>
      </c>
      <c r="E91" s="70">
        <v>3.5729935618700002E-3</v>
      </c>
    </row>
    <row r="92" spans="2:5" ht="15" customHeight="1">
      <c r="B92" s="92"/>
      <c r="C92" s="68" t="s">
        <v>227</v>
      </c>
      <c r="D92" s="69">
        <v>9</v>
      </c>
      <c r="E92" s="70">
        <v>3.0336737789499998E-4</v>
      </c>
    </row>
    <row r="93" spans="2:5" ht="15" customHeight="1">
      <c r="B93" s="92"/>
      <c r="C93" s="68" t="s">
        <v>228</v>
      </c>
      <c r="D93" s="69">
        <v>4</v>
      </c>
      <c r="E93" s="70">
        <v>1.3482994573099999E-4</v>
      </c>
    </row>
    <row r="94" spans="2:5" ht="15" customHeight="1">
      <c r="B94" s="92"/>
      <c r="C94" s="68" t="s">
        <v>247</v>
      </c>
      <c r="D94" s="69">
        <v>11</v>
      </c>
      <c r="E94" s="70">
        <v>3.7078235075999999E-4</v>
      </c>
    </row>
    <row r="95" spans="2:5" ht="15" customHeight="1">
      <c r="B95" s="92"/>
      <c r="C95" s="68" t="s">
        <v>229</v>
      </c>
      <c r="D95" s="69">
        <v>12</v>
      </c>
      <c r="E95" s="70">
        <v>4.0448983719299999E-4</v>
      </c>
    </row>
    <row r="96" spans="2:5" ht="15" customHeight="1">
      <c r="B96" s="92"/>
      <c r="C96" s="68" t="s">
        <v>230</v>
      </c>
      <c r="D96" s="69">
        <v>5</v>
      </c>
      <c r="E96" s="70">
        <v>1.68537432164E-4</v>
      </c>
    </row>
    <row r="97" spans="2:5" ht="15" customHeight="1">
      <c r="B97" s="93"/>
      <c r="C97" s="36" t="s">
        <v>29</v>
      </c>
      <c r="D97" s="35">
        <v>1479</v>
      </c>
      <c r="E97" s="34">
        <v>4.9853372434018002E-2</v>
      </c>
    </row>
    <row r="98" spans="2:5" ht="15" customHeight="1">
      <c r="B98" s="91" t="s">
        <v>52</v>
      </c>
      <c r="C98" s="68" t="s">
        <v>195</v>
      </c>
      <c r="D98" s="69">
        <v>22</v>
      </c>
      <c r="E98" s="70">
        <v>7.4156470151999997E-4</v>
      </c>
    </row>
    <row r="99" spans="2:5" ht="15" customHeight="1">
      <c r="B99" s="92"/>
      <c r="C99" s="68" t="s">
        <v>196</v>
      </c>
      <c r="D99" s="69">
        <v>8</v>
      </c>
      <c r="E99" s="70">
        <v>2.6965989146199998E-4</v>
      </c>
    </row>
    <row r="100" spans="2:5" ht="15" customHeight="1">
      <c r="B100" s="92"/>
      <c r="C100" s="68" t="s">
        <v>197</v>
      </c>
      <c r="D100" s="69">
        <v>14</v>
      </c>
      <c r="E100" s="70">
        <v>4.7190481005799999E-4</v>
      </c>
    </row>
    <row r="101" spans="2:5" ht="15" customHeight="1">
      <c r="B101" s="92"/>
      <c r="C101" s="68" t="s">
        <v>231</v>
      </c>
      <c r="D101" s="69">
        <v>12</v>
      </c>
      <c r="E101" s="70">
        <v>4.0448983719299999E-4</v>
      </c>
    </row>
    <row r="102" spans="2:5" ht="15" customHeight="1">
      <c r="B102" s="92"/>
      <c r="C102" s="68" t="s">
        <v>198</v>
      </c>
      <c r="D102" s="69">
        <v>2</v>
      </c>
      <c r="E102" s="70">
        <v>6.7414972865000001E-5</v>
      </c>
    </row>
    <row r="103" spans="2:5" ht="15" customHeight="1">
      <c r="B103" s="92"/>
      <c r="C103" s="68" t="s">
        <v>248</v>
      </c>
      <c r="D103" s="69">
        <v>3</v>
      </c>
      <c r="E103" s="70">
        <v>1.0112245929799999E-4</v>
      </c>
    </row>
    <row r="104" spans="2:5" ht="15" customHeight="1">
      <c r="B104" s="92"/>
      <c r="C104" s="68" t="s">
        <v>242</v>
      </c>
      <c r="D104" s="69">
        <v>7</v>
      </c>
      <c r="E104" s="70">
        <v>2.35952405029E-4</v>
      </c>
    </row>
    <row r="105" spans="2:5" ht="15" customHeight="1">
      <c r="B105" s="92"/>
      <c r="C105" s="68" t="s">
        <v>199</v>
      </c>
      <c r="D105" s="69">
        <v>19</v>
      </c>
      <c r="E105" s="70">
        <v>6.4044224222200002E-4</v>
      </c>
    </row>
    <row r="106" spans="2:5" ht="15" customHeight="1">
      <c r="B106" s="92"/>
      <c r="C106" s="68" t="s">
        <v>252</v>
      </c>
      <c r="D106" s="69">
        <v>1</v>
      </c>
      <c r="E106" s="70">
        <v>3.3707486433000001E-5</v>
      </c>
    </row>
    <row r="107" spans="2:5" ht="15" customHeight="1">
      <c r="B107" s="92"/>
      <c r="C107" s="68" t="s">
        <v>200</v>
      </c>
      <c r="D107" s="69">
        <v>22</v>
      </c>
      <c r="E107" s="70">
        <v>7.4156470151999997E-4</v>
      </c>
    </row>
    <row r="108" spans="2:5" ht="15" customHeight="1">
      <c r="B108" s="92"/>
      <c r="C108" s="68" t="s">
        <v>201</v>
      </c>
      <c r="D108" s="69">
        <v>32</v>
      </c>
      <c r="E108" s="70">
        <v>1.0786395658479999E-3</v>
      </c>
    </row>
    <row r="109" spans="2:5" ht="15" customHeight="1">
      <c r="B109" s="92"/>
      <c r="C109" s="68" t="s">
        <v>202</v>
      </c>
      <c r="D109" s="69">
        <v>68</v>
      </c>
      <c r="E109" s="70">
        <v>2.2921090774260001E-3</v>
      </c>
    </row>
    <row r="110" spans="2:5" ht="15" customHeight="1">
      <c r="B110" s="92"/>
      <c r="C110" s="68" t="s">
        <v>203</v>
      </c>
      <c r="D110" s="69">
        <v>50</v>
      </c>
      <c r="E110" s="70">
        <v>1.6853743216369999E-3</v>
      </c>
    </row>
    <row r="111" spans="2:5" ht="15" customHeight="1">
      <c r="B111" s="92"/>
      <c r="C111" s="68" t="s">
        <v>204</v>
      </c>
      <c r="D111" s="69">
        <v>28</v>
      </c>
      <c r="E111" s="70">
        <v>9.4380962011699995E-4</v>
      </c>
    </row>
    <row r="112" spans="2:5" ht="15" customHeight="1">
      <c r="B112" s="92"/>
      <c r="C112" s="68" t="s">
        <v>205</v>
      </c>
      <c r="D112" s="69">
        <v>13</v>
      </c>
      <c r="E112" s="70">
        <v>4.38197323626E-4</v>
      </c>
    </row>
    <row r="113" spans="2:5" ht="15" customHeight="1">
      <c r="B113" s="92"/>
      <c r="C113" s="68" t="s">
        <v>243</v>
      </c>
      <c r="D113" s="69">
        <v>2</v>
      </c>
      <c r="E113" s="70">
        <v>6.7414972865000001E-5</v>
      </c>
    </row>
    <row r="114" spans="2:5" ht="15" customHeight="1">
      <c r="B114" s="92"/>
      <c r="C114" s="68" t="s">
        <v>206</v>
      </c>
      <c r="D114" s="69">
        <v>15</v>
      </c>
      <c r="E114" s="70">
        <v>5.0561229649099995E-4</v>
      </c>
    </row>
    <row r="115" spans="2:5" ht="15" customHeight="1">
      <c r="B115" s="92"/>
      <c r="C115" s="68" t="s">
        <v>207</v>
      </c>
      <c r="D115" s="69">
        <v>5</v>
      </c>
      <c r="E115" s="70">
        <v>1.68537432164E-4</v>
      </c>
    </row>
    <row r="116" spans="2:5" ht="15" customHeight="1">
      <c r="B116" s="92"/>
      <c r="C116" s="68" t="s">
        <v>208</v>
      </c>
      <c r="D116" s="69">
        <v>18</v>
      </c>
      <c r="E116" s="70">
        <v>6.0673475578900001E-4</v>
      </c>
    </row>
    <row r="117" spans="2:5" ht="15" customHeight="1">
      <c r="B117" s="92"/>
      <c r="C117" s="68" t="s">
        <v>209</v>
      </c>
      <c r="D117" s="69">
        <v>59</v>
      </c>
      <c r="E117" s="70">
        <v>1.988741699531E-3</v>
      </c>
    </row>
    <row r="118" spans="2:5" ht="15" customHeight="1">
      <c r="B118" s="92"/>
      <c r="C118" s="68" t="s">
        <v>210</v>
      </c>
      <c r="D118" s="69">
        <v>4</v>
      </c>
      <c r="E118" s="70">
        <v>1.3482994573099999E-4</v>
      </c>
    </row>
    <row r="119" spans="2:5" ht="15" customHeight="1">
      <c r="B119" s="92"/>
      <c r="C119" s="68" t="s">
        <v>232</v>
      </c>
      <c r="D119" s="69">
        <v>32</v>
      </c>
      <c r="E119" s="70">
        <v>1.0786395658479999E-3</v>
      </c>
    </row>
    <row r="120" spans="2:5" ht="15" customHeight="1">
      <c r="B120" s="92"/>
      <c r="C120" s="68" t="s">
        <v>211</v>
      </c>
      <c r="D120" s="69">
        <v>46</v>
      </c>
      <c r="E120" s="70">
        <v>1.550544375906E-3</v>
      </c>
    </row>
    <row r="121" spans="2:5" ht="15" customHeight="1">
      <c r="B121" s="92"/>
      <c r="C121" s="68" t="s">
        <v>212</v>
      </c>
      <c r="D121" s="69">
        <v>27</v>
      </c>
      <c r="E121" s="70">
        <v>9.1010213368400005E-4</v>
      </c>
    </row>
    <row r="122" spans="2:5" ht="15" customHeight="1">
      <c r="B122" s="92"/>
      <c r="C122" s="68" t="s">
        <v>213</v>
      </c>
      <c r="D122" s="69">
        <v>289</v>
      </c>
      <c r="E122" s="70">
        <v>9.7414635790609994E-3</v>
      </c>
    </row>
    <row r="123" spans="2:5" ht="15" customHeight="1">
      <c r="B123" s="92"/>
      <c r="C123" s="68" t="s">
        <v>214</v>
      </c>
      <c r="D123" s="69">
        <v>36</v>
      </c>
      <c r="E123" s="70">
        <v>1.2134695115790001E-3</v>
      </c>
    </row>
    <row r="124" spans="2:5" ht="15" customHeight="1">
      <c r="B124" s="92"/>
      <c r="C124" s="68" t="s">
        <v>234</v>
      </c>
      <c r="D124" s="69">
        <v>38</v>
      </c>
      <c r="E124" s="70">
        <v>1.280884484444E-3</v>
      </c>
    </row>
    <row r="125" spans="2:5" ht="15" customHeight="1">
      <c r="B125" s="92"/>
      <c r="C125" s="68" t="s">
        <v>215</v>
      </c>
      <c r="D125" s="69">
        <v>293</v>
      </c>
      <c r="E125" s="70">
        <v>9.8762935247919993E-3</v>
      </c>
    </row>
    <row r="126" spans="2:5" ht="15" customHeight="1">
      <c r="B126" s="92"/>
      <c r="C126" s="68" t="s">
        <v>235</v>
      </c>
      <c r="D126" s="69">
        <v>1</v>
      </c>
      <c r="E126" s="70">
        <v>3.3707486433000001E-5</v>
      </c>
    </row>
    <row r="127" spans="2:5" ht="15" customHeight="1">
      <c r="B127" s="92"/>
      <c r="C127" s="68" t="s">
        <v>244</v>
      </c>
      <c r="D127" s="69">
        <v>29</v>
      </c>
      <c r="E127" s="70">
        <v>9.775171065490001E-4</v>
      </c>
    </row>
    <row r="128" spans="2:5" ht="15" customHeight="1">
      <c r="B128" s="92"/>
      <c r="C128" s="68" t="s">
        <v>216</v>
      </c>
      <c r="D128" s="69">
        <v>1</v>
      </c>
      <c r="E128" s="70">
        <v>3.3707486433000001E-5</v>
      </c>
    </row>
    <row r="129" spans="2:5" ht="15" customHeight="1">
      <c r="B129" s="92"/>
      <c r="C129" s="68" t="s">
        <v>217</v>
      </c>
      <c r="D129" s="69">
        <v>23</v>
      </c>
      <c r="E129" s="70">
        <v>7.7527218795299998E-4</v>
      </c>
    </row>
    <row r="130" spans="2:5" ht="15" customHeight="1">
      <c r="B130" s="92"/>
      <c r="C130" s="68" t="s">
        <v>218</v>
      </c>
      <c r="D130" s="69">
        <v>57</v>
      </c>
      <c r="E130" s="70">
        <v>1.9213267266660001E-3</v>
      </c>
    </row>
    <row r="131" spans="2:5" ht="15" customHeight="1">
      <c r="B131" s="92"/>
      <c r="C131" s="68" t="s">
        <v>219</v>
      </c>
      <c r="D131" s="69">
        <v>4</v>
      </c>
      <c r="E131" s="70">
        <v>1.3482994573099999E-4</v>
      </c>
    </row>
    <row r="132" spans="2:5" ht="15" customHeight="1">
      <c r="B132" s="92"/>
      <c r="C132" s="68" t="s">
        <v>236</v>
      </c>
      <c r="D132" s="69">
        <v>38</v>
      </c>
      <c r="E132" s="70">
        <v>1.280884484444E-3</v>
      </c>
    </row>
    <row r="133" spans="2:5" ht="15" customHeight="1">
      <c r="B133" s="92"/>
      <c r="C133" s="68" t="s">
        <v>220</v>
      </c>
      <c r="D133" s="69">
        <v>37</v>
      </c>
      <c r="E133" s="70">
        <v>1.247176998011E-3</v>
      </c>
    </row>
    <row r="134" spans="2:5" ht="15" customHeight="1">
      <c r="B134" s="92"/>
      <c r="C134" s="68" t="s">
        <v>221</v>
      </c>
      <c r="D134" s="69">
        <v>22</v>
      </c>
      <c r="E134" s="70">
        <v>7.4156470151999997E-4</v>
      </c>
    </row>
    <row r="135" spans="2:5" ht="15" customHeight="1">
      <c r="B135" s="92"/>
      <c r="C135" s="68" t="s">
        <v>245</v>
      </c>
      <c r="D135" s="69">
        <v>1</v>
      </c>
      <c r="E135" s="70">
        <v>3.3707486433000001E-5</v>
      </c>
    </row>
    <row r="136" spans="2:5" ht="15" customHeight="1">
      <c r="B136" s="92"/>
      <c r="C136" s="68" t="s">
        <v>222</v>
      </c>
      <c r="D136" s="69">
        <v>15</v>
      </c>
      <c r="E136" s="70">
        <v>5.0561229649099995E-4</v>
      </c>
    </row>
    <row r="137" spans="2:5" ht="15" customHeight="1">
      <c r="B137" s="92"/>
      <c r="C137" s="68" t="s">
        <v>250</v>
      </c>
      <c r="D137" s="69">
        <v>2</v>
      </c>
      <c r="E137" s="70">
        <v>6.7414972865000001E-5</v>
      </c>
    </row>
    <row r="138" spans="2:5" ht="15" customHeight="1">
      <c r="B138" s="92"/>
      <c r="C138" s="68" t="s">
        <v>224</v>
      </c>
      <c r="D138" s="69">
        <v>5</v>
      </c>
      <c r="E138" s="70">
        <v>1.68537432164E-4</v>
      </c>
    </row>
    <row r="139" spans="2:5" ht="15" customHeight="1">
      <c r="B139" s="92"/>
      <c r="C139" s="68" t="s">
        <v>225</v>
      </c>
      <c r="D139" s="69">
        <v>8</v>
      </c>
      <c r="E139" s="70">
        <v>2.6965989146199998E-4</v>
      </c>
    </row>
    <row r="140" spans="2:5" ht="15" customHeight="1">
      <c r="B140" s="92"/>
      <c r="C140" s="68" t="s">
        <v>251</v>
      </c>
      <c r="D140" s="69">
        <v>3</v>
      </c>
      <c r="E140" s="70">
        <v>1.0112245929799999E-4</v>
      </c>
    </row>
    <row r="141" spans="2:5" ht="15" customHeight="1">
      <c r="B141" s="92"/>
      <c r="C141" s="68" t="s">
        <v>238</v>
      </c>
      <c r="D141" s="69">
        <v>6</v>
      </c>
      <c r="E141" s="70">
        <v>2.0224491859599999E-4</v>
      </c>
    </row>
    <row r="142" spans="2:5" ht="15" customHeight="1">
      <c r="B142" s="92"/>
      <c r="C142" s="68" t="s">
        <v>254</v>
      </c>
      <c r="D142" s="69">
        <v>1</v>
      </c>
      <c r="E142" s="70">
        <v>3.3707486433000001E-5</v>
      </c>
    </row>
    <row r="143" spans="2:5" ht="15" customHeight="1">
      <c r="B143" s="92"/>
      <c r="C143" s="68" t="s">
        <v>239</v>
      </c>
      <c r="D143" s="69">
        <v>49</v>
      </c>
      <c r="E143" s="70">
        <v>1.6516668352039999E-3</v>
      </c>
    </row>
    <row r="144" spans="2:5" ht="15" customHeight="1">
      <c r="B144" s="92"/>
      <c r="C144" s="68" t="s">
        <v>240</v>
      </c>
      <c r="D144" s="69">
        <v>19</v>
      </c>
      <c r="E144" s="70">
        <v>6.4044224222200002E-4</v>
      </c>
    </row>
    <row r="145" spans="2:5" ht="15" customHeight="1">
      <c r="B145" s="92"/>
      <c r="C145" s="68" t="s">
        <v>241</v>
      </c>
      <c r="D145" s="69">
        <v>15</v>
      </c>
      <c r="E145" s="70">
        <v>5.0561229649099995E-4</v>
      </c>
    </row>
    <row r="146" spans="2:5" ht="15" customHeight="1">
      <c r="B146" s="92"/>
      <c r="C146" s="68" t="s">
        <v>246</v>
      </c>
      <c r="D146" s="69">
        <v>3</v>
      </c>
      <c r="E146" s="70">
        <v>1.0112245929799999E-4</v>
      </c>
    </row>
    <row r="147" spans="2:5" ht="15" customHeight="1">
      <c r="B147" s="92"/>
      <c r="C147" s="68" t="s">
        <v>226</v>
      </c>
      <c r="D147" s="69">
        <v>1</v>
      </c>
      <c r="E147" s="70">
        <v>3.3707486433000001E-5</v>
      </c>
    </row>
    <row r="148" spans="2:5" ht="15" customHeight="1">
      <c r="B148" s="92"/>
      <c r="C148" s="68" t="s">
        <v>227</v>
      </c>
      <c r="D148" s="69">
        <v>15</v>
      </c>
      <c r="E148" s="70">
        <v>5.0561229649099995E-4</v>
      </c>
    </row>
    <row r="149" spans="2:5" ht="15" customHeight="1">
      <c r="B149" s="92"/>
      <c r="C149" s="68" t="s">
        <v>228</v>
      </c>
      <c r="D149" s="69">
        <v>38</v>
      </c>
      <c r="E149" s="70">
        <v>1.280884484444E-3</v>
      </c>
    </row>
    <row r="150" spans="2:5" ht="15" customHeight="1">
      <c r="B150" s="92"/>
      <c r="C150" s="68" t="s">
        <v>247</v>
      </c>
      <c r="D150" s="69">
        <v>12</v>
      </c>
      <c r="E150" s="70">
        <v>4.0448983719299999E-4</v>
      </c>
    </row>
    <row r="151" spans="2:5" ht="15" customHeight="1">
      <c r="B151" s="92"/>
      <c r="C151" s="68" t="s">
        <v>229</v>
      </c>
      <c r="D151" s="69">
        <v>21</v>
      </c>
      <c r="E151" s="70">
        <v>7.0785721508699996E-4</v>
      </c>
    </row>
    <row r="152" spans="2:5" ht="15" customHeight="1">
      <c r="B152" s="92"/>
      <c r="C152" s="68" t="s">
        <v>230</v>
      </c>
      <c r="D152" s="69">
        <v>7</v>
      </c>
      <c r="E152" s="70">
        <v>2.35952405029E-4</v>
      </c>
    </row>
    <row r="153" spans="2:5" ht="15" customHeight="1">
      <c r="B153" s="93"/>
      <c r="C153" s="36" t="s">
        <v>29</v>
      </c>
      <c r="D153" s="35">
        <v>1598</v>
      </c>
      <c r="E153" s="34">
        <v>5.3864563319512997E-2</v>
      </c>
    </row>
    <row r="154" spans="2:5" ht="15" customHeight="1">
      <c r="B154" s="91" t="s">
        <v>85</v>
      </c>
      <c r="C154" s="68" t="s">
        <v>196</v>
      </c>
      <c r="D154" s="69">
        <v>1</v>
      </c>
      <c r="E154" s="70">
        <v>3.3707486433000001E-5</v>
      </c>
    </row>
    <row r="155" spans="2:5" ht="15" customHeight="1">
      <c r="B155" s="92"/>
      <c r="C155" s="68" t="s">
        <v>231</v>
      </c>
      <c r="D155" s="69">
        <v>3</v>
      </c>
      <c r="E155" s="70">
        <v>1.0112245929799999E-4</v>
      </c>
    </row>
    <row r="156" spans="2:5" ht="15" customHeight="1">
      <c r="B156" s="92"/>
      <c r="C156" s="68" t="s">
        <v>198</v>
      </c>
      <c r="D156" s="69">
        <v>1</v>
      </c>
      <c r="E156" s="70">
        <v>3.3707486433000001E-5</v>
      </c>
    </row>
    <row r="157" spans="2:5" ht="15" customHeight="1">
      <c r="B157" s="92"/>
      <c r="C157" s="68" t="s">
        <v>199</v>
      </c>
      <c r="D157" s="69">
        <v>1</v>
      </c>
      <c r="E157" s="70">
        <v>3.3707486433000001E-5</v>
      </c>
    </row>
    <row r="158" spans="2:5" ht="15" customHeight="1">
      <c r="B158" s="92"/>
      <c r="C158" s="68" t="s">
        <v>201</v>
      </c>
      <c r="D158" s="69">
        <v>2</v>
      </c>
      <c r="E158" s="70">
        <v>6.7414972865000001E-5</v>
      </c>
    </row>
    <row r="159" spans="2:5" ht="15" customHeight="1">
      <c r="B159" s="92"/>
      <c r="C159" s="68" t="s">
        <v>203</v>
      </c>
      <c r="D159" s="69">
        <v>4</v>
      </c>
      <c r="E159" s="70">
        <v>1.3482994573099999E-4</v>
      </c>
    </row>
    <row r="160" spans="2:5" ht="15" customHeight="1">
      <c r="B160" s="92"/>
      <c r="C160" s="68" t="s">
        <v>205</v>
      </c>
      <c r="D160" s="69">
        <v>2</v>
      </c>
      <c r="E160" s="70">
        <v>6.7414972865000001E-5</v>
      </c>
    </row>
    <row r="161" spans="2:5" ht="15" customHeight="1">
      <c r="B161" s="92"/>
      <c r="C161" s="68" t="s">
        <v>209</v>
      </c>
      <c r="D161" s="69">
        <v>1</v>
      </c>
      <c r="E161" s="70">
        <v>3.3707486433000001E-5</v>
      </c>
    </row>
    <row r="162" spans="2:5" ht="15" customHeight="1">
      <c r="B162" s="92"/>
      <c r="C162" s="68" t="s">
        <v>232</v>
      </c>
      <c r="D162" s="69">
        <v>4</v>
      </c>
      <c r="E162" s="70">
        <v>1.3482994573099999E-4</v>
      </c>
    </row>
    <row r="163" spans="2:5" ht="15" customHeight="1">
      <c r="B163" s="92"/>
      <c r="C163" s="68" t="s">
        <v>211</v>
      </c>
      <c r="D163" s="69">
        <v>3</v>
      </c>
      <c r="E163" s="70">
        <v>1.0112245929799999E-4</v>
      </c>
    </row>
    <row r="164" spans="2:5" ht="15" customHeight="1">
      <c r="B164" s="92"/>
      <c r="C164" s="68" t="s">
        <v>213</v>
      </c>
      <c r="D164" s="69">
        <v>4</v>
      </c>
      <c r="E164" s="70">
        <v>1.3482994573099999E-4</v>
      </c>
    </row>
    <row r="165" spans="2:5" ht="15" customHeight="1">
      <c r="B165" s="92"/>
      <c r="C165" s="68" t="s">
        <v>214</v>
      </c>
      <c r="D165" s="69">
        <v>2</v>
      </c>
      <c r="E165" s="70">
        <v>6.7414972865000001E-5</v>
      </c>
    </row>
    <row r="166" spans="2:5" ht="15" customHeight="1">
      <c r="B166" s="92"/>
      <c r="C166" s="68" t="s">
        <v>215</v>
      </c>
      <c r="D166" s="69">
        <v>15</v>
      </c>
      <c r="E166" s="70">
        <v>5.0561229649099995E-4</v>
      </c>
    </row>
    <row r="167" spans="2:5" ht="15" customHeight="1">
      <c r="B167" s="92"/>
      <c r="C167" s="68" t="s">
        <v>244</v>
      </c>
      <c r="D167" s="69">
        <v>1</v>
      </c>
      <c r="E167" s="70">
        <v>3.3707486433000001E-5</v>
      </c>
    </row>
    <row r="168" spans="2:5" ht="15" customHeight="1">
      <c r="B168" s="92"/>
      <c r="C168" s="68" t="s">
        <v>218</v>
      </c>
      <c r="D168" s="69">
        <v>1</v>
      </c>
      <c r="E168" s="70">
        <v>3.3707486433000001E-5</v>
      </c>
    </row>
    <row r="169" spans="2:5" ht="15" customHeight="1">
      <c r="B169" s="92"/>
      <c r="C169" s="68" t="s">
        <v>219</v>
      </c>
      <c r="D169" s="69">
        <v>2</v>
      </c>
      <c r="E169" s="70">
        <v>6.7414972865000001E-5</v>
      </c>
    </row>
    <row r="170" spans="2:5" ht="15" customHeight="1">
      <c r="B170" s="92"/>
      <c r="C170" s="68" t="s">
        <v>236</v>
      </c>
      <c r="D170" s="69">
        <v>1</v>
      </c>
      <c r="E170" s="70">
        <v>3.3707486433000001E-5</v>
      </c>
    </row>
    <row r="171" spans="2:5" ht="15" customHeight="1">
      <c r="B171" s="92"/>
      <c r="C171" s="68" t="s">
        <v>226</v>
      </c>
      <c r="D171" s="69">
        <v>7</v>
      </c>
      <c r="E171" s="70">
        <v>2.35952405029E-4</v>
      </c>
    </row>
    <row r="172" spans="2:5" ht="15" customHeight="1">
      <c r="B172" s="92"/>
      <c r="C172" s="68" t="s">
        <v>227</v>
      </c>
      <c r="D172" s="69">
        <v>1</v>
      </c>
      <c r="E172" s="70">
        <v>3.3707486433000001E-5</v>
      </c>
    </row>
    <row r="173" spans="2:5" ht="15" customHeight="1">
      <c r="B173" s="92"/>
      <c r="C173" s="68" t="s">
        <v>229</v>
      </c>
      <c r="D173" s="69">
        <v>1</v>
      </c>
      <c r="E173" s="70">
        <v>3.3707486433000001E-5</v>
      </c>
    </row>
    <row r="174" spans="2:5" ht="15" customHeight="1">
      <c r="B174" s="93"/>
      <c r="C174" s="36" t="s">
        <v>29</v>
      </c>
      <c r="D174" s="35">
        <v>57</v>
      </c>
      <c r="E174" s="34">
        <v>1.9213267266660001E-3</v>
      </c>
    </row>
    <row r="175" spans="2:5" ht="15" customHeight="1">
      <c r="B175" s="91" t="s">
        <v>87</v>
      </c>
      <c r="C175" s="68" t="s">
        <v>195</v>
      </c>
      <c r="D175" s="69">
        <v>1</v>
      </c>
      <c r="E175" s="70">
        <v>3.3707486433000001E-5</v>
      </c>
    </row>
    <row r="176" spans="2:5" ht="15" customHeight="1">
      <c r="B176" s="92"/>
      <c r="C176" s="68" t="s">
        <v>200</v>
      </c>
      <c r="D176" s="69">
        <v>1</v>
      </c>
      <c r="E176" s="70">
        <v>3.3707486433000001E-5</v>
      </c>
    </row>
    <row r="177" spans="2:5" ht="15" customHeight="1">
      <c r="B177" s="92"/>
      <c r="C177" s="68" t="s">
        <v>201</v>
      </c>
      <c r="D177" s="69">
        <v>1</v>
      </c>
      <c r="E177" s="70">
        <v>3.3707486433000001E-5</v>
      </c>
    </row>
    <row r="178" spans="2:5" ht="15" customHeight="1">
      <c r="B178" s="92"/>
      <c r="C178" s="68" t="s">
        <v>203</v>
      </c>
      <c r="D178" s="69">
        <v>4</v>
      </c>
      <c r="E178" s="70">
        <v>1.3482994573099999E-4</v>
      </c>
    </row>
    <row r="179" spans="2:5" ht="15" customHeight="1">
      <c r="B179" s="92"/>
      <c r="C179" s="68" t="s">
        <v>205</v>
      </c>
      <c r="D179" s="69">
        <v>1</v>
      </c>
      <c r="E179" s="70">
        <v>3.3707486433000001E-5</v>
      </c>
    </row>
    <row r="180" spans="2:5" ht="15" customHeight="1">
      <c r="B180" s="92"/>
      <c r="C180" s="68" t="s">
        <v>206</v>
      </c>
      <c r="D180" s="69">
        <v>1</v>
      </c>
      <c r="E180" s="70">
        <v>3.3707486433000001E-5</v>
      </c>
    </row>
    <row r="181" spans="2:5" ht="15" customHeight="1">
      <c r="B181" s="92"/>
      <c r="C181" s="68" t="s">
        <v>209</v>
      </c>
      <c r="D181" s="69">
        <v>2</v>
      </c>
      <c r="E181" s="70">
        <v>6.7414972865000001E-5</v>
      </c>
    </row>
    <row r="182" spans="2:5" ht="15" customHeight="1">
      <c r="B182" s="92"/>
      <c r="C182" s="68" t="s">
        <v>232</v>
      </c>
      <c r="D182" s="69">
        <v>1</v>
      </c>
      <c r="E182" s="70">
        <v>3.3707486433000001E-5</v>
      </c>
    </row>
    <row r="183" spans="2:5" ht="15" customHeight="1">
      <c r="B183" s="92"/>
      <c r="C183" s="68" t="s">
        <v>212</v>
      </c>
      <c r="D183" s="69">
        <v>1</v>
      </c>
      <c r="E183" s="70">
        <v>3.3707486433000001E-5</v>
      </c>
    </row>
    <row r="184" spans="2:5" ht="15" customHeight="1">
      <c r="B184" s="92"/>
      <c r="C184" s="68" t="s">
        <v>213</v>
      </c>
      <c r="D184" s="69">
        <v>2</v>
      </c>
      <c r="E184" s="70">
        <v>6.7414972865000001E-5</v>
      </c>
    </row>
    <row r="185" spans="2:5" ht="15" customHeight="1">
      <c r="B185" s="92"/>
      <c r="C185" s="68" t="s">
        <v>214</v>
      </c>
      <c r="D185" s="69">
        <v>6</v>
      </c>
      <c r="E185" s="70">
        <v>2.0224491859599999E-4</v>
      </c>
    </row>
    <row r="186" spans="2:5" ht="15" customHeight="1">
      <c r="B186" s="92"/>
      <c r="C186" s="68" t="s">
        <v>215</v>
      </c>
      <c r="D186" s="69">
        <v>8</v>
      </c>
      <c r="E186" s="70">
        <v>2.6965989146199998E-4</v>
      </c>
    </row>
    <row r="187" spans="2:5" ht="15" customHeight="1">
      <c r="B187" s="92"/>
      <c r="C187" s="68" t="s">
        <v>224</v>
      </c>
      <c r="D187" s="69">
        <v>1</v>
      </c>
      <c r="E187" s="70">
        <v>3.3707486433000001E-5</v>
      </c>
    </row>
    <row r="188" spans="2:5" ht="15" customHeight="1">
      <c r="B188" s="92"/>
      <c r="C188" s="68" t="s">
        <v>225</v>
      </c>
      <c r="D188" s="69">
        <v>1</v>
      </c>
      <c r="E188" s="70">
        <v>3.3707486433000001E-5</v>
      </c>
    </row>
    <row r="189" spans="2:5" ht="15" customHeight="1">
      <c r="B189" s="92"/>
      <c r="C189" s="68" t="s">
        <v>251</v>
      </c>
      <c r="D189" s="69">
        <v>2</v>
      </c>
      <c r="E189" s="70">
        <v>6.7414972865000001E-5</v>
      </c>
    </row>
    <row r="190" spans="2:5" ht="15" customHeight="1">
      <c r="B190" s="92"/>
      <c r="C190" s="68" t="s">
        <v>241</v>
      </c>
      <c r="D190" s="69">
        <v>1</v>
      </c>
      <c r="E190" s="70">
        <v>3.3707486433000001E-5</v>
      </c>
    </row>
    <row r="191" spans="2:5" ht="15" customHeight="1">
      <c r="B191" s="92"/>
      <c r="C191" s="68" t="s">
        <v>227</v>
      </c>
      <c r="D191" s="69">
        <v>7</v>
      </c>
      <c r="E191" s="70">
        <v>2.35952405029E-4</v>
      </c>
    </row>
    <row r="192" spans="2:5" ht="15" customHeight="1">
      <c r="B192" s="92"/>
      <c r="C192" s="68" t="s">
        <v>229</v>
      </c>
      <c r="D192" s="69">
        <v>1</v>
      </c>
      <c r="E192" s="70">
        <v>3.3707486433000001E-5</v>
      </c>
    </row>
    <row r="193" spans="2:5" ht="15" customHeight="1">
      <c r="B193" s="93"/>
      <c r="C193" s="36" t="s">
        <v>29</v>
      </c>
      <c r="D193" s="35">
        <v>42</v>
      </c>
      <c r="E193" s="34">
        <v>1.415714430175E-3</v>
      </c>
    </row>
    <row r="194" spans="2:5" ht="15" customHeight="1">
      <c r="B194" s="91" t="s">
        <v>60</v>
      </c>
      <c r="C194" s="68" t="s">
        <v>196</v>
      </c>
      <c r="D194" s="69">
        <v>10</v>
      </c>
      <c r="E194" s="70">
        <v>3.3707486432699998E-4</v>
      </c>
    </row>
    <row r="195" spans="2:5" ht="15" customHeight="1">
      <c r="B195" s="92"/>
      <c r="C195" s="68" t="s">
        <v>197</v>
      </c>
      <c r="D195" s="69">
        <v>10</v>
      </c>
      <c r="E195" s="70">
        <v>3.3707486432699998E-4</v>
      </c>
    </row>
    <row r="196" spans="2:5" ht="15" customHeight="1">
      <c r="B196" s="92"/>
      <c r="C196" s="68" t="s">
        <v>198</v>
      </c>
      <c r="D196" s="69">
        <v>7</v>
      </c>
      <c r="E196" s="70">
        <v>2.35952405029E-4</v>
      </c>
    </row>
    <row r="197" spans="2:5" ht="15" customHeight="1">
      <c r="B197" s="92"/>
      <c r="C197" s="68" t="s">
        <v>248</v>
      </c>
      <c r="D197" s="69">
        <v>2</v>
      </c>
      <c r="E197" s="70">
        <v>6.7414972865000001E-5</v>
      </c>
    </row>
    <row r="198" spans="2:5" ht="15" customHeight="1">
      <c r="B198" s="92"/>
      <c r="C198" s="68" t="s">
        <v>242</v>
      </c>
      <c r="D198" s="69">
        <v>3</v>
      </c>
      <c r="E198" s="70">
        <v>1.0112245929799999E-4</v>
      </c>
    </row>
    <row r="199" spans="2:5" ht="15" customHeight="1">
      <c r="B199" s="92"/>
      <c r="C199" s="68" t="s">
        <v>199</v>
      </c>
      <c r="D199" s="69">
        <v>12</v>
      </c>
      <c r="E199" s="70">
        <v>4.0448983719299999E-4</v>
      </c>
    </row>
    <row r="200" spans="2:5" ht="15" customHeight="1">
      <c r="B200" s="92"/>
      <c r="C200" s="68" t="s">
        <v>200</v>
      </c>
      <c r="D200" s="69">
        <v>12</v>
      </c>
      <c r="E200" s="70">
        <v>4.0448983719299999E-4</v>
      </c>
    </row>
    <row r="201" spans="2:5" ht="15" customHeight="1">
      <c r="B201" s="92"/>
      <c r="C201" s="68" t="s">
        <v>201</v>
      </c>
      <c r="D201" s="69">
        <v>47</v>
      </c>
      <c r="E201" s="70">
        <v>1.584251862339E-3</v>
      </c>
    </row>
    <row r="202" spans="2:5" ht="15" customHeight="1">
      <c r="B202" s="92"/>
      <c r="C202" s="68" t="s">
        <v>202</v>
      </c>
      <c r="D202" s="69">
        <v>9</v>
      </c>
      <c r="E202" s="70">
        <v>3.0336737789499998E-4</v>
      </c>
    </row>
    <row r="203" spans="2:5" ht="15" customHeight="1">
      <c r="B203" s="92"/>
      <c r="C203" s="68" t="s">
        <v>203</v>
      </c>
      <c r="D203" s="69">
        <v>58</v>
      </c>
      <c r="E203" s="70">
        <v>1.9550342130989998E-3</v>
      </c>
    </row>
    <row r="204" spans="2:5" ht="15" customHeight="1">
      <c r="B204" s="92"/>
      <c r="C204" s="68" t="s">
        <v>249</v>
      </c>
      <c r="D204" s="69">
        <v>1</v>
      </c>
      <c r="E204" s="70">
        <v>3.3707486433000001E-5</v>
      </c>
    </row>
    <row r="205" spans="2:5" ht="15" customHeight="1">
      <c r="B205" s="92"/>
      <c r="C205" s="68" t="s">
        <v>204</v>
      </c>
      <c r="D205" s="69">
        <v>18</v>
      </c>
      <c r="E205" s="70">
        <v>6.0673475578900001E-4</v>
      </c>
    </row>
    <row r="206" spans="2:5" ht="15" customHeight="1">
      <c r="B206" s="92"/>
      <c r="C206" s="68" t="s">
        <v>205</v>
      </c>
      <c r="D206" s="69">
        <v>8</v>
      </c>
      <c r="E206" s="70">
        <v>2.6965989146199998E-4</v>
      </c>
    </row>
    <row r="207" spans="2:5" ht="15" customHeight="1">
      <c r="B207" s="92"/>
      <c r="C207" s="68" t="s">
        <v>206</v>
      </c>
      <c r="D207" s="69">
        <v>9</v>
      </c>
      <c r="E207" s="70">
        <v>3.0336737789499998E-4</v>
      </c>
    </row>
    <row r="208" spans="2:5" ht="15" customHeight="1">
      <c r="B208" s="92"/>
      <c r="C208" s="68" t="s">
        <v>207</v>
      </c>
      <c r="D208" s="69">
        <v>2</v>
      </c>
      <c r="E208" s="70">
        <v>6.7414972865000001E-5</v>
      </c>
    </row>
    <row r="209" spans="2:5" ht="15" customHeight="1">
      <c r="B209" s="92"/>
      <c r="C209" s="68" t="s">
        <v>208</v>
      </c>
      <c r="D209" s="69">
        <v>4</v>
      </c>
      <c r="E209" s="70">
        <v>1.3482994573099999E-4</v>
      </c>
    </row>
    <row r="210" spans="2:5" ht="15" customHeight="1">
      <c r="B210" s="92"/>
      <c r="C210" s="68" t="s">
        <v>209</v>
      </c>
      <c r="D210" s="69">
        <v>14</v>
      </c>
      <c r="E210" s="70">
        <v>4.7190481005799999E-4</v>
      </c>
    </row>
    <row r="211" spans="2:5" ht="15" customHeight="1">
      <c r="B211" s="92"/>
      <c r="C211" s="68" t="s">
        <v>232</v>
      </c>
      <c r="D211" s="69">
        <v>1</v>
      </c>
      <c r="E211" s="70">
        <v>3.3707486433000001E-5</v>
      </c>
    </row>
    <row r="212" spans="2:5" ht="15" customHeight="1">
      <c r="B212" s="92"/>
      <c r="C212" s="68" t="s">
        <v>211</v>
      </c>
      <c r="D212" s="69">
        <v>2</v>
      </c>
      <c r="E212" s="70">
        <v>6.7414972865000001E-5</v>
      </c>
    </row>
    <row r="213" spans="2:5" ht="15" customHeight="1">
      <c r="B213" s="92"/>
      <c r="C213" s="68" t="s">
        <v>212</v>
      </c>
      <c r="D213" s="69">
        <v>13</v>
      </c>
      <c r="E213" s="70">
        <v>4.38197323626E-4</v>
      </c>
    </row>
    <row r="214" spans="2:5" ht="15" customHeight="1">
      <c r="B214" s="92"/>
      <c r="C214" s="68" t="s">
        <v>213</v>
      </c>
      <c r="D214" s="69">
        <v>48</v>
      </c>
      <c r="E214" s="70">
        <v>1.6179593487709999E-3</v>
      </c>
    </row>
    <row r="215" spans="2:5" ht="15" customHeight="1">
      <c r="B215" s="92"/>
      <c r="C215" s="68" t="s">
        <v>214</v>
      </c>
      <c r="D215" s="69">
        <v>3</v>
      </c>
      <c r="E215" s="70">
        <v>1.0112245929799999E-4</v>
      </c>
    </row>
    <row r="216" spans="2:5" ht="15" customHeight="1">
      <c r="B216" s="92"/>
      <c r="C216" s="68" t="s">
        <v>234</v>
      </c>
      <c r="D216" s="69">
        <v>5</v>
      </c>
      <c r="E216" s="70">
        <v>1.68537432164E-4</v>
      </c>
    </row>
    <row r="217" spans="2:5" ht="15" customHeight="1">
      <c r="B217" s="92"/>
      <c r="C217" s="68" t="s">
        <v>215</v>
      </c>
      <c r="D217" s="69">
        <v>28</v>
      </c>
      <c r="E217" s="70">
        <v>9.4380962011699995E-4</v>
      </c>
    </row>
    <row r="218" spans="2:5" ht="15" customHeight="1">
      <c r="B218" s="92"/>
      <c r="C218" s="68" t="s">
        <v>244</v>
      </c>
      <c r="D218" s="69">
        <v>1</v>
      </c>
      <c r="E218" s="70">
        <v>3.3707486433000001E-5</v>
      </c>
    </row>
    <row r="219" spans="2:5" ht="15" customHeight="1">
      <c r="B219" s="92"/>
      <c r="C219" s="68" t="s">
        <v>216</v>
      </c>
      <c r="D219" s="69">
        <v>4</v>
      </c>
      <c r="E219" s="70">
        <v>1.3482994573099999E-4</v>
      </c>
    </row>
    <row r="220" spans="2:5" ht="15" customHeight="1">
      <c r="B220" s="92"/>
      <c r="C220" s="68" t="s">
        <v>217</v>
      </c>
      <c r="D220" s="69">
        <v>3</v>
      </c>
      <c r="E220" s="70">
        <v>1.0112245929799999E-4</v>
      </c>
    </row>
    <row r="221" spans="2:5" ht="15" customHeight="1">
      <c r="B221" s="92"/>
      <c r="C221" s="68" t="s">
        <v>218</v>
      </c>
      <c r="D221" s="69">
        <v>3</v>
      </c>
      <c r="E221" s="70">
        <v>1.0112245929799999E-4</v>
      </c>
    </row>
    <row r="222" spans="2:5" ht="15" customHeight="1">
      <c r="B222" s="92"/>
      <c r="C222" s="68" t="s">
        <v>236</v>
      </c>
      <c r="D222" s="69">
        <v>2</v>
      </c>
      <c r="E222" s="70">
        <v>6.7414972865000001E-5</v>
      </c>
    </row>
    <row r="223" spans="2:5" ht="15" customHeight="1">
      <c r="B223" s="92"/>
      <c r="C223" s="68" t="s">
        <v>220</v>
      </c>
      <c r="D223" s="69">
        <v>28</v>
      </c>
      <c r="E223" s="70">
        <v>9.4380962011699995E-4</v>
      </c>
    </row>
    <row r="224" spans="2:5" ht="15" customHeight="1">
      <c r="B224" s="92"/>
      <c r="C224" s="68" t="s">
        <v>221</v>
      </c>
      <c r="D224" s="69">
        <v>21</v>
      </c>
      <c r="E224" s="70">
        <v>7.0785721508699996E-4</v>
      </c>
    </row>
    <row r="225" spans="2:5" ht="15" customHeight="1">
      <c r="B225" s="92"/>
      <c r="C225" s="68" t="s">
        <v>237</v>
      </c>
      <c r="D225" s="69">
        <v>1</v>
      </c>
      <c r="E225" s="70">
        <v>3.3707486433000001E-5</v>
      </c>
    </row>
    <row r="226" spans="2:5" ht="15" customHeight="1">
      <c r="B226" s="92"/>
      <c r="C226" s="68" t="s">
        <v>245</v>
      </c>
      <c r="D226" s="69">
        <v>1</v>
      </c>
      <c r="E226" s="70">
        <v>3.3707486433000001E-5</v>
      </c>
    </row>
    <row r="227" spans="2:5" ht="15" customHeight="1">
      <c r="B227" s="92"/>
      <c r="C227" s="68" t="s">
        <v>222</v>
      </c>
      <c r="D227" s="69">
        <v>5</v>
      </c>
      <c r="E227" s="70">
        <v>1.68537432164E-4</v>
      </c>
    </row>
    <row r="228" spans="2:5" ht="15" customHeight="1">
      <c r="B228" s="92"/>
      <c r="C228" s="68" t="s">
        <v>223</v>
      </c>
      <c r="D228" s="69">
        <v>2</v>
      </c>
      <c r="E228" s="70">
        <v>6.7414972865000001E-5</v>
      </c>
    </row>
    <row r="229" spans="2:5" ht="15" customHeight="1">
      <c r="B229" s="92"/>
      <c r="C229" s="68" t="s">
        <v>250</v>
      </c>
      <c r="D229" s="69">
        <v>1</v>
      </c>
      <c r="E229" s="70">
        <v>3.3707486433000001E-5</v>
      </c>
    </row>
    <row r="230" spans="2:5" ht="15" customHeight="1">
      <c r="B230" s="92"/>
      <c r="C230" s="68" t="s">
        <v>224</v>
      </c>
      <c r="D230" s="69">
        <v>2</v>
      </c>
      <c r="E230" s="70">
        <v>6.7414972865000001E-5</v>
      </c>
    </row>
    <row r="231" spans="2:5" ht="15" customHeight="1">
      <c r="B231" s="92"/>
      <c r="C231" s="68" t="s">
        <v>225</v>
      </c>
      <c r="D231" s="69">
        <v>3</v>
      </c>
      <c r="E231" s="70">
        <v>1.0112245929799999E-4</v>
      </c>
    </row>
    <row r="232" spans="2:5" ht="15" customHeight="1">
      <c r="B232" s="92"/>
      <c r="C232" s="68" t="s">
        <v>251</v>
      </c>
      <c r="D232" s="69">
        <v>7</v>
      </c>
      <c r="E232" s="70">
        <v>2.35952405029E-4</v>
      </c>
    </row>
    <row r="233" spans="2:5" ht="15" customHeight="1">
      <c r="B233" s="92"/>
      <c r="C233" s="68" t="s">
        <v>239</v>
      </c>
      <c r="D233" s="69">
        <v>2</v>
      </c>
      <c r="E233" s="70">
        <v>6.7414972865000001E-5</v>
      </c>
    </row>
    <row r="234" spans="2:5" ht="15" customHeight="1">
      <c r="B234" s="92"/>
      <c r="C234" s="68" t="s">
        <v>240</v>
      </c>
      <c r="D234" s="69">
        <v>1</v>
      </c>
      <c r="E234" s="70">
        <v>3.3707486433000001E-5</v>
      </c>
    </row>
    <row r="235" spans="2:5" ht="15" customHeight="1">
      <c r="B235" s="92"/>
      <c r="C235" s="68" t="s">
        <v>241</v>
      </c>
      <c r="D235" s="69">
        <v>3</v>
      </c>
      <c r="E235" s="70">
        <v>1.0112245929799999E-4</v>
      </c>
    </row>
    <row r="236" spans="2:5" ht="15" customHeight="1">
      <c r="B236" s="92"/>
      <c r="C236" s="68" t="s">
        <v>226</v>
      </c>
      <c r="D236" s="69">
        <v>19</v>
      </c>
      <c r="E236" s="70">
        <v>6.4044224222200002E-4</v>
      </c>
    </row>
    <row r="237" spans="2:5" ht="15" customHeight="1">
      <c r="B237" s="92"/>
      <c r="C237" s="68" t="s">
        <v>227</v>
      </c>
      <c r="D237" s="69">
        <v>3</v>
      </c>
      <c r="E237" s="70">
        <v>1.0112245929799999E-4</v>
      </c>
    </row>
    <row r="238" spans="2:5" ht="15" customHeight="1">
      <c r="B238" s="92"/>
      <c r="C238" s="68" t="s">
        <v>228</v>
      </c>
      <c r="D238" s="69">
        <v>2</v>
      </c>
      <c r="E238" s="70">
        <v>6.7414972865000001E-5</v>
      </c>
    </row>
    <row r="239" spans="2:5" ht="15" customHeight="1">
      <c r="B239" s="92"/>
      <c r="C239" s="68" t="s">
        <v>247</v>
      </c>
      <c r="D239" s="69">
        <v>2</v>
      </c>
      <c r="E239" s="70">
        <v>6.7414972865000001E-5</v>
      </c>
    </row>
    <row r="240" spans="2:5" ht="15" customHeight="1">
      <c r="B240" s="92"/>
      <c r="C240" s="68" t="s">
        <v>229</v>
      </c>
      <c r="D240" s="69">
        <v>29</v>
      </c>
      <c r="E240" s="70">
        <v>9.775171065490001E-4</v>
      </c>
    </row>
    <row r="241" spans="2:5" ht="15" customHeight="1">
      <c r="B241" s="92"/>
      <c r="C241" s="68" t="s">
        <v>230</v>
      </c>
      <c r="D241" s="69">
        <v>2</v>
      </c>
      <c r="E241" s="70">
        <v>6.7414972865000001E-5</v>
      </c>
    </row>
    <row r="242" spans="2:5" ht="15" customHeight="1">
      <c r="B242" s="93"/>
      <c r="C242" s="36" t="s">
        <v>29</v>
      </c>
      <c r="D242" s="35">
        <v>473</v>
      </c>
      <c r="E242" s="34">
        <v>1.5943641082684E-2</v>
      </c>
    </row>
    <row r="243" spans="2:5" ht="15" customHeight="1">
      <c r="B243" s="91" t="s">
        <v>99</v>
      </c>
      <c r="C243" s="68" t="s">
        <v>199</v>
      </c>
      <c r="D243" s="69">
        <v>1</v>
      </c>
      <c r="E243" s="70">
        <v>3.3707486433000001E-5</v>
      </c>
    </row>
    <row r="244" spans="2:5" ht="15" customHeight="1">
      <c r="B244" s="93"/>
      <c r="C244" s="36" t="s">
        <v>29</v>
      </c>
      <c r="D244" s="35">
        <v>1</v>
      </c>
      <c r="E244" s="34">
        <v>3.3707486433000001E-5</v>
      </c>
    </row>
    <row r="245" spans="2:5" ht="15" customHeight="1">
      <c r="B245" s="91" t="s">
        <v>54</v>
      </c>
      <c r="C245" s="68" t="s">
        <v>195</v>
      </c>
      <c r="D245" s="69">
        <v>13</v>
      </c>
      <c r="E245" s="70">
        <v>4.38197323626E-4</v>
      </c>
    </row>
    <row r="246" spans="2:5" ht="15" customHeight="1">
      <c r="B246" s="92"/>
      <c r="C246" s="68" t="s">
        <v>196</v>
      </c>
      <c r="D246" s="69">
        <v>12</v>
      </c>
      <c r="E246" s="70">
        <v>4.0448983719299999E-4</v>
      </c>
    </row>
    <row r="247" spans="2:5" ht="15" customHeight="1">
      <c r="B247" s="92"/>
      <c r="C247" s="68" t="s">
        <v>197</v>
      </c>
      <c r="D247" s="69">
        <v>4</v>
      </c>
      <c r="E247" s="70">
        <v>1.3482994573099999E-4</v>
      </c>
    </row>
    <row r="248" spans="2:5" ht="15" customHeight="1">
      <c r="B248" s="92"/>
      <c r="C248" s="68" t="s">
        <v>231</v>
      </c>
      <c r="D248" s="69">
        <v>11</v>
      </c>
      <c r="E248" s="70">
        <v>3.7078235075999999E-4</v>
      </c>
    </row>
    <row r="249" spans="2:5" ht="15" customHeight="1">
      <c r="B249" s="92"/>
      <c r="C249" s="68" t="s">
        <v>248</v>
      </c>
      <c r="D249" s="69">
        <v>10</v>
      </c>
      <c r="E249" s="70">
        <v>3.3707486432699998E-4</v>
      </c>
    </row>
    <row r="250" spans="2:5" ht="15" customHeight="1">
      <c r="B250" s="92"/>
      <c r="C250" s="68" t="s">
        <v>242</v>
      </c>
      <c r="D250" s="69">
        <v>4</v>
      </c>
      <c r="E250" s="70">
        <v>1.3482994573099999E-4</v>
      </c>
    </row>
    <row r="251" spans="2:5" ht="15" customHeight="1">
      <c r="B251" s="92"/>
      <c r="C251" s="68" t="s">
        <v>199</v>
      </c>
      <c r="D251" s="69">
        <v>35</v>
      </c>
      <c r="E251" s="70">
        <v>1.1797620251460001E-3</v>
      </c>
    </row>
    <row r="252" spans="2:5" ht="15" customHeight="1">
      <c r="B252" s="92"/>
      <c r="C252" s="68" t="s">
        <v>252</v>
      </c>
      <c r="D252" s="69">
        <v>1</v>
      </c>
      <c r="E252" s="70">
        <v>3.3707486433000001E-5</v>
      </c>
    </row>
    <row r="253" spans="2:5" ht="15" customHeight="1">
      <c r="B253" s="92"/>
      <c r="C253" s="68" t="s">
        <v>200</v>
      </c>
      <c r="D253" s="69">
        <v>21</v>
      </c>
      <c r="E253" s="70">
        <v>7.0785721508699996E-4</v>
      </c>
    </row>
    <row r="254" spans="2:5" ht="15" customHeight="1">
      <c r="B254" s="92"/>
      <c r="C254" s="68" t="s">
        <v>201</v>
      </c>
      <c r="D254" s="69">
        <v>26</v>
      </c>
      <c r="E254" s="70">
        <v>8.7639464725100004E-4</v>
      </c>
    </row>
    <row r="255" spans="2:5" ht="15" customHeight="1">
      <c r="B255" s="92"/>
      <c r="C255" s="68" t="s">
        <v>202</v>
      </c>
      <c r="D255" s="69">
        <v>15</v>
      </c>
      <c r="E255" s="70">
        <v>5.0561229649099995E-4</v>
      </c>
    </row>
    <row r="256" spans="2:5" ht="15" customHeight="1">
      <c r="B256" s="92"/>
      <c r="C256" s="68" t="s">
        <v>203</v>
      </c>
      <c r="D256" s="69">
        <v>41</v>
      </c>
      <c r="E256" s="70">
        <v>1.382006943742E-3</v>
      </c>
    </row>
    <row r="257" spans="2:5" ht="15" customHeight="1">
      <c r="B257" s="92"/>
      <c r="C257" s="68" t="s">
        <v>249</v>
      </c>
      <c r="D257" s="69">
        <v>1</v>
      </c>
      <c r="E257" s="70">
        <v>3.3707486433000001E-5</v>
      </c>
    </row>
    <row r="258" spans="2:5" ht="15" customHeight="1">
      <c r="B258" s="92"/>
      <c r="C258" s="68" t="s">
        <v>204</v>
      </c>
      <c r="D258" s="69">
        <v>10</v>
      </c>
      <c r="E258" s="70">
        <v>3.3707486432699998E-4</v>
      </c>
    </row>
    <row r="259" spans="2:5" ht="15" customHeight="1">
      <c r="B259" s="92"/>
      <c r="C259" s="68" t="s">
        <v>205</v>
      </c>
      <c r="D259" s="69">
        <v>12</v>
      </c>
      <c r="E259" s="70">
        <v>4.0448983719299999E-4</v>
      </c>
    </row>
    <row r="260" spans="2:5" ht="15" customHeight="1">
      <c r="B260" s="92"/>
      <c r="C260" s="68" t="s">
        <v>243</v>
      </c>
      <c r="D260" s="69">
        <v>1</v>
      </c>
      <c r="E260" s="70">
        <v>3.3707486433000001E-5</v>
      </c>
    </row>
    <row r="261" spans="2:5" ht="15" customHeight="1">
      <c r="B261" s="92"/>
      <c r="C261" s="68" t="s">
        <v>206</v>
      </c>
      <c r="D261" s="69">
        <v>16</v>
      </c>
      <c r="E261" s="70">
        <v>5.3931978292399995E-4</v>
      </c>
    </row>
    <row r="262" spans="2:5" ht="15" customHeight="1">
      <c r="B262" s="92"/>
      <c r="C262" s="68" t="s">
        <v>208</v>
      </c>
      <c r="D262" s="69">
        <v>2</v>
      </c>
      <c r="E262" s="70">
        <v>6.7414972865000001E-5</v>
      </c>
    </row>
    <row r="263" spans="2:5" ht="15" customHeight="1">
      <c r="B263" s="92"/>
      <c r="C263" s="68" t="s">
        <v>209</v>
      </c>
      <c r="D263" s="69">
        <v>27</v>
      </c>
      <c r="E263" s="70">
        <v>9.1010213368400005E-4</v>
      </c>
    </row>
    <row r="264" spans="2:5" ht="15" customHeight="1">
      <c r="B264" s="92"/>
      <c r="C264" s="68" t="s">
        <v>210</v>
      </c>
      <c r="D264" s="69">
        <v>1</v>
      </c>
      <c r="E264" s="70">
        <v>3.3707486433000001E-5</v>
      </c>
    </row>
    <row r="265" spans="2:5" ht="15" customHeight="1">
      <c r="B265" s="92"/>
      <c r="C265" s="68" t="s">
        <v>232</v>
      </c>
      <c r="D265" s="69">
        <v>39</v>
      </c>
      <c r="E265" s="70">
        <v>1.314591970877E-3</v>
      </c>
    </row>
    <row r="266" spans="2:5" ht="15" customHeight="1">
      <c r="B266" s="92"/>
      <c r="C266" s="68" t="s">
        <v>211</v>
      </c>
      <c r="D266" s="69">
        <v>8</v>
      </c>
      <c r="E266" s="70">
        <v>2.6965989146199998E-4</v>
      </c>
    </row>
    <row r="267" spans="2:5" ht="15" customHeight="1">
      <c r="B267" s="92"/>
      <c r="C267" s="68" t="s">
        <v>212</v>
      </c>
      <c r="D267" s="69">
        <v>6</v>
      </c>
      <c r="E267" s="70">
        <v>2.0224491859599999E-4</v>
      </c>
    </row>
    <row r="268" spans="2:5" ht="15" customHeight="1">
      <c r="B268" s="92"/>
      <c r="C268" s="68" t="s">
        <v>213</v>
      </c>
      <c r="D268" s="69">
        <v>55</v>
      </c>
      <c r="E268" s="70">
        <v>1.8539117538010001E-3</v>
      </c>
    </row>
    <row r="269" spans="2:5" ht="15" customHeight="1">
      <c r="B269" s="92"/>
      <c r="C269" s="68" t="s">
        <v>214</v>
      </c>
      <c r="D269" s="69">
        <v>39</v>
      </c>
      <c r="E269" s="70">
        <v>1.314591970877E-3</v>
      </c>
    </row>
    <row r="270" spans="2:5" ht="15" customHeight="1">
      <c r="B270" s="92"/>
      <c r="C270" s="68" t="s">
        <v>57</v>
      </c>
      <c r="D270" s="69">
        <v>3</v>
      </c>
      <c r="E270" s="70">
        <v>1.0112245929799999E-4</v>
      </c>
    </row>
    <row r="271" spans="2:5" ht="15" customHeight="1">
      <c r="B271" s="92"/>
      <c r="C271" s="68" t="s">
        <v>234</v>
      </c>
      <c r="D271" s="69">
        <v>4</v>
      </c>
      <c r="E271" s="70">
        <v>1.3482994573099999E-4</v>
      </c>
    </row>
    <row r="272" spans="2:5" ht="15" customHeight="1">
      <c r="B272" s="92"/>
      <c r="C272" s="68" t="s">
        <v>215</v>
      </c>
      <c r="D272" s="69">
        <v>465</v>
      </c>
      <c r="E272" s="70">
        <v>1.5673981191222999E-2</v>
      </c>
    </row>
    <row r="273" spans="2:5" ht="15" customHeight="1">
      <c r="B273" s="92"/>
      <c r="C273" s="68" t="s">
        <v>235</v>
      </c>
      <c r="D273" s="69">
        <v>6</v>
      </c>
      <c r="E273" s="70">
        <v>2.0224491859599999E-4</v>
      </c>
    </row>
    <row r="274" spans="2:5" ht="15" customHeight="1">
      <c r="B274" s="92"/>
      <c r="C274" s="68" t="s">
        <v>244</v>
      </c>
      <c r="D274" s="69">
        <v>23</v>
      </c>
      <c r="E274" s="70">
        <v>7.7527218795299998E-4</v>
      </c>
    </row>
    <row r="275" spans="2:5" ht="15" customHeight="1">
      <c r="B275" s="92"/>
      <c r="C275" s="68" t="s">
        <v>217</v>
      </c>
      <c r="D275" s="69">
        <v>5</v>
      </c>
      <c r="E275" s="70">
        <v>1.68537432164E-4</v>
      </c>
    </row>
    <row r="276" spans="2:5" ht="15" customHeight="1">
      <c r="B276" s="92"/>
      <c r="C276" s="68" t="s">
        <v>218</v>
      </c>
      <c r="D276" s="69">
        <v>22</v>
      </c>
      <c r="E276" s="70">
        <v>7.4156470151999997E-4</v>
      </c>
    </row>
    <row r="277" spans="2:5" ht="15" customHeight="1">
      <c r="B277" s="92"/>
      <c r="C277" s="68" t="s">
        <v>219</v>
      </c>
      <c r="D277" s="69">
        <v>24</v>
      </c>
      <c r="E277" s="70">
        <v>8.0897967438599999E-4</v>
      </c>
    </row>
    <row r="278" spans="2:5" ht="15" customHeight="1">
      <c r="B278" s="92"/>
      <c r="C278" s="68" t="s">
        <v>236</v>
      </c>
      <c r="D278" s="69">
        <v>40</v>
      </c>
      <c r="E278" s="70">
        <v>1.348299457309E-3</v>
      </c>
    </row>
    <row r="279" spans="2:5" ht="15" customHeight="1">
      <c r="B279" s="92"/>
      <c r="C279" s="68" t="s">
        <v>220</v>
      </c>
      <c r="D279" s="69">
        <v>16</v>
      </c>
      <c r="E279" s="70">
        <v>5.3931978292399995E-4</v>
      </c>
    </row>
    <row r="280" spans="2:5" ht="15" customHeight="1">
      <c r="B280" s="92"/>
      <c r="C280" s="68" t="s">
        <v>221</v>
      </c>
      <c r="D280" s="69">
        <v>16</v>
      </c>
      <c r="E280" s="70">
        <v>5.3931978292399995E-4</v>
      </c>
    </row>
    <row r="281" spans="2:5" ht="15" customHeight="1">
      <c r="B281" s="92"/>
      <c r="C281" s="68" t="s">
        <v>237</v>
      </c>
      <c r="D281" s="69">
        <v>1</v>
      </c>
      <c r="E281" s="70">
        <v>3.3707486433000001E-5</v>
      </c>
    </row>
    <row r="282" spans="2:5" ht="15" customHeight="1">
      <c r="B282" s="92"/>
      <c r="C282" s="68" t="s">
        <v>245</v>
      </c>
      <c r="D282" s="69">
        <v>3</v>
      </c>
      <c r="E282" s="70">
        <v>1.0112245929799999E-4</v>
      </c>
    </row>
    <row r="283" spans="2:5" ht="15" customHeight="1">
      <c r="B283" s="92"/>
      <c r="C283" s="68" t="s">
        <v>222</v>
      </c>
      <c r="D283" s="69">
        <v>13</v>
      </c>
      <c r="E283" s="70">
        <v>4.38197323626E-4</v>
      </c>
    </row>
    <row r="284" spans="2:5" ht="15" customHeight="1">
      <c r="B284" s="92"/>
      <c r="C284" s="68" t="s">
        <v>223</v>
      </c>
      <c r="D284" s="69">
        <v>4</v>
      </c>
      <c r="E284" s="70">
        <v>1.3482994573099999E-4</v>
      </c>
    </row>
    <row r="285" spans="2:5" ht="15" customHeight="1">
      <c r="B285" s="92"/>
      <c r="C285" s="68" t="s">
        <v>250</v>
      </c>
      <c r="D285" s="69">
        <v>1</v>
      </c>
      <c r="E285" s="70">
        <v>3.3707486433000001E-5</v>
      </c>
    </row>
    <row r="286" spans="2:5" ht="15" customHeight="1">
      <c r="B286" s="92"/>
      <c r="C286" s="68" t="s">
        <v>224</v>
      </c>
      <c r="D286" s="69">
        <v>4</v>
      </c>
      <c r="E286" s="70">
        <v>1.3482994573099999E-4</v>
      </c>
    </row>
    <row r="287" spans="2:5" ht="15" customHeight="1">
      <c r="B287" s="92"/>
      <c r="C287" s="68" t="s">
        <v>225</v>
      </c>
      <c r="D287" s="69">
        <v>7</v>
      </c>
      <c r="E287" s="70">
        <v>2.35952405029E-4</v>
      </c>
    </row>
    <row r="288" spans="2:5" ht="15" customHeight="1">
      <c r="B288" s="92"/>
      <c r="C288" s="68" t="s">
        <v>251</v>
      </c>
      <c r="D288" s="69">
        <v>1</v>
      </c>
      <c r="E288" s="70">
        <v>3.3707486433000001E-5</v>
      </c>
    </row>
    <row r="289" spans="2:5" ht="15" customHeight="1">
      <c r="B289" s="92"/>
      <c r="C289" s="68" t="s">
        <v>238</v>
      </c>
      <c r="D289" s="69">
        <v>8</v>
      </c>
      <c r="E289" s="70">
        <v>2.6965989146199998E-4</v>
      </c>
    </row>
    <row r="290" spans="2:5" ht="15" customHeight="1">
      <c r="B290" s="92"/>
      <c r="C290" s="68" t="s">
        <v>239</v>
      </c>
      <c r="D290" s="69">
        <v>3</v>
      </c>
      <c r="E290" s="70">
        <v>1.0112245929799999E-4</v>
      </c>
    </row>
    <row r="291" spans="2:5" ht="15" customHeight="1">
      <c r="B291" s="92"/>
      <c r="C291" s="68" t="s">
        <v>240</v>
      </c>
      <c r="D291" s="69">
        <v>6</v>
      </c>
      <c r="E291" s="70">
        <v>2.0224491859599999E-4</v>
      </c>
    </row>
    <row r="292" spans="2:5" ht="15" customHeight="1">
      <c r="B292" s="92"/>
      <c r="C292" s="68" t="s">
        <v>246</v>
      </c>
      <c r="D292" s="69">
        <v>1</v>
      </c>
      <c r="E292" s="70">
        <v>3.3707486433000001E-5</v>
      </c>
    </row>
    <row r="293" spans="2:5" ht="15" customHeight="1">
      <c r="B293" s="92"/>
      <c r="C293" s="68" t="s">
        <v>226</v>
      </c>
      <c r="D293" s="69">
        <v>41</v>
      </c>
      <c r="E293" s="70">
        <v>1.382006943742E-3</v>
      </c>
    </row>
    <row r="294" spans="2:5" ht="15" customHeight="1">
      <c r="B294" s="92"/>
      <c r="C294" s="68" t="s">
        <v>227</v>
      </c>
      <c r="D294" s="69">
        <v>23</v>
      </c>
      <c r="E294" s="70">
        <v>7.7527218795299998E-4</v>
      </c>
    </row>
    <row r="295" spans="2:5" ht="15" customHeight="1">
      <c r="B295" s="92"/>
      <c r="C295" s="68" t="s">
        <v>228</v>
      </c>
      <c r="D295" s="69">
        <v>5</v>
      </c>
      <c r="E295" s="70">
        <v>1.68537432164E-4</v>
      </c>
    </row>
    <row r="296" spans="2:5" ht="15" customHeight="1">
      <c r="B296" s="92"/>
      <c r="C296" s="68" t="s">
        <v>247</v>
      </c>
      <c r="D296" s="69">
        <v>39</v>
      </c>
      <c r="E296" s="70">
        <v>1.314591970877E-3</v>
      </c>
    </row>
    <row r="297" spans="2:5" ht="15" customHeight="1">
      <c r="B297" s="92"/>
      <c r="C297" s="68" t="s">
        <v>229</v>
      </c>
      <c r="D297" s="69">
        <v>14</v>
      </c>
      <c r="E297" s="70">
        <v>4.7190481005799999E-4</v>
      </c>
    </row>
    <row r="298" spans="2:5" ht="15" customHeight="1">
      <c r="B298" s="92"/>
      <c r="C298" s="68" t="s">
        <v>230</v>
      </c>
      <c r="D298" s="69">
        <v>14</v>
      </c>
      <c r="E298" s="70">
        <v>4.7190481005799999E-4</v>
      </c>
    </row>
    <row r="299" spans="2:5" ht="15" customHeight="1">
      <c r="B299" s="93"/>
      <c r="C299" s="36" t="s">
        <v>29</v>
      </c>
      <c r="D299" s="35">
        <v>1222</v>
      </c>
      <c r="E299" s="34">
        <v>4.1190548420804003E-2</v>
      </c>
    </row>
    <row r="300" spans="2:5" ht="15" customHeight="1">
      <c r="B300" s="91" t="s">
        <v>50</v>
      </c>
      <c r="C300" s="68" t="s">
        <v>195</v>
      </c>
      <c r="D300" s="69">
        <v>543</v>
      </c>
      <c r="E300" s="70">
        <v>1.8303165132976001E-2</v>
      </c>
    </row>
    <row r="301" spans="2:5" ht="15" customHeight="1">
      <c r="B301" s="92"/>
      <c r="C301" s="68" t="s">
        <v>196</v>
      </c>
      <c r="D301" s="69">
        <v>34</v>
      </c>
      <c r="E301" s="70">
        <v>1.1460545387130001E-3</v>
      </c>
    </row>
    <row r="302" spans="2:5" ht="15" customHeight="1">
      <c r="B302" s="92"/>
      <c r="C302" s="68" t="s">
        <v>197</v>
      </c>
      <c r="D302" s="69">
        <v>65</v>
      </c>
      <c r="E302" s="70">
        <v>2.190986618128E-3</v>
      </c>
    </row>
    <row r="303" spans="2:5" ht="15" customHeight="1">
      <c r="B303" s="92"/>
      <c r="C303" s="68" t="s">
        <v>231</v>
      </c>
      <c r="D303" s="69">
        <v>32</v>
      </c>
      <c r="E303" s="70">
        <v>1.0786395658479999E-3</v>
      </c>
    </row>
    <row r="304" spans="2:5" ht="15" customHeight="1">
      <c r="B304" s="92"/>
      <c r="C304" s="68" t="s">
        <v>198</v>
      </c>
      <c r="D304" s="69">
        <v>7</v>
      </c>
      <c r="E304" s="70">
        <v>2.35952405029E-4</v>
      </c>
    </row>
    <row r="305" spans="2:5" ht="15" customHeight="1">
      <c r="B305" s="92"/>
      <c r="C305" s="68" t="s">
        <v>248</v>
      </c>
      <c r="D305" s="69">
        <v>9</v>
      </c>
      <c r="E305" s="70">
        <v>3.0336737789499998E-4</v>
      </c>
    </row>
    <row r="306" spans="2:5" ht="15" customHeight="1">
      <c r="B306" s="92"/>
      <c r="C306" s="68" t="s">
        <v>242</v>
      </c>
      <c r="D306" s="69">
        <v>179</v>
      </c>
      <c r="E306" s="70">
        <v>6.0336400714600001E-3</v>
      </c>
    </row>
    <row r="307" spans="2:5" ht="15" customHeight="1">
      <c r="B307" s="92"/>
      <c r="C307" s="68" t="s">
        <v>199</v>
      </c>
      <c r="D307" s="69">
        <v>182</v>
      </c>
      <c r="E307" s="70">
        <v>6.1347625307580003E-3</v>
      </c>
    </row>
    <row r="308" spans="2:5" ht="15" customHeight="1">
      <c r="B308" s="92"/>
      <c r="C308" s="68" t="s">
        <v>252</v>
      </c>
      <c r="D308" s="69">
        <v>9</v>
      </c>
      <c r="E308" s="70">
        <v>3.0336737789499998E-4</v>
      </c>
    </row>
    <row r="309" spans="2:5" ht="15" customHeight="1">
      <c r="B309" s="92"/>
      <c r="C309" s="68" t="s">
        <v>200</v>
      </c>
      <c r="D309" s="69">
        <v>144</v>
      </c>
      <c r="E309" s="70">
        <v>4.8538780463140002E-3</v>
      </c>
    </row>
    <row r="310" spans="2:5" ht="15" customHeight="1">
      <c r="B310" s="92"/>
      <c r="C310" s="68" t="s">
        <v>201</v>
      </c>
      <c r="D310" s="69">
        <v>240</v>
      </c>
      <c r="E310" s="70">
        <v>8.0897967438570001E-3</v>
      </c>
    </row>
    <row r="311" spans="2:5" ht="15" customHeight="1">
      <c r="B311" s="92"/>
      <c r="C311" s="68" t="s">
        <v>202</v>
      </c>
      <c r="D311" s="69">
        <v>232</v>
      </c>
      <c r="E311" s="70">
        <v>7.8201368523950002E-3</v>
      </c>
    </row>
    <row r="312" spans="2:5" ht="15" customHeight="1">
      <c r="B312" s="92"/>
      <c r="C312" s="68" t="s">
        <v>203</v>
      </c>
      <c r="D312" s="69">
        <v>267</v>
      </c>
      <c r="E312" s="70">
        <v>8.9998988775409992E-3</v>
      </c>
    </row>
    <row r="313" spans="2:5" ht="15" customHeight="1">
      <c r="B313" s="92"/>
      <c r="C313" s="68" t="s">
        <v>249</v>
      </c>
      <c r="D313" s="69">
        <v>2</v>
      </c>
      <c r="E313" s="70">
        <v>6.7414972865000001E-5</v>
      </c>
    </row>
    <row r="314" spans="2:5" ht="15" customHeight="1">
      <c r="B314" s="92"/>
      <c r="C314" s="68" t="s">
        <v>204</v>
      </c>
      <c r="D314" s="69">
        <v>98</v>
      </c>
      <c r="E314" s="70">
        <v>3.3033336704079998E-3</v>
      </c>
    </row>
    <row r="315" spans="2:5" ht="15" customHeight="1">
      <c r="B315" s="92"/>
      <c r="C315" s="68" t="s">
        <v>205</v>
      </c>
      <c r="D315" s="69">
        <v>85</v>
      </c>
      <c r="E315" s="70">
        <v>2.8651363467829998E-3</v>
      </c>
    </row>
    <row r="316" spans="2:5" ht="15" customHeight="1">
      <c r="B316" s="92"/>
      <c r="C316" s="68" t="s">
        <v>243</v>
      </c>
      <c r="D316" s="69">
        <v>21</v>
      </c>
      <c r="E316" s="70">
        <v>7.0785721508699996E-4</v>
      </c>
    </row>
    <row r="317" spans="2:5" ht="15" customHeight="1">
      <c r="B317" s="92"/>
      <c r="C317" s="68" t="s">
        <v>206</v>
      </c>
      <c r="D317" s="69">
        <v>116</v>
      </c>
      <c r="E317" s="70">
        <v>3.9100684261969996E-3</v>
      </c>
    </row>
    <row r="318" spans="2:5" ht="15" customHeight="1">
      <c r="B318" s="92"/>
      <c r="C318" s="68" t="s">
        <v>207</v>
      </c>
      <c r="D318" s="69">
        <v>2</v>
      </c>
      <c r="E318" s="70">
        <v>6.7414972865000001E-5</v>
      </c>
    </row>
    <row r="319" spans="2:5" ht="15" customHeight="1">
      <c r="B319" s="92"/>
      <c r="C319" s="68" t="s">
        <v>208</v>
      </c>
      <c r="D319" s="69">
        <v>146</v>
      </c>
      <c r="E319" s="70">
        <v>4.9212930191799998E-3</v>
      </c>
    </row>
    <row r="320" spans="2:5" ht="15" customHeight="1">
      <c r="B320" s="92"/>
      <c r="C320" s="68" t="s">
        <v>209</v>
      </c>
      <c r="D320" s="69">
        <v>534</v>
      </c>
      <c r="E320" s="70">
        <v>1.7999797755080999E-2</v>
      </c>
    </row>
    <row r="321" spans="2:5" ht="15" customHeight="1">
      <c r="B321" s="92"/>
      <c r="C321" s="68" t="s">
        <v>210</v>
      </c>
      <c r="D321" s="69">
        <v>1</v>
      </c>
      <c r="E321" s="70">
        <v>3.3707486433000001E-5</v>
      </c>
    </row>
    <row r="322" spans="2:5" ht="15" customHeight="1">
      <c r="B322" s="92"/>
      <c r="C322" s="68" t="s">
        <v>232</v>
      </c>
      <c r="D322" s="69">
        <v>514</v>
      </c>
      <c r="E322" s="70">
        <v>1.7325648026426999E-2</v>
      </c>
    </row>
    <row r="323" spans="2:5" ht="15" customHeight="1">
      <c r="B323" s="92"/>
      <c r="C323" s="68" t="s">
        <v>211</v>
      </c>
      <c r="D323" s="69">
        <v>229</v>
      </c>
      <c r="E323" s="70">
        <v>7.719014393097E-3</v>
      </c>
    </row>
    <row r="324" spans="2:5" ht="15" customHeight="1">
      <c r="B324" s="92"/>
      <c r="C324" s="68" t="s">
        <v>233</v>
      </c>
      <c r="D324" s="69">
        <v>2</v>
      </c>
      <c r="E324" s="70">
        <v>6.7414972865000001E-5</v>
      </c>
    </row>
    <row r="325" spans="2:5" ht="15" customHeight="1">
      <c r="B325" s="92"/>
      <c r="C325" s="68" t="s">
        <v>212</v>
      </c>
      <c r="D325" s="69">
        <v>102</v>
      </c>
      <c r="E325" s="70">
        <v>3.4381636161389998E-3</v>
      </c>
    </row>
    <row r="326" spans="2:5" ht="15" customHeight="1">
      <c r="B326" s="92"/>
      <c r="C326" s="68" t="s">
        <v>213</v>
      </c>
      <c r="D326" s="69">
        <v>678</v>
      </c>
      <c r="E326" s="70">
        <v>2.2853675801394999E-2</v>
      </c>
    </row>
    <row r="327" spans="2:5" ht="15" customHeight="1">
      <c r="B327" s="92"/>
      <c r="C327" s="68" t="s">
        <v>214</v>
      </c>
      <c r="D327" s="69">
        <v>96</v>
      </c>
      <c r="E327" s="70">
        <v>3.2359186975429999E-3</v>
      </c>
    </row>
    <row r="328" spans="2:5" ht="15" customHeight="1">
      <c r="B328" s="92"/>
      <c r="C328" s="68" t="s">
        <v>234</v>
      </c>
      <c r="D328" s="69">
        <v>100</v>
      </c>
      <c r="E328" s="70">
        <v>3.3707486432739998E-3</v>
      </c>
    </row>
    <row r="329" spans="2:5" ht="15" customHeight="1">
      <c r="B329" s="92"/>
      <c r="C329" s="68" t="s">
        <v>215</v>
      </c>
      <c r="D329" s="69">
        <v>1794</v>
      </c>
      <c r="E329" s="70">
        <v>6.047123066033E-2</v>
      </c>
    </row>
    <row r="330" spans="2:5" ht="15" customHeight="1">
      <c r="B330" s="92"/>
      <c r="C330" s="68" t="s">
        <v>235</v>
      </c>
      <c r="D330" s="69">
        <v>16</v>
      </c>
      <c r="E330" s="70">
        <v>5.3931978292399995E-4</v>
      </c>
    </row>
    <row r="331" spans="2:5" ht="15" customHeight="1">
      <c r="B331" s="92"/>
      <c r="C331" s="68" t="s">
        <v>244</v>
      </c>
      <c r="D331" s="69">
        <v>25</v>
      </c>
      <c r="E331" s="70">
        <v>8.4268716081800003E-4</v>
      </c>
    </row>
    <row r="332" spans="2:5" ht="15" customHeight="1">
      <c r="B332" s="92"/>
      <c r="C332" s="68" t="s">
        <v>216</v>
      </c>
      <c r="D332" s="69">
        <v>3</v>
      </c>
      <c r="E332" s="70">
        <v>1.0112245929799999E-4</v>
      </c>
    </row>
    <row r="333" spans="2:5" ht="15" customHeight="1">
      <c r="B333" s="92"/>
      <c r="C333" s="68" t="s">
        <v>217</v>
      </c>
      <c r="D333" s="69">
        <v>58</v>
      </c>
      <c r="E333" s="70">
        <v>1.9550342130989998E-3</v>
      </c>
    </row>
    <row r="334" spans="2:5" ht="15" customHeight="1">
      <c r="B334" s="92"/>
      <c r="C334" s="68" t="s">
        <v>218</v>
      </c>
      <c r="D334" s="69">
        <v>355</v>
      </c>
      <c r="E334" s="70">
        <v>1.1966157683622001E-2</v>
      </c>
    </row>
    <row r="335" spans="2:5" ht="15" customHeight="1">
      <c r="B335" s="92"/>
      <c r="C335" s="68" t="s">
        <v>219</v>
      </c>
      <c r="D335" s="69">
        <v>25</v>
      </c>
      <c r="E335" s="70">
        <v>8.4268716081800003E-4</v>
      </c>
    </row>
    <row r="336" spans="2:5" ht="15" customHeight="1">
      <c r="B336" s="92"/>
      <c r="C336" s="68" t="s">
        <v>236</v>
      </c>
      <c r="D336" s="69">
        <v>86</v>
      </c>
      <c r="E336" s="70">
        <v>2.8988438332149999E-3</v>
      </c>
    </row>
    <row r="337" spans="2:5" ht="15" customHeight="1">
      <c r="B337" s="92"/>
      <c r="C337" s="68" t="s">
        <v>220</v>
      </c>
      <c r="D337" s="69">
        <v>86</v>
      </c>
      <c r="E337" s="70">
        <v>2.8988438332149999E-3</v>
      </c>
    </row>
    <row r="338" spans="2:5" ht="15" customHeight="1">
      <c r="B338" s="92"/>
      <c r="C338" s="68" t="s">
        <v>221</v>
      </c>
      <c r="D338" s="69">
        <v>40</v>
      </c>
      <c r="E338" s="70">
        <v>1.348299457309E-3</v>
      </c>
    </row>
    <row r="339" spans="2:5" ht="15" customHeight="1">
      <c r="B339" s="92"/>
      <c r="C339" s="68" t="s">
        <v>237</v>
      </c>
      <c r="D339" s="69">
        <v>5</v>
      </c>
      <c r="E339" s="70">
        <v>1.68537432164E-4</v>
      </c>
    </row>
    <row r="340" spans="2:5" ht="15" customHeight="1">
      <c r="B340" s="92"/>
      <c r="C340" s="68" t="s">
        <v>245</v>
      </c>
      <c r="D340" s="69">
        <v>8</v>
      </c>
      <c r="E340" s="70">
        <v>2.6965989146199998E-4</v>
      </c>
    </row>
    <row r="341" spans="2:5" ht="15" customHeight="1">
      <c r="B341" s="92"/>
      <c r="C341" s="68" t="s">
        <v>222</v>
      </c>
      <c r="D341" s="69">
        <v>48</v>
      </c>
      <c r="E341" s="70">
        <v>1.6179593487709999E-3</v>
      </c>
    </row>
    <row r="342" spans="2:5" ht="15" customHeight="1">
      <c r="B342" s="92"/>
      <c r="C342" s="68" t="s">
        <v>223</v>
      </c>
      <c r="D342" s="69">
        <v>3</v>
      </c>
      <c r="E342" s="70">
        <v>1.0112245929799999E-4</v>
      </c>
    </row>
    <row r="343" spans="2:5" ht="15" customHeight="1">
      <c r="B343" s="92"/>
      <c r="C343" s="68" t="s">
        <v>250</v>
      </c>
      <c r="D343" s="69">
        <v>4</v>
      </c>
      <c r="E343" s="70">
        <v>1.3482994573099999E-4</v>
      </c>
    </row>
    <row r="344" spans="2:5" ht="15" customHeight="1">
      <c r="B344" s="92"/>
      <c r="C344" s="68" t="s">
        <v>224</v>
      </c>
      <c r="D344" s="69">
        <v>30</v>
      </c>
      <c r="E344" s="70">
        <v>1.0112245929819999E-3</v>
      </c>
    </row>
    <row r="345" spans="2:5" ht="15" customHeight="1">
      <c r="B345" s="92"/>
      <c r="C345" s="68" t="s">
        <v>225</v>
      </c>
      <c r="D345" s="69">
        <v>77</v>
      </c>
      <c r="E345" s="70">
        <v>2.5954764553209999E-3</v>
      </c>
    </row>
    <row r="346" spans="2:5" ht="15" customHeight="1">
      <c r="B346" s="92"/>
      <c r="C346" s="68" t="s">
        <v>251</v>
      </c>
      <c r="D346" s="69">
        <v>37</v>
      </c>
      <c r="E346" s="70">
        <v>1.247176998011E-3</v>
      </c>
    </row>
    <row r="347" spans="2:5" ht="15" customHeight="1">
      <c r="B347" s="92"/>
      <c r="C347" s="68" t="s">
        <v>238</v>
      </c>
      <c r="D347" s="69">
        <v>21</v>
      </c>
      <c r="E347" s="70">
        <v>7.0785721508699996E-4</v>
      </c>
    </row>
    <row r="348" spans="2:5" ht="15" customHeight="1">
      <c r="B348" s="92"/>
      <c r="C348" s="68" t="s">
        <v>239</v>
      </c>
      <c r="D348" s="69">
        <v>115</v>
      </c>
      <c r="E348" s="70">
        <v>3.8763609397649999E-3</v>
      </c>
    </row>
    <row r="349" spans="2:5" ht="15" customHeight="1">
      <c r="B349" s="92"/>
      <c r="C349" s="68" t="s">
        <v>240</v>
      </c>
      <c r="D349" s="69">
        <v>77</v>
      </c>
      <c r="E349" s="70">
        <v>2.5954764553209999E-3</v>
      </c>
    </row>
    <row r="350" spans="2:5" ht="15" customHeight="1">
      <c r="B350" s="92"/>
      <c r="C350" s="68" t="s">
        <v>241</v>
      </c>
      <c r="D350" s="69">
        <v>24</v>
      </c>
      <c r="E350" s="70">
        <v>8.0897967438599999E-4</v>
      </c>
    </row>
    <row r="351" spans="2:5" ht="15" customHeight="1">
      <c r="B351" s="92"/>
      <c r="C351" s="68" t="s">
        <v>246</v>
      </c>
      <c r="D351" s="69">
        <v>26</v>
      </c>
      <c r="E351" s="70">
        <v>8.7639464725100004E-4</v>
      </c>
    </row>
    <row r="352" spans="2:5" ht="15" customHeight="1">
      <c r="B352" s="92"/>
      <c r="C352" s="68" t="s">
        <v>226</v>
      </c>
      <c r="D352" s="69">
        <v>177</v>
      </c>
      <c r="E352" s="70">
        <v>5.9662250985939996E-3</v>
      </c>
    </row>
    <row r="353" spans="2:5" ht="15" customHeight="1">
      <c r="B353" s="92"/>
      <c r="C353" s="68" t="s">
        <v>227</v>
      </c>
      <c r="D353" s="69">
        <v>118</v>
      </c>
      <c r="E353" s="70">
        <v>3.9774833990630001E-3</v>
      </c>
    </row>
    <row r="354" spans="2:5" ht="15" customHeight="1">
      <c r="B354" s="92"/>
      <c r="C354" s="68" t="s">
        <v>228</v>
      </c>
      <c r="D354" s="69">
        <v>212</v>
      </c>
      <c r="E354" s="70">
        <v>7.1459871237400004E-3</v>
      </c>
    </row>
    <row r="355" spans="2:5" ht="15" customHeight="1">
      <c r="B355" s="92"/>
      <c r="C355" s="68" t="s">
        <v>247</v>
      </c>
      <c r="D355" s="69">
        <v>105</v>
      </c>
      <c r="E355" s="70">
        <v>3.539286075437E-3</v>
      </c>
    </row>
    <row r="356" spans="2:5" ht="15" customHeight="1">
      <c r="B356" s="92"/>
      <c r="C356" s="68" t="s">
        <v>229</v>
      </c>
      <c r="D356" s="69">
        <v>52</v>
      </c>
      <c r="E356" s="70">
        <v>1.7527892945020001E-3</v>
      </c>
    </row>
    <row r="357" spans="2:5" ht="15" customHeight="1">
      <c r="B357" s="92"/>
      <c r="C357" s="68" t="s">
        <v>230</v>
      </c>
      <c r="D357" s="69">
        <v>55</v>
      </c>
      <c r="E357" s="70">
        <v>1.8539117538010001E-3</v>
      </c>
    </row>
    <row r="358" spans="2:5" ht="15" customHeight="1">
      <c r="B358" s="93"/>
      <c r="C358" s="36" t="s">
        <v>29</v>
      </c>
      <c r="D358" s="35">
        <v>8351</v>
      </c>
      <c r="E358" s="34">
        <v>0.28149121919978398</v>
      </c>
    </row>
    <row r="359" spans="2:5" ht="15" customHeight="1">
      <c r="B359" s="91" t="s">
        <v>95</v>
      </c>
      <c r="C359" s="68" t="s">
        <v>242</v>
      </c>
      <c r="D359" s="69">
        <v>1</v>
      </c>
      <c r="E359" s="70">
        <v>3.3707486433000001E-5</v>
      </c>
    </row>
    <row r="360" spans="2:5" ht="15" customHeight="1">
      <c r="B360" s="92"/>
      <c r="C360" s="68" t="s">
        <v>200</v>
      </c>
      <c r="D360" s="69">
        <v>1</v>
      </c>
      <c r="E360" s="70">
        <v>3.3707486433000001E-5</v>
      </c>
    </row>
    <row r="361" spans="2:5" ht="15" customHeight="1">
      <c r="B361" s="92"/>
      <c r="C361" s="68" t="s">
        <v>243</v>
      </c>
      <c r="D361" s="69">
        <v>1</v>
      </c>
      <c r="E361" s="70">
        <v>3.3707486433000001E-5</v>
      </c>
    </row>
    <row r="362" spans="2:5" ht="15" customHeight="1">
      <c r="B362" s="92"/>
      <c r="C362" s="68" t="s">
        <v>209</v>
      </c>
      <c r="D362" s="69">
        <v>1</v>
      </c>
      <c r="E362" s="70">
        <v>3.3707486433000001E-5</v>
      </c>
    </row>
    <row r="363" spans="2:5" ht="15" customHeight="1">
      <c r="B363" s="92"/>
      <c r="C363" s="68" t="s">
        <v>232</v>
      </c>
      <c r="D363" s="69">
        <v>1</v>
      </c>
      <c r="E363" s="70">
        <v>3.3707486433000001E-5</v>
      </c>
    </row>
    <row r="364" spans="2:5" ht="15" customHeight="1">
      <c r="B364" s="92"/>
      <c r="C364" s="68" t="s">
        <v>213</v>
      </c>
      <c r="D364" s="69">
        <v>1</v>
      </c>
      <c r="E364" s="70">
        <v>3.3707486433000001E-5</v>
      </c>
    </row>
    <row r="365" spans="2:5" ht="15" customHeight="1">
      <c r="B365" s="92"/>
      <c r="C365" s="68" t="s">
        <v>215</v>
      </c>
      <c r="D365" s="69">
        <v>3</v>
      </c>
      <c r="E365" s="70">
        <v>1.0112245929799999E-4</v>
      </c>
    </row>
    <row r="366" spans="2:5" ht="15" customHeight="1">
      <c r="B366" s="92"/>
      <c r="C366" s="68" t="s">
        <v>237</v>
      </c>
      <c r="D366" s="69">
        <v>1</v>
      </c>
      <c r="E366" s="70">
        <v>3.3707486433000001E-5</v>
      </c>
    </row>
    <row r="367" spans="2:5" ht="15" customHeight="1">
      <c r="B367" s="92"/>
      <c r="C367" s="68" t="s">
        <v>240</v>
      </c>
      <c r="D367" s="69">
        <v>1</v>
      </c>
      <c r="E367" s="70">
        <v>3.3707486433000001E-5</v>
      </c>
    </row>
    <row r="368" spans="2:5" ht="15" customHeight="1">
      <c r="B368" s="92"/>
      <c r="C368" s="68" t="s">
        <v>228</v>
      </c>
      <c r="D368" s="69">
        <v>3</v>
      </c>
      <c r="E368" s="70">
        <v>1.0112245929799999E-4</v>
      </c>
    </row>
    <row r="369" spans="2:5" ht="15" customHeight="1">
      <c r="B369" s="93"/>
      <c r="C369" s="36" t="s">
        <v>29</v>
      </c>
      <c r="D369" s="35">
        <v>14</v>
      </c>
      <c r="E369" s="34">
        <v>4.7190481005799999E-4</v>
      </c>
    </row>
    <row r="370" spans="2:5" ht="15" customHeight="1">
      <c r="B370" s="91" t="s">
        <v>69</v>
      </c>
      <c r="C370" s="68" t="s">
        <v>195</v>
      </c>
      <c r="D370" s="69">
        <v>3</v>
      </c>
      <c r="E370" s="70">
        <v>1.0112245929799999E-4</v>
      </c>
    </row>
    <row r="371" spans="2:5" ht="15" customHeight="1">
      <c r="B371" s="92"/>
      <c r="C371" s="68" t="s">
        <v>199</v>
      </c>
      <c r="D371" s="69">
        <v>9</v>
      </c>
      <c r="E371" s="70">
        <v>3.0336737789499998E-4</v>
      </c>
    </row>
    <row r="372" spans="2:5" ht="15" customHeight="1">
      <c r="B372" s="92"/>
      <c r="C372" s="68" t="s">
        <v>200</v>
      </c>
      <c r="D372" s="69">
        <v>4</v>
      </c>
      <c r="E372" s="70">
        <v>1.3482994573099999E-4</v>
      </c>
    </row>
    <row r="373" spans="2:5" ht="15" customHeight="1">
      <c r="B373" s="92"/>
      <c r="C373" s="68" t="s">
        <v>201</v>
      </c>
      <c r="D373" s="69">
        <v>2</v>
      </c>
      <c r="E373" s="70">
        <v>6.7414972865000001E-5</v>
      </c>
    </row>
    <row r="374" spans="2:5" ht="15" customHeight="1">
      <c r="B374" s="92"/>
      <c r="C374" s="68" t="s">
        <v>203</v>
      </c>
      <c r="D374" s="69">
        <v>8</v>
      </c>
      <c r="E374" s="70">
        <v>2.6965989146199998E-4</v>
      </c>
    </row>
    <row r="375" spans="2:5" ht="15" customHeight="1">
      <c r="B375" s="92"/>
      <c r="C375" s="68" t="s">
        <v>204</v>
      </c>
      <c r="D375" s="69">
        <v>1</v>
      </c>
      <c r="E375" s="70">
        <v>3.3707486433000001E-5</v>
      </c>
    </row>
    <row r="376" spans="2:5" ht="15" customHeight="1">
      <c r="B376" s="92"/>
      <c r="C376" s="68" t="s">
        <v>205</v>
      </c>
      <c r="D376" s="69">
        <v>3</v>
      </c>
      <c r="E376" s="70">
        <v>1.0112245929799999E-4</v>
      </c>
    </row>
    <row r="377" spans="2:5" ht="15" customHeight="1">
      <c r="B377" s="92"/>
      <c r="C377" s="68" t="s">
        <v>209</v>
      </c>
      <c r="D377" s="69">
        <v>8</v>
      </c>
      <c r="E377" s="70">
        <v>2.6965989146199998E-4</v>
      </c>
    </row>
    <row r="378" spans="2:5" ht="15" customHeight="1">
      <c r="B378" s="92"/>
      <c r="C378" s="68" t="s">
        <v>232</v>
      </c>
      <c r="D378" s="69">
        <v>9</v>
      </c>
      <c r="E378" s="70">
        <v>3.0336737789499998E-4</v>
      </c>
    </row>
    <row r="379" spans="2:5" ht="15" customHeight="1">
      <c r="B379" s="92"/>
      <c r="C379" s="68" t="s">
        <v>211</v>
      </c>
      <c r="D379" s="69">
        <v>1</v>
      </c>
      <c r="E379" s="70">
        <v>3.3707486433000001E-5</v>
      </c>
    </row>
    <row r="380" spans="2:5" ht="15" customHeight="1">
      <c r="B380" s="92"/>
      <c r="C380" s="68" t="s">
        <v>213</v>
      </c>
      <c r="D380" s="69">
        <v>30</v>
      </c>
      <c r="E380" s="70">
        <v>1.0112245929819999E-3</v>
      </c>
    </row>
    <row r="381" spans="2:5" ht="15" customHeight="1">
      <c r="B381" s="92"/>
      <c r="C381" s="68" t="s">
        <v>214</v>
      </c>
      <c r="D381" s="69">
        <v>6</v>
      </c>
      <c r="E381" s="70">
        <v>2.0224491859599999E-4</v>
      </c>
    </row>
    <row r="382" spans="2:5" ht="15" customHeight="1">
      <c r="B382" s="92"/>
      <c r="C382" s="68" t="s">
        <v>215</v>
      </c>
      <c r="D382" s="69">
        <v>15</v>
      </c>
      <c r="E382" s="70">
        <v>5.0561229649099995E-4</v>
      </c>
    </row>
    <row r="383" spans="2:5" ht="15" customHeight="1">
      <c r="B383" s="92"/>
      <c r="C383" s="68" t="s">
        <v>235</v>
      </c>
      <c r="D383" s="69">
        <v>2</v>
      </c>
      <c r="E383" s="70">
        <v>6.7414972865000001E-5</v>
      </c>
    </row>
    <row r="384" spans="2:5" ht="15" customHeight="1">
      <c r="B384" s="92"/>
      <c r="C384" s="68" t="s">
        <v>216</v>
      </c>
      <c r="D384" s="69">
        <v>1</v>
      </c>
      <c r="E384" s="70">
        <v>3.3707486433000001E-5</v>
      </c>
    </row>
    <row r="385" spans="2:5" ht="15" customHeight="1">
      <c r="B385" s="92"/>
      <c r="C385" s="68" t="s">
        <v>218</v>
      </c>
      <c r="D385" s="69">
        <v>5</v>
      </c>
      <c r="E385" s="70">
        <v>1.68537432164E-4</v>
      </c>
    </row>
    <row r="386" spans="2:5" ht="15" customHeight="1">
      <c r="B386" s="92"/>
      <c r="C386" s="68" t="s">
        <v>219</v>
      </c>
      <c r="D386" s="69">
        <v>6</v>
      </c>
      <c r="E386" s="70">
        <v>2.0224491859599999E-4</v>
      </c>
    </row>
    <row r="387" spans="2:5" ht="15" customHeight="1">
      <c r="B387" s="92"/>
      <c r="C387" s="68" t="s">
        <v>236</v>
      </c>
      <c r="D387" s="69">
        <v>1</v>
      </c>
      <c r="E387" s="70">
        <v>3.3707486433000001E-5</v>
      </c>
    </row>
    <row r="388" spans="2:5" ht="15" customHeight="1">
      <c r="B388" s="92"/>
      <c r="C388" s="68" t="s">
        <v>220</v>
      </c>
      <c r="D388" s="69">
        <v>1</v>
      </c>
      <c r="E388" s="70">
        <v>3.3707486433000001E-5</v>
      </c>
    </row>
    <row r="389" spans="2:5" ht="15" customHeight="1">
      <c r="B389" s="92"/>
      <c r="C389" s="68" t="s">
        <v>221</v>
      </c>
      <c r="D389" s="69">
        <v>1</v>
      </c>
      <c r="E389" s="70">
        <v>3.3707486433000001E-5</v>
      </c>
    </row>
    <row r="390" spans="2:5" ht="15" customHeight="1">
      <c r="B390" s="92"/>
      <c r="C390" s="68" t="s">
        <v>237</v>
      </c>
      <c r="D390" s="69">
        <v>1</v>
      </c>
      <c r="E390" s="70">
        <v>3.3707486433000001E-5</v>
      </c>
    </row>
    <row r="391" spans="2:5" ht="15" customHeight="1">
      <c r="B391" s="92"/>
      <c r="C391" s="68" t="s">
        <v>222</v>
      </c>
      <c r="D391" s="69">
        <v>1</v>
      </c>
      <c r="E391" s="70">
        <v>3.3707486433000001E-5</v>
      </c>
    </row>
    <row r="392" spans="2:5" ht="15" customHeight="1">
      <c r="B392" s="92"/>
      <c r="C392" s="68" t="s">
        <v>225</v>
      </c>
      <c r="D392" s="69">
        <v>3</v>
      </c>
      <c r="E392" s="70">
        <v>1.0112245929799999E-4</v>
      </c>
    </row>
    <row r="393" spans="2:5" ht="15" customHeight="1">
      <c r="B393" s="92"/>
      <c r="C393" s="68" t="s">
        <v>240</v>
      </c>
      <c r="D393" s="69">
        <v>1</v>
      </c>
      <c r="E393" s="70">
        <v>3.3707486433000001E-5</v>
      </c>
    </row>
    <row r="394" spans="2:5" ht="15" customHeight="1">
      <c r="B394" s="92"/>
      <c r="C394" s="68" t="s">
        <v>226</v>
      </c>
      <c r="D394" s="69">
        <v>25</v>
      </c>
      <c r="E394" s="70">
        <v>8.4268716081800003E-4</v>
      </c>
    </row>
    <row r="395" spans="2:5" ht="15" customHeight="1">
      <c r="B395" s="92"/>
      <c r="C395" s="68" t="s">
        <v>247</v>
      </c>
      <c r="D395" s="69">
        <v>14</v>
      </c>
      <c r="E395" s="70">
        <v>4.7190481005799999E-4</v>
      </c>
    </row>
    <row r="396" spans="2:5" ht="15" customHeight="1">
      <c r="B396" s="92"/>
      <c r="C396" s="68" t="s">
        <v>229</v>
      </c>
      <c r="D396" s="69">
        <v>8</v>
      </c>
      <c r="E396" s="70">
        <v>2.6965989146199998E-4</v>
      </c>
    </row>
    <row r="397" spans="2:5" ht="15" customHeight="1">
      <c r="B397" s="92"/>
      <c r="C397" s="68" t="s">
        <v>230</v>
      </c>
      <c r="D397" s="69">
        <v>2</v>
      </c>
      <c r="E397" s="70">
        <v>6.7414972865000001E-5</v>
      </c>
    </row>
    <row r="398" spans="2:5" ht="15" customHeight="1">
      <c r="B398" s="93"/>
      <c r="C398" s="36" t="s">
        <v>29</v>
      </c>
      <c r="D398" s="35">
        <v>171</v>
      </c>
      <c r="E398" s="34">
        <v>5.7639801799980002E-3</v>
      </c>
    </row>
    <row r="399" spans="2:5" ht="15" customHeight="1">
      <c r="B399" s="91" t="s">
        <v>66</v>
      </c>
      <c r="C399" s="68" t="s">
        <v>195</v>
      </c>
      <c r="D399" s="69">
        <v>1</v>
      </c>
      <c r="E399" s="70">
        <v>3.3707486433000001E-5</v>
      </c>
    </row>
    <row r="400" spans="2:5" ht="15" customHeight="1">
      <c r="B400" s="92"/>
      <c r="C400" s="68" t="s">
        <v>196</v>
      </c>
      <c r="D400" s="69">
        <v>2</v>
      </c>
      <c r="E400" s="70">
        <v>6.7414972865000001E-5</v>
      </c>
    </row>
    <row r="401" spans="2:5" ht="15" customHeight="1">
      <c r="B401" s="92"/>
      <c r="C401" s="68" t="s">
        <v>197</v>
      </c>
      <c r="D401" s="69">
        <v>12</v>
      </c>
      <c r="E401" s="70">
        <v>4.0448983719299999E-4</v>
      </c>
    </row>
    <row r="402" spans="2:5" ht="15" customHeight="1">
      <c r="B402" s="92"/>
      <c r="C402" s="68" t="s">
        <v>231</v>
      </c>
      <c r="D402" s="69">
        <v>1</v>
      </c>
      <c r="E402" s="70">
        <v>3.3707486433000001E-5</v>
      </c>
    </row>
    <row r="403" spans="2:5" ht="15" customHeight="1">
      <c r="B403" s="92"/>
      <c r="C403" s="68" t="s">
        <v>198</v>
      </c>
      <c r="D403" s="69">
        <v>1</v>
      </c>
      <c r="E403" s="70">
        <v>3.3707486433000001E-5</v>
      </c>
    </row>
    <row r="404" spans="2:5" ht="15" customHeight="1">
      <c r="B404" s="92"/>
      <c r="C404" s="68" t="s">
        <v>248</v>
      </c>
      <c r="D404" s="69">
        <v>3</v>
      </c>
      <c r="E404" s="70">
        <v>1.0112245929799999E-4</v>
      </c>
    </row>
    <row r="405" spans="2:5" ht="15" customHeight="1">
      <c r="B405" s="92"/>
      <c r="C405" s="68" t="s">
        <v>199</v>
      </c>
      <c r="D405" s="69">
        <v>7</v>
      </c>
      <c r="E405" s="70">
        <v>2.35952405029E-4</v>
      </c>
    </row>
    <row r="406" spans="2:5" ht="15" customHeight="1">
      <c r="B406" s="92"/>
      <c r="C406" s="68" t="s">
        <v>200</v>
      </c>
      <c r="D406" s="69">
        <v>2</v>
      </c>
      <c r="E406" s="70">
        <v>6.7414972865000001E-5</v>
      </c>
    </row>
    <row r="407" spans="2:5" ht="15" customHeight="1">
      <c r="B407" s="92"/>
      <c r="C407" s="68" t="s">
        <v>201</v>
      </c>
      <c r="D407" s="69">
        <v>8</v>
      </c>
      <c r="E407" s="70">
        <v>2.6965989146199998E-4</v>
      </c>
    </row>
    <row r="408" spans="2:5" ht="15" customHeight="1">
      <c r="B408" s="92"/>
      <c r="C408" s="68" t="s">
        <v>203</v>
      </c>
      <c r="D408" s="69">
        <v>16</v>
      </c>
      <c r="E408" s="70">
        <v>5.3931978292399995E-4</v>
      </c>
    </row>
    <row r="409" spans="2:5" ht="15" customHeight="1">
      <c r="B409" s="92"/>
      <c r="C409" s="68" t="s">
        <v>205</v>
      </c>
      <c r="D409" s="69">
        <v>6</v>
      </c>
      <c r="E409" s="70">
        <v>2.0224491859599999E-4</v>
      </c>
    </row>
    <row r="410" spans="2:5" ht="15" customHeight="1">
      <c r="B410" s="92"/>
      <c r="C410" s="68" t="s">
        <v>243</v>
      </c>
      <c r="D410" s="69">
        <v>1</v>
      </c>
      <c r="E410" s="70">
        <v>3.3707486433000001E-5</v>
      </c>
    </row>
    <row r="411" spans="2:5" ht="15" customHeight="1">
      <c r="B411" s="92"/>
      <c r="C411" s="68" t="s">
        <v>206</v>
      </c>
      <c r="D411" s="69">
        <v>2</v>
      </c>
      <c r="E411" s="70">
        <v>6.7414972865000001E-5</v>
      </c>
    </row>
    <row r="412" spans="2:5" ht="15" customHeight="1">
      <c r="B412" s="92"/>
      <c r="C412" s="68" t="s">
        <v>207</v>
      </c>
      <c r="D412" s="69">
        <v>1</v>
      </c>
      <c r="E412" s="70">
        <v>3.3707486433000001E-5</v>
      </c>
    </row>
    <row r="413" spans="2:5" ht="15" customHeight="1">
      <c r="B413" s="92"/>
      <c r="C413" s="68" t="s">
        <v>208</v>
      </c>
      <c r="D413" s="69">
        <v>2</v>
      </c>
      <c r="E413" s="70">
        <v>6.7414972865000001E-5</v>
      </c>
    </row>
    <row r="414" spans="2:5" ht="15" customHeight="1">
      <c r="B414" s="92"/>
      <c r="C414" s="68" t="s">
        <v>209</v>
      </c>
      <c r="D414" s="69">
        <v>18</v>
      </c>
      <c r="E414" s="70">
        <v>6.0673475578900001E-4</v>
      </c>
    </row>
    <row r="415" spans="2:5" ht="15" customHeight="1">
      <c r="B415" s="92"/>
      <c r="C415" s="68" t="s">
        <v>232</v>
      </c>
      <c r="D415" s="69">
        <v>6</v>
      </c>
      <c r="E415" s="70">
        <v>2.0224491859599999E-4</v>
      </c>
    </row>
    <row r="416" spans="2:5" ht="15" customHeight="1">
      <c r="B416" s="92"/>
      <c r="C416" s="68" t="s">
        <v>211</v>
      </c>
      <c r="D416" s="69">
        <v>4</v>
      </c>
      <c r="E416" s="70">
        <v>1.3482994573099999E-4</v>
      </c>
    </row>
    <row r="417" spans="2:5" ht="15" customHeight="1">
      <c r="B417" s="92"/>
      <c r="C417" s="68" t="s">
        <v>212</v>
      </c>
      <c r="D417" s="69">
        <v>3</v>
      </c>
      <c r="E417" s="70">
        <v>1.0112245929799999E-4</v>
      </c>
    </row>
    <row r="418" spans="2:5" ht="15" customHeight="1">
      <c r="B418" s="92"/>
      <c r="C418" s="68" t="s">
        <v>213</v>
      </c>
      <c r="D418" s="69">
        <v>18</v>
      </c>
      <c r="E418" s="70">
        <v>6.0673475578900001E-4</v>
      </c>
    </row>
    <row r="419" spans="2:5" ht="15" customHeight="1">
      <c r="B419" s="92"/>
      <c r="C419" s="68" t="s">
        <v>214</v>
      </c>
      <c r="D419" s="69">
        <v>8</v>
      </c>
      <c r="E419" s="70">
        <v>2.6965989146199998E-4</v>
      </c>
    </row>
    <row r="420" spans="2:5" ht="15" customHeight="1">
      <c r="B420" s="92"/>
      <c r="C420" s="68" t="s">
        <v>57</v>
      </c>
      <c r="D420" s="69">
        <v>1</v>
      </c>
      <c r="E420" s="70">
        <v>3.3707486433000001E-5</v>
      </c>
    </row>
    <row r="421" spans="2:5" ht="15" customHeight="1">
      <c r="B421" s="92"/>
      <c r="C421" s="68" t="s">
        <v>234</v>
      </c>
      <c r="D421" s="69">
        <v>3</v>
      </c>
      <c r="E421" s="70">
        <v>1.0112245929799999E-4</v>
      </c>
    </row>
    <row r="422" spans="2:5" ht="15" customHeight="1">
      <c r="B422" s="92"/>
      <c r="C422" s="68" t="s">
        <v>215</v>
      </c>
      <c r="D422" s="69">
        <v>42</v>
      </c>
      <c r="E422" s="70">
        <v>1.415714430175E-3</v>
      </c>
    </row>
    <row r="423" spans="2:5" ht="15" customHeight="1">
      <c r="B423" s="92"/>
      <c r="C423" s="68" t="s">
        <v>244</v>
      </c>
      <c r="D423" s="69">
        <v>1</v>
      </c>
      <c r="E423" s="70">
        <v>3.3707486433000001E-5</v>
      </c>
    </row>
    <row r="424" spans="2:5" ht="15" customHeight="1">
      <c r="B424" s="92"/>
      <c r="C424" s="68" t="s">
        <v>217</v>
      </c>
      <c r="D424" s="69">
        <v>2</v>
      </c>
      <c r="E424" s="70">
        <v>6.7414972865000001E-5</v>
      </c>
    </row>
    <row r="425" spans="2:5" ht="15" customHeight="1">
      <c r="B425" s="92"/>
      <c r="C425" s="68" t="s">
        <v>218</v>
      </c>
      <c r="D425" s="69">
        <v>7</v>
      </c>
      <c r="E425" s="70">
        <v>2.35952405029E-4</v>
      </c>
    </row>
    <row r="426" spans="2:5" ht="15" customHeight="1">
      <c r="B426" s="92"/>
      <c r="C426" s="68" t="s">
        <v>236</v>
      </c>
      <c r="D426" s="69">
        <v>5</v>
      </c>
      <c r="E426" s="70">
        <v>1.68537432164E-4</v>
      </c>
    </row>
    <row r="427" spans="2:5" ht="15" customHeight="1">
      <c r="B427" s="92"/>
      <c r="C427" s="68" t="s">
        <v>220</v>
      </c>
      <c r="D427" s="69">
        <v>5</v>
      </c>
      <c r="E427" s="70">
        <v>1.68537432164E-4</v>
      </c>
    </row>
    <row r="428" spans="2:5" ht="15" customHeight="1">
      <c r="B428" s="92"/>
      <c r="C428" s="68" t="s">
        <v>221</v>
      </c>
      <c r="D428" s="69">
        <v>7</v>
      </c>
      <c r="E428" s="70">
        <v>2.35952405029E-4</v>
      </c>
    </row>
    <row r="429" spans="2:5" ht="15" customHeight="1">
      <c r="B429" s="92"/>
      <c r="C429" s="68" t="s">
        <v>237</v>
      </c>
      <c r="D429" s="69">
        <v>1</v>
      </c>
      <c r="E429" s="70">
        <v>3.3707486433000001E-5</v>
      </c>
    </row>
    <row r="430" spans="2:5" ht="15" customHeight="1">
      <c r="B430" s="92"/>
      <c r="C430" s="68" t="s">
        <v>245</v>
      </c>
      <c r="D430" s="69">
        <v>1</v>
      </c>
      <c r="E430" s="70">
        <v>3.3707486433000001E-5</v>
      </c>
    </row>
    <row r="431" spans="2:5" ht="15" customHeight="1">
      <c r="B431" s="92"/>
      <c r="C431" s="68" t="s">
        <v>222</v>
      </c>
      <c r="D431" s="69">
        <v>1</v>
      </c>
      <c r="E431" s="70">
        <v>3.3707486433000001E-5</v>
      </c>
    </row>
    <row r="432" spans="2:5" ht="15" customHeight="1">
      <c r="B432" s="92"/>
      <c r="C432" s="68" t="s">
        <v>224</v>
      </c>
      <c r="D432" s="69">
        <v>1</v>
      </c>
      <c r="E432" s="70">
        <v>3.3707486433000001E-5</v>
      </c>
    </row>
    <row r="433" spans="2:5" ht="15" customHeight="1">
      <c r="B433" s="92"/>
      <c r="C433" s="68" t="s">
        <v>225</v>
      </c>
      <c r="D433" s="69">
        <v>2</v>
      </c>
      <c r="E433" s="70">
        <v>6.7414972865000001E-5</v>
      </c>
    </row>
    <row r="434" spans="2:5" ht="15" customHeight="1">
      <c r="B434" s="92"/>
      <c r="C434" s="68" t="s">
        <v>251</v>
      </c>
      <c r="D434" s="69">
        <v>2</v>
      </c>
      <c r="E434" s="70">
        <v>6.7414972865000001E-5</v>
      </c>
    </row>
    <row r="435" spans="2:5" ht="15" customHeight="1">
      <c r="B435" s="92"/>
      <c r="C435" s="68" t="s">
        <v>238</v>
      </c>
      <c r="D435" s="69">
        <v>1</v>
      </c>
      <c r="E435" s="70">
        <v>3.3707486433000001E-5</v>
      </c>
    </row>
    <row r="436" spans="2:5" ht="15" customHeight="1">
      <c r="B436" s="92"/>
      <c r="C436" s="68" t="s">
        <v>240</v>
      </c>
      <c r="D436" s="69">
        <v>1</v>
      </c>
      <c r="E436" s="70">
        <v>3.3707486433000001E-5</v>
      </c>
    </row>
    <row r="437" spans="2:5" ht="15" customHeight="1">
      <c r="B437" s="92"/>
      <c r="C437" s="68" t="s">
        <v>241</v>
      </c>
      <c r="D437" s="69">
        <v>3</v>
      </c>
      <c r="E437" s="70">
        <v>1.0112245929799999E-4</v>
      </c>
    </row>
    <row r="438" spans="2:5" ht="15" customHeight="1">
      <c r="B438" s="92"/>
      <c r="C438" s="68" t="s">
        <v>246</v>
      </c>
      <c r="D438" s="69">
        <v>2</v>
      </c>
      <c r="E438" s="70">
        <v>6.7414972865000001E-5</v>
      </c>
    </row>
    <row r="439" spans="2:5" ht="15" customHeight="1">
      <c r="B439" s="92"/>
      <c r="C439" s="68" t="s">
        <v>226</v>
      </c>
      <c r="D439" s="69">
        <v>33</v>
      </c>
      <c r="E439" s="70">
        <v>1.1123470522800001E-3</v>
      </c>
    </row>
    <row r="440" spans="2:5" ht="15" customHeight="1">
      <c r="B440" s="92"/>
      <c r="C440" s="68" t="s">
        <v>227</v>
      </c>
      <c r="D440" s="69">
        <v>2</v>
      </c>
      <c r="E440" s="70">
        <v>6.7414972865000001E-5</v>
      </c>
    </row>
    <row r="441" spans="2:5" ht="15" customHeight="1">
      <c r="B441" s="92"/>
      <c r="C441" s="68" t="s">
        <v>228</v>
      </c>
      <c r="D441" s="69">
        <v>5</v>
      </c>
      <c r="E441" s="70">
        <v>1.68537432164E-4</v>
      </c>
    </row>
    <row r="442" spans="2:5" ht="15" customHeight="1">
      <c r="B442" s="92"/>
      <c r="C442" s="68" t="s">
        <v>229</v>
      </c>
      <c r="D442" s="69">
        <v>3</v>
      </c>
      <c r="E442" s="70">
        <v>1.0112245929799999E-4</v>
      </c>
    </row>
    <row r="443" spans="2:5" ht="15" customHeight="1">
      <c r="B443" s="92"/>
      <c r="C443" s="68" t="s">
        <v>230</v>
      </c>
      <c r="D443" s="69">
        <v>2</v>
      </c>
      <c r="E443" s="70">
        <v>6.7414972865000001E-5</v>
      </c>
    </row>
    <row r="444" spans="2:5" ht="15" customHeight="1">
      <c r="B444" s="93"/>
      <c r="C444" s="36" t="s">
        <v>29</v>
      </c>
      <c r="D444" s="35">
        <v>255</v>
      </c>
      <c r="E444" s="34">
        <v>8.5954090403479993E-3</v>
      </c>
    </row>
    <row r="445" spans="2:5" ht="15" customHeight="1">
      <c r="B445" s="91" t="s">
        <v>97</v>
      </c>
      <c r="C445" s="68" t="s">
        <v>197</v>
      </c>
      <c r="D445" s="69">
        <v>1</v>
      </c>
      <c r="E445" s="70">
        <v>3.3707486433000001E-5</v>
      </c>
    </row>
    <row r="446" spans="2:5" ht="15" customHeight="1">
      <c r="B446" s="92"/>
      <c r="C446" s="68" t="s">
        <v>231</v>
      </c>
      <c r="D446" s="69">
        <v>1</v>
      </c>
      <c r="E446" s="70">
        <v>3.3707486433000001E-5</v>
      </c>
    </row>
    <row r="447" spans="2:5" ht="15" customHeight="1">
      <c r="B447" s="92"/>
      <c r="C447" s="68" t="s">
        <v>199</v>
      </c>
      <c r="D447" s="69">
        <v>1</v>
      </c>
      <c r="E447" s="70">
        <v>3.3707486433000001E-5</v>
      </c>
    </row>
    <row r="448" spans="2:5" ht="15" customHeight="1">
      <c r="B448" s="92"/>
      <c r="C448" s="68" t="s">
        <v>209</v>
      </c>
      <c r="D448" s="69">
        <v>1</v>
      </c>
      <c r="E448" s="70">
        <v>3.3707486433000001E-5</v>
      </c>
    </row>
    <row r="449" spans="2:5" ht="15" customHeight="1">
      <c r="B449" s="92"/>
      <c r="C449" s="68" t="s">
        <v>238</v>
      </c>
      <c r="D449" s="69">
        <v>1</v>
      </c>
      <c r="E449" s="70">
        <v>3.3707486433000001E-5</v>
      </c>
    </row>
    <row r="450" spans="2:5" ht="15" customHeight="1">
      <c r="B450" s="92"/>
      <c r="C450" s="68" t="s">
        <v>241</v>
      </c>
      <c r="D450" s="69">
        <v>1</v>
      </c>
      <c r="E450" s="70">
        <v>3.3707486433000001E-5</v>
      </c>
    </row>
    <row r="451" spans="2:5" ht="15" customHeight="1">
      <c r="B451" s="93"/>
      <c r="C451" s="36" t="s">
        <v>29</v>
      </c>
      <c r="D451" s="35">
        <v>6</v>
      </c>
      <c r="E451" s="34">
        <v>2.0224491859599999E-4</v>
      </c>
    </row>
    <row r="452" spans="2:5" ht="15" customHeight="1">
      <c r="B452" s="91" t="s">
        <v>92</v>
      </c>
      <c r="C452" s="68" t="s">
        <v>195</v>
      </c>
      <c r="D452" s="69">
        <v>1</v>
      </c>
      <c r="E452" s="70">
        <v>3.3707486433000001E-5</v>
      </c>
    </row>
    <row r="453" spans="2:5" ht="15" customHeight="1">
      <c r="B453" s="92"/>
      <c r="C453" s="68" t="s">
        <v>196</v>
      </c>
      <c r="D453" s="69">
        <v>1</v>
      </c>
      <c r="E453" s="70">
        <v>3.3707486433000001E-5</v>
      </c>
    </row>
    <row r="454" spans="2:5" ht="15" customHeight="1">
      <c r="B454" s="92"/>
      <c r="C454" s="68" t="s">
        <v>200</v>
      </c>
      <c r="D454" s="69">
        <v>2</v>
      </c>
      <c r="E454" s="70">
        <v>6.7414972865000001E-5</v>
      </c>
    </row>
    <row r="455" spans="2:5" ht="15" customHeight="1">
      <c r="B455" s="92"/>
      <c r="C455" s="68" t="s">
        <v>203</v>
      </c>
      <c r="D455" s="69">
        <v>1</v>
      </c>
      <c r="E455" s="70">
        <v>3.3707486433000001E-5</v>
      </c>
    </row>
    <row r="456" spans="2:5" ht="15" customHeight="1">
      <c r="B456" s="92"/>
      <c r="C456" s="68" t="s">
        <v>249</v>
      </c>
      <c r="D456" s="69">
        <v>1</v>
      </c>
      <c r="E456" s="70">
        <v>3.3707486433000001E-5</v>
      </c>
    </row>
    <row r="457" spans="2:5" ht="15" customHeight="1">
      <c r="B457" s="92"/>
      <c r="C457" s="68" t="s">
        <v>204</v>
      </c>
      <c r="D457" s="69">
        <v>1</v>
      </c>
      <c r="E457" s="70">
        <v>3.3707486433000001E-5</v>
      </c>
    </row>
    <row r="458" spans="2:5" ht="15" customHeight="1">
      <c r="B458" s="92"/>
      <c r="C458" s="68" t="s">
        <v>209</v>
      </c>
      <c r="D458" s="69">
        <v>1</v>
      </c>
      <c r="E458" s="70">
        <v>3.3707486433000001E-5</v>
      </c>
    </row>
    <row r="459" spans="2:5" ht="15" customHeight="1">
      <c r="B459" s="92"/>
      <c r="C459" s="68" t="s">
        <v>233</v>
      </c>
      <c r="D459" s="69">
        <v>1</v>
      </c>
      <c r="E459" s="70">
        <v>3.3707486433000001E-5</v>
      </c>
    </row>
    <row r="460" spans="2:5" ht="15" customHeight="1">
      <c r="B460" s="92"/>
      <c r="C460" s="68" t="s">
        <v>214</v>
      </c>
      <c r="D460" s="69">
        <v>1</v>
      </c>
      <c r="E460" s="70">
        <v>3.3707486433000001E-5</v>
      </c>
    </row>
    <row r="461" spans="2:5" ht="15" customHeight="1">
      <c r="B461" s="92"/>
      <c r="C461" s="68" t="s">
        <v>215</v>
      </c>
      <c r="D461" s="69">
        <v>7</v>
      </c>
      <c r="E461" s="70">
        <v>2.35952405029E-4</v>
      </c>
    </row>
    <row r="462" spans="2:5" ht="15" customHeight="1">
      <c r="B462" s="92"/>
      <c r="C462" s="68" t="s">
        <v>217</v>
      </c>
      <c r="D462" s="69">
        <v>2</v>
      </c>
      <c r="E462" s="70">
        <v>6.7414972865000001E-5</v>
      </c>
    </row>
    <row r="463" spans="2:5" ht="15" customHeight="1">
      <c r="B463" s="92"/>
      <c r="C463" s="68" t="s">
        <v>219</v>
      </c>
      <c r="D463" s="69">
        <v>1</v>
      </c>
      <c r="E463" s="70">
        <v>3.3707486433000001E-5</v>
      </c>
    </row>
    <row r="464" spans="2:5" ht="15" customHeight="1">
      <c r="B464" s="92"/>
      <c r="C464" s="68" t="s">
        <v>247</v>
      </c>
      <c r="D464" s="69">
        <v>1</v>
      </c>
      <c r="E464" s="70">
        <v>3.3707486433000001E-5</v>
      </c>
    </row>
    <row r="465" spans="2:5" ht="15" customHeight="1">
      <c r="B465" s="93"/>
      <c r="C465" s="36" t="s">
        <v>29</v>
      </c>
      <c r="D465" s="35">
        <v>21</v>
      </c>
      <c r="E465" s="34">
        <v>7.0785721508699996E-4</v>
      </c>
    </row>
    <row r="466" spans="2:5" ht="15" customHeight="1">
      <c r="B466" s="91" t="s">
        <v>80</v>
      </c>
      <c r="C466" s="68" t="s">
        <v>195</v>
      </c>
      <c r="D466" s="69">
        <v>2</v>
      </c>
      <c r="E466" s="70">
        <v>6.7414972865000001E-5</v>
      </c>
    </row>
    <row r="467" spans="2:5" ht="15" customHeight="1">
      <c r="B467" s="92"/>
      <c r="C467" s="68" t="s">
        <v>196</v>
      </c>
      <c r="D467" s="69">
        <v>1</v>
      </c>
      <c r="E467" s="70">
        <v>3.3707486433000001E-5</v>
      </c>
    </row>
    <row r="468" spans="2:5" ht="15" customHeight="1">
      <c r="B468" s="92"/>
      <c r="C468" s="68" t="s">
        <v>197</v>
      </c>
      <c r="D468" s="69">
        <v>1</v>
      </c>
      <c r="E468" s="70">
        <v>3.3707486433000001E-5</v>
      </c>
    </row>
    <row r="469" spans="2:5" ht="15" customHeight="1">
      <c r="B469" s="92"/>
      <c r="C469" s="68" t="s">
        <v>198</v>
      </c>
      <c r="D469" s="69">
        <v>1</v>
      </c>
      <c r="E469" s="70">
        <v>3.3707486433000001E-5</v>
      </c>
    </row>
    <row r="470" spans="2:5" ht="15" customHeight="1">
      <c r="B470" s="92"/>
      <c r="C470" s="68" t="s">
        <v>200</v>
      </c>
      <c r="D470" s="69">
        <v>1</v>
      </c>
      <c r="E470" s="70">
        <v>3.3707486433000001E-5</v>
      </c>
    </row>
    <row r="471" spans="2:5" ht="15" customHeight="1">
      <c r="B471" s="92"/>
      <c r="C471" s="68" t="s">
        <v>201</v>
      </c>
      <c r="D471" s="69">
        <v>3</v>
      </c>
      <c r="E471" s="70">
        <v>1.0112245929799999E-4</v>
      </c>
    </row>
    <row r="472" spans="2:5" ht="15" customHeight="1">
      <c r="B472" s="92"/>
      <c r="C472" s="68" t="s">
        <v>202</v>
      </c>
      <c r="D472" s="69">
        <v>1</v>
      </c>
      <c r="E472" s="70">
        <v>3.3707486433000001E-5</v>
      </c>
    </row>
    <row r="473" spans="2:5" ht="15" customHeight="1">
      <c r="B473" s="92"/>
      <c r="C473" s="68" t="s">
        <v>203</v>
      </c>
      <c r="D473" s="69">
        <v>3</v>
      </c>
      <c r="E473" s="70">
        <v>1.0112245929799999E-4</v>
      </c>
    </row>
    <row r="474" spans="2:5" ht="15" customHeight="1">
      <c r="B474" s="92"/>
      <c r="C474" s="68" t="s">
        <v>205</v>
      </c>
      <c r="D474" s="69">
        <v>3</v>
      </c>
      <c r="E474" s="70">
        <v>1.0112245929799999E-4</v>
      </c>
    </row>
    <row r="475" spans="2:5" ht="15" customHeight="1">
      <c r="B475" s="92"/>
      <c r="C475" s="68" t="s">
        <v>206</v>
      </c>
      <c r="D475" s="69">
        <v>2</v>
      </c>
      <c r="E475" s="70">
        <v>6.7414972865000001E-5</v>
      </c>
    </row>
    <row r="476" spans="2:5" ht="15" customHeight="1">
      <c r="B476" s="92"/>
      <c r="C476" s="68" t="s">
        <v>208</v>
      </c>
      <c r="D476" s="69">
        <v>1</v>
      </c>
      <c r="E476" s="70">
        <v>3.3707486433000001E-5</v>
      </c>
    </row>
    <row r="477" spans="2:5" ht="15" customHeight="1">
      <c r="B477" s="92"/>
      <c r="C477" s="68" t="s">
        <v>209</v>
      </c>
      <c r="D477" s="69">
        <v>5</v>
      </c>
      <c r="E477" s="70">
        <v>1.68537432164E-4</v>
      </c>
    </row>
    <row r="478" spans="2:5" ht="15" customHeight="1">
      <c r="B478" s="92"/>
      <c r="C478" s="68" t="s">
        <v>211</v>
      </c>
      <c r="D478" s="69">
        <v>1</v>
      </c>
      <c r="E478" s="70">
        <v>3.3707486433000001E-5</v>
      </c>
    </row>
    <row r="479" spans="2:5" ht="15" customHeight="1">
      <c r="B479" s="92"/>
      <c r="C479" s="68" t="s">
        <v>213</v>
      </c>
      <c r="D479" s="69">
        <v>4</v>
      </c>
      <c r="E479" s="70">
        <v>1.3482994573099999E-4</v>
      </c>
    </row>
    <row r="480" spans="2:5" ht="15" customHeight="1">
      <c r="B480" s="92"/>
      <c r="C480" s="68" t="s">
        <v>214</v>
      </c>
      <c r="D480" s="69">
        <v>7</v>
      </c>
      <c r="E480" s="70">
        <v>2.35952405029E-4</v>
      </c>
    </row>
    <row r="481" spans="2:5" ht="15" customHeight="1">
      <c r="B481" s="92"/>
      <c r="C481" s="68" t="s">
        <v>57</v>
      </c>
      <c r="D481" s="69">
        <v>1</v>
      </c>
      <c r="E481" s="70">
        <v>3.3707486433000001E-5</v>
      </c>
    </row>
    <row r="482" spans="2:5" ht="15" customHeight="1">
      <c r="B482" s="92"/>
      <c r="C482" s="68" t="s">
        <v>234</v>
      </c>
      <c r="D482" s="69">
        <v>1</v>
      </c>
      <c r="E482" s="70">
        <v>3.3707486433000001E-5</v>
      </c>
    </row>
    <row r="483" spans="2:5" ht="15" customHeight="1">
      <c r="B483" s="92"/>
      <c r="C483" s="68" t="s">
        <v>215</v>
      </c>
      <c r="D483" s="69">
        <v>10</v>
      </c>
      <c r="E483" s="70">
        <v>3.3707486432699998E-4</v>
      </c>
    </row>
    <row r="484" spans="2:5" ht="15" customHeight="1">
      <c r="B484" s="92"/>
      <c r="C484" s="68" t="s">
        <v>235</v>
      </c>
      <c r="D484" s="69">
        <v>1</v>
      </c>
      <c r="E484" s="70">
        <v>3.3707486433000001E-5</v>
      </c>
    </row>
    <row r="485" spans="2:5" ht="15" customHeight="1">
      <c r="B485" s="92"/>
      <c r="C485" s="68" t="s">
        <v>244</v>
      </c>
      <c r="D485" s="69">
        <v>2</v>
      </c>
      <c r="E485" s="70">
        <v>6.7414972865000001E-5</v>
      </c>
    </row>
    <row r="486" spans="2:5" ht="15" customHeight="1">
      <c r="B486" s="92"/>
      <c r="C486" s="68" t="s">
        <v>218</v>
      </c>
      <c r="D486" s="69">
        <v>1</v>
      </c>
      <c r="E486" s="70">
        <v>3.3707486433000001E-5</v>
      </c>
    </row>
    <row r="487" spans="2:5" ht="15" customHeight="1">
      <c r="B487" s="92"/>
      <c r="C487" s="68" t="s">
        <v>220</v>
      </c>
      <c r="D487" s="69">
        <v>3</v>
      </c>
      <c r="E487" s="70">
        <v>1.0112245929799999E-4</v>
      </c>
    </row>
    <row r="488" spans="2:5" ht="15" customHeight="1">
      <c r="B488" s="92"/>
      <c r="C488" s="68" t="s">
        <v>221</v>
      </c>
      <c r="D488" s="69">
        <v>11</v>
      </c>
      <c r="E488" s="70">
        <v>3.7078235075999999E-4</v>
      </c>
    </row>
    <row r="489" spans="2:5" ht="15" customHeight="1">
      <c r="B489" s="92"/>
      <c r="C489" s="68" t="s">
        <v>222</v>
      </c>
      <c r="D489" s="69">
        <v>2</v>
      </c>
      <c r="E489" s="70">
        <v>6.7414972865000001E-5</v>
      </c>
    </row>
    <row r="490" spans="2:5" ht="15" customHeight="1">
      <c r="B490" s="92"/>
      <c r="C490" s="68" t="s">
        <v>241</v>
      </c>
      <c r="D490" s="69">
        <v>1</v>
      </c>
      <c r="E490" s="70">
        <v>3.3707486433000001E-5</v>
      </c>
    </row>
    <row r="491" spans="2:5" ht="15" customHeight="1">
      <c r="B491" s="92"/>
      <c r="C491" s="68" t="s">
        <v>229</v>
      </c>
      <c r="D491" s="69">
        <v>1</v>
      </c>
      <c r="E491" s="70">
        <v>3.3707486433000001E-5</v>
      </c>
    </row>
    <row r="492" spans="2:5" ht="15" customHeight="1">
      <c r="B492" s="93"/>
      <c r="C492" s="36" t="s">
        <v>29</v>
      </c>
      <c r="D492" s="35">
        <v>70</v>
      </c>
      <c r="E492" s="34">
        <v>2.3595240502920002E-3</v>
      </c>
    </row>
    <row r="493" spans="2:5" ht="15" customHeight="1">
      <c r="B493" s="91" t="s">
        <v>78</v>
      </c>
      <c r="C493" s="68" t="s">
        <v>195</v>
      </c>
      <c r="D493" s="69">
        <v>1</v>
      </c>
      <c r="E493" s="70">
        <v>3.3707486433000001E-5</v>
      </c>
    </row>
    <row r="494" spans="2:5" ht="15" customHeight="1">
      <c r="B494" s="92"/>
      <c r="C494" s="68" t="s">
        <v>198</v>
      </c>
      <c r="D494" s="69">
        <v>2</v>
      </c>
      <c r="E494" s="70">
        <v>6.7414972865000001E-5</v>
      </c>
    </row>
    <row r="495" spans="2:5" ht="15" customHeight="1">
      <c r="B495" s="92"/>
      <c r="C495" s="68" t="s">
        <v>199</v>
      </c>
      <c r="D495" s="69">
        <v>4</v>
      </c>
      <c r="E495" s="70">
        <v>1.3482994573099999E-4</v>
      </c>
    </row>
    <row r="496" spans="2:5" ht="15" customHeight="1">
      <c r="B496" s="92"/>
      <c r="C496" s="68" t="s">
        <v>200</v>
      </c>
      <c r="D496" s="69">
        <v>10</v>
      </c>
      <c r="E496" s="70">
        <v>3.3707486432699998E-4</v>
      </c>
    </row>
    <row r="497" spans="2:5" ht="15" customHeight="1">
      <c r="B497" s="92"/>
      <c r="C497" s="68" t="s">
        <v>202</v>
      </c>
      <c r="D497" s="69">
        <v>2</v>
      </c>
      <c r="E497" s="70">
        <v>6.7414972865000001E-5</v>
      </c>
    </row>
    <row r="498" spans="2:5" ht="15" customHeight="1">
      <c r="B498" s="92"/>
      <c r="C498" s="68" t="s">
        <v>203</v>
      </c>
      <c r="D498" s="69">
        <v>2</v>
      </c>
      <c r="E498" s="70">
        <v>6.7414972865000001E-5</v>
      </c>
    </row>
    <row r="499" spans="2:5" ht="15" customHeight="1">
      <c r="B499" s="92"/>
      <c r="C499" s="68" t="s">
        <v>249</v>
      </c>
      <c r="D499" s="69">
        <v>1</v>
      </c>
      <c r="E499" s="70">
        <v>3.3707486433000001E-5</v>
      </c>
    </row>
    <row r="500" spans="2:5" ht="15" customHeight="1">
      <c r="B500" s="92"/>
      <c r="C500" s="68" t="s">
        <v>204</v>
      </c>
      <c r="D500" s="69">
        <v>2</v>
      </c>
      <c r="E500" s="70">
        <v>6.7414972865000001E-5</v>
      </c>
    </row>
    <row r="501" spans="2:5" ht="15" customHeight="1">
      <c r="B501" s="92"/>
      <c r="C501" s="68" t="s">
        <v>205</v>
      </c>
      <c r="D501" s="69">
        <v>1</v>
      </c>
      <c r="E501" s="70">
        <v>3.3707486433000001E-5</v>
      </c>
    </row>
    <row r="502" spans="2:5" ht="15" customHeight="1">
      <c r="B502" s="92"/>
      <c r="C502" s="68" t="s">
        <v>209</v>
      </c>
      <c r="D502" s="69">
        <v>7</v>
      </c>
      <c r="E502" s="70">
        <v>2.35952405029E-4</v>
      </c>
    </row>
    <row r="503" spans="2:5" ht="15" customHeight="1">
      <c r="B503" s="92"/>
      <c r="C503" s="68" t="s">
        <v>232</v>
      </c>
      <c r="D503" s="69">
        <v>3</v>
      </c>
      <c r="E503" s="70">
        <v>1.0112245929799999E-4</v>
      </c>
    </row>
    <row r="504" spans="2:5" ht="15" customHeight="1">
      <c r="B504" s="92"/>
      <c r="C504" s="68" t="s">
        <v>213</v>
      </c>
      <c r="D504" s="69">
        <v>7</v>
      </c>
      <c r="E504" s="70">
        <v>2.35952405029E-4</v>
      </c>
    </row>
    <row r="505" spans="2:5" ht="15" customHeight="1">
      <c r="B505" s="92"/>
      <c r="C505" s="68" t="s">
        <v>214</v>
      </c>
      <c r="D505" s="69">
        <v>2</v>
      </c>
      <c r="E505" s="70">
        <v>6.7414972865000001E-5</v>
      </c>
    </row>
    <row r="506" spans="2:5" ht="15" customHeight="1">
      <c r="B506" s="92"/>
      <c r="C506" s="68" t="s">
        <v>234</v>
      </c>
      <c r="D506" s="69">
        <v>5</v>
      </c>
      <c r="E506" s="70">
        <v>1.68537432164E-4</v>
      </c>
    </row>
    <row r="507" spans="2:5" ht="15" customHeight="1">
      <c r="B507" s="92"/>
      <c r="C507" s="68" t="s">
        <v>215</v>
      </c>
      <c r="D507" s="69">
        <v>17</v>
      </c>
      <c r="E507" s="70">
        <v>5.7302726935699996E-4</v>
      </c>
    </row>
    <row r="508" spans="2:5" ht="15" customHeight="1">
      <c r="B508" s="92"/>
      <c r="C508" s="68" t="s">
        <v>244</v>
      </c>
      <c r="D508" s="69">
        <v>3</v>
      </c>
      <c r="E508" s="70">
        <v>1.0112245929799999E-4</v>
      </c>
    </row>
    <row r="509" spans="2:5" ht="15" customHeight="1">
      <c r="B509" s="92"/>
      <c r="C509" s="68" t="s">
        <v>218</v>
      </c>
      <c r="D509" s="69">
        <v>2</v>
      </c>
      <c r="E509" s="70">
        <v>6.7414972865000001E-5</v>
      </c>
    </row>
    <row r="510" spans="2:5" ht="15" customHeight="1">
      <c r="B510" s="92"/>
      <c r="C510" s="68" t="s">
        <v>219</v>
      </c>
      <c r="D510" s="69">
        <v>9</v>
      </c>
      <c r="E510" s="70">
        <v>3.0336737789499998E-4</v>
      </c>
    </row>
    <row r="511" spans="2:5" ht="15" customHeight="1">
      <c r="B511" s="92"/>
      <c r="C511" s="68" t="s">
        <v>236</v>
      </c>
      <c r="D511" s="69">
        <v>1</v>
      </c>
      <c r="E511" s="70">
        <v>3.3707486433000001E-5</v>
      </c>
    </row>
    <row r="512" spans="2:5" ht="15" customHeight="1">
      <c r="B512" s="92"/>
      <c r="C512" s="68" t="s">
        <v>220</v>
      </c>
      <c r="D512" s="69">
        <v>1</v>
      </c>
      <c r="E512" s="70">
        <v>3.3707486433000001E-5</v>
      </c>
    </row>
    <row r="513" spans="2:5" ht="15" customHeight="1">
      <c r="B513" s="92"/>
      <c r="C513" s="68" t="s">
        <v>221</v>
      </c>
      <c r="D513" s="69">
        <v>2</v>
      </c>
      <c r="E513" s="70">
        <v>6.7414972865000001E-5</v>
      </c>
    </row>
    <row r="514" spans="2:5" ht="15" customHeight="1">
      <c r="B514" s="92"/>
      <c r="C514" s="68" t="s">
        <v>223</v>
      </c>
      <c r="D514" s="69">
        <v>1</v>
      </c>
      <c r="E514" s="70">
        <v>3.3707486433000001E-5</v>
      </c>
    </row>
    <row r="515" spans="2:5" ht="15" customHeight="1">
      <c r="B515" s="92"/>
      <c r="C515" s="68" t="s">
        <v>251</v>
      </c>
      <c r="D515" s="69">
        <v>2</v>
      </c>
      <c r="E515" s="70">
        <v>6.7414972865000001E-5</v>
      </c>
    </row>
    <row r="516" spans="2:5" ht="15" customHeight="1">
      <c r="B516" s="92"/>
      <c r="C516" s="68" t="s">
        <v>241</v>
      </c>
      <c r="D516" s="69">
        <v>1</v>
      </c>
      <c r="E516" s="70">
        <v>3.3707486433000001E-5</v>
      </c>
    </row>
    <row r="517" spans="2:5" ht="15" customHeight="1">
      <c r="B517" s="92"/>
      <c r="C517" s="68" t="s">
        <v>226</v>
      </c>
      <c r="D517" s="69">
        <v>8</v>
      </c>
      <c r="E517" s="70">
        <v>2.6965989146199998E-4</v>
      </c>
    </row>
    <row r="518" spans="2:5" ht="15" customHeight="1">
      <c r="B518" s="92"/>
      <c r="C518" s="68" t="s">
        <v>228</v>
      </c>
      <c r="D518" s="69">
        <v>1</v>
      </c>
      <c r="E518" s="70">
        <v>3.3707486433000001E-5</v>
      </c>
    </row>
    <row r="519" spans="2:5" ht="15" customHeight="1">
      <c r="B519" s="92"/>
      <c r="C519" s="68" t="s">
        <v>247</v>
      </c>
      <c r="D519" s="69">
        <v>1</v>
      </c>
      <c r="E519" s="70">
        <v>3.3707486433000001E-5</v>
      </c>
    </row>
    <row r="520" spans="2:5" ht="15" customHeight="1">
      <c r="B520" s="92"/>
      <c r="C520" s="68" t="s">
        <v>229</v>
      </c>
      <c r="D520" s="69">
        <v>2</v>
      </c>
      <c r="E520" s="70">
        <v>6.7414972865000001E-5</v>
      </c>
    </row>
    <row r="521" spans="2:5" ht="15" customHeight="1">
      <c r="B521" s="92"/>
      <c r="C521" s="68" t="s">
        <v>230</v>
      </c>
      <c r="D521" s="69">
        <v>9</v>
      </c>
      <c r="E521" s="70">
        <v>3.0336737789499998E-4</v>
      </c>
    </row>
    <row r="522" spans="2:5" ht="15" customHeight="1">
      <c r="B522" s="93"/>
      <c r="C522" s="36" t="s">
        <v>29</v>
      </c>
      <c r="D522" s="35">
        <v>109</v>
      </c>
      <c r="E522" s="34">
        <v>3.6741160211679999E-3</v>
      </c>
    </row>
    <row r="523" spans="2:5" ht="15" customHeight="1">
      <c r="B523" s="91" t="s">
        <v>51</v>
      </c>
      <c r="C523" s="68" t="s">
        <v>195</v>
      </c>
      <c r="D523" s="69">
        <v>68</v>
      </c>
      <c r="E523" s="70">
        <v>2.2921090774260001E-3</v>
      </c>
    </row>
    <row r="524" spans="2:5" ht="15" customHeight="1">
      <c r="B524" s="92"/>
      <c r="C524" s="68" t="s">
        <v>196</v>
      </c>
      <c r="D524" s="69">
        <v>92</v>
      </c>
      <c r="E524" s="70">
        <v>3.1010887518119999E-3</v>
      </c>
    </row>
    <row r="525" spans="2:5" ht="15" customHeight="1">
      <c r="B525" s="92"/>
      <c r="C525" s="68" t="s">
        <v>197</v>
      </c>
      <c r="D525" s="69">
        <v>45</v>
      </c>
      <c r="E525" s="70">
        <v>1.516836889473E-3</v>
      </c>
    </row>
    <row r="526" spans="2:5" ht="15" customHeight="1">
      <c r="B526" s="92"/>
      <c r="C526" s="68" t="s">
        <v>231</v>
      </c>
      <c r="D526" s="69">
        <v>14</v>
      </c>
      <c r="E526" s="70">
        <v>4.7190481005799999E-4</v>
      </c>
    </row>
    <row r="527" spans="2:5" ht="15" customHeight="1">
      <c r="B527" s="92"/>
      <c r="C527" s="68" t="s">
        <v>198</v>
      </c>
      <c r="D527" s="69">
        <v>11</v>
      </c>
      <c r="E527" s="70">
        <v>3.7078235075999999E-4</v>
      </c>
    </row>
    <row r="528" spans="2:5" ht="15" customHeight="1">
      <c r="B528" s="92"/>
      <c r="C528" s="68" t="s">
        <v>248</v>
      </c>
      <c r="D528" s="69">
        <v>26</v>
      </c>
      <c r="E528" s="70">
        <v>8.7639464725100004E-4</v>
      </c>
    </row>
    <row r="529" spans="2:5" ht="15" customHeight="1">
      <c r="B529" s="92"/>
      <c r="C529" s="68" t="s">
        <v>242</v>
      </c>
      <c r="D529" s="69">
        <v>82</v>
      </c>
      <c r="E529" s="70">
        <v>2.764013887484E-3</v>
      </c>
    </row>
    <row r="530" spans="2:5" ht="15" customHeight="1">
      <c r="B530" s="92"/>
      <c r="C530" s="68" t="s">
        <v>199</v>
      </c>
      <c r="D530" s="69">
        <v>391</v>
      </c>
      <c r="E530" s="70">
        <v>1.31796271952E-2</v>
      </c>
    </row>
    <row r="531" spans="2:5" ht="15" customHeight="1">
      <c r="B531" s="92"/>
      <c r="C531" s="68" t="s">
        <v>252</v>
      </c>
      <c r="D531" s="69">
        <v>1</v>
      </c>
      <c r="E531" s="70">
        <v>3.3707486433000001E-5</v>
      </c>
    </row>
    <row r="532" spans="2:5" ht="15" customHeight="1">
      <c r="B532" s="92"/>
      <c r="C532" s="68" t="s">
        <v>200</v>
      </c>
      <c r="D532" s="69">
        <v>117</v>
      </c>
      <c r="E532" s="70">
        <v>3.9437759126300003E-3</v>
      </c>
    </row>
    <row r="533" spans="2:5" ht="15" customHeight="1">
      <c r="B533" s="92"/>
      <c r="C533" s="68" t="s">
        <v>201</v>
      </c>
      <c r="D533" s="69">
        <v>247</v>
      </c>
      <c r="E533" s="70">
        <v>8.3257491488859994E-3</v>
      </c>
    </row>
    <row r="534" spans="2:5" ht="15" customHeight="1">
      <c r="B534" s="92"/>
      <c r="C534" s="68" t="s">
        <v>202</v>
      </c>
      <c r="D534" s="69">
        <v>230</v>
      </c>
      <c r="E534" s="70">
        <v>7.7527218795289997E-3</v>
      </c>
    </row>
    <row r="535" spans="2:5" ht="15" customHeight="1">
      <c r="B535" s="92"/>
      <c r="C535" s="68" t="s">
        <v>203</v>
      </c>
      <c r="D535" s="69">
        <v>285</v>
      </c>
      <c r="E535" s="70">
        <v>9.6066336333299994E-3</v>
      </c>
    </row>
    <row r="536" spans="2:5" ht="15" customHeight="1">
      <c r="B536" s="92"/>
      <c r="C536" s="68" t="s">
        <v>253</v>
      </c>
      <c r="D536" s="69">
        <v>1</v>
      </c>
      <c r="E536" s="70">
        <v>3.3707486433000001E-5</v>
      </c>
    </row>
    <row r="537" spans="2:5" ht="15" customHeight="1">
      <c r="B537" s="92"/>
      <c r="C537" s="68" t="s">
        <v>249</v>
      </c>
      <c r="D537" s="69">
        <v>11</v>
      </c>
      <c r="E537" s="70">
        <v>3.7078235075999999E-4</v>
      </c>
    </row>
    <row r="538" spans="2:5" ht="15" customHeight="1">
      <c r="B538" s="92"/>
      <c r="C538" s="68" t="s">
        <v>204</v>
      </c>
      <c r="D538" s="69">
        <v>185</v>
      </c>
      <c r="E538" s="70">
        <v>6.2358849900560004E-3</v>
      </c>
    </row>
    <row r="539" spans="2:5" ht="15" customHeight="1">
      <c r="B539" s="92"/>
      <c r="C539" s="68" t="s">
        <v>205</v>
      </c>
      <c r="D539" s="69">
        <v>116</v>
      </c>
      <c r="E539" s="70">
        <v>3.9100684261969996E-3</v>
      </c>
    </row>
    <row r="540" spans="2:5" ht="15" customHeight="1">
      <c r="B540" s="92"/>
      <c r="C540" s="68" t="s">
        <v>243</v>
      </c>
      <c r="D540" s="69">
        <v>12</v>
      </c>
      <c r="E540" s="70">
        <v>4.0448983719299999E-4</v>
      </c>
    </row>
    <row r="541" spans="2:5" ht="15" customHeight="1">
      <c r="B541" s="92"/>
      <c r="C541" s="68" t="s">
        <v>206</v>
      </c>
      <c r="D541" s="69">
        <v>165</v>
      </c>
      <c r="E541" s="70">
        <v>5.5617352614019998E-3</v>
      </c>
    </row>
    <row r="542" spans="2:5" ht="15" customHeight="1">
      <c r="B542" s="92"/>
      <c r="C542" s="68" t="s">
        <v>207</v>
      </c>
      <c r="D542" s="69">
        <v>8</v>
      </c>
      <c r="E542" s="70">
        <v>2.6965989146199998E-4</v>
      </c>
    </row>
    <row r="543" spans="2:5" ht="15" customHeight="1">
      <c r="B543" s="92"/>
      <c r="C543" s="68" t="s">
        <v>208</v>
      </c>
      <c r="D543" s="69">
        <v>75</v>
      </c>
      <c r="E543" s="70">
        <v>2.5280614824549998E-3</v>
      </c>
    </row>
    <row r="544" spans="2:5" ht="15" customHeight="1">
      <c r="B544" s="92"/>
      <c r="C544" s="68" t="s">
        <v>209</v>
      </c>
      <c r="D544" s="69">
        <v>701</v>
      </c>
      <c r="E544" s="70">
        <v>2.3628947989348E-2</v>
      </c>
    </row>
    <row r="545" spans="2:5" ht="15" customHeight="1">
      <c r="B545" s="92"/>
      <c r="C545" s="68" t="s">
        <v>232</v>
      </c>
      <c r="D545" s="69">
        <v>221</v>
      </c>
      <c r="E545" s="70">
        <v>7.4493545016350001E-3</v>
      </c>
    </row>
    <row r="546" spans="2:5" ht="15" customHeight="1">
      <c r="B546" s="92"/>
      <c r="C546" s="68" t="s">
        <v>211</v>
      </c>
      <c r="D546" s="69">
        <v>137</v>
      </c>
      <c r="E546" s="70">
        <v>4.6179256412850001E-3</v>
      </c>
    </row>
    <row r="547" spans="2:5" ht="15" customHeight="1">
      <c r="B547" s="92"/>
      <c r="C547" s="68" t="s">
        <v>233</v>
      </c>
      <c r="D547" s="69">
        <v>16</v>
      </c>
      <c r="E547" s="70">
        <v>5.3931978292399995E-4</v>
      </c>
    </row>
    <row r="548" spans="2:5" ht="15" customHeight="1">
      <c r="B548" s="92"/>
      <c r="C548" s="68" t="s">
        <v>212</v>
      </c>
      <c r="D548" s="69">
        <v>205</v>
      </c>
      <c r="E548" s="70">
        <v>6.9100347187110002E-3</v>
      </c>
    </row>
    <row r="549" spans="2:5" ht="15" customHeight="1">
      <c r="B549" s="92"/>
      <c r="C549" s="68" t="s">
        <v>213</v>
      </c>
      <c r="D549" s="69">
        <v>843</v>
      </c>
      <c r="E549" s="70">
        <v>2.8415411062796998E-2</v>
      </c>
    </row>
    <row r="550" spans="2:5" ht="15" customHeight="1">
      <c r="B550" s="92"/>
      <c r="C550" s="68" t="s">
        <v>214</v>
      </c>
      <c r="D550" s="69">
        <v>40</v>
      </c>
      <c r="E550" s="70">
        <v>1.348299457309E-3</v>
      </c>
    </row>
    <row r="551" spans="2:5" ht="15" customHeight="1">
      <c r="B551" s="92"/>
      <c r="C551" s="68" t="s">
        <v>57</v>
      </c>
      <c r="D551" s="69">
        <v>8</v>
      </c>
      <c r="E551" s="70">
        <v>2.6965989146199998E-4</v>
      </c>
    </row>
    <row r="552" spans="2:5" ht="15" customHeight="1">
      <c r="B552" s="92"/>
      <c r="C552" s="68" t="s">
        <v>234</v>
      </c>
      <c r="D552" s="69">
        <v>143</v>
      </c>
      <c r="E552" s="70">
        <v>4.8201705598810004E-3</v>
      </c>
    </row>
    <row r="553" spans="2:5" ht="15" customHeight="1">
      <c r="B553" s="92"/>
      <c r="C553" s="68" t="s">
        <v>215</v>
      </c>
      <c r="D553" s="69">
        <v>1181</v>
      </c>
      <c r="E553" s="70">
        <v>3.9808541477061997E-2</v>
      </c>
    </row>
    <row r="554" spans="2:5" ht="15" customHeight="1">
      <c r="B554" s="92"/>
      <c r="C554" s="68" t="s">
        <v>235</v>
      </c>
      <c r="D554" s="69">
        <v>11</v>
      </c>
      <c r="E554" s="70">
        <v>3.7078235075999999E-4</v>
      </c>
    </row>
    <row r="555" spans="2:5" ht="15" customHeight="1">
      <c r="B555" s="92"/>
      <c r="C555" s="68" t="s">
        <v>244</v>
      </c>
      <c r="D555" s="69">
        <v>123</v>
      </c>
      <c r="E555" s="70">
        <v>4.1460208312269998E-3</v>
      </c>
    </row>
    <row r="556" spans="2:5" ht="15" customHeight="1">
      <c r="B556" s="92"/>
      <c r="C556" s="68" t="s">
        <v>216</v>
      </c>
      <c r="D556" s="69">
        <v>17</v>
      </c>
      <c r="E556" s="70">
        <v>5.7302726935699996E-4</v>
      </c>
    </row>
    <row r="557" spans="2:5" ht="15" customHeight="1">
      <c r="B557" s="92"/>
      <c r="C557" s="68" t="s">
        <v>217</v>
      </c>
      <c r="D557" s="69">
        <v>49</v>
      </c>
      <c r="E557" s="70">
        <v>1.6516668352039999E-3</v>
      </c>
    </row>
    <row r="558" spans="2:5" ht="15" customHeight="1">
      <c r="B558" s="92"/>
      <c r="C558" s="68" t="s">
        <v>218</v>
      </c>
      <c r="D558" s="69">
        <v>173</v>
      </c>
      <c r="E558" s="70">
        <v>5.8313951528629997E-3</v>
      </c>
    </row>
    <row r="559" spans="2:5" ht="15" customHeight="1">
      <c r="B559" s="92"/>
      <c r="C559" s="68" t="s">
        <v>219</v>
      </c>
      <c r="D559" s="69">
        <v>13</v>
      </c>
      <c r="E559" s="70">
        <v>4.38197323626E-4</v>
      </c>
    </row>
    <row r="560" spans="2:5" ht="15" customHeight="1">
      <c r="B560" s="92"/>
      <c r="C560" s="68" t="s">
        <v>236</v>
      </c>
      <c r="D560" s="69">
        <v>98</v>
      </c>
      <c r="E560" s="70">
        <v>3.3033336704079998E-3</v>
      </c>
    </row>
    <row r="561" spans="2:5" ht="15" customHeight="1">
      <c r="B561" s="92"/>
      <c r="C561" s="68" t="s">
        <v>220</v>
      </c>
      <c r="D561" s="69">
        <v>166</v>
      </c>
      <c r="E561" s="70">
        <v>5.5954427478340004E-3</v>
      </c>
    </row>
    <row r="562" spans="2:5" ht="15" customHeight="1">
      <c r="B562" s="92"/>
      <c r="C562" s="68" t="s">
        <v>221</v>
      </c>
      <c r="D562" s="69">
        <v>55</v>
      </c>
      <c r="E562" s="70">
        <v>1.8539117538010001E-3</v>
      </c>
    </row>
    <row r="563" spans="2:5" ht="15" customHeight="1">
      <c r="B563" s="92"/>
      <c r="C563" s="68" t="s">
        <v>237</v>
      </c>
      <c r="D563" s="69">
        <v>3</v>
      </c>
      <c r="E563" s="70">
        <v>1.0112245929799999E-4</v>
      </c>
    </row>
    <row r="564" spans="2:5" ht="15" customHeight="1">
      <c r="B564" s="92"/>
      <c r="C564" s="68" t="s">
        <v>245</v>
      </c>
      <c r="D564" s="69">
        <v>6</v>
      </c>
      <c r="E564" s="70">
        <v>2.0224491859599999E-4</v>
      </c>
    </row>
    <row r="565" spans="2:5" ht="15" customHeight="1">
      <c r="B565" s="92"/>
      <c r="C565" s="68" t="s">
        <v>222</v>
      </c>
      <c r="D565" s="69">
        <v>64</v>
      </c>
      <c r="E565" s="70">
        <v>2.1572791316950002E-3</v>
      </c>
    </row>
    <row r="566" spans="2:5" ht="15" customHeight="1">
      <c r="B566" s="92"/>
      <c r="C566" s="68" t="s">
        <v>223</v>
      </c>
      <c r="D566" s="69">
        <v>6</v>
      </c>
      <c r="E566" s="70">
        <v>2.0224491859599999E-4</v>
      </c>
    </row>
    <row r="567" spans="2:5" ht="15" customHeight="1">
      <c r="B567" s="92"/>
      <c r="C567" s="68" t="s">
        <v>250</v>
      </c>
      <c r="D567" s="69">
        <v>6</v>
      </c>
      <c r="E567" s="70">
        <v>2.0224491859599999E-4</v>
      </c>
    </row>
    <row r="568" spans="2:5" ht="15" customHeight="1">
      <c r="B568" s="92"/>
      <c r="C568" s="68" t="s">
        <v>224</v>
      </c>
      <c r="D568" s="69">
        <v>9</v>
      </c>
      <c r="E568" s="70">
        <v>3.0336737789499998E-4</v>
      </c>
    </row>
    <row r="569" spans="2:5" ht="15" customHeight="1">
      <c r="B569" s="92"/>
      <c r="C569" s="68" t="s">
        <v>225</v>
      </c>
      <c r="D569" s="69">
        <v>94</v>
      </c>
      <c r="E569" s="70">
        <v>3.1685037246769999E-3</v>
      </c>
    </row>
    <row r="570" spans="2:5" ht="15" customHeight="1">
      <c r="B570" s="92"/>
      <c r="C570" s="68" t="s">
        <v>251</v>
      </c>
      <c r="D570" s="69">
        <v>15</v>
      </c>
      <c r="E570" s="70">
        <v>5.0561229649099995E-4</v>
      </c>
    </row>
    <row r="571" spans="2:5" ht="15" customHeight="1">
      <c r="B571" s="92"/>
      <c r="C571" s="68" t="s">
        <v>238</v>
      </c>
      <c r="D571" s="69">
        <v>135</v>
      </c>
      <c r="E571" s="70">
        <v>4.5505106684189996E-3</v>
      </c>
    </row>
    <row r="572" spans="2:5" ht="15" customHeight="1">
      <c r="B572" s="92"/>
      <c r="C572" s="68" t="s">
        <v>239</v>
      </c>
      <c r="D572" s="69">
        <v>22</v>
      </c>
      <c r="E572" s="70">
        <v>7.4156470151999997E-4</v>
      </c>
    </row>
    <row r="573" spans="2:5" ht="15" customHeight="1">
      <c r="B573" s="92"/>
      <c r="C573" s="68" t="s">
        <v>240</v>
      </c>
      <c r="D573" s="69">
        <v>27</v>
      </c>
      <c r="E573" s="70">
        <v>9.1010213368400005E-4</v>
      </c>
    </row>
    <row r="574" spans="2:5" ht="15" customHeight="1">
      <c r="B574" s="92"/>
      <c r="C574" s="68" t="s">
        <v>241</v>
      </c>
      <c r="D574" s="69">
        <v>180</v>
      </c>
      <c r="E574" s="70">
        <v>6.0673475578929999E-3</v>
      </c>
    </row>
    <row r="575" spans="2:5" ht="15" customHeight="1">
      <c r="B575" s="92"/>
      <c r="C575" s="68" t="s">
        <v>246</v>
      </c>
      <c r="D575" s="69">
        <v>27</v>
      </c>
      <c r="E575" s="70">
        <v>9.1010213368400005E-4</v>
      </c>
    </row>
    <row r="576" spans="2:5" ht="15" customHeight="1">
      <c r="B576" s="92"/>
      <c r="C576" s="68" t="s">
        <v>226</v>
      </c>
      <c r="D576" s="69">
        <v>76</v>
      </c>
      <c r="E576" s="70">
        <v>2.5617689688880001E-3</v>
      </c>
    </row>
    <row r="577" spans="2:5" ht="15" customHeight="1">
      <c r="B577" s="92"/>
      <c r="C577" s="68" t="s">
        <v>227</v>
      </c>
      <c r="D577" s="69">
        <v>76</v>
      </c>
      <c r="E577" s="70">
        <v>2.5617689688880001E-3</v>
      </c>
    </row>
    <row r="578" spans="2:5" ht="15" customHeight="1">
      <c r="B578" s="92"/>
      <c r="C578" s="68" t="s">
        <v>228</v>
      </c>
      <c r="D578" s="69">
        <v>33</v>
      </c>
      <c r="E578" s="70">
        <v>1.1123470522800001E-3</v>
      </c>
    </row>
    <row r="579" spans="2:5" ht="15" customHeight="1">
      <c r="B579" s="92"/>
      <c r="C579" s="68" t="s">
        <v>247</v>
      </c>
      <c r="D579" s="69">
        <v>96</v>
      </c>
      <c r="E579" s="70">
        <v>3.2359186975429999E-3</v>
      </c>
    </row>
    <row r="580" spans="2:5" ht="15" customHeight="1">
      <c r="B580" s="92"/>
      <c r="C580" s="68" t="s">
        <v>229</v>
      </c>
      <c r="D580" s="69">
        <v>136</v>
      </c>
      <c r="E580" s="70">
        <v>4.5842181548520003E-3</v>
      </c>
    </row>
    <row r="581" spans="2:5" ht="15" customHeight="1">
      <c r="B581" s="92"/>
      <c r="C581" s="68" t="s">
        <v>230</v>
      </c>
      <c r="D581" s="69">
        <v>36</v>
      </c>
      <c r="E581" s="70">
        <v>1.2134695115790001E-3</v>
      </c>
    </row>
    <row r="582" spans="2:5" ht="15" customHeight="1">
      <c r="B582" s="93"/>
      <c r="C582" s="36" t="s">
        <v>29</v>
      </c>
      <c r="D582" s="35">
        <v>7429</v>
      </c>
      <c r="E582" s="34">
        <v>0.250412916708801</v>
      </c>
    </row>
    <row r="583" spans="2:5" ht="15" customHeight="1">
      <c r="B583" s="91" t="s">
        <v>64</v>
      </c>
      <c r="C583" s="68" t="s">
        <v>195</v>
      </c>
      <c r="D583" s="69">
        <v>3</v>
      </c>
      <c r="E583" s="70">
        <v>1.0112245929799999E-4</v>
      </c>
    </row>
    <row r="584" spans="2:5" ht="15" customHeight="1">
      <c r="B584" s="92"/>
      <c r="C584" s="68" t="s">
        <v>196</v>
      </c>
      <c r="D584" s="69">
        <v>2</v>
      </c>
      <c r="E584" s="70">
        <v>6.7414972865000001E-5</v>
      </c>
    </row>
    <row r="585" spans="2:5" ht="15" customHeight="1">
      <c r="B585" s="92"/>
      <c r="C585" s="68" t="s">
        <v>197</v>
      </c>
      <c r="D585" s="69">
        <v>1</v>
      </c>
      <c r="E585" s="70">
        <v>3.3707486433000001E-5</v>
      </c>
    </row>
    <row r="586" spans="2:5" ht="15" customHeight="1">
      <c r="B586" s="92"/>
      <c r="C586" s="68" t="s">
        <v>198</v>
      </c>
      <c r="D586" s="69">
        <v>1</v>
      </c>
      <c r="E586" s="70">
        <v>3.3707486433000001E-5</v>
      </c>
    </row>
    <row r="587" spans="2:5" ht="15" customHeight="1">
      <c r="B587" s="92"/>
      <c r="C587" s="68" t="s">
        <v>248</v>
      </c>
      <c r="D587" s="69">
        <v>5</v>
      </c>
      <c r="E587" s="70">
        <v>1.68537432164E-4</v>
      </c>
    </row>
    <row r="588" spans="2:5" ht="15" customHeight="1">
      <c r="B588" s="92"/>
      <c r="C588" s="68" t="s">
        <v>242</v>
      </c>
      <c r="D588" s="69">
        <v>1</v>
      </c>
      <c r="E588" s="70">
        <v>3.3707486433000001E-5</v>
      </c>
    </row>
    <row r="589" spans="2:5" ht="15" customHeight="1">
      <c r="B589" s="92"/>
      <c r="C589" s="68" t="s">
        <v>252</v>
      </c>
      <c r="D589" s="69">
        <v>1</v>
      </c>
      <c r="E589" s="70">
        <v>3.3707486433000001E-5</v>
      </c>
    </row>
    <row r="590" spans="2:5" ht="15" customHeight="1">
      <c r="B590" s="92"/>
      <c r="C590" s="68" t="s">
        <v>200</v>
      </c>
      <c r="D590" s="69">
        <v>5</v>
      </c>
      <c r="E590" s="70">
        <v>1.68537432164E-4</v>
      </c>
    </row>
    <row r="591" spans="2:5" ht="15" customHeight="1">
      <c r="B591" s="92"/>
      <c r="C591" s="68" t="s">
        <v>201</v>
      </c>
      <c r="D591" s="69">
        <v>5</v>
      </c>
      <c r="E591" s="70">
        <v>1.68537432164E-4</v>
      </c>
    </row>
    <row r="592" spans="2:5" ht="15" customHeight="1">
      <c r="B592" s="92"/>
      <c r="C592" s="68" t="s">
        <v>202</v>
      </c>
      <c r="D592" s="69">
        <v>2</v>
      </c>
      <c r="E592" s="70">
        <v>6.7414972865000001E-5</v>
      </c>
    </row>
    <row r="593" spans="2:5" ht="15" customHeight="1">
      <c r="B593" s="92"/>
      <c r="C593" s="68" t="s">
        <v>203</v>
      </c>
      <c r="D593" s="69">
        <v>22</v>
      </c>
      <c r="E593" s="70">
        <v>7.4156470151999997E-4</v>
      </c>
    </row>
    <row r="594" spans="2:5" ht="15" customHeight="1">
      <c r="B594" s="92"/>
      <c r="C594" s="68" t="s">
        <v>204</v>
      </c>
      <c r="D594" s="69">
        <v>2</v>
      </c>
      <c r="E594" s="70">
        <v>6.7414972865000001E-5</v>
      </c>
    </row>
    <row r="595" spans="2:5" ht="15" customHeight="1">
      <c r="B595" s="92"/>
      <c r="C595" s="68" t="s">
        <v>205</v>
      </c>
      <c r="D595" s="69">
        <v>5</v>
      </c>
      <c r="E595" s="70">
        <v>1.68537432164E-4</v>
      </c>
    </row>
    <row r="596" spans="2:5" ht="15" customHeight="1">
      <c r="B596" s="92"/>
      <c r="C596" s="68" t="s">
        <v>206</v>
      </c>
      <c r="D596" s="69">
        <v>17</v>
      </c>
      <c r="E596" s="70">
        <v>5.7302726935699996E-4</v>
      </c>
    </row>
    <row r="597" spans="2:5" ht="15" customHeight="1">
      <c r="B597" s="92"/>
      <c r="C597" s="68" t="s">
        <v>207</v>
      </c>
      <c r="D597" s="69">
        <v>1</v>
      </c>
      <c r="E597" s="70">
        <v>3.3707486433000001E-5</v>
      </c>
    </row>
    <row r="598" spans="2:5" ht="15" customHeight="1">
      <c r="B598" s="92"/>
      <c r="C598" s="68" t="s">
        <v>209</v>
      </c>
      <c r="D598" s="69">
        <v>5</v>
      </c>
      <c r="E598" s="70">
        <v>1.68537432164E-4</v>
      </c>
    </row>
    <row r="599" spans="2:5" ht="15" customHeight="1">
      <c r="B599" s="92"/>
      <c r="C599" s="68" t="s">
        <v>232</v>
      </c>
      <c r="D599" s="69">
        <v>3</v>
      </c>
      <c r="E599" s="70">
        <v>1.0112245929799999E-4</v>
      </c>
    </row>
    <row r="600" spans="2:5" ht="15" customHeight="1">
      <c r="B600" s="92"/>
      <c r="C600" s="68" t="s">
        <v>211</v>
      </c>
      <c r="D600" s="69">
        <v>19</v>
      </c>
      <c r="E600" s="70">
        <v>6.4044224222200002E-4</v>
      </c>
    </row>
    <row r="601" spans="2:5" ht="15" customHeight="1">
      <c r="B601" s="92"/>
      <c r="C601" s="68" t="s">
        <v>213</v>
      </c>
      <c r="D601" s="69">
        <v>10</v>
      </c>
      <c r="E601" s="70">
        <v>3.3707486432699998E-4</v>
      </c>
    </row>
    <row r="602" spans="2:5" ht="15" customHeight="1">
      <c r="B602" s="92"/>
      <c r="C602" s="68" t="s">
        <v>214</v>
      </c>
      <c r="D602" s="69">
        <v>69</v>
      </c>
      <c r="E602" s="70">
        <v>2.3258165638589999E-3</v>
      </c>
    </row>
    <row r="603" spans="2:5" ht="15" customHeight="1">
      <c r="B603" s="92"/>
      <c r="C603" s="68" t="s">
        <v>215</v>
      </c>
      <c r="D603" s="69">
        <v>57</v>
      </c>
      <c r="E603" s="70">
        <v>1.9213267266660001E-3</v>
      </c>
    </row>
    <row r="604" spans="2:5" ht="15" customHeight="1">
      <c r="B604" s="92"/>
      <c r="C604" s="68" t="s">
        <v>235</v>
      </c>
      <c r="D604" s="69">
        <v>1</v>
      </c>
      <c r="E604" s="70">
        <v>3.3707486433000001E-5</v>
      </c>
    </row>
    <row r="605" spans="2:5" ht="15" customHeight="1">
      <c r="B605" s="92"/>
      <c r="C605" s="68" t="s">
        <v>244</v>
      </c>
      <c r="D605" s="69">
        <v>1</v>
      </c>
      <c r="E605" s="70">
        <v>3.3707486433000001E-5</v>
      </c>
    </row>
    <row r="606" spans="2:5" ht="15" customHeight="1">
      <c r="B606" s="92"/>
      <c r="C606" s="68" t="s">
        <v>217</v>
      </c>
      <c r="D606" s="69">
        <v>1</v>
      </c>
      <c r="E606" s="70">
        <v>3.3707486433000001E-5</v>
      </c>
    </row>
    <row r="607" spans="2:5" ht="15" customHeight="1">
      <c r="B607" s="92"/>
      <c r="C607" s="68" t="s">
        <v>218</v>
      </c>
      <c r="D607" s="69">
        <v>5</v>
      </c>
      <c r="E607" s="70">
        <v>1.68537432164E-4</v>
      </c>
    </row>
    <row r="608" spans="2:5" ht="15" customHeight="1">
      <c r="B608" s="92"/>
      <c r="C608" s="68" t="s">
        <v>219</v>
      </c>
      <c r="D608" s="69">
        <v>3</v>
      </c>
      <c r="E608" s="70">
        <v>1.0112245929799999E-4</v>
      </c>
    </row>
    <row r="609" spans="2:5" ht="15" customHeight="1">
      <c r="B609" s="92"/>
      <c r="C609" s="68" t="s">
        <v>236</v>
      </c>
      <c r="D609" s="69">
        <v>3</v>
      </c>
      <c r="E609" s="70">
        <v>1.0112245929799999E-4</v>
      </c>
    </row>
    <row r="610" spans="2:5" ht="15" customHeight="1">
      <c r="B610" s="92"/>
      <c r="C610" s="68" t="s">
        <v>220</v>
      </c>
      <c r="D610" s="69">
        <v>13</v>
      </c>
      <c r="E610" s="70">
        <v>4.38197323626E-4</v>
      </c>
    </row>
    <row r="611" spans="2:5" ht="15" customHeight="1">
      <c r="B611" s="92"/>
      <c r="C611" s="68" t="s">
        <v>221</v>
      </c>
      <c r="D611" s="69">
        <v>10</v>
      </c>
      <c r="E611" s="70">
        <v>3.3707486432699998E-4</v>
      </c>
    </row>
    <row r="612" spans="2:5" ht="15" customHeight="1">
      <c r="B612" s="92"/>
      <c r="C612" s="68" t="s">
        <v>245</v>
      </c>
      <c r="D612" s="69">
        <v>1</v>
      </c>
      <c r="E612" s="70">
        <v>3.3707486433000001E-5</v>
      </c>
    </row>
    <row r="613" spans="2:5" ht="15" customHeight="1">
      <c r="B613" s="92"/>
      <c r="C613" s="68" t="s">
        <v>222</v>
      </c>
      <c r="D613" s="69">
        <v>6</v>
      </c>
      <c r="E613" s="70">
        <v>2.0224491859599999E-4</v>
      </c>
    </row>
    <row r="614" spans="2:5" ht="15" customHeight="1">
      <c r="B614" s="92"/>
      <c r="C614" s="68" t="s">
        <v>224</v>
      </c>
      <c r="D614" s="69">
        <v>1</v>
      </c>
      <c r="E614" s="70">
        <v>3.3707486433000001E-5</v>
      </c>
    </row>
    <row r="615" spans="2:5" ht="15" customHeight="1">
      <c r="B615" s="92"/>
      <c r="C615" s="68" t="s">
        <v>238</v>
      </c>
      <c r="D615" s="69">
        <v>1</v>
      </c>
      <c r="E615" s="70">
        <v>3.3707486433000001E-5</v>
      </c>
    </row>
    <row r="616" spans="2:5" ht="15" customHeight="1">
      <c r="B616" s="92"/>
      <c r="C616" s="68" t="s">
        <v>239</v>
      </c>
      <c r="D616" s="69">
        <v>6</v>
      </c>
      <c r="E616" s="70">
        <v>2.0224491859599999E-4</v>
      </c>
    </row>
    <row r="617" spans="2:5" ht="15" customHeight="1">
      <c r="B617" s="92"/>
      <c r="C617" s="68" t="s">
        <v>240</v>
      </c>
      <c r="D617" s="69">
        <v>8</v>
      </c>
      <c r="E617" s="70">
        <v>2.6965989146199998E-4</v>
      </c>
    </row>
    <row r="618" spans="2:5" ht="15" customHeight="1">
      <c r="B618" s="92"/>
      <c r="C618" s="68" t="s">
        <v>241</v>
      </c>
      <c r="D618" s="69">
        <v>4</v>
      </c>
      <c r="E618" s="70">
        <v>1.3482994573099999E-4</v>
      </c>
    </row>
    <row r="619" spans="2:5" ht="15" customHeight="1">
      <c r="B619" s="92"/>
      <c r="C619" s="68" t="s">
        <v>246</v>
      </c>
      <c r="D619" s="69">
        <v>2</v>
      </c>
      <c r="E619" s="70">
        <v>6.7414972865000001E-5</v>
      </c>
    </row>
    <row r="620" spans="2:5" ht="15" customHeight="1">
      <c r="B620" s="92"/>
      <c r="C620" s="68" t="s">
        <v>226</v>
      </c>
      <c r="D620" s="69">
        <v>30</v>
      </c>
      <c r="E620" s="70">
        <v>1.0112245929819999E-3</v>
      </c>
    </row>
    <row r="621" spans="2:5" ht="15" customHeight="1">
      <c r="B621" s="92"/>
      <c r="C621" s="68" t="s">
        <v>227</v>
      </c>
      <c r="D621" s="69">
        <v>2</v>
      </c>
      <c r="E621" s="70">
        <v>6.7414972865000001E-5</v>
      </c>
    </row>
    <row r="622" spans="2:5" ht="15" customHeight="1">
      <c r="B622" s="92"/>
      <c r="C622" s="68" t="s">
        <v>228</v>
      </c>
      <c r="D622" s="69">
        <v>3</v>
      </c>
      <c r="E622" s="70">
        <v>1.0112245929799999E-4</v>
      </c>
    </row>
    <row r="623" spans="2:5" ht="15" customHeight="1">
      <c r="B623" s="92"/>
      <c r="C623" s="68" t="s">
        <v>229</v>
      </c>
      <c r="D623" s="69">
        <v>5</v>
      </c>
      <c r="E623" s="70">
        <v>1.68537432164E-4</v>
      </c>
    </row>
    <row r="624" spans="2:5" ht="15" customHeight="1">
      <c r="B624" s="92"/>
      <c r="C624" s="68" t="s">
        <v>230</v>
      </c>
      <c r="D624" s="69">
        <v>1</v>
      </c>
      <c r="E624" s="70">
        <v>3.3707486433000001E-5</v>
      </c>
    </row>
    <row r="625" spans="2:5" ht="15" customHeight="1">
      <c r="B625" s="93"/>
      <c r="C625" s="36" t="s">
        <v>29</v>
      </c>
      <c r="D625" s="35">
        <v>343</v>
      </c>
      <c r="E625" s="34">
        <v>1.1561667846428999E-2</v>
      </c>
    </row>
    <row r="626" spans="2:5" ht="15" customHeight="1">
      <c r="B626" s="91" t="s">
        <v>65</v>
      </c>
      <c r="C626" s="68" t="s">
        <v>195</v>
      </c>
      <c r="D626" s="69">
        <v>6</v>
      </c>
      <c r="E626" s="70">
        <v>2.0224491859599999E-4</v>
      </c>
    </row>
    <row r="627" spans="2:5" ht="15" customHeight="1">
      <c r="B627" s="92"/>
      <c r="C627" s="68" t="s">
        <v>197</v>
      </c>
      <c r="D627" s="69">
        <v>6</v>
      </c>
      <c r="E627" s="70">
        <v>2.0224491859599999E-4</v>
      </c>
    </row>
    <row r="628" spans="2:5" ht="15" customHeight="1">
      <c r="B628" s="92"/>
      <c r="C628" s="68" t="s">
        <v>198</v>
      </c>
      <c r="D628" s="69">
        <v>2</v>
      </c>
      <c r="E628" s="70">
        <v>6.7414972865000001E-5</v>
      </c>
    </row>
    <row r="629" spans="2:5" ht="15" customHeight="1">
      <c r="B629" s="92"/>
      <c r="C629" s="68" t="s">
        <v>242</v>
      </c>
      <c r="D629" s="69">
        <v>1</v>
      </c>
      <c r="E629" s="70">
        <v>3.3707486433000001E-5</v>
      </c>
    </row>
    <row r="630" spans="2:5" ht="15" customHeight="1">
      <c r="B630" s="92"/>
      <c r="C630" s="68" t="s">
        <v>199</v>
      </c>
      <c r="D630" s="69">
        <v>7</v>
      </c>
      <c r="E630" s="70">
        <v>2.35952405029E-4</v>
      </c>
    </row>
    <row r="631" spans="2:5" ht="15" customHeight="1">
      <c r="B631" s="92"/>
      <c r="C631" s="68" t="s">
        <v>252</v>
      </c>
      <c r="D631" s="69">
        <v>3</v>
      </c>
      <c r="E631" s="70">
        <v>1.0112245929799999E-4</v>
      </c>
    </row>
    <row r="632" spans="2:5" ht="15" customHeight="1">
      <c r="B632" s="92"/>
      <c r="C632" s="68" t="s">
        <v>200</v>
      </c>
      <c r="D632" s="69">
        <v>9</v>
      </c>
      <c r="E632" s="70">
        <v>3.0336737789499998E-4</v>
      </c>
    </row>
    <row r="633" spans="2:5" ht="15" customHeight="1">
      <c r="B633" s="92"/>
      <c r="C633" s="68" t="s">
        <v>201</v>
      </c>
      <c r="D633" s="69">
        <v>1</v>
      </c>
      <c r="E633" s="70">
        <v>3.3707486433000001E-5</v>
      </c>
    </row>
    <row r="634" spans="2:5" ht="15" customHeight="1">
      <c r="B634" s="92"/>
      <c r="C634" s="68" t="s">
        <v>202</v>
      </c>
      <c r="D634" s="69">
        <v>4</v>
      </c>
      <c r="E634" s="70">
        <v>1.3482994573099999E-4</v>
      </c>
    </row>
    <row r="635" spans="2:5" ht="15" customHeight="1">
      <c r="B635" s="92"/>
      <c r="C635" s="68" t="s">
        <v>203</v>
      </c>
      <c r="D635" s="69">
        <v>12</v>
      </c>
      <c r="E635" s="70">
        <v>4.0448983719299999E-4</v>
      </c>
    </row>
    <row r="636" spans="2:5" ht="15" customHeight="1">
      <c r="B636" s="92"/>
      <c r="C636" s="68" t="s">
        <v>204</v>
      </c>
      <c r="D636" s="69">
        <v>2</v>
      </c>
      <c r="E636" s="70">
        <v>6.7414972865000001E-5</v>
      </c>
    </row>
    <row r="637" spans="2:5" ht="15" customHeight="1">
      <c r="B637" s="92"/>
      <c r="C637" s="68" t="s">
        <v>205</v>
      </c>
      <c r="D637" s="69">
        <v>1</v>
      </c>
      <c r="E637" s="70">
        <v>3.3707486433000001E-5</v>
      </c>
    </row>
    <row r="638" spans="2:5" ht="15" customHeight="1">
      <c r="B638" s="92"/>
      <c r="C638" s="68" t="s">
        <v>206</v>
      </c>
      <c r="D638" s="69">
        <v>2</v>
      </c>
      <c r="E638" s="70">
        <v>6.7414972865000001E-5</v>
      </c>
    </row>
    <row r="639" spans="2:5" ht="15" customHeight="1">
      <c r="B639" s="92"/>
      <c r="C639" s="68" t="s">
        <v>207</v>
      </c>
      <c r="D639" s="69">
        <v>1</v>
      </c>
      <c r="E639" s="70">
        <v>3.3707486433000001E-5</v>
      </c>
    </row>
    <row r="640" spans="2:5" ht="15" customHeight="1">
      <c r="B640" s="92"/>
      <c r="C640" s="68" t="s">
        <v>208</v>
      </c>
      <c r="D640" s="69">
        <v>3</v>
      </c>
      <c r="E640" s="70">
        <v>1.0112245929799999E-4</v>
      </c>
    </row>
    <row r="641" spans="2:5" ht="15" customHeight="1">
      <c r="B641" s="92"/>
      <c r="C641" s="68" t="s">
        <v>209</v>
      </c>
      <c r="D641" s="69">
        <v>7</v>
      </c>
      <c r="E641" s="70">
        <v>2.35952405029E-4</v>
      </c>
    </row>
    <row r="642" spans="2:5" ht="15" customHeight="1">
      <c r="B642" s="92"/>
      <c r="C642" s="68" t="s">
        <v>232</v>
      </c>
      <c r="D642" s="69">
        <v>8</v>
      </c>
      <c r="E642" s="70">
        <v>2.6965989146199998E-4</v>
      </c>
    </row>
    <row r="643" spans="2:5" ht="15" customHeight="1">
      <c r="B643" s="92"/>
      <c r="C643" s="68" t="s">
        <v>211</v>
      </c>
      <c r="D643" s="69">
        <v>3</v>
      </c>
      <c r="E643" s="70">
        <v>1.0112245929799999E-4</v>
      </c>
    </row>
    <row r="644" spans="2:5" ht="15" customHeight="1">
      <c r="B644" s="92"/>
      <c r="C644" s="68" t="s">
        <v>212</v>
      </c>
      <c r="D644" s="69">
        <v>3</v>
      </c>
      <c r="E644" s="70">
        <v>1.0112245929799999E-4</v>
      </c>
    </row>
    <row r="645" spans="2:5" ht="15" customHeight="1">
      <c r="B645" s="92"/>
      <c r="C645" s="68" t="s">
        <v>213</v>
      </c>
      <c r="D645" s="69">
        <v>42</v>
      </c>
      <c r="E645" s="70">
        <v>1.415714430175E-3</v>
      </c>
    </row>
    <row r="646" spans="2:5" ht="15" customHeight="1">
      <c r="B646" s="92"/>
      <c r="C646" s="68" t="s">
        <v>214</v>
      </c>
      <c r="D646" s="69">
        <v>25</v>
      </c>
      <c r="E646" s="70">
        <v>8.4268716081800003E-4</v>
      </c>
    </row>
    <row r="647" spans="2:5" ht="15" customHeight="1">
      <c r="B647" s="92"/>
      <c r="C647" s="68" t="s">
        <v>57</v>
      </c>
      <c r="D647" s="69">
        <v>2</v>
      </c>
      <c r="E647" s="70">
        <v>6.7414972865000001E-5</v>
      </c>
    </row>
    <row r="648" spans="2:5" ht="15" customHeight="1">
      <c r="B648" s="92"/>
      <c r="C648" s="68" t="s">
        <v>234</v>
      </c>
      <c r="D648" s="69">
        <v>2</v>
      </c>
      <c r="E648" s="70">
        <v>6.7414972865000001E-5</v>
      </c>
    </row>
    <row r="649" spans="2:5" ht="15" customHeight="1">
      <c r="B649" s="92"/>
      <c r="C649" s="68" t="s">
        <v>215</v>
      </c>
      <c r="D649" s="69">
        <v>69</v>
      </c>
      <c r="E649" s="70">
        <v>2.3258165638589999E-3</v>
      </c>
    </row>
    <row r="650" spans="2:5" ht="15" customHeight="1">
      <c r="B650" s="92"/>
      <c r="C650" s="68" t="s">
        <v>217</v>
      </c>
      <c r="D650" s="69">
        <v>1</v>
      </c>
      <c r="E650" s="70">
        <v>3.3707486433000001E-5</v>
      </c>
    </row>
    <row r="651" spans="2:5" ht="15" customHeight="1">
      <c r="B651" s="92"/>
      <c r="C651" s="68" t="s">
        <v>218</v>
      </c>
      <c r="D651" s="69">
        <v>16</v>
      </c>
      <c r="E651" s="70">
        <v>5.3931978292399995E-4</v>
      </c>
    </row>
    <row r="652" spans="2:5" ht="15" customHeight="1">
      <c r="B652" s="92"/>
      <c r="C652" s="68" t="s">
        <v>219</v>
      </c>
      <c r="D652" s="69">
        <v>6</v>
      </c>
      <c r="E652" s="70">
        <v>2.0224491859599999E-4</v>
      </c>
    </row>
    <row r="653" spans="2:5" ht="15" customHeight="1">
      <c r="B653" s="92"/>
      <c r="C653" s="68" t="s">
        <v>236</v>
      </c>
      <c r="D653" s="69">
        <v>2</v>
      </c>
      <c r="E653" s="70">
        <v>6.7414972865000001E-5</v>
      </c>
    </row>
    <row r="654" spans="2:5" ht="15" customHeight="1">
      <c r="B654" s="92"/>
      <c r="C654" s="68" t="s">
        <v>220</v>
      </c>
      <c r="D654" s="69">
        <v>4</v>
      </c>
      <c r="E654" s="70">
        <v>1.3482994573099999E-4</v>
      </c>
    </row>
    <row r="655" spans="2:5" ht="15" customHeight="1">
      <c r="B655" s="92"/>
      <c r="C655" s="68" t="s">
        <v>221</v>
      </c>
      <c r="D655" s="69">
        <v>3</v>
      </c>
      <c r="E655" s="70">
        <v>1.0112245929799999E-4</v>
      </c>
    </row>
    <row r="656" spans="2:5" ht="15" customHeight="1">
      <c r="B656" s="92"/>
      <c r="C656" s="68" t="s">
        <v>245</v>
      </c>
      <c r="D656" s="69">
        <v>1</v>
      </c>
      <c r="E656" s="70">
        <v>3.3707486433000001E-5</v>
      </c>
    </row>
    <row r="657" spans="2:5" ht="15" customHeight="1">
      <c r="B657" s="92"/>
      <c r="C657" s="68" t="s">
        <v>222</v>
      </c>
      <c r="D657" s="69">
        <v>3</v>
      </c>
      <c r="E657" s="70">
        <v>1.0112245929799999E-4</v>
      </c>
    </row>
    <row r="658" spans="2:5" ht="15" customHeight="1">
      <c r="B658" s="92"/>
      <c r="C658" s="68" t="s">
        <v>250</v>
      </c>
      <c r="D658" s="69">
        <v>1</v>
      </c>
      <c r="E658" s="70">
        <v>3.3707486433000001E-5</v>
      </c>
    </row>
    <row r="659" spans="2:5" ht="15" customHeight="1">
      <c r="B659" s="92"/>
      <c r="C659" s="68" t="s">
        <v>225</v>
      </c>
      <c r="D659" s="69">
        <v>10</v>
      </c>
      <c r="E659" s="70">
        <v>3.3707486432699998E-4</v>
      </c>
    </row>
    <row r="660" spans="2:5" ht="15" customHeight="1">
      <c r="B660" s="92"/>
      <c r="C660" s="68" t="s">
        <v>240</v>
      </c>
      <c r="D660" s="69">
        <v>1</v>
      </c>
      <c r="E660" s="70">
        <v>3.3707486433000001E-5</v>
      </c>
    </row>
    <row r="661" spans="2:5" ht="15" customHeight="1">
      <c r="B661" s="92"/>
      <c r="C661" s="68" t="s">
        <v>246</v>
      </c>
      <c r="D661" s="69">
        <v>1</v>
      </c>
      <c r="E661" s="70">
        <v>3.3707486433000001E-5</v>
      </c>
    </row>
    <row r="662" spans="2:5" ht="15" customHeight="1">
      <c r="B662" s="92"/>
      <c r="C662" s="68" t="s">
        <v>226</v>
      </c>
      <c r="D662" s="69">
        <v>21</v>
      </c>
      <c r="E662" s="70">
        <v>7.0785721508699996E-4</v>
      </c>
    </row>
    <row r="663" spans="2:5" ht="15" customHeight="1">
      <c r="B663" s="92"/>
      <c r="C663" s="68" t="s">
        <v>227</v>
      </c>
      <c r="D663" s="69">
        <v>1</v>
      </c>
      <c r="E663" s="70">
        <v>3.3707486433000001E-5</v>
      </c>
    </row>
    <row r="664" spans="2:5" ht="15" customHeight="1">
      <c r="B664" s="92"/>
      <c r="C664" s="68" t="s">
        <v>228</v>
      </c>
      <c r="D664" s="69">
        <v>2</v>
      </c>
      <c r="E664" s="70">
        <v>6.7414972865000001E-5</v>
      </c>
    </row>
    <row r="665" spans="2:5" ht="15" customHeight="1">
      <c r="B665" s="92"/>
      <c r="C665" s="68" t="s">
        <v>247</v>
      </c>
      <c r="D665" s="69">
        <v>1</v>
      </c>
      <c r="E665" s="70">
        <v>3.3707486433000001E-5</v>
      </c>
    </row>
    <row r="666" spans="2:5" ht="15" customHeight="1">
      <c r="B666" s="92"/>
      <c r="C666" s="68" t="s">
        <v>229</v>
      </c>
      <c r="D666" s="69">
        <v>15</v>
      </c>
      <c r="E666" s="70">
        <v>5.0561229649099995E-4</v>
      </c>
    </row>
    <row r="667" spans="2:5" ht="15" customHeight="1">
      <c r="B667" s="92"/>
      <c r="C667" s="68" t="s">
        <v>230</v>
      </c>
      <c r="D667" s="69">
        <v>8</v>
      </c>
      <c r="E667" s="70">
        <v>2.6965989146199998E-4</v>
      </c>
    </row>
    <row r="668" spans="2:5" ht="15" customHeight="1">
      <c r="B668" s="93"/>
      <c r="C668" s="36" t="s">
        <v>29</v>
      </c>
      <c r="D668" s="35">
        <v>318</v>
      </c>
      <c r="E668" s="34">
        <v>1.0718980685610001E-2</v>
      </c>
    </row>
    <row r="669" spans="2:5" ht="15" customHeight="1">
      <c r="B669" s="91" t="s">
        <v>68</v>
      </c>
      <c r="C669" s="68" t="s">
        <v>195</v>
      </c>
      <c r="D669" s="69">
        <v>2</v>
      </c>
      <c r="E669" s="70">
        <v>6.7414972865000001E-5</v>
      </c>
    </row>
    <row r="670" spans="2:5" ht="15" customHeight="1">
      <c r="B670" s="92"/>
      <c r="C670" s="68" t="s">
        <v>196</v>
      </c>
      <c r="D670" s="69">
        <v>1</v>
      </c>
      <c r="E670" s="70">
        <v>3.3707486433000001E-5</v>
      </c>
    </row>
    <row r="671" spans="2:5" ht="15" customHeight="1">
      <c r="B671" s="92"/>
      <c r="C671" s="68" t="s">
        <v>197</v>
      </c>
      <c r="D671" s="69">
        <v>2</v>
      </c>
      <c r="E671" s="70">
        <v>6.7414972865000001E-5</v>
      </c>
    </row>
    <row r="672" spans="2:5" ht="15" customHeight="1">
      <c r="B672" s="92"/>
      <c r="C672" s="68" t="s">
        <v>248</v>
      </c>
      <c r="D672" s="69">
        <v>1</v>
      </c>
      <c r="E672" s="70">
        <v>3.3707486433000001E-5</v>
      </c>
    </row>
    <row r="673" spans="2:5" ht="15" customHeight="1">
      <c r="B673" s="92"/>
      <c r="C673" s="68" t="s">
        <v>242</v>
      </c>
      <c r="D673" s="69">
        <v>6</v>
      </c>
      <c r="E673" s="70">
        <v>2.0224491859599999E-4</v>
      </c>
    </row>
    <row r="674" spans="2:5" ht="15" customHeight="1">
      <c r="B674" s="92"/>
      <c r="C674" s="68" t="s">
        <v>199</v>
      </c>
      <c r="D674" s="69">
        <v>6</v>
      </c>
      <c r="E674" s="70">
        <v>2.0224491859599999E-4</v>
      </c>
    </row>
    <row r="675" spans="2:5" ht="15" customHeight="1">
      <c r="B675" s="92"/>
      <c r="C675" s="68" t="s">
        <v>201</v>
      </c>
      <c r="D675" s="69">
        <v>3</v>
      </c>
      <c r="E675" s="70">
        <v>1.0112245929799999E-4</v>
      </c>
    </row>
    <row r="676" spans="2:5" ht="15" customHeight="1">
      <c r="B676" s="92"/>
      <c r="C676" s="68" t="s">
        <v>202</v>
      </c>
      <c r="D676" s="69">
        <v>6</v>
      </c>
      <c r="E676" s="70">
        <v>2.0224491859599999E-4</v>
      </c>
    </row>
    <row r="677" spans="2:5" ht="15" customHeight="1">
      <c r="B677" s="92"/>
      <c r="C677" s="68" t="s">
        <v>203</v>
      </c>
      <c r="D677" s="69">
        <v>7</v>
      </c>
      <c r="E677" s="70">
        <v>2.35952405029E-4</v>
      </c>
    </row>
    <row r="678" spans="2:5" ht="15" customHeight="1">
      <c r="B678" s="92"/>
      <c r="C678" s="68" t="s">
        <v>204</v>
      </c>
      <c r="D678" s="69">
        <v>1</v>
      </c>
      <c r="E678" s="70">
        <v>3.3707486433000001E-5</v>
      </c>
    </row>
    <row r="679" spans="2:5" ht="15" customHeight="1">
      <c r="B679" s="92"/>
      <c r="C679" s="68" t="s">
        <v>205</v>
      </c>
      <c r="D679" s="69">
        <v>1</v>
      </c>
      <c r="E679" s="70">
        <v>3.3707486433000001E-5</v>
      </c>
    </row>
    <row r="680" spans="2:5" ht="15" customHeight="1">
      <c r="B680" s="92"/>
      <c r="C680" s="68" t="s">
        <v>206</v>
      </c>
      <c r="D680" s="69">
        <v>16</v>
      </c>
      <c r="E680" s="70">
        <v>5.3931978292399995E-4</v>
      </c>
    </row>
    <row r="681" spans="2:5" ht="15" customHeight="1">
      <c r="B681" s="92"/>
      <c r="C681" s="68" t="s">
        <v>207</v>
      </c>
      <c r="D681" s="69">
        <v>2</v>
      </c>
      <c r="E681" s="70">
        <v>6.7414972865000001E-5</v>
      </c>
    </row>
    <row r="682" spans="2:5" ht="15" customHeight="1">
      <c r="B682" s="92"/>
      <c r="C682" s="68" t="s">
        <v>208</v>
      </c>
      <c r="D682" s="69">
        <v>2</v>
      </c>
      <c r="E682" s="70">
        <v>6.7414972865000001E-5</v>
      </c>
    </row>
    <row r="683" spans="2:5" ht="15" customHeight="1">
      <c r="B683" s="92"/>
      <c r="C683" s="68" t="s">
        <v>209</v>
      </c>
      <c r="D683" s="69">
        <v>18</v>
      </c>
      <c r="E683" s="70">
        <v>6.0673475578900001E-4</v>
      </c>
    </row>
    <row r="684" spans="2:5" ht="15" customHeight="1">
      <c r="B684" s="92"/>
      <c r="C684" s="68" t="s">
        <v>232</v>
      </c>
      <c r="D684" s="69">
        <v>10</v>
      </c>
      <c r="E684" s="70">
        <v>3.3707486432699998E-4</v>
      </c>
    </row>
    <row r="685" spans="2:5" ht="15" customHeight="1">
      <c r="B685" s="92"/>
      <c r="C685" s="68" t="s">
        <v>211</v>
      </c>
      <c r="D685" s="69">
        <v>1</v>
      </c>
      <c r="E685" s="70">
        <v>3.3707486433000001E-5</v>
      </c>
    </row>
    <row r="686" spans="2:5" ht="15" customHeight="1">
      <c r="B686" s="92"/>
      <c r="C686" s="68" t="s">
        <v>213</v>
      </c>
      <c r="D686" s="69">
        <v>15</v>
      </c>
      <c r="E686" s="70">
        <v>5.0561229649099995E-4</v>
      </c>
    </row>
    <row r="687" spans="2:5" ht="15" customHeight="1">
      <c r="B687" s="92"/>
      <c r="C687" s="68" t="s">
        <v>214</v>
      </c>
      <c r="D687" s="69">
        <v>1</v>
      </c>
      <c r="E687" s="70">
        <v>3.3707486433000001E-5</v>
      </c>
    </row>
    <row r="688" spans="2:5" ht="15" customHeight="1">
      <c r="B688" s="92"/>
      <c r="C688" s="68" t="s">
        <v>234</v>
      </c>
      <c r="D688" s="69">
        <v>3</v>
      </c>
      <c r="E688" s="70">
        <v>1.0112245929799999E-4</v>
      </c>
    </row>
    <row r="689" spans="2:5" ht="15" customHeight="1">
      <c r="B689" s="92"/>
      <c r="C689" s="68" t="s">
        <v>215</v>
      </c>
      <c r="D689" s="69">
        <v>26</v>
      </c>
      <c r="E689" s="70">
        <v>8.7639464725100004E-4</v>
      </c>
    </row>
    <row r="690" spans="2:5" ht="15" customHeight="1">
      <c r="B690" s="92"/>
      <c r="C690" s="68" t="s">
        <v>235</v>
      </c>
      <c r="D690" s="69">
        <v>3</v>
      </c>
      <c r="E690" s="70">
        <v>1.0112245929799999E-4</v>
      </c>
    </row>
    <row r="691" spans="2:5" ht="15" customHeight="1">
      <c r="B691" s="92"/>
      <c r="C691" s="68" t="s">
        <v>218</v>
      </c>
      <c r="D691" s="69">
        <v>3</v>
      </c>
      <c r="E691" s="70">
        <v>1.0112245929799999E-4</v>
      </c>
    </row>
    <row r="692" spans="2:5" ht="15" customHeight="1">
      <c r="B692" s="92"/>
      <c r="C692" s="68" t="s">
        <v>236</v>
      </c>
      <c r="D692" s="69">
        <v>2</v>
      </c>
      <c r="E692" s="70">
        <v>6.7414972865000001E-5</v>
      </c>
    </row>
    <row r="693" spans="2:5" ht="15" customHeight="1">
      <c r="B693" s="92"/>
      <c r="C693" s="68" t="s">
        <v>220</v>
      </c>
      <c r="D693" s="69">
        <v>1</v>
      </c>
      <c r="E693" s="70">
        <v>3.3707486433000001E-5</v>
      </c>
    </row>
    <row r="694" spans="2:5" ht="15" customHeight="1">
      <c r="B694" s="92"/>
      <c r="C694" s="68" t="s">
        <v>221</v>
      </c>
      <c r="D694" s="69">
        <v>17</v>
      </c>
      <c r="E694" s="70">
        <v>5.7302726935699996E-4</v>
      </c>
    </row>
    <row r="695" spans="2:5" ht="15" customHeight="1">
      <c r="B695" s="92"/>
      <c r="C695" s="68" t="s">
        <v>237</v>
      </c>
      <c r="D695" s="69">
        <v>2</v>
      </c>
      <c r="E695" s="70">
        <v>6.7414972865000001E-5</v>
      </c>
    </row>
    <row r="696" spans="2:5" ht="15" customHeight="1">
      <c r="B696" s="92"/>
      <c r="C696" s="68" t="s">
        <v>222</v>
      </c>
      <c r="D696" s="69">
        <v>4</v>
      </c>
      <c r="E696" s="70">
        <v>1.3482994573099999E-4</v>
      </c>
    </row>
    <row r="697" spans="2:5" ht="15" customHeight="1">
      <c r="B697" s="92"/>
      <c r="C697" s="68" t="s">
        <v>250</v>
      </c>
      <c r="D697" s="69">
        <v>1</v>
      </c>
      <c r="E697" s="70">
        <v>3.3707486433000001E-5</v>
      </c>
    </row>
    <row r="698" spans="2:5" ht="15" customHeight="1">
      <c r="B698" s="92"/>
      <c r="C698" s="68" t="s">
        <v>251</v>
      </c>
      <c r="D698" s="69">
        <v>1</v>
      </c>
      <c r="E698" s="70">
        <v>3.3707486433000001E-5</v>
      </c>
    </row>
    <row r="699" spans="2:5" ht="15" customHeight="1">
      <c r="B699" s="92"/>
      <c r="C699" s="68" t="s">
        <v>238</v>
      </c>
      <c r="D699" s="69">
        <v>2</v>
      </c>
      <c r="E699" s="70">
        <v>6.7414972865000001E-5</v>
      </c>
    </row>
    <row r="700" spans="2:5" ht="15" customHeight="1">
      <c r="B700" s="92"/>
      <c r="C700" s="68" t="s">
        <v>239</v>
      </c>
      <c r="D700" s="69">
        <v>3</v>
      </c>
      <c r="E700" s="70">
        <v>1.0112245929799999E-4</v>
      </c>
    </row>
    <row r="701" spans="2:5" ht="15" customHeight="1">
      <c r="B701" s="92"/>
      <c r="C701" s="68" t="s">
        <v>240</v>
      </c>
      <c r="D701" s="69">
        <v>2</v>
      </c>
      <c r="E701" s="70">
        <v>6.7414972865000001E-5</v>
      </c>
    </row>
    <row r="702" spans="2:5" ht="15" customHeight="1">
      <c r="B702" s="92"/>
      <c r="C702" s="68" t="s">
        <v>241</v>
      </c>
      <c r="D702" s="69">
        <v>2</v>
      </c>
      <c r="E702" s="70">
        <v>6.7414972865000001E-5</v>
      </c>
    </row>
    <row r="703" spans="2:5" ht="15" customHeight="1">
      <c r="B703" s="92"/>
      <c r="C703" s="68" t="s">
        <v>226</v>
      </c>
      <c r="D703" s="69">
        <v>1</v>
      </c>
      <c r="E703" s="70">
        <v>3.3707486433000001E-5</v>
      </c>
    </row>
    <row r="704" spans="2:5" ht="15" customHeight="1">
      <c r="B704" s="92"/>
      <c r="C704" s="68" t="s">
        <v>227</v>
      </c>
      <c r="D704" s="69">
        <v>4</v>
      </c>
      <c r="E704" s="70">
        <v>1.3482994573099999E-4</v>
      </c>
    </row>
    <row r="705" spans="2:5" ht="15" customHeight="1">
      <c r="B705" s="92"/>
      <c r="C705" s="68" t="s">
        <v>228</v>
      </c>
      <c r="D705" s="69">
        <v>4</v>
      </c>
      <c r="E705" s="70">
        <v>1.3482994573099999E-4</v>
      </c>
    </row>
    <row r="706" spans="2:5" ht="15" customHeight="1">
      <c r="B706" s="92"/>
      <c r="C706" s="68" t="s">
        <v>247</v>
      </c>
      <c r="D706" s="69">
        <v>2</v>
      </c>
      <c r="E706" s="70">
        <v>6.7414972865000001E-5</v>
      </c>
    </row>
    <row r="707" spans="2:5" ht="15" customHeight="1">
      <c r="B707" s="92"/>
      <c r="C707" s="68" t="s">
        <v>229</v>
      </c>
      <c r="D707" s="69">
        <v>42</v>
      </c>
      <c r="E707" s="70">
        <v>1.415714430175E-3</v>
      </c>
    </row>
    <row r="708" spans="2:5" ht="15" customHeight="1">
      <c r="B708" s="93"/>
      <c r="C708" s="36" t="s">
        <v>29</v>
      </c>
      <c r="D708" s="35">
        <v>226</v>
      </c>
      <c r="E708" s="34">
        <v>7.6178919337979998E-3</v>
      </c>
    </row>
    <row r="709" spans="2:5" ht="15" customHeight="1">
      <c r="B709" s="91" t="s">
        <v>73</v>
      </c>
      <c r="C709" s="68" t="s">
        <v>200</v>
      </c>
      <c r="D709" s="69">
        <v>12</v>
      </c>
      <c r="E709" s="70">
        <v>4.0448983719299999E-4</v>
      </c>
    </row>
    <row r="710" spans="2:5" ht="15" customHeight="1">
      <c r="B710" s="92"/>
      <c r="C710" s="68" t="s">
        <v>203</v>
      </c>
      <c r="D710" s="69">
        <v>2</v>
      </c>
      <c r="E710" s="70">
        <v>6.7414972865000001E-5</v>
      </c>
    </row>
    <row r="711" spans="2:5" ht="15" customHeight="1">
      <c r="B711" s="92"/>
      <c r="C711" s="68" t="s">
        <v>209</v>
      </c>
      <c r="D711" s="69">
        <v>3</v>
      </c>
      <c r="E711" s="70">
        <v>1.0112245929799999E-4</v>
      </c>
    </row>
    <row r="712" spans="2:5" ht="15" customHeight="1">
      <c r="B712" s="92"/>
      <c r="C712" s="68" t="s">
        <v>210</v>
      </c>
      <c r="D712" s="69">
        <v>2</v>
      </c>
      <c r="E712" s="70">
        <v>6.7414972865000001E-5</v>
      </c>
    </row>
    <row r="713" spans="2:5" ht="15" customHeight="1">
      <c r="B713" s="92"/>
      <c r="C713" s="68" t="s">
        <v>232</v>
      </c>
      <c r="D713" s="69">
        <v>2</v>
      </c>
      <c r="E713" s="70">
        <v>6.7414972865000001E-5</v>
      </c>
    </row>
    <row r="714" spans="2:5" ht="15" customHeight="1">
      <c r="B714" s="92"/>
      <c r="C714" s="68" t="s">
        <v>212</v>
      </c>
      <c r="D714" s="69">
        <v>1</v>
      </c>
      <c r="E714" s="70">
        <v>3.3707486433000001E-5</v>
      </c>
    </row>
    <row r="715" spans="2:5" ht="15" customHeight="1">
      <c r="B715" s="92"/>
      <c r="C715" s="68" t="s">
        <v>213</v>
      </c>
      <c r="D715" s="69">
        <v>5</v>
      </c>
      <c r="E715" s="70">
        <v>1.68537432164E-4</v>
      </c>
    </row>
    <row r="716" spans="2:5" ht="15" customHeight="1">
      <c r="B716" s="92"/>
      <c r="C716" s="68" t="s">
        <v>214</v>
      </c>
      <c r="D716" s="69">
        <v>12</v>
      </c>
      <c r="E716" s="70">
        <v>4.0448983719299999E-4</v>
      </c>
    </row>
    <row r="717" spans="2:5" ht="15" customHeight="1">
      <c r="B717" s="92"/>
      <c r="C717" s="68" t="s">
        <v>234</v>
      </c>
      <c r="D717" s="69">
        <v>1</v>
      </c>
      <c r="E717" s="70">
        <v>3.3707486433000001E-5</v>
      </c>
    </row>
    <row r="718" spans="2:5" ht="15" customHeight="1">
      <c r="B718" s="92"/>
      <c r="C718" s="68" t="s">
        <v>215</v>
      </c>
      <c r="D718" s="69">
        <v>23</v>
      </c>
      <c r="E718" s="70">
        <v>7.7527218795299998E-4</v>
      </c>
    </row>
    <row r="719" spans="2:5" ht="15" customHeight="1">
      <c r="B719" s="92"/>
      <c r="C719" s="68" t="s">
        <v>235</v>
      </c>
      <c r="D719" s="69">
        <v>1</v>
      </c>
      <c r="E719" s="70">
        <v>3.3707486433000001E-5</v>
      </c>
    </row>
    <row r="720" spans="2:5" ht="15" customHeight="1">
      <c r="B720" s="92"/>
      <c r="C720" s="68" t="s">
        <v>244</v>
      </c>
      <c r="D720" s="69">
        <v>1</v>
      </c>
      <c r="E720" s="70">
        <v>3.3707486433000001E-5</v>
      </c>
    </row>
    <row r="721" spans="2:5" ht="15" customHeight="1">
      <c r="B721" s="92"/>
      <c r="C721" s="68" t="s">
        <v>218</v>
      </c>
      <c r="D721" s="69">
        <v>5</v>
      </c>
      <c r="E721" s="70">
        <v>1.68537432164E-4</v>
      </c>
    </row>
    <row r="722" spans="2:5" ht="15" customHeight="1">
      <c r="B722" s="92"/>
      <c r="C722" s="68" t="s">
        <v>219</v>
      </c>
      <c r="D722" s="69">
        <v>27</v>
      </c>
      <c r="E722" s="70">
        <v>9.1010213368400005E-4</v>
      </c>
    </row>
    <row r="723" spans="2:5" ht="15" customHeight="1">
      <c r="B723" s="92"/>
      <c r="C723" s="68" t="s">
        <v>220</v>
      </c>
      <c r="D723" s="69">
        <v>1</v>
      </c>
      <c r="E723" s="70">
        <v>3.3707486433000001E-5</v>
      </c>
    </row>
    <row r="724" spans="2:5" ht="15" customHeight="1">
      <c r="B724" s="92"/>
      <c r="C724" s="68" t="s">
        <v>221</v>
      </c>
      <c r="D724" s="69">
        <v>4</v>
      </c>
      <c r="E724" s="70">
        <v>1.3482994573099999E-4</v>
      </c>
    </row>
    <row r="725" spans="2:5" ht="15" customHeight="1">
      <c r="B725" s="92"/>
      <c r="C725" s="68" t="s">
        <v>222</v>
      </c>
      <c r="D725" s="69">
        <v>2</v>
      </c>
      <c r="E725" s="70">
        <v>6.7414972865000001E-5</v>
      </c>
    </row>
    <row r="726" spans="2:5" ht="15" customHeight="1">
      <c r="B726" s="92"/>
      <c r="C726" s="68" t="s">
        <v>250</v>
      </c>
      <c r="D726" s="69">
        <v>1</v>
      </c>
      <c r="E726" s="70">
        <v>3.3707486433000001E-5</v>
      </c>
    </row>
    <row r="727" spans="2:5" ht="15" customHeight="1">
      <c r="B727" s="92"/>
      <c r="C727" s="68" t="s">
        <v>225</v>
      </c>
      <c r="D727" s="69">
        <v>2</v>
      </c>
      <c r="E727" s="70">
        <v>6.7414972865000001E-5</v>
      </c>
    </row>
    <row r="728" spans="2:5" ht="15" customHeight="1">
      <c r="B728" s="92"/>
      <c r="C728" s="68" t="s">
        <v>246</v>
      </c>
      <c r="D728" s="69">
        <v>1</v>
      </c>
      <c r="E728" s="70">
        <v>3.3707486433000001E-5</v>
      </c>
    </row>
    <row r="729" spans="2:5" ht="15" customHeight="1">
      <c r="B729" s="92"/>
      <c r="C729" s="68" t="s">
        <v>226</v>
      </c>
      <c r="D729" s="69">
        <v>26</v>
      </c>
      <c r="E729" s="70">
        <v>8.7639464725100004E-4</v>
      </c>
    </row>
    <row r="730" spans="2:5" ht="15" customHeight="1">
      <c r="B730" s="92"/>
      <c r="C730" s="68" t="s">
        <v>229</v>
      </c>
      <c r="D730" s="69">
        <v>1</v>
      </c>
      <c r="E730" s="70">
        <v>3.3707486433000001E-5</v>
      </c>
    </row>
    <row r="731" spans="2:5" ht="15" customHeight="1">
      <c r="B731" s="92"/>
      <c r="C731" s="68" t="s">
        <v>230</v>
      </c>
      <c r="D731" s="69">
        <v>1</v>
      </c>
      <c r="E731" s="70">
        <v>3.3707486433000001E-5</v>
      </c>
    </row>
    <row r="732" spans="2:5" ht="15" customHeight="1">
      <c r="B732" s="93"/>
      <c r="C732" s="36" t="s">
        <v>29</v>
      </c>
      <c r="D732" s="35">
        <v>136</v>
      </c>
      <c r="E732" s="34">
        <v>4.5842181548520003E-3</v>
      </c>
    </row>
    <row r="733" spans="2:5" ht="15" customHeight="1">
      <c r="B733" s="91" t="s">
        <v>56</v>
      </c>
      <c r="C733" s="68" t="s">
        <v>195</v>
      </c>
      <c r="D733" s="69">
        <v>5</v>
      </c>
      <c r="E733" s="70">
        <v>1.68537432164E-4</v>
      </c>
    </row>
    <row r="734" spans="2:5" ht="15" customHeight="1">
      <c r="B734" s="92"/>
      <c r="C734" s="68" t="s">
        <v>196</v>
      </c>
      <c r="D734" s="69">
        <v>8</v>
      </c>
      <c r="E734" s="70">
        <v>2.6965989146199998E-4</v>
      </c>
    </row>
    <row r="735" spans="2:5" ht="15" customHeight="1">
      <c r="B735" s="92"/>
      <c r="C735" s="68" t="s">
        <v>197</v>
      </c>
      <c r="D735" s="69">
        <v>27</v>
      </c>
      <c r="E735" s="70">
        <v>9.1010213368400005E-4</v>
      </c>
    </row>
    <row r="736" spans="2:5" ht="15" customHeight="1">
      <c r="B736" s="92"/>
      <c r="C736" s="68" t="s">
        <v>198</v>
      </c>
      <c r="D736" s="69">
        <v>2</v>
      </c>
      <c r="E736" s="70">
        <v>6.7414972865000001E-5</v>
      </c>
    </row>
    <row r="737" spans="2:5" ht="15" customHeight="1">
      <c r="B737" s="92"/>
      <c r="C737" s="68" t="s">
        <v>242</v>
      </c>
      <c r="D737" s="69">
        <v>8</v>
      </c>
      <c r="E737" s="70">
        <v>2.6965989146199998E-4</v>
      </c>
    </row>
    <row r="738" spans="2:5" ht="15" customHeight="1">
      <c r="B738" s="92"/>
      <c r="C738" s="68" t="s">
        <v>199</v>
      </c>
      <c r="D738" s="69">
        <v>12</v>
      </c>
      <c r="E738" s="70">
        <v>4.0448983719299999E-4</v>
      </c>
    </row>
    <row r="739" spans="2:5" ht="15" customHeight="1">
      <c r="B739" s="92"/>
      <c r="C739" s="68" t="s">
        <v>200</v>
      </c>
      <c r="D739" s="69">
        <v>6</v>
      </c>
      <c r="E739" s="70">
        <v>2.0224491859599999E-4</v>
      </c>
    </row>
    <row r="740" spans="2:5" ht="15" customHeight="1">
      <c r="B740" s="92"/>
      <c r="C740" s="68" t="s">
        <v>201</v>
      </c>
      <c r="D740" s="69">
        <v>6</v>
      </c>
      <c r="E740" s="70">
        <v>2.0224491859599999E-4</v>
      </c>
    </row>
    <row r="741" spans="2:5" ht="15" customHeight="1">
      <c r="B741" s="92"/>
      <c r="C741" s="68" t="s">
        <v>202</v>
      </c>
      <c r="D741" s="69">
        <v>24</v>
      </c>
      <c r="E741" s="70">
        <v>8.0897967438599999E-4</v>
      </c>
    </row>
    <row r="742" spans="2:5" ht="15" customHeight="1">
      <c r="B742" s="92"/>
      <c r="C742" s="68" t="s">
        <v>203</v>
      </c>
      <c r="D742" s="69">
        <v>45</v>
      </c>
      <c r="E742" s="70">
        <v>1.516836889473E-3</v>
      </c>
    </row>
    <row r="743" spans="2:5" ht="15" customHeight="1">
      <c r="B743" s="92"/>
      <c r="C743" s="68" t="s">
        <v>204</v>
      </c>
      <c r="D743" s="69">
        <v>24</v>
      </c>
      <c r="E743" s="70">
        <v>8.0897967438599999E-4</v>
      </c>
    </row>
    <row r="744" spans="2:5" ht="15" customHeight="1">
      <c r="B744" s="92"/>
      <c r="C744" s="68" t="s">
        <v>205</v>
      </c>
      <c r="D744" s="69">
        <v>11</v>
      </c>
      <c r="E744" s="70">
        <v>3.7078235075999999E-4</v>
      </c>
    </row>
    <row r="745" spans="2:5" ht="15" customHeight="1">
      <c r="B745" s="92"/>
      <c r="C745" s="68" t="s">
        <v>243</v>
      </c>
      <c r="D745" s="69">
        <v>2</v>
      </c>
      <c r="E745" s="70">
        <v>6.7414972865000001E-5</v>
      </c>
    </row>
    <row r="746" spans="2:5" ht="15" customHeight="1">
      <c r="B746" s="92"/>
      <c r="C746" s="68" t="s">
        <v>206</v>
      </c>
      <c r="D746" s="69">
        <v>10</v>
      </c>
      <c r="E746" s="70">
        <v>3.3707486432699998E-4</v>
      </c>
    </row>
    <row r="747" spans="2:5" ht="15" customHeight="1">
      <c r="B747" s="92"/>
      <c r="C747" s="68" t="s">
        <v>208</v>
      </c>
      <c r="D747" s="69">
        <v>5</v>
      </c>
      <c r="E747" s="70">
        <v>1.68537432164E-4</v>
      </c>
    </row>
    <row r="748" spans="2:5" ht="15" customHeight="1">
      <c r="B748" s="92"/>
      <c r="C748" s="68" t="s">
        <v>209</v>
      </c>
      <c r="D748" s="69">
        <v>16</v>
      </c>
      <c r="E748" s="70">
        <v>5.3931978292399995E-4</v>
      </c>
    </row>
    <row r="749" spans="2:5" ht="15" customHeight="1">
      <c r="B749" s="92"/>
      <c r="C749" s="68" t="s">
        <v>232</v>
      </c>
      <c r="D749" s="69">
        <v>10</v>
      </c>
      <c r="E749" s="70">
        <v>3.3707486432699998E-4</v>
      </c>
    </row>
    <row r="750" spans="2:5" ht="15" customHeight="1">
      <c r="B750" s="92"/>
      <c r="C750" s="68" t="s">
        <v>211</v>
      </c>
      <c r="D750" s="69">
        <v>7</v>
      </c>
      <c r="E750" s="70">
        <v>2.35952405029E-4</v>
      </c>
    </row>
    <row r="751" spans="2:5" ht="15" customHeight="1">
      <c r="B751" s="92"/>
      <c r="C751" s="68" t="s">
        <v>233</v>
      </c>
      <c r="D751" s="69">
        <v>4</v>
      </c>
      <c r="E751" s="70">
        <v>1.3482994573099999E-4</v>
      </c>
    </row>
    <row r="752" spans="2:5" ht="15" customHeight="1">
      <c r="B752" s="92"/>
      <c r="C752" s="68" t="s">
        <v>212</v>
      </c>
      <c r="D752" s="69">
        <v>23</v>
      </c>
      <c r="E752" s="70">
        <v>7.7527218795299998E-4</v>
      </c>
    </row>
    <row r="753" spans="2:5" ht="15" customHeight="1">
      <c r="B753" s="92"/>
      <c r="C753" s="68" t="s">
        <v>213</v>
      </c>
      <c r="D753" s="69">
        <v>114</v>
      </c>
      <c r="E753" s="70">
        <v>3.8426534533320001E-3</v>
      </c>
    </row>
    <row r="754" spans="2:5" ht="15" customHeight="1">
      <c r="B754" s="92"/>
      <c r="C754" s="68" t="s">
        <v>214</v>
      </c>
      <c r="D754" s="69">
        <v>14</v>
      </c>
      <c r="E754" s="70">
        <v>4.7190481005799999E-4</v>
      </c>
    </row>
    <row r="755" spans="2:5" ht="15" customHeight="1">
      <c r="B755" s="92"/>
      <c r="C755" s="68" t="s">
        <v>234</v>
      </c>
      <c r="D755" s="69">
        <v>13</v>
      </c>
      <c r="E755" s="70">
        <v>4.38197323626E-4</v>
      </c>
    </row>
    <row r="756" spans="2:5" ht="15" customHeight="1">
      <c r="B756" s="92"/>
      <c r="C756" s="68" t="s">
        <v>215</v>
      </c>
      <c r="D756" s="69">
        <v>139</v>
      </c>
      <c r="E756" s="70">
        <v>4.6853406141499996E-3</v>
      </c>
    </row>
    <row r="757" spans="2:5" ht="15" customHeight="1">
      <c r="B757" s="92"/>
      <c r="C757" s="68" t="s">
        <v>244</v>
      </c>
      <c r="D757" s="69">
        <v>9</v>
      </c>
      <c r="E757" s="70">
        <v>3.0336737789499998E-4</v>
      </c>
    </row>
    <row r="758" spans="2:5" ht="15" customHeight="1">
      <c r="B758" s="92"/>
      <c r="C758" s="68" t="s">
        <v>216</v>
      </c>
      <c r="D758" s="69">
        <v>4</v>
      </c>
      <c r="E758" s="70">
        <v>1.3482994573099999E-4</v>
      </c>
    </row>
    <row r="759" spans="2:5" ht="15" customHeight="1">
      <c r="B759" s="92"/>
      <c r="C759" s="68" t="s">
        <v>217</v>
      </c>
      <c r="D759" s="69">
        <v>8</v>
      </c>
      <c r="E759" s="70">
        <v>2.6965989146199998E-4</v>
      </c>
    </row>
    <row r="760" spans="2:5" ht="15" customHeight="1">
      <c r="B760" s="92"/>
      <c r="C760" s="68" t="s">
        <v>218</v>
      </c>
      <c r="D760" s="69">
        <v>85</v>
      </c>
      <c r="E760" s="70">
        <v>2.8651363467829998E-3</v>
      </c>
    </row>
    <row r="761" spans="2:5" ht="15" customHeight="1">
      <c r="B761" s="92"/>
      <c r="C761" s="68" t="s">
        <v>219</v>
      </c>
      <c r="D761" s="69">
        <v>5</v>
      </c>
      <c r="E761" s="70">
        <v>1.68537432164E-4</v>
      </c>
    </row>
    <row r="762" spans="2:5" ht="15" customHeight="1">
      <c r="B762" s="92"/>
      <c r="C762" s="68" t="s">
        <v>236</v>
      </c>
      <c r="D762" s="69">
        <v>2</v>
      </c>
      <c r="E762" s="70">
        <v>6.7414972865000001E-5</v>
      </c>
    </row>
    <row r="763" spans="2:5" ht="15" customHeight="1">
      <c r="B763" s="92"/>
      <c r="C763" s="68" t="s">
        <v>220</v>
      </c>
      <c r="D763" s="69">
        <v>19</v>
      </c>
      <c r="E763" s="70">
        <v>6.4044224222200002E-4</v>
      </c>
    </row>
    <row r="764" spans="2:5" ht="15" customHeight="1">
      <c r="B764" s="92"/>
      <c r="C764" s="68" t="s">
        <v>221</v>
      </c>
      <c r="D764" s="69">
        <v>10</v>
      </c>
      <c r="E764" s="70">
        <v>3.3707486432699998E-4</v>
      </c>
    </row>
    <row r="765" spans="2:5" ht="15" customHeight="1">
      <c r="B765" s="92"/>
      <c r="C765" s="68" t="s">
        <v>237</v>
      </c>
      <c r="D765" s="69">
        <v>2</v>
      </c>
      <c r="E765" s="70">
        <v>6.7414972865000001E-5</v>
      </c>
    </row>
    <row r="766" spans="2:5" ht="15" customHeight="1">
      <c r="B766" s="92"/>
      <c r="C766" s="68" t="s">
        <v>245</v>
      </c>
      <c r="D766" s="69">
        <v>2</v>
      </c>
      <c r="E766" s="70">
        <v>6.7414972865000001E-5</v>
      </c>
    </row>
    <row r="767" spans="2:5" ht="15" customHeight="1">
      <c r="B767" s="92"/>
      <c r="C767" s="68" t="s">
        <v>222</v>
      </c>
      <c r="D767" s="69">
        <v>11</v>
      </c>
      <c r="E767" s="70">
        <v>3.7078235075999999E-4</v>
      </c>
    </row>
    <row r="768" spans="2:5" ht="15" customHeight="1">
      <c r="B768" s="92"/>
      <c r="C768" s="68" t="s">
        <v>223</v>
      </c>
      <c r="D768" s="69">
        <v>1</v>
      </c>
      <c r="E768" s="70">
        <v>3.3707486433000001E-5</v>
      </c>
    </row>
    <row r="769" spans="2:5" ht="15" customHeight="1">
      <c r="B769" s="92"/>
      <c r="C769" s="68" t="s">
        <v>224</v>
      </c>
      <c r="D769" s="69">
        <v>7</v>
      </c>
      <c r="E769" s="70">
        <v>2.35952405029E-4</v>
      </c>
    </row>
    <row r="770" spans="2:5" ht="15" customHeight="1">
      <c r="B770" s="92"/>
      <c r="C770" s="68" t="s">
        <v>225</v>
      </c>
      <c r="D770" s="69">
        <v>14</v>
      </c>
      <c r="E770" s="70">
        <v>4.7190481005799999E-4</v>
      </c>
    </row>
    <row r="771" spans="2:5" ht="15" customHeight="1">
      <c r="B771" s="92"/>
      <c r="C771" s="68" t="s">
        <v>251</v>
      </c>
      <c r="D771" s="69">
        <v>2</v>
      </c>
      <c r="E771" s="70">
        <v>6.7414972865000001E-5</v>
      </c>
    </row>
    <row r="772" spans="2:5" ht="15" customHeight="1">
      <c r="B772" s="92"/>
      <c r="C772" s="68" t="s">
        <v>239</v>
      </c>
      <c r="D772" s="69">
        <v>2</v>
      </c>
      <c r="E772" s="70">
        <v>6.7414972865000001E-5</v>
      </c>
    </row>
    <row r="773" spans="2:5" ht="15" customHeight="1">
      <c r="B773" s="92"/>
      <c r="C773" s="68" t="s">
        <v>240</v>
      </c>
      <c r="D773" s="69">
        <v>26</v>
      </c>
      <c r="E773" s="70">
        <v>8.7639464725100004E-4</v>
      </c>
    </row>
    <row r="774" spans="2:5" ht="15" customHeight="1">
      <c r="B774" s="92"/>
      <c r="C774" s="68" t="s">
        <v>241</v>
      </c>
      <c r="D774" s="69">
        <v>8</v>
      </c>
      <c r="E774" s="70">
        <v>2.6965989146199998E-4</v>
      </c>
    </row>
    <row r="775" spans="2:5" ht="15" customHeight="1">
      <c r="B775" s="92"/>
      <c r="C775" s="68" t="s">
        <v>246</v>
      </c>
      <c r="D775" s="69">
        <v>2</v>
      </c>
      <c r="E775" s="70">
        <v>6.7414972865000001E-5</v>
      </c>
    </row>
    <row r="776" spans="2:5" ht="15" customHeight="1">
      <c r="B776" s="92"/>
      <c r="C776" s="68" t="s">
        <v>226</v>
      </c>
      <c r="D776" s="69">
        <v>145</v>
      </c>
      <c r="E776" s="70">
        <v>4.887585532747E-3</v>
      </c>
    </row>
    <row r="777" spans="2:5" ht="15" customHeight="1">
      <c r="B777" s="92"/>
      <c r="C777" s="68" t="s">
        <v>227</v>
      </c>
      <c r="D777" s="69">
        <v>25</v>
      </c>
      <c r="E777" s="70">
        <v>8.4268716081800003E-4</v>
      </c>
    </row>
    <row r="778" spans="2:5" ht="15" customHeight="1">
      <c r="B778" s="92"/>
      <c r="C778" s="68" t="s">
        <v>228</v>
      </c>
      <c r="D778" s="69">
        <v>3</v>
      </c>
      <c r="E778" s="70">
        <v>1.0112245929799999E-4</v>
      </c>
    </row>
    <row r="779" spans="2:5" ht="15" customHeight="1">
      <c r="B779" s="92"/>
      <c r="C779" s="68" t="s">
        <v>247</v>
      </c>
      <c r="D779" s="69">
        <v>3</v>
      </c>
      <c r="E779" s="70">
        <v>1.0112245929799999E-4</v>
      </c>
    </row>
    <row r="780" spans="2:5" ht="15" customHeight="1">
      <c r="B780" s="92"/>
      <c r="C780" s="68" t="s">
        <v>229</v>
      </c>
      <c r="D780" s="69">
        <v>85</v>
      </c>
      <c r="E780" s="70">
        <v>2.8651363467829998E-3</v>
      </c>
    </row>
    <row r="781" spans="2:5" ht="15" customHeight="1">
      <c r="B781" s="92"/>
      <c r="C781" s="68" t="s">
        <v>230</v>
      </c>
      <c r="D781" s="69">
        <v>8</v>
      </c>
      <c r="E781" s="70">
        <v>2.6965989146199998E-4</v>
      </c>
    </row>
    <row r="782" spans="2:5" ht="15" customHeight="1">
      <c r="B782" s="93"/>
      <c r="C782" s="36" t="s">
        <v>29</v>
      </c>
      <c r="D782" s="35">
        <v>1023</v>
      </c>
      <c r="E782" s="34">
        <v>3.4482758620690002E-2</v>
      </c>
    </row>
    <row r="783" spans="2:5" ht="15" customHeight="1">
      <c r="B783" s="91" t="s">
        <v>63</v>
      </c>
      <c r="C783" s="68" t="s">
        <v>195</v>
      </c>
      <c r="D783" s="69">
        <v>6</v>
      </c>
      <c r="E783" s="70">
        <v>2.0224491859599999E-4</v>
      </c>
    </row>
    <row r="784" spans="2:5" ht="15" customHeight="1">
      <c r="B784" s="92"/>
      <c r="C784" s="68" t="s">
        <v>196</v>
      </c>
      <c r="D784" s="69">
        <v>1</v>
      </c>
      <c r="E784" s="70">
        <v>3.3707486433000001E-5</v>
      </c>
    </row>
    <row r="785" spans="2:5" ht="15" customHeight="1">
      <c r="B785" s="92"/>
      <c r="C785" s="68" t="s">
        <v>197</v>
      </c>
      <c r="D785" s="69">
        <v>1</v>
      </c>
      <c r="E785" s="70">
        <v>3.3707486433000001E-5</v>
      </c>
    </row>
    <row r="786" spans="2:5" ht="15" customHeight="1">
      <c r="B786" s="92"/>
      <c r="C786" s="68" t="s">
        <v>231</v>
      </c>
      <c r="D786" s="69">
        <v>3</v>
      </c>
      <c r="E786" s="70">
        <v>1.0112245929799999E-4</v>
      </c>
    </row>
    <row r="787" spans="2:5" ht="15" customHeight="1">
      <c r="B787" s="92"/>
      <c r="C787" s="68" t="s">
        <v>198</v>
      </c>
      <c r="D787" s="69">
        <v>1</v>
      </c>
      <c r="E787" s="70">
        <v>3.3707486433000001E-5</v>
      </c>
    </row>
    <row r="788" spans="2:5" ht="15" customHeight="1">
      <c r="B788" s="92"/>
      <c r="C788" s="68" t="s">
        <v>199</v>
      </c>
      <c r="D788" s="69">
        <v>7</v>
      </c>
      <c r="E788" s="70">
        <v>2.35952405029E-4</v>
      </c>
    </row>
    <row r="789" spans="2:5" ht="15" customHeight="1">
      <c r="B789" s="92"/>
      <c r="C789" s="68" t="s">
        <v>200</v>
      </c>
      <c r="D789" s="69">
        <v>7</v>
      </c>
      <c r="E789" s="70">
        <v>2.35952405029E-4</v>
      </c>
    </row>
    <row r="790" spans="2:5" ht="15" customHeight="1">
      <c r="B790" s="92"/>
      <c r="C790" s="68" t="s">
        <v>201</v>
      </c>
      <c r="D790" s="69">
        <v>2</v>
      </c>
      <c r="E790" s="70">
        <v>6.7414972865000001E-5</v>
      </c>
    </row>
    <row r="791" spans="2:5" ht="15" customHeight="1">
      <c r="B791" s="92"/>
      <c r="C791" s="68" t="s">
        <v>202</v>
      </c>
      <c r="D791" s="69">
        <v>1</v>
      </c>
      <c r="E791" s="70">
        <v>3.3707486433000001E-5</v>
      </c>
    </row>
    <row r="792" spans="2:5" ht="15" customHeight="1">
      <c r="B792" s="92"/>
      <c r="C792" s="68" t="s">
        <v>203</v>
      </c>
      <c r="D792" s="69">
        <v>7</v>
      </c>
      <c r="E792" s="70">
        <v>2.35952405029E-4</v>
      </c>
    </row>
    <row r="793" spans="2:5" ht="15" customHeight="1">
      <c r="B793" s="92"/>
      <c r="C793" s="68" t="s">
        <v>249</v>
      </c>
      <c r="D793" s="69">
        <v>1</v>
      </c>
      <c r="E793" s="70">
        <v>3.3707486433000001E-5</v>
      </c>
    </row>
    <row r="794" spans="2:5" ht="15" customHeight="1">
      <c r="B794" s="92"/>
      <c r="C794" s="68" t="s">
        <v>204</v>
      </c>
      <c r="D794" s="69">
        <v>1</v>
      </c>
      <c r="E794" s="70">
        <v>3.3707486433000001E-5</v>
      </c>
    </row>
    <row r="795" spans="2:5" ht="15" customHeight="1">
      <c r="B795" s="92"/>
      <c r="C795" s="68" t="s">
        <v>205</v>
      </c>
      <c r="D795" s="69">
        <v>3</v>
      </c>
      <c r="E795" s="70">
        <v>1.0112245929799999E-4</v>
      </c>
    </row>
    <row r="796" spans="2:5" ht="15" customHeight="1">
      <c r="B796" s="92"/>
      <c r="C796" s="68" t="s">
        <v>206</v>
      </c>
      <c r="D796" s="69">
        <v>4</v>
      </c>
      <c r="E796" s="70">
        <v>1.3482994573099999E-4</v>
      </c>
    </row>
    <row r="797" spans="2:5" ht="15" customHeight="1">
      <c r="B797" s="92"/>
      <c r="C797" s="68" t="s">
        <v>207</v>
      </c>
      <c r="D797" s="69">
        <v>1</v>
      </c>
      <c r="E797" s="70">
        <v>3.3707486433000001E-5</v>
      </c>
    </row>
    <row r="798" spans="2:5" ht="15" customHeight="1">
      <c r="B798" s="92"/>
      <c r="C798" s="68" t="s">
        <v>208</v>
      </c>
      <c r="D798" s="69">
        <v>1</v>
      </c>
      <c r="E798" s="70">
        <v>3.3707486433000001E-5</v>
      </c>
    </row>
    <row r="799" spans="2:5" ht="15" customHeight="1">
      <c r="B799" s="92"/>
      <c r="C799" s="68" t="s">
        <v>209</v>
      </c>
      <c r="D799" s="69">
        <v>1</v>
      </c>
      <c r="E799" s="70">
        <v>3.3707486433000001E-5</v>
      </c>
    </row>
    <row r="800" spans="2:5" ht="15" customHeight="1">
      <c r="B800" s="92"/>
      <c r="C800" s="68" t="s">
        <v>232</v>
      </c>
      <c r="D800" s="69">
        <v>9</v>
      </c>
      <c r="E800" s="70">
        <v>3.0336737789499998E-4</v>
      </c>
    </row>
    <row r="801" spans="2:5" ht="15" customHeight="1">
      <c r="B801" s="92"/>
      <c r="C801" s="68" t="s">
        <v>211</v>
      </c>
      <c r="D801" s="69">
        <v>3</v>
      </c>
      <c r="E801" s="70">
        <v>1.0112245929799999E-4</v>
      </c>
    </row>
    <row r="802" spans="2:5" ht="15" customHeight="1">
      <c r="B802" s="92"/>
      <c r="C802" s="68" t="s">
        <v>213</v>
      </c>
      <c r="D802" s="69">
        <v>22</v>
      </c>
      <c r="E802" s="70">
        <v>7.4156470151999997E-4</v>
      </c>
    </row>
    <row r="803" spans="2:5" ht="15" customHeight="1">
      <c r="B803" s="92"/>
      <c r="C803" s="68" t="s">
        <v>214</v>
      </c>
      <c r="D803" s="69">
        <v>7</v>
      </c>
      <c r="E803" s="70">
        <v>2.35952405029E-4</v>
      </c>
    </row>
    <row r="804" spans="2:5" ht="15" customHeight="1">
      <c r="B804" s="92"/>
      <c r="C804" s="68" t="s">
        <v>234</v>
      </c>
      <c r="D804" s="69">
        <v>7</v>
      </c>
      <c r="E804" s="70">
        <v>2.35952405029E-4</v>
      </c>
    </row>
    <row r="805" spans="2:5" ht="15" customHeight="1">
      <c r="B805" s="92"/>
      <c r="C805" s="68" t="s">
        <v>215</v>
      </c>
      <c r="D805" s="69">
        <v>73</v>
      </c>
      <c r="E805" s="70">
        <v>2.4606465095899999E-3</v>
      </c>
    </row>
    <row r="806" spans="2:5" ht="15" customHeight="1">
      <c r="B806" s="92"/>
      <c r="C806" s="68" t="s">
        <v>235</v>
      </c>
      <c r="D806" s="69">
        <v>6</v>
      </c>
      <c r="E806" s="70">
        <v>2.0224491859599999E-4</v>
      </c>
    </row>
    <row r="807" spans="2:5" ht="15" customHeight="1">
      <c r="B807" s="92"/>
      <c r="C807" s="68" t="s">
        <v>244</v>
      </c>
      <c r="D807" s="69">
        <v>1</v>
      </c>
      <c r="E807" s="70">
        <v>3.3707486433000001E-5</v>
      </c>
    </row>
    <row r="808" spans="2:5" ht="15" customHeight="1">
      <c r="B808" s="92"/>
      <c r="C808" s="68" t="s">
        <v>216</v>
      </c>
      <c r="D808" s="69">
        <v>2</v>
      </c>
      <c r="E808" s="70">
        <v>6.7414972865000001E-5</v>
      </c>
    </row>
    <row r="809" spans="2:5" ht="15" customHeight="1">
      <c r="B809" s="92"/>
      <c r="C809" s="68" t="s">
        <v>218</v>
      </c>
      <c r="D809" s="69">
        <v>28</v>
      </c>
      <c r="E809" s="70">
        <v>9.4380962011699995E-4</v>
      </c>
    </row>
    <row r="810" spans="2:5" ht="15" customHeight="1">
      <c r="B810" s="92"/>
      <c r="C810" s="68" t="s">
        <v>219</v>
      </c>
      <c r="D810" s="69">
        <v>17</v>
      </c>
      <c r="E810" s="70">
        <v>5.7302726935699996E-4</v>
      </c>
    </row>
    <row r="811" spans="2:5" ht="15" customHeight="1">
      <c r="B811" s="92"/>
      <c r="C811" s="68" t="s">
        <v>236</v>
      </c>
      <c r="D811" s="69">
        <v>6</v>
      </c>
      <c r="E811" s="70">
        <v>2.0224491859599999E-4</v>
      </c>
    </row>
    <row r="812" spans="2:5" ht="15" customHeight="1">
      <c r="B812" s="92"/>
      <c r="C812" s="68" t="s">
        <v>220</v>
      </c>
      <c r="D812" s="69">
        <v>3</v>
      </c>
      <c r="E812" s="70">
        <v>1.0112245929799999E-4</v>
      </c>
    </row>
    <row r="813" spans="2:5" ht="15" customHeight="1">
      <c r="B813" s="92"/>
      <c r="C813" s="68" t="s">
        <v>221</v>
      </c>
      <c r="D813" s="69">
        <v>14</v>
      </c>
      <c r="E813" s="70">
        <v>4.7190481005799999E-4</v>
      </c>
    </row>
    <row r="814" spans="2:5" ht="15" customHeight="1">
      <c r="B814" s="92"/>
      <c r="C814" s="68" t="s">
        <v>222</v>
      </c>
      <c r="D814" s="69">
        <v>2</v>
      </c>
      <c r="E814" s="70">
        <v>6.7414972865000001E-5</v>
      </c>
    </row>
    <row r="815" spans="2:5" ht="15" customHeight="1">
      <c r="B815" s="92"/>
      <c r="C815" s="68" t="s">
        <v>225</v>
      </c>
      <c r="D815" s="69">
        <v>5</v>
      </c>
      <c r="E815" s="70">
        <v>1.68537432164E-4</v>
      </c>
    </row>
    <row r="816" spans="2:5" ht="15" customHeight="1">
      <c r="B816" s="92"/>
      <c r="C816" s="68" t="s">
        <v>238</v>
      </c>
      <c r="D816" s="69">
        <v>2</v>
      </c>
      <c r="E816" s="70">
        <v>6.7414972865000001E-5</v>
      </c>
    </row>
    <row r="817" spans="2:5" ht="15" customHeight="1">
      <c r="B817" s="92"/>
      <c r="C817" s="68" t="s">
        <v>239</v>
      </c>
      <c r="D817" s="69">
        <v>1</v>
      </c>
      <c r="E817" s="70">
        <v>3.3707486433000001E-5</v>
      </c>
    </row>
    <row r="818" spans="2:5" ht="15" customHeight="1">
      <c r="B818" s="92"/>
      <c r="C818" s="68" t="s">
        <v>240</v>
      </c>
      <c r="D818" s="69">
        <v>2</v>
      </c>
      <c r="E818" s="70">
        <v>6.7414972865000001E-5</v>
      </c>
    </row>
    <row r="819" spans="2:5" ht="15" customHeight="1">
      <c r="B819" s="92"/>
      <c r="C819" s="68" t="s">
        <v>226</v>
      </c>
      <c r="D819" s="69">
        <v>65</v>
      </c>
      <c r="E819" s="70">
        <v>2.190986618128E-3</v>
      </c>
    </row>
    <row r="820" spans="2:5" ht="15" customHeight="1">
      <c r="B820" s="92"/>
      <c r="C820" s="68" t="s">
        <v>227</v>
      </c>
      <c r="D820" s="69">
        <v>16</v>
      </c>
      <c r="E820" s="70">
        <v>5.3931978292399995E-4</v>
      </c>
    </row>
    <row r="821" spans="2:5" ht="15" customHeight="1">
      <c r="B821" s="92"/>
      <c r="C821" s="68" t="s">
        <v>228</v>
      </c>
      <c r="D821" s="69">
        <v>7</v>
      </c>
      <c r="E821" s="70">
        <v>2.35952405029E-4</v>
      </c>
    </row>
    <row r="822" spans="2:5" ht="15" customHeight="1">
      <c r="B822" s="92"/>
      <c r="C822" s="68" t="s">
        <v>247</v>
      </c>
      <c r="D822" s="69">
        <v>8</v>
      </c>
      <c r="E822" s="70">
        <v>2.6965989146199998E-4</v>
      </c>
    </row>
    <row r="823" spans="2:5" ht="15" customHeight="1">
      <c r="B823" s="92"/>
      <c r="C823" s="68" t="s">
        <v>229</v>
      </c>
      <c r="D823" s="69">
        <v>5</v>
      </c>
      <c r="E823" s="70">
        <v>1.68537432164E-4</v>
      </c>
    </row>
    <row r="824" spans="2:5" ht="15" customHeight="1">
      <c r="B824" s="92"/>
      <c r="C824" s="68" t="s">
        <v>230</v>
      </c>
      <c r="D824" s="69">
        <v>2</v>
      </c>
      <c r="E824" s="70">
        <v>6.7414972865000001E-5</v>
      </c>
    </row>
    <row r="825" spans="2:5" ht="15" customHeight="1">
      <c r="B825" s="93"/>
      <c r="C825" s="36" t="s">
        <v>29</v>
      </c>
      <c r="D825" s="35">
        <v>361</v>
      </c>
      <c r="E825" s="34">
        <v>1.2168402602217999E-2</v>
      </c>
    </row>
    <row r="826" spans="2:5" ht="15" customHeight="1">
      <c r="B826" s="91" t="s">
        <v>59</v>
      </c>
      <c r="C826" s="68" t="s">
        <v>195</v>
      </c>
      <c r="D826" s="69">
        <v>2</v>
      </c>
      <c r="E826" s="70">
        <v>6.7414972865000001E-5</v>
      </c>
    </row>
    <row r="827" spans="2:5" ht="15" customHeight="1">
      <c r="B827" s="92"/>
      <c r="C827" s="68" t="s">
        <v>196</v>
      </c>
      <c r="D827" s="69">
        <v>4</v>
      </c>
      <c r="E827" s="70">
        <v>1.3482994573099999E-4</v>
      </c>
    </row>
    <row r="828" spans="2:5" ht="15" customHeight="1">
      <c r="B828" s="92"/>
      <c r="C828" s="68" t="s">
        <v>197</v>
      </c>
      <c r="D828" s="69">
        <v>18</v>
      </c>
      <c r="E828" s="70">
        <v>6.0673475578900001E-4</v>
      </c>
    </row>
    <row r="829" spans="2:5" ht="15" customHeight="1">
      <c r="B829" s="92"/>
      <c r="C829" s="68" t="s">
        <v>231</v>
      </c>
      <c r="D829" s="69">
        <v>1</v>
      </c>
      <c r="E829" s="70">
        <v>3.3707486433000001E-5</v>
      </c>
    </row>
    <row r="830" spans="2:5" ht="15" customHeight="1">
      <c r="B830" s="92"/>
      <c r="C830" s="68" t="s">
        <v>198</v>
      </c>
      <c r="D830" s="69">
        <v>5</v>
      </c>
      <c r="E830" s="70">
        <v>1.68537432164E-4</v>
      </c>
    </row>
    <row r="831" spans="2:5" ht="15" customHeight="1">
      <c r="B831" s="92"/>
      <c r="C831" s="68" t="s">
        <v>248</v>
      </c>
      <c r="D831" s="69">
        <v>2</v>
      </c>
      <c r="E831" s="70">
        <v>6.7414972865000001E-5</v>
      </c>
    </row>
    <row r="832" spans="2:5" ht="15" customHeight="1">
      <c r="B832" s="92"/>
      <c r="C832" s="68" t="s">
        <v>242</v>
      </c>
      <c r="D832" s="69">
        <v>3</v>
      </c>
      <c r="E832" s="70">
        <v>1.0112245929799999E-4</v>
      </c>
    </row>
    <row r="833" spans="2:5" ht="15" customHeight="1">
      <c r="B833" s="92"/>
      <c r="C833" s="68" t="s">
        <v>199</v>
      </c>
      <c r="D833" s="69">
        <v>31</v>
      </c>
      <c r="E833" s="70">
        <v>1.0449320794149999E-3</v>
      </c>
    </row>
    <row r="834" spans="2:5" ht="15" customHeight="1">
      <c r="B834" s="92"/>
      <c r="C834" s="68" t="s">
        <v>200</v>
      </c>
      <c r="D834" s="69">
        <v>6</v>
      </c>
      <c r="E834" s="70">
        <v>2.0224491859599999E-4</v>
      </c>
    </row>
    <row r="835" spans="2:5" ht="15" customHeight="1">
      <c r="B835" s="92"/>
      <c r="C835" s="68" t="s">
        <v>201</v>
      </c>
      <c r="D835" s="69">
        <v>24</v>
      </c>
      <c r="E835" s="70">
        <v>8.0897967438599999E-4</v>
      </c>
    </row>
    <row r="836" spans="2:5" ht="15" customHeight="1">
      <c r="B836" s="92"/>
      <c r="C836" s="68" t="s">
        <v>202</v>
      </c>
      <c r="D836" s="69">
        <v>5</v>
      </c>
      <c r="E836" s="70">
        <v>1.68537432164E-4</v>
      </c>
    </row>
    <row r="837" spans="2:5" ht="15" customHeight="1">
      <c r="B837" s="92"/>
      <c r="C837" s="68" t="s">
        <v>203</v>
      </c>
      <c r="D837" s="69">
        <v>73</v>
      </c>
      <c r="E837" s="70">
        <v>2.4606465095899999E-3</v>
      </c>
    </row>
    <row r="838" spans="2:5" ht="15" customHeight="1">
      <c r="B838" s="92"/>
      <c r="C838" s="68" t="s">
        <v>249</v>
      </c>
      <c r="D838" s="69">
        <v>1</v>
      </c>
      <c r="E838" s="70">
        <v>3.3707486433000001E-5</v>
      </c>
    </row>
    <row r="839" spans="2:5" ht="15" customHeight="1">
      <c r="B839" s="92"/>
      <c r="C839" s="68" t="s">
        <v>204</v>
      </c>
      <c r="D839" s="69">
        <v>8</v>
      </c>
      <c r="E839" s="70">
        <v>2.6965989146199998E-4</v>
      </c>
    </row>
    <row r="840" spans="2:5" ht="15" customHeight="1">
      <c r="B840" s="92"/>
      <c r="C840" s="68" t="s">
        <v>205</v>
      </c>
      <c r="D840" s="69">
        <v>20</v>
      </c>
      <c r="E840" s="70">
        <v>6.7414972865500002E-4</v>
      </c>
    </row>
    <row r="841" spans="2:5" ht="15" customHeight="1">
      <c r="B841" s="92"/>
      <c r="C841" s="68" t="s">
        <v>243</v>
      </c>
      <c r="D841" s="69">
        <v>5</v>
      </c>
      <c r="E841" s="70">
        <v>1.68537432164E-4</v>
      </c>
    </row>
    <row r="842" spans="2:5" ht="15" customHeight="1">
      <c r="B842" s="92"/>
      <c r="C842" s="68" t="s">
        <v>206</v>
      </c>
      <c r="D842" s="69">
        <v>26</v>
      </c>
      <c r="E842" s="70">
        <v>8.7639464725100004E-4</v>
      </c>
    </row>
    <row r="843" spans="2:5" ht="15" customHeight="1">
      <c r="B843" s="92"/>
      <c r="C843" s="68" t="s">
        <v>208</v>
      </c>
      <c r="D843" s="69">
        <v>10</v>
      </c>
      <c r="E843" s="70">
        <v>3.3707486432699998E-4</v>
      </c>
    </row>
    <row r="844" spans="2:5" ht="15" customHeight="1">
      <c r="B844" s="92"/>
      <c r="C844" s="68" t="s">
        <v>209</v>
      </c>
      <c r="D844" s="69">
        <v>96</v>
      </c>
      <c r="E844" s="70">
        <v>3.2359186975429999E-3</v>
      </c>
    </row>
    <row r="845" spans="2:5" ht="15" customHeight="1">
      <c r="B845" s="92"/>
      <c r="C845" s="68" t="s">
        <v>232</v>
      </c>
      <c r="D845" s="69">
        <v>2</v>
      </c>
      <c r="E845" s="70">
        <v>6.7414972865000001E-5</v>
      </c>
    </row>
    <row r="846" spans="2:5" ht="15" customHeight="1">
      <c r="B846" s="92"/>
      <c r="C846" s="68" t="s">
        <v>211</v>
      </c>
      <c r="D846" s="69">
        <v>7</v>
      </c>
      <c r="E846" s="70">
        <v>2.35952405029E-4</v>
      </c>
    </row>
    <row r="847" spans="2:5" ht="15" customHeight="1">
      <c r="B847" s="92"/>
      <c r="C847" s="68" t="s">
        <v>212</v>
      </c>
      <c r="D847" s="69">
        <v>8</v>
      </c>
      <c r="E847" s="70">
        <v>2.6965989146199998E-4</v>
      </c>
    </row>
    <row r="848" spans="2:5" ht="15" customHeight="1">
      <c r="B848" s="92"/>
      <c r="C848" s="68" t="s">
        <v>213</v>
      </c>
      <c r="D848" s="69">
        <v>33</v>
      </c>
      <c r="E848" s="70">
        <v>1.1123470522800001E-3</v>
      </c>
    </row>
    <row r="849" spans="2:5" ht="15" customHeight="1">
      <c r="B849" s="92"/>
      <c r="C849" s="68" t="s">
        <v>214</v>
      </c>
      <c r="D849" s="69">
        <v>4</v>
      </c>
      <c r="E849" s="70">
        <v>1.3482994573099999E-4</v>
      </c>
    </row>
    <row r="850" spans="2:5" ht="15" customHeight="1">
      <c r="B850" s="92"/>
      <c r="C850" s="68" t="s">
        <v>57</v>
      </c>
      <c r="D850" s="69">
        <v>1</v>
      </c>
      <c r="E850" s="70">
        <v>3.3707486433000001E-5</v>
      </c>
    </row>
    <row r="851" spans="2:5" ht="15" customHeight="1">
      <c r="B851" s="92"/>
      <c r="C851" s="68" t="s">
        <v>234</v>
      </c>
      <c r="D851" s="69">
        <v>2</v>
      </c>
      <c r="E851" s="70">
        <v>6.7414972865000001E-5</v>
      </c>
    </row>
    <row r="852" spans="2:5" ht="15" customHeight="1">
      <c r="B852" s="92"/>
      <c r="C852" s="68" t="s">
        <v>215</v>
      </c>
      <c r="D852" s="69">
        <v>61</v>
      </c>
      <c r="E852" s="70">
        <v>2.056156672397E-3</v>
      </c>
    </row>
    <row r="853" spans="2:5" ht="15" customHeight="1">
      <c r="B853" s="92"/>
      <c r="C853" s="68" t="s">
        <v>235</v>
      </c>
      <c r="D853" s="69">
        <v>7</v>
      </c>
      <c r="E853" s="70">
        <v>2.35952405029E-4</v>
      </c>
    </row>
    <row r="854" spans="2:5" ht="15" customHeight="1">
      <c r="B854" s="92"/>
      <c r="C854" s="68" t="s">
        <v>244</v>
      </c>
      <c r="D854" s="69">
        <v>4</v>
      </c>
      <c r="E854" s="70">
        <v>1.3482994573099999E-4</v>
      </c>
    </row>
    <row r="855" spans="2:5" ht="15" customHeight="1">
      <c r="B855" s="92"/>
      <c r="C855" s="68" t="s">
        <v>216</v>
      </c>
      <c r="D855" s="69">
        <v>9</v>
      </c>
      <c r="E855" s="70">
        <v>3.0336737789499998E-4</v>
      </c>
    </row>
    <row r="856" spans="2:5" ht="15" customHeight="1">
      <c r="B856" s="92"/>
      <c r="C856" s="68" t="s">
        <v>217</v>
      </c>
      <c r="D856" s="69">
        <v>7</v>
      </c>
      <c r="E856" s="70">
        <v>2.35952405029E-4</v>
      </c>
    </row>
    <row r="857" spans="2:5" ht="15" customHeight="1">
      <c r="B857" s="92"/>
      <c r="C857" s="68" t="s">
        <v>218</v>
      </c>
      <c r="D857" s="69">
        <v>4</v>
      </c>
      <c r="E857" s="70">
        <v>1.3482994573099999E-4</v>
      </c>
    </row>
    <row r="858" spans="2:5" ht="15" customHeight="1">
      <c r="B858" s="92"/>
      <c r="C858" s="68" t="s">
        <v>219</v>
      </c>
      <c r="D858" s="69">
        <v>5</v>
      </c>
      <c r="E858" s="70">
        <v>1.68537432164E-4</v>
      </c>
    </row>
    <row r="859" spans="2:5" ht="15" customHeight="1">
      <c r="B859" s="92"/>
      <c r="C859" s="68" t="s">
        <v>236</v>
      </c>
      <c r="D859" s="69">
        <v>5</v>
      </c>
      <c r="E859" s="70">
        <v>1.68537432164E-4</v>
      </c>
    </row>
    <row r="860" spans="2:5" ht="15" customHeight="1">
      <c r="B860" s="92"/>
      <c r="C860" s="68" t="s">
        <v>220</v>
      </c>
      <c r="D860" s="69">
        <v>12</v>
      </c>
      <c r="E860" s="70">
        <v>4.0448983719299999E-4</v>
      </c>
    </row>
    <row r="861" spans="2:5" ht="15" customHeight="1">
      <c r="B861" s="92"/>
      <c r="C861" s="68" t="s">
        <v>221</v>
      </c>
      <c r="D861" s="69">
        <v>11</v>
      </c>
      <c r="E861" s="70">
        <v>3.7078235075999999E-4</v>
      </c>
    </row>
    <row r="862" spans="2:5" ht="15" customHeight="1">
      <c r="B862" s="92"/>
      <c r="C862" s="68" t="s">
        <v>237</v>
      </c>
      <c r="D862" s="69">
        <v>3</v>
      </c>
      <c r="E862" s="70">
        <v>1.0112245929799999E-4</v>
      </c>
    </row>
    <row r="863" spans="2:5" ht="15" customHeight="1">
      <c r="B863" s="92"/>
      <c r="C863" s="68" t="s">
        <v>245</v>
      </c>
      <c r="D863" s="69">
        <v>2</v>
      </c>
      <c r="E863" s="70">
        <v>6.7414972865000001E-5</v>
      </c>
    </row>
    <row r="864" spans="2:5" ht="15" customHeight="1">
      <c r="B864" s="92"/>
      <c r="C864" s="68" t="s">
        <v>222</v>
      </c>
      <c r="D864" s="69">
        <v>14</v>
      </c>
      <c r="E864" s="70">
        <v>4.7190481005799999E-4</v>
      </c>
    </row>
    <row r="865" spans="2:5" ht="15" customHeight="1">
      <c r="B865" s="92"/>
      <c r="C865" s="68" t="s">
        <v>223</v>
      </c>
      <c r="D865" s="69">
        <v>3</v>
      </c>
      <c r="E865" s="70">
        <v>1.0112245929799999E-4</v>
      </c>
    </row>
    <row r="866" spans="2:5" ht="15" customHeight="1">
      <c r="B866" s="92"/>
      <c r="C866" s="68" t="s">
        <v>250</v>
      </c>
      <c r="D866" s="69">
        <v>2</v>
      </c>
      <c r="E866" s="70">
        <v>6.7414972865000001E-5</v>
      </c>
    </row>
    <row r="867" spans="2:5" ht="15" customHeight="1">
      <c r="B867" s="92"/>
      <c r="C867" s="68" t="s">
        <v>224</v>
      </c>
      <c r="D867" s="69">
        <v>7</v>
      </c>
      <c r="E867" s="70">
        <v>2.35952405029E-4</v>
      </c>
    </row>
    <row r="868" spans="2:5" ht="15" customHeight="1">
      <c r="B868" s="92"/>
      <c r="C868" s="68" t="s">
        <v>225</v>
      </c>
      <c r="D868" s="69">
        <v>3</v>
      </c>
      <c r="E868" s="70">
        <v>1.0112245929799999E-4</v>
      </c>
    </row>
    <row r="869" spans="2:5" ht="15" customHeight="1">
      <c r="B869" s="92"/>
      <c r="C869" s="68" t="s">
        <v>238</v>
      </c>
      <c r="D869" s="69">
        <v>4</v>
      </c>
      <c r="E869" s="70">
        <v>1.3482994573099999E-4</v>
      </c>
    </row>
    <row r="870" spans="2:5" ht="15" customHeight="1">
      <c r="B870" s="92"/>
      <c r="C870" s="68" t="s">
        <v>239</v>
      </c>
      <c r="D870" s="69">
        <v>5</v>
      </c>
      <c r="E870" s="70">
        <v>1.68537432164E-4</v>
      </c>
    </row>
    <row r="871" spans="2:5" ht="15" customHeight="1">
      <c r="B871" s="92"/>
      <c r="C871" s="68" t="s">
        <v>240</v>
      </c>
      <c r="D871" s="69">
        <v>2</v>
      </c>
      <c r="E871" s="70">
        <v>6.7414972865000001E-5</v>
      </c>
    </row>
    <row r="872" spans="2:5" ht="15" customHeight="1">
      <c r="B872" s="92"/>
      <c r="C872" s="68" t="s">
        <v>241</v>
      </c>
      <c r="D872" s="69">
        <v>24</v>
      </c>
      <c r="E872" s="70">
        <v>8.0897967438599999E-4</v>
      </c>
    </row>
    <row r="873" spans="2:5" ht="15" customHeight="1">
      <c r="B873" s="92"/>
      <c r="C873" s="68" t="s">
        <v>246</v>
      </c>
      <c r="D873" s="69">
        <v>3</v>
      </c>
      <c r="E873" s="70">
        <v>1.0112245929799999E-4</v>
      </c>
    </row>
    <row r="874" spans="2:5" ht="15" customHeight="1">
      <c r="B874" s="92"/>
      <c r="C874" s="68" t="s">
        <v>226</v>
      </c>
      <c r="D874" s="69">
        <v>4</v>
      </c>
      <c r="E874" s="70">
        <v>1.3482994573099999E-4</v>
      </c>
    </row>
    <row r="875" spans="2:5" ht="15" customHeight="1">
      <c r="B875" s="92"/>
      <c r="C875" s="68" t="s">
        <v>227</v>
      </c>
      <c r="D875" s="69">
        <v>13</v>
      </c>
      <c r="E875" s="70">
        <v>4.38197323626E-4</v>
      </c>
    </row>
    <row r="876" spans="2:5" ht="15" customHeight="1">
      <c r="B876" s="92"/>
      <c r="C876" s="68" t="s">
        <v>228</v>
      </c>
      <c r="D876" s="69">
        <v>6</v>
      </c>
      <c r="E876" s="70">
        <v>2.0224491859599999E-4</v>
      </c>
    </row>
    <row r="877" spans="2:5" ht="15" customHeight="1">
      <c r="B877" s="92"/>
      <c r="C877" s="68" t="s">
        <v>247</v>
      </c>
      <c r="D877" s="69">
        <v>3</v>
      </c>
      <c r="E877" s="70">
        <v>1.0112245929799999E-4</v>
      </c>
    </row>
    <row r="878" spans="2:5" ht="15" customHeight="1">
      <c r="B878" s="92"/>
      <c r="C878" s="68" t="s">
        <v>229</v>
      </c>
      <c r="D878" s="69">
        <v>21</v>
      </c>
      <c r="E878" s="70">
        <v>7.0785721508699996E-4</v>
      </c>
    </row>
    <row r="879" spans="2:5" ht="15" customHeight="1">
      <c r="B879" s="92"/>
      <c r="C879" s="68" t="s">
        <v>230</v>
      </c>
      <c r="D879" s="69">
        <v>3</v>
      </c>
      <c r="E879" s="70">
        <v>1.0112245929799999E-4</v>
      </c>
    </row>
    <row r="880" spans="2:5" ht="15" customHeight="1">
      <c r="B880" s="93"/>
      <c r="C880" s="36" t="s">
        <v>29</v>
      </c>
      <c r="D880" s="35">
        <v>644</v>
      </c>
      <c r="E880" s="34">
        <v>2.1707621262682001E-2</v>
      </c>
    </row>
    <row r="881" spans="2:5" ht="15" customHeight="1">
      <c r="B881" s="91" t="s">
        <v>67</v>
      </c>
      <c r="C881" s="68" t="s">
        <v>196</v>
      </c>
      <c r="D881" s="69">
        <v>8</v>
      </c>
      <c r="E881" s="70">
        <v>2.6965989146199998E-4</v>
      </c>
    </row>
    <row r="882" spans="2:5" ht="15" customHeight="1">
      <c r="B882" s="92"/>
      <c r="C882" s="68" t="s">
        <v>197</v>
      </c>
      <c r="D882" s="69">
        <v>6</v>
      </c>
      <c r="E882" s="70">
        <v>2.0224491859599999E-4</v>
      </c>
    </row>
    <row r="883" spans="2:5" ht="15" customHeight="1">
      <c r="B883" s="92"/>
      <c r="C883" s="68" t="s">
        <v>231</v>
      </c>
      <c r="D883" s="69">
        <v>1</v>
      </c>
      <c r="E883" s="70">
        <v>3.3707486433000001E-5</v>
      </c>
    </row>
    <row r="884" spans="2:5" ht="15" customHeight="1">
      <c r="B884" s="92"/>
      <c r="C884" s="68" t="s">
        <v>198</v>
      </c>
      <c r="D884" s="69">
        <v>2</v>
      </c>
      <c r="E884" s="70">
        <v>6.7414972865000001E-5</v>
      </c>
    </row>
    <row r="885" spans="2:5" ht="15" customHeight="1">
      <c r="B885" s="92"/>
      <c r="C885" s="68" t="s">
        <v>242</v>
      </c>
      <c r="D885" s="69">
        <v>1</v>
      </c>
      <c r="E885" s="70">
        <v>3.3707486433000001E-5</v>
      </c>
    </row>
    <row r="886" spans="2:5" ht="15" customHeight="1">
      <c r="B886" s="92"/>
      <c r="C886" s="68" t="s">
        <v>199</v>
      </c>
      <c r="D886" s="69">
        <v>3</v>
      </c>
      <c r="E886" s="70">
        <v>1.0112245929799999E-4</v>
      </c>
    </row>
    <row r="887" spans="2:5" ht="15" customHeight="1">
      <c r="B887" s="92"/>
      <c r="C887" s="68" t="s">
        <v>200</v>
      </c>
      <c r="D887" s="69">
        <v>2</v>
      </c>
      <c r="E887" s="70">
        <v>6.7414972865000001E-5</v>
      </c>
    </row>
    <row r="888" spans="2:5" ht="15" customHeight="1">
      <c r="B888" s="92"/>
      <c r="C888" s="68" t="s">
        <v>201</v>
      </c>
      <c r="D888" s="69">
        <v>12</v>
      </c>
      <c r="E888" s="70">
        <v>4.0448983719299999E-4</v>
      </c>
    </row>
    <row r="889" spans="2:5" ht="15" customHeight="1">
      <c r="B889" s="92"/>
      <c r="C889" s="68" t="s">
        <v>202</v>
      </c>
      <c r="D889" s="69">
        <v>9</v>
      </c>
      <c r="E889" s="70">
        <v>3.0336737789499998E-4</v>
      </c>
    </row>
    <row r="890" spans="2:5" ht="15" customHeight="1">
      <c r="B890" s="92"/>
      <c r="C890" s="68" t="s">
        <v>203</v>
      </c>
      <c r="D890" s="69">
        <v>18</v>
      </c>
      <c r="E890" s="70">
        <v>6.0673475578900001E-4</v>
      </c>
    </row>
    <row r="891" spans="2:5" ht="15" customHeight="1">
      <c r="B891" s="92"/>
      <c r="C891" s="68" t="s">
        <v>249</v>
      </c>
      <c r="D891" s="69">
        <v>1</v>
      </c>
      <c r="E891" s="70">
        <v>3.3707486433000001E-5</v>
      </c>
    </row>
    <row r="892" spans="2:5" ht="15" customHeight="1">
      <c r="B892" s="92"/>
      <c r="C892" s="68" t="s">
        <v>204</v>
      </c>
      <c r="D892" s="69">
        <v>4</v>
      </c>
      <c r="E892" s="70">
        <v>1.3482994573099999E-4</v>
      </c>
    </row>
    <row r="893" spans="2:5" ht="15" customHeight="1">
      <c r="B893" s="92"/>
      <c r="C893" s="68" t="s">
        <v>205</v>
      </c>
      <c r="D893" s="69">
        <v>3</v>
      </c>
      <c r="E893" s="70">
        <v>1.0112245929799999E-4</v>
      </c>
    </row>
    <row r="894" spans="2:5" ht="15" customHeight="1">
      <c r="B894" s="92"/>
      <c r="C894" s="68" t="s">
        <v>206</v>
      </c>
      <c r="D894" s="69">
        <v>2</v>
      </c>
      <c r="E894" s="70">
        <v>6.7414972865000001E-5</v>
      </c>
    </row>
    <row r="895" spans="2:5" ht="15" customHeight="1">
      <c r="B895" s="92"/>
      <c r="C895" s="68" t="s">
        <v>208</v>
      </c>
      <c r="D895" s="69">
        <v>1</v>
      </c>
      <c r="E895" s="70">
        <v>3.3707486433000001E-5</v>
      </c>
    </row>
    <row r="896" spans="2:5" ht="15" customHeight="1">
      <c r="B896" s="92"/>
      <c r="C896" s="68" t="s">
        <v>209</v>
      </c>
      <c r="D896" s="69">
        <v>7</v>
      </c>
      <c r="E896" s="70">
        <v>2.35952405029E-4</v>
      </c>
    </row>
    <row r="897" spans="2:5" ht="15" customHeight="1">
      <c r="B897" s="92"/>
      <c r="C897" s="68" t="s">
        <v>232</v>
      </c>
      <c r="D897" s="69">
        <v>9</v>
      </c>
      <c r="E897" s="70">
        <v>3.0336737789499998E-4</v>
      </c>
    </row>
    <row r="898" spans="2:5" ht="15" customHeight="1">
      <c r="B898" s="92"/>
      <c r="C898" s="68" t="s">
        <v>211</v>
      </c>
      <c r="D898" s="69">
        <v>4</v>
      </c>
      <c r="E898" s="70">
        <v>1.3482994573099999E-4</v>
      </c>
    </row>
    <row r="899" spans="2:5" ht="15" customHeight="1">
      <c r="B899" s="92"/>
      <c r="C899" s="68" t="s">
        <v>212</v>
      </c>
      <c r="D899" s="69">
        <v>9</v>
      </c>
      <c r="E899" s="70">
        <v>3.0336737789499998E-4</v>
      </c>
    </row>
    <row r="900" spans="2:5" ht="15" customHeight="1">
      <c r="B900" s="92"/>
      <c r="C900" s="68" t="s">
        <v>213</v>
      </c>
      <c r="D900" s="69">
        <v>44</v>
      </c>
      <c r="E900" s="70">
        <v>1.4831294030399999E-3</v>
      </c>
    </row>
    <row r="901" spans="2:5" ht="15" customHeight="1">
      <c r="B901" s="92"/>
      <c r="C901" s="68" t="s">
        <v>214</v>
      </c>
      <c r="D901" s="69">
        <v>4</v>
      </c>
      <c r="E901" s="70">
        <v>1.3482994573099999E-4</v>
      </c>
    </row>
    <row r="902" spans="2:5" ht="15" customHeight="1">
      <c r="B902" s="92"/>
      <c r="C902" s="68" t="s">
        <v>234</v>
      </c>
      <c r="D902" s="69">
        <v>2</v>
      </c>
      <c r="E902" s="70">
        <v>6.7414972865000001E-5</v>
      </c>
    </row>
    <row r="903" spans="2:5" ht="15" customHeight="1">
      <c r="B903" s="92"/>
      <c r="C903" s="68" t="s">
        <v>215</v>
      </c>
      <c r="D903" s="69">
        <v>32</v>
      </c>
      <c r="E903" s="70">
        <v>1.0786395658479999E-3</v>
      </c>
    </row>
    <row r="904" spans="2:5" ht="15" customHeight="1">
      <c r="B904" s="92"/>
      <c r="C904" s="68" t="s">
        <v>235</v>
      </c>
      <c r="D904" s="69">
        <v>1</v>
      </c>
      <c r="E904" s="70">
        <v>3.3707486433000001E-5</v>
      </c>
    </row>
    <row r="905" spans="2:5" ht="15" customHeight="1">
      <c r="B905" s="92"/>
      <c r="C905" s="68" t="s">
        <v>244</v>
      </c>
      <c r="D905" s="69">
        <v>2</v>
      </c>
      <c r="E905" s="70">
        <v>6.7414972865000001E-5</v>
      </c>
    </row>
    <row r="906" spans="2:5" ht="15" customHeight="1">
      <c r="B906" s="92"/>
      <c r="C906" s="68" t="s">
        <v>216</v>
      </c>
      <c r="D906" s="69">
        <v>1</v>
      </c>
      <c r="E906" s="70">
        <v>3.3707486433000001E-5</v>
      </c>
    </row>
    <row r="907" spans="2:5" ht="15" customHeight="1">
      <c r="B907" s="92"/>
      <c r="C907" s="68" t="s">
        <v>217</v>
      </c>
      <c r="D907" s="69">
        <v>2</v>
      </c>
      <c r="E907" s="70">
        <v>6.7414972865000001E-5</v>
      </c>
    </row>
    <row r="908" spans="2:5" ht="15" customHeight="1">
      <c r="B908" s="92"/>
      <c r="C908" s="68" t="s">
        <v>218</v>
      </c>
      <c r="D908" s="69">
        <v>12</v>
      </c>
      <c r="E908" s="70">
        <v>4.0448983719299999E-4</v>
      </c>
    </row>
    <row r="909" spans="2:5" ht="15" customHeight="1">
      <c r="B909" s="92"/>
      <c r="C909" s="68" t="s">
        <v>220</v>
      </c>
      <c r="D909" s="69">
        <v>4</v>
      </c>
      <c r="E909" s="70">
        <v>1.3482994573099999E-4</v>
      </c>
    </row>
    <row r="910" spans="2:5" ht="15" customHeight="1">
      <c r="B910" s="92"/>
      <c r="C910" s="68" t="s">
        <v>221</v>
      </c>
      <c r="D910" s="69">
        <v>6</v>
      </c>
      <c r="E910" s="70">
        <v>2.0224491859599999E-4</v>
      </c>
    </row>
    <row r="911" spans="2:5" ht="15" customHeight="1">
      <c r="B911" s="92"/>
      <c r="C911" s="68" t="s">
        <v>245</v>
      </c>
      <c r="D911" s="69">
        <v>2</v>
      </c>
      <c r="E911" s="70">
        <v>6.7414972865000001E-5</v>
      </c>
    </row>
    <row r="912" spans="2:5" ht="15" customHeight="1">
      <c r="B912" s="92"/>
      <c r="C912" s="68" t="s">
        <v>222</v>
      </c>
      <c r="D912" s="69">
        <v>8</v>
      </c>
      <c r="E912" s="70">
        <v>2.6965989146199998E-4</v>
      </c>
    </row>
    <row r="913" spans="2:5" ht="15" customHeight="1">
      <c r="B913" s="92"/>
      <c r="C913" s="68" t="s">
        <v>223</v>
      </c>
      <c r="D913" s="69">
        <v>1</v>
      </c>
      <c r="E913" s="70">
        <v>3.3707486433000001E-5</v>
      </c>
    </row>
    <row r="914" spans="2:5" ht="15" customHeight="1">
      <c r="B914" s="92"/>
      <c r="C914" s="68" t="s">
        <v>224</v>
      </c>
      <c r="D914" s="69">
        <v>2</v>
      </c>
      <c r="E914" s="70">
        <v>6.7414972865000001E-5</v>
      </c>
    </row>
    <row r="915" spans="2:5" ht="15" customHeight="1">
      <c r="B915" s="92"/>
      <c r="C915" s="68" t="s">
        <v>225</v>
      </c>
      <c r="D915" s="69">
        <v>2</v>
      </c>
      <c r="E915" s="70">
        <v>6.7414972865000001E-5</v>
      </c>
    </row>
    <row r="916" spans="2:5" ht="15" customHeight="1">
      <c r="B916" s="92"/>
      <c r="C916" s="68" t="s">
        <v>238</v>
      </c>
      <c r="D916" s="69">
        <v>1</v>
      </c>
      <c r="E916" s="70">
        <v>3.3707486433000001E-5</v>
      </c>
    </row>
    <row r="917" spans="2:5" ht="15" customHeight="1">
      <c r="B917" s="92"/>
      <c r="C917" s="68" t="s">
        <v>240</v>
      </c>
      <c r="D917" s="69">
        <v>2</v>
      </c>
      <c r="E917" s="70">
        <v>6.7414972865000001E-5</v>
      </c>
    </row>
    <row r="918" spans="2:5" ht="15" customHeight="1">
      <c r="B918" s="92"/>
      <c r="C918" s="68" t="s">
        <v>241</v>
      </c>
      <c r="D918" s="69">
        <v>1</v>
      </c>
      <c r="E918" s="70">
        <v>3.3707486433000001E-5</v>
      </c>
    </row>
    <row r="919" spans="2:5" ht="15" customHeight="1">
      <c r="B919" s="92"/>
      <c r="C919" s="68" t="s">
        <v>226</v>
      </c>
      <c r="D919" s="69">
        <v>8</v>
      </c>
      <c r="E919" s="70">
        <v>2.6965989146199998E-4</v>
      </c>
    </row>
    <row r="920" spans="2:5" ht="15" customHeight="1">
      <c r="B920" s="92"/>
      <c r="C920" s="68" t="s">
        <v>229</v>
      </c>
      <c r="D920" s="69">
        <v>15</v>
      </c>
      <c r="E920" s="70">
        <v>5.0561229649099995E-4</v>
      </c>
    </row>
    <row r="921" spans="2:5" ht="15" customHeight="1">
      <c r="B921" s="92"/>
      <c r="C921" s="68" t="s">
        <v>230</v>
      </c>
      <c r="D921" s="69">
        <v>1</v>
      </c>
      <c r="E921" s="70">
        <v>3.3707486433000001E-5</v>
      </c>
    </row>
    <row r="922" spans="2:5" ht="15" customHeight="1">
      <c r="B922" s="93"/>
      <c r="C922" s="36" t="s">
        <v>29</v>
      </c>
      <c r="D922" s="35">
        <v>255</v>
      </c>
      <c r="E922" s="34">
        <v>8.5954090403479993E-3</v>
      </c>
    </row>
    <row r="923" spans="2:5" ht="15" customHeight="1">
      <c r="B923" s="91" t="s">
        <v>83</v>
      </c>
      <c r="C923" s="68" t="s">
        <v>196</v>
      </c>
      <c r="D923" s="69">
        <v>1</v>
      </c>
      <c r="E923" s="70">
        <v>3.3707486433000001E-5</v>
      </c>
    </row>
    <row r="924" spans="2:5" ht="15" customHeight="1">
      <c r="B924" s="92"/>
      <c r="C924" s="68" t="s">
        <v>197</v>
      </c>
      <c r="D924" s="69">
        <v>1</v>
      </c>
      <c r="E924" s="70">
        <v>3.3707486433000001E-5</v>
      </c>
    </row>
    <row r="925" spans="2:5" ht="15" customHeight="1">
      <c r="B925" s="92"/>
      <c r="C925" s="68" t="s">
        <v>198</v>
      </c>
      <c r="D925" s="69">
        <v>1</v>
      </c>
      <c r="E925" s="70">
        <v>3.3707486433000001E-5</v>
      </c>
    </row>
    <row r="926" spans="2:5" ht="15" customHeight="1">
      <c r="B926" s="92"/>
      <c r="C926" s="68" t="s">
        <v>248</v>
      </c>
      <c r="D926" s="69">
        <v>2</v>
      </c>
      <c r="E926" s="70">
        <v>6.7414972865000001E-5</v>
      </c>
    </row>
    <row r="927" spans="2:5" ht="15" customHeight="1">
      <c r="B927" s="92"/>
      <c r="C927" s="68" t="s">
        <v>199</v>
      </c>
      <c r="D927" s="69">
        <v>3</v>
      </c>
      <c r="E927" s="70">
        <v>1.0112245929799999E-4</v>
      </c>
    </row>
    <row r="928" spans="2:5" ht="15" customHeight="1">
      <c r="B928" s="92"/>
      <c r="C928" s="68" t="s">
        <v>200</v>
      </c>
      <c r="D928" s="69">
        <v>3</v>
      </c>
      <c r="E928" s="70">
        <v>1.0112245929799999E-4</v>
      </c>
    </row>
    <row r="929" spans="2:5" ht="15" customHeight="1">
      <c r="B929" s="92"/>
      <c r="C929" s="68" t="s">
        <v>201</v>
      </c>
      <c r="D929" s="69">
        <v>4</v>
      </c>
      <c r="E929" s="70">
        <v>1.3482994573099999E-4</v>
      </c>
    </row>
    <row r="930" spans="2:5" ht="15" customHeight="1">
      <c r="B930" s="92"/>
      <c r="C930" s="68" t="s">
        <v>203</v>
      </c>
      <c r="D930" s="69">
        <v>7</v>
      </c>
      <c r="E930" s="70">
        <v>2.35952405029E-4</v>
      </c>
    </row>
    <row r="931" spans="2:5" ht="15" customHeight="1">
      <c r="B931" s="92"/>
      <c r="C931" s="68" t="s">
        <v>204</v>
      </c>
      <c r="D931" s="69">
        <v>1</v>
      </c>
      <c r="E931" s="70">
        <v>3.3707486433000001E-5</v>
      </c>
    </row>
    <row r="932" spans="2:5" ht="15" customHeight="1">
      <c r="B932" s="92"/>
      <c r="C932" s="68" t="s">
        <v>209</v>
      </c>
      <c r="D932" s="69">
        <v>4</v>
      </c>
      <c r="E932" s="70">
        <v>1.3482994573099999E-4</v>
      </c>
    </row>
    <row r="933" spans="2:5" ht="15" customHeight="1">
      <c r="B933" s="92"/>
      <c r="C933" s="68" t="s">
        <v>211</v>
      </c>
      <c r="D933" s="69">
        <v>2</v>
      </c>
      <c r="E933" s="70">
        <v>6.7414972865000001E-5</v>
      </c>
    </row>
    <row r="934" spans="2:5" ht="15" customHeight="1">
      <c r="B934" s="92"/>
      <c r="C934" s="68" t="s">
        <v>213</v>
      </c>
      <c r="D934" s="69">
        <v>2</v>
      </c>
      <c r="E934" s="70">
        <v>6.7414972865000001E-5</v>
      </c>
    </row>
    <row r="935" spans="2:5" ht="15" customHeight="1">
      <c r="B935" s="92"/>
      <c r="C935" s="68" t="s">
        <v>214</v>
      </c>
      <c r="D935" s="69">
        <v>2</v>
      </c>
      <c r="E935" s="70">
        <v>6.7414972865000001E-5</v>
      </c>
    </row>
    <row r="936" spans="2:5" ht="15" customHeight="1">
      <c r="B936" s="92"/>
      <c r="C936" s="68" t="s">
        <v>234</v>
      </c>
      <c r="D936" s="69">
        <v>2</v>
      </c>
      <c r="E936" s="70">
        <v>6.7414972865000001E-5</v>
      </c>
    </row>
    <row r="937" spans="2:5" ht="15" customHeight="1">
      <c r="B937" s="92"/>
      <c r="C937" s="68" t="s">
        <v>215</v>
      </c>
      <c r="D937" s="69">
        <v>15</v>
      </c>
      <c r="E937" s="70">
        <v>5.0561229649099995E-4</v>
      </c>
    </row>
    <row r="938" spans="2:5" ht="15" customHeight="1">
      <c r="B938" s="92"/>
      <c r="C938" s="68" t="s">
        <v>217</v>
      </c>
      <c r="D938" s="69">
        <v>1</v>
      </c>
      <c r="E938" s="70">
        <v>3.3707486433000001E-5</v>
      </c>
    </row>
    <row r="939" spans="2:5" ht="15" customHeight="1">
      <c r="B939" s="92"/>
      <c r="C939" s="68" t="s">
        <v>218</v>
      </c>
      <c r="D939" s="69">
        <v>4</v>
      </c>
      <c r="E939" s="70">
        <v>1.3482994573099999E-4</v>
      </c>
    </row>
    <row r="940" spans="2:5" ht="15" customHeight="1">
      <c r="B940" s="92"/>
      <c r="C940" s="68" t="s">
        <v>219</v>
      </c>
      <c r="D940" s="69">
        <v>1</v>
      </c>
      <c r="E940" s="70">
        <v>3.3707486433000001E-5</v>
      </c>
    </row>
    <row r="941" spans="2:5" ht="15" customHeight="1">
      <c r="B941" s="92"/>
      <c r="C941" s="68" t="s">
        <v>221</v>
      </c>
      <c r="D941" s="69">
        <v>1</v>
      </c>
      <c r="E941" s="70">
        <v>3.3707486433000001E-5</v>
      </c>
    </row>
    <row r="942" spans="2:5" ht="15" customHeight="1">
      <c r="B942" s="92"/>
      <c r="C942" s="68" t="s">
        <v>237</v>
      </c>
      <c r="D942" s="69">
        <v>1</v>
      </c>
      <c r="E942" s="70">
        <v>3.3707486433000001E-5</v>
      </c>
    </row>
    <row r="943" spans="2:5" ht="15" customHeight="1">
      <c r="B943" s="92"/>
      <c r="C943" s="68" t="s">
        <v>225</v>
      </c>
      <c r="D943" s="69">
        <v>2</v>
      </c>
      <c r="E943" s="70">
        <v>6.7414972865000001E-5</v>
      </c>
    </row>
    <row r="944" spans="2:5" ht="15" customHeight="1">
      <c r="B944" s="93"/>
      <c r="C944" s="36" t="s">
        <v>29</v>
      </c>
      <c r="D944" s="35">
        <v>60</v>
      </c>
      <c r="E944" s="34">
        <v>2.0224491859639998E-3</v>
      </c>
    </row>
    <row r="945" spans="2:5" ht="15" customHeight="1">
      <c r="B945" s="91" t="s">
        <v>96</v>
      </c>
      <c r="C945" s="68" t="s">
        <v>197</v>
      </c>
      <c r="D945" s="69">
        <v>1</v>
      </c>
      <c r="E945" s="70">
        <v>3.3707486433000001E-5</v>
      </c>
    </row>
    <row r="946" spans="2:5" ht="15" customHeight="1">
      <c r="B946" s="92"/>
      <c r="C946" s="68" t="s">
        <v>213</v>
      </c>
      <c r="D946" s="69">
        <v>2</v>
      </c>
      <c r="E946" s="70">
        <v>6.7414972865000001E-5</v>
      </c>
    </row>
    <row r="947" spans="2:5" ht="15" customHeight="1">
      <c r="B947" s="92"/>
      <c r="C947" s="68" t="s">
        <v>215</v>
      </c>
      <c r="D947" s="69">
        <v>2</v>
      </c>
      <c r="E947" s="70">
        <v>6.7414972865000001E-5</v>
      </c>
    </row>
    <row r="948" spans="2:5" ht="15" customHeight="1">
      <c r="B948" s="92"/>
      <c r="C948" s="68" t="s">
        <v>221</v>
      </c>
      <c r="D948" s="69">
        <v>1</v>
      </c>
      <c r="E948" s="70">
        <v>3.3707486433000001E-5</v>
      </c>
    </row>
    <row r="949" spans="2:5" ht="15" customHeight="1">
      <c r="B949" s="92"/>
      <c r="C949" s="68" t="s">
        <v>223</v>
      </c>
      <c r="D949" s="69">
        <v>1</v>
      </c>
      <c r="E949" s="70">
        <v>3.3707486433000001E-5</v>
      </c>
    </row>
    <row r="950" spans="2:5" ht="15" customHeight="1">
      <c r="B950" s="92"/>
      <c r="C950" s="68" t="s">
        <v>229</v>
      </c>
      <c r="D950" s="69">
        <v>3</v>
      </c>
      <c r="E950" s="70">
        <v>1.0112245929799999E-4</v>
      </c>
    </row>
    <row r="951" spans="2:5" ht="15" customHeight="1">
      <c r="B951" s="93"/>
      <c r="C951" s="36" t="s">
        <v>29</v>
      </c>
      <c r="D951" s="35">
        <v>10</v>
      </c>
      <c r="E951" s="34">
        <v>3.3707486432699998E-4</v>
      </c>
    </row>
    <row r="952" spans="2:5" ht="15" customHeight="1">
      <c r="B952" s="91" t="s">
        <v>100</v>
      </c>
      <c r="C952" s="68" t="s">
        <v>215</v>
      </c>
      <c r="D952" s="69">
        <v>1</v>
      </c>
      <c r="E952" s="70">
        <v>3.3707486433000001E-5</v>
      </c>
    </row>
    <row r="953" spans="2:5" ht="15" customHeight="1">
      <c r="B953" s="93"/>
      <c r="C953" s="36" t="s">
        <v>29</v>
      </c>
      <c r="D953" s="35">
        <v>1</v>
      </c>
      <c r="E953" s="34">
        <v>3.3707486433000001E-5</v>
      </c>
    </row>
    <row r="954" spans="2:5" ht="15" customHeight="1">
      <c r="B954" s="91" t="s">
        <v>62</v>
      </c>
      <c r="C954" s="68" t="s">
        <v>195</v>
      </c>
      <c r="D954" s="69">
        <v>2</v>
      </c>
      <c r="E954" s="70">
        <v>6.7414972865000001E-5</v>
      </c>
    </row>
    <row r="955" spans="2:5" ht="15" customHeight="1">
      <c r="B955" s="92"/>
      <c r="C955" s="68" t="s">
        <v>196</v>
      </c>
      <c r="D955" s="69">
        <v>4</v>
      </c>
      <c r="E955" s="70">
        <v>1.3482994573099999E-4</v>
      </c>
    </row>
    <row r="956" spans="2:5" ht="15" customHeight="1">
      <c r="B956" s="92"/>
      <c r="C956" s="68" t="s">
        <v>197</v>
      </c>
      <c r="D956" s="69">
        <v>12</v>
      </c>
      <c r="E956" s="70">
        <v>4.0448983719299999E-4</v>
      </c>
    </row>
    <row r="957" spans="2:5" ht="15" customHeight="1">
      <c r="B957" s="92"/>
      <c r="C957" s="68" t="s">
        <v>198</v>
      </c>
      <c r="D957" s="69">
        <v>2</v>
      </c>
      <c r="E957" s="70">
        <v>6.7414972865000001E-5</v>
      </c>
    </row>
    <row r="958" spans="2:5" ht="15" customHeight="1">
      <c r="B958" s="92"/>
      <c r="C958" s="68" t="s">
        <v>199</v>
      </c>
      <c r="D958" s="69">
        <v>24</v>
      </c>
      <c r="E958" s="70">
        <v>8.0897967438599999E-4</v>
      </c>
    </row>
    <row r="959" spans="2:5" ht="15" customHeight="1">
      <c r="B959" s="92"/>
      <c r="C959" s="68" t="s">
        <v>201</v>
      </c>
      <c r="D959" s="69">
        <v>11</v>
      </c>
      <c r="E959" s="70">
        <v>3.7078235075999999E-4</v>
      </c>
    </row>
    <row r="960" spans="2:5" ht="15" customHeight="1">
      <c r="B960" s="92"/>
      <c r="C960" s="68" t="s">
        <v>202</v>
      </c>
      <c r="D960" s="69">
        <v>22</v>
      </c>
      <c r="E960" s="70">
        <v>7.4156470151999997E-4</v>
      </c>
    </row>
    <row r="961" spans="2:5" ht="15" customHeight="1">
      <c r="B961" s="92"/>
      <c r="C961" s="68" t="s">
        <v>203</v>
      </c>
      <c r="D961" s="69">
        <v>28</v>
      </c>
      <c r="E961" s="70">
        <v>9.4380962011699995E-4</v>
      </c>
    </row>
    <row r="962" spans="2:5" ht="15" customHeight="1">
      <c r="B962" s="92"/>
      <c r="C962" s="68" t="s">
        <v>249</v>
      </c>
      <c r="D962" s="69">
        <v>2</v>
      </c>
      <c r="E962" s="70">
        <v>6.7414972865000001E-5</v>
      </c>
    </row>
    <row r="963" spans="2:5" ht="15" customHeight="1">
      <c r="B963" s="92"/>
      <c r="C963" s="68" t="s">
        <v>204</v>
      </c>
      <c r="D963" s="69">
        <v>11</v>
      </c>
      <c r="E963" s="70">
        <v>3.7078235075999999E-4</v>
      </c>
    </row>
    <row r="964" spans="2:5" ht="15" customHeight="1">
      <c r="B964" s="92"/>
      <c r="C964" s="68" t="s">
        <v>205</v>
      </c>
      <c r="D964" s="69">
        <v>17</v>
      </c>
      <c r="E964" s="70">
        <v>5.7302726935699996E-4</v>
      </c>
    </row>
    <row r="965" spans="2:5" ht="15" customHeight="1">
      <c r="B965" s="92"/>
      <c r="C965" s="68" t="s">
        <v>243</v>
      </c>
      <c r="D965" s="69">
        <v>2</v>
      </c>
      <c r="E965" s="70">
        <v>6.7414972865000001E-5</v>
      </c>
    </row>
    <row r="966" spans="2:5" ht="15" customHeight="1">
      <c r="B966" s="92"/>
      <c r="C966" s="68" t="s">
        <v>206</v>
      </c>
      <c r="D966" s="69">
        <v>2</v>
      </c>
      <c r="E966" s="70">
        <v>6.7414972865000001E-5</v>
      </c>
    </row>
    <row r="967" spans="2:5" ht="15" customHeight="1">
      <c r="B967" s="92"/>
      <c r="C967" s="68" t="s">
        <v>207</v>
      </c>
      <c r="D967" s="69">
        <v>1</v>
      </c>
      <c r="E967" s="70">
        <v>3.3707486433000001E-5</v>
      </c>
    </row>
    <row r="968" spans="2:5" ht="15" customHeight="1">
      <c r="B968" s="92"/>
      <c r="C968" s="68" t="s">
        <v>208</v>
      </c>
      <c r="D968" s="69">
        <v>4</v>
      </c>
      <c r="E968" s="70">
        <v>1.3482994573099999E-4</v>
      </c>
    </row>
    <row r="969" spans="2:5" ht="15" customHeight="1">
      <c r="B969" s="92"/>
      <c r="C969" s="68" t="s">
        <v>209</v>
      </c>
      <c r="D969" s="69">
        <v>8</v>
      </c>
      <c r="E969" s="70">
        <v>2.6965989146199998E-4</v>
      </c>
    </row>
    <row r="970" spans="2:5" ht="15" customHeight="1">
      <c r="B970" s="92"/>
      <c r="C970" s="68" t="s">
        <v>232</v>
      </c>
      <c r="D970" s="69">
        <v>3</v>
      </c>
      <c r="E970" s="70">
        <v>1.0112245929799999E-4</v>
      </c>
    </row>
    <row r="971" spans="2:5" ht="15" customHeight="1">
      <c r="B971" s="92"/>
      <c r="C971" s="68" t="s">
        <v>211</v>
      </c>
      <c r="D971" s="69">
        <v>2</v>
      </c>
      <c r="E971" s="70">
        <v>6.7414972865000001E-5</v>
      </c>
    </row>
    <row r="972" spans="2:5" ht="15" customHeight="1">
      <c r="B972" s="92"/>
      <c r="C972" s="68" t="s">
        <v>212</v>
      </c>
      <c r="D972" s="69">
        <v>11</v>
      </c>
      <c r="E972" s="70">
        <v>3.7078235075999999E-4</v>
      </c>
    </row>
    <row r="973" spans="2:5" ht="15" customHeight="1">
      <c r="B973" s="92"/>
      <c r="C973" s="68" t="s">
        <v>213</v>
      </c>
      <c r="D973" s="69">
        <v>89</v>
      </c>
      <c r="E973" s="70">
        <v>2.9999662925140002E-3</v>
      </c>
    </row>
    <row r="974" spans="2:5" ht="15" customHeight="1">
      <c r="B974" s="92"/>
      <c r="C974" s="68" t="s">
        <v>214</v>
      </c>
      <c r="D974" s="69">
        <v>10</v>
      </c>
      <c r="E974" s="70">
        <v>3.3707486432699998E-4</v>
      </c>
    </row>
    <row r="975" spans="2:5" ht="15" customHeight="1">
      <c r="B975" s="92"/>
      <c r="C975" s="68" t="s">
        <v>234</v>
      </c>
      <c r="D975" s="69">
        <v>1</v>
      </c>
      <c r="E975" s="70">
        <v>3.3707486433000001E-5</v>
      </c>
    </row>
    <row r="976" spans="2:5" ht="15" customHeight="1">
      <c r="B976" s="92"/>
      <c r="C976" s="68" t="s">
        <v>215</v>
      </c>
      <c r="D976" s="69">
        <v>46</v>
      </c>
      <c r="E976" s="70">
        <v>1.550544375906E-3</v>
      </c>
    </row>
    <row r="977" spans="2:5" ht="15" customHeight="1">
      <c r="B977" s="92"/>
      <c r="C977" s="68" t="s">
        <v>235</v>
      </c>
      <c r="D977" s="69">
        <v>9</v>
      </c>
      <c r="E977" s="70">
        <v>3.0336737789499998E-4</v>
      </c>
    </row>
    <row r="978" spans="2:5" ht="15" customHeight="1">
      <c r="B978" s="92"/>
      <c r="C978" s="68" t="s">
        <v>244</v>
      </c>
      <c r="D978" s="69">
        <v>3</v>
      </c>
      <c r="E978" s="70">
        <v>1.0112245929799999E-4</v>
      </c>
    </row>
    <row r="979" spans="2:5" ht="15" customHeight="1">
      <c r="B979" s="92"/>
      <c r="C979" s="68" t="s">
        <v>216</v>
      </c>
      <c r="D979" s="69">
        <v>3</v>
      </c>
      <c r="E979" s="70">
        <v>1.0112245929799999E-4</v>
      </c>
    </row>
    <row r="980" spans="2:5" ht="15" customHeight="1">
      <c r="B980" s="92"/>
      <c r="C980" s="68" t="s">
        <v>217</v>
      </c>
      <c r="D980" s="69">
        <v>12</v>
      </c>
      <c r="E980" s="70">
        <v>4.0448983719299999E-4</v>
      </c>
    </row>
    <row r="981" spans="2:5" ht="15" customHeight="1">
      <c r="B981" s="92"/>
      <c r="C981" s="68" t="s">
        <v>218</v>
      </c>
      <c r="D981" s="69">
        <v>8</v>
      </c>
      <c r="E981" s="70">
        <v>2.6965989146199998E-4</v>
      </c>
    </row>
    <row r="982" spans="2:5" ht="15" customHeight="1">
      <c r="B982" s="92"/>
      <c r="C982" s="68" t="s">
        <v>220</v>
      </c>
      <c r="D982" s="69">
        <v>5</v>
      </c>
      <c r="E982" s="70">
        <v>1.68537432164E-4</v>
      </c>
    </row>
    <row r="983" spans="2:5" ht="15" customHeight="1">
      <c r="B983" s="92"/>
      <c r="C983" s="68" t="s">
        <v>221</v>
      </c>
      <c r="D983" s="69">
        <v>10</v>
      </c>
      <c r="E983" s="70">
        <v>3.3707486432699998E-4</v>
      </c>
    </row>
    <row r="984" spans="2:5" ht="15" customHeight="1">
      <c r="B984" s="92"/>
      <c r="C984" s="68" t="s">
        <v>222</v>
      </c>
      <c r="D984" s="69">
        <v>6</v>
      </c>
      <c r="E984" s="70">
        <v>2.0224491859599999E-4</v>
      </c>
    </row>
    <row r="985" spans="2:5" ht="15" customHeight="1">
      <c r="B985" s="92"/>
      <c r="C985" s="68" t="s">
        <v>223</v>
      </c>
      <c r="D985" s="69">
        <v>1</v>
      </c>
      <c r="E985" s="70">
        <v>3.3707486433000001E-5</v>
      </c>
    </row>
    <row r="986" spans="2:5" ht="15" customHeight="1">
      <c r="B986" s="92"/>
      <c r="C986" s="68" t="s">
        <v>250</v>
      </c>
      <c r="D986" s="69">
        <v>2</v>
      </c>
      <c r="E986" s="70">
        <v>6.7414972865000001E-5</v>
      </c>
    </row>
    <row r="987" spans="2:5" ht="15" customHeight="1">
      <c r="B987" s="92"/>
      <c r="C987" s="68" t="s">
        <v>224</v>
      </c>
      <c r="D987" s="69">
        <v>4</v>
      </c>
      <c r="E987" s="70">
        <v>1.3482994573099999E-4</v>
      </c>
    </row>
    <row r="988" spans="2:5" ht="15" customHeight="1">
      <c r="B988" s="92"/>
      <c r="C988" s="68" t="s">
        <v>225</v>
      </c>
      <c r="D988" s="69">
        <v>4</v>
      </c>
      <c r="E988" s="70">
        <v>1.3482994573099999E-4</v>
      </c>
    </row>
    <row r="989" spans="2:5" ht="15" customHeight="1">
      <c r="B989" s="92"/>
      <c r="C989" s="68" t="s">
        <v>238</v>
      </c>
      <c r="D989" s="69">
        <v>2</v>
      </c>
      <c r="E989" s="70">
        <v>6.7414972865000001E-5</v>
      </c>
    </row>
    <row r="990" spans="2:5" ht="15" customHeight="1">
      <c r="B990" s="92"/>
      <c r="C990" s="68" t="s">
        <v>239</v>
      </c>
      <c r="D990" s="69">
        <v>1</v>
      </c>
      <c r="E990" s="70">
        <v>3.3707486433000001E-5</v>
      </c>
    </row>
    <row r="991" spans="2:5" ht="15" customHeight="1">
      <c r="B991" s="92"/>
      <c r="C991" s="68" t="s">
        <v>240</v>
      </c>
      <c r="D991" s="69">
        <v>3</v>
      </c>
      <c r="E991" s="70">
        <v>1.0112245929799999E-4</v>
      </c>
    </row>
    <row r="992" spans="2:5" ht="15" customHeight="1">
      <c r="B992" s="92"/>
      <c r="C992" s="68" t="s">
        <v>241</v>
      </c>
      <c r="D992" s="69">
        <v>3</v>
      </c>
      <c r="E992" s="70">
        <v>1.0112245929799999E-4</v>
      </c>
    </row>
    <row r="993" spans="2:5" ht="15" customHeight="1">
      <c r="B993" s="92"/>
      <c r="C993" s="68" t="s">
        <v>226</v>
      </c>
      <c r="D993" s="69">
        <v>13</v>
      </c>
      <c r="E993" s="70">
        <v>4.38197323626E-4</v>
      </c>
    </row>
    <row r="994" spans="2:5" ht="15" customHeight="1">
      <c r="B994" s="92"/>
      <c r="C994" s="68" t="s">
        <v>228</v>
      </c>
      <c r="D994" s="69">
        <v>1</v>
      </c>
      <c r="E994" s="70">
        <v>3.3707486433000001E-5</v>
      </c>
    </row>
    <row r="995" spans="2:5" ht="15" customHeight="1">
      <c r="B995" s="92"/>
      <c r="C995" s="68" t="s">
        <v>247</v>
      </c>
      <c r="D995" s="69">
        <v>11</v>
      </c>
      <c r="E995" s="70">
        <v>3.7078235075999999E-4</v>
      </c>
    </row>
    <row r="996" spans="2:5" ht="15" customHeight="1">
      <c r="B996" s="92"/>
      <c r="C996" s="68" t="s">
        <v>229</v>
      </c>
      <c r="D996" s="69">
        <v>8</v>
      </c>
      <c r="E996" s="70">
        <v>2.6965989146199998E-4</v>
      </c>
    </row>
    <row r="997" spans="2:5" ht="15" customHeight="1">
      <c r="B997" s="92"/>
      <c r="C997" s="68" t="s">
        <v>230</v>
      </c>
      <c r="D997" s="69">
        <v>2</v>
      </c>
      <c r="E997" s="70">
        <v>6.7414972865000001E-5</v>
      </c>
    </row>
    <row r="998" spans="2:5" ht="15" customHeight="1">
      <c r="B998" s="93"/>
      <c r="C998" s="36" t="s">
        <v>29</v>
      </c>
      <c r="D998" s="35">
        <v>425</v>
      </c>
      <c r="E998" s="34">
        <v>1.4325681733913E-2</v>
      </c>
    </row>
    <row r="999" spans="2:5" ht="15" customHeight="1">
      <c r="B999" s="91" t="s">
        <v>81</v>
      </c>
      <c r="C999" s="68" t="s">
        <v>196</v>
      </c>
      <c r="D999" s="69">
        <v>1</v>
      </c>
      <c r="E999" s="70">
        <v>3.3707486433000001E-5</v>
      </c>
    </row>
    <row r="1000" spans="2:5" ht="15" customHeight="1">
      <c r="B1000" s="92"/>
      <c r="C1000" s="68" t="s">
        <v>199</v>
      </c>
      <c r="D1000" s="69">
        <v>1</v>
      </c>
      <c r="E1000" s="70">
        <v>3.3707486433000001E-5</v>
      </c>
    </row>
    <row r="1001" spans="2:5" ht="15" customHeight="1">
      <c r="B1001" s="92"/>
      <c r="C1001" s="68" t="s">
        <v>200</v>
      </c>
      <c r="D1001" s="69">
        <v>1</v>
      </c>
      <c r="E1001" s="70">
        <v>3.3707486433000001E-5</v>
      </c>
    </row>
    <row r="1002" spans="2:5" ht="15" customHeight="1">
      <c r="B1002" s="92"/>
      <c r="C1002" s="68" t="s">
        <v>203</v>
      </c>
      <c r="D1002" s="69">
        <v>4</v>
      </c>
      <c r="E1002" s="70">
        <v>1.3482994573099999E-4</v>
      </c>
    </row>
    <row r="1003" spans="2:5" ht="15" customHeight="1">
      <c r="B1003" s="92"/>
      <c r="C1003" s="68" t="s">
        <v>204</v>
      </c>
      <c r="D1003" s="69">
        <v>1</v>
      </c>
      <c r="E1003" s="70">
        <v>3.3707486433000001E-5</v>
      </c>
    </row>
    <row r="1004" spans="2:5" ht="15" customHeight="1">
      <c r="B1004" s="92"/>
      <c r="C1004" s="68" t="s">
        <v>205</v>
      </c>
      <c r="D1004" s="69">
        <v>2</v>
      </c>
      <c r="E1004" s="70">
        <v>6.7414972865000001E-5</v>
      </c>
    </row>
    <row r="1005" spans="2:5" ht="15" customHeight="1">
      <c r="B1005" s="92"/>
      <c r="C1005" s="68" t="s">
        <v>209</v>
      </c>
      <c r="D1005" s="69">
        <v>2</v>
      </c>
      <c r="E1005" s="70">
        <v>6.7414972865000001E-5</v>
      </c>
    </row>
    <row r="1006" spans="2:5" ht="15" customHeight="1">
      <c r="B1006" s="92"/>
      <c r="C1006" s="68" t="s">
        <v>212</v>
      </c>
      <c r="D1006" s="69">
        <v>2</v>
      </c>
      <c r="E1006" s="70">
        <v>6.7414972865000001E-5</v>
      </c>
    </row>
    <row r="1007" spans="2:5" ht="15" customHeight="1">
      <c r="B1007" s="92"/>
      <c r="C1007" s="68" t="s">
        <v>213</v>
      </c>
      <c r="D1007" s="69">
        <v>3</v>
      </c>
      <c r="E1007" s="70">
        <v>1.0112245929799999E-4</v>
      </c>
    </row>
    <row r="1008" spans="2:5" ht="15" customHeight="1">
      <c r="B1008" s="92"/>
      <c r="C1008" s="68" t="s">
        <v>214</v>
      </c>
      <c r="D1008" s="69">
        <v>4</v>
      </c>
      <c r="E1008" s="70">
        <v>1.3482994573099999E-4</v>
      </c>
    </row>
    <row r="1009" spans="2:5" ht="15" customHeight="1">
      <c r="B1009" s="92"/>
      <c r="C1009" s="68" t="s">
        <v>215</v>
      </c>
      <c r="D1009" s="69">
        <v>12</v>
      </c>
      <c r="E1009" s="70">
        <v>4.0448983719299999E-4</v>
      </c>
    </row>
    <row r="1010" spans="2:5" ht="15" customHeight="1">
      <c r="B1010" s="92"/>
      <c r="C1010" s="68" t="s">
        <v>235</v>
      </c>
      <c r="D1010" s="69">
        <v>2</v>
      </c>
      <c r="E1010" s="70">
        <v>6.7414972865000001E-5</v>
      </c>
    </row>
    <row r="1011" spans="2:5" ht="15" customHeight="1">
      <c r="B1011" s="92"/>
      <c r="C1011" s="68" t="s">
        <v>218</v>
      </c>
      <c r="D1011" s="69">
        <v>1</v>
      </c>
      <c r="E1011" s="70">
        <v>3.3707486433000001E-5</v>
      </c>
    </row>
    <row r="1012" spans="2:5" ht="15" customHeight="1">
      <c r="B1012" s="92"/>
      <c r="C1012" s="68" t="s">
        <v>220</v>
      </c>
      <c r="D1012" s="69">
        <v>1</v>
      </c>
      <c r="E1012" s="70">
        <v>3.3707486433000001E-5</v>
      </c>
    </row>
    <row r="1013" spans="2:5" ht="15" customHeight="1">
      <c r="B1013" s="92"/>
      <c r="C1013" s="68" t="s">
        <v>221</v>
      </c>
      <c r="D1013" s="69">
        <v>14</v>
      </c>
      <c r="E1013" s="70">
        <v>4.7190481005799999E-4</v>
      </c>
    </row>
    <row r="1014" spans="2:5" ht="15" customHeight="1">
      <c r="B1014" s="92"/>
      <c r="C1014" s="68" t="s">
        <v>237</v>
      </c>
      <c r="D1014" s="69">
        <v>1</v>
      </c>
      <c r="E1014" s="70">
        <v>3.3707486433000001E-5</v>
      </c>
    </row>
    <row r="1015" spans="2:5" ht="15" customHeight="1">
      <c r="B1015" s="92"/>
      <c r="C1015" s="68" t="s">
        <v>245</v>
      </c>
      <c r="D1015" s="69">
        <v>3</v>
      </c>
      <c r="E1015" s="70">
        <v>1.0112245929799999E-4</v>
      </c>
    </row>
    <row r="1016" spans="2:5" ht="15" customHeight="1">
      <c r="B1016" s="92"/>
      <c r="C1016" s="68" t="s">
        <v>222</v>
      </c>
      <c r="D1016" s="69">
        <v>1</v>
      </c>
      <c r="E1016" s="70">
        <v>3.3707486433000001E-5</v>
      </c>
    </row>
    <row r="1017" spans="2:5" ht="15" customHeight="1">
      <c r="B1017" s="92"/>
      <c r="C1017" s="68" t="s">
        <v>223</v>
      </c>
      <c r="D1017" s="69">
        <v>1</v>
      </c>
      <c r="E1017" s="70">
        <v>3.3707486433000001E-5</v>
      </c>
    </row>
    <row r="1018" spans="2:5" ht="15" customHeight="1">
      <c r="B1018" s="92"/>
      <c r="C1018" s="68" t="s">
        <v>224</v>
      </c>
      <c r="D1018" s="69">
        <v>3</v>
      </c>
      <c r="E1018" s="70">
        <v>1.0112245929799999E-4</v>
      </c>
    </row>
    <row r="1019" spans="2:5" ht="15" customHeight="1">
      <c r="B1019" s="92"/>
      <c r="C1019" s="68" t="s">
        <v>225</v>
      </c>
      <c r="D1019" s="69">
        <v>1</v>
      </c>
      <c r="E1019" s="70">
        <v>3.3707486433000001E-5</v>
      </c>
    </row>
    <row r="1020" spans="2:5" ht="15" customHeight="1">
      <c r="B1020" s="92"/>
      <c r="C1020" s="68" t="s">
        <v>251</v>
      </c>
      <c r="D1020" s="69">
        <v>1</v>
      </c>
      <c r="E1020" s="70">
        <v>3.3707486433000001E-5</v>
      </c>
    </row>
    <row r="1021" spans="2:5" ht="15" customHeight="1">
      <c r="B1021" s="92"/>
      <c r="C1021" s="68" t="s">
        <v>238</v>
      </c>
      <c r="D1021" s="69">
        <v>1</v>
      </c>
      <c r="E1021" s="70">
        <v>3.3707486433000001E-5</v>
      </c>
    </row>
    <row r="1022" spans="2:5" ht="15" customHeight="1">
      <c r="B1022" s="92"/>
      <c r="C1022" s="68" t="s">
        <v>229</v>
      </c>
      <c r="D1022" s="69">
        <v>1</v>
      </c>
      <c r="E1022" s="70">
        <v>3.3707486433000001E-5</v>
      </c>
    </row>
    <row r="1023" spans="2:5" ht="15" customHeight="1">
      <c r="B1023" s="92"/>
      <c r="C1023" s="68" t="s">
        <v>230</v>
      </c>
      <c r="D1023" s="69">
        <v>1</v>
      </c>
      <c r="E1023" s="70">
        <v>3.3707486433000001E-5</v>
      </c>
    </row>
    <row r="1024" spans="2:5" ht="15" customHeight="1">
      <c r="B1024" s="93"/>
      <c r="C1024" s="36" t="s">
        <v>29</v>
      </c>
      <c r="D1024" s="35">
        <v>65</v>
      </c>
      <c r="E1024" s="34">
        <v>2.190986618128E-3</v>
      </c>
    </row>
    <row r="1025" spans="2:5" ht="15" customHeight="1">
      <c r="B1025" s="91" t="s">
        <v>58</v>
      </c>
      <c r="C1025" s="68" t="s">
        <v>195</v>
      </c>
      <c r="D1025" s="69">
        <v>16</v>
      </c>
      <c r="E1025" s="70">
        <v>5.3931978292399995E-4</v>
      </c>
    </row>
    <row r="1026" spans="2:5" ht="15" customHeight="1">
      <c r="B1026" s="92"/>
      <c r="C1026" s="68" t="s">
        <v>196</v>
      </c>
      <c r="D1026" s="69">
        <v>19</v>
      </c>
      <c r="E1026" s="70">
        <v>6.4044224222200002E-4</v>
      </c>
    </row>
    <row r="1027" spans="2:5" ht="15" customHeight="1">
      <c r="B1027" s="92"/>
      <c r="C1027" s="68" t="s">
        <v>197</v>
      </c>
      <c r="D1027" s="69">
        <v>8</v>
      </c>
      <c r="E1027" s="70">
        <v>2.6965989146199998E-4</v>
      </c>
    </row>
    <row r="1028" spans="2:5" ht="15" customHeight="1">
      <c r="B1028" s="92"/>
      <c r="C1028" s="68" t="s">
        <v>231</v>
      </c>
      <c r="D1028" s="69">
        <v>2</v>
      </c>
      <c r="E1028" s="70">
        <v>6.7414972865000001E-5</v>
      </c>
    </row>
    <row r="1029" spans="2:5" ht="15" customHeight="1">
      <c r="B1029" s="92"/>
      <c r="C1029" s="68" t="s">
        <v>248</v>
      </c>
      <c r="D1029" s="69">
        <v>3</v>
      </c>
      <c r="E1029" s="70">
        <v>1.0112245929799999E-4</v>
      </c>
    </row>
    <row r="1030" spans="2:5" ht="15" customHeight="1">
      <c r="B1030" s="92"/>
      <c r="C1030" s="68" t="s">
        <v>242</v>
      </c>
      <c r="D1030" s="69">
        <v>5</v>
      </c>
      <c r="E1030" s="70">
        <v>1.68537432164E-4</v>
      </c>
    </row>
    <row r="1031" spans="2:5" ht="15" customHeight="1">
      <c r="B1031" s="92"/>
      <c r="C1031" s="68" t="s">
        <v>199</v>
      </c>
      <c r="D1031" s="69">
        <v>9</v>
      </c>
      <c r="E1031" s="70">
        <v>3.0336737789499998E-4</v>
      </c>
    </row>
    <row r="1032" spans="2:5" ht="15" customHeight="1">
      <c r="B1032" s="92"/>
      <c r="C1032" s="68" t="s">
        <v>252</v>
      </c>
      <c r="D1032" s="69">
        <v>2</v>
      </c>
      <c r="E1032" s="70">
        <v>6.7414972865000001E-5</v>
      </c>
    </row>
    <row r="1033" spans="2:5" ht="15" customHeight="1">
      <c r="B1033" s="92"/>
      <c r="C1033" s="68" t="s">
        <v>200</v>
      </c>
      <c r="D1033" s="69">
        <v>4</v>
      </c>
      <c r="E1033" s="70">
        <v>1.3482994573099999E-4</v>
      </c>
    </row>
    <row r="1034" spans="2:5" ht="15" customHeight="1">
      <c r="B1034" s="92"/>
      <c r="C1034" s="68" t="s">
        <v>201</v>
      </c>
      <c r="D1034" s="69">
        <v>10</v>
      </c>
      <c r="E1034" s="70">
        <v>3.3707486432699998E-4</v>
      </c>
    </row>
    <row r="1035" spans="2:5" ht="15" customHeight="1">
      <c r="B1035" s="92"/>
      <c r="C1035" s="68" t="s">
        <v>202</v>
      </c>
      <c r="D1035" s="69">
        <v>9</v>
      </c>
      <c r="E1035" s="70">
        <v>3.0336737789499998E-4</v>
      </c>
    </row>
    <row r="1036" spans="2:5" ht="15" customHeight="1">
      <c r="B1036" s="92"/>
      <c r="C1036" s="68" t="s">
        <v>203</v>
      </c>
      <c r="D1036" s="69">
        <v>20</v>
      </c>
      <c r="E1036" s="70">
        <v>6.7414972865500002E-4</v>
      </c>
    </row>
    <row r="1037" spans="2:5" ht="15" customHeight="1">
      <c r="B1037" s="92"/>
      <c r="C1037" s="68" t="s">
        <v>204</v>
      </c>
      <c r="D1037" s="69">
        <v>82</v>
      </c>
      <c r="E1037" s="70">
        <v>2.764013887484E-3</v>
      </c>
    </row>
    <row r="1038" spans="2:5" ht="15" customHeight="1">
      <c r="B1038" s="92"/>
      <c r="C1038" s="68" t="s">
        <v>205</v>
      </c>
      <c r="D1038" s="69">
        <v>6</v>
      </c>
      <c r="E1038" s="70">
        <v>2.0224491859599999E-4</v>
      </c>
    </row>
    <row r="1039" spans="2:5" ht="15" customHeight="1">
      <c r="B1039" s="92"/>
      <c r="C1039" s="68" t="s">
        <v>206</v>
      </c>
      <c r="D1039" s="69">
        <v>9</v>
      </c>
      <c r="E1039" s="70">
        <v>3.0336737789499998E-4</v>
      </c>
    </row>
    <row r="1040" spans="2:5" ht="15" customHeight="1">
      <c r="B1040" s="92"/>
      <c r="C1040" s="68" t="s">
        <v>208</v>
      </c>
      <c r="D1040" s="69">
        <v>5</v>
      </c>
      <c r="E1040" s="70">
        <v>1.68537432164E-4</v>
      </c>
    </row>
    <row r="1041" spans="2:5" ht="15" customHeight="1">
      <c r="B1041" s="92"/>
      <c r="C1041" s="68" t="s">
        <v>209</v>
      </c>
      <c r="D1041" s="69">
        <v>26</v>
      </c>
      <c r="E1041" s="70">
        <v>8.7639464725100004E-4</v>
      </c>
    </row>
    <row r="1042" spans="2:5" ht="15" customHeight="1">
      <c r="B1042" s="92"/>
      <c r="C1042" s="68" t="s">
        <v>210</v>
      </c>
      <c r="D1042" s="69">
        <v>2</v>
      </c>
      <c r="E1042" s="70">
        <v>6.7414972865000001E-5</v>
      </c>
    </row>
    <row r="1043" spans="2:5" ht="15" customHeight="1">
      <c r="B1043" s="92"/>
      <c r="C1043" s="68" t="s">
        <v>232</v>
      </c>
      <c r="D1043" s="69">
        <v>28</v>
      </c>
      <c r="E1043" s="70">
        <v>9.4380962011699995E-4</v>
      </c>
    </row>
    <row r="1044" spans="2:5" ht="15" customHeight="1">
      <c r="B1044" s="92"/>
      <c r="C1044" s="68" t="s">
        <v>211</v>
      </c>
      <c r="D1044" s="69">
        <v>6</v>
      </c>
      <c r="E1044" s="70">
        <v>2.0224491859599999E-4</v>
      </c>
    </row>
    <row r="1045" spans="2:5" ht="15" customHeight="1">
      <c r="B1045" s="92"/>
      <c r="C1045" s="68" t="s">
        <v>233</v>
      </c>
      <c r="D1045" s="69">
        <v>9</v>
      </c>
      <c r="E1045" s="70">
        <v>3.0336737789499998E-4</v>
      </c>
    </row>
    <row r="1046" spans="2:5" ht="15" customHeight="1">
      <c r="B1046" s="92"/>
      <c r="C1046" s="68" t="s">
        <v>212</v>
      </c>
      <c r="D1046" s="69">
        <v>17</v>
      </c>
      <c r="E1046" s="70">
        <v>5.7302726935699996E-4</v>
      </c>
    </row>
    <row r="1047" spans="2:5" ht="15" customHeight="1">
      <c r="B1047" s="92"/>
      <c r="C1047" s="68" t="s">
        <v>213</v>
      </c>
      <c r="D1047" s="69">
        <v>65</v>
      </c>
      <c r="E1047" s="70">
        <v>2.190986618128E-3</v>
      </c>
    </row>
    <row r="1048" spans="2:5" ht="15" customHeight="1">
      <c r="B1048" s="92"/>
      <c r="C1048" s="68" t="s">
        <v>214</v>
      </c>
      <c r="D1048" s="69">
        <v>22</v>
      </c>
      <c r="E1048" s="70">
        <v>7.4156470151999997E-4</v>
      </c>
    </row>
    <row r="1049" spans="2:5" ht="15" customHeight="1">
      <c r="B1049" s="92"/>
      <c r="C1049" s="68" t="s">
        <v>234</v>
      </c>
      <c r="D1049" s="69">
        <v>5</v>
      </c>
      <c r="E1049" s="70">
        <v>1.68537432164E-4</v>
      </c>
    </row>
    <row r="1050" spans="2:5" ht="15" customHeight="1">
      <c r="B1050" s="92"/>
      <c r="C1050" s="68" t="s">
        <v>215</v>
      </c>
      <c r="D1050" s="69">
        <v>128</v>
      </c>
      <c r="E1050" s="70">
        <v>4.3145582633900004E-3</v>
      </c>
    </row>
    <row r="1051" spans="2:5" ht="15" customHeight="1">
      <c r="B1051" s="92"/>
      <c r="C1051" s="68" t="s">
        <v>235</v>
      </c>
      <c r="D1051" s="69">
        <v>2</v>
      </c>
      <c r="E1051" s="70">
        <v>6.7414972865000001E-5</v>
      </c>
    </row>
    <row r="1052" spans="2:5" ht="15" customHeight="1">
      <c r="B1052" s="92"/>
      <c r="C1052" s="68" t="s">
        <v>244</v>
      </c>
      <c r="D1052" s="69">
        <v>3</v>
      </c>
      <c r="E1052" s="70">
        <v>1.0112245929799999E-4</v>
      </c>
    </row>
    <row r="1053" spans="2:5" ht="15" customHeight="1">
      <c r="B1053" s="92"/>
      <c r="C1053" s="68" t="s">
        <v>217</v>
      </c>
      <c r="D1053" s="69">
        <v>7</v>
      </c>
      <c r="E1053" s="70">
        <v>2.35952405029E-4</v>
      </c>
    </row>
    <row r="1054" spans="2:5" ht="15" customHeight="1">
      <c r="B1054" s="92"/>
      <c r="C1054" s="68" t="s">
        <v>218</v>
      </c>
      <c r="D1054" s="69">
        <v>44</v>
      </c>
      <c r="E1054" s="70">
        <v>1.4831294030399999E-3</v>
      </c>
    </row>
    <row r="1055" spans="2:5" ht="15" customHeight="1">
      <c r="B1055" s="92"/>
      <c r="C1055" s="68" t="s">
        <v>219</v>
      </c>
      <c r="D1055" s="69">
        <v>1</v>
      </c>
      <c r="E1055" s="70">
        <v>3.3707486433000001E-5</v>
      </c>
    </row>
    <row r="1056" spans="2:5" ht="15" customHeight="1">
      <c r="B1056" s="92"/>
      <c r="C1056" s="68" t="s">
        <v>236</v>
      </c>
      <c r="D1056" s="69">
        <v>3</v>
      </c>
      <c r="E1056" s="70">
        <v>1.0112245929799999E-4</v>
      </c>
    </row>
    <row r="1057" spans="2:5" ht="15" customHeight="1">
      <c r="B1057" s="92"/>
      <c r="C1057" s="68" t="s">
        <v>220</v>
      </c>
      <c r="D1057" s="69">
        <v>23</v>
      </c>
      <c r="E1057" s="70">
        <v>7.7527218795299998E-4</v>
      </c>
    </row>
    <row r="1058" spans="2:5" ht="15" customHeight="1">
      <c r="B1058" s="92"/>
      <c r="C1058" s="68" t="s">
        <v>221</v>
      </c>
      <c r="D1058" s="69">
        <v>8</v>
      </c>
      <c r="E1058" s="70">
        <v>2.6965989146199998E-4</v>
      </c>
    </row>
    <row r="1059" spans="2:5" ht="15" customHeight="1">
      <c r="B1059" s="92"/>
      <c r="C1059" s="68" t="s">
        <v>222</v>
      </c>
      <c r="D1059" s="69">
        <v>2</v>
      </c>
      <c r="E1059" s="70">
        <v>6.7414972865000001E-5</v>
      </c>
    </row>
    <row r="1060" spans="2:5" ht="15" customHeight="1">
      <c r="B1060" s="92"/>
      <c r="C1060" s="68" t="s">
        <v>250</v>
      </c>
      <c r="D1060" s="69">
        <v>1</v>
      </c>
      <c r="E1060" s="70">
        <v>3.3707486433000001E-5</v>
      </c>
    </row>
    <row r="1061" spans="2:5" ht="15" customHeight="1">
      <c r="B1061" s="92"/>
      <c r="C1061" s="68" t="s">
        <v>224</v>
      </c>
      <c r="D1061" s="69">
        <v>1</v>
      </c>
      <c r="E1061" s="70">
        <v>3.3707486433000001E-5</v>
      </c>
    </row>
    <row r="1062" spans="2:5" ht="15" customHeight="1">
      <c r="B1062" s="92"/>
      <c r="C1062" s="68" t="s">
        <v>225</v>
      </c>
      <c r="D1062" s="69">
        <v>2</v>
      </c>
      <c r="E1062" s="70">
        <v>6.7414972865000001E-5</v>
      </c>
    </row>
    <row r="1063" spans="2:5" ht="15" customHeight="1">
      <c r="B1063" s="92"/>
      <c r="C1063" s="68" t="s">
        <v>251</v>
      </c>
      <c r="D1063" s="69">
        <v>1</v>
      </c>
      <c r="E1063" s="70">
        <v>3.3707486433000001E-5</v>
      </c>
    </row>
    <row r="1064" spans="2:5" ht="15" customHeight="1">
      <c r="B1064" s="92"/>
      <c r="C1064" s="68" t="s">
        <v>238</v>
      </c>
      <c r="D1064" s="69">
        <v>2</v>
      </c>
      <c r="E1064" s="70">
        <v>6.7414972865000001E-5</v>
      </c>
    </row>
    <row r="1065" spans="2:5" ht="15" customHeight="1">
      <c r="B1065" s="92"/>
      <c r="C1065" s="68" t="s">
        <v>240</v>
      </c>
      <c r="D1065" s="69">
        <v>5</v>
      </c>
      <c r="E1065" s="70">
        <v>1.68537432164E-4</v>
      </c>
    </row>
    <row r="1066" spans="2:5" ht="15" customHeight="1">
      <c r="B1066" s="92"/>
      <c r="C1066" s="68" t="s">
        <v>241</v>
      </c>
      <c r="D1066" s="69">
        <v>6</v>
      </c>
      <c r="E1066" s="70">
        <v>2.0224491859599999E-4</v>
      </c>
    </row>
    <row r="1067" spans="2:5" ht="15" customHeight="1">
      <c r="B1067" s="92"/>
      <c r="C1067" s="68" t="s">
        <v>246</v>
      </c>
      <c r="D1067" s="69">
        <v>2</v>
      </c>
      <c r="E1067" s="70">
        <v>6.7414972865000001E-5</v>
      </c>
    </row>
    <row r="1068" spans="2:5" ht="15" customHeight="1">
      <c r="B1068" s="92"/>
      <c r="C1068" s="68" t="s">
        <v>226</v>
      </c>
      <c r="D1068" s="69">
        <v>18</v>
      </c>
      <c r="E1068" s="70">
        <v>6.0673475578900001E-4</v>
      </c>
    </row>
    <row r="1069" spans="2:5" ht="15" customHeight="1">
      <c r="B1069" s="92"/>
      <c r="C1069" s="68" t="s">
        <v>227</v>
      </c>
      <c r="D1069" s="69">
        <v>19</v>
      </c>
      <c r="E1069" s="70">
        <v>6.4044224222200002E-4</v>
      </c>
    </row>
    <row r="1070" spans="2:5" ht="15" customHeight="1">
      <c r="B1070" s="92"/>
      <c r="C1070" s="68" t="s">
        <v>228</v>
      </c>
      <c r="D1070" s="69">
        <v>6</v>
      </c>
      <c r="E1070" s="70">
        <v>2.0224491859599999E-4</v>
      </c>
    </row>
    <row r="1071" spans="2:5" ht="15" customHeight="1">
      <c r="B1071" s="92"/>
      <c r="C1071" s="68" t="s">
        <v>247</v>
      </c>
      <c r="D1071" s="69">
        <v>3</v>
      </c>
      <c r="E1071" s="70">
        <v>1.0112245929799999E-4</v>
      </c>
    </row>
    <row r="1072" spans="2:5" ht="15" customHeight="1">
      <c r="B1072" s="92"/>
      <c r="C1072" s="68" t="s">
        <v>229</v>
      </c>
      <c r="D1072" s="69">
        <v>15</v>
      </c>
      <c r="E1072" s="70">
        <v>5.0561229649099995E-4</v>
      </c>
    </row>
    <row r="1073" spans="2:5" ht="15" customHeight="1">
      <c r="B1073" s="92"/>
      <c r="C1073" s="68" t="s">
        <v>230</v>
      </c>
      <c r="D1073" s="69">
        <v>14</v>
      </c>
      <c r="E1073" s="70">
        <v>4.7190481005799999E-4</v>
      </c>
    </row>
    <row r="1074" spans="2:5" ht="15" customHeight="1">
      <c r="B1074" s="93"/>
      <c r="C1074" s="36" t="s">
        <v>29</v>
      </c>
      <c r="D1074" s="35">
        <v>705</v>
      </c>
      <c r="E1074" s="34">
        <v>2.3763777935079E-2</v>
      </c>
    </row>
    <row r="1075" spans="2:5" ht="15" customHeight="1">
      <c r="B1075" s="91" t="s">
        <v>77</v>
      </c>
      <c r="C1075" s="68" t="s">
        <v>197</v>
      </c>
      <c r="D1075" s="69">
        <v>1</v>
      </c>
      <c r="E1075" s="70">
        <v>3.3707486433000001E-5</v>
      </c>
    </row>
    <row r="1076" spans="2:5" ht="15" customHeight="1">
      <c r="B1076" s="92"/>
      <c r="C1076" s="68" t="s">
        <v>242</v>
      </c>
      <c r="D1076" s="69">
        <v>1</v>
      </c>
      <c r="E1076" s="70">
        <v>3.3707486433000001E-5</v>
      </c>
    </row>
    <row r="1077" spans="2:5" ht="15" customHeight="1">
      <c r="B1077" s="92"/>
      <c r="C1077" s="68" t="s">
        <v>199</v>
      </c>
      <c r="D1077" s="69">
        <v>15</v>
      </c>
      <c r="E1077" s="70">
        <v>5.0561229649099995E-4</v>
      </c>
    </row>
    <row r="1078" spans="2:5" ht="15" customHeight="1">
      <c r="B1078" s="92"/>
      <c r="C1078" s="68" t="s">
        <v>200</v>
      </c>
      <c r="D1078" s="69">
        <v>4</v>
      </c>
      <c r="E1078" s="70">
        <v>1.3482994573099999E-4</v>
      </c>
    </row>
    <row r="1079" spans="2:5" ht="15" customHeight="1">
      <c r="B1079" s="92"/>
      <c r="C1079" s="68" t="s">
        <v>202</v>
      </c>
      <c r="D1079" s="69">
        <v>4</v>
      </c>
      <c r="E1079" s="70">
        <v>1.3482994573099999E-4</v>
      </c>
    </row>
    <row r="1080" spans="2:5" ht="15" customHeight="1">
      <c r="B1080" s="92"/>
      <c r="C1080" s="68" t="s">
        <v>203</v>
      </c>
      <c r="D1080" s="69">
        <v>2</v>
      </c>
      <c r="E1080" s="70">
        <v>6.7414972865000001E-5</v>
      </c>
    </row>
    <row r="1081" spans="2:5" ht="15" customHeight="1">
      <c r="B1081" s="92"/>
      <c r="C1081" s="68" t="s">
        <v>205</v>
      </c>
      <c r="D1081" s="69">
        <v>2</v>
      </c>
      <c r="E1081" s="70">
        <v>6.7414972865000001E-5</v>
      </c>
    </row>
    <row r="1082" spans="2:5" ht="15" customHeight="1">
      <c r="B1082" s="92"/>
      <c r="C1082" s="68" t="s">
        <v>208</v>
      </c>
      <c r="D1082" s="69">
        <v>1</v>
      </c>
      <c r="E1082" s="70">
        <v>3.3707486433000001E-5</v>
      </c>
    </row>
    <row r="1083" spans="2:5" ht="15" customHeight="1">
      <c r="B1083" s="92"/>
      <c r="C1083" s="68" t="s">
        <v>210</v>
      </c>
      <c r="D1083" s="69">
        <v>2</v>
      </c>
      <c r="E1083" s="70">
        <v>6.7414972865000001E-5</v>
      </c>
    </row>
    <row r="1084" spans="2:5" ht="15" customHeight="1">
      <c r="B1084" s="92"/>
      <c r="C1084" s="68" t="s">
        <v>232</v>
      </c>
      <c r="D1084" s="69">
        <v>2</v>
      </c>
      <c r="E1084" s="70">
        <v>6.7414972865000001E-5</v>
      </c>
    </row>
    <row r="1085" spans="2:5" ht="15" customHeight="1">
      <c r="B1085" s="92"/>
      <c r="C1085" s="68" t="s">
        <v>213</v>
      </c>
      <c r="D1085" s="69">
        <v>12</v>
      </c>
      <c r="E1085" s="70">
        <v>4.0448983719299999E-4</v>
      </c>
    </row>
    <row r="1086" spans="2:5" ht="15" customHeight="1">
      <c r="B1086" s="92"/>
      <c r="C1086" s="68" t="s">
        <v>214</v>
      </c>
      <c r="D1086" s="69">
        <v>4</v>
      </c>
      <c r="E1086" s="70">
        <v>1.3482994573099999E-4</v>
      </c>
    </row>
    <row r="1087" spans="2:5" ht="15" customHeight="1">
      <c r="B1087" s="92"/>
      <c r="C1087" s="68" t="s">
        <v>215</v>
      </c>
      <c r="D1087" s="69">
        <v>13</v>
      </c>
      <c r="E1087" s="70">
        <v>4.38197323626E-4</v>
      </c>
    </row>
    <row r="1088" spans="2:5" ht="15" customHeight="1">
      <c r="B1088" s="92"/>
      <c r="C1088" s="68" t="s">
        <v>216</v>
      </c>
      <c r="D1088" s="69">
        <v>1</v>
      </c>
      <c r="E1088" s="70">
        <v>3.3707486433000001E-5</v>
      </c>
    </row>
    <row r="1089" spans="2:5" ht="15" customHeight="1">
      <c r="B1089" s="92"/>
      <c r="C1089" s="68" t="s">
        <v>219</v>
      </c>
      <c r="D1089" s="69">
        <v>7</v>
      </c>
      <c r="E1089" s="70">
        <v>2.35952405029E-4</v>
      </c>
    </row>
    <row r="1090" spans="2:5" ht="15" customHeight="1">
      <c r="B1090" s="92"/>
      <c r="C1090" s="68" t="s">
        <v>236</v>
      </c>
      <c r="D1090" s="69">
        <v>1</v>
      </c>
      <c r="E1090" s="70">
        <v>3.3707486433000001E-5</v>
      </c>
    </row>
    <row r="1091" spans="2:5" ht="15" customHeight="1">
      <c r="B1091" s="92"/>
      <c r="C1091" s="68" t="s">
        <v>221</v>
      </c>
      <c r="D1091" s="69">
        <v>6</v>
      </c>
      <c r="E1091" s="70">
        <v>2.0224491859599999E-4</v>
      </c>
    </row>
    <row r="1092" spans="2:5" ht="15" customHeight="1">
      <c r="B1092" s="92"/>
      <c r="C1092" s="68" t="s">
        <v>226</v>
      </c>
      <c r="D1092" s="69">
        <v>8</v>
      </c>
      <c r="E1092" s="70">
        <v>2.6965989146199998E-4</v>
      </c>
    </row>
    <row r="1093" spans="2:5" ht="15" customHeight="1">
      <c r="B1093" s="92"/>
      <c r="C1093" s="68" t="s">
        <v>227</v>
      </c>
      <c r="D1093" s="69">
        <v>1</v>
      </c>
      <c r="E1093" s="70">
        <v>3.3707486433000001E-5</v>
      </c>
    </row>
    <row r="1094" spans="2:5" ht="15" customHeight="1">
      <c r="B1094" s="92"/>
      <c r="C1094" s="68" t="s">
        <v>228</v>
      </c>
      <c r="D1094" s="69">
        <v>4</v>
      </c>
      <c r="E1094" s="70">
        <v>1.3482994573099999E-4</v>
      </c>
    </row>
    <row r="1095" spans="2:5" ht="15" customHeight="1">
      <c r="B1095" s="92"/>
      <c r="C1095" s="68" t="s">
        <v>247</v>
      </c>
      <c r="D1095" s="69">
        <v>18</v>
      </c>
      <c r="E1095" s="70">
        <v>6.0673475578900001E-4</v>
      </c>
    </row>
    <row r="1096" spans="2:5" ht="15" customHeight="1">
      <c r="B1096" s="92"/>
      <c r="C1096" s="68" t="s">
        <v>229</v>
      </c>
      <c r="D1096" s="69">
        <v>1</v>
      </c>
      <c r="E1096" s="70">
        <v>3.3707486433000001E-5</v>
      </c>
    </row>
    <row r="1097" spans="2:5" ht="15" customHeight="1">
      <c r="B1097" s="93"/>
      <c r="C1097" s="36" t="s">
        <v>29</v>
      </c>
      <c r="D1097" s="35">
        <v>110</v>
      </c>
      <c r="E1097" s="34">
        <v>3.7078235076010001E-3</v>
      </c>
    </row>
    <row r="1098" spans="2:5" ht="15" customHeight="1">
      <c r="B1098" s="91" t="s">
        <v>61</v>
      </c>
      <c r="C1098" s="68" t="s">
        <v>195</v>
      </c>
      <c r="D1098" s="69">
        <v>3</v>
      </c>
      <c r="E1098" s="70">
        <v>1.0112245929799999E-4</v>
      </c>
    </row>
    <row r="1099" spans="2:5" ht="15" customHeight="1">
      <c r="B1099" s="92"/>
      <c r="C1099" s="68" t="s">
        <v>196</v>
      </c>
      <c r="D1099" s="69">
        <v>2</v>
      </c>
      <c r="E1099" s="70">
        <v>6.7414972865000001E-5</v>
      </c>
    </row>
    <row r="1100" spans="2:5" ht="15" customHeight="1">
      <c r="B1100" s="92"/>
      <c r="C1100" s="68" t="s">
        <v>197</v>
      </c>
      <c r="D1100" s="69">
        <v>3</v>
      </c>
      <c r="E1100" s="70">
        <v>1.0112245929799999E-4</v>
      </c>
    </row>
    <row r="1101" spans="2:5" ht="15" customHeight="1">
      <c r="B1101" s="92"/>
      <c r="C1101" s="68" t="s">
        <v>198</v>
      </c>
      <c r="D1101" s="69">
        <v>2</v>
      </c>
      <c r="E1101" s="70">
        <v>6.7414972865000001E-5</v>
      </c>
    </row>
    <row r="1102" spans="2:5" ht="15" customHeight="1">
      <c r="B1102" s="92"/>
      <c r="C1102" s="68" t="s">
        <v>242</v>
      </c>
      <c r="D1102" s="69">
        <v>2</v>
      </c>
      <c r="E1102" s="70">
        <v>6.7414972865000001E-5</v>
      </c>
    </row>
    <row r="1103" spans="2:5" ht="15" customHeight="1">
      <c r="B1103" s="92"/>
      <c r="C1103" s="68" t="s">
        <v>199</v>
      </c>
      <c r="D1103" s="69">
        <v>8</v>
      </c>
      <c r="E1103" s="70">
        <v>2.6965989146199998E-4</v>
      </c>
    </row>
    <row r="1104" spans="2:5" ht="15" customHeight="1">
      <c r="B1104" s="92"/>
      <c r="C1104" s="68" t="s">
        <v>200</v>
      </c>
      <c r="D1104" s="69">
        <v>7</v>
      </c>
      <c r="E1104" s="70">
        <v>2.35952405029E-4</v>
      </c>
    </row>
    <row r="1105" spans="2:5" ht="15" customHeight="1">
      <c r="B1105" s="92"/>
      <c r="C1105" s="68" t="s">
        <v>201</v>
      </c>
      <c r="D1105" s="69">
        <v>13</v>
      </c>
      <c r="E1105" s="70">
        <v>4.38197323626E-4</v>
      </c>
    </row>
    <row r="1106" spans="2:5" ht="15" customHeight="1">
      <c r="B1106" s="92"/>
      <c r="C1106" s="68" t="s">
        <v>202</v>
      </c>
      <c r="D1106" s="69">
        <v>14</v>
      </c>
      <c r="E1106" s="70">
        <v>4.7190481005799999E-4</v>
      </c>
    </row>
    <row r="1107" spans="2:5" ht="15" customHeight="1">
      <c r="B1107" s="92"/>
      <c r="C1107" s="68" t="s">
        <v>203</v>
      </c>
      <c r="D1107" s="69">
        <v>28</v>
      </c>
      <c r="E1107" s="70">
        <v>9.4380962011699995E-4</v>
      </c>
    </row>
    <row r="1108" spans="2:5" ht="15" customHeight="1">
      <c r="B1108" s="92"/>
      <c r="C1108" s="68" t="s">
        <v>204</v>
      </c>
      <c r="D1108" s="69">
        <v>7</v>
      </c>
      <c r="E1108" s="70">
        <v>2.35952405029E-4</v>
      </c>
    </row>
    <row r="1109" spans="2:5" ht="15" customHeight="1">
      <c r="B1109" s="92"/>
      <c r="C1109" s="68" t="s">
        <v>205</v>
      </c>
      <c r="D1109" s="69">
        <v>10</v>
      </c>
      <c r="E1109" s="70">
        <v>3.3707486432699998E-4</v>
      </c>
    </row>
    <row r="1110" spans="2:5" ht="15" customHeight="1">
      <c r="B1110" s="92"/>
      <c r="C1110" s="68" t="s">
        <v>206</v>
      </c>
      <c r="D1110" s="69">
        <v>6</v>
      </c>
      <c r="E1110" s="70">
        <v>2.0224491859599999E-4</v>
      </c>
    </row>
    <row r="1111" spans="2:5" ht="15" customHeight="1">
      <c r="B1111" s="92"/>
      <c r="C1111" s="68" t="s">
        <v>207</v>
      </c>
      <c r="D1111" s="69">
        <v>1</v>
      </c>
      <c r="E1111" s="70">
        <v>3.3707486433000001E-5</v>
      </c>
    </row>
    <row r="1112" spans="2:5" ht="15" customHeight="1">
      <c r="B1112" s="92"/>
      <c r="C1112" s="68" t="s">
        <v>208</v>
      </c>
      <c r="D1112" s="69">
        <v>15</v>
      </c>
      <c r="E1112" s="70">
        <v>5.0561229649099995E-4</v>
      </c>
    </row>
    <row r="1113" spans="2:5" ht="15" customHeight="1">
      <c r="B1113" s="92"/>
      <c r="C1113" s="68" t="s">
        <v>209</v>
      </c>
      <c r="D1113" s="69">
        <v>14</v>
      </c>
      <c r="E1113" s="70">
        <v>4.7190481005799999E-4</v>
      </c>
    </row>
    <row r="1114" spans="2:5" ht="15" customHeight="1">
      <c r="B1114" s="92"/>
      <c r="C1114" s="68" t="s">
        <v>210</v>
      </c>
      <c r="D1114" s="69">
        <v>3</v>
      </c>
      <c r="E1114" s="70">
        <v>1.0112245929799999E-4</v>
      </c>
    </row>
    <row r="1115" spans="2:5" ht="15" customHeight="1">
      <c r="B1115" s="92"/>
      <c r="C1115" s="68" t="s">
        <v>232</v>
      </c>
      <c r="D1115" s="69">
        <v>39</v>
      </c>
      <c r="E1115" s="70">
        <v>1.314591970877E-3</v>
      </c>
    </row>
    <row r="1116" spans="2:5" ht="15" customHeight="1">
      <c r="B1116" s="92"/>
      <c r="C1116" s="68" t="s">
        <v>211</v>
      </c>
      <c r="D1116" s="69">
        <v>2</v>
      </c>
      <c r="E1116" s="70">
        <v>6.7414972865000001E-5</v>
      </c>
    </row>
    <row r="1117" spans="2:5" ht="15" customHeight="1">
      <c r="B1117" s="92"/>
      <c r="C1117" s="68" t="s">
        <v>233</v>
      </c>
      <c r="D1117" s="69">
        <v>1</v>
      </c>
      <c r="E1117" s="70">
        <v>3.3707486433000001E-5</v>
      </c>
    </row>
    <row r="1118" spans="2:5" ht="15" customHeight="1">
      <c r="B1118" s="92"/>
      <c r="C1118" s="68" t="s">
        <v>212</v>
      </c>
      <c r="D1118" s="69">
        <v>8</v>
      </c>
      <c r="E1118" s="70">
        <v>2.6965989146199998E-4</v>
      </c>
    </row>
    <row r="1119" spans="2:5" ht="15" customHeight="1">
      <c r="B1119" s="92"/>
      <c r="C1119" s="68" t="s">
        <v>213</v>
      </c>
      <c r="D1119" s="69">
        <v>59</v>
      </c>
      <c r="E1119" s="70">
        <v>1.988741699531E-3</v>
      </c>
    </row>
    <row r="1120" spans="2:5" ht="15" customHeight="1">
      <c r="B1120" s="92"/>
      <c r="C1120" s="68" t="s">
        <v>214</v>
      </c>
      <c r="D1120" s="69">
        <v>6</v>
      </c>
      <c r="E1120" s="70">
        <v>2.0224491859599999E-4</v>
      </c>
    </row>
    <row r="1121" spans="2:5" ht="15" customHeight="1">
      <c r="B1121" s="92"/>
      <c r="C1121" s="68" t="s">
        <v>234</v>
      </c>
      <c r="D1121" s="69">
        <v>7</v>
      </c>
      <c r="E1121" s="70">
        <v>2.35952405029E-4</v>
      </c>
    </row>
    <row r="1122" spans="2:5" ht="15" customHeight="1">
      <c r="B1122" s="92"/>
      <c r="C1122" s="68" t="s">
        <v>215</v>
      </c>
      <c r="D1122" s="69">
        <v>44</v>
      </c>
      <c r="E1122" s="70">
        <v>1.4831294030399999E-3</v>
      </c>
    </row>
    <row r="1123" spans="2:5" ht="15" customHeight="1">
      <c r="B1123" s="92"/>
      <c r="C1123" s="68" t="s">
        <v>235</v>
      </c>
      <c r="D1123" s="69">
        <v>3</v>
      </c>
      <c r="E1123" s="70">
        <v>1.0112245929799999E-4</v>
      </c>
    </row>
    <row r="1124" spans="2:5" ht="15" customHeight="1">
      <c r="B1124" s="92"/>
      <c r="C1124" s="68" t="s">
        <v>216</v>
      </c>
      <c r="D1124" s="69">
        <v>1</v>
      </c>
      <c r="E1124" s="70">
        <v>3.3707486433000001E-5</v>
      </c>
    </row>
    <row r="1125" spans="2:5" ht="15" customHeight="1">
      <c r="B1125" s="92"/>
      <c r="C1125" s="68" t="s">
        <v>217</v>
      </c>
      <c r="D1125" s="69">
        <v>2</v>
      </c>
      <c r="E1125" s="70">
        <v>6.7414972865000001E-5</v>
      </c>
    </row>
    <row r="1126" spans="2:5" ht="15" customHeight="1">
      <c r="B1126" s="92"/>
      <c r="C1126" s="68" t="s">
        <v>218</v>
      </c>
      <c r="D1126" s="69">
        <v>9</v>
      </c>
      <c r="E1126" s="70">
        <v>3.0336737789499998E-4</v>
      </c>
    </row>
    <row r="1127" spans="2:5" ht="15" customHeight="1">
      <c r="B1127" s="92"/>
      <c r="C1127" s="68" t="s">
        <v>219</v>
      </c>
      <c r="D1127" s="69">
        <v>4</v>
      </c>
      <c r="E1127" s="70">
        <v>1.3482994573099999E-4</v>
      </c>
    </row>
    <row r="1128" spans="2:5" ht="15" customHeight="1">
      <c r="B1128" s="92"/>
      <c r="C1128" s="68" t="s">
        <v>236</v>
      </c>
      <c r="D1128" s="69">
        <v>4</v>
      </c>
      <c r="E1128" s="70">
        <v>1.3482994573099999E-4</v>
      </c>
    </row>
    <row r="1129" spans="2:5" ht="15" customHeight="1">
      <c r="B1129" s="92"/>
      <c r="C1129" s="68" t="s">
        <v>220</v>
      </c>
      <c r="D1129" s="69">
        <v>14</v>
      </c>
      <c r="E1129" s="70">
        <v>4.7190481005799999E-4</v>
      </c>
    </row>
    <row r="1130" spans="2:5" ht="15" customHeight="1">
      <c r="B1130" s="92"/>
      <c r="C1130" s="68" t="s">
        <v>221</v>
      </c>
      <c r="D1130" s="69">
        <v>18</v>
      </c>
      <c r="E1130" s="70">
        <v>6.0673475578900001E-4</v>
      </c>
    </row>
    <row r="1131" spans="2:5" ht="15" customHeight="1">
      <c r="B1131" s="92"/>
      <c r="C1131" s="68" t="s">
        <v>222</v>
      </c>
      <c r="D1131" s="69">
        <v>4</v>
      </c>
      <c r="E1131" s="70">
        <v>1.3482994573099999E-4</v>
      </c>
    </row>
    <row r="1132" spans="2:5" ht="15" customHeight="1">
      <c r="B1132" s="92"/>
      <c r="C1132" s="68" t="s">
        <v>225</v>
      </c>
      <c r="D1132" s="69">
        <v>2</v>
      </c>
      <c r="E1132" s="70">
        <v>6.7414972865000001E-5</v>
      </c>
    </row>
    <row r="1133" spans="2:5" ht="15" customHeight="1">
      <c r="B1133" s="92"/>
      <c r="C1133" s="68" t="s">
        <v>251</v>
      </c>
      <c r="D1133" s="69">
        <v>2</v>
      </c>
      <c r="E1133" s="70">
        <v>6.7414972865000001E-5</v>
      </c>
    </row>
    <row r="1134" spans="2:5" ht="15" customHeight="1">
      <c r="B1134" s="92"/>
      <c r="C1134" s="68" t="s">
        <v>239</v>
      </c>
      <c r="D1134" s="69">
        <v>4</v>
      </c>
      <c r="E1134" s="70">
        <v>1.3482994573099999E-4</v>
      </c>
    </row>
    <row r="1135" spans="2:5" ht="15" customHeight="1">
      <c r="B1135" s="92"/>
      <c r="C1135" s="68" t="s">
        <v>240</v>
      </c>
      <c r="D1135" s="69">
        <v>3</v>
      </c>
      <c r="E1135" s="70">
        <v>1.0112245929799999E-4</v>
      </c>
    </row>
    <row r="1136" spans="2:5" ht="15" customHeight="1">
      <c r="B1136" s="92"/>
      <c r="C1136" s="68" t="s">
        <v>226</v>
      </c>
      <c r="D1136" s="69">
        <v>7</v>
      </c>
      <c r="E1136" s="70">
        <v>2.35952405029E-4</v>
      </c>
    </row>
    <row r="1137" spans="2:5" ht="15" customHeight="1">
      <c r="B1137" s="92"/>
      <c r="C1137" s="68" t="s">
        <v>227</v>
      </c>
      <c r="D1137" s="69">
        <v>6</v>
      </c>
      <c r="E1137" s="70">
        <v>2.0224491859599999E-4</v>
      </c>
    </row>
    <row r="1138" spans="2:5" ht="15" customHeight="1">
      <c r="B1138" s="92"/>
      <c r="C1138" s="68" t="s">
        <v>228</v>
      </c>
      <c r="D1138" s="69">
        <v>3</v>
      </c>
      <c r="E1138" s="70">
        <v>1.0112245929799999E-4</v>
      </c>
    </row>
    <row r="1139" spans="2:5" ht="15" customHeight="1">
      <c r="B1139" s="92"/>
      <c r="C1139" s="68" t="s">
        <v>247</v>
      </c>
      <c r="D1139" s="69">
        <v>1</v>
      </c>
      <c r="E1139" s="70">
        <v>3.3707486433000001E-5</v>
      </c>
    </row>
    <row r="1140" spans="2:5" ht="15" customHeight="1">
      <c r="B1140" s="92"/>
      <c r="C1140" s="68" t="s">
        <v>229</v>
      </c>
      <c r="D1140" s="69">
        <v>25</v>
      </c>
      <c r="E1140" s="70">
        <v>8.4268716081800003E-4</v>
      </c>
    </row>
    <row r="1141" spans="2:5" ht="15" customHeight="1">
      <c r="B1141" s="92"/>
      <c r="C1141" s="68" t="s">
        <v>230</v>
      </c>
      <c r="D1141" s="69">
        <v>10</v>
      </c>
      <c r="E1141" s="70">
        <v>3.3707486432699998E-4</v>
      </c>
    </row>
    <row r="1142" spans="2:5" ht="15" customHeight="1">
      <c r="B1142" s="93"/>
      <c r="C1142" s="36" t="s">
        <v>29</v>
      </c>
      <c r="D1142" s="35">
        <v>426</v>
      </c>
      <c r="E1142" s="34">
        <v>1.4359389220346E-2</v>
      </c>
    </row>
    <row r="1143" spans="2:5" ht="15" customHeight="1">
      <c r="B1143" s="91" t="s">
        <v>91</v>
      </c>
      <c r="C1143" s="68" t="s">
        <v>199</v>
      </c>
      <c r="D1143" s="69">
        <v>1</v>
      </c>
      <c r="E1143" s="70">
        <v>3.3707486433000001E-5</v>
      </c>
    </row>
    <row r="1144" spans="2:5" ht="15" customHeight="1">
      <c r="B1144" s="92"/>
      <c r="C1144" s="68" t="s">
        <v>200</v>
      </c>
      <c r="D1144" s="69">
        <v>1</v>
      </c>
      <c r="E1144" s="70">
        <v>3.3707486433000001E-5</v>
      </c>
    </row>
    <row r="1145" spans="2:5" ht="15" customHeight="1">
      <c r="B1145" s="92"/>
      <c r="C1145" s="68" t="s">
        <v>201</v>
      </c>
      <c r="D1145" s="69">
        <v>4</v>
      </c>
      <c r="E1145" s="70">
        <v>1.3482994573099999E-4</v>
      </c>
    </row>
    <row r="1146" spans="2:5" ht="15" customHeight="1">
      <c r="B1146" s="92"/>
      <c r="C1146" s="68" t="s">
        <v>202</v>
      </c>
      <c r="D1146" s="69">
        <v>1</v>
      </c>
      <c r="E1146" s="70">
        <v>3.3707486433000001E-5</v>
      </c>
    </row>
    <row r="1147" spans="2:5" ht="15" customHeight="1">
      <c r="B1147" s="92"/>
      <c r="C1147" s="68" t="s">
        <v>212</v>
      </c>
      <c r="D1147" s="69">
        <v>1</v>
      </c>
      <c r="E1147" s="70">
        <v>3.3707486433000001E-5</v>
      </c>
    </row>
    <row r="1148" spans="2:5" ht="15" customHeight="1">
      <c r="B1148" s="92"/>
      <c r="C1148" s="68" t="s">
        <v>213</v>
      </c>
      <c r="D1148" s="69">
        <v>1</v>
      </c>
      <c r="E1148" s="70">
        <v>3.3707486433000001E-5</v>
      </c>
    </row>
    <row r="1149" spans="2:5" ht="15" customHeight="1">
      <c r="B1149" s="92"/>
      <c r="C1149" s="68" t="s">
        <v>215</v>
      </c>
      <c r="D1149" s="69">
        <v>6</v>
      </c>
      <c r="E1149" s="70">
        <v>2.0224491859599999E-4</v>
      </c>
    </row>
    <row r="1150" spans="2:5" ht="15" customHeight="1">
      <c r="B1150" s="92"/>
      <c r="C1150" s="68" t="s">
        <v>218</v>
      </c>
      <c r="D1150" s="69">
        <v>3</v>
      </c>
      <c r="E1150" s="70">
        <v>1.0112245929799999E-4</v>
      </c>
    </row>
    <row r="1151" spans="2:5" ht="15" customHeight="1">
      <c r="B1151" s="92"/>
      <c r="C1151" s="68" t="s">
        <v>219</v>
      </c>
      <c r="D1151" s="69">
        <v>1</v>
      </c>
      <c r="E1151" s="70">
        <v>3.3707486433000001E-5</v>
      </c>
    </row>
    <row r="1152" spans="2:5" ht="15" customHeight="1">
      <c r="B1152" s="92"/>
      <c r="C1152" s="68" t="s">
        <v>245</v>
      </c>
      <c r="D1152" s="69">
        <v>1</v>
      </c>
      <c r="E1152" s="70">
        <v>3.3707486433000001E-5</v>
      </c>
    </row>
    <row r="1153" spans="2:5" ht="15" customHeight="1">
      <c r="B1153" s="92"/>
      <c r="C1153" s="68" t="s">
        <v>222</v>
      </c>
      <c r="D1153" s="69">
        <v>1</v>
      </c>
      <c r="E1153" s="70">
        <v>3.3707486433000001E-5</v>
      </c>
    </row>
    <row r="1154" spans="2:5" ht="15" customHeight="1">
      <c r="B1154" s="92"/>
      <c r="C1154" s="68" t="s">
        <v>228</v>
      </c>
      <c r="D1154" s="69">
        <v>3</v>
      </c>
      <c r="E1154" s="70">
        <v>1.0112245929799999E-4</v>
      </c>
    </row>
    <row r="1155" spans="2:5" ht="15" customHeight="1">
      <c r="B1155" s="92"/>
      <c r="C1155" s="68" t="s">
        <v>247</v>
      </c>
      <c r="D1155" s="69">
        <v>1</v>
      </c>
      <c r="E1155" s="70">
        <v>3.3707486433000001E-5</v>
      </c>
    </row>
    <row r="1156" spans="2:5" ht="15" customHeight="1">
      <c r="B1156" s="92"/>
      <c r="C1156" s="68" t="s">
        <v>229</v>
      </c>
      <c r="D1156" s="69">
        <v>1</v>
      </c>
      <c r="E1156" s="70">
        <v>3.3707486433000001E-5</v>
      </c>
    </row>
    <row r="1157" spans="2:5" ht="15" customHeight="1">
      <c r="B1157" s="93"/>
      <c r="C1157" s="36" t="s">
        <v>29</v>
      </c>
      <c r="D1157" s="35">
        <v>26</v>
      </c>
      <c r="E1157" s="34">
        <v>8.7639464725100004E-4</v>
      </c>
    </row>
    <row r="1158" spans="2:5" ht="15" customHeight="1">
      <c r="B1158" s="91" t="s">
        <v>76</v>
      </c>
      <c r="C1158" s="68" t="s">
        <v>195</v>
      </c>
      <c r="D1158" s="69">
        <v>1</v>
      </c>
      <c r="E1158" s="70">
        <v>3.3707486433000001E-5</v>
      </c>
    </row>
    <row r="1159" spans="2:5" ht="15" customHeight="1">
      <c r="B1159" s="92"/>
      <c r="C1159" s="68" t="s">
        <v>231</v>
      </c>
      <c r="D1159" s="69">
        <v>2</v>
      </c>
      <c r="E1159" s="70">
        <v>6.7414972865000001E-5</v>
      </c>
    </row>
    <row r="1160" spans="2:5" ht="15" customHeight="1">
      <c r="B1160" s="92"/>
      <c r="C1160" s="68" t="s">
        <v>200</v>
      </c>
      <c r="D1160" s="69">
        <v>12</v>
      </c>
      <c r="E1160" s="70">
        <v>4.0448983719299999E-4</v>
      </c>
    </row>
    <row r="1161" spans="2:5" ht="15" customHeight="1">
      <c r="B1161" s="92"/>
      <c r="C1161" s="68" t="s">
        <v>203</v>
      </c>
      <c r="D1161" s="69">
        <v>4</v>
      </c>
      <c r="E1161" s="70">
        <v>1.3482994573099999E-4</v>
      </c>
    </row>
    <row r="1162" spans="2:5" ht="15" customHeight="1">
      <c r="B1162" s="92"/>
      <c r="C1162" s="68" t="s">
        <v>206</v>
      </c>
      <c r="D1162" s="69">
        <v>2</v>
      </c>
      <c r="E1162" s="70">
        <v>6.7414972865000001E-5</v>
      </c>
    </row>
    <row r="1163" spans="2:5" ht="15" customHeight="1">
      <c r="B1163" s="92"/>
      <c r="C1163" s="68" t="s">
        <v>209</v>
      </c>
      <c r="D1163" s="69">
        <v>4</v>
      </c>
      <c r="E1163" s="70">
        <v>1.3482994573099999E-4</v>
      </c>
    </row>
    <row r="1164" spans="2:5" ht="15" customHeight="1">
      <c r="B1164" s="92"/>
      <c r="C1164" s="68" t="s">
        <v>210</v>
      </c>
      <c r="D1164" s="69">
        <v>1</v>
      </c>
      <c r="E1164" s="70">
        <v>3.3707486433000001E-5</v>
      </c>
    </row>
    <row r="1165" spans="2:5" ht="15" customHeight="1">
      <c r="B1165" s="92"/>
      <c r="C1165" s="68" t="s">
        <v>232</v>
      </c>
      <c r="D1165" s="69">
        <v>1</v>
      </c>
      <c r="E1165" s="70">
        <v>3.3707486433000001E-5</v>
      </c>
    </row>
    <row r="1166" spans="2:5" ht="15" customHeight="1">
      <c r="B1166" s="92"/>
      <c r="C1166" s="68" t="s">
        <v>233</v>
      </c>
      <c r="D1166" s="69">
        <v>1</v>
      </c>
      <c r="E1166" s="70">
        <v>3.3707486433000001E-5</v>
      </c>
    </row>
    <row r="1167" spans="2:5" ht="15" customHeight="1">
      <c r="B1167" s="92"/>
      <c r="C1167" s="68" t="s">
        <v>213</v>
      </c>
      <c r="D1167" s="69">
        <v>4</v>
      </c>
      <c r="E1167" s="70">
        <v>1.3482994573099999E-4</v>
      </c>
    </row>
    <row r="1168" spans="2:5" ht="15" customHeight="1">
      <c r="B1168" s="92"/>
      <c r="C1168" s="68" t="s">
        <v>214</v>
      </c>
      <c r="D1168" s="69">
        <v>5</v>
      </c>
      <c r="E1168" s="70">
        <v>1.68537432164E-4</v>
      </c>
    </row>
    <row r="1169" spans="2:5" ht="15" customHeight="1">
      <c r="B1169" s="92"/>
      <c r="C1169" s="68" t="s">
        <v>234</v>
      </c>
      <c r="D1169" s="69">
        <v>2</v>
      </c>
      <c r="E1169" s="70">
        <v>6.7414972865000001E-5</v>
      </c>
    </row>
    <row r="1170" spans="2:5" ht="15" customHeight="1">
      <c r="B1170" s="92"/>
      <c r="C1170" s="68" t="s">
        <v>215</v>
      </c>
      <c r="D1170" s="69">
        <v>26</v>
      </c>
      <c r="E1170" s="70">
        <v>8.7639464725100004E-4</v>
      </c>
    </row>
    <row r="1171" spans="2:5" ht="15" customHeight="1">
      <c r="B1171" s="92"/>
      <c r="C1171" s="68" t="s">
        <v>235</v>
      </c>
      <c r="D1171" s="69">
        <v>1</v>
      </c>
      <c r="E1171" s="70">
        <v>3.3707486433000001E-5</v>
      </c>
    </row>
    <row r="1172" spans="2:5" ht="15" customHeight="1">
      <c r="B1172" s="92"/>
      <c r="C1172" s="68" t="s">
        <v>218</v>
      </c>
      <c r="D1172" s="69">
        <v>8</v>
      </c>
      <c r="E1172" s="70">
        <v>2.6965989146199998E-4</v>
      </c>
    </row>
    <row r="1173" spans="2:5" ht="15" customHeight="1">
      <c r="B1173" s="92"/>
      <c r="C1173" s="68" t="s">
        <v>219</v>
      </c>
      <c r="D1173" s="69">
        <v>27</v>
      </c>
      <c r="E1173" s="70">
        <v>9.1010213368400005E-4</v>
      </c>
    </row>
    <row r="1174" spans="2:5" ht="15" customHeight="1">
      <c r="B1174" s="92"/>
      <c r="C1174" s="68" t="s">
        <v>236</v>
      </c>
      <c r="D1174" s="69">
        <v>1</v>
      </c>
      <c r="E1174" s="70">
        <v>3.3707486433000001E-5</v>
      </c>
    </row>
    <row r="1175" spans="2:5" ht="15" customHeight="1">
      <c r="B1175" s="92"/>
      <c r="C1175" s="68" t="s">
        <v>221</v>
      </c>
      <c r="D1175" s="69">
        <v>1</v>
      </c>
      <c r="E1175" s="70">
        <v>3.3707486433000001E-5</v>
      </c>
    </row>
    <row r="1176" spans="2:5" ht="15" customHeight="1">
      <c r="B1176" s="92"/>
      <c r="C1176" s="68" t="s">
        <v>237</v>
      </c>
      <c r="D1176" s="69">
        <v>1</v>
      </c>
      <c r="E1176" s="70">
        <v>3.3707486433000001E-5</v>
      </c>
    </row>
    <row r="1177" spans="2:5" ht="15" customHeight="1">
      <c r="B1177" s="92"/>
      <c r="C1177" s="68" t="s">
        <v>225</v>
      </c>
      <c r="D1177" s="69">
        <v>1</v>
      </c>
      <c r="E1177" s="70">
        <v>3.3707486433000001E-5</v>
      </c>
    </row>
    <row r="1178" spans="2:5" ht="15" customHeight="1">
      <c r="B1178" s="92"/>
      <c r="C1178" s="68" t="s">
        <v>239</v>
      </c>
      <c r="D1178" s="69">
        <v>2</v>
      </c>
      <c r="E1178" s="70">
        <v>6.7414972865000001E-5</v>
      </c>
    </row>
    <row r="1179" spans="2:5" ht="15" customHeight="1">
      <c r="B1179" s="92"/>
      <c r="C1179" s="68" t="s">
        <v>240</v>
      </c>
      <c r="D1179" s="69">
        <v>1</v>
      </c>
      <c r="E1179" s="70">
        <v>3.3707486433000001E-5</v>
      </c>
    </row>
    <row r="1180" spans="2:5" ht="15" customHeight="1">
      <c r="B1180" s="92"/>
      <c r="C1180" s="68" t="s">
        <v>226</v>
      </c>
      <c r="D1180" s="69">
        <v>5</v>
      </c>
      <c r="E1180" s="70">
        <v>1.68537432164E-4</v>
      </c>
    </row>
    <row r="1181" spans="2:5" ht="15" customHeight="1">
      <c r="B1181" s="92"/>
      <c r="C1181" s="68" t="s">
        <v>229</v>
      </c>
      <c r="D1181" s="69">
        <v>1</v>
      </c>
      <c r="E1181" s="70">
        <v>3.3707486433000001E-5</v>
      </c>
    </row>
    <row r="1182" spans="2:5" ht="15" customHeight="1">
      <c r="B1182" s="92"/>
      <c r="C1182" s="68" t="s">
        <v>230</v>
      </c>
      <c r="D1182" s="69">
        <v>3</v>
      </c>
      <c r="E1182" s="70">
        <v>1.0112245929799999E-4</v>
      </c>
    </row>
    <row r="1183" spans="2:5" ht="15" customHeight="1">
      <c r="B1183" s="93"/>
      <c r="C1183" s="36" t="s">
        <v>29</v>
      </c>
      <c r="D1183" s="35">
        <v>117</v>
      </c>
      <c r="E1183" s="34">
        <v>3.9437759126300003E-3</v>
      </c>
    </row>
    <row r="1184" spans="2:5" ht="15" customHeight="1">
      <c r="B1184" s="91" t="s">
        <v>93</v>
      </c>
      <c r="C1184" s="68" t="s">
        <v>200</v>
      </c>
      <c r="D1184" s="69">
        <v>2</v>
      </c>
      <c r="E1184" s="70">
        <v>6.7414972865000001E-5</v>
      </c>
    </row>
    <row r="1185" spans="2:5" ht="15" customHeight="1">
      <c r="B1185" s="92"/>
      <c r="C1185" s="68" t="s">
        <v>204</v>
      </c>
      <c r="D1185" s="69">
        <v>1</v>
      </c>
      <c r="E1185" s="70">
        <v>3.3707486433000001E-5</v>
      </c>
    </row>
    <row r="1186" spans="2:5" ht="15" customHeight="1">
      <c r="B1186" s="92"/>
      <c r="C1186" s="68" t="s">
        <v>215</v>
      </c>
      <c r="D1186" s="69">
        <v>2</v>
      </c>
      <c r="E1186" s="70">
        <v>6.7414972865000001E-5</v>
      </c>
    </row>
    <row r="1187" spans="2:5" ht="15" customHeight="1">
      <c r="B1187" s="92"/>
      <c r="C1187" s="68" t="s">
        <v>219</v>
      </c>
      <c r="D1187" s="69">
        <v>6</v>
      </c>
      <c r="E1187" s="70">
        <v>2.0224491859599999E-4</v>
      </c>
    </row>
    <row r="1188" spans="2:5" ht="15" customHeight="1">
      <c r="B1188" s="92"/>
      <c r="C1188" s="68" t="s">
        <v>220</v>
      </c>
      <c r="D1188" s="69">
        <v>1</v>
      </c>
      <c r="E1188" s="70">
        <v>3.3707486433000001E-5</v>
      </c>
    </row>
    <row r="1189" spans="2:5" ht="15" customHeight="1">
      <c r="B1189" s="92"/>
      <c r="C1189" s="68" t="s">
        <v>226</v>
      </c>
      <c r="D1189" s="69">
        <v>3</v>
      </c>
      <c r="E1189" s="70">
        <v>1.0112245929799999E-4</v>
      </c>
    </row>
    <row r="1190" spans="2:5" ht="15" customHeight="1">
      <c r="B1190" s="92"/>
      <c r="C1190" s="68" t="s">
        <v>230</v>
      </c>
      <c r="D1190" s="69">
        <v>1</v>
      </c>
      <c r="E1190" s="70">
        <v>3.3707486433000001E-5</v>
      </c>
    </row>
    <row r="1191" spans="2:5" ht="15" customHeight="1">
      <c r="B1191" s="93"/>
      <c r="C1191" s="36" t="s">
        <v>29</v>
      </c>
      <c r="D1191" s="35">
        <v>16</v>
      </c>
      <c r="E1191" s="34">
        <v>5.3931978292399995E-4</v>
      </c>
    </row>
    <row r="1192" spans="2:5" ht="15" customHeight="1">
      <c r="B1192" s="91" t="s">
        <v>88</v>
      </c>
      <c r="C1192" s="68" t="s">
        <v>195</v>
      </c>
      <c r="D1192" s="69">
        <v>1</v>
      </c>
      <c r="E1192" s="70">
        <v>3.3707486433000001E-5</v>
      </c>
    </row>
    <row r="1193" spans="2:5" ht="15" customHeight="1">
      <c r="B1193" s="92"/>
      <c r="C1193" s="68" t="s">
        <v>197</v>
      </c>
      <c r="D1193" s="69">
        <v>1</v>
      </c>
      <c r="E1193" s="70">
        <v>3.3707486433000001E-5</v>
      </c>
    </row>
    <row r="1194" spans="2:5" ht="15" customHeight="1">
      <c r="B1194" s="92"/>
      <c r="C1194" s="68" t="s">
        <v>231</v>
      </c>
      <c r="D1194" s="69">
        <v>1</v>
      </c>
      <c r="E1194" s="70">
        <v>3.3707486433000001E-5</v>
      </c>
    </row>
    <row r="1195" spans="2:5" ht="15" customHeight="1">
      <c r="B1195" s="92"/>
      <c r="C1195" s="68" t="s">
        <v>198</v>
      </c>
      <c r="D1195" s="69">
        <v>1</v>
      </c>
      <c r="E1195" s="70">
        <v>3.3707486433000001E-5</v>
      </c>
    </row>
    <row r="1196" spans="2:5" ht="15" customHeight="1">
      <c r="B1196" s="92"/>
      <c r="C1196" s="68" t="s">
        <v>201</v>
      </c>
      <c r="D1196" s="69">
        <v>1</v>
      </c>
      <c r="E1196" s="70">
        <v>3.3707486433000001E-5</v>
      </c>
    </row>
    <row r="1197" spans="2:5" ht="15" customHeight="1">
      <c r="B1197" s="92"/>
      <c r="C1197" s="68" t="s">
        <v>202</v>
      </c>
      <c r="D1197" s="69">
        <v>2</v>
      </c>
      <c r="E1197" s="70">
        <v>6.7414972865000001E-5</v>
      </c>
    </row>
    <row r="1198" spans="2:5" ht="15" customHeight="1">
      <c r="B1198" s="92"/>
      <c r="C1198" s="68" t="s">
        <v>203</v>
      </c>
      <c r="D1198" s="69">
        <v>3</v>
      </c>
      <c r="E1198" s="70">
        <v>1.0112245929799999E-4</v>
      </c>
    </row>
    <row r="1199" spans="2:5" ht="15" customHeight="1">
      <c r="B1199" s="92"/>
      <c r="C1199" s="68" t="s">
        <v>206</v>
      </c>
      <c r="D1199" s="69">
        <v>1</v>
      </c>
      <c r="E1199" s="70">
        <v>3.3707486433000001E-5</v>
      </c>
    </row>
    <row r="1200" spans="2:5" ht="15" customHeight="1">
      <c r="B1200" s="92"/>
      <c r="C1200" s="68" t="s">
        <v>209</v>
      </c>
      <c r="D1200" s="69">
        <v>1</v>
      </c>
      <c r="E1200" s="70">
        <v>3.3707486433000001E-5</v>
      </c>
    </row>
    <row r="1201" spans="2:5" ht="15" customHeight="1">
      <c r="B1201" s="92"/>
      <c r="C1201" s="68" t="s">
        <v>232</v>
      </c>
      <c r="D1201" s="69">
        <v>1</v>
      </c>
      <c r="E1201" s="70">
        <v>3.3707486433000001E-5</v>
      </c>
    </row>
    <row r="1202" spans="2:5" ht="15" customHeight="1">
      <c r="B1202" s="92"/>
      <c r="C1202" s="68" t="s">
        <v>213</v>
      </c>
      <c r="D1202" s="69">
        <v>3</v>
      </c>
      <c r="E1202" s="70">
        <v>1.0112245929799999E-4</v>
      </c>
    </row>
    <row r="1203" spans="2:5" ht="15" customHeight="1">
      <c r="B1203" s="92"/>
      <c r="C1203" s="68" t="s">
        <v>214</v>
      </c>
      <c r="D1203" s="69">
        <v>1</v>
      </c>
      <c r="E1203" s="70">
        <v>3.3707486433000001E-5</v>
      </c>
    </row>
    <row r="1204" spans="2:5" ht="15" customHeight="1">
      <c r="B1204" s="92"/>
      <c r="C1204" s="68" t="s">
        <v>215</v>
      </c>
      <c r="D1204" s="69">
        <v>9</v>
      </c>
      <c r="E1204" s="70">
        <v>3.0336737789499998E-4</v>
      </c>
    </row>
    <row r="1205" spans="2:5" ht="15" customHeight="1">
      <c r="B1205" s="92"/>
      <c r="C1205" s="68" t="s">
        <v>217</v>
      </c>
      <c r="D1205" s="69">
        <v>2</v>
      </c>
      <c r="E1205" s="70">
        <v>6.7414972865000001E-5</v>
      </c>
    </row>
    <row r="1206" spans="2:5" ht="15" customHeight="1">
      <c r="B1206" s="92"/>
      <c r="C1206" s="68" t="s">
        <v>218</v>
      </c>
      <c r="D1206" s="69">
        <v>1</v>
      </c>
      <c r="E1206" s="70">
        <v>3.3707486433000001E-5</v>
      </c>
    </row>
    <row r="1207" spans="2:5" ht="15" customHeight="1">
      <c r="B1207" s="92"/>
      <c r="C1207" s="68" t="s">
        <v>220</v>
      </c>
      <c r="D1207" s="69">
        <v>1</v>
      </c>
      <c r="E1207" s="70">
        <v>3.3707486433000001E-5</v>
      </c>
    </row>
    <row r="1208" spans="2:5" ht="15" customHeight="1">
      <c r="B1208" s="92"/>
      <c r="C1208" s="68" t="s">
        <v>222</v>
      </c>
      <c r="D1208" s="69">
        <v>1</v>
      </c>
      <c r="E1208" s="70">
        <v>3.3707486433000001E-5</v>
      </c>
    </row>
    <row r="1209" spans="2:5" ht="15" customHeight="1">
      <c r="B1209" s="92"/>
      <c r="C1209" s="68" t="s">
        <v>241</v>
      </c>
      <c r="D1209" s="69">
        <v>2</v>
      </c>
      <c r="E1209" s="70">
        <v>6.7414972865000001E-5</v>
      </c>
    </row>
    <row r="1210" spans="2:5" ht="15" customHeight="1">
      <c r="B1210" s="92"/>
      <c r="C1210" s="68" t="s">
        <v>246</v>
      </c>
      <c r="D1210" s="69">
        <v>1</v>
      </c>
      <c r="E1210" s="70">
        <v>3.3707486433000001E-5</v>
      </c>
    </row>
    <row r="1211" spans="2:5" ht="15" customHeight="1">
      <c r="B1211" s="92"/>
      <c r="C1211" s="68" t="s">
        <v>226</v>
      </c>
      <c r="D1211" s="69">
        <v>2</v>
      </c>
      <c r="E1211" s="70">
        <v>6.7414972865000001E-5</v>
      </c>
    </row>
    <row r="1212" spans="2:5" ht="15" customHeight="1">
      <c r="B1212" s="92"/>
      <c r="C1212" s="68" t="s">
        <v>229</v>
      </c>
      <c r="D1212" s="69">
        <v>2</v>
      </c>
      <c r="E1212" s="70">
        <v>6.7414972865000001E-5</v>
      </c>
    </row>
    <row r="1213" spans="2:5" ht="15" customHeight="1">
      <c r="B1213" s="93"/>
      <c r="C1213" s="36" t="s">
        <v>29</v>
      </c>
      <c r="D1213" s="35">
        <v>38</v>
      </c>
      <c r="E1213" s="34">
        <v>1.280884484444E-3</v>
      </c>
    </row>
    <row r="1214" spans="2:5" ht="15" customHeight="1">
      <c r="B1214" s="91" t="s">
        <v>55</v>
      </c>
      <c r="C1214" s="68" t="s">
        <v>195</v>
      </c>
      <c r="D1214" s="69">
        <v>10</v>
      </c>
      <c r="E1214" s="70">
        <v>3.3707486432699998E-4</v>
      </c>
    </row>
    <row r="1215" spans="2:5" ht="15" customHeight="1">
      <c r="B1215" s="92"/>
      <c r="C1215" s="68" t="s">
        <v>196</v>
      </c>
      <c r="D1215" s="69">
        <v>15</v>
      </c>
      <c r="E1215" s="70">
        <v>5.0561229649099995E-4</v>
      </c>
    </row>
    <row r="1216" spans="2:5" ht="15" customHeight="1">
      <c r="B1216" s="92"/>
      <c r="C1216" s="68" t="s">
        <v>197</v>
      </c>
      <c r="D1216" s="69">
        <v>50</v>
      </c>
      <c r="E1216" s="70">
        <v>1.6853743216369999E-3</v>
      </c>
    </row>
    <row r="1217" spans="2:5" ht="15" customHeight="1">
      <c r="B1217" s="92"/>
      <c r="C1217" s="68" t="s">
        <v>231</v>
      </c>
      <c r="D1217" s="69">
        <v>2</v>
      </c>
      <c r="E1217" s="70">
        <v>6.7414972865000001E-5</v>
      </c>
    </row>
    <row r="1218" spans="2:5" ht="15" customHeight="1">
      <c r="B1218" s="92"/>
      <c r="C1218" s="68" t="s">
        <v>198</v>
      </c>
      <c r="D1218" s="69">
        <v>6</v>
      </c>
      <c r="E1218" s="70">
        <v>2.0224491859599999E-4</v>
      </c>
    </row>
    <row r="1219" spans="2:5" ht="15" customHeight="1">
      <c r="B1219" s="92"/>
      <c r="C1219" s="68" t="s">
        <v>248</v>
      </c>
      <c r="D1219" s="69">
        <v>3</v>
      </c>
      <c r="E1219" s="70">
        <v>1.0112245929799999E-4</v>
      </c>
    </row>
    <row r="1220" spans="2:5" ht="15" customHeight="1">
      <c r="B1220" s="92"/>
      <c r="C1220" s="68" t="s">
        <v>242</v>
      </c>
      <c r="D1220" s="69">
        <v>2</v>
      </c>
      <c r="E1220" s="70">
        <v>6.7414972865000001E-5</v>
      </c>
    </row>
    <row r="1221" spans="2:5" ht="15" customHeight="1">
      <c r="B1221" s="92"/>
      <c r="C1221" s="68" t="s">
        <v>199</v>
      </c>
      <c r="D1221" s="69">
        <v>13</v>
      </c>
      <c r="E1221" s="70">
        <v>4.38197323626E-4</v>
      </c>
    </row>
    <row r="1222" spans="2:5" ht="15" customHeight="1">
      <c r="B1222" s="92"/>
      <c r="C1222" s="68" t="s">
        <v>200</v>
      </c>
      <c r="D1222" s="69">
        <v>12</v>
      </c>
      <c r="E1222" s="70">
        <v>4.0448983719299999E-4</v>
      </c>
    </row>
    <row r="1223" spans="2:5" ht="15" customHeight="1">
      <c r="B1223" s="92"/>
      <c r="C1223" s="68" t="s">
        <v>201</v>
      </c>
      <c r="D1223" s="69">
        <v>66</v>
      </c>
      <c r="E1223" s="70">
        <v>2.2246941045610002E-3</v>
      </c>
    </row>
    <row r="1224" spans="2:5" ht="15" customHeight="1">
      <c r="B1224" s="92"/>
      <c r="C1224" s="68" t="s">
        <v>202</v>
      </c>
      <c r="D1224" s="69">
        <v>72</v>
      </c>
      <c r="E1224" s="70">
        <v>2.4269390231570001E-3</v>
      </c>
    </row>
    <row r="1225" spans="2:5" ht="15" customHeight="1">
      <c r="B1225" s="92"/>
      <c r="C1225" s="68" t="s">
        <v>203</v>
      </c>
      <c r="D1225" s="69">
        <v>89</v>
      </c>
      <c r="E1225" s="70">
        <v>2.9999662925140002E-3</v>
      </c>
    </row>
    <row r="1226" spans="2:5" ht="15" customHeight="1">
      <c r="B1226" s="92"/>
      <c r="C1226" s="68" t="s">
        <v>249</v>
      </c>
      <c r="D1226" s="69">
        <v>1</v>
      </c>
      <c r="E1226" s="70">
        <v>3.3707486433000001E-5</v>
      </c>
    </row>
    <row r="1227" spans="2:5" ht="15" customHeight="1">
      <c r="B1227" s="92"/>
      <c r="C1227" s="68" t="s">
        <v>204</v>
      </c>
      <c r="D1227" s="69">
        <v>32</v>
      </c>
      <c r="E1227" s="70">
        <v>1.0786395658479999E-3</v>
      </c>
    </row>
    <row r="1228" spans="2:5" ht="15" customHeight="1">
      <c r="B1228" s="92"/>
      <c r="C1228" s="68" t="s">
        <v>205</v>
      </c>
      <c r="D1228" s="69">
        <v>30</v>
      </c>
      <c r="E1228" s="70">
        <v>1.0112245929819999E-3</v>
      </c>
    </row>
    <row r="1229" spans="2:5" ht="15" customHeight="1">
      <c r="B1229" s="92"/>
      <c r="C1229" s="68" t="s">
        <v>243</v>
      </c>
      <c r="D1229" s="69">
        <v>6</v>
      </c>
      <c r="E1229" s="70">
        <v>2.0224491859599999E-4</v>
      </c>
    </row>
    <row r="1230" spans="2:5" ht="15" customHeight="1">
      <c r="B1230" s="92"/>
      <c r="C1230" s="68" t="s">
        <v>206</v>
      </c>
      <c r="D1230" s="69">
        <v>16</v>
      </c>
      <c r="E1230" s="70">
        <v>5.3931978292399995E-4</v>
      </c>
    </row>
    <row r="1231" spans="2:5" ht="15" customHeight="1">
      <c r="B1231" s="92"/>
      <c r="C1231" s="68" t="s">
        <v>207</v>
      </c>
      <c r="D1231" s="69">
        <v>6</v>
      </c>
      <c r="E1231" s="70">
        <v>2.0224491859599999E-4</v>
      </c>
    </row>
    <row r="1232" spans="2:5" ht="15" customHeight="1">
      <c r="B1232" s="92"/>
      <c r="C1232" s="68" t="s">
        <v>208</v>
      </c>
      <c r="D1232" s="69">
        <v>7</v>
      </c>
      <c r="E1232" s="70">
        <v>2.35952405029E-4</v>
      </c>
    </row>
    <row r="1233" spans="2:5" ht="15" customHeight="1">
      <c r="B1233" s="92"/>
      <c r="C1233" s="68" t="s">
        <v>209</v>
      </c>
      <c r="D1233" s="69">
        <v>30</v>
      </c>
      <c r="E1233" s="70">
        <v>1.0112245929819999E-3</v>
      </c>
    </row>
    <row r="1234" spans="2:5" ht="15" customHeight="1">
      <c r="B1234" s="92"/>
      <c r="C1234" s="68" t="s">
        <v>210</v>
      </c>
      <c r="D1234" s="69">
        <v>2</v>
      </c>
      <c r="E1234" s="70">
        <v>6.7414972865000001E-5</v>
      </c>
    </row>
    <row r="1235" spans="2:5" ht="15" customHeight="1">
      <c r="B1235" s="92"/>
      <c r="C1235" s="68" t="s">
        <v>232</v>
      </c>
      <c r="D1235" s="69">
        <v>22</v>
      </c>
      <c r="E1235" s="70">
        <v>7.4156470151999997E-4</v>
      </c>
    </row>
    <row r="1236" spans="2:5" ht="15" customHeight="1">
      <c r="B1236" s="92"/>
      <c r="C1236" s="68" t="s">
        <v>211</v>
      </c>
      <c r="D1236" s="69">
        <v>6</v>
      </c>
      <c r="E1236" s="70">
        <v>2.0224491859599999E-4</v>
      </c>
    </row>
    <row r="1237" spans="2:5" ht="15" customHeight="1">
      <c r="B1237" s="92"/>
      <c r="C1237" s="68" t="s">
        <v>212</v>
      </c>
      <c r="D1237" s="69">
        <v>27</v>
      </c>
      <c r="E1237" s="70">
        <v>9.1010213368400005E-4</v>
      </c>
    </row>
    <row r="1238" spans="2:5" ht="15" customHeight="1">
      <c r="B1238" s="92"/>
      <c r="C1238" s="68" t="s">
        <v>213</v>
      </c>
      <c r="D1238" s="69">
        <v>174</v>
      </c>
      <c r="E1238" s="70">
        <v>5.8651026392960003E-3</v>
      </c>
    </row>
    <row r="1239" spans="2:5" ht="15" customHeight="1">
      <c r="B1239" s="92"/>
      <c r="C1239" s="68" t="s">
        <v>214</v>
      </c>
      <c r="D1239" s="69">
        <v>24</v>
      </c>
      <c r="E1239" s="70">
        <v>8.0897967438599999E-4</v>
      </c>
    </row>
    <row r="1240" spans="2:5" ht="15" customHeight="1">
      <c r="B1240" s="92"/>
      <c r="C1240" s="68" t="s">
        <v>234</v>
      </c>
      <c r="D1240" s="69">
        <v>13</v>
      </c>
      <c r="E1240" s="70">
        <v>4.38197323626E-4</v>
      </c>
    </row>
    <row r="1241" spans="2:5" ht="15" customHeight="1">
      <c r="B1241" s="92"/>
      <c r="C1241" s="68" t="s">
        <v>215</v>
      </c>
      <c r="D1241" s="69">
        <v>136</v>
      </c>
      <c r="E1241" s="70">
        <v>4.5842181548520003E-3</v>
      </c>
    </row>
    <row r="1242" spans="2:5" ht="15" customHeight="1">
      <c r="B1242" s="92"/>
      <c r="C1242" s="68" t="s">
        <v>235</v>
      </c>
      <c r="D1242" s="69">
        <v>2</v>
      </c>
      <c r="E1242" s="70">
        <v>6.7414972865000001E-5</v>
      </c>
    </row>
    <row r="1243" spans="2:5" ht="15" customHeight="1">
      <c r="B1243" s="92"/>
      <c r="C1243" s="68" t="s">
        <v>244</v>
      </c>
      <c r="D1243" s="69">
        <v>5</v>
      </c>
      <c r="E1243" s="70">
        <v>1.68537432164E-4</v>
      </c>
    </row>
    <row r="1244" spans="2:5" ht="15" customHeight="1">
      <c r="B1244" s="92"/>
      <c r="C1244" s="68" t="s">
        <v>216</v>
      </c>
      <c r="D1244" s="69">
        <v>5</v>
      </c>
      <c r="E1244" s="70">
        <v>1.68537432164E-4</v>
      </c>
    </row>
    <row r="1245" spans="2:5" ht="15" customHeight="1">
      <c r="B1245" s="92"/>
      <c r="C1245" s="68" t="s">
        <v>217</v>
      </c>
      <c r="D1245" s="69">
        <v>27</v>
      </c>
      <c r="E1245" s="70">
        <v>9.1010213368400005E-4</v>
      </c>
    </row>
    <row r="1246" spans="2:5" ht="15" customHeight="1">
      <c r="B1246" s="92"/>
      <c r="C1246" s="68" t="s">
        <v>218</v>
      </c>
      <c r="D1246" s="69">
        <v>24</v>
      </c>
      <c r="E1246" s="70">
        <v>8.0897967438599999E-4</v>
      </c>
    </row>
    <row r="1247" spans="2:5" ht="15" customHeight="1">
      <c r="B1247" s="92"/>
      <c r="C1247" s="68" t="s">
        <v>219</v>
      </c>
      <c r="D1247" s="69">
        <v>2</v>
      </c>
      <c r="E1247" s="70">
        <v>6.7414972865000001E-5</v>
      </c>
    </row>
    <row r="1248" spans="2:5" ht="15" customHeight="1">
      <c r="B1248" s="92"/>
      <c r="C1248" s="68" t="s">
        <v>236</v>
      </c>
      <c r="D1248" s="69">
        <v>11</v>
      </c>
      <c r="E1248" s="70">
        <v>3.7078235075999999E-4</v>
      </c>
    </row>
    <row r="1249" spans="2:5" ht="15" customHeight="1">
      <c r="B1249" s="92"/>
      <c r="C1249" s="68" t="s">
        <v>220</v>
      </c>
      <c r="D1249" s="69">
        <v>38</v>
      </c>
      <c r="E1249" s="70">
        <v>1.280884484444E-3</v>
      </c>
    </row>
    <row r="1250" spans="2:5" ht="15" customHeight="1">
      <c r="B1250" s="92"/>
      <c r="C1250" s="68" t="s">
        <v>221</v>
      </c>
      <c r="D1250" s="69">
        <v>62</v>
      </c>
      <c r="E1250" s="70">
        <v>2.0898641588299998E-3</v>
      </c>
    </row>
    <row r="1251" spans="2:5" ht="15" customHeight="1">
      <c r="B1251" s="92"/>
      <c r="C1251" s="68" t="s">
        <v>245</v>
      </c>
      <c r="D1251" s="69">
        <v>3</v>
      </c>
      <c r="E1251" s="70">
        <v>1.0112245929799999E-4</v>
      </c>
    </row>
    <row r="1252" spans="2:5" ht="15" customHeight="1">
      <c r="B1252" s="92"/>
      <c r="C1252" s="68" t="s">
        <v>222</v>
      </c>
      <c r="D1252" s="69">
        <v>19</v>
      </c>
      <c r="E1252" s="70">
        <v>6.4044224222200002E-4</v>
      </c>
    </row>
    <row r="1253" spans="2:5" ht="15" customHeight="1">
      <c r="B1253" s="92"/>
      <c r="C1253" s="68" t="s">
        <v>223</v>
      </c>
      <c r="D1253" s="69">
        <v>1</v>
      </c>
      <c r="E1253" s="70">
        <v>3.3707486433000001E-5</v>
      </c>
    </row>
    <row r="1254" spans="2:5" ht="15" customHeight="1">
      <c r="B1254" s="92"/>
      <c r="C1254" s="68" t="s">
        <v>250</v>
      </c>
      <c r="D1254" s="69">
        <v>2</v>
      </c>
      <c r="E1254" s="70">
        <v>6.7414972865000001E-5</v>
      </c>
    </row>
    <row r="1255" spans="2:5" ht="15" customHeight="1">
      <c r="B1255" s="92"/>
      <c r="C1255" s="68" t="s">
        <v>224</v>
      </c>
      <c r="D1255" s="69">
        <v>2</v>
      </c>
      <c r="E1255" s="70">
        <v>6.7414972865000001E-5</v>
      </c>
    </row>
    <row r="1256" spans="2:5" ht="15" customHeight="1">
      <c r="B1256" s="92"/>
      <c r="C1256" s="68" t="s">
        <v>225</v>
      </c>
      <c r="D1256" s="69">
        <v>14</v>
      </c>
      <c r="E1256" s="70">
        <v>4.7190481005799999E-4</v>
      </c>
    </row>
    <row r="1257" spans="2:5" ht="15" customHeight="1">
      <c r="B1257" s="92"/>
      <c r="C1257" s="68" t="s">
        <v>251</v>
      </c>
      <c r="D1257" s="69">
        <v>8</v>
      </c>
      <c r="E1257" s="70">
        <v>2.6965989146199998E-4</v>
      </c>
    </row>
    <row r="1258" spans="2:5" ht="15" customHeight="1">
      <c r="B1258" s="92"/>
      <c r="C1258" s="68" t="s">
        <v>238</v>
      </c>
      <c r="D1258" s="69">
        <v>4</v>
      </c>
      <c r="E1258" s="70">
        <v>1.3482994573099999E-4</v>
      </c>
    </row>
    <row r="1259" spans="2:5" ht="15" customHeight="1">
      <c r="B1259" s="92"/>
      <c r="C1259" s="68" t="s">
        <v>239</v>
      </c>
      <c r="D1259" s="69">
        <v>4</v>
      </c>
      <c r="E1259" s="70">
        <v>1.3482994573099999E-4</v>
      </c>
    </row>
    <row r="1260" spans="2:5" ht="15" customHeight="1">
      <c r="B1260" s="92"/>
      <c r="C1260" s="68" t="s">
        <v>240</v>
      </c>
      <c r="D1260" s="69">
        <v>6</v>
      </c>
      <c r="E1260" s="70">
        <v>2.0224491859599999E-4</v>
      </c>
    </row>
    <row r="1261" spans="2:5" ht="15" customHeight="1">
      <c r="B1261" s="92"/>
      <c r="C1261" s="68" t="s">
        <v>241</v>
      </c>
      <c r="D1261" s="69">
        <v>7</v>
      </c>
      <c r="E1261" s="70">
        <v>2.35952405029E-4</v>
      </c>
    </row>
    <row r="1262" spans="2:5" ht="15" customHeight="1">
      <c r="B1262" s="92"/>
      <c r="C1262" s="68" t="s">
        <v>246</v>
      </c>
      <c r="D1262" s="69">
        <v>3</v>
      </c>
      <c r="E1262" s="70">
        <v>1.0112245929799999E-4</v>
      </c>
    </row>
    <row r="1263" spans="2:5" ht="15" customHeight="1">
      <c r="B1263" s="92"/>
      <c r="C1263" s="68" t="s">
        <v>226</v>
      </c>
      <c r="D1263" s="69">
        <v>17</v>
      </c>
      <c r="E1263" s="70">
        <v>5.7302726935699996E-4</v>
      </c>
    </row>
    <row r="1264" spans="2:5" ht="15" customHeight="1">
      <c r="B1264" s="92"/>
      <c r="C1264" s="68" t="s">
        <v>227</v>
      </c>
      <c r="D1264" s="69">
        <v>4</v>
      </c>
      <c r="E1264" s="70">
        <v>1.3482994573099999E-4</v>
      </c>
    </row>
    <row r="1265" spans="2:5" ht="15" customHeight="1">
      <c r="B1265" s="92"/>
      <c r="C1265" s="68" t="s">
        <v>228</v>
      </c>
      <c r="D1265" s="69">
        <v>1</v>
      </c>
      <c r="E1265" s="70">
        <v>3.3707486433000001E-5</v>
      </c>
    </row>
    <row r="1266" spans="2:5" ht="15" customHeight="1">
      <c r="B1266" s="92"/>
      <c r="C1266" s="68" t="s">
        <v>247</v>
      </c>
      <c r="D1266" s="69">
        <v>2</v>
      </c>
      <c r="E1266" s="70">
        <v>6.7414972865000001E-5</v>
      </c>
    </row>
    <row r="1267" spans="2:5" ht="15" customHeight="1">
      <c r="B1267" s="92"/>
      <c r="C1267" s="68" t="s">
        <v>229</v>
      </c>
      <c r="D1267" s="69">
        <v>22</v>
      </c>
      <c r="E1267" s="70">
        <v>7.4156470151999997E-4</v>
      </c>
    </row>
    <row r="1268" spans="2:5" ht="15" customHeight="1">
      <c r="B1268" s="92"/>
      <c r="C1268" s="68" t="s">
        <v>230</v>
      </c>
      <c r="D1268" s="69">
        <v>8</v>
      </c>
      <c r="E1268" s="70">
        <v>2.6965989146199998E-4</v>
      </c>
    </row>
    <row r="1269" spans="2:5" ht="15" customHeight="1">
      <c r="B1269" s="93"/>
      <c r="C1269" s="36" t="s">
        <v>29</v>
      </c>
      <c r="D1269" s="35">
        <v>1175</v>
      </c>
      <c r="E1269" s="34">
        <v>3.9606296558466002E-2</v>
      </c>
    </row>
    <row r="1270" spans="2:5" ht="15" customHeight="1">
      <c r="B1270" s="91" t="s">
        <v>82</v>
      </c>
      <c r="C1270" s="68" t="s">
        <v>200</v>
      </c>
      <c r="D1270" s="69">
        <v>7</v>
      </c>
      <c r="E1270" s="70">
        <v>2.35952405029E-4</v>
      </c>
    </row>
    <row r="1271" spans="2:5" ht="15" customHeight="1">
      <c r="B1271" s="92"/>
      <c r="C1271" s="68" t="s">
        <v>203</v>
      </c>
      <c r="D1271" s="69">
        <v>4</v>
      </c>
      <c r="E1271" s="70">
        <v>1.3482994573099999E-4</v>
      </c>
    </row>
    <row r="1272" spans="2:5" ht="15" customHeight="1">
      <c r="B1272" s="92"/>
      <c r="C1272" s="68" t="s">
        <v>204</v>
      </c>
      <c r="D1272" s="69">
        <v>1</v>
      </c>
      <c r="E1272" s="70">
        <v>3.3707486433000001E-5</v>
      </c>
    </row>
    <row r="1273" spans="2:5" ht="15" customHeight="1">
      <c r="B1273" s="92"/>
      <c r="C1273" s="68" t="s">
        <v>205</v>
      </c>
      <c r="D1273" s="69">
        <v>1</v>
      </c>
      <c r="E1273" s="70">
        <v>3.3707486433000001E-5</v>
      </c>
    </row>
    <row r="1274" spans="2:5" ht="15" customHeight="1">
      <c r="B1274" s="92"/>
      <c r="C1274" s="68" t="s">
        <v>209</v>
      </c>
      <c r="D1274" s="69">
        <v>3</v>
      </c>
      <c r="E1274" s="70">
        <v>1.0112245929799999E-4</v>
      </c>
    </row>
    <row r="1275" spans="2:5" ht="15" customHeight="1">
      <c r="B1275" s="92"/>
      <c r="C1275" s="68" t="s">
        <v>232</v>
      </c>
      <c r="D1275" s="69">
        <v>1</v>
      </c>
      <c r="E1275" s="70">
        <v>3.3707486433000001E-5</v>
      </c>
    </row>
    <row r="1276" spans="2:5" ht="15" customHeight="1">
      <c r="B1276" s="92"/>
      <c r="C1276" s="68" t="s">
        <v>214</v>
      </c>
      <c r="D1276" s="69">
        <v>1</v>
      </c>
      <c r="E1276" s="70">
        <v>3.3707486433000001E-5</v>
      </c>
    </row>
    <row r="1277" spans="2:5" ht="15" customHeight="1">
      <c r="B1277" s="92"/>
      <c r="C1277" s="68" t="s">
        <v>215</v>
      </c>
      <c r="D1277" s="69">
        <v>17</v>
      </c>
      <c r="E1277" s="70">
        <v>5.7302726935699996E-4</v>
      </c>
    </row>
    <row r="1278" spans="2:5" ht="15" customHeight="1">
      <c r="B1278" s="92"/>
      <c r="C1278" s="68" t="s">
        <v>218</v>
      </c>
      <c r="D1278" s="69">
        <v>1</v>
      </c>
      <c r="E1278" s="70">
        <v>3.3707486433000001E-5</v>
      </c>
    </row>
    <row r="1279" spans="2:5" ht="15" customHeight="1">
      <c r="B1279" s="92"/>
      <c r="C1279" s="68" t="s">
        <v>219</v>
      </c>
      <c r="D1279" s="69">
        <v>10</v>
      </c>
      <c r="E1279" s="70">
        <v>3.3707486432699998E-4</v>
      </c>
    </row>
    <row r="1280" spans="2:5" ht="15" customHeight="1">
      <c r="B1280" s="92"/>
      <c r="C1280" s="68" t="s">
        <v>220</v>
      </c>
      <c r="D1280" s="69">
        <v>1</v>
      </c>
      <c r="E1280" s="70">
        <v>3.3707486433000001E-5</v>
      </c>
    </row>
    <row r="1281" spans="2:5" ht="15" customHeight="1">
      <c r="B1281" s="92"/>
      <c r="C1281" s="68" t="s">
        <v>222</v>
      </c>
      <c r="D1281" s="69">
        <v>1</v>
      </c>
      <c r="E1281" s="70">
        <v>3.3707486433000001E-5</v>
      </c>
    </row>
    <row r="1282" spans="2:5" ht="15" customHeight="1">
      <c r="B1282" s="92"/>
      <c r="C1282" s="68" t="s">
        <v>250</v>
      </c>
      <c r="D1282" s="69">
        <v>2</v>
      </c>
      <c r="E1282" s="70">
        <v>6.7414972865000001E-5</v>
      </c>
    </row>
    <row r="1283" spans="2:5" ht="15" customHeight="1">
      <c r="B1283" s="92"/>
      <c r="C1283" s="68" t="s">
        <v>225</v>
      </c>
      <c r="D1283" s="69">
        <v>2</v>
      </c>
      <c r="E1283" s="70">
        <v>6.7414972865000001E-5</v>
      </c>
    </row>
    <row r="1284" spans="2:5" ht="15" customHeight="1">
      <c r="B1284" s="92"/>
      <c r="C1284" s="68" t="s">
        <v>226</v>
      </c>
      <c r="D1284" s="69">
        <v>4</v>
      </c>
      <c r="E1284" s="70">
        <v>1.3482994573099999E-4</v>
      </c>
    </row>
    <row r="1285" spans="2:5" ht="15" customHeight="1">
      <c r="B1285" s="92"/>
      <c r="C1285" s="68" t="s">
        <v>227</v>
      </c>
      <c r="D1285" s="69">
        <v>1</v>
      </c>
      <c r="E1285" s="70">
        <v>3.3707486433000001E-5</v>
      </c>
    </row>
    <row r="1286" spans="2:5" ht="15" customHeight="1">
      <c r="B1286" s="92"/>
      <c r="C1286" s="68" t="s">
        <v>247</v>
      </c>
      <c r="D1286" s="69">
        <v>3</v>
      </c>
      <c r="E1286" s="70">
        <v>1.0112245929799999E-4</v>
      </c>
    </row>
    <row r="1287" spans="2:5" ht="15" customHeight="1">
      <c r="B1287" s="92"/>
      <c r="C1287" s="68" t="s">
        <v>229</v>
      </c>
      <c r="D1287" s="69">
        <v>1</v>
      </c>
      <c r="E1287" s="70">
        <v>3.3707486433000001E-5</v>
      </c>
    </row>
    <row r="1288" spans="2:5" ht="15" customHeight="1">
      <c r="B1288" s="92"/>
      <c r="C1288" s="68" t="s">
        <v>230</v>
      </c>
      <c r="D1288" s="69">
        <v>1</v>
      </c>
      <c r="E1288" s="70">
        <v>3.3707486433000001E-5</v>
      </c>
    </row>
    <row r="1289" spans="2:5" ht="15" customHeight="1">
      <c r="B1289" s="93"/>
      <c r="C1289" s="36" t="s">
        <v>29</v>
      </c>
      <c r="D1289" s="35">
        <v>62</v>
      </c>
      <c r="E1289" s="34">
        <v>2.0898641588299998E-3</v>
      </c>
    </row>
    <row r="1290" spans="2:5" ht="15" customHeight="1">
      <c r="B1290" s="91" t="s">
        <v>71</v>
      </c>
      <c r="C1290" s="68" t="s">
        <v>195</v>
      </c>
      <c r="D1290" s="69">
        <v>3</v>
      </c>
      <c r="E1290" s="70">
        <v>1.0112245929799999E-4</v>
      </c>
    </row>
    <row r="1291" spans="2:5" ht="15" customHeight="1">
      <c r="B1291" s="92"/>
      <c r="C1291" s="68" t="s">
        <v>197</v>
      </c>
      <c r="D1291" s="69">
        <v>1</v>
      </c>
      <c r="E1291" s="70">
        <v>3.3707486433000001E-5</v>
      </c>
    </row>
    <row r="1292" spans="2:5" ht="15" customHeight="1">
      <c r="B1292" s="92"/>
      <c r="C1292" s="68" t="s">
        <v>242</v>
      </c>
      <c r="D1292" s="69">
        <v>1</v>
      </c>
      <c r="E1292" s="70">
        <v>3.3707486433000001E-5</v>
      </c>
    </row>
    <row r="1293" spans="2:5" ht="15" customHeight="1">
      <c r="B1293" s="92"/>
      <c r="C1293" s="68" t="s">
        <v>199</v>
      </c>
      <c r="D1293" s="69">
        <v>2</v>
      </c>
      <c r="E1293" s="70">
        <v>6.7414972865000001E-5</v>
      </c>
    </row>
    <row r="1294" spans="2:5" ht="15" customHeight="1">
      <c r="B1294" s="92"/>
      <c r="C1294" s="68" t="s">
        <v>200</v>
      </c>
      <c r="D1294" s="69">
        <v>1</v>
      </c>
      <c r="E1294" s="70">
        <v>3.3707486433000001E-5</v>
      </c>
    </row>
    <row r="1295" spans="2:5" ht="15" customHeight="1">
      <c r="B1295" s="92"/>
      <c r="C1295" s="68" t="s">
        <v>201</v>
      </c>
      <c r="D1295" s="69">
        <v>3</v>
      </c>
      <c r="E1295" s="70">
        <v>1.0112245929799999E-4</v>
      </c>
    </row>
    <row r="1296" spans="2:5" ht="15" customHeight="1">
      <c r="B1296" s="92"/>
      <c r="C1296" s="68" t="s">
        <v>202</v>
      </c>
      <c r="D1296" s="69">
        <v>1</v>
      </c>
      <c r="E1296" s="70">
        <v>3.3707486433000001E-5</v>
      </c>
    </row>
    <row r="1297" spans="2:5" ht="15" customHeight="1">
      <c r="B1297" s="92"/>
      <c r="C1297" s="68" t="s">
        <v>203</v>
      </c>
      <c r="D1297" s="69">
        <v>7</v>
      </c>
      <c r="E1297" s="70">
        <v>2.35952405029E-4</v>
      </c>
    </row>
    <row r="1298" spans="2:5" ht="15" customHeight="1">
      <c r="B1298" s="92"/>
      <c r="C1298" s="68" t="s">
        <v>204</v>
      </c>
      <c r="D1298" s="69">
        <v>1</v>
      </c>
      <c r="E1298" s="70">
        <v>3.3707486433000001E-5</v>
      </c>
    </row>
    <row r="1299" spans="2:5" ht="15" customHeight="1">
      <c r="B1299" s="92"/>
      <c r="C1299" s="68" t="s">
        <v>205</v>
      </c>
      <c r="D1299" s="69">
        <v>3</v>
      </c>
      <c r="E1299" s="70">
        <v>1.0112245929799999E-4</v>
      </c>
    </row>
    <row r="1300" spans="2:5" ht="15" customHeight="1">
      <c r="B1300" s="92"/>
      <c r="C1300" s="68" t="s">
        <v>209</v>
      </c>
      <c r="D1300" s="69">
        <v>2</v>
      </c>
      <c r="E1300" s="70">
        <v>6.7414972865000001E-5</v>
      </c>
    </row>
    <row r="1301" spans="2:5" ht="15" customHeight="1">
      <c r="B1301" s="92"/>
      <c r="C1301" s="68" t="s">
        <v>232</v>
      </c>
      <c r="D1301" s="69">
        <v>1</v>
      </c>
      <c r="E1301" s="70">
        <v>3.3707486433000001E-5</v>
      </c>
    </row>
    <row r="1302" spans="2:5" ht="15" customHeight="1">
      <c r="B1302" s="92"/>
      <c r="C1302" s="68" t="s">
        <v>212</v>
      </c>
      <c r="D1302" s="69">
        <v>1</v>
      </c>
      <c r="E1302" s="70">
        <v>3.3707486433000001E-5</v>
      </c>
    </row>
    <row r="1303" spans="2:5" ht="15" customHeight="1">
      <c r="B1303" s="92"/>
      <c r="C1303" s="68" t="s">
        <v>213</v>
      </c>
      <c r="D1303" s="69">
        <v>4</v>
      </c>
      <c r="E1303" s="70">
        <v>1.3482994573099999E-4</v>
      </c>
    </row>
    <row r="1304" spans="2:5" ht="15" customHeight="1">
      <c r="B1304" s="92"/>
      <c r="C1304" s="68" t="s">
        <v>214</v>
      </c>
      <c r="D1304" s="69">
        <v>25</v>
      </c>
      <c r="E1304" s="70">
        <v>8.4268716081800003E-4</v>
      </c>
    </row>
    <row r="1305" spans="2:5" ht="15" customHeight="1">
      <c r="B1305" s="92"/>
      <c r="C1305" s="68" t="s">
        <v>215</v>
      </c>
      <c r="D1305" s="69">
        <v>38</v>
      </c>
      <c r="E1305" s="70">
        <v>1.280884484444E-3</v>
      </c>
    </row>
    <row r="1306" spans="2:5" ht="15" customHeight="1">
      <c r="B1306" s="92"/>
      <c r="C1306" s="68" t="s">
        <v>244</v>
      </c>
      <c r="D1306" s="69">
        <v>1</v>
      </c>
      <c r="E1306" s="70">
        <v>3.3707486433000001E-5</v>
      </c>
    </row>
    <row r="1307" spans="2:5" ht="15" customHeight="1">
      <c r="B1307" s="92"/>
      <c r="C1307" s="68" t="s">
        <v>218</v>
      </c>
      <c r="D1307" s="69">
        <v>3</v>
      </c>
      <c r="E1307" s="70">
        <v>1.0112245929799999E-4</v>
      </c>
    </row>
    <row r="1308" spans="2:5" ht="15" customHeight="1">
      <c r="B1308" s="92"/>
      <c r="C1308" s="68" t="s">
        <v>219</v>
      </c>
      <c r="D1308" s="69">
        <v>1</v>
      </c>
      <c r="E1308" s="70">
        <v>3.3707486433000001E-5</v>
      </c>
    </row>
    <row r="1309" spans="2:5" ht="15" customHeight="1">
      <c r="B1309" s="92"/>
      <c r="C1309" s="68" t="s">
        <v>236</v>
      </c>
      <c r="D1309" s="69">
        <v>2</v>
      </c>
      <c r="E1309" s="70">
        <v>6.7414972865000001E-5</v>
      </c>
    </row>
    <row r="1310" spans="2:5" ht="15" customHeight="1">
      <c r="B1310" s="92"/>
      <c r="C1310" s="68" t="s">
        <v>220</v>
      </c>
      <c r="D1310" s="69">
        <v>3</v>
      </c>
      <c r="E1310" s="70">
        <v>1.0112245929799999E-4</v>
      </c>
    </row>
    <row r="1311" spans="2:5" ht="15" customHeight="1">
      <c r="B1311" s="92"/>
      <c r="C1311" s="68" t="s">
        <v>221</v>
      </c>
      <c r="D1311" s="69">
        <v>5</v>
      </c>
      <c r="E1311" s="70">
        <v>1.68537432164E-4</v>
      </c>
    </row>
    <row r="1312" spans="2:5" ht="15" customHeight="1">
      <c r="B1312" s="92"/>
      <c r="C1312" s="68" t="s">
        <v>222</v>
      </c>
      <c r="D1312" s="69">
        <v>4</v>
      </c>
      <c r="E1312" s="70">
        <v>1.3482994573099999E-4</v>
      </c>
    </row>
    <row r="1313" spans="2:5" ht="15" customHeight="1">
      <c r="B1313" s="92"/>
      <c r="C1313" s="68" t="s">
        <v>225</v>
      </c>
      <c r="D1313" s="69">
        <v>8</v>
      </c>
      <c r="E1313" s="70">
        <v>2.6965989146199998E-4</v>
      </c>
    </row>
    <row r="1314" spans="2:5" ht="15" customHeight="1">
      <c r="B1314" s="92"/>
      <c r="C1314" s="68" t="s">
        <v>251</v>
      </c>
      <c r="D1314" s="69">
        <v>1</v>
      </c>
      <c r="E1314" s="70">
        <v>3.3707486433000001E-5</v>
      </c>
    </row>
    <row r="1315" spans="2:5" ht="15" customHeight="1">
      <c r="B1315" s="92"/>
      <c r="C1315" s="68" t="s">
        <v>239</v>
      </c>
      <c r="D1315" s="69">
        <v>2</v>
      </c>
      <c r="E1315" s="70">
        <v>6.7414972865000001E-5</v>
      </c>
    </row>
    <row r="1316" spans="2:5" ht="15" customHeight="1">
      <c r="B1316" s="92"/>
      <c r="C1316" s="68" t="s">
        <v>240</v>
      </c>
      <c r="D1316" s="69">
        <v>1</v>
      </c>
      <c r="E1316" s="70">
        <v>3.3707486433000001E-5</v>
      </c>
    </row>
    <row r="1317" spans="2:5" ht="15" customHeight="1">
      <c r="B1317" s="92"/>
      <c r="C1317" s="68" t="s">
        <v>226</v>
      </c>
      <c r="D1317" s="69">
        <v>11</v>
      </c>
      <c r="E1317" s="70">
        <v>3.7078235075999999E-4</v>
      </c>
    </row>
    <row r="1318" spans="2:5" ht="15" customHeight="1">
      <c r="B1318" s="92"/>
      <c r="C1318" s="68" t="s">
        <v>227</v>
      </c>
      <c r="D1318" s="69">
        <v>1</v>
      </c>
      <c r="E1318" s="70">
        <v>3.3707486433000001E-5</v>
      </c>
    </row>
    <row r="1319" spans="2:5" ht="15" customHeight="1">
      <c r="B1319" s="92"/>
      <c r="C1319" s="68" t="s">
        <v>228</v>
      </c>
      <c r="D1319" s="69">
        <v>1</v>
      </c>
      <c r="E1319" s="70">
        <v>3.3707486433000001E-5</v>
      </c>
    </row>
    <row r="1320" spans="2:5" ht="15" customHeight="1">
      <c r="B1320" s="92"/>
      <c r="C1320" s="68" t="s">
        <v>229</v>
      </c>
      <c r="D1320" s="69">
        <v>5</v>
      </c>
      <c r="E1320" s="70">
        <v>1.68537432164E-4</v>
      </c>
    </row>
    <row r="1321" spans="2:5" ht="15" customHeight="1">
      <c r="B1321" s="92"/>
      <c r="C1321" s="68" t="s">
        <v>230</v>
      </c>
      <c r="D1321" s="69">
        <v>3</v>
      </c>
      <c r="E1321" s="70">
        <v>1.0112245929799999E-4</v>
      </c>
    </row>
    <row r="1322" spans="2:5" ht="15" customHeight="1">
      <c r="B1322" s="93"/>
      <c r="C1322" s="36" t="s">
        <v>29</v>
      </c>
      <c r="D1322" s="35">
        <v>146</v>
      </c>
      <c r="E1322" s="34">
        <v>4.9212930191799998E-3</v>
      </c>
    </row>
    <row r="1323" spans="2:5" ht="15" customHeight="1">
      <c r="B1323" s="91" t="s">
        <v>86</v>
      </c>
      <c r="C1323" s="68" t="s">
        <v>195</v>
      </c>
      <c r="D1323" s="69">
        <v>1</v>
      </c>
      <c r="E1323" s="70">
        <v>3.3707486433000001E-5</v>
      </c>
    </row>
    <row r="1324" spans="2:5" ht="15" customHeight="1">
      <c r="B1324" s="92"/>
      <c r="C1324" s="68" t="s">
        <v>199</v>
      </c>
      <c r="D1324" s="69">
        <v>1</v>
      </c>
      <c r="E1324" s="70">
        <v>3.3707486433000001E-5</v>
      </c>
    </row>
    <row r="1325" spans="2:5" ht="15" customHeight="1">
      <c r="B1325" s="92"/>
      <c r="C1325" s="68" t="s">
        <v>200</v>
      </c>
      <c r="D1325" s="69">
        <v>4</v>
      </c>
      <c r="E1325" s="70">
        <v>1.3482994573099999E-4</v>
      </c>
    </row>
    <row r="1326" spans="2:5" ht="15" customHeight="1">
      <c r="B1326" s="92"/>
      <c r="C1326" s="68" t="s">
        <v>203</v>
      </c>
      <c r="D1326" s="69">
        <v>2</v>
      </c>
      <c r="E1326" s="70">
        <v>6.7414972865000001E-5</v>
      </c>
    </row>
    <row r="1327" spans="2:5" ht="15" customHeight="1">
      <c r="B1327" s="92"/>
      <c r="C1327" s="68" t="s">
        <v>209</v>
      </c>
      <c r="D1327" s="69">
        <v>1</v>
      </c>
      <c r="E1327" s="70">
        <v>3.3707486433000001E-5</v>
      </c>
    </row>
    <row r="1328" spans="2:5" ht="15" customHeight="1">
      <c r="B1328" s="92"/>
      <c r="C1328" s="68" t="s">
        <v>232</v>
      </c>
      <c r="D1328" s="69">
        <v>7</v>
      </c>
      <c r="E1328" s="70">
        <v>2.35952405029E-4</v>
      </c>
    </row>
    <row r="1329" spans="2:5" ht="15" customHeight="1">
      <c r="B1329" s="92"/>
      <c r="C1329" s="68" t="s">
        <v>213</v>
      </c>
      <c r="D1329" s="69">
        <v>2</v>
      </c>
      <c r="E1329" s="70">
        <v>6.7414972865000001E-5</v>
      </c>
    </row>
    <row r="1330" spans="2:5" ht="15" customHeight="1">
      <c r="B1330" s="92"/>
      <c r="C1330" s="68" t="s">
        <v>215</v>
      </c>
      <c r="D1330" s="69">
        <v>12</v>
      </c>
      <c r="E1330" s="70">
        <v>4.0448983719299999E-4</v>
      </c>
    </row>
    <row r="1331" spans="2:5" ht="15" customHeight="1">
      <c r="B1331" s="92"/>
      <c r="C1331" s="68" t="s">
        <v>218</v>
      </c>
      <c r="D1331" s="69">
        <v>6</v>
      </c>
      <c r="E1331" s="70">
        <v>2.0224491859599999E-4</v>
      </c>
    </row>
    <row r="1332" spans="2:5" ht="15" customHeight="1">
      <c r="B1332" s="92"/>
      <c r="C1332" s="68" t="s">
        <v>219</v>
      </c>
      <c r="D1332" s="69">
        <v>5</v>
      </c>
      <c r="E1332" s="70">
        <v>1.68537432164E-4</v>
      </c>
    </row>
    <row r="1333" spans="2:5" ht="15" customHeight="1">
      <c r="B1333" s="92"/>
      <c r="C1333" s="68" t="s">
        <v>236</v>
      </c>
      <c r="D1333" s="69">
        <v>1</v>
      </c>
      <c r="E1333" s="70">
        <v>3.3707486433000001E-5</v>
      </c>
    </row>
    <row r="1334" spans="2:5" ht="15" customHeight="1">
      <c r="B1334" s="92"/>
      <c r="C1334" s="68" t="s">
        <v>222</v>
      </c>
      <c r="D1334" s="69">
        <v>1</v>
      </c>
      <c r="E1334" s="70">
        <v>3.3707486433000001E-5</v>
      </c>
    </row>
    <row r="1335" spans="2:5" ht="15" customHeight="1">
      <c r="B1335" s="92"/>
      <c r="C1335" s="68" t="s">
        <v>238</v>
      </c>
      <c r="D1335" s="69">
        <v>1</v>
      </c>
      <c r="E1335" s="70">
        <v>3.3707486433000001E-5</v>
      </c>
    </row>
    <row r="1336" spans="2:5" ht="15" customHeight="1">
      <c r="B1336" s="92"/>
      <c r="C1336" s="68" t="s">
        <v>239</v>
      </c>
      <c r="D1336" s="69">
        <v>1</v>
      </c>
      <c r="E1336" s="70">
        <v>3.3707486433000001E-5</v>
      </c>
    </row>
    <row r="1337" spans="2:5" ht="15" customHeight="1">
      <c r="B1337" s="92"/>
      <c r="C1337" s="68" t="s">
        <v>240</v>
      </c>
      <c r="D1337" s="69">
        <v>4</v>
      </c>
      <c r="E1337" s="70">
        <v>1.3482994573099999E-4</v>
      </c>
    </row>
    <row r="1338" spans="2:5" ht="15" customHeight="1">
      <c r="B1338" s="92"/>
      <c r="C1338" s="68" t="s">
        <v>226</v>
      </c>
      <c r="D1338" s="69">
        <v>1</v>
      </c>
      <c r="E1338" s="70">
        <v>3.3707486433000001E-5</v>
      </c>
    </row>
    <row r="1339" spans="2:5" ht="15" customHeight="1">
      <c r="B1339" s="92"/>
      <c r="C1339" s="68" t="s">
        <v>247</v>
      </c>
      <c r="D1339" s="69">
        <v>3</v>
      </c>
      <c r="E1339" s="70">
        <v>1.0112245929799999E-4</v>
      </c>
    </row>
    <row r="1340" spans="2:5" ht="15" customHeight="1">
      <c r="B1340" s="92"/>
      <c r="C1340" s="68" t="s">
        <v>229</v>
      </c>
      <c r="D1340" s="69">
        <v>4</v>
      </c>
      <c r="E1340" s="70">
        <v>1.3482994573099999E-4</v>
      </c>
    </row>
    <row r="1341" spans="2:5" ht="15" customHeight="1">
      <c r="B1341" s="93"/>
      <c r="C1341" s="36" t="s">
        <v>29</v>
      </c>
      <c r="D1341" s="35">
        <v>57</v>
      </c>
      <c r="E1341" s="34">
        <v>1.9213267266660001E-3</v>
      </c>
    </row>
    <row r="1342" spans="2:5" ht="15" customHeight="1">
      <c r="B1342" s="91" t="s">
        <v>57</v>
      </c>
      <c r="C1342" s="68" t="s">
        <v>195</v>
      </c>
      <c r="D1342" s="69">
        <v>12</v>
      </c>
      <c r="E1342" s="70">
        <v>4.0448983719299999E-4</v>
      </c>
    </row>
    <row r="1343" spans="2:5" ht="15" customHeight="1">
      <c r="B1343" s="92"/>
      <c r="C1343" s="68" t="s">
        <v>196</v>
      </c>
      <c r="D1343" s="69">
        <v>2</v>
      </c>
      <c r="E1343" s="70">
        <v>6.7414972865000001E-5</v>
      </c>
    </row>
    <row r="1344" spans="2:5" ht="15" customHeight="1">
      <c r="B1344" s="92"/>
      <c r="C1344" s="68" t="s">
        <v>197</v>
      </c>
      <c r="D1344" s="69">
        <v>1</v>
      </c>
      <c r="E1344" s="70">
        <v>3.3707486433000001E-5</v>
      </c>
    </row>
    <row r="1345" spans="2:5" ht="15" customHeight="1">
      <c r="B1345" s="92"/>
      <c r="C1345" s="68" t="s">
        <v>231</v>
      </c>
      <c r="D1345" s="69">
        <v>15</v>
      </c>
      <c r="E1345" s="70">
        <v>5.0561229649099995E-4</v>
      </c>
    </row>
    <row r="1346" spans="2:5" ht="15" customHeight="1">
      <c r="B1346" s="92"/>
      <c r="C1346" s="68" t="s">
        <v>198</v>
      </c>
      <c r="D1346" s="69">
        <v>1</v>
      </c>
      <c r="E1346" s="70">
        <v>3.3707486433000001E-5</v>
      </c>
    </row>
    <row r="1347" spans="2:5" ht="15" customHeight="1">
      <c r="B1347" s="92"/>
      <c r="C1347" s="68" t="s">
        <v>248</v>
      </c>
      <c r="D1347" s="69">
        <v>2</v>
      </c>
      <c r="E1347" s="70">
        <v>6.7414972865000001E-5</v>
      </c>
    </row>
    <row r="1348" spans="2:5" ht="15" customHeight="1">
      <c r="B1348" s="92"/>
      <c r="C1348" s="68" t="s">
        <v>242</v>
      </c>
      <c r="D1348" s="69">
        <v>5</v>
      </c>
      <c r="E1348" s="70">
        <v>1.68537432164E-4</v>
      </c>
    </row>
    <row r="1349" spans="2:5" ht="15" customHeight="1">
      <c r="B1349" s="92"/>
      <c r="C1349" s="68" t="s">
        <v>199</v>
      </c>
      <c r="D1349" s="69">
        <v>24</v>
      </c>
      <c r="E1349" s="70">
        <v>8.0897967438599999E-4</v>
      </c>
    </row>
    <row r="1350" spans="2:5" ht="15" customHeight="1">
      <c r="B1350" s="92"/>
      <c r="C1350" s="68" t="s">
        <v>252</v>
      </c>
      <c r="D1350" s="69">
        <v>2</v>
      </c>
      <c r="E1350" s="70">
        <v>6.7414972865000001E-5</v>
      </c>
    </row>
    <row r="1351" spans="2:5" ht="15" customHeight="1">
      <c r="B1351" s="92"/>
      <c r="C1351" s="68" t="s">
        <v>200</v>
      </c>
      <c r="D1351" s="69">
        <v>11</v>
      </c>
      <c r="E1351" s="70">
        <v>3.7078235075999999E-4</v>
      </c>
    </row>
    <row r="1352" spans="2:5" ht="15" customHeight="1">
      <c r="B1352" s="92"/>
      <c r="C1352" s="68" t="s">
        <v>201</v>
      </c>
      <c r="D1352" s="69">
        <v>27</v>
      </c>
      <c r="E1352" s="70">
        <v>9.1010213368400005E-4</v>
      </c>
    </row>
    <row r="1353" spans="2:5" ht="15" customHeight="1">
      <c r="B1353" s="92"/>
      <c r="C1353" s="68" t="s">
        <v>202</v>
      </c>
      <c r="D1353" s="69">
        <v>27</v>
      </c>
      <c r="E1353" s="70">
        <v>9.1010213368400005E-4</v>
      </c>
    </row>
    <row r="1354" spans="2:5" ht="15" customHeight="1">
      <c r="B1354" s="92"/>
      <c r="C1354" s="68" t="s">
        <v>203</v>
      </c>
      <c r="D1354" s="69">
        <v>26</v>
      </c>
      <c r="E1354" s="70">
        <v>8.7639464725100004E-4</v>
      </c>
    </row>
    <row r="1355" spans="2:5" ht="15" customHeight="1">
      <c r="B1355" s="92"/>
      <c r="C1355" s="68" t="s">
        <v>204</v>
      </c>
      <c r="D1355" s="69">
        <v>7</v>
      </c>
      <c r="E1355" s="70">
        <v>2.35952405029E-4</v>
      </c>
    </row>
    <row r="1356" spans="2:5" ht="15" customHeight="1">
      <c r="B1356" s="92"/>
      <c r="C1356" s="68" t="s">
        <v>205</v>
      </c>
      <c r="D1356" s="69">
        <v>8</v>
      </c>
      <c r="E1356" s="70">
        <v>2.6965989146199998E-4</v>
      </c>
    </row>
    <row r="1357" spans="2:5" ht="15" customHeight="1">
      <c r="B1357" s="92"/>
      <c r="C1357" s="68" t="s">
        <v>243</v>
      </c>
      <c r="D1357" s="69">
        <v>2</v>
      </c>
      <c r="E1357" s="70">
        <v>6.7414972865000001E-5</v>
      </c>
    </row>
    <row r="1358" spans="2:5" ht="15" customHeight="1">
      <c r="B1358" s="92"/>
      <c r="C1358" s="68" t="s">
        <v>206</v>
      </c>
      <c r="D1358" s="69">
        <v>20</v>
      </c>
      <c r="E1358" s="70">
        <v>6.7414972865500002E-4</v>
      </c>
    </row>
    <row r="1359" spans="2:5" ht="15" customHeight="1">
      <c r="B1359" s="92"/>
      <c r="C1359" s="68" t="s">
        <v>207</v>
      </c>
      <c r="D1359" s="69">
        <v>1</v>
      </c>
      <c r="E1359" s="70">
        <v>3.3707486433000001E-5</v>
      </c>
    </row>
    <row r="1360" spans="2:5" ht="15" customHeight="1">
      <c r="B1360" s="92"/>
      <c r="C1360" s="68" t="s">
        <v>208</v>
      </c>
      <c r="D1360" s="69">
        <v>3</v>
      </c>
      <c r="E1360" s="70">
        <v>1.0112245929799999E-4</v>
      </c>
    </row>
    <row r="1361" spans="2:5" ht="15" customHeight="1">
      <c r="B1361" s="92"/>
      <c r="C1361" s="68" t="s">
        <v>209</v>
      </c>
      <c r="D1361" s="69">
        <v>43</v>
      </c>
      <c r="E1361" s="70">
        <v>1.449421916608E-3</v>
      </c>
    </row>
    <row r="1362" spans="2:5" ht="15" customHeight="1">
      <c r="B1362" s="92"/>
      <c r="C1362" s="68" t="s">
        <v>232</v>
      </c>
      <c r="D1362" s="69">
        <v>43</v>
      </c>
      <c r="E1362" s="70">
        <v>1.449421916608E-3</v>
      </c>
    </row>
    <row r="1363" spans="2:5" ht="15" customHeight="1">
      <c r="B1363" s="92"/>
      <c r="C1363" s="68" t="s">
        <v>211</v>
      </c>
      <c r="D1363" s="69">
        <v>6</v>
      </c>
      <c r="E1363" s="70">
        <v>2.0224491859599999E-4</v>
      </c>
    </row>
    <row r="1364" spans="2:5" ht="15" customHeight="1">
      <c r="B1364" s="92"/>
      <c r="C1364" s="68" t="s">
        <v>233</v>
      </c>
      <c r="D1364" s="69">
        <v>2</v>
      </c>
      <c r="E1364" s="70">
        <v>6.7414972865000001E-5</v>
      </c>
    </row>
    <row r="1365" spans="2:5" ht="15" customHeight="1">
      <c r="B1365" s="92"/>
      <c r="C1365" s="68" t="s">
        <v>212</v>
      </c>
      <c r="D1365" s="69">
        <v>8</v>
      </c>
      <c r="E1365" s="70">
        <v>2.6965989146199998E-4</v>
      </c>
    </row>
    <row r="1366" spans="2:5" ht="15" customHeight="1">
      <c r="B1366" s="92"/>
      <c r="C1366" s="68" t="s">
        <v>213</v>
      </c>
      <c r="D1366" s="69">
        <v>61</v>
      </c>
      <c r="E1366" s="70">
        <v>2.056156672397E-3</v>
      </c>
    </row>
    <row r="1367" spans="2:5" ht="15" customHeight="1">
      <c r="B1367" s="92"/>
      <c r="C1367" s="68" t="s">
        <v>214</v>
      </c>
      <c r="D1367" s="69">
        <v>5</v>
      </c>
      <c r="E1367" s="70">
        <v>1.68537432164E-4</v>
      </c>
    </row>
    <row r="1368" spans="2:5" ht="15" customHeight="1">
      <c r="B1368" s="92"/>
      <c r="C1368" s="68" t="s">
        <v>234</v>
      </c>
      <c r="D1368" s="69">
        <v>10</v>
      </c>
      <c r="E1368" s="70">
        <v>3.3707486432699998E-4</v>
      </c>
    </row>
    <row r="1369" spans="2:5" ht="15" customHeight="1">
      <c r="B1369" s="92"/>
      <c r="C1369" s="68" t="s">
        <v>215</v>
      </c>
      <c r="D1369" s="69">
        <v>211</v>
      </c>
      <c r="E1369" s="70">
        <v>7.1122796373069997E-3</v>
      </c>
    </row>
    <row r="1370" spans="2:5" ht="15" customHeight="1">
      <c r="B1370" s="92"/>
      <c r="C1370" s="68" t="s">
        <v>235</v>
      </c>
      <c r="D1370" s="69">
        <v>1</v>
      </c>
      <c r="E1370" s="70">
        <v>3.3707486433000001E-5</v>
      </c>
    </row>
    <row r="1371" spans="2:5" ht="15" customHeight="1">
      <c r="B1371" s="92"/>
      <c r="C1371" s="68" t="s">
        <v>244</v>
      </c>
      <c r="D1371" s="69">
        <v>7</v>
      </c>
      <c r="E1371" s="70">
        <v>2.35952405029E-4</v>
      </c>
    </row>
    <row r="1372" spans="2:5" ht="15" customHeight="1">
      <c r="B1372" s="92"/>
      <c r="C1372" s="68" t="s">
        <v>216</v>
      </c>
      <c r="D1372" s="69">
        <v>1</v>
      </c>
      <c r="E1372" s="70">
        <v>3.3707486433000001E-5</v>
      </c>
    </row>
    <row r="1373" spans="2:5" ht="15" customHeight="1">
      <c r="B1373" s="92"/>
      <c r="C1373" s="68" t="s">
        <v>217</v>
      </c>
      <c r="D1373" s="69">
        <v>29</v>
      </c>
      <c r="E1373" s="70">
        <v>9.775171065490001E-4</v>
      </c>
    </row>
    <row r="1374" spans="2:5" ht="15" customHeight="1">
      <c r="B1374" s="92"/>
      <c r="C1374" s="68" t="s">
        <v>218</v>
      </c>
      <c r="D1374" s="69">
        <v>16</v>
      </c>
      <c r="E1374" s="70">
        <v>5.3931978292399995E-4</v>
      </c>
    </row>
    <row r="1375" spans="2:5" ht="15" customHeight="1">
      <c r="B1375" s="92"/>
      <c r="C1375" s="68" t="s">
        <v>219</v>
      </c>
      <c r="D1375" s="69">
        <v>4</v>
      </c>
      <c r="E1375" s="70">
        <v>1.3482994573099999E-4</v>
      </c>
    </row>
    <row r="1376" spans="2:5" ht="15" customHeight="1">
      <c r="B1376" s="92"/>
      <c r="C1376" s="68" t="s">
        <v>236</v>
      </c>
      <c r="D1376" s="69">
        <v>10</v>
      </c>
      <c r="E1376" s="70">
        <v>3.3707486432699998E-4</v>
      </c>
    </row>
    <row r="1377" spans="2:5" ht="15" customHeight="1">
      <c r="B1377" s="92"/>
      <c r="C1377" s="68" t="s">
        <v>220</v>
      </c>
      <c r="D1377" s="69">
        <v>5</v>
      </c>
      <c r="E1377" s="70">
        <v>1.68537432164E-4</v>
      </c>
    </row>
    <row r="1378" spans="2:5" ht="15" customHeight="1">
      <c r="B1378" s="92"/>
      <c r="C1378" s="68" t="s">
        <v>221</v>
      </c>
      <c r="D1378" s="69">
        <v>11</v>
      </c>
      <c r="E1378" s="70">
        <v>3.7078235075999999E-4</v>
      </c>
    </row>
    <row r="1379" spans="2:5" ht="15" customHeight="1">
      <c r="B1379" s="92"/>
      <c r="C1379" s="68" t="s">
        <v>237</v>
      </c>
      <c r="D1379" s="69">
        <v>3</v>
      </c>
      <c r="E1379" s="70">
        <v>1.0112245929799999E-4</v>
      </c>
    </row>
    <row r="1380" spans="2:5" ht="15" customHeight="1">
      <c r="B1380" s="92"/>
      <c r="C1380" s="68" t="s">
        <v>222</v>
      </c>
      <c r="D1380" s="69">
        <v>1</v>
      </c>
      <c r="E1380" s="70">
        <v>3.3707486433000001E-5</v>
      </c>
    </row>
    <row r="1381" spans="2:5" ht="15" customHeight="1">
      <c r="B1381" s="92"/>
      <c r="C1381" s="68" t="s">
        <v>223</v>
      </c>
      <c r="D1381" s="69">
        <v>1</v>
      </c>
      <c r="E1381" s="70">
        <v>3.3707486433000001E-5</v>
      </c>
    </row>
    <row r="1382" spans="2:5" ht="15" customHeight="1">
      <c r="B1382" s="92"/>
      <c r="C1382" s="68" t="s">
        <v>250</v>
      </c>
      <c r="D1382" s="69">
        <v>1</v>
      </c>
      <c r="E1382" s="70">
        <v>3.3707486433000001E-5</v>
      </c>
    </row>
    <row r="1383" spans="2:5" ht="15" customHeight="1">
      <c r="B1383" s="92"/>
      <c r="C1383" s="68" t="s">
        <v>224</v>
      </c>
      <c r="D1383" s="69">
        <v>1</v>
      </c>
      <c r="E1383" s="70">
        <v>3.3707486433000001E-5</v>
      </c>
    </row>
    <row r="1384" spans="2:5" ht="15" customHeight="1">
      <c r="B1384" s="92"/>
      <c r="C1384" s="68" t="s">
        <v>225</v>
      </c>
      <c r="D1384" s="69">
        <v>1</v>
      </c>
      <c r="E1384" s="70">
        <v>3.3707486433000001E-5</v>
      </c>
    </row>
    <row r="1385" spans="2:5" ht="15" customHeight="1">
      <c r="B1385" s="92"/>
      <c r="C1385" s="68" t="s">
        <v>251</v>
      </c>
      <c r="D1385" s="69">
        <v>4</v>
      </c>
      <c r="E1385" s="70">
        <v>1.3482994573099999E-4</v>
      </c>
    </row>
    <row r="1386" spans="2:5" ht="15" customHeight="1">
      <c r="B1386" s="92"/>
      <c r="C1386" s="68" t="s">
        <v>238</v>
      </c>
      <c r="D1386" s="69">
        <v>8</v>
      </c>
      <c r="E1386" s="70">
        <v>2.6965989146199998E-4</v>
      </c>
    </row>
    <row r="1387" spans="2:5" ht="15" customHeight="1">
      <c r="B1387" s="92"/>
      <c r="C1387" s="68" t="s">
        <v>239</v>
      </c>
      <c r="D1387" s="69">
        <v>15</v>
      </c>
      <c r="E1387" s="70">
        <v>5.0561229649099995E-4</v>
      </c>
    </row>
    <row r="1388" spans="2:5" ht="15" customHeight="1">
      <c r="B1388" s="92"/>
      <c r="C1388" s="68" t="s">
        <v>240</v>
      </c>
      <c r="D1388" s="69">
        <v>17</v>
      </c>
      <c r="E1388" s="70">
        <v>5.7302726935699996E-4</v>
      </c>
    </row>
    <row r="1389" spans="2:5" ht="15" customHeight="1">
      <c r="B1389" s="92"/>
      <c r="C1389" s="68" t="s">
        <v>241</v>
      </c>
      <c r="D1389" s="69">
        <v>11</v>
      </c>
      <c r="E1389" s="70">
        <v>3.7078235075999999E-4</v>
      </c>
    </row>
    <row r="1390" spans="2:5" ht="15" customHeight="1">
      <c r="B1390" s="92"/>
      <c r="C1390" s="68" t="s">
        <v>246</v>
      </c>
      <c r="D1390" s="69">
        <v>3</v>
      </c>
      <c r="E1390" s="70">
        <v>1.0112245929799999E-4</v>
      </c>
    </row>
    <row r="1391" spans="2:5" ht="15" customHeight="1">
      <c r="B1391" s="92"/>
      <c r="C1391" s="68" t="s">
        <v>226</v>
      </c>
      <c r="D1391" s="69">
        <v>8</v>
      </c>
      <c r="E1391" s="70">
        <v>2.6965989146199998E-4</v>
      </c>
    </row>
    <row r="1392" spans="2:5" ht="15" customHeight="1">
      <c r="B1392" s="92"/>
      <c r="C1392" s="68" t="s">
        <v>227</v>
      </c>
      <c r="D1392" s="69">
        <v>22</v>
      </c>
      <c r="E1392" s="70">
        <v>7.4156470151999997E-4</v>
      </c>
    </row>
    <row r="1393" spans="2:5" ht="15" customHeight="1">
      <c r="B1393" s="92"/>
      <c r="C1393" s="68" t="s">
        <v>228</v>
      </c>
      <c r="D1393" s="69">
        <v>17</v>
      </c>
      <c r="E1393" s="70">
        <v>5.7302726935699996E-4</v>
      </c>
    </row>
    <row r="1394" spans="2:5" ht="15" customHeight="1">
      <c r="B1394" s="92"/>
      <c r="C1394" s="68" t="s">
        <v>247</v>
      </c>
      <c r="D1394" s="69">
        <v>15</v>
      </c>
      <c r="E1394" s="70">
        <v>5.0561229649099995E-4</v>
      </c>
    </row>
    <row r="1395" spans="2:5" ht="15" customHeight="1">
      <c r="B1395" s="92"/>
      <c r="C1395" s="68" t="s">
        <v>229</v>
      </c>
      <c r="D1395" s="69">
        <v>11</v>
      </c>
      <c r="E1395" s="70">
        <v>3.7078235075999999E-4</v>
      </c>
    </row>
    <row r="1396" spans="2:5" ht="15" customHeight="1">
      <c r="B1396" s="92"/>
      <c r="C1396" s="68" t="s">
        <v>230</v>
      </c>
      <c r="D1396" s="69">
        <v>13</v>
      </c>
      <c r="E1396" s="70">
        <v>4.38197323626E-4</v>
      </c>
    </row>
    <row r="1397" spans="2:5" ht="15" customHeight="1">
      <c r="B1397" s="93"/>
      <c r="C1397" s="36" t="s">
        <v>29</v>
      </c>
      <c r="D1397" s="35">
        <v>821</v>
      </c>
      <c r="E1397" s="34">
        <v>2.7673846361277E-2</v>
      </c>
    </row>
    <row r="1398" spans="2:5" ht="15" customHeight="1">
      <c r="B1398" s="91" t="s">
        <v>79</v>
      </c>
      <c r="C1398" s="68" t="s">
        <v>195</v>
      </c>
      <c r="D1398" s="69">
        <v>1</v>
      </c>
      <c r="E1398" s="70">
        <v>3.3707486433000001E-5</v>
      </c>
    </row>
    <row r="1399" spans="2:5" ht="15" customHeight="1">
      <c r="B1399" s="92"/>
      <c r="C1399" s="68" t="s">
        <v>231</v>
      </c>
      <c r="D1399" s="69">
        <v>1</v>
      </c>
      <c r="E1399" s="70">
        <v>3.3707486433000001E-5</v>
      </c>
    </row>
    <row r="1400" spans="2:5" ht="15" customHeight="1">
      <c r="B1400" s="92"/>
      <c r="C1400" s="68" t="s">
        <v>199</v>
      </c>
      <c r="D1400" s="69">
        <v>5</v>
      </c>
      <c r="E1400" s="70">
        <v>1.68537432164E-4</v>
      </c>
    </row>
    <row r="1401" spans="2:5" ht="15" customHeight="1">
      <c r="B1401" s="92"/>
      <c r="C1401" s="68" t="s">
        <v>200</v>
      </c>
      <c r="D1401" s="69">
        <v>3</v>
      </c>
      <c r="E1401" s="70">
        <v>1.0112245929799999E-4</v>
      </c>
    </row>
    <row r="1402" spans="2:5" ht="15" customHeight="1">
      <c r="B1402" s="92"/>
      <c r="C1402" s="68" t="s">
        <v>202</v>
      </c>
      <c r="D1402" s="69">
        <v>1</v>
      </c>
      <c r="E1402" s="70">
        <v>3.3707486433000001E-5</v>
      </c>
    </row>
    <row r="1403" spans="2:5" ht="15" customHeight="1">
      <c r="B1403" s="92"/>
      <c r="C1403" s="68" t="s">
        <v>203</v>
      </c>
      <c r="D1403" s="69">
        <v>2</v>
      </c>
      <c r="E1403" s="70">
        <v>6.7414972865000001E-5</v>
      </c>
    </row>
    <row r="1404" spans="2:5" ht="15" customHeight="1">
      <c r="B1404" s="92"/>
      <c r="C1404" s="68" t="s">
        <v>206</v>
      </c>
      <c r="D1404" s="69">
        <v>2</v>
      </c>
      <c r="E1404" s="70">
        <v>6.7414972865000001E-5</v>
      </c>
    </row>
    <row r="1405" spans="2:5" ht="15" customHeight="1">
      <c r="B1405" s="92"/>
      <c r="C1405" s="68" t="s">
        <v>209</v>
      </c>
      <c r="D1405" s="69">
        <v>1</v>
      </c>
      <c r="E1405" s="70">
        <v>3.3707486433000001E-5</v>
      </c>
    </row>
    <row r="1406" spans="2:5" ht="15" customHeight="1">
      <c r="B1406" s="92"/>
      <c r="C1406" s="68" t="s">
        <v>232</v>
      </c>
      <c r="D1406" s="69">
        <v>1</v>
      </c>
      <c r="E1406" s="70">
        <v>3.3707486433000001E-5</v>
      </c>
    </row>
    <row r="1407" spans="2:5" ht="15" customHeight="1">
      <c r="B1407" s="92"/>
      <c r="C1407" s="68" t="s">
        <v>213</v>
      </c>
      <c r="D1407" s="69">
        <v>5</v>
      </c>
      <c r="E1407" s="70">
        <v>1.68537432164E-4</v>
      </c>
    </row>
    <row r="1408" spans="2:5" ht="15" customHeight="1">
      <c r="B1408" s="92"/>
      <c r="C1408" s="68" t="s">
        <v>214</v>
      </c>
      <c r="D1408" s="69">
        <v>2</v>
      </c>
      <c r="E1408" s="70">
        <v>6.7414972865000001E-5</v>
      </c>
    </row>
    <row r="1409" spans="2:5" ht="15" customHeight="1">
      <c r="B1409" s="92"/>
      <c r="C1409" s="68" t="s">
        <v>234</v>
      </c>
      <c r="D1409" s="69">
        <v>5</v>
      </c>
      <c r="E1409" s="70">
        <v>1.68537432164E-4</v>
      </c>
    </row>
    <row r="1410" spans="2:5" ht="15" customHeight="1">
      <c r="B1410" s="92"/>
      <c r="C1410" s="68" t="s">
        <v>215</v>
      </c>
      <c r="D1410" s="69">
        <v>22</v>
      </c>
      <c r="E1410" s="70">
        <v>7.4156470151999997E-4</v>
      </c>
    </row>
    <row r="1411" spans="2:5" ht="15" customHeight="1">
      <c r="B1411" s="92"/>
      <c r="C1411" s="68" t="s">
        <v>235</v>
      </c>
      <c r="D1411" s="69">
        <v>1</v>
      </c>
      <c r="E1411" s="70">
        <v>3.3707486433000001E-5</v>
      </c>
    </row>
    <row r="1412" spans="2:5" ht="15" customHeight="1">
      <c r="B1412" s="92"/>
      <c r="C1412" s="68" t="s">
        <v>218</v>
      </c>
      <c r="D1412" s="69">
        <v>1</v>
      </c>
      <c r="E1412" s="70">
        <v>3.3707486433000001E-5</v>
      </c>
    </row>
    <row r="1413" spans="2:5" ht="15" customHeight="1">
      <c r="B1413" s="92"/>
      <c r="C1413" s="68" t="s">
        <v>219</v>
      </c>
      <c r="D1413" s="69">
        <v>14</v>
      </c>
      <c r="E1413" s="70">
        <v>4.7190481005799999E-4</v>
      </c>
    </row>
    <row r="1414" spans="2:5" ht="15" customHeight="1">
      <c r="B1414" s="92"/>
      <c r="C1414" s="68" t="s">
        <v>221</v>
      </c>
      <c r="D1414" s="69">
        <v>4</v>
      </c>
      <c r="E1414" s="70">
        <v>1.3482994573099999E-4</v>
      </c>
    </row>
    <row r="1415" spans="2:5" ht="15" customHeight="1">
      <c r="B1415" s="92"/>
      <c r="C1415" s="68" t="s">
        <v>223</v>
      </c>
      <c r="D1415" s="69">
        <v>1</v>
      </c>
      <c r="E1415" s="70">
        <v>3.3707486433000001E-5</v>
      </c>
    </row>
    <row r="1416" spans="2:5" ht="15" customHeight="1">
      <c r="B1416" s="92"/>
      <c r="C1416" s="68" t="s">
        <v>225</v>
      </c>
      <c r="D1416" s="69">
        <v>2</v>
      </c>
      <c r="E1416" s="70">
        <v>6.7414972865000001E-5</v>
      </c>
    </row>
    <row r="1417" spans="2:5" ht="15" customHeight="1">
      <c r="B1417" s="92"/>
      <c r="C1417" s="68" t="s">
        <v>239</v>
      </c>
      <c r="D1417" s="69">
        <v>4</v>
      </c>
      <c r="E1417" s="70">
        <v>1.3482994573099999E-4</v>
      </c>
    </row>
    <row r="1418" spans="2:5" ht="15" customHeight="1">
      <c r="B1418" s="92"/>
      <c r="C1418" s="68" t="s">
        <v>241</v>
      </c>
      <c r="D1418" s="69">
        <v>3</v>
      </c>
      <c r="E1418" s="70">
        <v>1.0112245929799999E-4</v>
      </c>
    </row>
    <row r="1419" spans="2:5" ht="15" customHeight="1">
      <c r="B1419" s="92"/>
      <c r="C1419" s="68" t="s">
        <v>226</v>
      </c>
      <c r="D1419" s="69">
        <v>5</v>
      </c>
      <c r="E1419" s="70">
        <v>1.68537432164E-4</v>
      </c>
    </row>
    <row r="1420" spans="2:5" ht="15" customHeight="1">
      <c r="B1420" s="92"/>
      <c r="C1420" s="68" t="s">
        <v>227</v>
      </c>
      <c r="D1420" s="69">
        <v>1</v>
      </c>
      <c r="E1420" s="70">
        <v>3.3707486433000001E-5</v>
      </c>
    </row>
    <row r="1421" spans="2:5" ht="15" customHeight="1">
      <c r="B1421" s="92"/>
      <c r="C1421" s="68" t="s">
        <v>228</v>
      </c>
      <c r="D1421" s="69">
        <v>6</v>
      </c>
      <c r="E1421" s="70">
        <v>2.0224491859599999E-4</v>
      </c>
    </row>
    <row r="1422" spans="2:5" ht="15" customHeight="1">
      <c r="B1422" s="92"/>
      <c r="C1422" s="68" t="s">
        <v>247</v>
      </c>
      <c r="D1422" s="69">
        <v>3</v>
      </c>
      <c r="E1422" s="70">
        <v>1.0112245929799999E-4</v>
      </c>
    </row>
    <row r="1423" spans="2:5" ht="15" customHeight="1">
      <c r="B1423" s="92"/>
      <c r="C1423" s="68" t="s">
        <v>229</v>
      </c>
      <c r="D1423" s="69">
        <v>1</v>
      </c>
      <c r="E1423" s="70">
        <v>3.3707486433000001E-5</v>
      </c>
    </row>
    <row r="1424" spans="2:5" ht="15" customHeight="1">
      <c r="B1424" s="93"/>
      <c r="C1424" s="36" t="s">
        <v>29</v>
      </c>
      <c r="D1424" s="35">
        <v>97</v>
      </c>
      <c r="E1424" s="34">
        <v>3.269626183975E-3</v>
      </c>
    </row>
    <row r="1425" spans="2:5" ht="15" customHeight="1">
      <c r="B1425" s="91" t="s">
        <v>72</v>
      </c>
      <c r="C1425" s="68" t="s">
        <v>195</v>
      </c>
      <c r="D1425" s="69">
        <v>4</v>
      </c>
      <c r="E1425" s="70">
        <v>1.3482994573099999E-4</v>
      </c>
    </row>
    <row r="1426" spans="2:5" ht="15" customHeight="1">
      <c r="B1426" s="92"/>
      <c r="C1426" s="68" t="s">
        <v>198</v>
      </c>
      <c r="D1426" s="69">
        <v>1</v>
      </c>
      <c r="E1426" s="70">
        <v>3.3707486433000001E-5</v>
      </c>
    </row>
    <row r="1427" spans="2:5" ht="15" customHeight="1">
      <c r="B1427" s="92"/>
      <c r="C1427" s="68" t="s">
        <v>248</v>
      </c>
      <c r="D1427" s="69">
        <v>1</v>
      </c>
      <c r="E1427" s="70">
        <v>3.3707486433000001E-5</v>
      </c>
    </row>
    <row r="1428" spans="2:5" ht="15" customHeight="1">
      <c r="B1428" s="92"/>
      <c r="C1428" s="68" t="s">
        <v>200</v>
      </c>
      <c r="D1428" s="69">
        <v>9</v>
      </c>
      <c r="E1428" s="70">
        <v>3.0336737789499998E-4</v>
      </c>
    </row>
    <row r="1429" spans="2:5" ht="15" customHeight="1">
      <c r="B1429" s="92"/>
      <c r="C1429" s="68" t="s">
        <v>202</v>
      </c>
      <c r="D1429" s="69">
        <v>2</v>
      </c>
      <c r="E1429" s="70">
        <v>6.7414972865000001E-5</v>
      </c>
    </row>
    <row r="1430" spans="2:5" ht="15" customHeight="1">
      <c r="B1430" s="92"/>
      <c r="C1430" s="68" t="s">
        <v>203</v>
      </c>
      <c r="D1430" s="69">
        <v>3</v>
      </c>
      <c r="E1430" s="70">
        <v>1.0112245929799999E-4</v>
      </c>
    </row>
    <row r="1431" spans="2:5" ht="15" customHeight="1">
      <c r="B1431" s="92"/>
      <c r="C1431" s="68" t="s">
        <v>205</v>
      </c>
      <c r="D1431" s="69">
        <v>1</v>
      </c>
      <c r="E1431" s="70">
        <v>3.3707486433000001E-5</v>
      </c>
    </row>
    <row r="1432" spans="2:5" ht="15" customHeight="1">
      <c r="B1432" s="92"/>
      <c r="C1432" s="68" t="s">
        <v>208</v>
      </c>
      <c r="D1432" s="69">
        <v>5</v>
      </c>
      <c r="E1432" s="70">
        <v>1.68537432164E-4</v>
      </c>
    </row>
    <row r="1433" spans="2:5" ht="15" customHeight="1">
      <c r="B1433" s="92"/>
      <c r="C1433" s="68" t="s">
        <v>213</v>
      </c>
      <c r="D1433" s="69">
        <v>14</v>
      </c>
      <c r="E1433" s="70">
        <v>4.7190481005799999E-4</v>
      </c>
    </row>
    <row r="1434" spans="2:5" ht="15" customHeight="1">
      <c r="B1434" s="92"/>
      <c r="C1434" s="68" t="s">
        <v>214</v>
      </c>
      <c r="D1434" s="69">
        <v>2</v>
      </c>
      <c r="E1434" s="70">
        <v>6.7414972865000001E-5</v>
      </c>
    </row>
    <row r="1435" spans="2:5" ht="15" customHeight="1">
      <c r="B1435" s="92"/>
      <c r="C1435" s="68" t="s">
        <v>234</v>
      </c>
      <c r="D1435" s="69">
        <v>24</v>
      </c>
      <c r="E1435" s="70">
        <v>8.0897967438599999E-4</v>
      </c>
    </row>
    <row r="1436" spans="2:5" ht="15" customHeight="1">
      <c r="B1436" s="92"/>
      <c r="C1436" s="68" t="s">
        <v>215</v>
      </c>
      <c r="D1436" s="69">
        <v>24</v>
      </c>
      <c r="E1436" s="70">
        <v>8.0897967438599999E-4</v>
      </c>
    </row>
    <row r="1437" spans="2:5" ht="15" customHeight="1">
      <c r="B1437" s="92"/>
      <c r="C1437" s="68" t="s">
        <v>216</v>
      </c>
      <c r="D1437" s="69">
        <v>2</v>
      </c>
      <c r="E1437" s="70">
        <v>6.7414972865000001E-5</v>
      </c>
    </row>
    <row r="1438" spans="2:5" ht="15" customHeight="1">
      <c r="B1438" s="92"/>
      <c r="C1438" s="68" t="s">
        <v>218</v>
      </c>
      <c r="D1438" s="69">
        <v>13</v>
      </c>
      <c r="E1438" s="70">
        <v>4.38197323626E-4</v>
      </c>
    </row>
    <row r="1439" spans="2:5" ht="15" customHeight="1">
      <c r="B1439" s="92"/>
      <c r="C1439" s="68" t="s">
        <v>219</v>
      </c>
      <c r="D1439" s="69">
        <v>14</v>
      </c>
      <c r="E1439" s="70">
        <v>4.7190481005799999E-4</v>
      </c>
    </row>
    <row r="1440" spans="2:5" ht="15" customHeight="1">
      <c r="B1440" s="92"/>
      <c r="C1440" s="68" t="s">
        <v>236</v>
      </c>
      <c r="D1440" s="69">
        <v>1</v>
      </c>
      <c r="E1440" s="70">
        <v>3.3707486433000001E-5</v>
      </c>
    </row>
    <row r="1441" spans="2:5" ht="15" customHeight="1">
      <c r="B1441" s="92"/>
      <c r="C1441" s="68" t="s">
        <v>221</v>
      </c>
      <c r="D1441" s="69">
        <v>1</v>
      </c>
      <c r="E1441" s="70">
        <v>3.3707486433000001E-5</v>
      </c>
    </row>
    <row r="1442" spans="2:5" ht="15" customHeight="1">
      <c r="B1442" s="92"/>
      <c r="C1442" s="68" t="s">
        <v>225</v>
      </c>
      <c r="D1442" s="69">
        <v>2</v>
      </c>
      <c r="E1442" s="70">
        <v>6.7414972865000001E-5</v>
      </c>
    </row>
    <row r="1443" spans="2:5" ht="15" customHeight="1">
      <c r="B1443" s="92"/>
      <c r="C1443" s="68" t="s">
        <v>226</v>
      </c>
      <c r="D1443" s="69">
        <v>12</v>
      </c>
      <c r="E1443" s="70">
        <v>4.0448983719299999E-4</v>
      </c>
    </row>
    <row r="1444" spans="2:5" ht="15" customHeight="1">
      <c r="B1444" s="92"/>
      <c r="C1444" s="68" t="s">
        <v>227</v>
      </c>
      <c r="D1444" s="69">
        <v>1</v>
      </c>
      <c r="E1444" s="70">
        <v>3.3707486433000001E-5</v>
      </c>
    </row>
    <row r="1445" spans="2:5" ht="15" customHeight="1">
      <c r="B1445" s="92"/>
      <c r="C1445" s="68" t="s">
        <v>229</v>
      </c>
      <c r="D1445" s="69">
        <v>1</v>
      </c>
      <c r="E1445" s="70">
        <v>3.3707486433000001E-5</v>
      </c>
    </row>
    <row r="1446" spans="2:5" ht="15" customHeight="1">
      <c r="B1446" s="92"/>
      <c r="C1446" s="68" t="s">
        <v>230</v>
      </c>
      <c r="D1446" s="69">
        <v>3</v>
      </c>
      <c r="E1446" s="70">
        <v>1.0112245929799999E-4</v>
      </c>
    </row>
    <row r="1447" spans="2:5" ht="15" customHeight="1">
      <c r="B1447" s="93"/>
      <c r="C1447" s="36" t="s">
        <v>29</v>
      </c>
      <c r="D1447" s="35">
        <v>140</v>
      </c>
      <c r="E1447" s="34">
        <v>4.7190481005830003E-3</v>
      </c>
    </row>
    <row r="1448" spans="2:5" ht="15" customHeight="1">
      <c r="B1448" s="91" t="s">
        <v>90</v>
      </c>
      <c r="C1448" s="68" t="s">
        <v>200</v>
      </c>
      <c r="D1448" s="69">
        <v>1</v>
      </c>
      <c r="E1448" s="70">
        <v>3.3707486433000001E-5</v>
      </c>
    </row>
    <row r="1449" spans="2:5" ht="15" customHeight="1">
      <c r="B1449" s="92"/>
      <c r="C1449" s="68" t="s">
        <v>201</v>
      </c>
      <c r="D1449" s="69">
        <v>1</v>
      </c>
      <c r="E1449" s="70">
        <v>3.3707486433000001E-5</v>
      </c>
    </row>
    <row r="1450" spans="2:5" ht="15" customHeight="1">
      <c r="B1450" s="92"/>
      <c r="C1450" s="68" t="s">
        <v>203</v>
      </c>
      <c r="D1450" s="69">
        <v>1</v>
      </c>
      <c r="E1450" s="70">
        <v>3.3707486433000001E-5</v>
      </c>
    </row>
    <row r="1451" spans="2:5" ht="15" customHeight="1">
      <c r="B1451" s="92"/>
      <c r="C1451" s="68" t="s">
        <v>205</v>
      </c>
      <c r="D1451" s="69">
        <v>1</v>
      </c>
      <c r="E1451" s="70">
        <v>3.3707486433000001E-5</v>
      </c>
    </row>
    <row r="1452" spans="2:5" ht="15" customHeight="1">
      <c r="B1452" s="92"/>
      <c r="C1452" s="68" t="s">
        <v>243</v>
      </c>
      <c r="D1452" s="69">
        <v>1</v>
      </c>
      <c r="E1452" s="70">
        <v>3.3707486433000001E-5</v>
      </c>
    </row>
    <row r="1453" spans="2:5" ht="15" customHeight="1">
      <c r="B1453" s="92"/>
      <c r="C1453" s="68" t="s">
        <v>207</v>
      </c>
      <c r="D1453" s="69">
        <v>1</v>
      </c>
      <c r="E1453" s="70">
        <v>3.3707486433000001E-5</v>
      </c>
    </row>
    <row r="1454" spans="2:5" ht="15" customHeight="1">
      <c r="B1454" s="92"/>
      <c r="C1454" s="68" t="s">
        <v>208</v>
      </c>
      <c r="D1454" s="69">
        <v>1</v>
      </c>
      <c r="E1454" s="70">
        <v>3.3707486433000001E-5</v>
      </c>
    </row>
    <row r="1455" spans="2:5" ht="15" customHeight="1">
      <c r="B1455" s="92"/>
      <c r="C1455" s="68" t="s">
        <v>209</v>
      </c>
      <c r="D1455" s="69">
        <v>1</v>
      </c>
      <c r="E1455" s="70">
        <v>3.3707486433000001E-5</v>
      </c>
    </row>
    <row r="1456" spans="2:5" ht="15" customHeight="1">
      <c r="B1456" s="92"/>
      <c r="C1456" s="68" t="s">
        <v>213</v>
      </c>
      <c r="D1456" s="69">
        <v>1</v>
      </c>
      <c r="E1456" s="70">
        <v>3.3707486433000001E-5</v>
      </c>
    </row>
    <row r="1457" spans="2:5" ht="15" customHeight="1">
      <c r="B1457" s="92"/>
      <c r="C1457" s="68" t="s">
        <v>234</v>
      </c>
      <c r="D1457" s="69">
        <v>1</v>
      </c>
      <c r="E1457" s="70">
        <v>3.3707486433000001E-5</v>
      </c>
    </row>
    <row r="1458" spans="2:5" ht="15" customHeight="1">
      <c r="B1458" s="92"/>
      <c r="C1458" s="68" t="s">
        <v>215</v>
      </c>
      <c r="D1458" s="69">
        <v>6</v>
      </c>
      <c r="E1458" s="70">
        <v>2.0224491859599999E-4</v>
      </c>
    </row>
    <row r="1459" spans="2:5" ht="15" customHeight="1">
      <c r="B1459" s="92"/>
      <c r="C1459" s="68" t="s">
        <v>235</v>
      </c>
      <c r="D1459" s="69">
        <v>1</v>
      </c>
      <c r="E1459" s="70">
        <v>3.3707486433000001E-5</v>
      </c>
    </row>
    <row r="1460" spans="2:5" ht="15" customHeight="1">
      <c r="B1460" s="92"/>
      <c r="C1460" s="68" t="s">
        <v>218</v>
      </c>
      <c r="D1460" s="69">
        <v>1</v>
      </c>
      <c r="E1460" s="70">
        <v>3.3707486433000001E-5</v>
      </c>
    </row>
    <row r="1461" spans="2:5" ht="15" customHeight="1">
      <c r="B1461" s="92"/>
      <c r="C1461" s="68" t="s">
        <v>219</v>
      </c>
      <c r="D1461" s="69">
        <v>1</v>
      </c>
      <c r="E1461" s="70">
        <v>3.3707486433000001E-5</v>
      </c>
    </row>
    <row r="1462" spans="2:5" ht="15" customHeight="1">
      <c r="B1462" s="92"/>
      <c r="C1462" s="68" t="s">
        <v>236</v>
      </c>
      <c r="D1462" s="69">
        <v>2</v>
      </c>
      <c r="E1462" s="70">
        <v>6.7414972865000001E-5</v>
      </c>
    </row>
    <row r="1463" spans="2:5" ht="15" customHeight="1">
      <c r="B1463" s="92"/>
      <c r="C1463" s="68" t="s">
        <v>221</v>
      </c>
      <c r="D1463" s="69">
        <v>2</v>
      </c>
      <c r="E1463" s="70">
        <v>6.7414972865000001E-5</v>
      </c>
    </row>
    <row r="1464" spans="2:5" ht="15" customHeight="1">
      <c r="B1464" s="92"/>
      <c r="C1464" s="68" t="s">
        <v>222</v>
      </c>
      <c r="D1464" s="69">
        <v>1</v>
      </c>
      <c r="E1464" s="70">
        <v>3.3707486433000001E-5</v>
      </c>
    </row>
    <row r="1465" spans="2:5" ht="15" customHeight="1">
      <c r="B1465" s="92"/>
      <c r="C1465" s="68" t="s">
        <v>229</v>
      </c>
      <c r="D1465" s="69">
        <v>1</v>
      </c>
      <c r="E1465" s="70">
        <v>3.3707486433000001E-5</v>
      </c>
    </row>
    <row r="1466" spans="2:5" ht="15" customHeight="1">
      <c r="B1466" s="92"/>
      <c r="C1466" s="68" t="s">
        <v>230</v>
      </c>
      <c r="D1466" s="69">
        <v>3</v>
      </c>
      <c r="E1466" s="70">
        <v>1.0112245929799999E-4</v>
      </c>
    </row>
    <row r="1467" spans="2:5" ht="15" customHeight="1">
      <c r="B1467" s="93"/>
      <c r="C1467" s="36" t="s">
        <v>29</v>
      </c>
      <c r="D1467" s="35">
        <v>28</v>
      </c>
      <c r="E1467" s="34">
        <v>9.4380962011699995E-4</v>
      </c>
    </row>
    <row r="1468" spans="2:5" ht="15" customHeight="1">
      <c r="B1468" s="91" t="s">
        <v>84</v>
      </c>
      <c r="C1468" s="68" t="s">
        <v>195</v>
      </c>
      <c r="D1468" s="69">
        <v>1</v>
      </c>
      <c r="E1468" s="70">
        <v>3.3707486433000001E-5</v>
      </c>
    </row>
    <row r="1469" spans="2:5" ht="15" customHeight="1">
      <c r="B1469" s="92"/>
      <c r="C1469" s="68" t="s">
        <v>200</v>
      </c>
      <c r="D1469" s="69">
        <v>1</v>
      </c>
      <c r="E1469" s="70">
        <v>3.3707486433000001E-5</v>
      </c>
    </row>
    <row r="1470" spans="2:5" ht="15" customHeight="1">
      <c r="B1470" s="92"/>
      <c r="C1470" s="68" t="s">
        <v>201</v>
      </c>
      <c r="D1470" s="69">
        <v>3</v>
      </c>
      <c r="E1470" s="70">
        <v>1.0112245929799999E-4</v>
      </c>
    </row>
    <row r="1471" spans="2:5" ht="15" customHeight="1">
      <c r="B1471" s="92"/>
      <c r="C1471" s="68" t="s">
        <v>203</v>
      </c>
      <c r="D1471" s="69">
        <v>4</v>
      </c>
      <c r="E1471" s="70">
        <v>1.3482994573099999E-4</v>
      </c>
    </row>
    <row r="1472" spans="2:5" ht="15" customHeight="1">
      <c r="B1472" s="92"/>
      <c r="C1472" s="68" t="s">
        <v>205</v>
      </c>
      <c r="D1472" s="69">
        <v>5</v>
      </c>
      <c r="E1472" s="70">
        <v>1.68537432164E-4</v>
      </c>
    </row>
    <row r="1473" spans="2:5" ht="15" customHeight="1">
      <c r="B1473" s="92"/>
      <c r="C1473" s="68" t="s">
        <v>206</v>
      </c>
      <c r="D1473" s="69">
        <v>1</v>
      </c>
      <c r="E1473" s="70">
        <v>3.3707486433000001E-5</v>
      </c>
    </row>
    <row r="1474" spans="2:5" ht="15" customHeight="1">
      <c r="B1474" s="92"/>
      <c r="C1474" s="68" t="s">
        <v>208</v>
      </c>
      <c r="D1474" s="69">
        <v>3</v>
      </c>
      <c r="E1474" s="70">
        <v>1.0112245929799999E-4</v>
      </c>
    </row>
    <row r="1475" spans="2:5" ht="15" customHeight="1">
      <c r="B1475" s="92"/>
      <c r="C1475" s="68" t="s">
        <v>232</v>
      </c>
      <c r="D1475" s="69">
        <v>3</v>
      </c>
      <c r="E1475" s="70">
        <v>1.0112245929799999E-4</v>
      </c>
    </row>
    <row r="1476" spans="2:5" ht="15" customHeight="1">
      <c r="B1476" s="92"/>
      <c r="C1476" s="68" t="s">
        <v>214</v>
      </c>
      <c r="D1476" s="69">
        <v>1</v>
      </c>
      <c r="E1476" s="70">
        <v>3.3707486433000001E-5</v>
      </c>
    </row>
    <row r="1477" spans="2:5" ht="15" customHeight="1">
      <c r="B1477" s="92"/>
      <c r="C1477" s="68" t="s">
        <v>234</v>
      </c>
      <c r="D1477" s="69">
        <v>5</v>
      </c>
      <c r="E1477" s="70">
        <v>1.68537432164E-4</v>
      </c>
    </row>
    <row r="1478" spans="2:5" ht="15" customHeight="1">
      <c r="B1478" s="92"/>
      <c r="C1478" s="68" t="s">
        <v>215</v>
      </c>
      <c r="D1478" s="69">
        <v>12</v>
      </c>
      <c r="E1478" s="70">
        <v>4.0448983719299999E-4</v>
      </c>
    </row>
    <row r="1479" spans="2:5" ht="15" customHeight="1">
      <c r="B1479" s="92"/>
      <c r="C1479" s="68" t="s">
        <v>244</v>
      </c>
      <c r="D1479" s="69">
        <v>3</v>
      </c>
      <c r="E1479" s="70">
        <v>1.0112245929799999E-4</v>
      </c>
    </row>
    <row r="1480" spans="2:5" ht="15" customHeight="1">
      <c r="B1480" s="92"/>
      <c r="C1480" s="68" t="s">
        <v>218</v>
      </c>
      <c r="D1480" s="69">
        <v>1</v>
      </c>
      <c r="E1480" s="70">
        <v>3.3707486433000001E-5</v>
      </c>
    </row>
    <row r="1481" spans="2:5" ht="15" customHeight="1">
      <c r="B1481" s="92"/>
      <c r="C1481" s="68" t="s">
        <v>219</v>
      </c>
      <c r="D1481" s="69">
        <v>5</v>
      </c>
      <c r="E1481" s="70">
        <v>1.68537432164E-4</v>
      </c>
    </row>
    <row r="1482" spans="2:5" ht="15" customHeight="1">
      <c r="B1482" s="92"/>
      <c r="C1482" s="68" t="s">
        <v>220</v>
      </c>
      <c r="D1482" s="69">
        <v>1</v>
      </c>
      <c r="E1482" s="70">
        <v>3.3707486433000001E-5</v>
      </c>
    </row>
    <row r="1483" spans="2:5" ht="15" customHeight="1">
      <c r="B1483" s="92"/>
      <c r="C1483" s="68" t="s">
        <v>221</v>
      </c>
      <c r="D1483" s="69">
        <v>2</v>
      </c>
      <c r="E1483" s="70">
        <v>6.7414972865000001E-5</v>
      </c>
    </row>
    <row r="1484" spans="2:5" ht="15" customHeight="1">
      <c r="B1484" s="92"/>
      <c r="C1484" s="68" t="s">
        <v>223</v>
      </c>
      <c r="D1484" s="69">
        <v>1</v>
      </c>
      <c r="E1484" s="70">
        <v>3.3707486433000001E-5</v>
      </c>
    </row>
    <row r="1485" spans="2:5" ht="15" customHeight="1">
      <c r="B1485" s="92"/>
      <c r="C1485" s="68" t="s">
        <v>224</v>
      </c>
      <c r="D1485" s="69">
        <v>1</v>
      </c>
      <c r="E1485" s="70">
        <v>3.3707486433000001E-5</v>
      </c>
    </row>
    <row r="1486" spans="2:5" ht="15" customHeight="1">
      <c r="B1486" s="92"/>
      <c r="C1486" s="68" t="s">
        <v>225</v>
      </c>
      <c r="D1486" s="69">
        <v>2</v>
      </c>
      <c r="E1486" s="70">
        <v>6.7414972865000001E-5</v>
      </c>
    </row>
    <row r="1487" spans="2:5" ht="15" customHeight="1">
      <c r="B1487" s="92"/>
      <c r="C1487" s="68" t="s">
        <v>241</v>
      </c>
      <c r="D1487" s="69">
        <v>1</v>
      </c>
      <c r="E1487" s="70">
        <v>3.3707486433000001E-5</v>
      </c>
    </row>
    <row r="1488" spans="2:5" ht="15" customHeight="1">
      <c r="B1488" s="92"/>
      <c r="C1488" s="68" t="s">
        <v>226</v>
      </c>
      <c r="D1488" s="69">
        <v>3</v>
      </c>
      <c r="E1488" s="70">
        <v>1.0112245929799999E-4</v>
      </c>
    </row>
    <row r="1489" spans="2:5" ht="15" customHeight="1">
      <c r="B1489" s="93"/>
      <c r="C1489" s="36" t="s">
        <v>29</v>
      </c>
      <c r="D1489" s="35">
        <v>59</v>
      </c>
      <c r="E1489" s="34">
        <v>1.988741699531E-3</v>
      </c>
    </row>
    <row r="1490" spans="2:5" ht="15" customHeight="1">
      <c r="B1490" s="91" t="s">
        <v>74</v>
      </c>
      <c r="C1490" s="68" t="s">
        <v>197</v>
      </c>
      <c r="D1490" s="69">
        <v>2</v>
      </c>
      <c r="E1490" s="70">
        <v>6.7414972865000001E-5</v>
      </c>
    </row>
    <row r="1491" spans="2:5" ht="15" customHeight="1">
      <c r="B1491" s="92"/>
      <c r="C1491" s="68" t="s">
        <v>199</v>
      </c>
      <c r="D1491" s="69">
        <v>10</v>
      </c>
      <c r="E1491" s="70">
        <v>3.3707486432699998E-4</v>
      </c>
    </row>
    <row r="1492" spans="2:5" ht="15" customHeight="1">
      <c r="B1492" s="92"/>
      <c r="C1492" s="68" t="s">
        <v>200</v>
      </c>
      <c r="D1492" s="69">
        <v>6</v>
      </c>
      <c r="E1492" s="70">
        <v>2.0224491859599999E-4</v>
      </c>
    </row>
    <row r="1493" spans="2:5" ht="15" customHeight="1">
      <c r="B1493" s="92"/>
      <c r="C1493" s="68" t="s">
        <v>201</v>
      </c>
      <c r="D1493" s="69">
        <v>1</v>
      </c>
      <c r="E1493" s="70">
        <v>3.3707486433000001E-5</v>
      </c>
    </row>
    <row r="1494" spans="2:5" ht="15" customHeight="1">
      <c r="B1494" s="92"/>
      <c r="C1494" s="68" t="s">
        <v>202</v>
      </c>
      <c r="D1494" s="69">
        <v>5</v>
      </c>
      <c r="E1494" s="70">
        <v>1.68537432164E-4</v>
      </c>
    </row>
    <row r="1495" spans="2:5" ht="15" customHeight="1">
      <c r="B1495" s="92"/>
      <c r="C1495" s="68" t="s">
        <v>203</v>
      </c>
      <c r="D1495" s="69">
        <v>1</v>
      </c>
      <c r="E1495" s="70">
        <v>3.3707486433000001E-5</v>
      </c>
    </row>
    <row r="1496" spans="2:5" ht="15" customHeight="1">
      <c r="B1496" s="92"/>
      <c r="C1496" s="68" t="s">
        <v>204</v>
      </c>
      <c r="D1496" s="69">
        <v>1</v>
      </c>
      <c r="E1496" s="70">
        <v>3.3707486433000001E-5</v>
      </c>
    </row>
    <row r="1497" spans="2:5" ht="15" customHeight="1">
      <c r="B1497" s="92"/>
      <c r="C1497" s="68" t="s">
        <v>205</v>
      </c>
      <c r="D1497" s="69">
        <v>4</v>
      </c>
      <c r="E1497" s="70">
        <v>1.3482994573099999E-4</v>
      </c>
    </row>
    <row r="1498" spans="2:5" ht="15" customHeight="1">
      <c r="B1498" s="92"/>
      <c r="C1498" s="68" t="s">
        <v>206</v>
      </c>
      <c r="D1498" s="69">
        <v>1</v>
      </c>
      <c r="E1498" s="70">
        <v>3.3707486433000001E-5</v>
      </c>
    </row>
    <row r="1499" spans="2:5" ht="15" customHeight="1">
      <c r="B1499" s="92"/>
      <c r="C1499" s="68" t="s">
        <v>209</v>
      </c>
      <c r="D1499" s="69">
        <v>5</v>
      </c>
      <c r="E1499" s="70">
        <v>1.68537432164E-4</v>
      </c>
    </row>
    <row r="1500" spans="2:5" ht="15" customHeight="1">
      <c r="B1500" s="92"/>
      <c r="C1500" s="68" t="s">
        <v>211</v>
      </c>
      <c r="D1500" s="69">
        <v>1</v>
      </c>
      <c r="E1500" s="70">
        <v>3.3707486433000001E-5</v>
      </c>
    </row>
    <row r="1501" spans="2:5" ht="15" customHeight="1">
      <c r="B1501" s="92"/>
      <c r="C1501" s="68" t="s">
        <v>213</v>
      </c>
      <c r="D1501" s="69">
        <v>7</v>
      </c>
      <c r="E1501" s="70">
        <v>2.35952405029E-4</v>
      </c>
    </row>
    <row r="1502" spans="2:5" ht="15" customHeight="1">
      <c r="B1502" s="92"/>
      <c r="C1502" s="68" t="s">
        <v>214</v>
      </c>
      <c r="D1502" s="69">
        <v>1</v>
      </c>
      <c r="E1502" s="70">
        <v>3.3707486433000001E-5</v>
      </c>
    </row>
    <row r="1503" spans="2:5" ht="15" customHeight="1">
      <c r="B1503" s="92"/>
      <c r="C1503" s="68" t="s">
        <v>57</v>
      </c>
      <c r="D1503" s="69">
        <v>1</v>
      </c>
      <c r="E1503" s="70">
        <v>3.3707486433000001E-5</v>
      </c>
    </row>
    <row r="1504" spans="2:5" ht="15" customHeight="1">
      <c r="B1504" s="92"/>
      <c r="C1504" s="68" t="s">
        <v>234</v>
      </c>
      <c r="D1504" s="69">
        <v>16</v>
      </c>
      <c r="E1504" s="70">
        <v>5.3931978292399995E-4</v>
      </c>
    </row>
    <row r="1505" spans="2:5" ht="15" customHeight="1">
      <c r="B1505" s="92"/>
      <c r="C1505" s="68" t="s">
        <v>215</v>
      </c>
      <c r="D1505" s="69">
        <v>27</v>
      </c>
      <c r="E1505" s="70">
        <v>9.1010213368400005E-4</v>
      </c>
    </row>
    <row r="1506" spans="2:5" ht="15" customHeight="1">
      <c r="B1506" s="92"/>
      <c r="C1506" s="68" t="s">
        <v>235</v>
      </c>
      <c r="D1506" s="69">
        <v>1</v>
      </c>
      <c r="E1506" s="70">
        <v>3.3707486433000001E-5</v>
      </c>
    </row>
    <row r="1507" spans="2:5" ht="15" customHeight="1">
      <c r="B1507" s="92"/>
      <c r="C1507" s="68" t="s">
        <v>217</v>
      </c>
      <c r="D1507" s="69">
        <v>1</v>
      </c>
      <c r="E1507" s="70">
        <v>3.3707486433000001E-5</v>
      </c>
    </row>
    <row r="1508" spans="2:5" ht="15" customHeight="1">
      <c r="B1508" s="92"/>
      <c r="C1508" s="68" t="s">
        <v>218</v>
      </c>
      <c r="D1508" s="69">
        <v>4</v>
      </c>
      <c r="E1508" s="70">
        <v>1.3482994573099999E-4</v>
      </c>
    </row>
    <row r="1509" spans="2:5" ht="15" customHeight="1">
      <c r="B1509" s="92"/>
      <c r="C1509" s="68" t="s">
        <v>219</v>
      </c>
      <c r="D1509" s="69">
        <v>6</v>
      </c>
      <c r="E1509" s="70">
        <v>2.0224491859599999E-4</v>
      </c>
    </row>
    <row r="1510" spans="2:5" ht="15" customHeight="1">
      <c r="B1510" s="92"/>
      <c r="C1510" s="68" t="s">
        <v>236</v>
      </c>
      <c r="D1510" s="69">
        <v>1</v>
      </c>
      <c r="E1510" s="70">
        <v>3.3707486433000001E-5</v>
      </c>
    </row>
    <row r="1511" spans="2:5" ht="15" customHeight="1">
      <c r="B1511" s="92"/>
      <c r="C1511" s="68" t="s">
        <v>221</v>
      </c>
      <c r="D1511" s="69">
        <v>4</v>
      </c>
      <c r="E1511" s="70">
        <v>1.3482994573099999E-4</v>
      </c>
    </row>
    <row r="1512" spans="2:5" ht="15" customHeight="1">
      <c r="B1512" s="92"/>
      <c r="C1512" s="68" t="s">
        <v>222</v>
      </c>
      <c r="D1512" s="69">
        <v>1</v>
      </c>
      <c r="E1512" s="70">
        <v>3.3707486433000001E-5</v>
      </c>
    </row>
    <row r="1513" spans="2:5" ht="15" customHeight="1">
      <c r="B1513" s="92"/>
      <c r="C1513" s="68" t="s">
        <v>250</v>
      </c>
      <c r="D1513" s="69">
        <v>1</v>
      </c>
      <c r="E1513" s="70">
        <v>3.3707486433000001E-5</v>
      </c>
    </row>
    <row r="1514" spans="2:5" ht="15" customHeight="1">
      <c r="B1514" s="92"/>
      <c r="C1514" s="68" t="s">
        <v>238</v>
      </c>
      <c r="D1514" s="69">
        <v>2</v>
      </c>
      <c r="E1514" s="70">
        <v>6.7414972865000001E-5</v>
      </c>
    </row>
    <row r="1515" spans="2:5" ht="15" customHeight="1">
      <c r="B1515" s="92"/>
      <c r="C1515" s="68" t="s">
        <v>239</v>
      </c>
      <c r="D1515" s="69">
        <v>1</v>
      </c>
      <c r="E1515" s="70">
        <v>3.3707486433000001E-5</v>
      </c>
    </row>
    <row r="1516" spans="2:5" ht="15" customHeight="1">
      <c r="B1516" s="92"/>
      <c r="C1516" s="68" t="s">
        <v>226</v>
      </c>
      <c r="D1516" s="69">
        <v>3</v>
      </c>
      <c r="E1516" s="70">
        <v>1.0112245929799999E-4</v>
      </c>
    </row>
    <row r="1517" spans="2:5" ht="15" customHeight="1">
      <c r="B1517" s="92"/>
      <c r="C1517" s="68" t="s">
        <v>227</v>
      </c>
      <c r="D1517" s="69">
        <v>1</v>
      </c>
      <c r="E1517" s="70">
        <v>3.3707486433000001E-5</v>
      </c>
    </row>
    <row r="1518" spans="2:5" ht="15" customHeight="1">
      <c r="B1518" s="92"/>
      <c r="C1518" s="68" t="s">
        <v>228</v>
      </c>
      <c r="D1518" s="69">
        <v>9</v>
      </c>
      <c r="E1518" s="70">
        <v>3.0336737789499998E-4</v>
      </c>
    </row>
    <row r="1519" spans="2:5" ht="15" customHeight="1">
      <c r="B1519" s="92"/>
      <c r="C1519" s="68" t="s">
        <v>247</v>
      </c>
      <c r="D1519" s="69">
        <v>9</v>
      </c>
      <c r="E1519" s="70">
        <v>3.0336737789499998E-4</v>
      </c>
    </row>
    <row r="1520" spans="2:5" ht="15" customHeight="1">
      <c r="B1520" s="92"/>
      <c r="C1520" s="68" t="s">
        <v>229</v>
      </c>
      <c r="D1520" s="69">
        <v>1</v>
      </c>
      <c r="E1520" s="70">
        <v>3.3707486433000001E-5</v>
      </c>
    </row>
    <row r="1521" spans="2:5" ht="15" customHeight="1">
      <c r="B1521" s="92"/>
      <c r="C1521" s="68" t="s">
        <v>230</v>
      </c>
      <c r="D1521" s="69">
        <v>2</v>
      </c>
      <c r="E1521" s="70">
        <v>6.7414972865000001E-5</v>
      </c>
    </row>
    <row r="1522" spans="2:5" ht="15" customHeight="1">
      <c r="B1522" s="93"/>
      <c r="C1522" s="36" t="s">
        <v>29</v>
      </c>
      <c r="D1522" s="35">
        <v>136</v>
      </c>
      <c r="E1522" s="34">
        <v>4.5842181548520003E-3</v>
      </c>
    </row>
    <row r="1523" spans="2:5" ht="15" customHeight="1">
      <c r="B1523" s="91" t="s">
        <v>89</v>
      </c>
      <c r="C1523" s="68" t="s">
        <v>231</v>
      </c>
      <c r="D1523" s="69">
        <v>1</v>
      </c>
      <c r="E1523" s="70">
        <v>3.3707486433000001E-5</v>
      </c>
    </row>
    <row r="1524" spans="2:5" ht="15" customHeight="1">
      <c r="B1524" s="92"/>
      <c r="C1524" s="68" t="s">
        <v>199</v>
      </c>
      <c r="D1524" s="69">
        <v>1</v>
      </c>
      <c r="E1524" s="70">
        <v>3.3707486433000001E-5</v>
      </c>
    </row>
    <row r="1525" spans="2:5" ht="15" customHeight="1">
      <c r="B1525" s="92"/>
      <c r="C1525" s="68" t="s">
        <v>200</v>
      </c>
      <c r="D1525" s="69">
        <v>4</v>
      </c>
      <c r="E1525" s="70">
        <v>1.3482994573099999E-4</v>
      </c>
    </row>
    <row r="1526" spans="2:5" ht="15" customHeight="1">
      <c r="B1526" s="92"/>
      <c r="C1526" s="68" t="s">
        <v>202</v>
      </c>
      <c r="D1526" s="69">
        <v>1</v>
      </c>
      <c r="E1526" s="70">
        <v>3.3707486433000001E-5</v>
      </c>
    </row>
    <row r="1527" spans="2:5" ht="15" customHeight="1">
      <c r="B1527" s="92"/>
      <c r="C1527" s="68" t="s">
        <v>213</v>
      </c>
      <c r="D1527" s="69">
        <v>1</v>
      </c>
      <c r="E1527" s="70">
        <v>3.3707486433000001E-5</v>
      </c>
    </row>
    <row r="1528" spans="2:5" ht="15" customHeight="1">
      <c r="B1528" s="92"/>
      <c r="C1528" s="68" t="s">
        <v>214</v>
      </c>
      <c r="D1528" s="69">
        <v>6</v>
      </c>
      <c r="E1528" s="70">
        <v>2.0224491859599999E-4</v>
      </c>
    </row>
    <row r="1529" spans="2:5" ht="15" customHeight="1">
      <c r="B1529" s="92"/>
      <c r="C1529" s="68" t="s">
        <v>57</v>
      </c>
      <c r="D1529" s="69">
        <v>1</v>
      </c>
      <c r="E1529" s="70">
        <v>3.3707486433000001E-5</v>
      </c>
    </row>
    <row r="1530" spans="2:5" ht="15" customHeight="1">
      <c r="B1530" s="92"/>
      <c r="C1530" s="68" t="s">
        <v>215</v>
      </c>
      <c r="D1530" s="69">
        <v>7</v>
      </c>
      <c r="E1530" s="70">
        <v>2.35952405029E-4</v>
      </c>
    </row>
    <row r="1531" spans="2:5" ht="15" customHeight="1">
      <c r="B1531" s="92"/>
      <c r="C1531" s="68" t="s">
        <v>244</v>
      </c>
      <c r="D1531" s="69">
        <v>1</v>
      </c>
      <c r="E1531" s="70">
        <v>3.3707486433000001E-5</v>
      </c>
    </row>
    <row r="1532" spans="2:5" ht="15" customHeight="1">
      <c r="B1532" s="92"/>
      <c r="C1532" s="68" t="s">
        <v>218</v>
      </c>
      <c r="D1532" s="69">
        <v>1</v>
      </c>
      <c r="E1532" s="70">
        <v>3.3707486433000001E-5</v>
      </c>
    </row>
    <row r="1533" spans="2:5" ht="15" customHeight="1">
      <c r="B1533" s="92"/>
      <c r="C1533" s="68" t="s">
        <v>251</v>
      </c>
      <c r="D1533" s="69">
        <v>1</v>
      </c>
      <c r="E1533" s="70">
        <v>3.3707486433000001E-5</v>
      </c>
    </row>
    <row r="1534" spans="2:5" ht="15" customHeight="1">
      <c r="B1534" s="92"/>
      <c r="C1534" s="68" t="s">
        <v>226</v>
      </c>
      <c r="D1534" s="69">
        <v>5</v>
      </c>
      <c r="E1534" s="70">
        <v>1.68537432164E-4</v>
      </c>
    </row>
    <row r="1535" spans="2:5" ht="15" customHeight="1">
      <c r="B1535" s="93"/>
      <c r="C1535" s="36" t="s">
        <v>29</v>
      </c>
      <c r="D1535" s="35">
        <v>30</v>
      </c>
      <c r="E1535" s="34">
        <v>1.0112245929819999E-3</v>
      </c>
    </row>
    <row r="1536" spans="2:5" ht="15" customHeight="1">
      <c r="B1536" s="91" t="s">
        <v>94</v>
      </c>
      <c r="C1536" s="68" t="s">
        <v>200</v>
      </c>
      <c r="D1536" s="69">
        <v>1</v>
      </c>
      <c r="E1536" s="70">
        <v>3.3707486433000001E-5</v>
      </c>
    </row>
    <row r="1537" spans="2:5" ht="15" customHeight="1">
      <c r="B1537" s="92"/>
      <c r="C1537" s="68" t="s">
        <v>206</v>
      </c>
      <c r="D1537" s="69">
        <v>1</v>
      </c>
      <c r="E1537" s="70">
        <v>3.3707486433000001E-5</v>
      </c>
    </row>
    <row r="1538" spans="2:5" ht="15" customHeight="1">
      <c r="B1538" s="92"/>
      <c r="C1538" s="68" t="s">
        <v>232</v>
      </c>
      <c r="D1538" s="69">
        <v>1</v>
      </c>
      <c r="E1538" s="70">
        <v>3.3707486433000001E-5</v>
      </c>
    </row>
    <row r="1539" spans="2:5" ht="15" customHeight="1">
      <c r="B1539" s="92"/>
      <c r="C1539" s="68" t="s">
        <v>214</v>
      </c>
      <c r="D1539" s="69">
        <v>2</v>
      </c>
      <c r="E1539" s="70">
        <v>6.7414972865000001E-5</v>
      </c>
    </row>
    <row r="1540" spans="2:5" ht="15" customHeight="1">
      <c r="B1540" s="92"/>
      <c r="C1540" s="68" t="s">
        <v>215</v>
      </c>
      <c r="D1540" s="69">
        <v>1</v>
      </c>
      <c r="E1540" s="70">
        <v>3.3707486433000001E-5</v>
      </c>
    </row>
    <row r="1541" spans="2:5" ht="15" customHeight="1">
      <c r="B1541" s="92"/>
      <c r="C1541" s="68" t="s">
        <v>219</v>
      </c>
      <c r="D1541" s="69">
        <v>3</v>
      </c>
      <c r="E1541" s="70">
        <v>1.0112245929799999E-4</v>
      </c>
    </row>
    <row r="1542" spans="2:5" ht="15" customHeight="1">
      <c r="B1542" s="92"/>
      <c r="C1542" s="68" t="s">
        <v>238</v>
      </c>
      <c r="D1542" s="69">
        <v>1</v>
      </c>
      <c r="E1542" s="70">
        <v>3.3707486433000001E-5</v>
      </c>
    </row>
    <row r="1543" spans="2:5" ht="15" customHeight="1">
      <c r="B1543" s="92"/>
      <c r="C1543" s="68" t="s">
        <v>226</v>
      </c>
      <c r="D1543" s="69">
        <v>5</v>
      </c>
      <c r="E1543" s="70">
        <v>1.68537432164E-4</v>
      </c>
    </row>
    <row r="1544" spans="2:5" ht="15" customHeight="1">
      <c r="B1544" s="93"/>
      <c r="C1544" s="36" t="s">
        <v>29</v>
      </c>
      <c r="D1544" s="35">
        <v>15</v>
      </c>
      <c r="E1544" s="34">
        <v>5.0561229649099995E-4</v>
      </c>
    </row>
    <row r="1545" spans="2:5" ht="15" customHeight="1">
      <c r="B1545" s="91" t="s">
        <v>70</v>
      </c>
      <c r="C1545" s="68" t="s">
        <v>196</v>
      </c>
      <c r="D1545" s="69">
        <v>1</v>
      </c>
      <c r="E1545" s="70">
        <v>3.3707486433000001E-5</v>
      </c>
    </row>
    <row r="1546" spans="2:5" ht="15" customHeight="1">
      <c r="B1546" s="92"/>
      <c r="C1546" s="68" t="s">
        <v>198</v>
      </c>
      <c r="D1546" s="69">
        <v>2</v>
      </c>
      <c r="E1546" s="70">
        <v>6.7414972865000001E-5</v>
      </c>
    </row>
    <row r="1547" spans="2:5" ht="15" customHeight="1">
      <c r="B1547" s="92"/>
      <c r="C1547" s="68" t="s">
        <v>199</v>
      </c>
      <c r="D1547" s="69">
        <v>3</v>
      </c>
      <c r="E1547" s="70">
        <v>1.0112245929799999E-4</v>
      </c>
    </row>
    <row r="1548" spans="2:5" ht="15" customHeight="1">
      <c r="B1548" s="92"/>
      <c r="C1548" s="68" t="s">
        <v>200</v>
      </c>
      <c r="D1548" s="69">
        <v>4</v>
      </c>
      <c r="E1548" s="70">
        <v>1.3482994573099999E-4</v>
      </c>
    </row>
    <row r="1549" spans="2:5" ht="15" customHeight="1">
      <c r="B1549" s="92"/>
      <c r="C1549" s="68" t="s">
        <v>201</v>
      </c>
      <c r="D1549" s="69">
        <v>10</v>
      </c>
      <c r="E1549" s="70">
        <v>3.3707486432699998E-4</v>
      </c>
    </row>
    <row r="1550" spans="2:5" ht="15" customHeight="1">
      <c r="B1550" s="92"/>
      <c r="C1550" s="68" t="s">
        <v>202</v>
      </c>
      <c r="D1550" s="69">
        <v>4</v>
      </c>
      <c r="E1550" s="70">
        <v>1.3482994573099999E-4</v>
      </c>
    </row>
    <row r="1551" spans="2:5" ht="15" customHeight="1">
      <c r="B1551" s="92"/>
      <c r="C1551" s="68" t="s">
        <v>203</v>
      </c>
      <c r="D1551" s="69">
        <v>9</v>
      </c>
      <c r="E1551" s="70">
        <v>3.0336737789499998E-4</v>
      </c>
    </row>
    <row r="1552" spans="2:5" ht="15" customHeight="1">
      <c r="B1552" s="92"/>
      <c r="C1552" s="68" t="s">
        <v>204</v>
      </c>
      <c r="D1552" s="69">
        <v>8</v>
      </c>
      <c r="E1552" s="70">
        <v>2.6965989146199998E-4</v>
      </c>
    </row>
    <row r="1553" spans="2:5" ht="15" customHeight="1">
      <c r="B1553" s="92"/>
      <c r="C1553" s="68" t="s">
        <v>243</v>
      </c>
      <c r="D1553" s="69">
        <v>1</v>
      </c>
      <c r="E1553" s="70">
        <v>3.3707486433000001E-5</v>
      </c>
    </row>
    <row r="1554" spans="2:5" ht="15" customHeight="1">
      <c r="B1554" s="92"/>
      <c r="C1554" s="68" t="s">
        <v>206</v>
      </c>
      <c r="D1554" s="69">
        <v>2</v>
      </c>
      <c r="E1554" s="70">
        <v>6.7414972865000001E-5</v>
      </c>
    </row>
    <row r="1555" spans="2:5" ht="15" customHeight="1">
      <c r="B1555" s="92"/>
      <c r="C1555" s="68" t="s">
        <v>207</v>
      </c>
      <c r="D1555" s="69">
        <v>3</v>
      </c>
      <c r="E1555" s="70">
        <v>1.0112245929799999E-4</v>
      </c>
    </row>
    <row r="1556" spans="2:5" ht="15" customHeight="1">
      <c r="B1556" s="92"/>
      <c r="C1556" s="68" t="s">
        <v>208</v>
      </c>
      <c r="D1556" s="69">
        <v>1</v>
      </c>
      <c r="E1556" s="70">
        <v>3.3707486433000001E-5</v>
      </c>
    </row>
    <row r="1557" spans="2:5" ht="15" customHeight="1">
      <c r="B1557" s="92"/>
      <c r="C1557" s="68" t="s">
        <v>209</v>
      </c>
      <c r="D1557" s="69">
        <v>18</v>
      </c>
      <c r="E1557" s="70">
        <v>6.0673475578900001E-4</v>
      </c>
    </row>
    <row r="1558" spans="2:5" ht="15" customHeight="1">
      <c r="B1558" s="92"/>
      <c r="C1558" s="68" t="s">
        <v>211</v>
      </c>
      <c r="D1558" s="69">
        <v>1</v>
      </c>
      <c r="E1558" s="70">
        <v>3.3707486433000001E-5</v>
      </c>
    </row>
    <row r="1559" spans="2:5" ht="15" customHeight="1">
      <c r="B1559" s="92"/>
      <c r="C1559" s="68" t="s">
        <v>212</v>
      </c>
      <c r="D1559" s="69">
        <v>6</v>
      </c>
      <c r="E1559" s="70">
        <v>2.0224491859599999E-4</v>
      </c>
    </row>
    <row r="1560" spans="2:5" ht="15" customHeight="1">
      <c r="B1560" s="92"/>
      <c r="C1560" s="68" t="s">
        <v>213</v>
      </c>
      <c r="D1560" s="69">
        <v>23</v>
      </c>
      <c r="E1560" s="70">
        <v>7.7527218795299998E-4</v>
      </c>
    </row>
    <row r="1561" spans="2:5" ht="15" customHeight="1">
      <c r="B1561" s="92"/>
      <c r="C1561" s="68" t="s">
        <v>214</v>
      </c>
      <c r="D1561" s="69">
        <v>2</v>
      </c>
      <c r="E1561" s="70">
        <v>6.7414972865000001E-5</v>
      </c>
    </row>
    <row r="1562" spans="2:5" ht="15" customHeight="1">
      <c r="B1562" s="92"/>
      <c r="C1562" s="68" t="s">
        <v>234</v>
      </c>
      <c r="D1562" s="69">
        <v>1</v>
      </c>
      <c r="E1562" s="70">
        <v>3.3707486433000001E-5</v>
      </c>
    </row>
    <row r="1563" spans="2:5" ht="15" customHeight="1">
      <c r="B1563" s="92"/>
      <c r="C1563" s="68" t="s">
        <v>215</v>
      </c>
      <c r="D1563" s="69">
        <v>16</v>
      </c>
      <c r="E1563" s="70">
        <v>5.3931978292399995E-4</v>
      </c>
    </row>
    <row r="1564" spans="2:5" ht="15" customHeight="1">
      <c r="B1564" s="92"/>
      <c r="C1564" s="68" t="s">
        <v>235</v>
      </c>
      <c r="D1564" s="69">
        <v>1</v>
      </c>
      <c r="E1564" s="70">
        <v>3.3707486433000001E-5</v>
      </c>
    </row>
    <row r="1565" spans="2:5" ht="15" customHeight="1">
      <c r="B1565" s="92"/>
      <c r="C1565" s="68" t="s">
        <v>217</v>
      </c>
      <c r="D1565" s="69">
        <v>3</v>
      </c>
      <c r="E1565" s="70">
        <v>1.0112245929799999E-4</v>
      </c>
    </row>
    <row r="1566" spans="2:5" ht="15" customHeight="1">
      <c r="B1566" s="92"/>
      <c r="C1566" s="68" t="s">
        <v>218</v>
      </c>
      <c r="D1566" s="69">
        <v>2</v>
      </c>
      <c r="E1566" s="70">
        <v>6.7414972865000001E-5</v>
      </c>
    </row>
    <row r="1567" spans="2:5" ht="15" customHeight="1">
      <c r="B1567" s="92"/>
      <c r="C1567" s="68" t="s">
        <v>219</v>
      </c>
      <c r="D1567" s="69">
        <v>1</v>
      </c>
      <c r="E1567" s="70">
        <v>3.3707486433000001E-5</v>
      </c>
    </row>
    <row r="1568" spans="2:5" ht="15" customHeight="1">
      <c r="B1568" s="92"/>
      <c r="C1568" s="68" t="s">
        <v>220</v>
      </c>
      <c r="D1568" s="69">
        <v>6</v>
      </c>
      <c r="E1568" s="70">
        <v>2.0224491859599999E-4</v>
      </c>
    </row>
    <row r="1569" spans="2:5" ht="15" customHeight="1">
      <c r="B1569" s="92"/>
      <c r="C1569" s="68" t="s">
        <v>221</v>
      </c>
      <c r="D1569" s="69">
        <v>8</v>
      </c>
      <c r="E1569" s="70">
        <v>2.6965989146199998E-4</v>
      </c>
    </row>
    <row r="1570" spans="2:5" ht="15" customHeight="1">
      <c r="B1570" s="92"/>
      <c r="C1570" s="68" t="s">
        <v>225</v>
      </c>
      <c r="D1570" s="69">
        <v>7</v>
      </c>
      <c r="E1570" s="70">
        <v>2.35952405029E-4</v>
      </c>
    </row>
    <row r="1571" spans="2:5" ht="15" customHeight="1">
      <c r="B1571" s="92"/>
      <c r="C1571" s="68" t="s">
        <v>241</v>
      </c>
      <c r="D1571" s="69">
        <v>4</v>
      </c>
      <c r="E1571" s="70">
        <v>1.3482994573099999E-4</v>
      </c>
    </row>
    <row r="1572" spans="2:5" ht="15" customHeight="1">
      <c r="B1572" s="92"/>
      <c r="C1572" s="68" t="s">
        <v>246</v>
      </c>
      <c r="D1572" s="69">
        <v>4</v>
      </c>
      <c r="E1572" s="70">
        <v>1.3482994573099999E-4</v>
      </c>
    </row>
    <row r="1573" spans="2:5" ht="15" customHeight="1">
      <c r="B1573" s="92"/>
      <c r="C1573" s="68" t="s">
        <v>226</v>
      </c>
      <c r="D1573" s="69">
        <v>3</v>
      </c>
      <c r="E1573" s="70">
        <v>1.0112245929799999E-4</v>
      </c>
    </row>
    <row r="1574" spans="2:5" ht="15" customHeight="1">
      <c r="B1574" s="92"/>
      <c r="C1574" s="68" t="s">
        <v>228</v>
      </c>
      <c r="D1574" s="69">
        <v>2</v>
      </c>
      <c r="E1574" s="70">
        <v>6.7414972865000001E-5</v>
      </c>
    </row>
    <row r="1575" spans="2:5" ht="15" customHeight="1">
      <c r="B1575" s="92"/>
      <c r="C1575" s="68" t="s">
        <v>247</v>
      </c>
      <c r="D1575" s="69">
        <v>1</v>
      </c>
      <c r="E1575" s="70">
        <v>3.3707486433000001E-5</v>
      </c>
    </row>
    <row r="1576" spans="2:5" ht="15" customHeight="1">
      <c r="B1576" s="92"/>
      <c r="C1576" s="68" t="s">
        <v>229</v>
      </c>
      <c r="D1576" s="69">
        <v>1</v>
      </c>
      <c r="E1576" s="70">
        <v>3.3707486433000001E-5</v>
      </c>
    </row>
    <row r="1577" spans="2:5" ht="15" customHeight="1">
      <c r="B1577" s="93"/>
      <c r="C1577" s="36" t="s">
        <v>29</v>
      </c>
      <c r="D1577" s="35">
        <v>158</v>
      </c>
      <c r="E1577" s="34">
        <v>5.3257828563719996E-3</v>
      </c>
    </row>
    <row r="1578" spans="2:5" ht="15" customHeight="1">
      <c r="B1578" s="91" t="s">
        <v>98</v>
      </c>
      <c r="C1578" s="68" t="s">
        <v>209</v>
      </c>
      <c r="D1578" s="69">
        <v>1</v>
      </c>
      <c r="E1578" s="70">
        <v>3.3707486433000001E-5</v>
      </c>
    </row>
    <row r="1579" spans="2:5" ht="15" customHeight="1">
      <c r="B1579" s="92"/>
      <c r="C1579" s="68" t="s">
        <v>215</v>
      </c>
      <c r="D1579" s="69">
        <v>1</v>
      </c>
      <c r="E1579" s="70">
        <v>3.3707486433000001E-5</v>
      </c>
    </row>
    <row r="1580" spans="2:5" ht="15" customHeight="1">
      <c r="B1580" s="92"/>
      <c r="C1580" s="68" t="s">
        <v>225</v>
      </c>
      <c r="D1580" s="69">
        <v>2</v>
      </c>
      <c r="E1580" s="70">
        <v>6.7414972865000001E-5</v>
      </c>
    </row>
    <row r="1581" spans="2:5" ht="15" customHeight="1">
      <c r="B1581" s="92"/>
      <c r="C1581" s="68" t="s">
        <v>241</v>
      </c>
      <c r="D1581" s="69">
        <v>1</v>
      </c>
      <c r="E1581" s="70">
        <v>3.3707486433000001E-5</v>
      </c>
    </row>
    <row r="1582" spans="2:5" ht="15" customHeight="1">
      <c r="B1582" s="93"/>
      <c r="C1582" s="36" t="s">
        <v>29</v>
      </c>
      <c r="D1582" s="35">
        <v>5</v>
      </c>
      <c r="E1582" s="34">
        <v>1.68537432164E-4</v>
      </c>
    </row>
    <row r="1583" spans="2:5" ht="15" customHeight="1">
      <c r="B1583" s="94" t="s">
        <v>29</v>
      </c>
      <c r="C1583" s="95"/>
      <c r="D1583" s="65">
        <v>29667</v>
      </c>
      <c r="E1583" s="66">
        <v>1</v>
      </c>
    </row>
    <row r="1585" spans="2:2" ht="15" customHeight="1">
      <c r="B1585" s="15" t="s">
        <v>47</v>
      </c>
    </row>
    <row r="1586" spans="2:2" ht="15" customHeight="1">
      <c r="B1586" s="17" t="s">
        <v>18</v>
      </c>
    </row>
    <row r="1587" spans="2:2" ht="15" customHeight="1">
      <c r="B1587" s="16" t="s">
        <v>48</v>
      </c>
    </row>
    <row r="1588" spans="2:2" ht="15" customHeight="1">
      <c r="B1588" s="15" t="s">
        <v>17</v>
      </c>
    </row>
    <row r="1589" spans="2:2" ht="15" customHeight="1">
      <c r="B1589" s="15" t="s">
        <v>49</v>
      </c>
    </row>
  </sheetData>
  <mergeCells count="53">
    <mergeCell ref="B1578:B1582"/>
    <mergeCell ref="B1583:C1583"/>
    <mergeCell ref="B1468:B1489"/>
    <mergeCell ref="B1490:B1522"/>
    <mergeCell ref="B1523:B1535"/>
    <mergeCell ref="B1536:B1544"/>
    <mergeCell ref="B1545:B1577"/>
    <mergeCell ref="B1214:B1269"/>
    <mergeCell ref="B1270:B1289"/>
    <mergeCell ref="B1398:B1424"/>
    <mergeCell ref="B1425:B1447"/>
    <mergeCell ref="B1448:B1467"/>
    <mergeCell ref="B1098:B1142"/>
    <mergeCell ref="B1143:B1157"/>
    <mergeCell ref="B1158:B1183"/>
    <mergeCell ref="B1184:B1191"/>
    <mergeCell ref="B1192:B1213"/>
    <mergeCell ref="B881:B922"/>
    <mergeCell ref="B923:B944"/>
    <mergeCell ref="B999:B1024"/>
    <mergeCell ref="B1025:B1074"/>
    <mergeCell ref="B1075:B1097"/>
    <mergeCell ref="B359:B369"/>
    <mergeCell ref="B370:B398"/>
    <mergeCell ref="B399:B444"/>
    <mergeCell ref="B523:B582"/>
    <mergeCell ref="B583:B625"/>
    <mergeCell ref="B175:B193"/>
    <mergeCell ref="B194:B242"/>
    <mergeCell ref="B243:B244"/>
    <mergeCell ref="B245:B299"/>
    <mergeCell ref="B300:B358"/>
    <mergeCell ref="B7:E8"/>
    <mergeCell ref="B10:B41"/>
    <mergeCell ref="B42:B97"/>
    <mergeCell ref="B98:B153"/>
    <mergeCell ref="B154:B174"/>
    <mergeCell ref="B1323:B1341"/>
    <mergeCell ref="B1342:B1397"/>
    <mergeCell ref="B445:B451"/>
    <mergeCell ref="B452:B465"/>
    <mergeCell ref="B466:B492"/>
    <mergeCell ref="B493:B522"/>
    <mergeCell ref="B1290:B1322"/>
    <mergeCell ref="B945:B951"/>
    <mergeCell ref="B952:B953"/>
    <mergeCell ref="B954:B998"/>
    <mergeCell ref="B626:B668"/>
    <mergeCell ref="B669:B708"/>
    <mergeCell ref="B709:B732"/>
    <mergeCell ref="B733:B782"/>
    <mergeCell ref="B783:B825"/>
    <mergeCell ref="B826:B88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1:E74"/>
  <sheetViews>
    <sheetView showGridLines="0" view="pageBreakPreview" zoomScale="115" zoomScaleNormal="100" zoomScaleSheetLayoutView="115" workbookViewId="0">
      <selection activeCell="A42" sqref="A12:XFD42"/>
    </sheetView>
  </sheetViews>
  <sheetFormatPr baseColWidth="10" defaultColWidth="11.42578125" defaultRowHeight="15"/>
  <cols>
    <col min="1" max="1" width="9.28515625" style="13" customWidth="1"/>
    <col min="2" max="2" width="34.42578125" style="13" customWidth="1"/>
    <col min="3" max="3" width="17.7109375" style="14" customWidth="1"/>
    <col min="4" max="4" width="17.7109375" style="13" customWidth="1"/>
    <col min="5" max="5" width="9.28515625" style="13" customWidth="1"/>
    <col min="6" max="6" width="3.140625" style="13" customWidth="1"/>
    <col min="7" max="16384" width="11.42578125" style="13"/>
  </cols>
  <sheetData>
    <row r="1" spans="2:5" s="25" customFormat="1" ht="15" customHeight="1">
      <c r="C1" s="31"/>
    </row>
    <row r="2" spans="2:5" s="25" customFormat="1" ht="15" customHeight="1">
      <c r="C2" s="31"/>
    </row>
    <row r="3" spans="2:5" s="25" customFormat="1" ht="15" customHeight="1">
      <c r="C3" s="31"/>
    </row>
    <row r="4" spans="2:5" s="25" customFormat="1" ht="30" customHeight="1">
      <c r="C4" s="31"/>
      <c r="D4" s="30"/>
    </row>
    <row r="5" spans="2:5" s="25" customFormat="1" ht="15" customHeight="1">
      <c r="C5" s="31"/>
      <c r="D5" s="30"/>
    </row>
    <row r="6" spans="2:5" s="25" customFormat="1" ht="15" customHeight="1">
      <c r="C6" s="31"/>
      <c r="D6" s="30"/>
    </row>
    <row r="7" spans="2:5" s="25" customFormat="1" ht="15" customHeight="1">
      <c r="B7" s="87" t="s">
        <v>39</v>
      </c>
      <c r="C7" s="87"/>
      <c r="D7" s="87"/>
    </row>
    <row r="8" spans="2:5" s="25" customFormat="1" ht="15" customHeight="1">
      <c r="B8" s="87"/>
      <c r="C8" s="87"/>
      <c r="D8" s="87"/>
    </row>
    <row r="9" spans="2:5" s="25" customFormat="1" ht="33" customHeight="1">
      <c r="B9" s="87"/>
      <c r="C9" s="87"/>
      <c r="D9" s="87"/>
    </row>
    <row r="10" spans="2:5" s="25" customFormat="1" ht="4.5" customHeight="1">
      <c r="B10" s="29"/>
      <c r="C10" s="29"/>
      <c r="D10" s="29"/>
    </row>
    <row r="11" spans="2:5" s="25" customFormat="1" ht="33" customHeight="1">
      <c r="B11" s="28" t="s">
        <v>27</v>
      </c>
      <c r="C11" s="27" t="s">
        <v>26</v>
      </c>
      <c r="D11" s="26" t="s">
        <v>19</v>
      </c>
    </row>
    <row r="12" spans="2:5" ht="14.45" customHeight="1">
      <c r="B12" s="23" t="s">
        <v>255</v>
      </c>
      <c r="C12" s="22">
        <v>350</v>
      </c>
      <c r="D12" s="21">
        <v>1.1797620251458E-2</v>
      </c>
    </row>
    <row r="13" spans="2:5" ht="14.45" customHeight="1">
      <c r="B13" s="23" t="s">
        <v>256</v>
      </c>
      <c r="C13" s="22">
        <v>136</v>
      </c>
      <c r="D13" s="21">
        <v>4.5842181548520003E-3</v>
      </c>
    </row>
    <row r="14" spans="2:5" ht="14.45" customHeight="1">
      <c r="B14" s="23" t="s">
        <v>257</v>
      </c>
      <c r="C14" s="22">
        <v>264</v>
      </c>
      <c r="D14" s="21">
        <v>8.8987764182420007E-3</v>
      </c>
      <c r="E14" s="24"/>
    </row>
    <row r="15" spans="2:5" ht="14.45" customHeight="1">
      <c r="B15" s="23" t="s">
        <v>258</v>
      </c>
      <c r="C15" s="22">
        <v>578</v>
      </c>
      <c r="D15" s="21">
        <v>1.9482927158121999E-2</v>
      </c>
      <c r="E15" s="24"/>
    </row>
    <row r="16" spans="2:5" ht="14.45" customHeight="1">
      <c r="B16" s="23" t="s">
        <v>259</v>
      </c>
      <c r="C16" s="22">
        <v>400</v>
      </c>
      <c r="D16" s="21">
        <v>1.3482994573095E-2</v>
      </c>
    </row>
    <row r="17" spans="2:4" ht="14.45" customHeight="1">
      <c r="B17" s="23" t="s">
        <v>260</v>
      </c>
      <c r="C17" s="22">
        <v>519</v>
      </c>
      <c r="D17" s="21">
        <v>1.7494185458590002E-2</v>
      </c>
    </row>
    <row r="18" spans="2:4" ht="14.45" customHeight="1">
      <c r="B18" s="23" t="s">
        <v>261</v>
      </c>
      <c r="C18" s="22">
        <v>2352</v>
      </c>
      <c r="D18" s="21">
        <v>7.9280008089797002E-2</v>
      </c>
    </row>
    <row r="19" spans="2:4" ht="14.45" customHeight="1">
      <c r="B19" s="23" t="s">
        <v>262</v>
      </c>
      <c r="C19" s="22">
        <v>4059</v>
      </c>
      <c r="D19" s="21">
        <v>0.13681868743047801</v>
      </c>
    </row>
    <row r="20" spans="2:4" ht="14.45" customHeight="1">
      <c r="B20" s="23" t="s">
        <v>263</v>
      </c>
      <c r="C20" s="22">
        <v>283</v>
      </c>
      <c r="D20" s="21">
        <v>9.5392186604639998E-3</v>
      </c>
    </row>
    <row r="21" spans="2:4" ht="14.45" customHeight="1">
      <c r="B21" s="23" t="s">
        <v>264</v>
      </c>
      <c r="C21" s="22">
        <v>685</v>
      </c>
      <c r="D21" s="21">
        <v>2.3089628206425E-2</v>
      </c>
    </row>
    <row r="22" spans="2:4" ht="14.45" customHeight="1">
      <c r="B22" s="23" t="s">
        <v>265</v>
      </c>
      <c r="C22" s="22">
        <v>1364</v>
      </c>
      <c r="D22" s="21">
        <v>4.5977011494252998E-2</v>
      </c>
    </row>
    <row r="23" spans="2:4" ht="14.45" customHeight="1">
      <c r="B23" s="23" t="s">
        <v>266</v>
      </c>
      <c r="C23" s="22">
        <v>10603</v>
      </c>
      <c r="D23" s="21">
        <v>0.35740047864630697</v>
      </c>
    </row>
    <row r="24" spans="2:4" ht="14.45" customHeight="1">
      <c r="B24" s="23" t="s">
        <v>267</v>
      </c>
      <c r="C24" s="22">
        <v>366</v>
      </c>
      <c r="D24" s="21">
        <v>1.2336940034382E-2</v>
      </c>
    </row>
    <row r="25" spans="2:4" ht="14.45" customHeight="1">
      <c r="B25" s="23" t="s">
        <v>268</v>
      </c>
      <c r="C25" s="22">
        <v>1291</v>
      </c>
      <c r="D25" s="21">
        <v>4.3516364984662999E-2</v>
      </c>
    </row>
    <row r="26" spans="2:4" ht="14.45" customHeight="1">
      <c r="B26" s="23" t="s">
        <v>269</v>
      </c>
      <c r="C26" s="22">
        <v>5183</v>
      </c>
      <c r="D26" s="21">
        <v>0.17470590218087401</v>
      </c>
    </row>
    <row r="27" spans="2:4" ht="14.45" customHeight="1">
      <c r="B27" s="23" t="s">
        <v>270</v>
      </c>
      <c r="C27" s="22">
        <v>60</v>
      </c>
      <c r="D27" s="21">
        <v>2.0224491859639998E-3</v>
      </c>
    </row>
    <row r="28" spans="2:4" ht="14.45" customHeight="1">
      <c r="B28" s="23" t="s">
        <v>271</v>
      </c>
      <c r="C28" s="22">
        <v>72</v>
      </c>
      <c r="D28" s="21">
        <v>2.4269390231570001E-3</v>
      </c>
    </row>
    <row r="29" spans="2:4" ht="14.45" customHeight="1">
      <c r="B29" s="23" t="s">
        <v>272</v>
      </c>
      <c r="C29" s="22">
        <v>50</v>
      </c>
      <c r="D29" s="21">
        <v>1.6853743216369999E-3</v>
      </c>
    </row>
    <row r="30" spans="2:4" ht="14.45" customHeight="1">
      <c r="B30" s="23" t="s">
        <v>273</v>
      </c>
      <c r="C30" s="22">
        <v>28</v>
      </c>
      <c r="D30" s="21">
        <v>9.4380962011699995E-4</v>
      </c>
    </row>
    <row r="31" spans="2:4" ht="14.45" customHeight="1">
      <c r="B31" s="23" t="s">
        <v>274</v>
      </c>
      <c r="C31" s="22">
        <v>274</v>
      </c>
      <c r="D31" s="21">
        <v>9.2358512825700002E-3</v>
      </c>
    </row>
    <row r="32" spans="2:4" ht="14.45" customHeight="1">
      <c r="B32" s="23" t="s">
        <v>275</v>
      </c>
      <c r="C32" s="22">
        <v>699</v>
      </c>
      <c r="D32" s="21">
        <v>2.3561533016483002E-2</v>
      </c>
    </row>
    <row r="33" spans="2:4" ht="14.45" customHeight="1">
      <c r="B33" s="23" t="s">
        <v>276</v>
      </c>
      <c r="C33" s="22">
        <v>13</v>
      </c>
      <c r="D33" s="21">
        <v>4.38197323626E-4</v>
      </c>
    </row>
    <row r="34" spans="2:4" ht="14.45" customHeight="1">
      <c r="B34" s="23" t="s">
        <v>277</v>
      </c>
      <c r="C34" s="22">
        <v>32</v>
      </c>
      <c r="D34" s="21">
        <v>1.0786395658479999E-3</v>
      </c>
    </row>
    <row r="35" spans="2:4" ht="14.45" customHeight="1">
      <c r="B35" s="23" t="s">
        <v>278</v>
      </c>
      <c r="C35" s="22">
        <v>6</v>
      </c>
      <c r="D35" s="21">
        <v>2.0224491859599999E-4</v>
      </c>
    </row>
    <row r="36" spans="2:4" ht="14.45" customHeight="1">
      <c r="B36" s="20" t="s">
        <v>29</v>
      </c>
      <c r="C36" s="19">
        <v>29667</v>
      </c>
      <c r="D36" s="18">
        <v>1</v>
      </c>
    </row>
    <row r="37" spans="2:4" ht="14.45" customHeight="1"/>
    <row r="38" spans="2:4" ht="14.45" customHeight="1">
      <c r="B38" s="15" t="s">
        <v>47</v>
      </c>
    </row>
    <row r="39" spans="2:4" ht="14.45" customHeight="1">
      <c r="B39" s="17" t="s">
        <v>18</v>
      </c>
    </row>
    <row r="40" spans="2:4" ht="14.45" customHeight="1">
      <c r="B40" s="16" t="s">
        <v>48</v>
      </c>
    </row>
    <row r="41" spans="2:4" ht="14.45" customHeight="1">
      <c r="B41" s="15" t="s">
        <v>17</v>
      </c>
    </row>
    <row r="42" spans="2:4" ht="14.45" customHeight="1">
      <c r="B42" s="15" t="s">
        <v>49</v>
      </c>
    </row>
    <row r="43" spans="2:4">
      <c r="B43" s="46"/>
    </row>
    <row r="49" spans="3:3">
      <c r="C49" s="13"/>
    </row>
    <row r="50" spans="3:3">
      <c r="C50" s="13"/>
    </row>
    <row r="51" spans="3:3">
      <c r="C51" s="13"/>
    </row>
    <row r="52" spans="3:3">
      <c r="C52" s="13"/>
    </row>
    <row r="53" spans="3:3">
      <c r="C53" s="13"/>
    </row>
    <row r="54" spans="3:3">
      <c r="C54" s="13"/>
    </row>
    <row r="55" spans="3:3">
      <c r="C55" s="13"/>
    </row>
    <row r="56" spans="3:3">
      <c r="C56" s="13"/>
    </row>
    <row r="57" spans="3:3">
      <c r="C57" s="13"/>
    </row>
    <row r="58" spans="3:3">
      <c r="C58" s="13"/>
    </row>
    <row r="59" spans="3:3">
      <c r="C59" s="13"/>
    </row>
    <row r="60" spans="3:3">
      <c r="C60" s="13"/>
    </row>
    <row r="61" spans="3:3">
      <c r="C61" s="13"/>
    </row>
    <row r="62" spans="3:3">
      <c r="C62" s="13"/>
    </row>
    <row r="63" spans="3:3">
      <c r="C63" s="13"/>
    </row>
    <row r="64" spans="3:3">
      <c r="C64" s="13"/>
    </row>
    <row r="65" spans="3:3">
      <c r="C65" s="13"/>
    </row>
    <row r="66" spans="3:3">
      <c r="C66" s="13"/>
    </row>
    <row r="67" spans="3:3">
      <c r="C67" s="13"/>
    </row>
    <row r="68" spans="3:3">
      <c r="C68" s="13"/>
    </row>
    <row r="69" spans="3:3">
      <c r="C69" s="13"/>
    </row>
    <row r="70" spans="3:3">
      <c r="C70" s="13"/>
    </row>
    <row r="71" spans="3:3">
      <c r="C71" s="13"/>
    </row>
    <row r="72" spans="3:3">
      <c r="C72" s="13"/>
    </row>
    <row r="73" spans="3:3">
      <c r="C73" s="13"/>
    </row>
    <row r="74" spans="3:3">
      <c r="C74" s="1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G663"/>
  <sheetViews>
    <sheetView showGridLines="0" view="pageBreakPreview" zoomScale="85" zoomScaleNormal="85" zoomScaleSheetLayoutView="85" workbookViewId="0">
      <selection activeCell="C660" sqref="C660"/>
    </sheetView>
  </sheetViews>
  <sheetFormatPr baseColWidth="10" defaultColWidth="35" defaultRowHeight="15" customHeight="1"/>
  <cols>
    <col min="1" max="1" width="1" style="32" customWidth="1"/>
    <col min="2" max="2" width="22.85546875" style="33" customWidth="1"/>
    <col min="3" max="3" width="31.42578125" style="33" customWidth="1"/>
    <col min="4" max="4" width="14.28515625" style="33" customWidth="1"/>
    <col min="5" max="5" width="16.85546875" style="33" customWidth="1"/>
    <col min="6" max="16384" width="35" style="32"/>
  </cols>
  <sheetData>
    <row r="1" spans="1:7" s="41" customFormat="1" ht="12" customHeight="1">
      <c r="B1" s="43"/>
      <c r="C1" s="37"/>
      <c r="D1" s="37"/>
      <c r="E1" s="37"/>
    </row>
    <row r="2" spans="1:7" s="41" customFormat="1" ht="15" customHeight="1">
      <c r="C2" s="45"/>
    </row>
    <row r="3" spans="1:7" s="41" customFormat="1" ht="15" customHeight="1">
      <c r="C3" s="45"/>
    </row>
    <row r="4" spans="1:7" s="41" customFormat="1" ht="30" customHeight="1">
      <c r="C4" s="45"/>
      <c r="D4" s="44"/>
    </row>
    <row r="5" spans="1:7" s="41" customFormat="1" ht="15" customHeight="1">
      <c r="C5" s="45"/>
      <c r="D5" s="44"/>
    </row>
    <row r="6" spans="1:7" s="41" customFormat="1" ht="24" customHeight="1">
      <c r="B6" s="43"/>
      <c r="C6" s="37"/>
      <c r="D6" s="37"/>
      <c r="E6" s="37"/>
    </row>
    <row r="7" spans="1:7" s="41" customFormat="1" ht="26.25" customHeight="1">
      <c r="A7" s="42"/>
      <c r="B7" s="89"/>
      <c r="C7" s="89"/>
      <c r="D7" s="89"/>
      <c r="E7" s="89"/>
      <c r="G7" s="71"/>
    </row>
    <row r="8" spans="1:7" s="41" customFormat="1" ht="33" customHeight="1">
      <c r="A8" s="42"/>
      <c r="B8" s="89"/>
      <c r="C8" s="89"/>
      <c r="D8" s="89"/>
      <c r="E8" s="89"/>
    </row>
    <row r="9" spans="1:7" s="25" customFormat="1" ht="40.5" customHeight="1">
      <c r="B9" s="74" t="s">
        <v>28</v>
      </c>
      <c r="C9" s="75" t="s">
        <v>25</v>
      </c>
      <c r="D9" s="76" t="s">
        <v>20</v>
      </c>
      <c r="E9" s="74" t="s">
        <v>19</v>
      </c>
    </row>
    <row r="10" spans="1:7" ht="14.45" customHeight="1">
      <c r="B10" s="88" t="s">
        <v>255</v>
      </c>
      <c r="C10" s="68" t="s">
        <v>101</v>
      </c>
      <c r="D10" s="69">
        <v>3</v>
      </c>
      <c r="E10" s="70">
        <v>1.0112245929799999E-4</v>
      </c>
    </row>
    <row r="11" spans="1:7" ht="14.45" customHeight="1">
      <c r="B11" s="88"/>
      <c r="C11" s="68" t="s">
        <v>102</v>
      </c>
      <c r="D11" s="69">
        <v>3</v>
      </c>
      <c r="E11" s="70">
        <v>1.0112245929799999E-4</v>
      </c>
    </row>
    <row r="12" spans="1:7" ht="14.45" customHeight="1">
      <c r="B12" s="88"/>
      <c r="C12" s="68" t="s">
        <v>103</v>
      </c>
      <c r="D12" s="69">
        <v>6</v>
      </c>
      <c r="E12" s="70">
        <v>2.0224491859599999E-4</v>
      </c>
    </row>
    <row r="13" spans="1:7" ht="14.45" customHeight="1">
      <c r="B13" s="88"/>
      <c r="C13" s="68" t="s">
        <v>104</v>
      </c>
      <c r="D13" s="69">
        <v>21</v>
      </c>
      <c r="E13" s="70">
        <v>7.0785721508699996E-4</v>
      </c>
    </row>
    <row r="14" spans="1:7" ht="14.45" customHeight="1">
      <c r="B14" s="88"/>
      <c r="C14" s="68" t="s">
        <v>105</v>
      </c>
      <c r="D14" s="69">
        <v>6</v>
      </c>
      <c r="E14" s="70">
        <v>2.0224491859599999E-4</v>
      </c>
    </row>
    <row r="15" spans="1:7" ht="14.45" customHeight="1">
      <c r="B15" s="88"/>
      <c r="C15" s="68" t="s">
        <v>108</v>
      </c>
      <c r="D15" s="69">
        <v>12</v>
      </c>
      <c r="E15" s="70">
        <v>4.0448983719299999E-4</v>
      </c>
    </row>
    <row r="16" spans="1:7" ht="14.45" customHeight="1">
      <c r="B16" s="88"/>
      <c r="C16" s="68" t="s">
        <v>109</v>
      </c>
      <c r="D16" s="69">
        <v>10</v>
      </c>
      <c r="E16" s="70">
        <v>3.3707486432699998E-4</v>
      </c>
    </row>
    <row r="17" spans="2:5" ht="14.45" customHeight="1">
      <c r="B17" s="88"/>
      <c r="C17" s="68" t="s">
        <v>112</v>
      </c>
      <c r="D17" s="69">
        <v>5</v>
      </c>
      <c r="E17" s="70">
        <v>1.68537432164E-4</v>
      </c>
    </row>
    <row r="18" spans="2:5" ht="14.45" customHeight="1">
      <c r="B18" s="88"/>
      <c r="C18" s="68" t="s">
        <v>115</v>
      </c>
      <c r="D18" s="69">
        <v>1</v>
      </c>
      <c r="E18" s="70">
        <v>3.3707486433000001E-5</v>
      </c>
    </row>
    <row r="19" spans="2:5" ht="14.45" customHeight="1">
      <c r="B19" s="88"/>
      <c r="C19" s="68" t="s">
        <v>116</v>
      </c>
      <c r="D19" s="69">
        <v>1</v>
      </c>
      <c r="E19" s="70">
        <v>3.3707486433000001E-5</v>
      </c>
    </row>
    <row r="20" spans="2:5" ht="14.45" customHeight="1">
      <c r="B20" s="88"/>
      <c r="C20" s="68" t="s">
        <v>120</v>
      </c>
      <c r="D20" s="69">
        <v>4</v>
      </c>
      <c r="E20" s="70">
        <v>1.3482994573099999E-4</v>
      </c>
    </row>
    <row r="21" spans="2:5" ht="14.45" customHeight="1">
      <c r="B21" s="88"/>
      <c r="C21" s="68" t="s">
        <v>128</v>
      </c>
      <c r="D21" s="69">
        <v>2</v>
      </c>
      <c r="E21" s="70">
        <v>6.7414972865000001E-5</v>
      </c>
    </row>
    <row r="22" spans="2:5" ht="14.45" customHeight="1">
      <c r="B22" s="88"/>
      <c r="C22" s="68" t="s">
        <v>129</v>
      </c>
      <c r="D22" s="69">
        <v>1</v>
      </c>
      <c r="E22" s="70">
        <v>3.3707486433000001E-5</v>
      </c>
    </row>
    <row r="23" spans="2:5" ht="14.45" customHeight="1">
      <c r="B23" s="88"/>
      <c r="C23" s="68" t="s">
        <v>130</v>
      </c>
      <c r="D23" s="69">
        <v>1</v>
      </c>
      <c r="E23" s="70">
        <v>3.3707486433000001E-5</v>
      </c>
    </row>
    <row r="24" spans="2:5" ht="14.45" customHeight="1">
      <c r="B24" s="88"/>
      <c r="C24" s="68" t="s">
        <v>131</v>
      </c>
      <c r="D24" s="69">
        <v>20</v>
      </c>
      <c r="E24" s="70">
        <v>6.7414972865500002E-4</v>
      </c>
    </row>
    <row r="25" spans="2:5" ht="14.45" customHeight="1">
      <c r="B25" s="88"/>
      <c r="C25" s="68" t="s">
        <v>133</v>
      </c>
      <c r="D25" s="69">
        <v>6</v>
      </c>
      <c r="E25" s="70">
        <v>2.0224491859599999E-4</v>
      </c>
    </row>
    <row r="26" spans="2:5" ht="14.45" customHeight="1">
      <c r="B26" s="88"/>
      <c r="C26" s="68" t="s">
        <v>134</v>
      </c>
      <c r="D26" s="69">
        <v>8</v>
      </c>
      <c r="E26" s="70">
        <v>2.6965989146199998E-4</v>
      </c>
    </row>
    <row r="27" spans="2:5" ht="14.45" customHeight="1">
      <c r="B27" s="88"/>
      <c r="C27" s="68" t="s">
        <v>138</v>
      </c>
      <c r="D27" s="69">
        <v>5</v>
      </c>
      <c r="E27" s="70">
        <v>1.68537432164E-4</v>
      </c>
    </row>
    <row r="28" spans="2:5" ht="14.45" customHeight="1">
      <c r="B28" s="88"/>
      <c r="C28" s="68" t="s">
        <v>140</v>
      </c>
      <c r="D28" s="69">
        <v>5</v>
      </c>
      <c r="E28" s="70">
        <v>1.68537432164E-4</v>
      </c>
    </row>
    <row r="29" spans="2:5" ht="14.45" customHeight="1">
      <c r="B29" s="88"/>
      <c r="C29" s="68" t="s">
        <v>141</v>
      </c>
      <c r="D29" s="69">
        <v>229</v>
      </c>
      <c r="E29" s="70">
        <v>7.719014393097E-3</v>
      </c>
    </row>
    <row r="30" spans="2:5" ht="14.45" customHeight="1">
      <c r="B30" s="88"/>
      <c r="C30" s="68" t="s">
        <v>144</v>
      </c>
      <c r="D30" s="69">
        <v>1</v>
      </c>
      <c r="E30" s="70">
        <v>3.3707486433000001E-5</v>
      </c>
    </row>
    <row r="31" spans="2:5" ht="14.45" customHeight="1">
      <c r="B31" s="88"/>
      <c r="C31" s="36" t="s">
        <v>29</v>
      </c>
      <c r="D31" s="35">
        <v>350</v>
      </c>
      <c r="E31" s="34">
        <v>1.1797620251458E-2</v>
      </c>
    </row>
    <row r="32" spans="2:5" ht="14.45" customHeight="1">
      <c r="B32" s="88" t="s">
        <v>256</v>
      </c>
      <c r="C32" s="68" t="s">
        <v>102</v>
      </c>
      <c r="D32" s="69">
        <v>2</v>
      </c>
      <c r="E32" s="70">
        <v>6.7414972865000001E-5</v>
      </c>
    </row>
    <row r="33" spans="2:5" ht="14.45" customHeight="1">
      <c r="B33" s="88"/>
      <c r="C33" s="68" t="s">
        <v>103</v>
      </c>
      <c r="D33" s="69">
        <v>4</v>
      </c>
      <c r="E33" s="70">
        <v>1.3482994573099999E-4</v>
      </c>
    </row>
    <row r="34" spans="2:5" ht="14.45" customHeight="1">
      <c r="B34" s="88"/>
      <c r="C34" s="68" t="s">
        <v>104</v>
      </c>
      <c r="D34" s="69">
        <v>7</v>
      </c>
      <c r="E34" s="70">
        <v>2.35952405029E-4</v>
      </c>
    </row>
    <row r="35" spans="2:5" ht="14.45" customHeight="1">
      <c r="B35" s="88"/>
      <c r="C35" s="68" t="s">
        <v>108</v>
      </c>
      <c r="D35" s="69">
        <v>2</v>
      </c>
      <c r="E35" s="70">
        <v>6.7414972865000001E-5</v>
      </c>
    </row>
    <row r="36" spans="2:5" ht="14.45" customHeight="1">
      <c r="B36" s="88"/>
      <c r="C36" s="68" t="s">
        <v>109</v>
      </c>
      <c r="D36" s="69">
        <v>3</v>
      </c>
      <c r="E36" s="70">
        <v>1.0112245929799999E-4</v>
      </c>
    </row>
    <row r="37" spans="2:5" ht="14.45" customHeight="1">
      <c r="B37" s="88"/>
      <c r="C37" s="68" t="s">
        <v>112</v>
      </c>
      <c r="D37" s="69">
        <v>4</v>
      </c>
      <c r="E37" s="70">
        <v>1.3482994573099999E-4</v>
      </c>
    </row>
    <row r="38" spans="2:5" ht="14.45" customHeight="1">
      <c r="B38" s="88"/>
      <c r="C38" s="68" t="s">
        <v>113</v>
      </c>
      <c r="D38" s="69">
        <v>3</v>
      </c>
      <c r="E38" s="70">
        <v>1.0112245929799999E-4</v>
      </c>
    </row>
    <row r="39" spans="2:5" ht="14.45" customHeight="1">
      <c r="B39" s="88"/>
      <c r="C39" s="68" t="s">
        <v>114</v>
      </c>
      <c r="D39" s="69">
        <v>1</v>
      </c>
      <c r="E39" s="70">
        <v>3.3707486433000001E-5</v>
      </c>
    </row>
    <row r="40" spans="2:5" ht="14.45" customHeight="1">
      <c r="B40" s="88"/>
      <c r="C40" s="68" t="s">
        <v>120</v>
      </c>
      <c r="D40" s="69">
        <v>1</v>
      </c>
      <c r="E40" s="70">
        <v>3.3707486433000001E-5</v>
      </c>
    </row>
    <row r="41" spans="2:5" ht="14.45" customHeight="1">
      <c r="B41" s="88"/>
      <c r="C41" s="68" t="s">
        <v>122</v>
      </c>
      <c r="D41" s="69">
        <v>1</v>
      </c>
      <c r="E41" s="70">
        <v>3.3707486433000001E-5</v>
      </c>
    </row>
    <row r="42" spans="2:5" ht="14.45" customHeight="1">
      <c r="B42" s="88"/>
      <c r="C42" s="68" t="s">
        <v>126</v>
      </c>
      <c r="D42" s="69">
        <v>1</v>
      </c>
      <c r="E42" s="70">
        <v>3.3707486433000001E-5</v>
      </c>
    </row>
    <row r="43" spans="2:5" ht="14.45" customHeight="1">
      <c r="B43" s="88"/>
      <c r="C43" s="68" t="s">
        <v>131</v>
      </c>
      <c r="D43" s="69">
        <v>3</v>
      </c>
      <c r="E43" s="70">
        <v>1.0112245929799999E-4</v>
      </c>
    </row>
    <row r="44" spans="2:5" ht="14.45" customHeight="1">
      <c r="B44" s="88"/>
      <c r="C44" s="68" t="s">
        <v>133</v>
      </c>
      <c r="D44" s="69">
        <v>1</v>
      </c>
      <c r="E44" s="70">
        <v>3.3707486433000001E-5</v>
      </c>
    </row>
    <row r="45" spans="2:5" ht="14.45" customHeight="1">
      <c r="B45" s="88"/>
      <c r="C45" s="68" t="s">
        <v>134</v>
      </c>
      <c r="D45" s="69">
        <v>7</v>
      </c>
      <c r="E45" s="70">
        <v>2.35952405029E-4</v>
      </c>
    </row>
    <row r="46" spans="2:5" ht="14.45" customHeight="1">
      <c r="B46" s="88"/>
      <c r="C46" s="68" t="s">
        <v>140</v>
      </c>
      <c r="D46" s="69">
        <v>2</v>
      </c>
      <c r="E46" s="70">
        <v>6.7414972865000001E-5</v>
      </c>
    </row>
    <row r="47" spans="2:5" ht="14.45" customHeight="1">
      <c r="B47" s="88"/>
      <c r="C47" s="68" t="s">
        <v>141</v>
      </c>
      <c r="D47" s="69">
        <v>94</v>
      </c>
      <c r="E47" s="70">
        <v>3.1685037246769999E-3</v>
      </c>
    </row>
    <row r="48" spans="2:5" ht="14.45" customHeight="1">
      <c r="B48" s="88"/>
      <c r="C48" s="36" t="s">
        <v>29</v>
      </c>
      <c r="D48" s="35">
        <v>136</v>
      </c>
      <c r="E48" s="34">
        <v>4.5842181548520003E-3</v>
      </c>
    </row>
    <row r="49" spans="2:5" ht="14.45" customHeight="1">
      <c r="B49" s="88" t="s">
        <v>257</v>
      </c>
      <c r="C49" s="68" t="s">
        <v>101</v>
      </c>
      <c r="D49" s="69">
        <v>1</v>
      </c>
      <c r="E49" s="70">
        <v>3.3707486433000001E-5</v>
      </c>
    </row>
    <row r="50" spans="2:5" ht="14.45" customHeight="1">
      <c r="B50" s="88"/>
      <c r="C50" s="68" t="s">
        <v>102</v>
      </c>
      <c r="D50" s="69">
        <v>1</v>
      </c>
      <c r="E50" s="70">
        <v>3.3707486433000001E-5</v>
      </c>
    </row>
    <row r="51" spans="2:5" ht="14.45" customHeight="1">
      <c r="B51" s="88"/>
      <c r="C51" s="68" t="s">
        <v>103</v>
      </c>
      <c r="D51" s="69">
        <v>1</v>
      </c>
      <c r="E51" s="70">
        <v>3.3707486433000001E-5</v>
      </c>
    </row>
    <row r="52" spans="2:5" ht="14.45" customHeight="1">
      <c r="B52" s="88"/>
      <c r="C52" s="68" t="s">
        <v>104</v>
      </c>
      <c r="D52" s="69">
        <v>16</v>
      </c>
      <c r="E52" s="70">
        <v>5.3931978292399995E-4</v>
      </c>
    </row>
    <row r="53" spans="2:5" ht="14.45" customHeight="1">
      <c r="B53" s="88"/>
      <c r="C53" s="68" t="s">
        <v>105</v>
      </c>
      <c r="D53" s="69">
        <v>3</v>
      </c>
      <c r="E53" s="70">
        <v>1.0112245929799999E-4</v>
      </c>
    </row>
    <row r="54" spans="2:5" ht="14.45" customHeight="1">
      <c r="B54" s="88"/>
      <c r="C54" s="68" t="s">
        <v>108</v>
      </c>
      <c r="D54" s="69">
        <v>10</v>
      </c>
      <c r="E54" s="70">
        <v>3.3707486432699998E-4</v>
      </c>
    </row>
    <row r="55" spans="2:5" ht="14.45" customHeight="1">
      <c r="B55" s="88"/>
      <c r="C55" s="68" t="s">
        <v>109</v>
      </c>
      <c r="D55" s="69">
        <v>7</v>
      </c>
      <c r="E55" s="70">
        <v>2.35952405029E-4</v>
      </c>
    </row>
    <row r="56" spans="2:5" ht="14.45" customHeight="1">
      <c r="B56" s="88"/>
      <c r="C56" s="68" t="s">
        <v>112</v>
      </c>
      <c r="D56" s="69">
        <v>5</v>
      </c>
      <c r="E56" s="70">
        <v>1.68537432164E-4</v>
      </c>
    </row>
    <row r="57" spans="2:5" ht="14.45" customHeight="1">
      <c r="B57" s="88"/>
      <c r="C57" s="68" t="s">
        <v>113</v>
      </c>
      <c r="D57" s="69">
        <v>1</v>
      </c>
      <c r="E57" s="70">
        <v>3.3707486433000001E-5</v>
      </c>
    </row>
    <row r="58" spans="2:5" ht="14.45" customHeight="1">
      <c r="B58" s="88"/>
      <c r="C58" s="68" t="s">
        <v>114</v>
      </c>
      <c r="D58" s="69">
        <v>1</v>
      </c>
      <c r="E58" s="70">
        <v>3.3707486433000001E-5</v>
      </c>
    </row>
    <row r="59" spans="2:5" ht="14.45" customHeight="1">
      <c r="B59" s="88"/>
      <c r="C59" s="68" t="s">
        <v>115</v>
      </c>
      <c r="D59" s="69">
        <v>2</v>
      </c>
      <c r="E59" s="70">
        <v>6.7414972865000001E-5</v>
      </c>
    </row>
    <row r="60" spans="2:5" ht="14.45" customHeight="1">
      <c r="B60" s="88"/>
      <c r="C60" s="68" t="s">
        <v>116</v>
      </c>
      <c r="D60" s="69">
        <v>1</v>
      </c>
      <c r="E60" s="70">
        <v>3.3707486433000001E-5</v>
      </c>
    </row>
    <row r="61" spans="2:5" ht="14.45" customHeight="1">
      <c r="B61" s="88"/>
      <c r="C61" s="68" t="s">
        <v>117</v>
      </c>
      <c r="D61" s="69">
        <v>4</v>
      </c>
      <c r="E61" s="70">
        <v>1.3482994573099999E-4</v>
      </c>
    </row>
    <row r="62" spans="2:5" ht="14.45" customHeight="1">
      <c r="B62" s="88"/>
      <c r="C62" s="68" t="s">
        <v>119</v>
      </c>
      <c r="D62" s="69">
        <v>1</v>
      </c>
      <c r="E62" s="70">
        <v>3.3707486433000001E-5</v>
      </c>
    </row>
    <row r="63" spans="2:5" ht="14.45" customHeight="1">
      <c r="B63" s="88"/>
      <c r="C63" s="68" t="s">
        <v>120</v>
      </c>
      <c r="D63" s="69">
        <v>2</v>
      </c>
      <c r="E63" s="70">
        <v>6.7414972865000001E-5</v>
      </c>
    </row>
    <row r="64" spans="2:5" ht="14.45" customHeight="1">
      <c r="B64" s="88"/>
      <c r="C64" s="68" t="s">
        <v>122</v>
      </c>
      <c r="D64" s="69">
        <v>1</v>
      </c>
      <c r="E64" s="70">
        <v>3.3707486433000001E-5</v>
      </c>
    </row>
    <row r="65" spans="2:5" ht="14.45" customHeight="1">
      <c r="B65" s="88"/>
      <c r="C65" s="68" t="s">
        <v>123</v>
      </c>
      <c r="D65" s="69">
        <v>1</v>
      </c>
      <c r="E65" s="70">
        <v>3.3707486433000001E-5</v>
      </c>
    </row>
    <row r="66" spans="2:5" ht="14.45" customHeight="1">
      <c r="B66" s="88"/>
      <c r="C66" s="68" t="s">
        <v>125</v>
      </c>
      <c r="D66" s="69">
        <v>2</v>
      </c>
      <c r="E66" s="70">
        <v>6.7414972865000001E-5</v>
      </c>
    </row>
    <row r="67" spans="2:5" ht="14.45" customHeight="1">
      <c r="B67" s="88"/>
      <c r="C67" s="68" t="s">
        <v>126</v>
      </c>
      <c r="D67" s="69">
        <v>1</v>
      </c>
      <c r="E67" s="70">
        <v>3.3707486433000001E-5</v>
      </c>
    </row>
    <row r="68" spans="2:5" ht="14.45" customHeight="1">
      <c r="B68" s="88"/>
      <c r="C68" s="68" t="s">
        <v>130</v>
      </c>
      <c r="D68" s="69">
        <v>1</v>
      </c>
      <c r="E68" s="70">
        <v>3.3707486433000001E-5</v>
      </c>
    </row>
    <row r="69" spans="2:5" ht="14.45" customHeight="1">
      <c r="B69" s="88"/>
      <c r="C69" s="68" t="s">
        <v>131</v>
      </c>
      <c r="D69" s="69">
        <v>5</v>
      </c>
      <c r="E69" s="70">
        <v>1.68537432164E-4</v>
      </c>
    </row>
    <row r="70" spans="2:5" ht="14.45" customHeight="1">
      <c r="B70" s="88"/>
      <c r="C70" s="68" t="s">
        <v>133</v>
      </c>
      <c r="D70" s="69">
        <v>3</v>
      </c>
      <c r="E70" s="70">
        <v>1.0112245929799999E-4</v>
      </c>
    </row>
    <row r="71" spans="2:5" ht="14.45" customHeight="1">
      <c r="B71" s="88"/>
      <c r="C71" s="68" t="s">
        <v>134</v>
      </c>
      <c r="D71" s="69">
        <v>11</v>
      </c>
      <c r="E71" s="70">
        <v>3.7078235075999999E-4</v>
      </c>
    </row>
    <row r="72" spans="2:5" ht="14.45" customHeight="1">
      <c r="B72" s="88"/>
      <c r="C72" s="68" t="s">
        <v>140</v>
      </c>
      <c r="D72" s="69">
        <v>8</v>
      </c>
      <c r="E72" s="70">
        <v>2.6965989146199998E-4</v>
      </c>
    </row>
    <row r="73" spans="2:5" ht="14.45" customHeight="1">
      <c r="B73" s="88"/>
      <c r="C73" s="68" t="s">
        <v>141</v>
      </c>
      <c r="D73" s="69">
        <v>174</v>
      </c>
      <c r="E73" s="70">
        <v>5.8651026392960003E-3</v>
      </c>
    </row>
    <row r="74" spans="2:5" ht="14.45" customHeight="1">
      <c r="B74" s="88"/>
      <c r="C74" s="68" t="s">
        <v>142</v>
      </c>
      <c r="D74" s="69">
        <v>1</v>
      </c>
      <c r="E74" s="70">
        <v>3.3707486433000001E-5</v>
      </c>
    </row>
    <row r="75" spans="2:5" ht="14.45" customHeight="1">
      <c r="B75" s="88"/>
      <c r="C75" s="36" t="s">
        <v>29</v>
      </c>
      <c r="D75" s="35">
        <v>264</v>
      </c>
      <c r="E75" s="34">
        <v>8.8987764182420007E-3</v>
      </c>
    </row>
    <row r="76" spans="2:5" ht="14.45" customHeight="1">
      <c r="B76" s="88" t="s">
        <v>258</v>
      </c>
      <c r="C76" s="68" t="s">
        <v>101</v>
      </c>
      <c r="D76" s="69">
        <v>3</v>
      </c>
      <c r="E76" s="70">
        <v>1.0112245929799999E-4</v>
      </c>
    </row>
    <row r="77" spans="2:5" ht="14.45" customHeight="1">
      <c r="B77" s="88"/>
      <c r="C77" s="68" t="s">
        <v>102</v>
      </c>
      <c r="D77" s="69">
        <v>6</v>
      </c>
      <c r="E77" s="70">
        <v>2.0224491859599999E-4</v>
      </c>
    </row>
    <row r="78" spans="2:5" ht="14.45" customHeight="1">
      <c r="B78" s="88"/>
      <c r="C78" s="68" t="s">
        <v>103</v>
      </c>
      <c r="D78" s="69">
        <v>14</v>
      </c>
      <c r="E78" s="70">
        <v>4.7190481005799999E-4</v>
      </c>
    </row>
    <row r="79" spans="2:5" ht="14.45" customHeight="1">
      <c r="B79" s="88"/>
      <c r="C79" s="68" t="s">
        <v>104</v>
      </c>
      <c r="D79" s="69">
        <v>32</v>
      </c>
      <c r="E79" s="70">
        <v>1.0786395658479999E-3</v>
      </c>
    </row>
    <row r="80" spans="2:5" ht="14.45" customHeight="1">
      <c r="B80" s="88"/>
      <c r="C80" s="68" t="s">
        <v>105</v>
      </c>
      <c r="D80" s="69">
        <v>7</v>
      </c>
      <c r="E80" s="70">
        <v>2.35952405029E-4</v>
      </c>
    </row>
    <row r="81" spans="2:5" ht="14.45" customHeight="1">
      <c r="B81" s="88"/>
      <c r="C81" s="68" t="s">
        <v>108</v>
      </c>
      <c r="D81" s="69">
        <v>14</v>
      </c>
      <c r="E81" s="70">
        <v>4.7190481005799999E-4</v>
      </c>
    </row>
    <row r="82" spans="2:5" ht="14.45" customHeight="1">
      <c r="B82" s="88"/>
      <c r="C82" s="68" t="s">
        <v>109</v>
      </c>
      <c r="D82" s="69">
        <v>14</v>
      </c>
      <c r="E82" s="70">
        <v>4.7190481005799999E-4</v>
      </c>
    </row>
    <row r="83" spans="2:5" ht="14.45" customHeight="1">
      <c r="B83" s="88"/>
      <c r="C83" s="68" t="s">
        <v>111</v>
      </c>
      <c r="D83" s="69">
        <v>1</v>
      </c>
      <c r="E83" s="70">
        <v>3.3707486433000001E-5</v>
      </c>
    </row>
    <row r="84" spans="2:5" ht="14.45" customHeight="1">
      <c r="B84" s="88"/>
      <c r="C84" s="68" t="s">
        <v>112</v>
      </c>
      <c r="D84" s="69">
        <v>7</v>
      </c>
      <c r="E84" s="70">
        <v>2.35952405029E-4</v>
      </c>
    </row>
    <row r="85" spans="2:5" ht="14.45" customHeight="1">
      <c r="B85" s="88"/>
      <c r="C85" s="68" t="s">
        <v>113</v>
      </c>
      <c r="D85" s="69">
        <v>3</v>
      </c>
      <c r="E85" s="70">
        <v>1.0112245929799999E-4</v>
      </c>
    </row>
    <row r="86" spans="2:5" ht="14.45" customHeight="1">
      <c r="B86" s="88"/>
      <c r="C86" s="68" t="s">
        <v>114</v>
      </c>
      <c r="D86" s="69">
        <v>3</v>
      </c>
      <c r="E86" s="70">
        <v>1.0112245929799999E-4</v>
      </c>
    </row>
    <row r="87" spans="2:5" ht="14.45" customHeight="1">
      <c r="B87" s="88"/>
      <c r="C87" s="68" t="s">
        <v>115</v>
      </c>
      <c r="D87" s="69">
        <v>3</v>
      </c>
      <c r="E87" s="70">
        <v>1.0112245929799999E-4</v>
      </c>
    </row>
    <row r="88" spans="2:5" ht="14.45" customHeight="1">
      <c r="B88" s="88"/>
      <c r="C88" s="68" t="s">
        <v>116</v>
      </c>
      <c r="D88" s="69">
        <v>2</v>
      </c>
      <c r="E88" s="70">
        <v>6.7414972865000001E-5</v>
      </c>
    </row>
    <row r="89" spans="2:5" ht="14.45" customHeight="1">
      <c r="B89" s="88"/>
      <c r="C89" s="68" t="s">
        <v>117</v>
      </c>
      <c r="D89" s="69">
        <v>8</v>
      </c>
      <c r="E89" s="70">
        <v>2.6965989146199998E-4</v>
      </c>
    </row>
    <row r="90" spans="2:5" ht="14.45" customHeight="1">
      <c r="B90" s="88"/>
      <c r="C90" s="68" t="s">
        <v>118</v>
      </c>
      <c r="D90" s="69">
        <v>1</v>
      </c>
      <c r="E90" s="70">
        <v>3.3707486433000001E-5</v>
      </c>
    </row>
    <row r="91" spans="2:5" ht="14.45" customHeight="1">
      <c r="B91" s="88"/>
      <c r="C91" s="68" t="s">
        <v>120</v>
      </c>
      <c r="D91" s="69">
        <v>1</v>
      </c>
      <c r="E91" s="70">
        <v>3.3707486433000001E-5</v>
      </c>
    </row>
    <row r="92" spans="2:5" ht="14.45" customHeight="1">
      <c r="B92" s="88"/>
      <c r="C92" s="68" t="s">
        <v>121</v>
      </c>
      <c r="D92" s="69">
        <v>2</v>
      </c>
      <c r="E92" s="70">
        <v>6.7414972865000001E-5</v>
      </c>
    </row>
    <row r="93" spans="2:5" ht="14.45" customHeight="1">
      <c r="B93" s="88"/>
      <c r="C93" s="68" t="s">
        <v>122</v>
      </c>
      <c r="D93" s="69">
        <v>6</v>
      </c>
      <c r="E93" s="70">
        <v>2.0224491859599999E-4</v>
      </c>
    </row>
    <row r="94" spans="2:5" ht="14.45" customHeight="1">
      <c r="B94" s="88"/>
      <c r="C94" s="68" t="s">
        <v>125</v>
      </c>
      <c r="D94" s="69">
        <v>3</v>
      </c>
      <c r="E94" s="70">
        <v>1.0112245929799999E-4</v>
      </c>
    </row>
    <row r="95" spans="2:5" ht="14.45" customHeight="1">
      <c r="B95" s="88"/>
      <c r="C95" s="68" t="s">
        <v>126</v>
      </c>
      <c r="D95" s="69">
        <v>3</v>
      </c>
      <c r="E95" s="70">
        <v>1.0112245929799999E-4</v>
      </c>
    </row>
    <row r="96" spans="2:5" ht="14.45" customHeight="1">
      <c r="B96" s="88"/>
      <c r="C96" s="68" t="s">
        <v>129</v>
      </c>
      <c r="D96" s="69">
        <v>3</v>
      </c>
      <c r="E96" s="70">
        <v>1.0112245929799999E-4</v>
      </c>
    </row>
    <row r="97" spans="2:5" ht="14.45" customHeight="1">
      <c r="B97" s="88"/>
      <c r="C97" s="68" t="s">
        <v>131</v>
      </c>
      <c r="D97" s="69">
        <v>17</v>
      </c>
      <c r="E97" s="70">
        <v>5.7302726935699996E-4</v>
      </c>
    </row>
    <row r="98" spans="2:5" ht="14.45" customHeight="1">
      <c r="B98" s="88"/>
      <c r="C98" s="68" t="s">
        <v>133</v>
      </c>
      <c r="D98" s="69">
        <v>7</v>
      </c>
      <c r="E98" s="70">
        <v>2.35952405029E-4</v>
      </c>
    </row>
    <row r="99" spans="2:5" ht="14.45" customHeight="1">
      <c r="B99" s="88"/>
      <c r="C99" s="68" t="s">
        <v>134</v>
      </c>
      <c r="D99" s="69">
        <v>26</v>
      </c>
      <c r="E99" s="70">
        <v>8.7639464725100004E-4</v>
      </c>
    </row>
    <row r="100" spans="2:5" ht="14.45" customHeight="1">
      <c r="B100" s="88"/>
      <c r="C100" s="68" t="s">
        <v>138</v>
      </c>
      <c r="D100" s="69">
        <v>2</v>
      </c>
      <c r="E100" s="70">
        <v>6.7414972865000001E-5</v>
      </c>
    </row>
    <row r="101" spans="2:5" ht="14.45" customHeight="1">
      <c r="B101" s="88"/>
      <c r="C101" s="68" t="s">
        <v>140</v>
      </c>
      <c r="D101" s="69">
        <v>21</v>
      </c>
      <c r="E101" s="70">
        <v>7.0785721508699996E-4</v>
      </c>
    </row>
    <row r="102" spans="2:5" ht="14.45" customHeight="1">
      <c r="B102" s="88"/>
      <c r="C102" s="68" t="s">
        <v>141</v>
      </c>
      <c r="D102" s="69">
        <v>367</v>
      </c>
      <c r="E102" s="70">
        <v>1.2370647520814E-2</v>
      </c>
    </row>
    <row r="103" spans="2:5" ht="14.45" customHeight="1">
      <c r="B103" s="88"/>
      <c r="C103" s="68" t="s">
        <v>144</v>
      </c>
      <c r="D103" s="69">
        <v>2</v>
      </c>
      <c r="E103" s="70">
        <v>6.7414972865000001E-5</v>
      </c>
    </row>
    <row r="104" spans="2:5" ht="14.45" customHeight="1">
      <c r="B104" s="88"/>
      <c r="C104" s="36" t="s">
        <v>29</v>
      </c>
      <c r="D104" s="35">
        <v>578</v>
      </c>
      <c r="E104" s="34">
        <v>1.9482927158121999E-2</v>
      </c>
    </row>
    <row r="105" spans="2:5" ht="14.45" customHeight="1">
      <c r="B105" s="88" t="s">
        <v>259</v>
      </c>
      <c r="C105" s="68" t="s">
        <v>101</v>
      </c>
      <c r="D105" s="69">
        <v>2</v>
      </c>
      <c r="E105" s="70">
        <v>6.7414972865000001E-5</v>
      </c>
    </row>
    <row r="106" spans="2:5" ht="14.45" customHeight="1">
      <c r="B106" s="88"/>
      <c r="C106" s="68" t="s">
        <v>103</v>
      </c>
      <c r="D106" s="69">
        <v>6</v>
      </c>
      <c r="E106" s="70">
        <v>2.0224491859599999E-4</v>
      </c>
    </row>
    <row r="107" spans="2:5" ht="14.45" customHeight="1">
      <c r="B107" s="88"/>
      <c r="C107" s="68" t="s">
        <v>104</v>
      </c>
      <c r="D107" s="69">
        <v>15</v>
      </c>
      <c r="E107" s="70">
        <v>5.0561229649099995E-4</v>
      </c>
    </row>
    <row r="108" spans="2:5" ht="14.45" customHeight="1">
      <c r="B108" s="88"/>
      <c r="C108" s="68" t="s">
        <v>105</v>
      </c>
      <c r="D108" s="69">
        <v>4</v>
      </c>
      <c r="E108" s="70">
        <v>1.3482994573099999E-4</v>
      </c>
    </row>
    <row r="109" spans="2:5" ht="14.45" customHeight="1">
      <c r="B109" s="88"/>
      <c r="C109" s="68" t="s">
        <v>107</v>
      </c>
      <c r="D109" s="69">
        <v>1</v>
      </c>
      <c r="E109" s="70">
        <v>3.3707486433000001E-5</v>
      </c>
    </row>
    <row r="110" spans="2:5" ht="14.45" customHeight="1">
      <c r="B110" s="88"/>
      <c r="C110" s="68" t="s">
        <v>108</v>
      </c>
      <c r="D110" s="69">
        <v>9</v>
      </c>
      <c r="E110" s="70">
        <v>3.0336737789499998E-4</v>
      </c>
    </row>
    <row r="111" spans="2:5" ht="14.45" customHeight="1">
      <c r="B111" s="88"/>
      <c r="C111" s="68" t="s">
        <v>109</v>
      </c>
      <c r="D111" s="69">
        <v>14</v>
      </c>
      <c r="E111" s="70">
        <v>4.7190481005799999E-4</v>
      </c>
    </row>
    <row r="112" spans="2:5" ht="14.45" customHeight="1">
      <c r="B112" s="88"/>
      <c r="C112" s="68" t="s">
        <v>111</v>
      </c>
      <c r="D112" s="69">
        <v>1</v>
      </c>
      <c r="E112" s="70">
        <v>3.3707486433000001E-5</v>
      </c>
    </row>
    <row r="113" spans="2:5" ht="14.45" customHeight="1">
      <c r="B113" s="88"/>
      <c r="C113" s="68" t="s">
        <v>112</v>
      </c>
      <c r="D113" s="69">
        <v>5</v>
      </c>
      <c r="E113" s="70">
        <v>1.68537432164E-4</v>
      </c>
    </row>
    <row r="114" spans="2:5" ht="14.45" customHeight="1">
      <c r="B114" s="88"/>
      <c r="C114" s="68" t="s">
        <v>113</v>
      </c>
      <c r="D114" s="69">
        <v>3</v>
      </c>
      <c r="E114" s="70">
        <v>1.0112245929799999E-4</v>
      </c>
    </row>
    <row r="115" spans="2:5" ht="14.45" customHeight="1">
      <c r="B115" s="88"/>
      <c r="C115" s="68" t="s">
        <v>114</v>
      </c>
      <c r="D115" s="69">
        <v>2</v>
      </c>
      <c r="E115" s="70">
        <v>6.7414972865000001E-5</v>
      </c>
    </row>
    <row r="116" spans="2:5" ht="14.45" customHeight="1">
      <c r="B116" s="88"/>
      <c r="C116" s="68" t="s">
        <v>115</v>
      </c>
      <c r="D116" s="69">
        <v>3</v>
      </c>
      <c r="E116" s="70">
        <v>1.0112245929799999E-4</v>
      </c>
    </row>
    <row r="117" spans="2:5" ht="14.45" customHeight="1">
      <c r="B117" s="88"/>
      <c r="C117" s="68" t="s">
        <v>116</v>
      </c>
      <c r="D117" s="69">
        <v>1</v>
      </c>
      <c r="E117" s="70">
        <v>3.3707486433000001E-5</v>
      </c>
    </row>
    <row r="118" spans="2:5" ht="14.45" customHeight="1">
      <c r="B118" s="88"/>
      <c r="C118" s="68" t="s">
        <v>117</v>
      </c>
      <c r="D118" s="69">
        <v>6</v>
      </c>
      <c r="E118" s="70">
        <v>2.0224491859599999E-4</v>
      </c>
    </row>
    <row r="119" spans="2:5" ht="14.45" customHeight="1">
      <c r="B119" s="88"/>
      <c r="C119" s="68" t="s">
        <v>120</v>
      </c>
      <c r="D119" s="69">
        <v>3</v>
      </c>
      <c r="E119" s="70">
        <v>1.0112245929799999E-4</v>
      </c>
    </row>
    <row r="120" spans="2:5" ht="14.45" customHeight="1">
      <c r="B120" s="88"/>
      <c r="C120" s="68" t="s">
        <v>121</v>
      </c>
      <c r="D120" s="69">
        <v>2</v>
      </c>
      <c r="E120" s="70">
        <v>6.7414972865000001E-5</v>
      </c>
    </row>
    <row r="121" spans="2:5" ht="14.45" customHeight="1">
      <c r="B121" s="88"/>
      <c r="C121" s="68" t="s">
        <v>122</v>
      </c>
      <c r="D121" s="69">
        <v>2</v>
      </c>
      <c r="E121" s="70">
        <v>6.7414972865000001E-5</v>
      </c>
    </row>
    <row r="122" spans="2:5" ht="14.45" customHeight="1">
      <c r="B122" s="88"/>
      <c r="C122" s="68" t="s">
        <v>123</v>
      </c>
      <c r="D122" s="69">
        <v>2</v>
      </c>
      <c r="E122" s="70">
        <v>6.7414972865000001E-5</v>
      </c>
    </row>
    <row r="123" spans="2:5" ht="14.45" customHeight="1">
      <c r="B123" s="88"/>
      <c r="C123" s="68" t="s">
        <v>125</v>
      </c>
      <c r="D123" s="69">
        <v>1</v>
      </c>
      <c r="E123" s="70">
        <v>3.3707486433000001E-5</v>
      </c>
    </row>
    <row r="124" spans="2:5" ht="14.45" customHeight="1">
      <c r="B124" s="88"/>
      <c r="C124" s="68" t="s">
        <v>126</v>
      </c>
      <c r="D124" s="69">
        <v>1</v>
      </c>
      <c r="E124" s="70">
        <v>3.3707486433000001E-5</v>
      </c>
    </row>
    <row r="125" spans="2:5" ht="14.45" customHeight="1">
      <c r="B125" s="88"/>
      <c r="C125" s="68" t="s">
        <v>128</v>
      </c>
      <c r="D125" s="69">
        <v>1</v>
      </c>
      <c r="E125" s="70">
        <v>3.3707486433000001E-5</v>
      </c>
    </row>
    <row r="126" spans="2:5" ht="14.45" customHeight="1">
      <c r="B126" s="88"/>
      <c r="C126" s="68" t="s">
        <v>129</v>
      </c>
      <c r="D126" s="69">
        <v>1</v>
      </c>
      <c r="E126" s="70">
        <v>3.3707486433000001E-5</v>
      </c>
    </row>
    <row r="127" spans="2:5" ht="14.45" customHeight="1">
      <c r="B127" s="88"/>
      <c r="C127" s="68" t="s">
        <v>130</v>
      </c>
      <c r="D127" s="69">
        <v>2</v>
      </c>
      <c r="E127" s="70">
        <v>6.7414972865000001E-5</v>
      </c>
    </row>
    <row r="128" spans="2:5" ht="14.45" customHeight="1">
      <c r="B128" s="88"/>
      <c r="C128" s="68" t="s">
        <v>131</v>
      </c>
      <c r="D128" s="69">
        <v>13</v>
      </c>
      <c r="E128" s="70">
        <v>4.38197323626E-4</v>
      </c>
    </row>
    <row r="129" spans="2:5" ht="14.45" customHeight="1">
      <c r="B129" s="88"/>
      <c r="C129" s="68" t="s">
        <v>133</v>
      </c>
      <c r="D129" s="69">
        <v>4</v>
      </c>
      <c r="E129" s="70">
        <v>1.3482994573099999E-4</v>
      </c>
    </row>
    <row r="130" spans="2:5" ht="14.45" customHeight="1">
      <c r="B130" s="88"/>
      <c r="C130" s="68" t="s">
        <v>134</v>
      </c>
      <c r="D130" s="69">
        <v>10</v>
      </c>
      <c r="E130" s="70">
        <v>3.3707486432699998E-4</v>
      </c>
    </row>
    <row r="131" spans="2:5" ht="14.45" customHeight="1">
      <c r="B131" s="88"/>
      <c r="C131" s="68" t="s">
        <v>138</v>
      </c>
      <c r="D131" s="69">
        <v>1</v>
      </c>
      <c r="E131" s="70">
        <v>3.3707486433000001E-5</v>
      </c>
    </row>
    <row r="132" spans="2:5" ht="14.45" customHeight="1">
      <c r="B132" s="88"/>
      <c r="C132" s="68" t="s">
        <v>140</v>
      </c>
      <c r="D132" s="69">
        <v>8</v>
      </c>
      <c r="E132" s="70">
        <v>2.6965989146199998E-4</v>
      </c>
    </row>
    <row r="133" spans="2:5" ht="14.45" customHeight="1">
      <c r="B133" s="88"/>
      <c r="C133" s="68" t="s">
        <v>141</v>
      </c>
      <c r="D133" s="69">
        <v>272</v>
      </c>
      <c r="E133" s="70">
        <v>9.1684363097040006E-3</v>
      </c>
    </row>
    <row r="134" spans="2:5" ht="14.45" customHeight="1">
      <c r="B134" s="88"/>
      <c r="C134" s="68" t="s">
        <v>144</v>
      </c>
      <c r="D134" s="69">
        <v>4</v>
      </c>
      <c r="E134" s="70">
        <v>1.3482994573099999E-4</v>
      </c>
    </row>
    <row r="135" spans="2:5" ht="14.45" customHeight="1">
      <c r="B135" s="88"/>
      <c r="C135" s="68" t="s">
        <v>146</v>
      </c>
      <c r="D135" s="69">
        <v>1</v>
      </c>
      <c r="E135" s="70">
        <v>3.3707486433000001E-5</v>
      </c>
    </row>
    <row r="136" spans="2:5" ht="14.45" customHeight="1">
      <c r="B136" s="88"/>
      <c r="C136" s="36" t="s">
        <v>29</v>
      </c>
      <c r="D136" s="35">
        <v>400</v>
      </c>
      <c r="E136" s="34">
        <v>1.3482994573095E-2</v>
      </c>
    </row>
    <row r="137" spans="2:5" ht="14.45" customHeight="1">
      <c r="B137" s="88" t="s">
        <v>260</v>
      </c>
      <c r="C137" s="68" t="s">
        <v>101</v>
      </c>
      <c r="D137" s="69">
        <v>4</v>
      </c>
      <c r="E137" s="70">
        <v>1.3482994573099999E-4</v>
      </c>
    </row>
    <row r="138" spans="2:5" ht="14.45" customHeight="1">
      <c r="B138" s="88"/>
      <c r="C138" s="68" t="s">
        <v>102</v>
      </c>
      <c r="D138" s="69">
        <v>2</v>
      </c>
      <c r="E138" s="70">
        <v>6.7414972865000001E-5</v>
      </c>
    </row>
    <row r="139" spans="2:5" ht="14.45" customHeight="1">
      <c r="B139" s="88"/>
      <c r="C139" s="68" t="s">
        <v>103</v>
      </c>
      <c r="D139" s="69">
        <v>7</v>
      </c>
      <c r="E139" s="70">
        <v>2.35952405029E-4</v>
      </c>
    </row>
    <row r="140" spans="2:5" ht="14.45" customHeight="1">
      <c r="B140" s="88"/>
      <c r="C140" s="68" t="s">
        <v>104</v>
      </c>
      <c r="D140" s="69">
        <v>17</v>
      </c>
      <c r="E140" s="70">
        <v>5.7302726935699996E-4</v>
      </c>
    </row>
    <row r="141" spans="2:5" ht="14.45" customHeight="1">
      <c r="B141" s="88"/>
      <c r="C141" s="68" t="s">
        <v>105</v>
      </c>
      <c r="D141" s="69">
        <v>8</v>
      </c>
      <c r="E141" s="70">
        <v>2.6965989146199998E-4</v>
      </c>
    </row>
    <row r="142" spans="2:5" ht="14.45" customHeight="1">
      <c r="B142" s="88"/>
      <c r="C142" s="68" t="s">
        <v>107</v>
      </c>
      <c r="D142" s="69">
        <v>1</v>
      </c>
      <c r="E142" s="70">
        <v>3.3707486433000001E-5</v>
      </c>
    </row>
    <row r="143" spans="2:5" ht="14.45" customHeight="1">
      <c r="B143" s="88"/>
      <c r="C143" s="68" t="s">
        <v>108</v>
      </c>
      <c r="D143" s="69">
        <v>12</v>
      </c>
      <c r="E143" s="70">
        <v>4.0448983719299999E-4</v>
      </c>
    </row>
    <row r="144" spans="2:5" ht="14.45" customHeight="1">
      <c r="B144" s="88"/>
      <c r="C144" s="68" t="s">
        <v>109</v>
      </c>
      <c r="D144" s="69">
        <v>16</v>
      </c>
      <c r="E144" s="70">
        <v>5.3931978292399995E-4</v>
      </c>
    </row>
    <row r="145" spans="2:5" ht="14.45" customHeight="1">
      <c r="B145" s="88"/>
      <c r="C145" s="68" t="s">
        <v>111</v>
      </c>
      <c r="D145" s="69">
        <v>1</v>
      </c>
      <c r="E145" s="70">
        <v>3.3707486433000001E-5</v>
      </c>
    </row>
    <row r="146" spans="2:5" ht="14.45" customHeight="1">
      <c r="B146" s="88"/>
      <c r="C146" s="68" t="s">
        <v>112</v>
      </c>
      <c r="D146" s="69">
        <v>6</v>
      </c>
      <c r="E146" s="70">
        <v>2.0224491859599999E-4</v>
      </c>
    </row>
    <row r="147" spans="2:5" ht="14.45" customHeight="1">
      <c r="B147" s="88"/>
      <c r="C147" s="68" t="s">
        <v>113</v>
      </c>
      <c r="D147" s="69">
        <v>7</v>
      </c>
      <c r="E147" s="70">
        <v>2.35952405029E-4</v>
      </c>
    </row>
    <row r="148" spans="2:5" ht="14.45" customHeight="1">
      <c r="B148" s="88"/>
      <c r="C148" s="68" t="s">
        <v>115</v>
      </c>
      <c r="D148" s="69">
        <v>7</v>
      </c>
      <c r="E148" s="70">
        <v>2.35952405029E-4</v>
      </c>
    </row>
    <row r="149" spans="2:5" ht="14.45" customHeight="1">
      <c r="B149" s="88"/>
      <c r="C149" s="68" t="s">
        <v>116</v>
      </c>
      <c r="D149" s="69">
        <v>2</v>
      </c>
      <c r="E149" s="70">
        <v>6.7414972865000001E-5</v>
      </c>
    </row>
    <row r="150" spans="2:5" ht="14.45" customHeight="1">
      <c r="B150" s="88"/>
      <c r="C150" s="68" t="s">
        <v>117</v>
      </c>
      <c r="D150" s="69">
        <v>7</v>
      </c>
      <c r="E150" s="70">
        <v>2.35952405029E-4</v>
      </c>
    </row>
    <row r="151" spans="2:5" ht="14.45" customHeight="1">
      <c r="B151" s="88"/>
      <c r="C151" s="68" t="s">
        <v>118</v>
      </c>
      <c r="D151" s="69">
        <v>1</v>
      </c>
      <c r="E151" s="70">
        <v>3.3707486433000001E-5</v>
      </c>
    </row>
    <row r="152" spans="2:5" ht="14.45" customHeight="1">
      <c r="B152" s="88"/>
      <c r="C152" s="68" t="s">
        <v>120</v>
      </c>
      <c r="D152" s="69">
        <v>7</v>
      </c>
      <c r="E152" s="70">
        <v>2.35952405029E-4</v>
      </c>
    </row>
    <row r="153" spans="2:5" ht="14.45" customHeight="1">
      <c r="B153" s="88"/>
      <c r="C153" s="68" t="s">
        <v>121</v>
      </c>
      <c r="D153" s="69">
        <v>3</v>
      </c>
      <c r="E153" s="70">
        <v>1.0112245929799999E-4</v>
      </c>
    </row>
    <row r="154" spans="2:5" ht="14.45" customHeight="1">
      <c r="B154" s="88"/>
      <c r="C154" s="68" t="s">
        <v>122</v>
      </c>
      <c r="D154" s="69">
        <v>3</v>
      </c>
      <c r="E154" s="70">
        <v>1.0112245929799999E-4</v>
      </c>
    </row>
    <row r="155" spans="2:5" ht="14.45" customHeight="1">
      <c r="B155" s="88"/>
      <c r="C155" s="68" t="s">
        <v>123</v>
      </c>
      <c r="D155" s="69">
        <v>1</v>
      </c>
      <c r="E155" s="70">
        <v>3.3707486433000001E-5</v>
      </c>
    </row>
    <row r="156" spans="2:5" ht="14.45" customHeight="1">
      <c r="B156" s="88"/>
      <c r="C156" s="68" t="s">
        <v>125</v>
      </c>
      <c r="D156" s="69">
        <v>1</v>
      </c>
      <c r="E156" s="70">
        <v>3.3707486433000001E-5</v>
      </c>
    </row>
    <row r="157" spans="2:5" ht="14.45" customHeight="1">
      <c r="B157" s="88"/>
      <c r="C157" s="68" t="s">
        <v>126</v>
      </c>
      <c r="D157" s="69">
        <v>5</v>
      </c>
      <c r="E157" s="70">
        <v>1.68537432164E-4</v>
      </c>
    </row>
    <row r="158" spans="2:5" ht="14.45" customHeight="1">
      <c r="B158" s="88"/>
      <c r="C158" s="68" t="s">
        <v>129</v>
      </c>
      <c r="D158" s="69">
        <v>3</v>
      </c>
      <c r="E158" s="70">
        <v>1.0112245929799999E-4</v>
      </c>
    </row>
    <row r="159" spans="2:5" ht="14.45" customHeight="1">
      <c r="B159" s="88"/>
      <c r="C159" s="68" t="s">
        <v>130</v>
      </c>
      <c r="D159" s="69">
        <v>1</v>
      </c>
      <c r="E159" s="70">
        <v>3.3707486433000001E-5</v>
      </c>
    </row>
    <row r="160" spans="2:5" ht="14.45" customHeight="1">
      <c r="B160" s="88"/>
      <c r="C160" s="68" t="s">
        <v>131</v>
      </c>
      <c r="D160" s="69">
        <v>17</v>
      </c>
      <c r="E160" s="70">
        <v>5.7302726935699996E-4</v>
      </c>
    </row>
    <row r="161" spans="2:5" ht="14.45" customHeight="1">
      <c r="B161" s="88"/>
      <c r="C161" s="68" t="s">
        <v>133</v>
      </c>
      <c r="D161" s="69">
        <v>2</v>
      </c>
      <c r="E161" s="70">
        <v>6.7414972865000001E-5</v>
      </c>
    </row>
    <row r="162" spans="2:5" ht="14.45" customHeight="1">
      <c r="B162" s="88"/>
      <c r="C162" s="68" t="s">
        <v>134</v>
      </c>
      <c r="D162" s="69">
        <v>14</v>
      </c>
      <c r="E162" s="70">
        <v>4.7190481005799999E-4</v>
      </c>
    </row>
    <row r="163" spans="2:5" ht="14.45" customHeight="1">
      <c r="B163" s="88"/>
      <c r="C163" s="68" t="s">
        <v>138</v>
      </c>
      <c r="D163" s="69">
        <v>5</v>
      </c>
      <c r="E163" s="70">
        <v>1.68537432164E-4</v>
      </c>
    </row>
    <row r="164" spans="2:5" ht="14.45" customHeight="1">
      <c r="B164" s="88"/>
      <c r="C164" s="68" t="s">
        <v>140</v>
      </c>
      <c r="D164" s="69">
        <v>21</v>
      </c>
      <c r="E164" s="70">
        <v>7.0785721508699996E-4</v>
      </c>
    </row>
    <row r="165" spans="2:5" ht="14.45" customHeight="1">
      <c r="B165" s="88"/>
      <c r="C165" s="68" t="s">
        <v>141</v>
      </c>
      <c r="D165" s="69">
        <v>335</v>
      </c>
      <c r="E165" s="70">
        <v>1.1292007954966999E-2</v>
      </c>
    </row>
    <row r="166" spans="2:5" ht="14.45" customHeight="1">
      <c r="B166" s="88"/>
      <c r="C166" s="68" t="s">
        <v>144</v>
      </c>
      <c r="D166" s="69">
        <v>1</v>
      </c>
      <c r="E166" s="70">
        <v>3.3707486433000001E-5</v>
      </c>
    </row>
    <row r="167" spans="2:5" ht="14.45" customHeight="1">
      <c r="B167" s="88"/>
      <c r="C167" s="68" t="s">
        <v>146</v>
      </c>
      <c r="D167" s="69">
        <v>2</v>
      </c>
      <c r="E167" s="70">
        <v>6.7414972865000001E-5</v>
      </c>
    </row>
    <row r="168" spans="2:5" ht="14.45" customHeight="1">
      <c r="B168" s="88"/>
      <c r="C168" s="36" t="s">
        <v>29</v>
      </c>
      <c r="D168" s="35">
        <v>519</v>
      </c>
      <c r="E168" s="34">
        <v>1.7494185458590002E-2</v>
      </c>
    </row>
    <row r="169" spans="2:5" ht="14.45" customHeight="1">
      <c r="B169" s="88" t="s">
        <v>261</v>
      </c>
      <c r="C169" s="68" t="s">
        <v>101</v>
      </c>
      <c r="D169" s="69">
        <v>18</v>
      </c>
      <c r="E169" s="70">
        <v>6.0673475578900001E-4</v>
      </c>
    </row>
    <row r="170" spans="2:5" ht="14.45" customHeight="1">
      <c r="B170" s="88"/>
      <c r="C170" s="68" t="s">
        <v>102</v>
      </c>
      <c r="D170" s="69">
        <v>11</v>
      </c>
      <c r="E170" s="70">
        <v>3.7078235075999999E-4</v>
      </c>
    </row>
    <row r="171" spans="2:5" ht="14.45" customHeight="1">
      <c r="B171" s="88"/>
      <c r="C171" s="68" t="s">
        <v>103</v>
      </c>
      <c r="D171" s="69">
        <v>36</v>
      </c>
      <c r="E171" s="70">
        <v>1.2134695115790001E-3</v>
      </c>
    </row>
    <row r="172" spans="2:5" ht="14.45" customHeight="1">
      <c r="B172" s="88"/>
      <c r="C172" s="68" t="s">
        <v>104</v>
      </c>
      <c r="D172" s="69">
        <v>98</v>
      </c>
      <c r="E172" s="70">
        <v>3.3033336704079998E-3</v>
      </c>
    </row>
    <row r="173" spans="2:5" ht="14.45" customHeight="1">
      <c r="B173" s="88"/>
      <c r="C173" s="68" t="s">
        <v>105</v>
      </c>
      <c r="D173" s="69">
        <v>14</v>
      </c>
      <c r="E173" s="70">
        <v>4.7190481005799999E-4</v>
      </c>
    </row>
    <row r="174" spans="2:5" ht="14.45" customHeight="1">
      <c r="B174" s="88"/>
      <c r="C174" s="68" t="s">
        <v>108</v>
      </c>
      <c r="D174" s="69">
        <v>44</v>
      </c>
      <c r="E174" s="70">
        <v>1.4831294030399999E-3</v>
      </c>
    </row>
    <row r="175" spans="2:5" ht="14.45" customHeight="1">
      <c r="B175" s="88"/>
      <c r="C175" s="68" t="s">
        <v>109</v>
      </c>
      <c r="D175" s="69">
        <v>55</v>
      </c>
      <c r="E175" s="70">
        <v>1.8539117538010001E-3</v>
      </c>
    </row>
    <row r="176" spans="2:5" ht="14.45" customHeight="1">
      <c r="B176" s="88"/>
      <c r="C176" s="68" t="s">
        <v>111</v>
      </c>
      <c r="D176" s="69">
        <v>5</v>
      </c>
      <c r="E176" s="70">
        <v>1.68537432164E-4</v>
      </c>
    </row>
    <row r="177" spans="2:5" ht="14.45" customHeight="1">
      <c r="B177" s="88"/>
      <c r="C177" s="68" t="s">
        <v>112</v>
      </c>
      <c r="D177" s="69">
        <v>36</v>
      </c>
      <c r="E177" s="70">
        <v>1.2134695115790001E-3</v>
      </c>
    </row>
    <row r="178" spans="2:5" ht="14.45" customHeight="1">
      <c r="B178" s="88"/>
      <c r="C178" s="68" t="s">
        <v>113</v>
      </c>
      <c r="D178" s="69">
        <v>41</v>
      </c>
      <c r="E178" s="70">
        <v>1.382006943742E-3</v>
      </c>
    </row>
    <row r="179" spans="2:5" ht="14.45" customHeight="1">
      <c r="B179" s="88"/>
      <c r="C179" s="68" t="s">
        <v>114</v>
      </c>
      <c r="D179" s="69">
        <v>2</v>
      </c>
      <c r="E179" s="70">
        <v>6.7414972865000001E-5</v>
      </c>
    </row>
    <row r="180" spans="2:5" ht="14.45" customHeight="1">
      <c r="B180" s="88"/>
      <c r="C180" s="68" t="s">
        <v>115</v>
      </c>
      <c r="D180" s="69">
        <v>18</v>
      </c>
      <c r="E180" s="70">
        <v>6.0673475578900001E-4</v>
      </c>
    </row>
    <row r="181" spans="2:5" ht="14.45" customHeight="1">
      <c r="B181" s="88"/>
      <c r="C181" s="68" t="s">
        <v>116</v>
      </c>
      <c r="D181" s="69">
        <v>10</v>
      </c>
      <c r="E181" s="70">
        <v>3.3707486432699998E-4</v>
      </c>
    </row>
    <row r="182" spans="2:5" ht="14.45" customHeight="1">
      <c r="B182" s="88"/>
      <c r="C182" s="68" t="s">
        <v>117</v>
      </c>
      <c r="D182" s="69">
        <v>19</v>
      </c>
      <c r="E182" s="70">
        <v>6.4044224222200002E-4</v>
      </c>
    </row>
    <row r="183" spans="2:5" ht="14.45" customHeight="1">
      <c r="B183" s="88"/>
      <c r="C183" s="68" t="s">
        <v>120</v>
      </c>
      <c r="D183" s="69">
        <v>14</v>
      </c>
      <c r="E183" s="70">
        <v>4.7190481005799999E-4</v>
      </c>
    </row>
    <row r="184" spans="2:5" ht="14.45" customHeight="1">
      <c r="B184" s="88"/>
      <c r="C184" s="68" t="s">
        <v>121</v>
      </c>
      <c r="D184" s="69">
        <v>6</v>
      </c>
      <c r="E184" s="70">
        <v>2.0224491859599999E-4</v>
      </c>
    </row>
    <row r="185" spans="2:5" ht="14.45" customHeight="1">
      <c r="B185" s="88"/>
      <c r="C185" s="68" t="s">
        <v>122</v>
      </c>
      <c r="D185" s="69">
        <v>8</v>
      </c>
      <c r="E185" s="70">
        <v>2.6965989146199998E-4</v>
      </c>
    </row>
    <row r="186" spans="2:5" ht="14.45" customHeight="1">
      <c r="B186" s="88"/>
      <c r="C186" s="68" t="s">
        <v>123</v>
      </c>
      <c r="D186" s="69">
        <v>9</v>
      </c>
      <c r="E186" s="70">
        <v>3.0336737789499998E-4</v>
      </c>
    </row>
    <row r="187" spans="2:5" ht="14.45" customHeight="1">
      <c r="B187" s="88"/>
      <c r="C187" s="68" t="s">
        <v>124</v>
      </c>
      <c r="D187" s="69">
        <v>2</v>
      </c>
      <c r="E187" s="70">
        <v>6.7414972865000001E-5</v>
      </c>
    </row>
    <row r="188" spans="2:5" ht="14.45" customHeight="1">
      <c r="B188" s="88"/>
      <c r="C188" s="68" t="s">
        <v>125</v>
      </c>
      <c r="D188" s="69">
        <v>7</v>
      </c>
      <c r="E188" s="70">
        <v>2.35952405029E-4</v>
      </c>
    </row>
    <row r="189" spans="2:5" ht="14.45" customHeight="1">
      <c r="B189" s="88"/>
      <c r="C189" s="68" t="s">
        <v>126</v>
      </c>
      <c r="D189" s="69">
        <v>14</v>
      </c>
      <c r="E189" s="70">
        <v>4.7190481005799999E-4</v>
      </c>
    </row>
    <row r="190" spans="2:5" ht="14.45" customHeight="1">
      <c r="B190" s="88"/>
      <c r="C190" s="68" t="s">
        <v>128</v>
      </c>
      <c r="D190" s="69">
        <v>1</v>
      </c>
      <c r="E190" s="70">
        <v>3.3707486433000001E-5</v>
      </c>
    </row>
    <row r="191" spans="2:5" ht="14.45" customHeight="1">
      <c r="B191" s="88"/>
      <c r="C191" s="68" t="s">
        <v>129</v>
      </c>
      <c r="D191" s="69">
        <v>3</v>
      </c>
      <c r="E191" s="70">
        <v>1.0112245929799999E-4</v>
      </c>
    </row>
    <row r="192" spans="2:5" ht="14.45" customHeight="1">
      <c r="B192" s="88"/>
      <c r="C192" s="68" t="s">
        <v>130</v>
      </c>
      <c r="D192" s="69">
        <v>3</v>
      </c>
      <c r="E192" s="70">
        <v>1.0112245929799999E-4</v>
      </c>
    </row>
    <row r="193" spans="2:5" ht="14.45" customHeight="1">
      <c r="B193" s="88"/>
      <c r="C193" s="68" t="s">
        <v>131</v>
      </c>
      <c r="D193" s="69">
        <v>53</v>
      </c>
      <c r="E193" s="70">
        <v>1.7864967809350001E-3</v>
      </c>
    </row>
    <row r="194" spans="2:5" ht="14.45" customHeight="1">
      <c r="B194" s="88"/>
      <c r="C194" s="68" t="s">
        <v>133</v>
      </c>
      <c r="D194" s="69">
        <v>18</v>
      </c>
      <c r="E194" s="70">
        <v>6.0673475578900001E-4</v>
      </c>
    </row>
    <row r="195" spans="2:5" ht="14.45" customHeight="1">
      <c r="B195" s="88"/>
      <c r="C195" s="68" t="s">
        <v>134</v>
      </c>
      <c r="D195" s="69">
        <v>49</v>
      </c>
      <c r="E195" s="70">
        <v>1.6516668352039999E-3</v>
      </c>
    </row>
    <row r="196" spans="2:5" ht="14.45" customHeight="1">
      <c r="B196" s="88"/>
      <c r="C196" s="68" t="s">
        <v>136</v>
      </c>
      <c r="D196" s="69">
        <v>1</v>
      </c>
      <c r="E196" s="70">
        <v>3.3707486433000001E-5</v>
      </c>
    </row>
    <row r="197" spans="2:5" ht="14.45" customHeight="1">
      <c r="B197" s="88"/>
      <c r="C197" s="68" t="s">
        <v>138</v>
      </c>
      <c r="D197" s="69">
        <v>14</v>
      </c>
      <c r="E197" s="70">
        <v>4.7190481005799999E-4</v>
      </c>
    </row>
    <row r="198" spans="2:5" ht="14.45" customHeight="1">
      <c r="B198" s="88"/>
      <c r="C198" s="68" t="s">
        <v>140</v>
      </c>
      <c r="D198" s="69">
        <v>54</v>
      </c>
      <c r="E198" s="70">
        <v>1.8202042673680001E-3</v>
      </c>
    </row>
    <row r="199" spans="2:5" ht="14.45" customHeight="1">
      <c r="B199" s="88"/>
      <c r="C199" s="68" t="s">
        <v>141</v>
      </c>
      <c r="D199" s="69">
        <v>1664</v>
      </c>
      <c r="E199" s="70">
        <v>5.6089257424074002E-2</v>
      </c>
    </row>
    <row r="200" spans="2:5" ht="14.45" customHeight="1">
      <c r="B200" s="88"/>
      <c r="C200" s="68" t="s">
        <v>142</v>
      </c>
      <c r="D200" s="69">
        <v>5</v>
      </c>
      <c r="E200" s="70">
        <v>1.68537432164E-4</v>
      </c>
    </row>
    <row r="201" spans="2:5" ht="14.45" customHeight="1">
      <c r="B201" s="88"/>
      <c r="C201" s="68" t="s">
        <v>144</v>
      </c>
      <c r="D201" s="69">
        <v>12</v>
      </c>
      <c r="E201" s="70">
        <v>4.0448983719299999E-4</v>
      </c>
    </row>
    <row r="202" spans="2:5" ht="14.45" customHeight="1">
      <c r="B202" s="88"/>
      <c r="C202" s="68" t="s">
        <v>70</v>
      </c>
      <c r="D202" s="69">
        <v>1</v>
      </c>
      <c r="E202" s="70">
        <v>3.3707486433000001E-5</v>
      </c>
    </row>
    <row r="203" spans="2:5" ht="14.45" customHeight="1">
      <c r="B203" s="88"/>
      <c r="C203" s="68" t="s">
        <v>145</v>
      </c>
      <c r="D203" s="69">
        <v>1</v>
      </c>
      <c r="E203" s="70">
        <v>3.3707486433000001E-5</v>
      </c>
    </row>
    <row r="204" spans="2:5" ht="14.45" customHeight="1">
      <c r="B204" s="88"/>
      <c r="C204" s="68" t="s">
        <v>146</v>
      </c>
      <c r="D204" s="69">
        <v>4</v>
      </c>
      <c r="E204" s="70">
        <v>1.3482994573099999E-4</v>
      </c>
    </row>
    <row r="205" spans="2:5" ht="14.45" customHeight="1">
      <c r="B205" s="88"/>
      <c r="C205" s="68" t="s">
        <v>147</v>
      </c>
      <c r="D205" s="69">
        <v>2</v>
      </c>
      <c r="E205" s="70">
        <v>6.7414972865000001E-5</v>
      </c>
    </row>
    <row r="206" spans="2:5" ht="14.45" customHeight="1">
      <c r="B206" s="88"/>
      <c r="C206" s="36" t="s">
        <v>29</v>
      </c>
      <c r="D206" s="35">
        <v>2352</v>
      </c>
      <c r="E206" s="34">
        <v>7.9280008089797002E-2</v>
      </c>
    </row>
    <row r="207" spans="2:5" ht="14.45" customHeight="1">
      <c r="B207" s="88" t="s">
        <v>262</v>
      </c>
      <c r="C207" s="68" t="s">
        <v>101</v>
      </c>
      <c r="D207" s="69">
        <v>30</v>
      </c>
      <c r="E207" s="70">
        <v>1.0112245929819999E-3</v>
      </c>
    </row>
    <row r="208" spans="2:5" ht="14.45" customHeight="1">
      <c r="B208" s="88"/>
      <c r="C208" s="68" t="s">
        <v>102</v>
      </c>
      <c r="D208" s="69">
        <v>21</v>
      </c>
      <c r="E208" s="70">
        <v>7.0785721508699996E-4</v>
      </c>
    </row>
    <row r="209" spans="2:5" ht="14.45" customHeight="1">
      <c r="B209" s="88"/>
      <c r="C209" s="68" t="s">
        <v>103</v>
      </c>
      <c r="D209" s="69">
        <v>86</v>
      </c>
      <c r="E209" s="70">
        <v>2.8988438332149999E-3</v>
      </c>
    </row>
    <row r="210" spans="2:5" ht="14.45" customHeight="1">
      <c r="B210" s="88"/>
      <c r="C210" s="68" t="s">
        <v>104</v>
      </c>
      <c r="D210" s="69">
        <v>179</v>
      </c>
      <c r="E210" s="70">
        <v>6.0336400714600001E-3</v>
      </c>
    </row>
    <row r="211" spans="2:5" ht="14.45" customHeight="1">
      <c r="B211" s="88"/>
      <c r="C211" s="68" t="s">
        <v>105</v>
      </c>
      <c r="D211" s="69">
        <v>20</v>
      </c>
      <c r="E211" s="70">
        <v>6.7414972865500002E-4</v>
      </c>
    </row>
    <row r="212" spans="2:5" ht="14.45" customHeight="1">
      <c r="B212" s="88"/>
      <c r="C212" s="68" t="s">
        <v>106</v>
      </c>
      <c r="D212" s="69">
        <v>1</v>
      </c>
      <c r="E212" s="70">
        <v>3.3707486433000001E-5</v>
      </c>
    </row>
    <row r="213" spans="2:5" ht="14.45" customHeight="1">
      <c r="B213" s="88"/>
      <c r="C213" s="68" t="s">
        <v>107</v>
      </c>
      <c r="D213" s="69">
        <v>4</v>
      </c>
      <c r="E213" s="70">
        <v>1.3482994573099999E-4</v>
      </c>
    </row>
    <row r="214" spans="2:5" ht="14.45" customHeight="1">
      <c r="B214" s="88"/>
      <c r="C214" s="68" t="s">
        <v>108</v>
      </c>
      <c r="D214" s="69">
        <v>113</v>
      </c>
      <c r="E214" s="70">
        <v>3.8089459668989999E-3</v>
      </c>
    </row>
    <row r="215" spans="2:5" ht="14.45" customHeight="1">
      <c r="B215" s="88"/>
      <c r="C215" s="68" t="s">
        <v>109</v>
      </c>
      <c r="D215" s="69">
        <v>179</v>
      </c>
      <c r="E215" s="70">
        <v>6.0336400714600001E-3</v>
      </c>
    </row>
    <row r="216" spans="2:5" ht="14.45" customHeight="1">
      <c r="B216" s="88"/>
      <c r="C216" s="68" t="s">
        <v>111</v>
      </c>
      <c r="D216" s="69">
        <v>4</v>
      </c>
      <c r="E216" s="70">
        <v>1.3482994573099999E-4</v>
      </c>
    </row>
    <row r="217" spans="2:5" ht="14.45" customHeight="1">
      <c r="B217" s="88"/>
      <c r="C217" s="68" t="s">
        <v>112</v>
      </c>
      <c r="D217" s="69">
        <v>198</v>
      </c>
      <c r="E217" s="70">
        <v>6.6740823136820001E-3</v>
      </c>
    </row>
    <row r="218" spans="2:5" ht="14.45" customHeight="1">
      <c r="B218" s="88"/>
      <c r="C218" s="68" t="s">
        <v>113</v>
      </c>
      <c r="D218" s="69">
        <v>55</v>
      </c>
      <c r="E218" s="70">
        <v>1.8539117538010001E-3</v>
      </c>
    </row>
    <row r="219" spans="2:5" ht="14.45" customHeight="1">
      <c r="B219" s="88"/>
      <c r="C219" s="68" t="s">
        <v>114</v>
      </c>
      <c r="D219" s="69">
        <v>1</v>
      </c>
      <c r="E219" s="70">
        <v>3.3707486433000001E-5</v>
      </c>
    </row>
    <row r="220" spans="2:5" ht="14.45" customHeight="1">
      <c r="B220" s="88"/>
      <c r="C220" s="68" t="s">
        <v>115</v>
      </c>
      <c r="D220" s="69">
        <v>36</v>
      </c>
      <c r="E220" s="70">
        <v>1.2134695115790001E-3</v>
      </c>
    </row>
    <row r="221" spans="2:5" ht="14.45" customHeight="1">
      <c r="B221" s="88"/>
      <c r="C221" s="68" t="s">
        <v>116</v>
      </c>
      <c r="D221" s="69">
        <v>28</v>
      </c>
      <c r="E221" s="70">
        <v>9.4380962011699995E-4</v>
      </c>
    </row>
    <row r="222" spans="2:5" ht="14.45" customHeight="1">
      <c r="B222" s="88"/>
      <c r="C222" s="68" t="s">
        <v>117</v>
      </c>
      <c r="D222" s="69">
        <v>38</v>
      </c>
      <c r="E222" s="70">
        <v>1.280884484444E-3</v>
      </c>
    </row>
    <row r="223" spans="2:5" ht="14.45" customHeight="1">
      <c r="B223" s="88"/>
      <c r="C223" s="68" t="s">
        <v>118</v>
      </c>
      <c r="D223" s="69">
        <v>4</v>
      </c>
      <c r="E223" s="70">
        <v>1.3482994573099999E-4</v>
      </c>
    </row>
    <row r="224" spans="2:5" ht="14.45" customHeight="1">
      <c r="B224" s="88"/>
      <c r="C224" s="68" t="s">
        <v>119</v>
      </c>
      <c r="D224" s="69">
        <v>5</v>
      </c>
      <c r="E224" s="70">
        <v>1.68537432164E-4</v>
      </c>
    </row>
    <row r="225" spans="2:5" ht="14.45" customHeight="1">
      <c r="B225" s="88"/>
      <c r="C225" s="68" t="s">
        <v>120</v>
      </c>
      <c r="D225" s="69">
        <v>19</v>
      </c>
      <c r="E225" s="70">
        <v>6.4044224222200002E-4</v>
      </c>
    </row>
    <row r="226" spans="2:5" ht="14.45" customHeight="1">
      <c r="B226" s="88"/>
      <c r="C226" s="68" t="s">
        <v>121</v>
      </c>
      <c r="D226" s="69">
        <v>23</v>
      </c>
      <c r="E226" s="70">
        <v>7.7527218795299998E-4</v>
      </c>
    </row>
    <row r="227" spans="2:5" ht="14.45" customHeight="1">
      <c r="B227" s="88"/>
      <c r="C227" s="68" t="s">
        <v>122</v>
      </c>
      <c r="D227" s="69">
        <v>22</v>
      </c>
      <c r="E227" s="70">
        <v>7.4156470151999997E-4</v>
      </c>
    </row>
    <row r="228" spans="2:5" ht="14.45" customHeight="1">
      <c r="B228" s="88"/>
      <c r="C228" s="68" t="s">
        <v>123</v>
      </c>
      <c r="D228" s="69">
        <v>13</v>
      </c>
      <c r="E228" s="70">
        <v>4.38197323626E-4</v>
      </c>
    </row>
    <row r="229" spans="2:5" ht="14.45" customHeight="1">
      <c r="B229" s="88"/>
      <c r="C229" s="68" t="s">
        <v>125</v>
      </c>
      <c r="D229" s="69">
        <v>11</v>
      </c>
      <c r="E229" s="70">
        <v>3.7078235075999999E-4</v>
      </c>
    </row>
    <row r="230" spans="2:5" ht="14.45" customHeight="1">
      <c r="B230" s="88"/>
      <c r="C230" s="68" t="s">
        <v>126</v>
      </c>
      <c r="D230" s="69">
        <v>15</v>
      </c>
      <c r="E230" s="70">
        <v>5.0561229649099995E-4</v>
      </c>
    </row>
    <row r="231" spans="2:5" ht="14.45" customHeight="1">
      <c r="B231" s="88"/>
      <c r="C231" s="68" t="s">
        <v>127</v>
      </c>
      <c r="D231" s="69">
        <v>1</v>
      </c>
      <c r="E231" s="70">
        <v>3.3707486433000001E-5</v>
      </c>
    </row>
    <row r="232" spans="2:5" ht="14.45" customHeight="1">
      <c r="B232" s="88"/>
      <c r="C232" s="68" t="s">
        <v>128</v>
      </c>
      <c r="D232" s="69">
        <v>4</v>
      </c>
      <c r="E232" s="70">
        <v>1.3482994573099999E-4</v>
      </c>
    </row>
    <row r="233" spans="2:5" ht="14.45" customHeight="1">
      <c r="B233" s="88"/>
      <c r="C233" s="68" t="s">
        <v>129</v>
      </c>
      <c r="D233" s="69">
        <v>10</v>
      </c>
      <c r="E233" s="70">
        <v>3.3707486432699998E-4</v>
      </c>
    </row>
    <row r="234" spans="2:5" ht="14.45" customHeight="1">
      <c r="B234" s="88"/>
      <c r="C234" s="68" t="s">
        <v>130</v>
      </c>
      <c r="D234" s="69">
        <v>7</v>
      </c>
      <c r="E234" s="70">
        <v>2.35952405029E-4</v>
      </c>
    </row>
    <row r="235" spans="2:5" ht="14.45" customHeight="1">
      <c r="B235" s="88"/>
      <c r="C235" s="68" t="s">
        <v>131</v>
      </c>
      <c r="D235" s="69">
        <v>146</v>
      </c>
      <c r="E235" s="70">
        <v>4.9212930191799998E-3</v>
      </c>
    </row>
    <row r="236" spans="2:5" ht="14.45" customHeight="1">
      <c r="B236" s="88"/>
      <c r="C236" s="68" t="s">
        <v>132</v>
      </c>
      <c r="D236" s="69">
        <v>2</v>
      </c>
      <c r="E236" s="70">
        <v>6.7414972865000001E-5</v>
      </c>
    </row>
    <row r="237" spans="2:5" ht="14.45" customHeight="1">
      <c r="B237" s="88"/>
      <c r="C237" s="68" t="s">
        <v>133</v>
      </c>
      <c r="D237" s="69">
        <v>24</v>
      </c>
      <c r="E237" s="70">
        <v>8.0897967438599999E-4</v>
      </c>
    </row>
    <row r="238" spans="2:5" ht="14.45" customHeight="1">
      <c r="B238" s="88"/>
      <c r="C238" s="68" t="s">
        <v>134</v>
      </c>
      <c r="D238" s="69">
        <v>115</v>
      </c>
      <c r="E238" s="70">
        <v>3.8763609397649999E-3</v>
      </c>
    </row>
    <row r="239" spans="2:5" ht="14.45" customHeight="1">
      <c r="B239" s="88"/>
      <c r="C239" s="68" t="s">
        <v>135</v>
      </c>
      <c r="D239" s="69">
        <v>1</v>
      </c>
      <c r="E239" s="70">
        <v>3.3707486433000001E-5</v>
      </c>
    </row>
    <row r="240" spans="2:5" ht="14.45" customHeight="1">
      <c r="B240" s="88"/>
      <c r="C240" s="68" t="s">
        <v>136</v>
      </c>
      <c r="D240" s="69">
        <v>2</v>
      </c>
      <c r="E240" s="70">
        <v>6.7414972865000001E-5</v>
      </c>
    </row>
    <row r="241" spans="2:5" ht="14.45" customHeight="1">
      <c r="B241" s="88"/>
      <c r="C241" s="68" t="s">
        <v>138</v>
      </c>
      <c r="D241" s="69">
        <v>38</v>
      </c>
      <c r="E241" s="70">
        <v>1.280884484444E-3</v>
      </c>
    </row>
    <row r="242" spans="2:5" ht="14.45" customHeight="1">
      <c r="B242" s="88"/>
      <c r="C242" s="68" t="s">
        <v>140</v>
      </c>
      <c r="D242" s="69">
        <v>113</v>
      </c>
      <c r="E242" s="70">
        <v>3.8089459668989999E-3</v>
      </c>
    </row>
    <row r="243" spans="2:5" ht="14.45" customHeight="1">
      <c r="B243" s="88"/>
      <c r="C243" s="68" t="s">
        <v>141</v>
      </c>
      <c r="D243" s="69">
        <v>2445</v>
      </c>
      <c r="E243" s="70">
        <v>8.2414804328041005E-2</v>
      </c>
    </row>
    <row r="244" spans="2:5" ht="14.45" customHeight="1">
      <c r="B244" s="88"/>
      <c r="C244" s="68" t="s">
        <v>142</v>
      </c>
      <c r="D244" s="69">
        <v>5</v>
      </c>
      <c r="E244" s="70">
        <v>1.68537432164E-4</v>
      </c>
    </row>
    <row r="245" spans="2:5" ht="14.45" customHeight="1">
      <c r="B245" s="88"/>
      <c r="C245" s="68" t="s">
        <v>144</v>
      </c>
      <c r="D245" s="69">
        <v>24</v>
      </c>
      <c r="E245" s="70">
        <v>8.0897967438599999E-4</v>
      </c>
    </row>
    <row r="246" spans="2:5" ht="14.45" customHeight="1">
      <c r="B246" s="88"/>
      <c r="C246" s="68" t="s">
        <v>70</v>
      </c>
      <c r="D246" s="69">
        <v>7</v>
      </c>
      <c r="E246" s="70">
        <v>2.35952405029E-4</v>
      </c>
    </row>
    <row r="247" spans="2:5" ht="14.45" customHeight="1">
      <c r="B247" s="88"/>
      <c r="C247" s="68" t="s">
        <v>146</v>
      </c>
      <c r="D247" s="69">
        <v>9</v>
      </c>
      <c r="E247" s="70">
        <v>3.0336737789499998E-4</v>
      </c>
    </row>
    <row r="248" spans="2:5" ht="14.45" customHeight="1">
      <c r="B248" s="88"/>
      <c r="C248" s="68" t="s">
        <v>147</v>
      </c>
      <c r="D248" s="69">
        <v>1</v>
      </c>
      <c r="E248" s="70">
        <v>3.3707486433000001E-5</v>
      </c>
    </row>
    <row r="249" spans="2:5" ht="14.45" customHeight="1">
      <c r="B249" s="88"/>
      <c r="C249" s="36" t="s">
        <v>29</v>
      </c>
      <c r="D249" s="35">
        <v>4059</v>
      </c>
      <c r="E249" s="34">
        <v>0.13681868743047801</v>
      </c>
    </row>
    <row r="250" spans="2:5" ht="14.45" customHeight="1">
      <c r="B250" s="88" t="s">
        <v>263</v>
      </c>
      <c r="C250" s="68" t="s">
        <v>101</v>
      </c>
      <c r="D250" s="69">
        <v>4</v>
      </c>
      <c r="E250" s="70">
        <v>1.3482994573099999E-4</v>
      </c>
    </row>
    <row r="251" spans="2:5" ht="14.45" customHeight="1">
      <c r="B251" s="88"/>
      <c r="C251" s="68" t="s">
        <v>102</v>
      </c>
      <c r="D251" s="69">
        <v>1</v>
      </c>
      <c r="E251" s="70">
        <v>3.3707486433000001E-5</v>
      </c>
    </row>
    <row r="252" spans="2:5" ht="14.45" customHeight="1">
      <c r="B252" s="88"/>
      <c r="C252" s="68" t="s">
        <v>103</v>
      </c>
      <c r="D252" s="69">
        <v>4</v>
      </c>
      <c r="E252" s="70">
        <v>1.3482994573099999E-4</v>
      </c>
    </row>
    <row r="253" spans="2:5" ht="14.45" customHeight="1">
      <c r="B253" s="88"/>
      <c r="C253" s="68" t="s">
        <v>104</v>
      </c>
      <c r="D253" s="69">
        <v>11</v>
      </c>
      <c r="E253" s="70">
        <v>3.7078235075999999E-4</v>
      </c>
    </row>
    <row r="254" spans="2:5" ht="14.45" customHeight="1">
      <c r="B254" s="88"/>
      <c r="C254" s="68" t="s">
        <v>105</v>
      </c>
      <c r="D254" s="69">
        <v>3</v>
      </c>
      <c r="E254" s="70">
        <v>1.0112245929799999E-4</v>
      </c>
    </row>
    <row r="255" spans="2:5" ht="14.45" customHeight="1">
      <c r="B255" s="88"/>
      <c r="C255" s="68" t="s">
        <v>106</v>
      </c>
      <c r="D255" s="69">
        <v>1</v>
      </c>
      <c r="E255" s="70">
        <v>3.3707486433000001E-5</v>
      </c>
    </row>
    <row r="256" spans="2:5" ht="14.45" customHeight="1">
      <c r="B256" s="88"/>
      <c r="C256" s="68" t="s">
        <v>108</v>
      </c>
      <c r="D256" s="69">
        <v>15</v>
      </c>
      <c r="E256" s="70">
        <v>5.0561229649099995E-4</v>
      </c>
    </row>
    <row r="257" spans="2:5" ht="14.45" customHeight="1">
      <c r="B257" s="88"/>
      <c r="C257" s="68" t="s">
        <v>109</v>
      </c>
      <c r="D257" s="69">
        <v>11</v>
      </c>
      <c r="E257" s="70">
        <v>3.7078235075999999E-4</v>
      </c>
    </row>
    <row r="258" spans="2:5" ht="14.45" customHeight="1">
      <c r="B258" s="88"/>
      <c r="C258" s="68" t="s">
        <v>112</v>
      </c>
      <c r="D258" s="69">
        <v>6</v>
      </c>
      <c r="E258" s="70">
        <v>2.0224491859599999E-4</v>
      </c>
    </row>
    <row r="259" spans="2:5" ht="14.45" customHeight="1">
      <c r="B259" s="88"/>
      <c r="C259" s="68" t="s">
        <v>113</v>
      </c>
      <c r="D259" s="69">
        <v>4</v>
      </c>
      <c r="E259" s="70">
        <v>1.3482994573099999E-4</v>
      </c>
    </row>
    <row r="260" spans="2:5" ht="14.45" customHeight="1">
      <c r="B260" s="88"/>
      <c r="C260" s="68" t="s">
        <v>114</v>
      </c>
      <c r="D260" s="69">
        <v>1</v>
      </c>
      <c r="E260" s="70">
        <v>3.3707486433000001E-5</v>
      </c>
    </row>
    <row r="261" spans="2:5" ht="14.45" customHeight="1">
      <c r="B261" s="88"/>
      <c r="C261" s="68" t="s">
        <v>115</v>
      </c>
      <c r="D261" s="69">
        <v>3</v>
      </c>
      <c r="E261" s="70">
        <v>1.0112245929799999E-4</v>
      </c>
    </row>
    <row r="262" spans="2:5" ht="14.45" customHeight="1">
      <c r="B262" s="88"/>
      <c r="C262" s="68" t="s">
        <v>116</v>
      </c>
      <c r="D262" s="69">
        <v>1</v>
      </c>
      <c r="E262" s="70">
        <v>3.3707486433000001E-5</v>
      </c>
    </row>
    <row r="263" spans="2:5" ht="14.45" customHeight="1">
      <c r="B263" s="88"/>
      <c r="C263" s="68" t="s">
        <v>117</v>
      </c>
      <c r="D263" s="69">
        <v>4</v>
      </c>
      <c r="E263" s="70">
        <v>1.3482994573099999E-4</v>
      </c>
    </row>
    <row r="264" spans="2:5" ht="14.45" customHeight="1">
      <c r="B264" s="88"/>
      <c r="C264" s="68" t="s">
        <v>120</v>
      </c>
      <c r="D264" s="69">
        <v>1</v>
      </c>
      <c r="E264" s="70">
        <v>3.3707486433000001E-5</v>
      </c>
    </row>
    <row r="265" spans="2:5" ht="14.45" customHeight="1">
      <c r="B265" s="88"/>
      <c r="C265" s="68" t="s">
        <v>122</v>
      </c>
      <c r="D265" s="69">
        <v>3</v>
      </c>
      <c r="E265" s="70">
        <v>1.0112245929799999E-4</v>
      </c>
    </row>
    <row r="266" spans="2:5" ht="14.45" customHeight="1">
      <c r="B266" s="88"/>
      <c r="C266" s="68" t="s">
        <v>123</v>
      </c>
      <c r="D266" s="69">
        <v>5</v>
      </c>
      <c r="E266" s="70">
        <v>1.68537432164E-4</v>
      </c>
    </row>
    <row r="267" spans="2:5" ht="14.45" customHeight="1">
      <c r="B267" s="88"/>
      <c r="C267" s="68" t="s">
        <v>125</v>
      </c>
      <c r="D267" s="69">
        <v>1</v>
      </c>
      <c r="E267" s="70">
        <v>3.3707486433000001E-5</v>
      </c>
    </row>
    <row r="268" spans="2:5" ht="14.45" customHeight="1">
      <c r="B268" s="88"/>
      <c r="C268" s="68" t="s">
        <v>126</v>
      </c>
      <c r="D268" s="69">
        <v>3</v>
      </c>
      <c r="E268" s="70">
        <v>1.0112245929799999E-4</v>
      </c>
    </row>
    <row r="269" spans="2:5" ht="14.45" customHeight="1">
      <c r="B269" s="88"/>
      <c r="C269" s="68" t="s">
        <v>129</v>
      </c>
      <c r="D269" s="69">
        <v>1</v>
      </c>
      <c r="E269" s="70">
        <v>3.3707486433000001E-5</v>
      </c>
    </row>
    <row r="270" spans="2:5" ht="14.45" customHeight="1">
      <c r="B270" s="88"/>
      <c r="C270" s="68" t="s">
        <v>131</v>
      </c>
      <c r="D270" s="69">
        <v>7</v>
      </c>
      <c r="E270" s="70">
        <v>2.35952405029E-4</v>
      </c>
    </row>
    <row r="271" spans="2:5" ht="14.45" customHeight="1">
      <c r="B271" s="88"/>
      <c r="C271" s="68" t="s">
        <v>133</v>
      </c>
      <c r="D271" s="69">
        <v>3</v>
      </c>
      <c r="E271" s="70">
        <v>1.0112245929799999E-4</v>
      </c>
    </row>
    <row r="272" spans="2:5" ht="14.45" customHeight="1">
      <c r="B272" s="88"/>
      <c r="C272" s="68" t="s">
        <v>134</v>
      </c>
      <c r="D272" s="69">
        <v>12</v>
      </c>
      <c r="E272" s="70">
        <v>4.0448983719299999E-4</v>
      </c>
    </row>
    <row r="273" spans="2:5" ht="14.45" customHeight="1">
      <c r="B273" s="88"/>
      <c r="C273" s="68" t="s">
        <v>135</v>
      </c>
      <c r="D273" s="69">
        <v>1</v>
      </c>
      <c r="E273" s="70">
        <v>3.3707486433000001E-5</v>
      </c>
    </row>
    <row r="274" spans="2:5" ht="14.45" customHeight="1">
      <c r="B274" s="88"/>
      <c r="C274" s="68" t="s">
        <v>138</v>
      </c>
      <c r="D274" s="69">
        <v>2</v>
      </c>
      <c r="E274" s="70">
        <v>6.7414972865000001E-5</v>
      </c>
    </row>
    <row r="275" spans="2:5" ht="14.45" customHeight="1">
      <c r="B275" s="88"/>
      <c r="C275" s="68" t="s">
        <v>140</v>
      </c>
      <c r="D275" s="69">
        <v>8</v>
      </c>
      <c r="E275" s="70">
        <v>2.6965989146199998E-4</v>
      </c>
    </row>
    <row r="276" spans="2:5" ht="14.45" customHeight="1">
      <c r="B276" s="88"/>
      <c r="C276" s="68" t="s">
        <v>141</v>
      </c>
      <c r="D276" s="69">
        <v>160</v>
      </c>
      <c r="E276" s="70">
        <v>5.3931978292380001E-3</v>
      </c>
    </row>
    <row r="277" spans="2:5" ht="14.45" customHeight="1">
      <c r="B277" s="88"/>
      <c r="C277" s="68" t="s">
        <v>142</v>
      </c>
      <c r="D277" s="69">
        <v>2</v>
      </c>
      <c r="E277" s="70">
        <v>6.7414972865000001E-5</v>
      </c>
    </row>
    <row r="278" spans="2:5" ht="14.45" customHeight="1">
      <c r="B278" s="88"/>
      <c r="C278" s="68" t="s">
        <v>144</v>
      </c>
      <c r="D278" s="69">
        <v>2</v>
      </c>
      <c r="E278" s="70">
        <v>6.7414972865000001E-5</v>
      </c>
    </row>
    <row r="279" spans="2:5" ht="14.45" customHeight="1">
      <c r="B279" s="88"/>
      <c r="C279" s="68" t="s">
        <v>70</v>
      </c>
      <c r="D279" s="69">
        <v>2</v>
      </c>
      <c r="E279" s="70">
        <v>6.7414972865000001E-5</v>
      </c>
    </row>
    <row r="280" spans="2:5" ht="14.45" customHeight="1">
      <c r="B280" s="88"/>
      <c r="C280" s="68" t="s">
        <v>146</v>
      </c>
      <c r="D280" s="69">
        <v>1</v>
      </c>
      <c r="E280" s="70">
        <v>3.3707486433000001E-5</v>
      </c>
    </row>
    <row r="281" spans="2:5" ht="14.45" customHeight="1">
      <c r="B281" s="88"/>
      <c r="C281" s="36" t="s">
        <v>29</v>
      </c>
      <c r="D281" s="35">
        <v>283</v>
      </c>
      <c r="E281" s="34">
        <v>9.5392186604639998E-3</v>
      </c>
    </row>
    <row r="282" spans="2:5" ht="14.45" customHeight="1">
      <c r="B282" s="88" t="s">
        <v>264</v>
      </c>
      <c r="C282" s="68" t="s">
        <v>101</v>
      </c>
      <c r="D282" s="69">
        <v>11</v>
      </c>
      <c r="E282" s="70">
        <v>3.7078235075999999E-4</v>
      </c>
    </row>
    <row r="283" spans="2:5" ht="14.45" customHeight="1">
      <c r="B283" s="88"/>
      <c r="C283" s="68" t="s">
        <v>102</v>
      </c>
      <c r="D283" s="69">
        <v>5</v>
      </c>
      <c r="E283" s="70">
        <v>1.68537432164E-4</v>
      </c>
    </row>
    <row r="284" spans="2:5" ht="14.45" customHeight="1">
      <c r="B284" s="88"/>
      <c r="C284" s="68" t="s">
        <v>103</v>
      </c>
      <c r="D284" s="69">
        <v>8</v>
      </c>
      <c r="E284" s="70">
        <v>2.6965989146199998E-4</v>
      </c>
    </row>
    <row r="285" spans="2:5" ht="14.45" customHeight="1">
      <c r="B285" s="88"/>
      <c r="C285" s="68" t="s">
        <v>104</v>
      </c>
      <c r="D285" s="69">
        <v>24</v>
      </c>
      <c r="E285" s="70">
        <v>8.0897967438599999E-4</v>
      </c>
    </row>
    <row r="286" spans="2:5" ht="14.45" customHeight="1">
      <c r="B286" s="88"/>
      <c r="C286" s="68" t="s">
        <v>105</v>
      </c>
      <c r="D286" s="69">
        <v>3</v>
      </c>
      <c r="E286" s="70">
        <v>1.0112245929799999E-4</v>
      </c>
    </row>
    <row r="287" spans="2:5" ht="14.45" customHeight="1">
      <c r="B287" s="88"/>
      <c r="C287" s="68" t="s">
        <v>107</v>
      </c>
      <c r="D287" s="69">
        <v>2</v>
      </c>
      <c r="E287" s="70">
        <v>6.7414972865000001E-5</v>
      </c>
    </row>
    <row r="288" spans="2:5" ht="14.45" customHeight="1">
      <c r="B288" s="88"/>
      <c r="C288" s="68" t="s">
        <v>108</v>
      </c>
      <c r="D288" s="69">
        <v>31</v>
      </c>
      <c r="E288" s="70">
        <v>1.0449320794149999E-3</v>
      </c>
    </row>
    <row r="289" spans="2:5" ht="14.45" customHeight="1">
      <c r="B289" s="88"/>
      <c r="C289" s="68" t="s">
        <v>109</v>
      </c>
      <c r="D289" s="69">
        <v>31</v>
      </c>
      <c r="E289" s="70">
        <v>1.0449320794149999E-3</v>
      </c>
    </row>
    <row r="290" spans="2:5" ht="14.45" customHeight="1">
      <c r="B290" s="88"/>
      <c r="C290" s="68" t="s">
        <v>111</v>
      </c>
      <c r="D290" s="69">
        <v>2</v>
      </c>
      <c r="E290" s="70">
        <v>6.7414972865000001E-5</v>
      </c>
    </row>
    <row r="291" spans="2:5" ht="14.45" customHeight="1">
      <c r="B291" s="88"/>
      <c r="C291" s="68" t="s">
        <v>112</v>
      </c>
      <c r="D291" s="69">
        <v>8</v>
      </c>
      <c r="E291" s="70">
        <v>2.6965989146199998E-4</v>
      </c>
    </row>
    <row r="292" spans="2:5" ht="14.45" customHeight="1">
      <c r="B292" s="88"/>
      <c r="C292" s="68" t="s">
        <v>113</v>
      </c>
      <c r="D292" s="69">
        <v>13</v>
      </c>
      <c r="E292" s="70">
        <v>4.38197323626E-4</v>
      </c>
    </row>
    <row r="293" spans="2:5" ht="14.45" customHeight="1">
      <c r="B293" s="88"/>
      <c r="C293" s="68" t="s">
        <v>114</v>
      </c>
      <c r="D293" s="69">
        <v>1</v>
      </c>
      <c r="E293" s="70">
        <v>3.3707486433000001E-5</v>
      </c>
    </row>
    <row r="294" spans="2:5" ht="14.45" customHeight="1">
      <c r="B294" s="88"/>
      <c r="C294" s="68" t="s">
        <v>115</v>
      </c>
      <c r="D294" s="69">
        <v>6</v>
      </c>
      <c r="E294" s="70">
        <v>2.0224491859599999E-4</v>
      </c>
    </row>
    <row r="295" spans="2:5" ht="14.45" customHeight="1">
      <c r="B295" s="88"/>
      <c r="C295" s="68" t="s">
        <v>116</v>
      </c>
      <c r="D295" s="69">
        <v>2</v>
      </c>
      <c r="E295" s="70">
        <v>6.7414972865000001E-5</v>
      </c>
    </row>
    <row r="296" spans="2:5" ht="14.45" customHeight="1">
      <c r="B296" s="88"/>
      <c r="C296" s="68" t="s">
        <v>117</v>
      </c>
      <c r="D296" s="69">
        <v>7</v>
      </c>
      <c r="E296" s="70">
        <v>2.35952405029E-4</v>
      </c>
    </row>
    <row r="297" spans="2:5" ht="14.45" customHeight="1">
      <c r="B297" s="88"/>
      <c r="C297" s="68" t="s">
        <v>118</v>
      </c>
      <c r="D297" s="69">
        <v>1</v>
      </c>
      <c r="E297" s="70">
        <v>3.3707486433000001E-5</v>
      </c>
    </row>
    <row r="298" spans="2:5" ht="14.45" customHeight="1">
      <c r="B298" s="88"/>
      <c r="C298" s="68" t="s">
        <v>120</v>
      </c>
      <c r="D298" s="69">
        <v>5</v>
      </c>
      <c r="E298" s="70">
        <v>1.68537432164E-4</v>
      </c>
    </row>
    <row r="299" spans="2:5" ht="14.45" customHeight="1">
      <c r="B299" s="88"/>
      <c r="C299" s="68" t="s">
        <v>121</v>
      </c>
      <c r="D299" s="69">
        <v>3</v>
      </c>
      <c r="E299" s="70">
        <v>1.0112245929799999E-4</v>
      </c>
    </row>
    <row r="300" spans="2:5" ht="14.45" customHeight="1">
      <c r="B300" s="88"/>
      <c r="C300" s="68" t="s">
        <v>122</v>
      </c>
      <c r="D300" s="69">
        <v>5</v>
      </c>
      <c r="E300" s="70">
        <v>1.68537432164E-4</v>
      </c>
    </row>
    <row r="301" spans="2:5" ht="14.45" customHeight="1">
      <c r="B301" s="88"/>
      <c r="C301" s="68" t="s">
        <v>123</v>
      </c>
      <c r="D301" s="69">
        <v>3</v>
      </c>
      <c r="E301" s="70">
        <v>1.0112245929799999E-4</v>
      </c>
    </row>
    <row r="302" spans="2:5" ht="14.45" customHeight="1">
      <c r="B302" s="88"/>
      <c r="C302" s="68" t="s">
        <v>125</v>
      </c>
      <c r="D302" s="69">
        <v>3</v>
      </c>
      <c r="E302" s="70">
        <v>1.0112245929799999E-4</v>
      </c>
    </row>
    <row r="303" spans="2:5" ht="14.45" customHeight="1">
      <c r="B303" s="88"/>
      <c r="C303" s="68" t="s">
        <v>126</v>
      </c>
      <c r="D303" s="69">
        <v>5</v>
      </c>
      <c r="E303" s="70">
        <v>1.68537432164E-4</v>
      </c>
    </row>
    <row r="304" spans="2:5" ht="14.45" customHeight="1">
      <c r="B304" s="88"/>
      <c r="C304" s="68" t="s">
        <v>128</v>
      </c>
      <c r="D304" s="69">
        <v>1</v>
      </c>
      <c r="E304" s="70">
        <v>3.3707486433000001E-5</v>
      </c>
    </row>
    <row r="305" spans="2:5" ht="14.45" customHeight="1">
      <c r="B305" s="88"/>
      <c r="C305" s="68" t="s">
        <v>129</v>
      </c>
      <c r="D305" s="69">
        <v>2</v>
      </c>
      <c r="E305" s="70">
        <v>6.7414972865000001E-5</v>
      </c>
    </row>
    <row r="306" spans="2:5" ht="14.45" customHeight="1">
      <c r="B306" s="88"/>
      <c r="C306" s="68" t="s">
        <v>130</v>
      </c>
      <c r="D306" s="69">
        <v>2</v>
      </c>
      <c r="E306" s="70">
        <v>6.7414972865000001E-5</v>
      </c>
    </row>
    <row r="307" spans="2:5" ht="14.45" customHeight="1">
      <c r="B307" s="88"/>
      <c r="C307" s="68" t="s">
        <v>131</v>
      </c>
      <c r="D307" s="69">
        <v>19</v>
      </c>
      <c r="E307" s="70">
        <v>6.4044224222200002E-4</v>
      </c>
    </row>
    <row r="308" spans="2:5" ht="14.45" customHeight="1">
      <c r="B308" s="88"/>
      <c r="C308" s="68" t="s">
        <v>133</v>
      </c>
      <c r="D308" s="69">
        <v>4</v>
      </c>
      <c r="E308" s="70">
        <v>1.3482994573099999E-4</v>
      </c>
    </row>
    <row r="309" spans="2:5" ht="14.45" customHeight="1">
      <c r="B309" s="88"/>
      <c r="C309" s="68" t="s">
        <v>134</v>
      </c>
      <c r="D309" s="69">
        <v>22</v>
      </c>
      <c r="E309" s="70">
        <v>7.4156470151999997E-4</v>
      </c>
    </row>
    <row r="310" spans="2:5" ht="14.45" customHeight="1">
      <c r="B310" s="88"/>
      <c r="C310" s="68" t="s">
        <v>138</v>
      </c>
      <c r="D310" s="69">
        <v>10</v>
      </c>
      <c r="E310" s="70">
        <v>3.3707486432699998E-4</v>
      </c>
    </row>
    <row r="311" spans="2:5" ht="14.45" customHeight="1">
      <c r="B311" s="88"/>
      <c r="C311" s="68" t="s">
        <v>140</v>
      </c>
      <c r="D311" s="69">
        <v>19</v>
      </c>
      <c r="E311" s="70">
        <v>6.4044224222200002E-4</v>
      </c>
    </row>
    <row r="312" spans="2:5" ht="14.45" customHeight="1">
      <c r="B312" s="88"/>
      <c r="C312" s="68" t="s">
        <v>141</v>
      </c>
      <c r="D312" s="69">
        <v>419</v>
      </c>
      <c r="E312" s="70">
        <v>1.4123436815316999E-2</v>
      </c>
    </row>
    <row r="313" spans="2:5" ht="14.45" customHeight="1">
      <c r="B313" s="88"/>
      <c r="C313" s="68" t="s">
        <v>142</v>
      </c>
      <c r="D313" s="69">
        <v>2</v>
      </c>
      <c r="E313" s="70">
        <v>6.7414972865000001E-5</v>
      </c>
    </row>
    <row r="314" spans="2:5" ht="14.45" customHeight="1">
      <c r="B314" s="88"/>
      <c r="C314" s="68" t="s">
        <v>144</v>
      </c>
      <c r="D314" s="69">
        <v>3</v>
      </c>
      <c r="E314" s="70">
        <v>1.0112245929799999E-4</v>
      </c>
    </row>
    <row r="315" spans="2:5" ht="14.45" customHeight="1">
      <c r="B315" s="88"/>
      <c r="C315" s="68" t="s">
        <v>70</v>
      </c>
      <c r="D315" s="69">
        <v>2</v>
      </c>
      <c r="E315" s="70">
        <v>6.7414972865000001E-5</v>
      </c>
    </row>
    <row r="316" spans="2:5" ht="14.45" customHeight="1">
      <c r="B316" s="88"/>
      <c r="C316" s="68" t="s">
        <v>146</v>
      </c>
      <c r="D316" s="69">
        <v>1</v>
      </c>
      <c r="E316" s="70">
        <v>3.3707486433000001E-5</v>
      </c>
    </row>
    <row r="317" spans="2:5" ht="14.45" customHeight="1">
      <c r="B317" s="88"/>
      <c r="C317" s="36" t="s">
        <v>29</v>
      </c>
      <c r="D317" s="35">
        <v>685</v>
      </c>
      <c r="E317" s="34">
        <v>2.3089628206425E-2</v>
      </c>
    </row>
    <row r="318" spans="2:5" ht="14.45" customHeight="1">
      <c r="B318" s="88" t="s">
        <v>265</v>
      </c>
      <c r="C318" s="68" t="s">
        <v>101</v>
      </c>
      <c r="D318" s="69">
        <v>10</v>
      </c>
      <c r="E318" s="70">
        <v>3.3707486432699998E-4</v>
      </c>
    </row>
    <row r="319" spans="2:5" ht="14.45" customHeight="1">
      <c r="B319" s="88"/>
      <c r="C319" s="68" t="s">
        <v>102</v>
      </c>
      <c r="D319" s="69">
        <v>6</v>
      </c>
      <c r="E319" s="70">
        <v>2.0224491859599999E-4</v>
      </c>
    </row>
    <row r="320" spans="2:5" ht="14.45" customHeight="1">
      <c r="B320" s="88"/>
      <c r="C320" s="68" t="s">
        <v>103</v>
      </c>
      <c r="D320" s="69">
        <v>32</v>
      </c>
      <c r="E320" s="70">
        <v>1.0786395658479999E-3</v>
      </c>
    </row>
    <row r="321" spans="2:5" ht="14.45" customHeight="1">
      <c r="B321" s="88"/>
      <c r="C321" s="68" t="s">
        <v>104</v>
      </c>
      <c r="D321" s="69">
        <v>49</v>
      </c>
      <c r="E321" s="70">
        <v>1.6516668352039999E-3</v>
      </c>
    </row>
    <row r="322" spans="2:5" ht="14.45" customHeight="1">
      <c r="B322" s="88"/>
      <c r="C322" s="68" t="s">
        <v>105</v>
      </c>
      <c r="D322" s="69">
        <v>10</v>
      </c>
      <c r="E322" s="70">
        <v>3.3707486432699998E-4</v>
      </c>
    </row>
    <row r="323" spans="2:5" ht="14.45" customHeight="1">
      <c r="B323" s="88"/>
      <c r="C323" s="68" t="s">
        <v>108</v>
      </c>
      <c r="D323" s="69">
        <v>27</v>
      </c>
      <c r="E323" s="70">
        <v>9.1010213368400005E-4</v>
      </c>
    </row>
    <row r="324" spans="2:5" ht="14.45" customHeight="1">
      <c r="B324" s="88"/>
      <c r="C324" s="68" t="s">
        <v>109</v>
      </c>
      <c r="D324" s="69">
        <v>32</v>
      </c>
      <c r="E324" s="70">
        <v>1.0786395658479999E-3</v>
      </c>
    </row>
    <row r="325" spans="2:5" ht="14.45" customHeight="1">
      <c r="B325" s="88"/>
      <c r="C325" s="68" t="s">
        <v>111</v>
      </c>
      <c r="D325" s="69">
        <v>4</v>
      </c>
      <c r="E325" s="70">
        <v>1.3482994573099999E-4</v>
      </c>
    </row>
    <row r="326" spans="2:5" ht="14.45" customHeight="1">
      <c r="B326" s="88"/>
      <c r="C326" s="68" t="s">
        <v>112</v>
      </c>
      <c r="D326" s="69">
        <v>31</v>
      </c>
      <c r="E326" s="70">
        <v>1.0449320794149999E-3</v>
      </c>
    </row>
    <row r="327" spans="2:5" ht="14.45" customHeight="1">
      <c r="B327" s="88"/>
      <c r="C327" s="68" t="s">
        <v>113</v>
      </c>
      <c r="D327" s="69">
        <v>22</v>
      </c>
      <c r="E327" s="70">
        <v>7.4156470151999997E-4</v>
      </c>
    </row>
    <row r="328" spans="2:5" ht="14.45" customHeight="1">
      <c r="B328" s="88"/>
      <c r="C328" s="68" t="s">
        <v>114</v>
      </c>
      <c r="D328" s="69">
        <v>4</v>
      </c>
      <c r="E328" s="70">
        <v>1.3482994573099999E-4</v>
      </c>
    </row>
    <row r="329" spans="2:5" ht="14.45" customHeight="1">
      <c r="B329" s="88"/>
      <c r="C329" s="68" t="s">
        <v>115</v>
      </c>
      <c r="D329" s="69">
        <v>13</v>
      </c>
      <c r="E329" s="70">
        <v>4.38197323626E-4</v>
      </c>
    </row>
    <row r="330" spans="2:5" ht="14.45" customHeight="1">
      <c r="B330" s="88"/>
      <c r="C330" s="68" t="s">
        <v>116</v>
      </c>
      <c r="D330" s="69">
        <v>5</v>
      </c>
      <c r="E330" s="70">
        <v>1.68537432164E-4</v>
      </c>
    </row>
    <row r="331" spans="2:5" ht="14.45" customHeight="1">
      <c r="B331" s="88"/>
      <c r="C331" s="68" t="s">
        <v>117</v>
      </c>
      <c r="D331" s="69">
        <v>10</v>
      </c>
      <c r="E331" s="70">
        <v>3.3707486432699998E-4</v>
      </c>
    </row>
    <row r="332" spans="2:5" ht="14.45" customHeight="1">
      <c r="B332" s="88"/>
      <c r="C332" s="68" t="s">
        <v>119</v>
      </c>
      <c r="D332" s="69">
        <v>1</v>
      </c>
      <c r="E332" s="70">
        <v>3.3707486433000001E-5</v>
      </c>
    </row>
    <row r="333" spans="2:5" ht="14.45" customHeight="1">
      <c r="B333" s="88"/>
      <c r="C333" s="68" t="s">
        <v>120</v>
      </c>
      <c r="D333" s="69">
        <v>11</v>
      </c>
      <c r="E333" s="70">
        <v>3.7078235075999999E-4</v>
      </c>
    </row>
    <row r="334" spans="2:5" ht="14.45" customHeight="1">
      <c r="B334" s="88"/>
      <c r="C334" s="68" t="s">
        <v>121</v>
      </c>
      <c r="D334" s="69">
        <v>1</v>
      </c>
      <c r="E334" s="70">
        <v>3.3707486433000001E-5</v>
      </c>
    </row>
    <row r="335" spans="2:5" ht="14.45" customHeight="1">
      <c r="B335" s="88"/>
      <c r="C335" s="68" t="s">
        <v>122</v>
      </c>
      <c r="D335" s="69">
        <v>3</v>
      </c>
      <c r="E335" s="70">
        <v>1.0112245929799999E-4</v>
      </c>
    </row>
    <row r="336" spans="2:5" ht="14.45" customHeight="1">
      <c r="B336" s="88"/>
      <c r="C336" s="68" t="s">
        <v>123</v>
      </c>
      <c r="D336" s="69">
        <v>5</v>
      </c>
      <c r="E336" s="70">
        <v>1.68537432164E-4</v>
      </c>
    </row>
    <row r="337" spans="2:5" ht="14.45" customHeight="1">
      <c r="B337" s="88"/>
      <c r="C337" s="68" t="s">
        <v>125</v>
      </c>
      <c r="D337" s="69">
        <v>2</v>
      </c>
      <c r="E337" s="70">
        <v>6.7414972865000001E-5</v>
      </c>
    </row>
    <row r="338" spans="2:5" ht="14.45" customHeight="1">
      <c r="B338" s="88"/>
      <c r="C338" s="68" t="s">
        <v>126</v>
      </c>
      <c r="D338" s="69">
        <v>11</v>
      </c>
      <c r="E338" s="70">
        <v>3.7078235075999999E-4</v>
      </c>
    </row>
    <row r="339" spans="2:5" ht="14.45" customHeight="1">
      <c r="B339" s="88"/>
      <c r="C339" s="68" t="s">
        <v>128</v>
      </c>
      <c r="D339" s="69">
        <v>1</v>
      </c>
      <c r="E339" s="70">
        <v>3.3707486433000001E-5</v>
      </c>
    </row>
    <row r="340" spans="2:5" ht="14.45" customHeight="1">
      <c r="B340" s="88"/>
      <c r="C340" s="68" t="s">
        <v>129</v>
      </c>
      <c r="D340" s="69">
        <v>1</v>
      </c>
      <c r="E340" s="70">
        <v>3.3707486433000001E-5</v>
      </c>
    </row>
    <row r="341" spans="2:5" ht="14.45" customHeight="1">
      <c r="B341" s="88"/>
      <c r="C341" s="68" t="s">
        <v>131</v>
      </c>
      <c r="D341" s="69">
        <v>42</v>
      </c>
      <c r="E341" s="70">
        <v>1.415714430175E-3</v>
      </c>
    </row>
    <row r="342" spans="2:5" ht="14.45" customHeight="1">
      <c r="B342" s="88"/>
      <c r="C342" s="68" t="s">
        <v>133</v>
      </c>
      <c r="D342" s="69">
        <v>9</v>
      </c>
      <c r="E342" s="70">
        <v>3.0336737789499998E-4</v>
      </c>
    </row>
    <row r="343" spans="2:5" ht="14.45" customHeight="1">
      <c r="B343" s="88"/>
      <c r="C343" s="68" t="s">
        <v>134</v>
      </c>
      <c r="D343" s="69">
        <v>35</v>
      </c>
      <c r="E343" s="70">
        <v>1.1797620251460001E-3</v>
      </c>
    </row>
    <row r="344" spans="2:5" ht="14.45" customHeight="1">
      <c r="B344" s="88"/>
      <c r="C344" s="68" t="s">
        <v>135</v>
      </c>
      <c r="D344" s="69">
        <v>2</v>
      </c>
      <c r="E344" s="70">
        <v>6.7414972865000001E-5</v>
      </c>
    </row>
    <row r="345" spans="2:5" ht="14.45" customHeight="1">
      <c r="B345" s="88"/>
      <c r="C345" s="68" t="s">
        <v>136</v>
      </c>
      <c r="D345" s="69">
        <v>1</v>
      </c>
      <c r="E345" s="70">
        <v>3.3707486433000001E-5</v>
      </c>
    </row>
    <row r="346" spans="2:5" ht="14.45" customHeight="1">
      <c r="B346" s="88"/>
      <c r="C346" s="68" t="s">
        <v>138</v>
      </c>
      <c r="D346" s="69">
        <v>9</v>
      </c>
      <c r="E346" s="70">
        <v>3.0336737789499998E-4</v>
      </c>
    </row>
    <row r="347" spans="2:5" ht="14.45" customHeight="1">
      <c r="B347" s="88"/>
      <c r="C347" s="68" t="s">
        <v>140</v>
      </c>
      <c r="D347" s="69">
        <v>24</v>
      </c>
      <c r="E347" s="70">
        <v>8.0897967438599999E-4</v>
      </c>
    </row>
    <row r="348" spans="2:5" ht="14.45" customHeight="1">
      <c r="B348" s="88"/>
      <c r="C348" s="68" t="s">
        <v>141</v>
      </c>
      <c r="D348" s="69">
        <v>939</v>
      </c>
      <c r="E348" s="70">
        <v>3.1651329760339998E-2</v>
      </c>
    </row>
    <row r="349" spans="2:5" ht="14.45" customHeight="1">
      <c r="B349" s="88"/>
      <c r="C349" s="68" t="s">
        <v>142</v>
      </c>
      <c r="D349" s="69">
        <v>1</v>
      </c>
      <c r="E349" s="70">
        <v>3.3707486433000001E-5</v>
      </c>
    </row>
    <row r="350" spans="2:5" ht="14.45" customHeight="1">
      <c r="B350" s="88"/>
      <c r="C350" s="68" t="s">
        <v>144</v>
      </c>
      <c r="D350" s="69">
        <v>9</v>
      </c>
      <c r="E350" s="70">
        <v>3.0336737789499998E-4</v>
      </c>
    </row>
    <row r="351" spans="2:5" ht="14.45" customHeight="1">
      <c r="B351" s="88"/>
      <c r="C351" s="68" t="s">
        <v>146</v>
      </c>
      <c r="D351" s="69">
        <v>1</v>
      </c>
      <c r="E351" s="70">
        <v>3.3707486433000001E-5</v>
      </c>
    </row>
    <row r="352" spans="2:5" ht="14.45" customHeight="1">
      <c r="B352" s="88"/>
      <c r="C352" s="68" t="s">
        <v>147</v>
      </c>
      <c r="D352" s="69">
        <v>1</v>
      </c>
      <c r="E352" s="70">
        <v>3.3707486433000001E-5</v>
      </c>
    </row>
    <row r="353" spans="2:5" ht="14.45" customHeight="1">
      <c r="B353" s="88"/>
      <c r="C353" s="36" t="s">
        <v>29</v>
      </c>
      <c r="D353" s="35">
        <v>1364</v>
      </c>
      <c r="E353" s="34">
        <v>4.5977011494252998E-2</v>
      </c>
    </row>
    <row r="354" spans="2:5" ht="14.45" customHeight="1">
      <c r="B354" s="88" t="s">
        <v>266</v>
      </c>
      <c r="C354" s="68" t="s">
        <v>101</v>
      </c>
      <c r="D354" s="69">
        <v>81</v>
      </c>
      <c r="E354" s="70">
        <v>2.7303064010519998E-3</v>
      </c>
    </row>
    <row r="355" spans="2:5" ht="14.45" customHeight="1">
      <c r="B355" s="88"/>
      <c r="C355" s="68" t="s">
        <v>102</v>
      </c>
      <c r="D355" s="69">
        <v>38</v>
      </c>
      <c r="E355" s="70">
        <v>1.280884484444E-3</v>
      </c>
    </row>
    <row r="356" spans="2:5" ht="14.45" customHeight="1">
      <c r="B356" s="88"/>
      <c r="C356" s="68" t="s">
        <v>103</v>
      </c>
      <c r="D356" s="69">
        <v>170</v>
      </c>
      <c r="E356" s="70">
        <v>5.7302726935650004E-3</v>
      </c>
    </row>
    <row r="357" spans="2:5" ht="14.45" customHeight="1">
      <c r="B357" s="88"/>
      <c r="C357" s="68" t="s">
        <v>104</v>
      </c>
      <c r="D357" s="69">
        <v>278</v>
      </c>
      <c r="E357" s="70">
        <v>9.3706812283010001E-3</v>
      </c>
    </row>
    <row r="358" spans="2:5" ht="14.45" customHeight="1">
      <c r="B358" s="88"/>
      <c r="C358" s="68" t="s">
        <v>105</v>
      </c>
      <c r="D358" s="69">
        <v>59</v>
      </c>
      <c r="E358" s="70">
        <v>1.988741699531E-3</v>
      </c>
    </row>
    <row r="359" spans="2:5" ht="14.45" customHeight="1">
      <c r="B359" s="88"/>
      <c r="C359" s="68" t="s">
        <v>106</v>
      </c>
      <c r="D359" s="69">
        <v>5</v>
      </c>
      <c r="E359" s="70">
        <v>1.68537432164E-4</v>
      </c>
    </row>
    <row r="360" spans="2:5" ht="14.45" customHeight="1">
      <c r="B360" s="88"/>
      <c r="C360" s="68" t="s">
        <v>107</v>
      </c>
      <c r="D360" s="69">
        <v>14</v>
      </c>
      <c r="E360" s="70">
        <v>4.7190481005799999E-4</v>
      </c>
    </row>
    <row r="361" spans="2:5" ht="14.45" customHeight="1">
      <c r="B361" s="88"/>
      <c r="C361" s="68" t="s">
        <v>108</v>
      </c>
      <c r="D361" s="69">
        <v>236</v>
      </c>
      <c r="E361" s="70">
        <v>7.9549667981260001E-3</v>
      </c>
    </row>
    <row r="362" spans="2:5" ht="14.45" customHeight="1">
      <c r="B362" s="88"/>
      <c r="C362" s="68" t="s">
        <v>109</v>
      </c>
      <c r="D362" s="69">
        <v>438</v>
      </c>
      <c r="E362" s="70">
        <v>1.4763879057539E-2</v>
      </c>
    </row>
    <row r="363" spans="2:5" ht="14.45" customHeight="1">
      <c r="B363" s="88"/>
      <c r="C363" s="68" t="s">
        <v>110</v>
      </c>
      <c r="D363" s="69">
        <v>1</v>
      </c>
      <c r="E363" s="70">
        <v>3.3707486433000001E-5</v>
      </c>
    </row>
    <row r="364" spans="2:5" ht="14.45" customHeight="1">
      <c r="B364" s="88"/>
      <c r="C364" s="68" t="s">
        <v>111</v>
      </c>
      <c r="D364" s="69">
        <v>16</v>
      </c>
      <c r="E364" s="70">
        <v>5.3931978292399995E-4</v>
      </c>
    </row>
    <row r="365" spans="2:5" ht="14.45" customHeight="1">
      <c r="B365" s="88"/>
      <c r="C365" s="68" t="s">
        <v>112</v>
      </c>
      <c r="D365" s="69">
        <v>354</v>
      </c>
      <c r="E365" s="70">
        <v>1.1932450197189E-2</v>
      </c>
    </row>
    <row r="366" spans="2:5" ht="14.45" customHeight="1">
      <c r="B366" s="88"/>
      <c r="C366" s="68" t="s">
        <v>113</v>
      </c>
      <c r="D366" s="69">
        <v>109</v>
      </c>
      <c r="E366" s="70">
        <v>3.6741160211679999E-3</v>
      </c>
    </row>
    <row r="367" spans="2:5" ht="14.45" customHeight="1">
      <c r="B367" s="88"/>
      <c r="C367" s="68" t="s">
        <v>114</v>
      </c>
      <c r="D367" s="69">
        <v>14</v>
      </c>
      <c r="E367" s="70">
        <v>4.7190481005799999E-4</v>
      </c>
    </row>
    <row r="368" spans="2:5" ht="14.45" customHeight="1">
      <c r="B368" s="88"/>
      <c r="C368" s="68" t="s">
        <v>115</v>
      </c>
      <c r="D368" s="69">
        <v>59</v>
      </c>
      <c r="E368" s="70">
        <v>1.988741699531E-3</v>
      </c>
    </row>
    <row r="369" spans="2:5" ht="14.45" customHeight="1">
      <c r="B369" s="88"/>
      <c r="C369" s="68" t="s">
        <v>116</v>
      </c>
      <c r="D369" s="69">
        <v>50</v>
      </c>
      <c r="E369" s="70">
        <v>1.6853743216369999E-3</v>
      </c>
    </row>
    <row r="370" spans="2:5" ht="14.45" customHeight="1">
      <c r="B370" s="88"/>
      <c r="C370" s="68" t="s">
        <v>117</v>
      </c>
      <c r="D370" s="69">
        <v>106</v>
      </c>
      <c r="E370" s="70">
        <v>3.5729935618700002E-3</v>
      </c>
    </row>
    <row r="371" spans="2:5" ht="14.45" customHeight="1">
      <c r="B371" s="88"/>
      <c r="C371" s="68" t="s">
        <v>118</v>
      </c>
      <c r="D371" s="69">
        <v>9</v>
      </c>
      <c r="E371" s="70">
        <v>3.0336737789499998E-4</v>
      </c>
    </row>
    <row r="372" spans="2:5" ht="14.45" customHeight="1">
      <c r="B372" s="88"/>
      <c r="C372" s="68" t="s">
        <v>119</v>
      </c>
      <c r="D372" s="69">
        <v>10</v>
      </c>
      <c r="E372" s="70">
        <v>3.3707486432699998E-4</v>
      </c>
    </row>
    <row r="373" spans="2:5" ht="14.45" customHeight="1">
      <c r="B373" s="88"/>
      <c r="C373" s="68" t="s">
        <v>120</v>
      </c>
      <c r="D373" s="69">
        <v>40</v>
      </c>
      <c r="E373" s="70">
        <v>1.348299457309E-3</v>
      </c>
    </row>
    <row r="374" spans="2:5" ht="14.45" customHeight="1">
      <c r="B374" s="88"/>
      <c r="C374" s="68" t="s">
        <v>121</v>
      </c>
      <c r="D374" s="69">
        <v>52</v>
      </c>
      <c r="E374" s="70">
        <v>1.7527892945020001E-3</v>
      </c>
    </row>
    <row r="375" spans="2:5" ht="14.45" customHeight="1">
      <c r="B375" s="88"/>
      <c r="C375" s="68" t="s">
        <v>122</v>
      </c>
      <c r="D375" s="69">
        <v>55</v>
      </c>
      <c r="E375" s="70">
        <v>1.8539117538010001E-3</v>
      </c>
    </row>
    <row r="376" spans="2:5" ht="14.45" customHeight="1">
      <c r="B376" s="88"/>
      <c r="C376" s="68" t="s">
        <v>123</v>
      </c>
      <c r="D376" s="69">
        <v>52</v>
      </c>
      <c r="E376" s="70">
        <v>1.7527892945020001E-3</v>
      </c>
    </row>
    <row r="377" spans="2:5" ht="14.45" customHeight="1">
      <c r="B377" s="88"/>
      <c r="C377" s="68" t="s">
        <v>124</v>
      </c>
      <c r="D377" s="69">
        <v>7</v>
      </c>
      <c r="E377" s="70">
        <v>2.35952405029E-4</v>
      </c>
    </row>
    <row r="378" spans="2:5" ht="14.45" customHeight="1">
      <c r="B378" s="88"/>
      <c r="C378" s="68" t="s">
        <v>125</v>
      </c>
      <c r="D378" s="69">
        <v>31</v>
      </c>
      <c r="E378" s="70">
        <v>1.0449320794149999E-3</v>
      </c>
    </row>
    <row r="379" spans="2:5" ht="14.45" customHeight="1">
      <c r="B379" s="88"/>
      <c r="C379" s="68" t="s">
        <v>126</v>
      </c>
      <c r="D379" s="69">
        <v>38</v>
      </c>
      <c r="E379" s="70">
        <v>1.280884484444E-3</v>
      </c>
    </row>
    <row r="380" spans="2:5" ht="14.45" customHeight="1">
      <c r="B380" s="88"/>
      <c r="C380" s="68" t="s">
        <v>128</v>
      </c>
      <c r="D380" s="69">
        <v>13</v>
      </c>
      <c r="E380" s="70">
        <v>4.38197323626E-4</v>
      </c>
    </row>
    <row r="381" spans="2:5" ht="14.45" customHeight="1">
      <c r="B381" s="88"/>
      <c r="C381" s="68" t="s">
        <v>129</v>
      </c>
      <c r="D381" s="69">
        <v>19</v>
      </c>
      <c r="E381" s="70">
        <v>6.4044224222200002E-4</v>
      </c>
    </row>
    <row r="382" spans="2:5" ht="14.45" customHeight="1">
      <c r="B382" s="88"/>
      <c r="C382" s="68" t="s">
        <v>130</v>
      </c>
      <c r="D382" s="69">
        <v>15</v>
      </c>
      <c r="E382" s="70">
        <v>5.0561229649099995E-4</v>
      </c>
    </row>
    <row r="383" spans="2:5" ht="14.45" customHeight="1">
      <c r="B383" s="88"/>
      <c r="C383" s="68" t="s">
        <v>131</v>
      </c>
      <c r="D383" s="69">
        <v>284</v>
      </c>
      <c r="E383" s="70">
        <v>9.5729261468970005E-3</v>
      </c>
    </row>
    <row r="384" spans="2:5" ht="14.45" customHeight="1">
      <c r="B384" s="88"/>
      <c r="C384" s="68" t="s">
        <v>132</v>
      </c>
      <c r="D384" s="69">
        <v>7</v>
      </c>
      <c r="E384" s="70">
        <v>2.35952405029E-4</v>
      </c>
    </row>
    <row r="385" spans="2:5" ht="14.45" customHeight="1">
      <c r="B385" s="88"/>
      <c r="C385" s="68" t="s">
        <v>133</v>
      </c>
      <c r="D385" s="69">
        <v>45</v>
      </c>
      <c r="E385" s="70">
        <v>1.516836889473E-3</v>
      </c>
    </row>
    <row r="386" spans="2:5" ht="14.45" customHeight="1">
      <c r="B386" s="88"/>
      <c r="C386" s="68" t="s">
        <v>134</v>
      </c>
      <c r="D386" s="69">
        <v>320</v>
      </c>
      <c r="E386" s="70">
        <v>1.0786395658476E-2</v>
      </c>
    </row>
    <row r="387" spans="2:5" ht="14.45" customHeight="1">
      <c r="B387" s="88"/>
      <c r="C387" s="68" t="s">
        <v>135</v>
      </c>
      <c r="D387" s="69">
        <v>4</v>
      </c>
      <c r="E387" s="70">
        <v>1.3482994573099999E-4</v>
      </c>
    </row>
    <row r="388" spans="2:5" ht="14.45" customHeight="1">
      <c r="B388" s="88"/>
      <c r="C388" s="68" t="s">
        <v>136</v>
      </c>
      <c r="D388" s="69">
        <v>13</v>
      </c>
      <c r="E388" s="70">
        <v>4.38197323626E-4</v>
      </c>
    </row>
    <row r="389" spans="2:5" ht="14.45" customHeight="1">
      <c r="B389" s="88"/>
      <c r="C389" s="68" t="s">
        <v>137</v>
      </c>
      <c r="D389" s="69">
        <v>2</v>
      </c>
      <c r="E389" s="70">
        <v>6.7414972865000001E-5</v>
      </c>
    </row>
    <row r="390" spans="2:5" ht="14.45" customHeight="1">
      <c r="B390" s="88"/>
      <c r="C390" s="68" t="s">
        <v>138</v>
      </c>
      <c r="D390" s="69">
        <v>116</v>
      </c>
      <c r="E390" s="70">
        <v>3.9100684261969996E-3</v>
      </c>
    </row>
    <row r="391" spans="2:5" ht="14.45" customHeight="1">
      <c r="B391" s="88"/>
      <c r="C391" s="68" t="s">
        <v>139</v>
      </c>
      <c r="D391" s="69">
        <v>7</v>
      </c>
      <c r="E391" s="70">
        <v>2.35952405029E-4</v>
      </c>
    </row>
    <row r="392" spans="2:5" ht="14.45" customHeight="1">
      <c r="B392" s="88"/>
      <c r="C392" s="68" t="s">
        <v>140</v>
      </c>
      <c r="D392" s="69">
        <v>212</v>
      </c>
      <c r="E392" s="70">
        <v>7.1459871237400004E-3</v>
      </c>
    </row>
    <row r="393" spans="2:5" ht="14.45" customHeight="1">
      <c r="B393" s="88"/>
      <c r="C393" s="68" t="s">
        <v>141</v>
      </c>
      <c r="D393" s="69">
        <v>7103</v>
      </c>
      <c r="E393" s="70">
        <v>0.23942427613172901</v>
      </c>
    </row>
    <row r="394" spans="2:5" ht="14.45" customHeight="1">
      <c r="B394" s="88"/>
      <c r="C394" s="68" t="s">
        <v>142</v>
      </c>
      <c r="D394" s="69">
        <v>21</v>
      </c>
      <c r="E394" s="70">
        <v>7.0785721508699996E-4</v>
      </c>
    </row>
    <row r="395" spans="2:5" ht="14.45" customHeight="1">
      <c r="B395" s="88"/>
      <c r="C395" s="68" t="s">
        <v>144</v>
      </c>
      <c r="D395" s="69">
        <v>58</v>
      </c>
      <c r="E395" s="70">
        <v>1.9550342130989998E-3</v>
      </c>
    </row>
    <row r="396" spans="2:5" ht="14.45" customHeight="1">
      <c r="B396" s="88"/>
      <c r="C396" s="68" t="s">
        <v>70</v>
      </c>
      <c r="D396" s="69">
        <v>17</v>
      </c>
      <c r="E396" s="70">
        <v>5.7302726935699996E-4</v>
      </c>
    </row>
    <row r="397" spans="2:5" ht="14.45" customHeight="1">
      <c r="B397" s="88"/>
      <c r="C397" s="68" t="s">
        <v>145</v>
      </c>
      <c r="D397" s="69">
        <v>1</v>
      </c>
      <c r="E397" s="70">
        <v>3.3707486433000001E-5</v>
      </c>
    </row>
    <row r="398" spans="2:5" ht="14.45" customHeight="1">
      <c r="B398" s="88"/>
      <c r="C398" s="68" t="s">
        <v>146</v>
      </c>
      <c r="D398" s="69">
        <v>18</v>
      </c>
      <c r="E398" s="70">
        <v>6.0673475578900001E-4</v>
      </c>
    </row>
    <row r="399" spans="2:5" ht="14.45" customHeight="1">
      <c r="B399" s="88"/>
      <c r="C399" s="68" t="s">
        <v>147</v>
      </c>
      <c r="D399" s="69">
        <v>6</v>
      </c>
      <c r="E399" s="70">
        <v>2.0224491859599999E-4</v>
      </c>
    </row>
    <row r="400" spans="2:5" ht="14.45" customHeight="1">
      <c r="B400" s="88"/>
      <c r="C400" s="36" t="s">
        <v>29</v>
      </c>
      <c r="D400" s="35">
        <v>10603</v>
      </c>
      <c r="E400" s="34">
        <v>0.35740047864630697</v>
      </c>
    </row>
    <row r="401" spans="2:5" ht="14.45" customHeight="1">
      <c r="B401" s="88" t="s">
        <v>267</v>
      </c>
      <c r="C401" s="68" t="s">
        <v>101</v>
      </c>
      <c r="D401" s="69">
        <v>2</v>
      </c>
      <c r="E401" s="70">
        <v>6.7414972865000001E-5</v>
      </c>
    </row>
    <row r="402" spans="2:5" ht="14.45" customHeight="1">
      <c r="B402" s="88"/>
      <c r="C402" s="68" t="s">
        <v>102</v>
      </c>
      <c r="D402" s="69">
        <v>1</v>
      </c>
      <c r="E402" s="70">
        <v>3.3707486433000001E-5</v>
      </c>
    </row>
    <row r="403" spans="2:5" ht="14.45" customHeight="1">
      <c r="B403" s="88"/>
      <c r="C403" s="68" t="s">
        <v>103</v>
      </c>
      <c r="D403" s="69">
        <v>5</v>
      </c>
      <c r="E403" s="70">
        <v>1.68537432164E-4</v>
      </c>
    </row>
    <row r="404" spans="2:5" ht="14.45" customHeight="1">
      <c r="B404" s="88"/>
      <c r="C404" s="68" t="s">
        <v>104</v>
      </c>
      <c r="D404" s="69">
        <v>10</v>
      </c>
      <c r="E404" s="70">
        <v>3.3707486432699998E-4</v>
      </c>
    </row>
    <row r="405" spans="2:5" ht="14.45" customHeight="1">
      <c r="B405" s="88"/>
      <c r="C405" s="68" t="s">
        <v>105</v>
      </c>
      <c r="D405" s="69">
        <v>2</v>
      </c>
      <c r="E405" s="70">
        <v>6.7414972865000001E-5</v>
      </c>
    </row>
    <row r="406" spans="2:5" ht="14.45" customHeight="1">
      <c r="B406" s="88"/>
      <c r="C406" s="68" t="s">
        <v>108</v>
      </c>
      <c r="D406" s="69">
        <v>6</v>
      </c>
      <c r="E406" s="70">
        <v>2.0224491859599999E-4</v>
      </c>
    </row>
    <row r="407" spans="2:5" ht="14.45" customHeight="1">
      <c r="B407" s="88"/>
      <c r="C407" s="68" t="s">
        <v>109</v>
      </c>
      <c r="D407" s="69">
        <v>14</v>
      </c>
      <c r="E407" s="70">
        <v>4.7190481005799999E-4</v>
      </c>
    </row>
    <row r="408" spans="2:5" ht="14.45" customHeight="1">
      <c r="B408" s="88"/>
      <c r="C408" s="68" t="s">
        <v>112</v>
      </c>
      <c r="D408" s="69">
        <v>20</v>
      </c>
      <c r="E408" s="70">
        <v>6.7414972865500002E-4</v>
      </c>
    </row>
    <row r="409" spans="2:5" ht="14.45" customHeight="1">
      <c r="B409" s="88"/>
      <c r="C409" s="68" t="s">
        <v>113</v>
      </c>
      <c r="D409" s="69">
        <v>2</v>
      </c>
      <c r="E409" s="70">
        <v>6.7414972865000001E-5</v>
      </c>
    </row>
    <row r="410" spans="2:5" ht="14.45" customHeight="1">
      <c r="B410" s="88"/>
      <c r="C410" s="68" t="s">
        <v>115</v>
      </c>
      <c r="D410" s="69">
        <v>3</v>
      </c>
      <c r="E410" s="70">
        <v>1.0112245929799999E-4</v>
      </c>
    </row>
    <row r="411" spans="2:5" ht="14.45" customHeight="1">
      <c r="B411" s="88"/>
      <c r="C411" s="68" t="s">
        <v>116</v>
      </c>
      <c r="D411" s="69">
        <v>2</v>
      </c>
      <c r="E411" s="70">
        <v>6.7414972865000001E-5</v>
      </c>
    </row>
    <row r="412" spans="2:5" ht="14.45" customHeight="1">
      <c r="B412" s="88"/>
      <c r="C412" s="68" t="s">
        <v>117</v>
      </c>
      <c r="D412" s="69">
        <v>6</v>
      </c>
      <c r="E412" s="70">
        <v>2.0224491859599999E-4</v>
      </c>
    </row>
    <row r="413" spans="2:5" ht="14.45" customHeight="1">
      <c r="B413" s="88"/>
      <c r="C413" s="68" t="s">
        <v>119</v>
      </c>
      <c r="D413" s="69">
        <v>1</v>
      </c>
      <c r="E413" s="70">
        <v>3.3707486433000001E-5</v>
      </c>
    </row>
    <row r="414" spans="2:5" ht="14.45" customHeight="1">
      <c r="B414" s="88"/>
      <c r="C414" s="68" t="s">
        <v>120</v>
      </c>
      <c r="D414" s="69">
        <v>4</v>
      </c>
      <c r="E414" s="70">
        <v>1.3482994573099999E-4</v>
      </c>
    </row>
    <row r="415" spans="2:5" ht="14.45" customHeight="1">
      <c r="B415" s="88"/>
      <c r="C415" s="68" t="s">
        <v>121</v>
      </c>
      <c r="D415" s="69">
        <v>1</v>
      </c>
      <c r="E415" s="70">
        <v>3.3707486433000001E-5</v>
      </c>
    </row>
    <row r="416" spans="2:5" ht="14.45" customHeight="1">
      <c r="B416" s="88"/>
      <c r="C416" s="68" t="s">
        <v>123</v>
      </c>
      <c r="D416" s="69">
        <v>1</v>
      </c>
      <c r="E416" s="70">
        <v>3.3707486433000001E-5</v>
      </c>
    </row>
    <row r="417" spans="2:5" ht="14.45" customHeight="1">
      <c r="B417" s="88"/>
      <c r="C417" s="68" t="s">
        <v>125</v>
      </c>
      <c r="D417" s="69">
        <v>2</v>
      </c>
      <c r="E417" s="70">
        <v>6.7414972865000001E-5</v>
      </c>
    </row>
    <row r="418" spans="2:5" ht="14.45" customHeight="1">
      <c r="B418" s="88"/>
      <c r="C418" s="68" t="s">
        <v>126</v>
      </c>
      <c r="D418" s="69">
        <v>4</v>
      </c>
      <c r="E418" s="70">
        <v>1.3482994573099999E-4</v>
      </c>
    </row>
    <row r="419" spans="2:5" ht="14.45" customHeight="1">
      <c r="B419" s="88"/>
      <c r="C419" s="68" t="s">
        <v>129</v>
      </c>
      <c r="D419" s="69">
        <v>1</v>
      </c>
      <c r="E419" s="70">
        <v>3.3707486433000001E-5</v>
      </c>
    </row>
    <row r="420" spans="2:5" ht="14.45" customHeight="1">
      <c r="B420" s="88"/>
      <c r="C420" s="68" t="s">
        <v>130</v>
      </c>
      <c r="D420" s="69">
        <v>1</v>
      </c>
      <c r="E420" s="70">
        <v>3.3707486433000001E-5</v>
      </c>
    </row>
    <row r="421" spans="2:5" ht="14.45" customHeight="1">
      <c r="B421" s="88"/>
      <c r="C421" s="68" t="s">
        <v>131</v>
      </c>
      <c r="D421" s="69">
        <v>9</v>
      </c>
      <c r="E421" s="70">
        <v>3.0336737789499998E-4</v>
      </c>
    </row>
    <row r="422" spans="2:5" ht="14.45" customHeight="1">
      <c r="B422" s="88"/>
      <c r="C422" s="68" t="s">
        <v>133</v>
      </c>
      <c r="D422" s="69">
        <v>1</v>
      </c>
      <c r="E422" s="70">
        <v>3.3707486433000001E-5</v>
      </c>
    </row>
    <row r="423" spans="2:5" ht="14.45" customHeight="1">
      <c r="B423" s="88"/>
      <c r="C423" s="68" t="s">
        <v>134</v>
      </c>
      <c r="D423" s="69">
        <v>7</v>
      </c>
      <c r="E423" s="70">
        <v>2.35952405029E-4</v>
      </c>
    </row>
    <row r="424" spans="2:5" ht="14.45" customHeight="1">
      <c r="B424" s="88"/>
      <c r="C424" s="68" t="s">
        <v>138</v>
      </c>
      <c r="D424" s="69">
        <v>5</v>
      </c>
      <c r="E424" s="70">
        <v>1.68537432164E-4</v>
      </c>
    </row>
    <row r="425" spans="2:5" ht="14.45" customHeight="1">
      <c r="B425" s="88"/>
      <c r="C425" s="68" t="s">
        <v>140</v>
      </c>
      <c r="D425" s="69">
        <v>5</v>
      </c>
      <c r="E425" s="70">
        <v>1.68537432164E-4</v>
      </c>
    </row>
    <row r="426" spans="2:5" ht="14.45" customHeight="1">
      <c r="B426" s="88"/>
      <c r="C426" s="68" t="s">
        <v>141</v>
      </c>
      <c r="D426" s="69">
        <v>246</v>
      </c>
      <c r="E426" s="70">
        <v>8.2920416624530004E-3</v>
      </c>
    </row>
    <row r="427" spans="2:5" ht="14.45" customHeight="1">
      <c r="B427" s="88"/>
      <c r="C427" s="68" t="s">
        <v>144</v>
      </c>
      <c r="D427" s="69">
        <v>1</v>
      </c>
      <c r="E427" s="70">
        <v>3.3707486433000001E-5</v>
      </c>
    </row>
    <row r="428" spans="2:5" ht="14.45" customHeight="1">
      <c r="B428" s="88"/>
      <c r="C428" s="68" t="s">
        <v>70</v>
      </c>
      <c r="D428" s="69">
        <v>1</v>
      </c>
      <c r="E428" s="70">
        <v>3.3707486433000001E-5</v>
      </c>
    </row>
    <row r="429" spans="2:5" ht="14.45" customHeight="1">
      <c r="B429" s="88"/>
      <c r="C429" s="68" t="s">
        <v>146</v>
      </c>
      <c r="D429" s="69">
        <v>3</v>
      </c>
      <c r="E429" s="70">
        <v>1.0112245929799999E-4</v>
      </c>
    </row>
    <row r="430" spans="2:5" ht="14.45" customHeight="1">
      <c r="B430" s="88"/>
      <c r="C430" s="36" t="s">
        <v>29</v>
      </c>
      <c r="D430" s="35">
        <v>366</v>
      </c>
      <c r="E430" s="34">
        <v>1.2336940034382E-2</v>
      </c>
    </row>
    <row r="431" spans="2:5" ht="14.45" customHeight="1">
      <c r="B431" s="88" t="s">
        <v>268</v>
      </c>
      <c r="C431" s="68" t="s">
        <v>101</v>
      </c>
      <c r="D431" s="69">
        <v>10</v>
      </c>
      <c r="E431" s="70">
        <v>3.3707486432699998E-4</v>
      </c>
    </row>
    <row r="432" spans="2:5" ht="14.45" customHeight="1">
      <c r="B432" s="88"/>
      <c r="C432" s="68" t="s">
        <v>102</v>
      </c>
      <c r="D432" s="69">
        <v>5</v>
      </c>
      <c r="E432" s="70">
        <v>1.68537432164E-4</v>
      </c>
    </row>
    <row r="433" spans="2:5" ht="14.45" customHeight="1">
      <c r="B433" s="88"/>
      <c r="C433" s="68" t="s">
        <v>103</v>
      </c>
      <c r="D433" s="69">
        <v>23</v>
      </c>
      <c r="E433" s="70">
        <v>7.7527218795299998E-4</v>
      </c>
    </row>
    <row r="434" spans="2:5" ht="14.45" customHeight="1">
      <c r="B434" s="88"/>
      <c r="C434" s="68" t="s">
        <v>104</v>
      </c>
      <c r="D434" s="69">
        <v>41</v>
      </c>
      <c r="E434" s="70">
        <v>1.382006943742E-3</v>
      </c>
    </row>
    <row r="435" spans="2:5" ht="14.45" customHeight="1">
      <c r="B435" s="88"/>
      <c r="C435" s="68" t="s">
        <v>105</v>
      </c>
      <c r="D435" s="69">
        <v>12</v>
      </c>
      <c r="E435" s="70">
        <v>4.0448983719299999E-4</v>
      </c>
    </row>
    <row r="436" spans="2:5" ht="14.45" customHeight="1">
      <c r="B436" s="88"/>
      <c r="C436" s="68" t="s">
        <v>106</v>
      </c>
      <c r="D436" s="69">
        <v>1</v>
      </c>
      <c r="E436" s="70">
        <v>3.3707486433000001E-5</v>
      </c>
    </row>
    <row r="437" spans="2:5" ht="14.45" customHeight="1">
      <c r="B437" s="88"/>
      <c r="C437" s="68" t="s">
        <v>107</v>
      </c>
      <c r="D437" s="69">
        <v>2</v>
      </c>
      <c r="E437" s="70">
        <v>6.7414972865000001E-5</v>
      </c>
    </row>
    <row r="438" spans="2:5" ht="14.45" customHeight="1">
      <c r="B438" s="88"/>
      <c r="C438" s="68" t="s">
        <v>108</v>
      </c>
      <c r="D438" s="69">
        <v>18</v>
      </c>
      <c r="E438" s="70">
        <v>6.0673475578900001E-4</v>
      </c>
    </row>
    <row r="439" spans="2:5" ht="14.45" customHeight="1">
      <c r="B439" s="88"/>
      <c r="C439" s="68" t="s">
        <v>109</v>
      </c>
      <c r="D439" s="69">
        <v>38</v>
      </c>
      <c r="E439" s="70">
        <v>1.280884484444E-3</v>
      </c>
    </row>
    <row r="440" spans="2:5" ht="14.45" customHeight="1">
      <c r="B440" s="88"/>
      <c r="C440" s="68" t="s">
        <v>111</v>
      </c>
      <c r="D440" s="69">
        <v>4</v>
      </c>
      <c r="E440" s="70">
        <v>1.3482994573099999E-4</v>
      </c>
    </row>
    <row r="441" spans="2:5" ht="14.45" customHeight="1">
      <c r="B441" s="88"/>
      <c r="C441" s="68" t="s">
        <v>112</v>
      </c>
      <c r="D441" s="69">
        <v>40</v>
      </c>
      <c r="E441" s="70">
        <v>1.348299457309E-3</v>
      </c>
    </row>
    <row r="442" spans="2:5" ht="14.45" customHeight="1">
      <c r="B442" s="88"/>
      <c r="C442" s="68" t="s">
        <v>113</v>
      </c>
      <c r="D442" s="69">
        <v>10</v>
      </c>
      <c r="E442" s="70">
        <v>3.3707486432699998E-4</v>
      </c>
    </row>
    <row r="443" spans="2:5" ht="14.45" customHeight="1">
      <c r="B443" s="88"/>
      <c r="C443" s="68" t="s">
        <v>114</v>
      </c>
      <c r="D443" s="69">
        <v>1</v>
      </c>
      <c r="E443" s="70">
        <v>3.3707486433000001E-5</v>
      </c>
    </row>
    <row r="444" spans="2:5" ht="14.45" customHeight="1">
      <c r="B444" s="88"/>
      <c r="C444" s="68" t="s">
        <v>115</v>
      </c>
      <c r="D444" s="69">
        <v>11</v>
      </c>
      <c r="E444" s="70">
        <v>3.7078235075999999E-4</v>
      </c>
    </row>
    <row r="445" spans="2:5" ht="14.45" customHeight="1">
      <c r="B445" s="88"/>
      <c r="C445" s="68" t="s">
        <v>116</v>
      </c>
      <c r="D445" s="69">
        <v>4</v>
      </c>
      <c r="E445" s="70">
        <v>1.3482994573099999E-4</v>
      </c>
    </row>
    <row r="446" spans="2:5" ht="14.45" customHeight="1">
      <c r="B446" s="88"/>
      <c r="C446" s="68" t="s">
        <v>117</v>
      </c>
      <c r="D446" s="69">
        <v>8</v>
      </c>
      <c r="E446" s="70">
        <v>2.6965989146199998E-4</v>
      </c>
    </row>
    <row r="447" spans="2:5" ht="14.45" customHeight="1">
      <c r="B447" s="88"/>
      <c r="C447" s="68" t="s">
        <v>118</v>
      </c>
      <c r="D447" s="69">
        <v>1</v>
      </c>
      <c r="E447" s="70">
        <v>3.3707486433000001E-5</v>
      </c>
    </row>
    <row r="448" spans="2:5" ht="14.45" customHeight="1">
      <c r="B448" s="88"/>
      <c r="C448" s="68" t="s">
        <v>119</v>
      </c>
      <c r="D448" s="69">
        <v>1</v>
      </c>
      <c r="E448" s="70">
        <v>3.3707486433000001E-5</v>
      </c>
    </row>
    <row r="449" spans="2:5" ht="14.45" customHeight="1">
      <c r="B449" s="88"/>
      <c r="C449" s="68" t="s">
        <v>120</v>
      </c>
      <c r="D449" s="69">
        <v>13</v>
      </c>
      <c r="E449" s="70">
        <v>4.38197323626E-4</v>
      </c>
    </row>
    <row r="450" spans="2:5" ht="14.45" customHeight="1">
      <c r="B450" s="88"/>
      <c r="C450" s="68" t="s">
        <v>121</v>
      </c>
      <c r="D450" s="69">
        <v>3</v>
      </c>
      <c r="E450" s="70">
        <v>1.0112245929799999E-4</v>
      </c>
    </row>
    <row r="451" spans="2:5" ht="14.45" customHeight="1">
      <c r="B451" s="88"/>
      <c r="C451" s="68" t="s">
        <v>122</v>
      </c>
      <c r="D451" s="69">
        <v>5</v>
      </c>
      <c r="E451" s="70">
        <v>1.68537432164E-4</v>
      </c>
    </row>
    <row r="452" spans="2:5" ht="14.45" customHeight="1">
      <c r="B452" s="88"/>
      <c r="C452" s="68" t="s">
        <v>123</v>
      </c>
      <c r="D452" s="69">
        <v>7</v>
      </c>
      <c r="E452" s="70">
        <v>2.35952405029E-4</v>
      </c>
    </row>
    <row r="453" spans="2:5" ht="14.45" customHeight="1">
      <c r="B453" s="88"/>
      <c r="C453" s="68" t="s">
        <v>125</v>
      </c>
      <c r="D453" s="69">
        <v>3</v>
      </c>
      <c r="E453" s="70">
        <v>1.0112245929799999E-4</v>
      </c>
    </row>
    <row r="454" spans="2:5" ht="14.45" customHeight="1">
      <c r="B454" s="88"/>
      <c r="C454" s="68" t="s">
        <v>126</v>
      </c>
      <c r="D454" s="69">
        <v>7</v>
      </c>
      <c r="E454" s="70">
        <v>2.35952405029E-4</v>
      </c>
    </row>
    <row r="455" spans="2:5" ht="14.45" customHeight="1">
      <c r="B455" s="88"/>
      <c r="C455" s="68" t="s">
        <v>128</v>
      </c>
      <c r="D455" s="69">
        <v>2</v>
      </c>
      <c r="E455" s="70">
        <v>6.7414972865000001E-5</v>
      </c>
    </row>
    <row r="456" spans="2:5" ht="14.45" customHeight="1">
      <c r="B456" s="88"/>
      <c r="C456" s="68" t="s">
        <v>129</v>
      </c>
      <c r="D456" s="69">
        <v>2</v>
      </c>
      <c r="E456" s="70">
        <v>6.7414972865000001E-5</v>
      </c>
    </row>
    <row r="457" spans="2:5" ht="14.45" customHeight="1">
      <c r="B457" s="88"/>
      <c r="C457" s="68" t="s">
        <v>130</v>
      </c>
      <c r="D457" s="69">
        <v>2</v>
      </c>
      <c r="E457" s="70">
        <v>6.7414972865000001E-5</v>
      </c>
    </row>
    <row r="458" spans="2:5" ht="14.45" customHeight="1">
      <c r="B458" s="88"/>
      <c r="C458" s="68" t="s">
        <v>131</v>
      </c>
      <c r="D458" s="69">
        <v>33</v>
      </c>
      <c r="E458" s="70">
        <v>1.1123470522800001E-3</v>
      </c>
    </row>
    <row r="459" spans="2:5" ht="14.45" customHeight="1">
      <c r="B459" s="88"/>
      <c r="C459" s="68" t="s">
        <v>133</v>
      </c>
      <c r="D459" s="69">
        <v>6</v>
      </c>
      <c r="E459" s="70">
        <v>2.0224491859599999E-4</v>
      </c>
    </row>
    <row r="460" spans="2:5" ht="14.45" customHeight="1">
      <c r="B460" s="88"/>
      <c r="C460" s="68" t="s">
        <v>134</v>
      </c>
      <c r="D460" s="69">
        <v>43</v>
      </c>
      <c r="E460" s="70">
        <v>1.449421916608E-3</v>
      </c>
    </row>
    <row r="461" spans="2:5" ht="14.45" customHeight="1">
      <c r="B461" s="88"/>
      <c r="C461" s="68" t="s">
        <v>135</v>
      </c>
      <c r="D461" s="69">
        <v>1</v>
      </c>
      <c r="E461" s="70">
        <v>3.3707486433000001E-5</v>
      </c>
    </row>
    <row r="462" spans="2:5" ht="14.45" customHeight="1">
      <c r="B462" s="88"/>
      <c r="C462" s="68" t="s">
        <v>136</v>
      </c>
      <c r="D462" s="69">
        <v>1</v>
      </c>
      <c r="E462" s="70">
        <v>3.3707486433000001E-5</v>
      </c>
    </row>
    <row r="463" spans="2:5" ht="14.45" customHeight="1">
      <c r="B463" s="88"/>
      <c r="C463" s="68" t="s">
        <v>138</v>
      </c>
      <c r="D463" s="69">
        <v>11</v>
      </c>
      <c r="E463" s="70">
        <v>3.7078235075999999E-4</v>
      </c>
    </row>
    <row r="464" spans="2:5" ht="14.45" customHeight="1">
      <c r="B464" s="88"/>
      <c r="C464" s="68" t="s">
        <v>140</v>
      </c>
      <c r="D464" s="69">
        <v>32</v>
      </c>
      <c r="E464" s="70">
        <v>1.0786395658479999E-3</v>
      </c>
    </row>
    <row r="465" spans="2:5" ht="14.45" customHeight="1">
      <c r="B465" s="88"/>
      <c r="C465" s="68" t="s">
        <v>141</v>
      </c>
      <c r="D465" s="69">
        <v>874</v>
      </c>
      <c r="E465" s="70">
        <v>2.9460343142211999E-2</v>
      </c>
    </row>
    <row r="466" spans="2:5" ht="14.45" customHeight="1">
      <c r="B466" s="88"/>
      <c r="C466" s="68" t="s">
        <v>142</v>
      </c>
      <c r="D466" s="69">
        <v>3</v>
      </c>
      <c r="E466" s="70">
        <v>1.0112245929799999E-4</v>
      </c>
    </row>
    <row r="467" spans="2:5" ht="14.45" customHeight="1">
      <c r="B467" s="88"/>
      <c r="C467" s="68" t="s">
        <v>144</v>
      </c>
      <c r="D467" s="69">
        <v>4</v>
      </c>
      <c r="E467" s="70">
        <v>1.3482994573099999E-4</v>
      </c>
    </row>
    <row r="468" spans="2:5" ht="14.45" customHeight="1">
      <c r="B468" s="88"/>
      <c r="C468" s="68" t="s">
        <v>146</v>
      </c>
      <c r="D468" s="69">
        <v>6</v>
      </c>
      <c r="E468" s="70">
        <v>2.0224491859599999E-4</v>
      </c>
    </row>
    <row r="469" spans="2:5" ht="14.45" customHeight="1">
      <c r="B469" s="88"/>
      <c r="C469" s="68" t="s">
        <v>147</v>
      </c>
      <c r="D469" s="69">
        <v>3</v>
      </c>
      <c r="E469" s="70">
        <v>1.0112245929799999E-4</v>
      </c>
    </row>
    <row r="470" spans="2:5" ht="14.45" customHeight="1">
      <c r="B470" s="88"/>
      <c r="C470" s="36" t="s">
        <v>29</v>
      </c>
      <c r="D470" s="35">
        <v>1291</v>
      </c>
      <c r="E470" s="34">
        <v>4.3516364984662999E-2</v>
      </c>
    </row>
    <row r="471" spans="2:5" ht="14.45" customHeight="1">
      <c r="B471" s="88" t="s">
        <v>269</v>
      </c>
      <c r="C471" s="68" t="s">
        <v>101</v>
      </c>
      <c r="D471" s="69">
        <v>26</v>
      </c>
      <c r="E471" s="70">
        <v>8.7639464725100004E-4</v>
      </c>
    </row>
    <row r="472" spans="2:5" ht="14.45" customHeight="1">
      <c r="B472" s="88"/>
      <c r="C472" s="68" t="s">
        <v>102</v>
      </c>
      <c r="D472" s="69">
        <v>23</v>
      </c>
      <c r="E472" s="70">
        <v>7.7527218795299998E-4</v>
      </c>
    </row>
    <row r="473" spans="2:5" ht="14.45" customHeight="1">
      <c r="B473" s="88"/>
      <c r="C473" s="68" t="s">
        <v>103</v>
      </c>
      <c r="D473" s="69">
        <v>107</v>
      </c>
      <c r="E473" s="70">
        <v>3.606701048303E-3</v>
      </c>
    </row>
    <row r="474" spans="2:5" ht="14.45" customHeight="1">
      <c r="B474" s="88"/>
      <c r="C474" s="68" t="s">
        <v>104</v>
      </c>
      <c r="D474" s="69">
        <v>153</v>
      </c>
      <c r="E474" s="70">
        <v>5.1572454242089999E-3</v>
      </c>
    </row>
    <row r="475" spans="2:5" ht="14.45" customHeight="1">
      <c r="B475" s="88"/>
      <c r="C475" s="68" t="s">
        <v>105</v>
      </c>
      <c r="D475" s="69">
        <v>14</v>
      </c>
      <c r="E475" s="70">
        <v>4.7190481005799999E-4</v>
      </c>
    </row>
    <row r="476" spans="2:5" ht="14.45" customHeight="1">
      <c r="B476" s="88"/>
      <c r="C476" s="68" t="s">
        <v>106</v>
      </c>
      <c r="D476" s="69">
        <v>2</v>
      </c>
      <c r="E476" s="70">
        <v>6.7414972865000001E-5</v>
      </c>
    </row>
    <row r="477" spans="2:5" ht="14.45" customHeight="1">
      <c r="B477" s="88"/>
      <c r="C477" s="68" t="s">
        <v>107</v>
      </c>
      <c r="D477" s="69">
        <v>6</v>
      </c>
      <c r="E477" s="70">
        <v>2.0224491859599999E-4</v>
      </c>
    </row>
    <row r="478" spans="2:5" ht="14.45" customHeight="1">
      <c r="B478" s="88"/>
      <c r="C478" s="68" t="s">
        <v>108</v>
      </c>
      <c r="D478" s="69">
        <v>90</v>
      </c>
      <c r="E478" s="70">
        <v>3.0336737789459999E-3</v>
      </c>
    </row>
    <row r="479" spans="2:5" ht="14.45" customHeight="1">
      <c r="B479" s="88"/>
      <c r="C479" s="68" t="s">
        <v>109</v>
      </c>
      <c r="D479" s="69">
        <v>140</v>
      </c>
      <c r="E479" s="70">
        <v>4.7190481005830003E-3</v>
      </c>
    </row>
    <row r="480" spans="2:5" ht="14.45" customHeight="1">
      <c r="B480" s="88"/>
      <c r="C480" s="68" t="s">
        <v>111</v>
      </c>
      <c r="D480" s="69">
        <v>6</v>
      </c>
      <c r="E480" s="70">
        <v>2.0224491859599999E-4</v>
      </c>
    </row>
    <row r="481" spans="2:5" ht="14.45" customHeight="1">
      <c r="B481" s="88"/>
      <c r="C481" s="68" t="s">
        <v>112</v>
      </c>
      <c r="D481" s="69">
        <v>185</v>
      </c>
      <c r="E481" s="70">
        <v>6.2358849900560004E-3</v>
      </c>
    </row>
    <row r="482" spans="2:5" ht="14.45" customHeight="1">
      <c r="B482" s="88"/>
      <c r="C482" s="68" t="s">
        <v>113</v>
      </c>
      <c r="D482" s="69">
        <v>48</v>
      </c>
      <c r="E482" s="70">
        <v>1.6179593487709999E-3</v>
      </c>
    </row>
    <row r="483" spans="2:5" ht="14.45" customHeight="1">
      <c r="B483" s="88"/>
      <c r="C483" s="68" t="s">
        <v>114</v>
      </c>
      <c r="D483" s="69">
        <v>5</v>
      </c>
      <c r="E483" s="70">
        <v>1.68537432164E-4</v>
      </c>
    </row>
    <row r="484" spans="2:5" ht="14.45" customHeight="1">
      <c r="B484" s="88"/>
      <c r="C484" s="68" t="s">
        <v>115</v>
      </c>
      <c r="D484" s="69">
        <v>33</v>
      </c>
      <c r="E484" s="70">
        <v>1.1123470522800001E-3</v>
      </c>
    </row>
    <row r="485" spans="2:5" ht="14.45" customHeight="1">
      <c r="B485" s="88"/>
      <c r="C485" s="68" t="s">
        <v>116</v>
      </c>
      <c r="D485" s="69">
        <v>20</v>
      </c>
      <c r="E485" s="70">
        <v>6.7414972865500002E-4</v>
      </c>
    </row>
    <row r="486" spans="2:5" ht="14.45" customHeight="1">
      <c r="B486" s="88"/>
      <c r="C486" s="68" t="s">
        <v>117</v>
      </c>
      <c r="D486" s="69">
        <v>47</v>
      </c>
      <c r="E486" s="70">
        <v>1.584251862339E-3</v>
      </c>
    </row>
    <row r="487" spans="2:5" ht="14.45" customHeight="1">
      <c r="B487" s="88"/>
      <c r="C487" s="68" t="s">
        <v>118</v>
      </c>
      <c r="D487" s="69">
        <v>8</v>
      </c>
      <c r="E487" s="70">
        <v>2.6965989146199998E-4</v>
      </c>
    </row>
    <row r="488" spans="2:5" ht="14.45" customHeight="1">
      <c r="B488" s="88"/>
      <c r="C488" s="68" t="s">
        <v>119</v>
      </c>
      <c r="D488" s="69">
        <v>4</v>
      </c>
      <c r="E488" s="70">
        <v>1.3482994573099999E-4</v>
      </c>
    </row>
    <row r="489" spans="2:5" ht="14.45" customHeight="1">
      <c r="B489" s="88"/>
      <c r="C489" s="68" t="s">
        <v>120</v>
      </c>
      <c r="D489" s="69">
        <v>29</v>
      </c>
      <c r="E489" s="70">
        <v>9.775171065490001E-4</v>
      </c>
    </row>
    <row r="490" spans="2:5" ht="14.45" customHeight="1">
      <c r="B490" s="88"/>
      <c r="C490" s="68" t="s">
        <v>121</v>
      </c>
      <c r="D490" s="69">
        <v>20</v>
      </c>
      <c r="E490" s="70">
        <v>6.7414972865500002E-4</v>
      </c>
    </row>
    <row r="491" spans="2:5" ht="14.45" customHeight="1">
      <c r="B491" s="88"/>
      <c r="C491" s="68" t="s">
        <v>122</v>
      </c>
      <c r="D491" s="69">
        <v>18</v>
      </c>
      <c r="E491" s="70">
        <v>6.0673475578900001E-4</v>
      </c>
    </row>
    <row r="492" spans="2:5" ht="14.45" customHeight="1">
      <c r="B492" s="88"/>
      <c r="C492" s="68" t="s">
        <v>123</v>
      </c>
      <c r="D492" s="69">
        <v>18</v>
      </c>
      <c r="E492" s="70">
        <v>6.0673475578900001E-4</v>
      </c>
    </row>
    <row r="493" spans="2:5" ht="14.45" customHeight="1">
      <c r="B493" s="88"/>
      <c r="C493" s="68" t="s">
        <v>124</v>
      </c>
      <c r="D493" s="69">
        <v>1</v>
      </c>
      <c r="E493" s="70">
        <v>3.3707486433000001E-5</v>
      </c>
    </row>
    <row r="494" spans="2:5" ht="14.45" customHeight="1">
      <c r="B494" s="88"/>
      <c r="C494" s="68" t="s">
        <v>125</v>
      </c>
      <c r="D494" s="69">
        <v>12</v>
      </c>
      <c r="E494" s="70">
        <v>4.0448983719299999E-4</v>
      </c>
    </row>
    <row r="495" spans="2:5" ht="14.45" customHeight="1">
      <c r="B495" s="88"/>
      <c r="C495" s="68" t="s">
        <v>126</v>
      </c>
      <c r="D495" s="69">
        <v>26</v>
      </c>
      <c r="E495" s="70">
        <v>8.7639464725100004E-4</v>
      </c>
    </row>
    <row r="496" spans="2:5" ht="14.45" customHeight="1">
      <c r="B496" s="88"/>
      <c r="C496" s="68" t="s">
        <v>128</v>
      </c>
      <c r="D496" s="69">
        <v>7</v>
      </c>
      <c r="E496" s="70">
        <v>2.35952405029E-4</v>
      </c>
    </row>
    <row r="497" spans="2:5" ht="14.45" customHeight="1">
      <c r="B497" s="88"/>
      <c r="C497" s="68" t="s">
        <v>129</v>
      </c>
      <c r="D497" s="69">
        <v>7</v>
      </c>
      <c r="E497" s="70">
        <v>2.35952405029E-4</v>
      </c>
    </row>
    <row r="498" spans="2:5" ht="14.45" customHeight="1">
      <c r="B498" s="88"/>
      <c r="C498" s="68" t="s">
        <v>130</v>
      </c>
      <c r="D498" s="69">
        <v>12</v>
      </c>
      <c r="E498" s="70">
        <v>4.0448983719299999E-4</v>
      </c>
    </row>
    <row r="499" spans="2:5" ht="14.45" customHeight="1">
      <c r="B499" s="88"/>
      <c r="C499" s="68" t="s">
        <v>131</v>
      </c>
      <c r="D499" s="69">
        <v>142</v>
      </c>
      <c r="E499" s="70">
        <v>4.7864630734489998E-3</v>
      </c>
    </row>
    <row r="500" spans="2:5" ht="14.45" customHeight="1">
      <c r="B500" s="88"/>
      <c r="C500" s="68" t="s">
        <v>132</v>
      </c>
      <c r="D500" s="69">
        <v>1</v>
      </c>
      <c r="E500" s="70">
        <v>3.3707486433000001E-5</v>
      </c>
    </row>
    <row r="501" spans="2:5" ht="14.45" customHeight="1">
      <c r="B501" s="88"/>
      <c r="C501" s="68" t="s">
        <v>133</v>
      </c>
      <c r="D501" s="69">
        <v>21</v>
      </c>
      <c r="E501" s="70">
        <v>7.0785721508699996E-4</v>
      </c>
    </row>
    <row r="502" spans="2:5" ht="14.45" customHeight="1">
      <c r="B502" s="88"/>
      <c r="C502" s="68" t="s">
        <v>134</v>
      </c>
      <c r="D502" s="69">
        <v>159</v>
      </c>
      <c r="E502" s="70">
        <v>5.3594903428050003E-3</v>
      </c>
    </row>
    <row r="503" spans="2:5" ht="14.45" customHeight="1">
      <c r="B503" s="88"/>
      <c r="C503" s="68" t="s">
        <v>135</v>
      </c>
      <c r="D503" s="69">
        <v>2</v>
      </c>
      <c r="E503" s="70">
        <v>6.7414972865000001E-5</v>
      </c>
    </row>
    <row r="504" spans="2:5" ht="14.45" customHeight="1">
      <c r="B504" s="88"/>
      <c r="C504" s="68" t="s">
        <v>136</v>
      </c>
      <c r="D504" s="69">
        <v>5</v>
      </c>
      <c r="E504" s="70">
        <v>1.68537432164E-4</v>
      </c>
    </row>
    <row r="505" spans="2:5" ht="14.45" customHeight="1">
      <c r="B505" s="88"/>
      <c r="C505" s="68" t="s">
        <v>138</v>
      </c>
      <c r="D505" s="69">
        <v>55</v>
      </c>
      <c r="E505" s="70">
        <v>1.8539117538010001E-3</v>
      </c>
    </row>
    <row r="506" spans="2:5" ht="14.45" customHeight="1">
      <c r="B506" s="88"/>
      <c r="C506" s="68" t="s">
        <v>139</v>
      </c>
      <c r="D506" s="69">
        <v>6</v>
      </c>
      <c r="E506" s="70">
        <v>2.0224491859599999E-4</v>
      </c>
    </row>
    <row r="507" spans="2:5" ht="14.45" customHeight="1">
      <c r="B507" s="88"/>
      <c r="C507" s="68" t="s">
        <v>140</v>
      </c>
      <c r="D507" s="69">
        <v>84</v>
      </c>
      <c r="E507" s="70">
        <v>2.83142886035E-3</v>
      </c>
    </row>
    <row r="508" spans="2:5" ht="14.45" customHeight="1">
      <c r="B508" s="88"/>
      <c r="C508" s="68" t="s">
        <v>141</v>
      </c>
      <c r="D508" s="69">
        <v>3588</v>
      </c>
      <c r="E508" s="70">
        <v>0.120942461320659</v>
      </c>
    </row>
    <row r="509" spans="2:5" ht="14.45" customHeight="1">
      <c r="B509" s="88"/>
      <c r="C509" s="68" t="s">
        <v>142</v>
      </c>
      <c r="D509" s="69">
        <v>6</v>
      </c>
      <c r="E509" s="70">
        <v>2.0224491859599999E-4</v>
      </c>
    </row>
    <row r="510" spans="2:5" ht="14.45" customHeight="1">
      <c r="B510" s="88"/>
      <c r="C510" s="68" t="s">
        <v>143</v>
      </c>
      <c r="D510" s="69">
        <v>2</v>
      </c>
      <c r="E510" s="70">
        <v>6.7414972865000001E-5</v>
      </c>
    </row>
    <row r="511" spans="2:5" ht="14.45" customHeight="1">
      <c r="B511" s="88"/>
      <c r="C511" s="68" t="s">
        <v>144</v>
      </c>
      <c r="D511" s="69">
        <v>22</v>
      </c>
      <c r="E511" s="70">
        <v>7.4156470151999997E-4</v>
      </c>
    </row>
    <row r="512" spans="2:5" ht="14.45" customHeight="1">
      <c r="B512" s="88"/>
      <c r="C512" s="68" t="s">
        <v>70</v>
      </c>
      <c r="D512" s="69">
        <v>10</v>
      </c>
      <c r="E512" s="70">
        <v>3.3707486432699998E-4</v>
      </c>
    </row>
    <row r="513" spans="2:5" ht="14.45" customHeight="1">
      <c r="B513" s="88"/>
      <c r="C513" s="68" t="s">
        <v>145</v>
      </c>
      <c r="D513" s="69">
        <v>1</v>
      </c>
      <c r="E513" s="70">
        <v>3.3707486433000001E-5</v>
      </c>
    </row>
    <row r="514" spans="2:5" ht="14.45" customHeight="1">
      <c r="B514" s="88"/>
      <c r="C514" s="68" t="s">
        <v>146</v>
      </c>
      <c r="D514" s="69">
        <v>9</v>
      </c>
      <c r="E514" s="70">
        <v>3.0336737789499998E-4</v>
      </c>
    </row>
    <row r="515" spans="2:5" ht="14.45" customHeight="1">
      <c r="B515" s="88"/>
      <c r="C515" s="68" t="s">
        <v>147</v>
      </c>
      <c r="D515" s="69">
        <v>3</v>
      </c>
      <c r="E515" s="70">
        <v>1.0112245929799999E-4</v>
      </c>
    </row>
    <row r="516" spans="2:5" ht="14.45" customHeight="1">
      <c r="B516" s="88"/>
      <c r="C516" s="36" t="s">
        <v>29</v>
      </c>
      <c r="D516" s="35">
        <v>5183</v>
      </c>
      <c r="E516" s="34">
        <v>0.17470590218087401</v>
      </c>
    </row>
    <row r="517" spans="2:5" ht="14.45" customHeight="1">
      <c r="B517" s="88" t="s">
        <v>270</v>
      </c>
      <c r="C517" s="68" t="s">
        <v>103</v>
      </c>
      <c r="D517" s="69">
        <v>1</v>
      </c>
      <c r="E517" s="70">
        <v>3.3707486433000001E-5</v>
      </c>
    </row>
    <row r="518" spans="2:5" ht="14.45" customHeight="1">
      <c r="B518" s="88"/>
      <c r="C518" s="68" t="s">
        <v>104</v>
      </c>
      <c r="D518" s="69">
        <v>5</v>
      </c>
      <c r="E518" s="70">
        <v>1.68537432164E-4</v>
      </c>
    </row>
    <row r="519" spans="2:5" ht="14.45" customHeight="1">
      <c r="B519" s="88"/>
      <c r="C519" s="68" t="s">
        <v>109</v>
      </c>
      <c r="D519" s="69">
        <v>3</v>
      </c>
      <c r="E519" s="70">
        <v>1.0112245929799999E-4</v>
      </c>
    </row>
    <row r="520" spans="2:5" ht="14.45" customHeight="1">
      <c r="B520" s="88"/>
      <c r="C520" s="68" t="s">
        <v>112</v>
      </c>
      <c r="D520" s="69">
        <v>2</v>
      </c>
      <c r="E520" s="70">
        <v>6.7414972865000001E-5</v>
      </c>
    </row>
    <row r="521" spans="2:5" ht="14.45" customHeight="1">
      <c r="B521" s="88"/>
      <c r="C521" s="68" t="s">
        <v>113</v>
      </c>
      <c r="D521" s="69">
        <v>1</v>
      </c>
      <c r="E521" s="70">
        <v>3.3707486433000001E-5</v>
      </c>
    </row>
    <row r="522" spans="2:5" ht="14.45" customHeight="1">
      <c r="B522" s="88"/>
      <c r="C522" s="68" t="s">
        <v>115</v>
      </c>
      <c r="D522" s="69">
        <v>1</v>
      </c>
      <c r="E522" s="70">
        <v>3.3707486433000001E-5</v>
      </c>
    </row>
    <row r="523" spans="2:5" ht="14.45" customHeight="1">
      <c r="B523" s="88"/>
      <c r="C523" s="68" t="s">
        <v>123</v>
      </c>
      <c r="D523" s="69">
        <v>1</v>
      </c>
      <c r="E523" s="70">
        <v>3.3707486433000001E-5</v>
      </c>
    </row>
    <row r="524" spans="2:5" ht="14.45" customHeight="1">
      <c r="B524" s="88"/>
      <c r="C524" s="68" t="s">
        <v>134</v>
      </c>
      <c r="D524" s="69">
        <v>3</v>
      </c>
      <c r="E524" s="70">
        <v>1.0112245929799999E-4</v>
      </c>
    </row>
    <row r="525" spans="2:5" ht="14.45" customHeight="1">
      <c r="B525" s="88"/>
      <c r="C525" s="68" t="s">
        <v>141</v>
      </c>
      <c r="D525" s="69">
        <v>41</v>
      </c>
      <c r="E525" s="70">
        <v>1.382006943742E-3</v>
      </c>
    </row>
    <row r="526" spans="2:5" ht="14.45" customHeight="1">
      <c r="B526" s="88"/>
      <c r="C526" s="68" t="s">
        <v>142</v>
      </c>
      <c r="D526" s="69">
        <v>1</v>
      </c>
      <c r="E526" s="70">
        <v>3.3707486433000001E-5</v>
      </c>
    </row>
    <row r="527" spans="2:5" ht="14.45" customHeight="1">
      <c r="B527" s="88"/>
      <c r="C527" s="68" t="s">
        <v>146</v>
      </c>
      <c r="D527" s="69">
        <v>1</v>
      </c>
      <c r="E527" s="70">
        <v>3.3707486433000001E-5</v>
      </c>
    </row>
    <row r="528" spans="2:5" ht="14.45" customHeight="1">
      <c r="B528" s="88"/>
      <c r="C528" s="36" t="s">
        <v>29</v>
      </c>
      <c r="D528" s="35">
        <v>60</v>
      </c>
      <c r="E528" s="34">
        <v>2.0224491859639998E-3</v>
      </c>
    </row>
    <row r="529" spans="2:5" ht="14.45" customHeight="1">
      <c r="B529" s="88" t="s">
        <v>271</v>
      </c>
      <c r="C529" s="68" t="s">
        <v>101</v>
      </c>
      <c r="D529" s="69">
        <v>3</v>
      </c>
      <c r="E529" s="70">
        <v>1.0112245929799999E-4</v>
      </c>
    </row>
    <row r="530" spans="2:5" ht="14.45" customHeight="1">
      <c r="B530" s="88"/>
      <c r="C530" s="68" t="s">
        <v>102</v>
      </c>
      <c r="D530" s="69">
        <v>1</v>
      </c>
      <c r="E530" s="70">
        <v>3.3707486433000001E-5</v>
      </c>
    </row>
    <row r="531" spans="2:5" ht="14.45" customHeight="1">
      <c r="B531" s="88"/>
      <c r="C531" s="68" t="s">
        <v>103</v>
      </c>
      <c r="D531" s="69">
        <v>1</v>
      </c>
      <c r="E531" s="70">
        <v>3.3707486433000001E-5</v>
      </c>
    </row>
    <row r="532" spans="2:5" ht="14.45" customHeight="1">
      <c r="B532" s="88"/>
      <c r="C532" s="68" t="s">
        <v>104</v>
      </c>
      <c r="D532" s="69">
        <v>8</v>
      </c>
      <c r="E532" s="70">
        <v>2.6965989146199998E-4</v>
      </c>
    </row>
    <row r="533" spans="2:5" ht="14.45" customHeight="1">
      <c r="B533" s="88"/>
      <c r="C533" s="68" t="s">
        <v>108</v>
      </c>
      <c r="D533" s="69">
        <v>1</v>
      </c>
      <c r="E533" s="70">
        <v>3.3707486433000001E-5</v>
      </c>
    </row>
    <row r="534" spans="2:5" ht="14.45" customHeight="1">
      <c r="B534" s="88"/>
      <c r="C534" s="68" t="s">
        <v>109</v>
      </c>
      <c r="D534" s="69">
        <v>1</v>
      </c>
      <c r="E534" s="70">
        <v>3.3707486433000001E-5</v>
      </c>
    </row>
    <row r="535" spans="2:5" ht="14.45" customHeight="1">
      <c r="B535" s="88"/>
      <c r="C535" s="68" t="s">
        <v>112</v>
      </c>
      <c r="D535" s="69">
        <v>3</v>
      </c>
      <c r="E535" s="70">
        <v>1.0112245929799999E-4</v>
      </c>
    </row>
    <row r="536" spans="2:5" ht="14.45" customHeight="1">
      <c r="B536" s="88"/>
      <c r="C536" s="68" t="s">
        <v>113</v>
      </c>
      <c r="D536" s="69">
        <v>1</v>
      </c>
      <c r="E536" s="70">
        <v>3.3707486433000001E-5</v>
      </c>
    </row>
    <row r="537" spans="2:5" ht="14.45" customHeight="1">
      <c r="B537" s="88"/>
      <c r="C537" s="68" t="s">
        <v>114</v>
      </c>
      <c r="D537" s="69">
        <v>1</v>
      </c>
      <c r="E537" s="70">
        <v>3.3707486433000001E-5</v>
      </c>
    </row>
    <row r="538" spans="2:5" ht="14.45" customHeight="1">
      <c r="B538" s="88"/>
      <c r="C538" s="68" t="s">
        <v>115</v>
      </c>
      <c r="D538" s="69">
        <v>1</v>
      </c>
      <c r="E538" s="70">
        <v>3.3707486433000001E-5</v>
      </c>
    </row>
    <row r="539" spans="2:5" ht="14.45" customHeight="1">
      <c r="B539" s="88"/>
      <c r="C539" s="68" t="s">
        <v>117</v>
      </c>
      <c r="D539" s="69">
        <v>1</v>
      </c>
      <c r="E539" s="70">
        <v>3.3707486433000001E-5</v>
      </c>
    </row>
    <row r="540" spans="2:5" ht="14.45" customHeight="1">
      <c r="B540" s="88"/>
      <c r="C540" s="68" t="s">
        <v>122</v>
      </c>
      <c r="D540" s="69">
        <v>1</v>
      </c>
      <c r="E540" s="70">
        <v>3.3707486433000001E-5</v>
      </c>
    </row>
    <row r="541" spans="2:5" ht="14.45" customHeight="1">
      <c r="B541" s="88"/>
      <c r="C541" s="68" t="s">
        <v>126</v>
      </c>
      <c r="D541" s="69">
        <v>1</v>
      </c>
      <c r="E541" s="70">
        <v>3.3707486433000001E-5</v>
      </c>
    </row>
    <row r="542" spans="2:5" ht="14.45" customHeight="1">
      <c r="B542" s="88"/>
      <c r="C542" s="68" t="s">
        <v>129</v>
      </c>
      <c r="D542" s="69">
        <v>1</v>
      </c>
      <c r="E542" s="70">
        <v>3.3707486433000001E-5</v>
      </c>
    </row>
    <row r="543" spans="2:5" ht="14.45" customHeight="1">
      <c r="B543" s="88"/>
      <c r="C543" s="68" t="s">
        <v>131</v>
      </c>
      <c r="D543" s="69">
        <v>1</v>
      </c>
      <c r="E543" s="70">
        <v>3.3707486433000001E-5</v>
      </c>
    </row>
    <row r="544" spans="2:5" ht="14.45" customHeight="1">
      <c r="B544" s="88"/>
      <c r="C544" s="68" t="s">
        <v>134</v>
      </c>
      <c r="D544" s="69">
        <v>1</v>
      </c>
      <c r="E544" s="70">
        <v>3.3707486433000001E-5</v>
      </c>
    </row>
    <row r="545" spans="2:5" ht="14.45" customHeight="1">
      <c r="B545" s="88"/>
      <c r="C545" s="68" t="s">
        <v>136</v>
      </c>
      <c r="D545" s="69">
        <v>1</v>
      </c>
      <c r="E545" s="70">
        <v>3.3707486433000001E-5</v>
      </c>
    </row>
    <row r="546" spans="2:5" ht="14.45" customHeight="1">
      <c r="B546" s="88"/>
      <c r="C546" s="68" t="s">
        <v>140</v>
      </c>
      <c r="D546" s="69">
        <v>1</v>
      </c>
      <c r="E546" s="70">
        <v>3.3707486433000001E-5</v>
      </c>
    </row>
    <row r="547" spans="2:5" ht="14.45" customHeight="1">
      <c r="B547" s="88"/>
      <c r="C547" s="68" t="s">
        <v>141</v>
      </c>
      <c r="D547" s="69">
        <v>43</v>
      </c>
      <c r="E547" s="70">
        <v>1.449421916608E-3</v>
      </c>
    </row>
    <row r="548" spans="2:5" ht="14.45" customHeight="1">
      <c r="B548" s="88"/>
      <c r="C548" s="36" t="s">
        <v>29</v>
      </c>
      <c r="D548" s="35">
        <v>72</v>
      </c>
      <c r="E548" s="34">
        <v>2.4269390231570001E-3</v>
      </c>
    </row>
    <row r="549" spans="2:5" ht="14.45" customHeight="1">
      <c r="B549" s="96" t="s">
        <v>272</v>
      </c>
      <c r="C549" s="68" t="s">
        <v>102</v>
      </c>
      <c r="D549" s="69">
        <v>1</v>
      </c>
      <c r="E549" s="70">
        <v>3.3707486433000001E-5</v>
      </c>
    </row>
    <row r="550" spans="2:5" ht="14.45" customHeight="1">
      <c r="B550" s="96"/>
      <c r="C550" s="68" t="s">
        <v>104</v>
      </c>
      <c r="D550" s="69">
        <v>1</v>
      </c>
      <c r="E550" s="70">
        <v>3.3707486433000001E-5</v>
      </c>
    </row>
    <row r="551" spans="2:5" ht="14.45" customHeight="1">
      <c r="B551" s="96"/>
      <c r="C551" s="68" t="s">
        <v>109</v>
      </c>
      <c r="D551" s="69">
        <v>1</v>
      </c>
      <c r="E551" s="70">
        <v>3.3707486433000001E-5</v>
      </c>
    </row>
    <row r="552" spans="2:5" ht="14.45" customHeight="1">
      <c r="B552" s="96"/>
      <c r="C552" s="68" t="s">
        <v>112</v>
      </c>
      <c r="D552" s="69">
        <v>4</v>
      </c>
      <c r="E552" s="70">
        <v>1.3482994573099999E-4</v>
      </c>
    </row>
    <row r="553" spans="2:5" ht="14.45" customHeight="1">
      <c r="B553" s="96"/>
      <c r="C553" s="68" t="s">
        <v>115</v>
      </c>
      <c r="D553" s="69">
        <v>1</v>
      </c>
      <c r="E553" s="70">
        <v>3.3707486433000001E-5</v>
      </c>
    </row>
    <row r="554" spans="2:5" ht="14.45" customHeight="1">
      <c r="B554" s="96"/>
      <c r="C554" s="68" t="s">
        <v>123</v>
      </c>
      <c r="D554" s="69">
        <v>1</v>
      </c>
      <c r="E554" s="70">
        <v>3.3707486433000001E-5</v>
      </c>
    </row>
    <row r="555" spans="2:5" ht="14.45" customHeight="1">
      <c r="B555" s="96"/>
      <c r="C555" s="68" t="s">
        <v>134</v>
      </c>
      <c r="D555" s="69">
        <v>3</v>
      </c>
      <c r="E555" s="70">
        <v>1.0112245929799999E-4</v>
      </c>
    </row>
    <row r="556" spans="2:5" ht="14.45" customHeight="1">
      <c r="B556" s="96"/>
      <c r="C556" s="68" t="s">
        <v>136</v>
      </c>
      <c r="D556" s="69">
        <v>1</v>
      </c>
      <c r="E556" s="70">
        <v>3.3707486433000001E-5</v>
      </c>
    </row>
    <row r="557" spans="2:5" ht="14.45" customHeight="1">
      <c r="B557" s="96"/>
      <c r="C557" s="68" t="s">
        <v>138</v>
      </c>
      <c r="D557" s="69">
        <v>1</v>
      </c>
      <c r="E557" s="70">
        <v>3.3707486433000001E-5</v>
      </c>
    </row>
    <row r="558" spans="2:5" ht="14.45" customHeight="1">
      <c r="B558" s="96"/>
      <c r="C558" s="68" t="s">
        <v>140</v>
      </c>
      <c r="D558" s="69">
        <v>2</v>
      </c>
      <c r="E558" s="70">
        <v>6.7414972865000001E-5</v>
      </c>
    </row>
    <row r="559" spans="2:5" ht="14.45" customHeight="1">
      <c r="B559" s="96"/>
      <c r="C559" s="68" t="s">
        <v>141</v>
      </c>
      <c r="D559" s="69">
        <v>32</v>
      </c>
      <c r="E559" s="70">
        <v>1.0786395658479999E-3</v>
      </c>
    </row>
    <row r="560" spans="2:5" ht="14.45" customHeight="1">
      <c r="B560" s="96"/>
      <c r="C560" s="68" t="s">
        <v>142</v>
      </c>
      <c r="D560" s="69">
        <v>1</v>
      </c>
      <c r="E560" s="70">
        <v>3.3707486433000001E-5</v>
      </c>
    </row>
    <row r="561" spans="2:5" ht="14.45" customHeight="1">
      <c r="B561" s="96"/>
      <c r="C561" s="68" t="s">
        <v>144</v>
      </c>
      <c r="D561" s="69">
        <v>1</v>
      </c>
      <c r="E561" s="70">
        <v>3.3707486433000001E-5</v>
      </c>
    </row>
    <row r="562" spans="2:5" ht="14.45" customHeight="1">
      <c r="B562" s="96"/>
      <c r="C562" s="36" t="s">
        <v>29</v>
      </c>
      <c r="D562" s="35">
        <v>50</v>
      </c>
      <c r="E562" s="34">
        <v>1.6853743216369999E-3</v>
      </c>
    </row>
    <row r="563" spans="2:5" ht="14.45" customHeight="1">
      <c r="B563" s="88" t="s">
        <v>273</v>
      </c>
      <c r="C563" s="68" t="s">
        <v>103</v>
      </c>
      <c r="D563" s="69">
        <v>1</v>
      </c>
      <c r="E563" s="70">
        <v>3.3707486433000001E-5</v>
      </c>
    </row>
    <row r="564" spans="2:5" ht="14.45" customHeight="1">
      <c r="B564" s="88"/>
      <c r="C564" s="68" t="s">
        <v>104</v>
      </c>
      <c r="D564" s="69">
        <v>1</v>
      </c>
      <c r="E564" s="70">
        <v>3.3707486433000001E-5</v>
      </c>
    </row>
    <row r="565" spans="2:5" ht="14.45" customHeight="1">
      <c r="B565" s="88"/>
      <c r="C565" s="68" t="s">
        <v>112</v>
      </c>
      <c r="D565" s="69">
        <v>2</v>
      </c>
      <c r="E565" s="70">
        <v>6.7414972865000001E-5</v>
      </c>
    </row>
    <row r="566" spans="2:5" ht="14.45" customHeight="1">
      <c r="B566" s="88"/>
      <c r="C566" s="68" t="s">
        <v>115</v>
      </c>
      <c r="D566" s="69">
        <v>1</v>
      </c>
      <c r="E566" s="70">
        <v>3.3707486433000001E-5</v>
      </c>
    </row>
    <row r="567" spans="2:5" ht="14.45" customHeight="1">
      <c r="B567" s="88"/>
      <c r="C567" s="68" t="s">
        <v>117</v>
      </c>
      <c r="D567" s="69">
        <v>1</v>
      </c>
      <c r="E567" s="70">
        <v>3.3707486433000001E-5</v>
      </c>
    </row>
    <row r="568" spans="2:5" ht="14.45" customHeight="1">
      <c r="B568" s="88"/>
      <c r="C568" s="68" t="s">
        <v>131</v>
      </c>
      <c r="D568" s="69">
        <v>1</v>
      </c>
      <c r="E568" s="70">
        <v>3.3707486433000001E-5</v>
      </c>
    </row>
    <row r="569" spans="2:5" ht="14.45" customHeight="1">
      <c r="B569" s="88"/>
      <c r="C569" s="68" t="s">
        <v>134</v>
      </c>
      <c r="D569" s="69">
        <v>1</v>
      </c>
      <c r="E569" s="70">
        <v>3.3707486433000001E-5</v>
      </c>
    </row>
    <row r="570" spans="2:5" ht="14.45" customHeight="1">
      <c r="B570" s="88"/>
      <c r="C570" s="68" t="s">
        <v>141</v>
      </c>
      <c r="D570" s="69">
        <v>20</v>
      </c>
      <c r="E570" s="70">
        <v>6.7414972865500002E-4</v>
      </c>
    </row>
    <row r="571" spans="2:5" ht="14.45" customHeight="1">
      <c r="B571" s="88"/>
      <c r="C571" s="36" t="s">
        <v>29</v>
      </c>
      <c r="D571" s="35">
        <v>28</v>
      </c>
      <c r="E571" s="34">
        <v>9.4380962011699995E-4</v>
      </c>
    </row>
    <row r="572" spans="2:5" ht="14.45" customHeight="1">
      <c r="B572" s="88" t="s">
        <v>274</v>
      </c>
      <c r="C572" s="68" t="s">
        <v>101</v>
      </c>
      <c r="D572" s="69">
        <v>2</v>
      </c>
      <c r="E572" s="70">
        <v>6.7414972865000001E-5</v>
      </c>
    </row>
    <row r="573" spans="2:5" ht="14.45" customHeight="1">
      <c r="B573" s="88"/>
      <c r="C573" s="68" t="s">
        <v>102</v>
      </c>
      <c r="D573" s="69">
        <v>2</v>
      </c>
      <c r="E573" s="70">
        <v>6.7414972865000001E-5</v>
      </c>
    </row>
    <row r="574" spans="2:5" ht="14.45" customHeight="1">
      <c r="B574" s="88"/>
      <c r="C574" s="68" t="s">
        <v>103</v>
      </c>
      <c r="D574" s="69">
        <v>4</v>
      </c>
      <c r="E574" s="70">
        <v>1.3482994573099999E-4</v>
      </c>
    </row>
    <row r="575" spans="2:5" ht="14.45" customHeight="1">
      <c r="B575" s="88"/>
      <c r="C575" s="68" t="s">
        <v>104</v>
      </c>
      <c r="D575" s="69">
        <v>10</v>
      </c>
      <c r="E575" s="70">
        <v>3.3707486432699998E-4</v>
      </c>
    </row>
    <row r="576" spans="2:5" ht="14.45" customHeight="1">
      <c r="B576" s="88"/>
      <c r="C576" s="68" t="s">
        <v>105</v>
      </c>
      <c r="D576" s="69">
        <v>1</v>
      </c>
      <c r="E576" s="70">
        <v>3.3707486433000001E-5</v>
      </c>
    </row>
    <row r="577" spans="2:5" ht="14.45" customHeight="1">
      <c r="B577" s="88"/>
      <c r="C577" s="68" t="s">
        <v>106</v>
      </c>
      <c r="D577" s="69">
        <v>1</v>
      </c>
      <c r="E577" s="70">
        <v>3.3707486433000001E-5</v>
      </c>
    </row>
    <row r="578" spans="2:5" ht="14.45" customHeight="1">
      <c r="B578" s="88"/>
      <c r="C578" s="68" t="s">
        <v>107</v>
      </c>
      <c r="D578" s="69">
        <v>1</v>
      </c>
      <c r="E578" s="70">
        <v>3.3707486433000001E-5</v>
      </c>
    </row>
    <row r="579" spans="2:5" ht="14.45" customHeight="1">
      <c r="B579" s="88"/>
      <c r="C579" s="68" t="s">
        <v>108</v>
      </c>
      <c r="D579" s="69">
        <v>4</v>
      </c>
      <c r="E579" s="70">
        <v>1.3482994573099999E-4</v>
      </c>
    </row>
    <row r="580" spans="2:5" ht="14.45" customHeight="1">
      <c r="B580" s="88"/>
      <c r="C580" s="68" t="s">
        <v>109</v>
      </c>
      <c r="D580" s="69">
        <v>8</v>
      </c>
      <c r="E580" s="70">
        <v>2.6965989146199998E-4</v>
      </c>
    </row>
    <row r="581" spans="2:5" ht="14.45" customHeight="1">
      <c r="B581" s="88"/>
      <c r="C581" s="68" t="s">
        <v>112</v>
      </c>
      <c r="D581" s="69">
        <v>16</v>
      </c>
      <c r="E581" s="70">
        <v>5.3931978292399995E-4</v>
      </c>
    </row>
    <row r="582" spans="2:5" ht="14.45" customHeight="1">
      <c r="B582" s="88"/>
      <c r="C582" s="68" t="s">
        <v>113</v>
      </c>
      <c r="D582" s="69">
        <v>5</v>
      </c>
      <c r="E582" s="70">
        <v>1.68537432164E-4</v>
      </c>
    </row>
    <row r="583" spans="2:5" ht="14.45" customHeight="1">
      <c r="B583" s="88"/>
      <c r="C583" s="68" t="s">
        <v>115</v>
      </c>
      <c r="D583" s="69">
        <v>1</v>
      </c>
      <c r="E583" s="70">
        <v>3.3707486433000001E-5</v>
      </c>
    </row>
    <row r="584" spans="2:5" ht="14.45" customHeight="1">
      <c r="B584" s="88"/>
      <c r="C584" s="68" t="s">
        <v>117</v>
      </c>
      <c r="D584" s="69">
        <v>6</v>
      </c>
      <c r="E584" s="70">
        <v>2.0224491859599999E-4</v>
      </c>
    </row>
    <row r="585" spans="2:5" ht="14.45" customHeight="1">
      <c r="B585" s="88"/>
      <c r="C585" s="68" t="s">
        <v>120</v>
      </c>
      <c r="D585" s="69">
        <v>3</v>
      </c>
      <c r="E585" s="70">
        <v>1.0112245929799999E-4</v>
      </c>
    </row>
    <row r="586" spans="2:5" ht="14.45" customHeight="1">
      <c r="B586" s="88"/>
      <c r="C586" s="68" t="s">
        <v>121</v>
      </c>
      <c r="D586" s="69">
        <v>4</v>
      </c>
      <c r="E586" s="70">
        <v>1.3482994573099999E-4</v>
      </c>
    </row>
    <row r="587" spans="2:5" ht="14.45" customHeight="1">
      <c r="B587" s="88"/>
      <c r="C587" s="68" t="s">
        <v>122</v>
      </c>
      <c r="D587" s="69">
        <v>2</v>
      </c>
      <c r="E587" s="70">
        <v>6.7414972865000001E-5</v>
      </c>
    </row>
    <row r="588" spans="2:5" ht="14.45" customHeight="1">
      <c r="B588" s="88"/>
      <c r="C588" s="68" t="s">
        <v>123</v>
      </c>
      <c r="D588" s="69">
        <v>1</v>
      </c>
      <c r="E588" s="70">
        <v>3.3707486433000001E-5</v>
      </c>
    </row>
    <row r="589" spans="2:5" ht="14.45" customHeight="1">
      <c r="B589" s="88"/>
      <c r="C589" s="68" t="s">
        <v>125</v>
      </c>
      <c r="D589" s="69">
        <v>1</v>
      </c>
      <c r="E589" s="70">
        <v>3.3707486433000001E-5</v>
      </c>
    </row>
    <row r="590" spans="2:5" ht="14.45" customHeight="1">
      <c r="B590" s="88"/>
      <c r="C590" s="68" t="s">
        <v>130</v>
      </c>
      <c r="D590" s="69">
        <v>1</v>
      </c>
      <c r="E590" s="70">
        <v>3.3707486433000001E-5</v>
      </c>
    </row>
    <row r="591" spans="2:5" ht="14.45" customHeight="1">
      <c r="B591" s="88"/>
      <c r="C591" s="68" t="s">
        <v>131</v>
      </c>
      <c r="D591" s="69">
        <v>6</v>
      </c>
      <c r="E591" s="70">
        <v>2.0224491859599999E-4</v>
      </c>
    </row>
    <row r="592" spans="2:5" ht="14.45" customHeight="1">
      <c r="B592" s="88"/>
      <c r="C592" s="68" t="s">
        <v>133</v>
      </c>
      <c r="D592" s="69">
        <v>2</v>
      </c>
      <c r="E592" s="70">
        <v>6.7414972865000001E-5</v>
      </c>
    </row>
    <row r="593" spans="2:5" ht="14.45" customHeight="1">
      <c r="B593" s="88"/>
      <c r="C593" s="68" t="s">
        <v>134</v>
      </c>
      <c r="D593" s="69">
        <v>6</v>
      </c>
      <c r="E593" s="70">
        <v>2.0224491859599999E-4</v>
      </c>
    </row>
    <row r="594" spans="2:5" ht="14.45" customHeight="1">
      <c r="B594" s="88"/>
      <c r="C594" s="68" t="s">
        <v>135</v>
      </c>
      <c r="D594" s="69">
        <v>1</v>
      </c>
      <c r="E594" s="70">
        <v>3.3707486433000001E-5</v>
      </c>
    </row>
    <row r="595" spans="2:5" ht="14.45" customHeight="1">
      <c r="B595" s="88"/>
      <c r="C595" s="68" t="s">
        <v>136</v>
      </c>
      <c r="D595" s="69">
        <v>1</v>
      </c>
      <c r="E595" s="70">
        <v>3.3707486433000001E-5</v>
      </c>
    </row>
    <row r="596" spans="2:5" ht="14.45" customHeight="1">
      <c r="B596" s="88"/>
      <c r="C596" s="68" t="s">
        <v>138</v>
      </c>
      <c r="D596" s="69">
        <v>3</v>
      </c>
      <c r="E596" s="70">
        <v>1.0112245929799999E-4</v>
      </c>
    </row>
    <row r="597" spans="2:5" ht="14.45" customHeight="1">
      <c r="B597" s="88"/>
      <c r="C597" s="68" t="s">
        <v>140</v>
      </c>
      <c r="D597" s="69">
        <v>4</v>
      </c>
      <c r="E597" s="70">
        <v>1.3482994573099999E-4</v>
      </c>
    </row>
    <row r="598" spans="2:5" ht="14.45" customHeight="1">
      <c r="B598" s="88"/>
      <c r="C598" s="68" t="s">
        <v>141</v>
      </c>
      <c r="D598" s="69">
        <v>172</v>
      </c>
      <c r="E598" s="70">
        <v>5.7976876664309999E-3</v>
      </c>
    </row>
    <row r="599" spans="2:5" ht="14.45" customHeight="1">
      <c r="B599" s="88"/>
      <c r="C599" s="68" t="s">
        <v>142</v>
      </c>
      <c r="D599" s="69">
        <v>1</v>
      </c>
      <c r="E599" s="70">
        <v>3.3707486433000001E-5</v>
      </c>
    </row>
    <row r="600" spans="2:5" ht="14.45" customHeight="1">
      <c r="B600" s="88"/>
      <c r="C600" s="68" t="s">
        <v>144</v>
      </c>
      <c r="D600" s="69">
        <v>1</v>
      </c>
      <c r="E600" s="70">
        <v>3.3707486433000001E-5</v>
      </c>
    </row>
    <row r="601" spans="2:5" ht="14.45" customHeight="1">
      <c r="B601" s="88"/>
      <c r="C601" s="68" t="s">
        <v>70</v>
      </c>
      <c r="D601" s="69">
        <v>1</v>
      </c>
      <c r="E601" s="70">
        <v>3.3707486433000001E-5</v>
      </c>
    </row>
    <row r="602" spans="2:5" ht="14.45" customHeight="1">
      <c r="B602" s="88"/>
      <c r="C602" s="68" t="s">
        <v>146</v>
      </c>
      <c r="D602" s="69">
        <v>3</v>
      </c>
      <c r="E602" s="70">
        <v>1.0112245929799999E-4</v>
      </c>
    </row>
    <row r="603" spans="2:5" ht="14.45" customHeight="1">
      <c r="B603" s="88"/>
      <c r="C603" s="36" t="s">
        <v>29</v>
      </c>
      <c r="D603" s="35">
        <v>274</v>
      </c>
      <c r="E603" s="34">
        <v>9.2358512825700002E-3</v>
      </c>
    </row>
    <row r="604" spans="2:5" ht="14.45" customHeight="1">
      <c r="B604" s="88" t="s">
        <v>275</v>
      </c>
      <c r="C604" s="68" t="s">
        <v>101</v>
      </c>
      <c r="D604" s="69">
        <v>3</v>
      </c>
      <c r="E604" s="70">
        <v>1.0112245929799999E-4</v>
      </c>
    </row>
    <row r="605" spans="2:5" ht="14.45" customHeight="1">
      <c r="B605" s="88"/>
      <c r="C605" s="68" t="s">
        <v>102</v>
      </c>
      <c r="D605" s="69">
        <v>2</v>
      </c>
      <c r="E605" s="70">
        <v>6.7414972865000001E-5</v>
      </c>
    </row>
    <row r="606" spans="2:5" ht="14.45" customHeight="1">
      <c r="B606" s="88"/>
      <c r="C606" s="68" t="s">
        <v>103</v>
      </c>
      <c r="D606" s="69">
        <v>5</v>
      </c>
      <c r="E606" s="70">
        <v>1.68537432164E-4</v>
      </c>
    </row>
    <row r="607" spans="2:5" ht="14.45" customHeight="1">
      <c r="B607" s="88"/>
      <c r="C607" s="68" t="s">
        <v>104</v>
      </c>
      <c r="D607" s="69">
        <v>33</v>
      </c>
      <c r="E607" s="70">
        <v>1.1123470522800001E-3</v>
      </c>
    </row>
    <row r="608" spans="2:5" ht="14.45" customHeight="1">
      <c r="B608" s="88"/>
      <c r="C608" s="68" t="s">
        <v>105</v>
      </c>
      <c r="D608" s="69">
        <v>2</v>
      </c>
      <c r="E608" s="70">
        <v>6.7414972865000001E-5</v>
      </c>
    </row>
    <row r="609" spans="2:5" ht="14.45" customHeight="1">
      <c r="B609" s="88"/>
      <c r="C609" s="68" t="s">
        <v>106</v>
      </c>
      <c r="D609" s="69">
        <v>1</v>
      </c>
      <c r="E609" s="70">
        <v>3.3707486433000001E-5</v>
      </c>
    </row>
    <row r="610" spans="2:5" ht="14.45" customHeight="1">
      <c r="B610" s="88"/>
      <c r="C610" s="68" t="s">
        <v>107</v>
      </c>
      <c r="D610" s="69">
        <v>1</v>
      </c>
      <c r="E610" s="70">
        <v>3.3707486433000001E-5</v>
      </c>
    </row>
    <row r="611" spans="2:5" ht="14.45" customHeight="1">
      <c r="B611" s="88"/>
      <c r="C611" s="68" t="s">
        <v>108</v>
      </c>
      <c r="D611" s="69">
        <v>20</v>
      </c>
      <c r="E611" s="70">
        <v>6.7414972865500002E-4</v>
      </c>
    </row>
    <row r="612" spans="2:5" ht="14.45" customHeight="1">
      <c r="B612" s="88"/>
      <c r="C612" s="68" t="s">
        <v>109</v>
      </c>
      <c r="D612" s="69">
        <v>20</v>
      </c>
      <c r="E612" s="70">
        <v>6.7414972865500002E-4</v>
      </c>
    </row>
    <row r="613" spans="2:5" ht="14.45" customHeight="1">
      <c r="B613" s="88"/>
      <c r="C613" s="68" t="s">
        <v>112</v>
      </c>
      <c r="D613" s="69">
        <v>69</v>
      </c>
      <c r="E613" s="70">
        <v>2.3258165638589999E-3</v>
      </c>
    </row>
    <row r="614" spans="2:5" ht="14.45" customHeight="1">
      <c r="B614" s="88"/>
      <c r="C614" s="68" t="s">
        <v>113</v>
      </c>
      <c r="D614" s="69">
        <v>11</v>
      </c>
      <c r="E614" s="70">
        <v>3.7078235075999999E-4</v>
      </c>
    </row>
    <row r="615" spans="2:5" ht="14.45" customHeight="1">
      <c r="B615" s="88"/>
      <c r="C615" s="68" t="s">
        <v>114</v>
      </c>
      <c r="D615" s="69">
        <v>3</v>
      </c>
      <c r="E615" s="70">
        <v>1.0112245929799999E-4</v>
      </c>
    </row>
    <row r="616" spans="2:5" ht="14.45" customHeight="1">
      <c r="B616" s="88"/>
      <c r="C616" s="68" t="s">
        <v>115</v>
      </c>
      <c r="D616" s="69">
        <v>7</v>
      </c>
      <c r="E616" s="70">
        <v>2.35952405029E-4</v>
      </c>
    </row>
    <row r="617" spans="2:5" ht="14.45" customHeight="1">
      <c r="B617" s="88"/>
      <c r="C617" s="68" t="s">
        <v>116</v>
      </c>
      <c r="D617" s="69">
        <v>1</v>
      </c>
      <c r="E617" s="70">
        <v>3.3707486433000001E-5</v>
      </c>
    </row>
    <row r="618" spans="2:5" ht="14.45" customHeight="1">
      <c r="B618" s="88"/>
      <c r="C618" s="68" t="s">
        <v>117</v>
      </c>
      <c r="D618" s="69">
        <v>6</v>
      </c>
      <c r="E618" s="70">
        <v>2.0224491859599999E-4</v>
      </c>
    </row>
    <row r="619" spans="2:5" ht="14.45" customHeight="1">
      <c r="B619" s="88"/>
      <c r="C619" s="68" t="s">
        <v>118</v>
      </c>
      <c r="D619" s="69">
        <v>1</v>
      </c>
      <c r="E619" s="70">
        <v>3.3707486433000001E-5</v>
      </c>
    </row>
    <row r="620" spans="2:5" ht="14.45" customHeight="1">
      <c r="B620" s="88"/>
      <c r="C620" s="68" t="s">
        <v>119</v>
      </c>
      <c r="D620" s="69">
        <v>1</v>
      </c>
      <c r="E620" s="70">
        <v>3.3707486433000001E-5</v>
      </c>
    </row>
    <row r="621" spans="2:5" ht="14.45" customHeight="1">
      <c r="B621" s="88"/>
      <c r="C621" s="68" t="s">
        <v>120</v>
      </c>
      <c r="D621" s="69">
        <v>7</v>
      </c>
      <c r="E621" s="70">
        <v>2.35952405029E-4</v>
      </c>
    </row>
    <row r="622" spans="2:5" ht="14.45" customHeight="1">
      <c r="B622" s="88"/>
      <c r="C622" s="68" t="s">
        <v>121</v>
      </c>
      <c r="D622" s="69">
        <v>8</v>
      </c>
      <c r="E622" s="70">
        <v>2.6965989146199998E-4</v>
      </c>
    </row>
    <row r="623" spans="2:5" ht="14.45" customHeight="1">
      <c r="B623" s="88"/>
      <c r="C623" s="68" t="s">
        <v>122</v>
      </c>
      <c r="D623" s="69">
        <v>2</v>
      </c>
      <c r="E623" s="70">
        <v>6.7414972865000001E-5</v>
      </c>
    </row>
    <row r="624" spans="2:5" ht="14.45" customHeight="1">
      <c r="B624" s="88"/>
      <c r="C624" s="68" t="s">
        <v>126</v>
      </c>
      <c r="D624" s="69">
        <v>6</v>
      </c>
      <c r="E624" s="70">
        <v>2.0224491859599999E-4</v>
      </c>
    </row>
    <row r="625" spans="2:5" ht="14.45" customHeight="1">
      <c r="B625" s="88"/>
      <c r="C625" s="68" t="s">
        <v>127</v>
      </c>
      <c r="D625" s="69">
        <v>1</v>
      </c>
      <c r="E625" s="70">
        <v>3.3707486433000001E-5</v>
      </c>
    </row>
    <row r="626" spans="2:5" ht="14.45" customHeight="1">
      <c r="B626" s="88"/>
      <c r="C626" s="68" t="s">
        <v>129</v>
      </c>
      <c r="D626" s="69">
        <v>2</v>
      </c>
      <c r="E626" s="70">
        <v>6.7414972865000001E-5</v>
      </c>
    </row>
    <row r="627" spans="2:5" ht="14.45" customHeight="1">
      <c r="B627" s="88"/>
      <c r="C627" s="68" t="s">
        <v>130</v>
      </c>
      <c r="D627" s="69">
        <v>4</v>
      </c>
      <c r="E627" s="70">
        <v>1.3482994573099999E-4</v>
      </c>
    </row>
    <row r="628" spans="2:5" ht="14.45" customHeight="1">
      <c r="B628" s="88"/>
      <c r="C628" s="68" t="s">
        <v>131</v>
      </c>
      <c r="D628" s="69">
        <v>13</v>
      </c>
      <c r="E628" s="70">
        <v>4.38197323626E-4</v>
      </c>
    </row>
    <row r="629" spans="2:5" ht="14.45" customHeight="1">
      <c r="B629" s="88"/>
      <c r="C629" s="68" t="s">
        <v>133</v>
      </c>
      <c r="D629" s="69">
        <v>1</v>
      </c>
      <c r="E629" s="70">
        <v>3.3707486433000001E-5</v>
      </c>
    </row>
    <row r="630" spans="2:5" ht="14.45" customHeight="1">
      <c r="B630" s="88"/>
      <c r="C630" s="68" t="s">
        <v>134</v>
      </c>
      <c r="D630" s="69">
        <v>11</v>
      </c>
      <c r="E630" s="70">
        <v>3.7078235075999999E-4</v>
      </c>
    </row>
    <row r="631" spans="2:5" ht="14.45" customHeight="1">
      <c r="B631" s="88"/>
      <c r="C631" s="68" t="s">
        <v>136</v>
      </c>
      <c r="D631" s="69">
        <v>1</v>
      </c>
      <c r="E631" s="70">
        <v>3.3707486433000001E-5</v>
      </c>
    </row>
    <row r="632" spans="2:5" ht="14.45" customHeight="1">
      <c r="B632" s="88"/>
      <c r="C632" s="68" t="s">
        <v>138</v>
      </c>
      <c r="D632" s="69">
        <v>4</v>
      </c>
      <c r="E632" s="70">
        <v>1.3482994573099999E-4</v>
      </c>
    </row>
    <row r="633" spans="2:5" ht="14.45" customHeight="1">
      <c r="B633" s="88"/>
      <c r="C633" s="68" t="s">
        <v>140</v>
      </c>
      <c r="D633" s="69">
        <v>4</v>
      </c>
      <c r="E633" s="70">
        <v>1.3482994573099999E-4</v>
      </c>
    </row>
    <row r="634" spans="2:5" ht="14.45" customHeight="1">
      <c r="B634" s="88"/>
      <c r="C634" s="68" t="s">
        <v>141</v>
      </c>
      <c r="D634" s="69">
        <v>445</v>
      </c>
      <c r="E634" s="70">
        <v>1.4999831462567999E-2</v>
      </c>
    </row>
    <row r="635" spans="2:5" ht="14.45" customHeight="1">
      <c r="B635" s="88"/>
      <c r="C635" s="68" t="s">
        <v>142</v>
      </c>
      <c r="D635" s="69">
        <v>1</v>
      </c>
      <c r="E635" s="70">
        <v>3.3707486433000001E-5</v>
      </c>
    </row>
    <row r="636" spans="2:5" ht="14.45" customHeight="1">
      <c r="B636" s="88"/>
      <c r="C636" s="68" t="s">
        <v>144</v>
      </c>
      <c r="D636" s="69">
        <v>1</v>
      </c>
      <c r="E636" s="70">
        <v>3.3707486433000001E-5</v>
      </c>
    </row>
    <row r="637" spans="2:5" ht="14.45" customHeight="1">
      <c r="B637" s="88"/>
      <c r="C637" s="68" t="s">
        <v>146</v>
      </c>
      <c r="D637" s="69">
        <v>2</v>
      </c>
      <c r="E637" s="70">
        <v>6.7414972865000001E-5</v>
      </c>
    </row>
    <row r="638" spans="2:5" ht="14.45" customHeight="1">
      <c r="B638" s="88"/>
      <c r="C638" s="36" t="s">
        <v>29</v>
      </c>
      <c r="D638" s="35">
        <v>699</v>
      </c>
      <c r="E638" s="34">
        <v>2.3561533016483002E-2</v>
      </c>
    </row>
    <row r="639" spans="2:5" ht="14.45" customHeight="1">
      <c r="B639" s="88" t="s">
        <v>276</v>
      </c>
      <c r="C639" s="68" t="s">
        <v>104</v>
      </c>
      <c r="D639" s="69">
        <v>1</v>
      </c>
      <c r="E639" s="70">
        <v>3.3707486433000001E-5</v>
      </c>
    </row>
    <row r="640" spans="2:5" ht="14.45" customHeight="1">
      <c r="B640" s="88"/>
      <c r="C640" s="68" t="s">
        <v>109</v>
      </c>
      <c r="D640" s="69">
        <v>1</v>
      </c>
      <c r="E640" s="70">
        <v>3.3707486433000001E-5</v>
      </c>
    </row>
    <row r="641" spans="2:5" ht="14.45" customHeight="1">
      <c r="B641" s="88"/>
      <c r="C641" s="68" t="s">
        <v>112</v>
      </c>
      <c r="D641" s="69">
        <v>2</v>
      </c>
      <c r="E641" s="70">
        <v>6.7414972865000001E-5</v>
      </c>
    </row>
    <row r="642" spans="2:5" ht="14.45" customHeight="1">
      <c r="B642" s="88"/>
      <c r="C642" s="68" t="s">
        <v>141</v>
      </c>
      <c r="D642" s="69">
        <v>9</v>
      </c>
      <c r="E642" s="70">
        <v>3.0336737789499998E-4</v>
      </c>
    </row>
    <row r="643" spans="2:5" ht="14.45" customHeight="1">
      <c r="B643" s="88"/>
      <c r="C643" s="36" t="s">
        <v>29</v>
      </c>
      <c r="D643" s="35">
        <v>13</v>
      </c>
      <c r="E643" s="34">
        <v>4.38197323626E-4</v>
      </c>
    </row>
    <row r="644" spans="2:5" ht="14.45" customHeight="1">
      <c r="B644" s="88" t="s">
        <v>277</v>
      </c>
      <c r="C644" s="68" t="s">
        <v>104</v>
      </c>
      <c r="D644" s="69">
        <v>2</v>
      </c>
      <c r="E644" s="70">
        <v>6.7414972865000001E-5</v>
      </c>
    </row>
    <row r="645" spans="2:5" ht="14.45" customHeight="1">
      <c r="B645" s="88"/>
      <c r="C645" s="68" t="s">
        <v>109</v>
      </c>
      <c r="D645" s="69">
        <v>1</v>
      </c>
      <c r="E645" s="70">
        <v>3.3707486433000001E-5</v>
      </c>
    </row>
    <row r="646" spans="2:5" ht="14.45" customHeight="1">
      <c r="B646" s="88"/>
      <c r="C646" s="68" t="s">
        <v>112</v>
      </c>
      <c r="D646" s="69">
        <v>3</v>
      </c>
      <c r="E646" s="70">
        <v>1.0112245929799999E-4</v>
      </c>
    </row>
    <row r="647" spans="2:5" ht="14.45" customHeight="1">
      <c r="B647" s="88"/>
      <c r="C647" s="68" t="s">
        <v>113</v>
      </c>
      <c r="D647" s="69">
        <v>1</v>
      </c>
      <c r="E647" s="70">
        <v>3.3707486433000001E-5</v>
      </c>
    </row>
    <row r="648" spans="2:5" ht="14.45" customHeight="1">
      <c r="B648" s="88"/>
      <c r="C648" s="68" t="s">
        <v>133</v>
      </c>
      <c r="D648" s="69">
        <v>1</v>
      </c>
      <c r="E648" s="70">
        <v>3.3707486433000001E-5</v>
      </c>
    </row>
    <row r="649" spans="2:5" ht="14.45" customHeight="1">
      <c r="B649" s="88"/>
      <c r="C649" s="68" t="s">
        <v>140</v>
      </c>
      <c r="D649" s="69">
        <v>1</v>
      </c>
      <c r="E649" s="70">
        <v>3.3707486433000001E-5</v>
      </c>
    </row>
    <row r="650" spans="2:5" ht="14.45" customHeight="1">
      <c r="B650" s="88"/>
      <c r="C650" s="68" t="s">
        <v>141</v>
      </c>
      <c r="D650" s="69">
        <v>22</v>
      </c>
      <c r="E650" s="70">
        <v>7.4156470151999997E-4</v>
      </c>
    </row>
    <row r="651" spans="2:5" ht="14.45" customHeight="1">
      <c r="B651" s="88"/>
      <c r="C651" s="68" t="s">
        <v>146</v>
      </c>
      <c r="D651" s="69">
        <v>1</v>
      </c>
      <c r="E651" s="70">
        <v>3.3707486433000001E-5</v>
      </c>
    </row>
    <row r="652" spans="2:5" ht="14.45" customHeight="1">
      <c r="B652" s="88"/>
      <c r="C652" s="36" t="s">
        <v>29</v>
      </c>
      <c r="D652" s="35">
        <v>32</v>
      </c>
      <c r="E652" s="34">
        <v>1.0786395658479999E-3</v>
      </c>
    </row>
    <row r="653" spans="2:5" ht="14.45" customHeight="1">
      <c r="B653" s="88" t="s">
        <v>278</v>
      </c>
      <c r="C653" s="68" t="s">
        <v>104</v>
      </c>
      <c r="D653" s="69">
        <v>1</v>
      </c>
      <c r="E653" s="70">
        <v>3.3707486433000001E-5</v>
      </c>
    </row>
    <row r="654" spans="2:5" ht="14.45" customHeight="1">
      <c r="B654" s="88"/>
      <c r="C654" s="68" t="s">
        <v>134</v>
      </c>
      <c r="D654" s="69">
        <v>1</v>
      </c>
      <c r="E654" s="70">
        <v>3.3707486433000001E-5</v>
      </c>
    </row>
    <row r="655" spans="2:5" ht="14.45" customHeight="1">
      <c r="B655" s="88"/>
      <c r="C655" s="68" t="s">
        <v>141</v>
      </c>
      <c r="D655" s="69">
        <v>4</v>
      </c>
      <c r="E655" s="70">
        <v>1.3482994573099999E-4</v>
      </c>
    </row>
    <row r="656" spans="2:5" ht="14.45" customHeight="1">
      <c r="B656" s="88"/>
      <c r="C656" s="36" t="s">
        <v>29</v>
      </c>
      <c r="D656" s="35">
        <v>6</v>
      </c>
      <c r="E656" s="34">
        <v>2.0224491859599999E-4</v>
      </c>
    </row>
    <row r="657" spans="2:5" ht="14.45" customHeight="1">
      <c r="B657" s="90" t="s">
        <v>29</v>
      </c>
      <c r="C657" s="90"/>
      <c r="D657" s="65">
        <v>29667</v>
      </c>
      <c r="E657" s="66">
        <v>1</v>
      </c>
    </row>
    <row r="658" spans="2:5" ht="14.45" customHeight="1"/>
    <row r="659" spans="2:5" ht="14.45" customHeight="1">
      <c r="B659" s="15" t="s">
        <v>47</v>
      </c>
    </row>
    <row r="660" spans="2:5" ht="14.45" customHeight="1">
      <c r="B660" s="17" t="s">
        <v>18</v>
      </c>
    </row>
    <row r="661" spans="2:5" ht="14.45" customHeight="1">
      <c r="B661" s="16" t="s">
        <v>48</v>
      </c>
    </row>
    <row r="662" spans="2:5" ht="14.45" customHeight="1">
      <c r="B662" s="15" t="s">
        <v>17</v>
      </c>
    </row>
    <row r="663" spans="2:5" ht="14.45" customHeight="1">
      <c r="B663" s="15" t="s">
        <v>49</v>
      </c>
    </row>
  </sheetData>
  <mergeCells count="26">
    <mergeCell ref="B657:C657"/>
    <mergeCell ref="B572:B603"/>
    <mergeCell ref="B604:B638"/>
    <mergeCell ref="B639:B643"/>
    <mergeCell ref="B644:B652"/>
    <mergeCell ref="B653:B656"/>
    <mergeCell ref="B471:B516"/>
    <mergeCell ref="B517:B528"/>
    <mergeCell ref="B529:B548"/>
    <mergeCell ref="B549:B562"/>
    <mergeCell ref="B563:B571"/>
    <mergeCell ref="B282:B317"/>
    <mergeCell ref="B318:B353"/>
    <mergeCell ref="B354:B400"/>
    <mergeCell ref="B401:B430"/>
    <mergeCell ref="B431:B470"/>
    <mergeCell ref="B7:E8"/>
    <mergeCell ref="B10:B31"/>
    <mergeCell ref="B32:B48"/>
    <mergeCell ref="B49:B75"/>
    <mergeCell ref="B76:B104"/>
    <mergeCell ref="B105:B136"/>
    <mergeCell ref="B137:B168"/>
    <mergeCell ref="B169:B206"/>
    <mergeCell ref="B207:B249"/>
    <mergeCell ref="B250:B28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E817"/>
  <sheetViews>
    <sheetView showGridLines="0" view="pageBreakPreview" zoomScale="85" zoomScaleNormal="72" zoomScaleSheetLayoutView="85" workbookViewId="0">
      <selection activeCell="B789" sqref="B789:B805"/>
    </sheetView>
  </sheetViews>
  <sheetFormatPr baseColWidth="10" defaultColWidth="35" defaultRowHeight="15" customHeight="1"/>
  <cols>
    <col min="1" max="1" width="1" style="32" customWidth="1"/>
    <col min="2" max="2" width="22.85546875" style="33" customWidth="1"/>
    <col min="3" max="3" width="43" style="33" customWidth="1"/>
    <col min="4" max="4" width="14.28515625" style="33" customWidth="1"/>
    <col min="5" max="5" width="16.85546875" style="33" customWidth="1"/>
    <col min="6" max="16384" width="35" style="32"/>
  </cols>
  <sheetData>
    <row r="1" spans="1:5" s="41" customFormat="1" ht="12" customHeight="1">
      <c r="B1" s="43"/>
      <c r="C1" s="37"/>
      <c r="D1" s="37"/>
      <c r="E1" s="37"/>
    </row>
    <row r="2" spans="1:5" s="41" customFormat="1" ht="15" customHeight="1">
      <c r="C2" s="45"/>
    </row>
    <row r="3" spans="1:5" s="41" customFormat="1" ht="15" customHeight="1">
      <c r="C3" s="45"/>
    </row>
    <row r="4" spans="1:5" s="41" customFormat="1" ht="30" customHeight="1">
      <c r="C4" s="45"/>
      <c r="D4" s="44"/>
    </row>
    <row r="5" spans="1:5" s="41" customFormat="1" ht="15" customHeight="1">
      <c r="C5" s="45"/>
      <c r="D5" s="44"/>
    </row>
    <row r="6" spans="1:5" s="41" customFormat="1" ht="24" customHeight="1">
      <c r="B6" s="43"/>
      <c r="C6" s="37"/>
      <c r="D6" s="37"/>
      <c r="E6" s="37"/>
    </row>
    <row r="7" spans="1:5" s="41" customFormat="1" ht="26.25" customHeight="1">
      <c r="A7" s="42"/>
      <c r="B7" s="89"/>
      <c r="C7" s="89"/>
      <c r="D7" s="89"/>
      <c r="E7" s="89"/>
    </row>
    <row r="8" spans="1:5" s="41" customFormat="1" ht="33" customHeight="1">
      <c r="A8" s="42"/>
      <c r="B8" s="89"/>
      <c r="C8" s="89"/>
      <c r="D8" s="89"/>
      <c r="E8" s="89"/>
    </row>
    <row r="9" spans="1:5" s="25" customFormat="1" ht="40.5" customHeight="1">
      <c r="B9" s="38" t="s">
        <v>22</v>
      </c>
      <c r="C9" s="40" t="s">
        <v>27</v>
      </c>
      <c r="D9" s="39" t="s">
        <v>20</v>
      </c>
      <c r="E9" s="38" t="s">
        <v>19</v>
      </c>
    </row>
    <row r="10" spans="1:5" ht="15" customHeight="1">
      <c r="B10" s="91" t="s">
        <v>75</v>
      </c>
      <c r="C10" s="68" t="s">
        <v>255</v>
      </c>
      <c r="D10" s="69">
        <v>2</v>
      </c>
      <c r="E10" s="70">
        <v>6.7414972865000001E-5</v>
      </c>
    </row>
    <row r="11" spans="1:5" ht="15" customHeight="1">
      <c r="B11" s="92"/>
      <c r="C11" s="68" t="s">
        <v>257</v>
      </c>
      <c r="D11" s="69">
        <v>1</v>
      </c>
      <c r="E11" s="70">
        <v>3.3707486433000001E-5</v>
      </c>
    </row>
    <row r="12" spans="1:5" ht="15" customHeight="1">
      <c r="B12" s="92"/>
      <c r="C12" s="68" t="s">
        <v>258</v>
      </c>
      <c r="D12" s="69">
        <v>8</v>
      </c>
      <c r="E12" s="70">
        <v>2.6965989146199998E-4</v>
      </c>
    </row>
    <row r="13" spans="1:5" ht="15" customHeight="1">
      <c r="B13" s="92"/>
      <c r="C13" s="68" t="s">
        <v>259</v>
      </c>
      <c r="D13" s="69">
        <v>5</v>
      </c>
      <c r="E13" s="70">
        <v>1.68537432164E-4</v>
      </c>
    </row>
    <row r="14" spans="1:5" ht="15" customHeight="1">
      <c r="B14" s="92"/>
      <c r="C14" s="68" t="s">
        <v>260</v>
      </c>
      <c r="D14" s="69">
        <v>2</v>
      </c>
      <c r="E14" s="70">
        <v>6.7414972865000001E-5</v>
      </c>
    </row>
    <row r="15" spans="1:5" ht="15" customHeight="1">
      <c r="B15" s="92"/>
      <c r="C15" s="68" t="s">
        <v>261</v>
      </c>
      <c r="D15" s="69">
        <v>5</v>
      </c>
      <c r="E15" s="70">
        <v>1.68537432164E-4</v>
      </c>
    </row>
    <row r="16" spans="1:5" ht="15" customHeight="1">
      <c r="B16" s="92"/>
      <c r="C16" s="68" t="s">
        <v>262</v>
      </c>
      <c r="D16" s="69">
        <v>22</v>
      </c>
      <c r="E16" s="70">
        <v>7.4156470151999997E-4</v>
      </c>
    </row>
    <row r="17" spans="2:5" ht="15" customHeight="1">
      <c r="B17" s="92"/>
      <c r="C17" s="68" t="s">
        <v>263</v>
      </c>
      <c r="D17" s="69">
        <v>2</v>
      </c>
      <c r="E17" s="70">
        <v>6.7414972865000001E-5</v>
      </c>
    </row>
    <row r="18" spans="2:5" ht="15" customHeight="1">
      <c r="B18" s="92"/>
      <c r="C18" s="68" t="s">
        <v>264</v>
      </c>
      <c r="D18" s="69">
        <v>2</v>
      </c>
      <c r="E18" s="70">
        <v>6.7414972865000001E-5</v>
      </c>
    </row>
    <row r="19" spans="2:5" ht="15" customHeight="1">
      <c r="B19" s="92"/>
      <c r="C19" s="68" t="s">
        <v>265</v>
      </c>
      <c r="D19" s="69">
        <v>2</v>
      </c>
      <c r="E19" s="70">
        <v>6.7414972865000001E-5</v>
      </c>
    </row>
    <row r="20" spans="2:5" ht="15" customHeight="1">
      <c r="B20" s="92"/>
      <c r="C20" s="68" t="s">
        <v>266</v>
      </c>
      <c r="D20" s="69">
        <v>55</v>
      </c>
      <c r="E20" s="70">
        <v>1.8539117538010001E-3</v>
      </c>
    </row>
    <row r="21" spans="2:5" ht="15" customHeight="1">
      <c r="B21" s="92"/>
      <c r="C21" s="68" t="s">
        <v>267</v>
      </c>
      <c r="D21" s="69">
        <v>3</v>
      </c>
      <c r="E21" s="70">
        <v>1.0112245929799999E-4</v>
      </c>
    </row>
    <row r="22" spans="2:5" ht="15" customHeight="1">
      <c r="B22" s="92"/>
      <c r="C22" s="68" t="s">
        <v>268</v>
      </c>
      <c r="D22" s="69">
        <v>3</v>
      </c>
      <c r="E22" s="70">
        <v>1.0112245929799999E-4</v>
      </c>
    </row>
    <row r="23" spans="2:5" ht="15" customHeight="1">
      <c r="B23" s="92"/>
      <c r="C23" s="68" t="s">
        <v>269</v>
      </c>
      <c r="D23" s="69">
        <v>17</v>
      </c>
      <c r="E23" s="70">
        <v>5.7302726935699996E-4</v>
      </c>
    </row>
    <row r="24" spans="2:5" ht="15" customHeight="1">
      <c r="B24" s="92"/>
      <c r="C24" s="68" t="s">
        <v>272</v>
      </c>
      <c r="D24" s="69">
        <v>1</v>
      </c>
      <c r="E24" s="70">
        <v>3.3707486433000001E-5</v>
      </c>
    </row>
    <row r="25" spans="2:5" ht="15" customHeight="1">
      <c r="B25" s="92"/>
      <c r="C25" s="68" t="s">
        <v>275</v>
      </c>
      <c r="D25" s="69">
        <v>5</v>
      </c>
      <c r="E25" s="70">
        <v>1.68537432164E-4</v>
      </c>
    </row>
    <row r="26" spans="2:5" ht="15" customHeight="1">
      <c r="B26" s="93"/>
      <c r="C26" s="36" t="s">
        <v>29</v>
      </c>
      <c r="D26" s="35">
        <v>135</v>
      </c>
      <c r="E26" s="34">
        <v>4.5505106684189996E-3</v>
      </c>
    </row>
    <row r="27" spans="2:5" ht="15" customHeight="1">
      <c r="B27" s="91" t="s">
        <v>53</v>
      </c>
      <c r="C27" s="68" t="s">
        <v>255</v>
      </c>
      <c r="D27" s="69">
        <v>11</v>
      </c>
      <c r="E27" s="70">
        <v>3.7078235075999999E-4</v>
      </c>
    </row>
    <row r="28" spans="2:5" ht="15" customHeight="1">
      <c r="B28" s="92"/>
      <c r="C28" s="68" t="s">
        <v>256</v>
      </c>
      <c r="D28" s="69">
        <v>4</v>
      </c>
      <c r="E28" s="70">
        <v>1.3482994573099999E-4</v>
      </c>
    </row>
    <row r="29" spans="2:5" ht="15" customHeight="1">
      <c r="B29" s="92"/>
      <c r="C29" s="68" t="s">
        <v>257</v>
      </c>
      <c r="D29" s="69">
        <v>7</v>
      </c>
      <c r="E29" s="70">
        <v>2.35952405029E-4</v>
      </c>
    </row>
    <row r="30" spans="2:5" ht="15" customHeight="1">
      <c r="B30" s="92"/>
      <c r="C30" s="68" t="s">
        <v>258</v>
      </c>
      <c r="D30" s="69">
        <v>27</v>
      </c>
      <c r="E30" s="70">
        <v>9.1010213368400005E-4</v>
      </c>
    </row>
    <row r="31" spans="2:5" ht="15" customHeight="1">
      <c r="B31" s="92"/>
      <c r="C31" s="68" t="s">
        <v>259</v>
      </c>
      <c r="D31" s="69">
        <v>18</v>
      </c>
      <c r="E31" s="70">
        <v>6.0673475578900001E-4</v>
      </c>
    </row>
    <row r="32" spans="2:5" ht="15" customHeight="1">
      <c r="B32" s="92"/>
      <c r="C32" s="68" t="s">
        <v>260</v>
      </c>
      <c r="D32" s="69">
        <v>31</v>
      </c>
      <c r="E32" s="70">
        <v>1.0449320794149999E-3</v>
      </c>
    </row>
    <row r="33" spans="2:5" ht="15" customHeight="1">
      <c r="B33" s="92"/>
      <c r="C33" s="68" t="s">
        <v>261</v>
      </c>
      <c r="D33" s="69">
        <v>92</v>
      </c>
      <c r="E33" s="70">
        <v>3.1010887518119999E-3</v>
      </c>
    </row>
    <row r="34" spans="2:5" ht="15" customHeight="1">
      <c r="B34" s="92"/>
      <c r="C34" s="68" t="s">
        <v>262</v>
      </c>
      <c r="D34" s="69">
        <v>256</v>
      </c>
      <c r="E34" s="70">
        <v>8.6291165267809999E-3</v>
      </c>
    </row>
    <row r="35" spans="2:5" ht="15" customHeight="1">
      <c r="B35" s="92"/>
      <c r="C35" s="68" t="s">
        <v>263</v>
      </c>
      <c r="D35" s="69">
        <v>18</v>
      </c>
      <c r="E35" s="70">
        <v>6.0673475578900001E-4</v>
      </c>
    </row>
    <row r="36" spans="2:5" ht="15" customHeight="1">
      <c r="B36" s="92"/>
      <c r="C36" s="68" t="s">
        <v>264</v>
      </c>
      <c r="D36" s="69">
        <v>48</v>
      </c>
      <c r="E36" s="70">
        <v>1.6179593487709999E-3</v>
      </c>
    </row>
    <row r="37" spans="2:5" ht="15" customHeight="1">
      <c r="B37" s="92"/>
      <c r="C37" s="68" t="s">
        <v>265</v>
      </c>
      <c r="D37" s="69">
        <v>47</v>
      </c>
      <c r="E37" s="70">
        <v>1.584251862339E-3</v>
      </c>
    </row>
    <row r="38" spans="2:5" ht="15" customHeight="1">
      <c r="B38" s="92"/>
      <c r="C38" s="68" t="s">
        <v>266</v>
      </c>
      <c r="D38" s="69">
        <v>607</v>
      </c>
      <c r="E38" s="70">
        <v>2.0460444264671002E-2</v>
      </c>
    </row>
    <row r="39" spans="2:5" ht="15" customHeight="1">
      <c r="B39" s="92"/>
      <c r="C39" s="68" t="s">
        <v>267</v>
      </c>
      <c r="D39" s="69">
        <v>18</v>
      </c>
      <c r="E39" s="70">
        <v>6.0673475578900001E-4</v>
      </c>
    </row>
    <row r="40" spans="2:5" ht="15" customHeight="1">
      <c r="B40" s="92"/>
      <c r="C40" s="68" t="s">
        <v>268</v>
      </c>
      <c r="D40" s="69">
        <v>54</v>
      </c>
      <c r="E40" s="70">
        <v>1.8202042673680001E-3</v>
      </c>
    </row>
    <row r="41" spans="2:5" ht="15" customHeight="1">
      <c r="B41" s="92"/>
      <c r="C41" s="68" t="s">
        <v>269</v>
      </c>
      <c r="D41" s="69">
        <v>192</v>
      </c>
      <c r="E41" s="70">
        <v>6.4718373950849997E-3</v>
      </c>
    </row>
    <row r="42" spans="2:5" ht="15" customHeight="1">
      <c r="B42" s="92"/>
      <c r="C42" s="68" t="s">
        <v>270</v>
      </c>
      <c r="D42" s="69">
        <v>3</v>
      </c>
      <c r="E42" s="70">
        <v>1.0112245929799999E-4</v>
      </c>
    </row>
    <row r="43" spans="2:5" ht="15" customHeight="1">
      <c r="B43" s="92"/>
      <c r="C43" s="68" t="s">
        <v>271</v>
      </c>
      <c r="D43" s="69">
        <v>4</v>
      </c>
      <c r="E43" s="70">
        <v>1.3482994573099999E-4</v>
      </c>
    </row>
    <row r="44" spans="2:5" ht="15" customHeight="1">
      <c r="B44" s="92"/>
      <c r="C44" s="68" t="s">
        <v>272</v>
      </c>
      <c r="D44" s="69">
        <v>3</v>
      </c>
      <c r="E44" s="70">
        <v>1.0112245929799999E-4</v>
      </c>
    </row>
    <row r="45" spans="2:5" ht="15" customHeight="1">
      <c r="B45" s="92"/>
      <c r="C45" s="68" t="s">
        <v>274</v>
      </c>
      <c r="D45" s="69">
        <v>14</v>
      </c>
      <c r="E45" s="70">
        <v>4.7190481005799999E-4</v>
      </c>
    </row>
    <row r="46" spans="2:5" ht="15" customHeight="1">
      <c r="B46" s="92"/>
      <c r="C46" s="68" t="s">
        <v>275</v>
      </c>
      <c r="D46" s="69">
        <v>23</v>
      </c>
      <c r="E46" s="70">
        <v>7.7527218795299998E-4</v>
      </c>
    </row>
    <row r="47" spans="2:5" ht="15" customHeight="1">
      <c r="B47" s="92"/>
      <c r="C47" s="68" t="s">
        <v>276</v>
      </c>
      <c r="D47" s="69">
        <v>1</v>
      </c>
      <c r="E47" s="70">
        <v>3.3707486433000001E-5</v>
      </c>
    </row>
    <row r="48" spans="2:5" ht="15" customHeight="1">
      <c r="B48" s="92"/>
      <c r="C48" s="68" t="s">
        <v>277</v>
      </c>
      <c r="D48" s="69">
        <v>1</v>
      </c>
      <c r="E48" s="70">
        <v>3.3707486433000001E-5</v>
      </c>
    </row>
    <row r="49" spans="2:5" ht="15" customHeight="1">
      <c r="B49" s="93"/>
      <c r="C49" s="36" t="s">
        <v>29</v>
      </c>
      <c r="D49" s="35">
        <v>1479</v>
      </c>
      <c r="E49" s="34">
        <v>4.9853372434018002E-2</v>
      </c>
    </row>
    <row r="50" spans="2:5" ht="15" customHeight="1">
      <c r="B50" s="91" t="s">
        <v>52</v>
      </c>
      <c r="C50" s="68" t="s">
        <v>255</v>
      </c>
      <c r="D50" s="69">
        <v>21</v>
      </c>
      <c r="E50" s="70">
        <v>7.0785721508699996E-4</v>
      </c>
    </row>
    <row r="51" spans="2:5" ht="15" customHeight="1">
      <c r="B51" s="92"/>
      <c r="C51" s="68" t="s">
        <v>256</v>
      </c>
      <c r="D51" s="69">
        <v>8</v>
      </c>
      <c r="E51" s="70">
        <v>2.6965989146199998E-4</v>
      </c>
    </row>
    <row r="52" spans="2:5" ht="15" customHeight="1">
      <c r="B52" s="92"/>
      <c r="C52" s="68" t="s">
        <v>257</v>
      </c>
      <c r="D52" s="69">
        <v>15</v>
      </c>
      <c r="E52" s="70">
        <v>5.0561229649099995E-4</v>
      </c>
    </row>
    <row r="53" spans="2:5" ht="15" customHeight="1">
      <c r="B53" s="92"/>
      <c r="C53" s="68" t="s">
        <v>258</v>
      </c>
      <c r="D53" s="69">
        <v>36</v>
      </c>
      <c r="E53" s="70">
        <v>1.2134695115790001E-3</v>
      </c>
    </row>
    <row r="54" spans="2:5" ht="15" customHeight="1">
      <c r="B54" s="92"/>
      <c r="C54" s="68" t="s">
        <v>259</v>
      </c>
      <c r="D54" s="69">
        <v>28</v>
      </c>
      <c r="E54" s="70">
        <v>9.4380962011699995E-4</v>
      </c>
    </row>
    <row r="55" spans="2:5" ht="15" customHeight="1">
      <c r="B55" s="92"/>
      <c r="C55" s="68" t="s">
        <v>260</v>
      </c>
      <c r="D55" s="69">
        <v>29</v>
      </c>
      <c r="E55" s="70">
        <v>9.775171065490001E-4</v>
      </c>
    </row>
    <row r="56" spans="2:5" ht="15" customHeight="1">
      <c r="B56" s="92"/>
      <c r="C56" s="68" t="s">
        <v>261</v>
      </c>
      <c r="D56" s="69">
        <v>124</v>
      </c>
      <c r="E56" s="70">
        <v>4.1797283176590004E-3</v>
      </c>
    </row>
    <row r="57" spans="2:5" ht="15" customHeight="1">
      <c r="B57" s="92"/>
      <c r="C57" s="68" t="s">
        <v>262</v>
      </c>
      <c r="D57" s="69">
        <v>234</v>
      </c>
      <c r="E57" s="70">
        <v>7.8875518252600006E-3</v>
      </c>
    </row>
    <row r="58" spans="2:5" ht="15" customHeight="1">
      <c r="B58" s="92"/>
      <c r="C58" s="68" t="s">
        <v>263</v>
      </c>
      <c r="D58" s="69">
        <v>18</v>
      </c>
      <c r="E58" s="70">
        <v>6.0673475578900001E-4</v>
      </c>
    </row>
    <row r="59" spans="2:5" ht="15" customHeight="1">
      <c r="B59" s="92"/>
      <c r="C59" s="68" t="s">
        <v>264</v>
      </c>
      <c r="D59" s="69">
        <v>45</v>
      </c>
      <c r="E59" s="70">
        <v>1.516836889473E-3</v>
      </c>
    </row>
    <row r="60" spans="2:5" ht="15" customHeight="1">
      <c r="B60" s="92"/>
      <c r="C60" s="68" t="s">
        <v>265</v>
      </c>
      <c r="D60" s="69">
        <v>84</v>
      </c>
      <c r="E60" s="70">
        <v>2.83142886035E-3</v>
      </c>
    </row>
    <row r="61" spans="2:5" ht="15" customHeight="1">
      <c r="B61" s="92"/>
      <c r="C61" s="68" t="s">
        <v>266</v>
      </c>
      <c r="D61" s="69">
        <v>562</v>
      </c>
      <c r="E61" s="70">
        <v>1.8943607375197999E-2</v>
      </c>
    </row>
    <row r="62" spans="2:5" ht="15" customHeight="1">
      <c r="B62" s="92"/>
      <c r="C62" s="68" t="s">
        <v>267</v>
      </c>
      <c r="D62" s="69">
        <v>13</v>
      </c>
      <c r="E62" s="70">
        <v>4.38197323626E-4</v>
      </c>
    </row>
    <row r="63" spans="2:5" ht="15" customHeight="1">
      <c r="B63" s="92"/>
      <c r="C63" s="68" t="s">
        <v>268</v>
      </c>
      <c r="D63" s="69">
        <v>73</v>
      </c>
      <c r="E63" s="70">
        <v>2.4606465095899999E-3</v>
      </c>
    </row>
    <row r="64" spans="2:5" ht="15" customHeight="1">
      <c r="B64" s="92"/>
      <c r="C64" s="68" t="s">
        <v>269</v>
      </c>
      <c r="D64" s="69">
        <v>242</v>
      </c>
      <c r="E64" s="70">
        <v>8.1572117167220005E-3</v>
      </c>
    </row>
    <row r="65" spans="2:5" ht="15" customHeight="1">
      <c r="B65" s="92"/>
      <c r="C65" s="68" t="s">
        <v>270</v>
      </c>
      <c r="D65" s="69">
        <v>5</v>
      </c>
      <c r="E65" s="70">
        <v>1.68537432164E-4</v>
      </c>
    </row>
    <row r="66" spans="2:5" ht="15" customHeight="1">
      <c r="B66" s="92"/>
      <c r="C66" s="68" t="s">
        <v>271</v>
      </c>
      <c r="D66" s="69">
        <v>3</v>
      </c>
      <c r="E66" s="70">
        <v>1.0112245929799999E-4</v>
      </c>
    </row>
    <row r="67" spans="2:5" ht="15" customHeight="1">
      <c r="B67" s="92"/>
      <c r="C67" s="68" t="s">
        <v>272</v>
      </c>
      <c r="D67" s="69">
        <v>2</v>
      </c>
      <c r="E67" s="70">
        <v>6.7414972865000001E-5</v>
      </c>
    </row>
    <row r="68" spans="2:5" ht="15" customHeight="1">
      <c r="B68" s="92"/>
      <c r="C68" s="68" t="s">
        <v>273</v>
      </c>
      <c r="D68" s="69">
        <v>2</v>
      </c>
      <c r="E68" s="70">
        <v>6.7414972865000001E-5</v>
      </c>
    </row>
    <row r="69" spans="2:5" ht="15" customHeight="1">
      <c r="B69" s="92"/>
      <c r="C69" s="68" t="s">
        <v>274</v>
      </c>
      <c r="D69" s="69">
        <v>14</v>
      </c>
      <c r="E69" s="70">
        <v>4.7190481005799999E-4</v>
      </c>
    </row>
    <row r="70" spans="2:5" ht="15" customHeight="1">
      <c r="B70" s="92"/>
      <c r="C70" s="68" t="s">
        <v>275</v>
      </c>
      <c r="D70" s="69">
        <v>39</v>
      </c>
      <c r="E70" s="70">
        <v>1.314591970877E-3</v>
      </c>
    </row>
    <row r="71" spans="2:5" ht="15" customHeight="1">
      <c r="B71" s="92"/>
      <c r="C71" s="68" t="s">
        <v>277</v>
      </c>
      <c r="D71" s="69">
        <v>1</v>
      </c>
      <c r="E71" s="70">
        <v>3.3707486433000001E-5</v>
      </c>
    </row>
    <row r="72" spans="2:5" ht="15" customHeight="1">
      <c r="B72" s="93"/>
      <c r="C72" s="36" t="s">
        <v>29</v>
      </c>
      <c r="D72" s="35">
        <v>1598</v>
      </c>
      <c r="E72" s="34">
        <v>5.3864563319512997E-2</v>
      </c>
    </row>
    <row r="73" spans="2:5" ht="15" customHeight="1">
      <c r="B73" s="91" t="s">
        <v>85</v>
      </c>
      <c r="C73" s="68" t="s">
        <v>258</v>
      </c>
      <c r="D73" s="69">
        <v>1</v>
      </c>
      <c r="E73" s="70">
        <v>3.3707486433000001E-5</v>
      </c>
    </row>
    <row r="74" spans="2:5" ht="15" customHeight="1">
      <c r="B74" s="92"/>
      <c r="C74" s="68" t="s">
        <v>259</v>
      </c>
      <c r="D74" s="69">
        <v>1</v>
      </c>
      <c r="E74" s="70">
        <v>3.3707486433000001E-5</v>
      </c>
    </row>
    <row r="75" spans="2:5" ht="15" customHeight="1">
      <c r="B75" s="92"/>
      <c r="C75" s="68" t="s">
        <v>260</v>
      </c>
      <c r="D75" s="69">
        <v>1</v>
      </c>
      <c r="E75" s="70">
        <v>3.3707486433000001E-5</v>
      </c>
    </row>
    <row r="76" spans="2:5" ht="15" customHeight="1">
      <c r="B76" s="92"/>
      <c r="C76" s="68" t="s">
        <v>261</v>
      </c>
      <c r="D76" s="69">
        <v>6</v>
      </c>
      <c r="E76" s="70">
        <v>2.0224491859599999E-4</v>
      </c>
    </row>
    <row r="77" spans="2:5" ht="15" customHeight="1">
      <c r="B77" s="92"/>
      <c r="C77" s="68" t="s">
        <v>262</v>
      </c>
      <c r="D77" s="69">
        <v>5</v>
      </c>
      <c r="E77" s="70">
        <v>1.68537432164E-4</v>
      </c>
    </row>
    <row r="78" spans="2:5" ht="15" customHeight="1">
      <c r="B78" s="92"/>
      <c r="C78" s="68" t="s">
        <v>264</v>
      </c>
      <c r="D78" s="69">
        <v>2</v>
      </c>
      <c r="E78" s="70">
        <v>6.7414972865000001E-5</v>
      </c>
    </row>
    <row r="79" spans="2:5" ht="15" customHeight="1">
      <c r="B79" s="92"/>
      <c r="C79" s="68" t="s">
        <v>265</v>
      </c>
      <c r="D79" s="69">
        <v>4</v>
      </c>
      <c r="E79" s="70">
        <v>1.3482994573099999E-4</v>
      </c>
    </row>
    <row r="80" spans="2:5" ht="15" customHeight="1">
      <c r="B80" s="92"/>
      <c r="C80" s="68" t="s">
        <v>266</v>
      </c>
      <c r="D80" s="69">
        <v>25</v>
      </c>
      <c r="E80" s="70">
        <v>8.4268716081800003E-4</v>
      </c>
    </row>
    <row r="81" spans="2:5" ht="15" customHeight="1">
      <c r="B81" s="92"/>
      <c r="C81" s="68" t="s">
        <v>268</v>
      </c>
      <c r="D81" s="69">
        <v>4</v>
      </c>
      <c r="E81" s="70">
        <v>1.3482994573099999E-4</v>
      </c>
    </row>
    <row r="82" spans="2:5" ht="15" customHeight="1">
      <c r="B82" s="92"/>
      <c r="C82" s="68" t="s">
        <v>269</v>
      </c>
      <c r="D82" s="69">
        <v>8</v>
      </c>
      <c r="E82" s="70">
        <v>2.6965989146199998E-4</v>
      </c>
    </row>
    <row r="83" spans="2:5" ht="15" customHeight="1">
      <c r="B83" s="93"/>
      <c r="C83" s="36" t="s">
        <v>29</v>
      </c>
      <c r="D83" s="35">
        <v>57</v>
      </c>
      <c r="E83" s="34">
        <v>1.9213267266660001E-3</v>
      </c>
    </row>
    <row r="84" spans="2:5" ht="15" customHeight="1">
      <c r="B84" s="91" t="s">
        <v>87</v>
      </c>
      <c r="C84" s="68" t="s">
        <v>257</v>
      </c>
      <c r="D84" s="69">
        <v>1</v>
      </c>
      <c r="E84" s="70">
        <v>3.3707486433000001E-5</v>
      </c>
    </row>
    <row r="85" spans="2:5" ht="15" customHeight="1">
      <c r="B85" s="92"/>
      <c r="C85" s="68" t="s">
        <v>262</v>
      </c>
      <c r="D85" s="69">
        <v>8</v>
      </c>
      <c r="E85" s="70">
        <v>2.6965989146199998E-4</v>
      </c>
    </row>
    <row r="86" spans="2:5" ht="15" customHeight="1">
      <c r="B86" s="92"/>
      <c r="C86" s="68" t="s">
        <v>263</v>
      </c>
      <c r="D86" s="69">
        <v>1</v>
      </c>
      <c r="E86" s="70">
        <v>3.3707486433000001E-5</v>
      </c>
    </row>
    <row r="87" spans="2:5" ht="15" customHeight="1">
      <c r="B87" s="92"/>
      <c r="C87" s="68" t="s">
        <v>265</v>
      </c>
      <c r="D87" s="69">
        <v>1</v>
      </c>
      <c r="E87" s="70">
        <v>3.3707486433000001E-5</v>
      </c>
    </row>
    <row r="88" spans="2:5" ht="15" customHeight="1">
      <c r="B88" s="92"/>
      <c r="C88" s="68" t="s">
        <v>266</v>
      </c>
      <c r="D88" s="69">
        <v>17</v>
      </c>
      <c r="E88" s="70">
        <v>5.7302726935699996E-4</v>
      </c>
    </row>
    <row r="89" spans="2:5" ht="15" customHeight="1">
      <c r="B89" s="92"/>
      <c r="C89" s="68" t="s">
        <v>267</v>
      </c>
      <c r="D89" s="69">
        <v>1</v>
      </c>
      <c r="E89" s="70">
        <v>3.3707486433000001E-5</v>
      </c>
    </row>
    <row r="90" spans="2:5" ht="15" customHeight="1">
      <c r="B90" s="92"/>
      <c r="C90" s="68" t="s">
        <v>268</v>
      </c>
      <c r="D90" s="69">
        <v>2</v>
      </c>
      <c r="E90" s="70">
        <v>6.7414972865000001E-5</v>
      </c>
    </row>
    <row r="91" spans="2:5" ht="15" customHeight="1">
      <c r="B91" s="92"/>
      <c r="C91" s="68" t="s">
        <v>269</v>
      </c>
      <c r="D91" s="69">
        <v>8</v>
      </c>
      <c r="E91" s="70">
        <v>2.6965989146199998E-4</v>
      </c>
    </row>
    <row r="92" spans="2:5" ht="15" customHeight="1">
      <c r="B92" s="92"/>
      <c r="C92" s="68" t="s">
        <v>274</v>
      </c>
      <c r="D92" s="69">
        <v>1</v>
      </c>
      <c r="E92" s="70">
        <v>3.3707486433000001E-5</v>
      </c>
    </row>
    <row r="93" spans="2:5" ht="15" customHeight="1">
      <c r="B93" s="92"/>
      <c r="C93" s="68" t="s">
        <v>275</v>
      </c>
      <c r="D93" s="69">
        <v>2</v>
      </c>
      <c r="E93" s="70">
        <v>6.7414972865000001E-5</v>
      </c>
    </row>
    <row r="94" spans="2:5" ht="15" customHeight="1">
      <c r="B94" s="93"/>
      <c r="C94" s="36" t="s">
        <v>29</v>
      </c>
      <c r="D94" s="35">
        <v>42</v>
      </c>
      <c r="E94" s="34">
        <v>1.415714430175E-3</v>
      </c>
    </row>
    <row r="95" spans="2:5" ht="15" customHeight="1">
      <c r="B95" s="91" t="s">
        <v>60</v>
      </c>
      <c r="C95" s="68" t="s">
        <v>255</v>
      </c>
      <c r="D95" s="69">
        <v>8</v>
      </c>
      <c r="E95" s="70">
        <v>2.6965989146199998E-4</v>
      </c>
    </row>
    <row r="96" spans="2:5" ht="15" customHeight="1">
      <c r="B96" s="92"/>
      <c r="C96" s="68" t="s">
        <v>256</v>
      </c>
      <c r="D96" s="69">
        <v>3</v>
      </c>
      <c r="E96" s="70">
        <v>1.0112245929799999E-4</v>
      </c>
    </row>
    <row r="97" spans="2:5" ht="15" customHeight="1">
      <c r="B97" s="92"/>
      <c r="C97" s="68" t="s">
        <v>257</v>
      </c>
      <c r="D97" s="69">
        <v>5</v>
      </c>
      <c r="E97" s="70">
        <v>1.68537432164E-4</v>
      </c>
    </row>
    <row r="98" spans="2:5" ht="15" customHeight="1">
      <c r="B98" s="92"/>
      <c r="C98" s="68" t="s">
        <v>258</v>
      </c>
      <c r="D98" s="69">
        <v>13</v>
      </c>
      <c r="E98" s="70">
        <v>4.38197323626E-4</v>
      </c>
    </row>
    <row r="99" spans="2:5" ht="15" customHeight="1">
      <c r="B99" s="92"/>
      <c r="C99" s="68" t="s">
        <v>259</v>
      </c>
      <c r="D99" s="69">
        <v>12</v>
      </c>
      <c r="E99" s="70">
        <v>4.0448983719299999E-4</v>
      </c>
    </row>
    <row r="100" spans="2:5" ht="15" customHeight="1">
      <c r="B100" s="92"/>
      <c r="C100" s="68" t="s">
        <v>260</v>
      </c>
      <c r="D100" s="69">
        <v>15</v>
      </c>
      <c r="E100" s="70">
        <v>5.0561229649099995E-4</v>
      </c>
    </row>
    <row r="101" spans="2:5" ht="15" customHeight="1">
      <c r="B101" s="92"/>
      <c r="C101" s="68" t="s">
        <v>261</v>
      </c>
      <c r="D101" s="69">
        <v>74</v>
      </c>
      <c r="E101" s="70">
        <v>2.4943539960230001E-3</v>
      </c>
    </row>
    <row r="102" spans="2:5" ht="15" customHeight="1">
      <c r="B102" s="92"/>
      <c r="C102" s="68" t="s">
        <v>262</v>
      </c>
      <c r="D102" s="69">
        <v>47</v>
      </c>
      <c r="E102" s="70">
        <v>1.584251862339E-3</v>
      </c>
    </row>
    <row r="103" spans="2:5" ht="15" customHeight="1">
      <c r="B103" s="92"/>
      <c r="C103" s="68" t="s">
        <v>263</v>
      </c>
      <c r="D103" s="69">
        <v>4</v>
      </c>
      <c r="E103" s="70">
        <v>1.3482994573099999E-4</v>
      </c>
    </row>
    <row r="104" spans="2:5" ht="15" customHeight="1">
      <c r="B104" s="92"/>
      <c r="C104" s="68" t="s">
        <v>264</v>
      </c>
      <c r="D104" s="69">
        <v>11</v>
      </c>
      <c r="E104" s="70">
        <v>3.7078235075999999E-4</v>
      </c>
    </row>
    <row r="105" spans="2:5" ht="15" customHeight="1">
      <c r="B105" s="92"/>
      <c r="C105" s="68" t="s">
        <v>265</v>
      </c>
      <c r="D105" s="69">
        <v>35</v>
      </c>
      <c r="E105" s="70">
        <v>1.1797620251460001E-3</v>
      </c>
    </row>
    <row r="106" spans="2:5" ht="15" customHeight="1">
      <c r="B106" s="92"/>
      <c r="C106" s="68" t="s">
        <v>266</v>
      </c>
      <c r="D106" s="69">
        <v>122</v>
      </c>
      <c r="E106" s="70">
        <v>4.112313344794E-3</v>
      </c>
    </row>
    <row r="107" spans="2:5" ht="15" customHeight="1">
      <c r="B107" s="92"/>
      <c r="C107" s="68" t="s">
        <v>267</v>
      </c>
      <c r="D107" s="69">
        <v>6</v>
      </c>
      <c r="E107" s="70">
        <v>2.0224491859599999E-4</v>
      </c>
    </row>
    <row r="108" spans="2:5" ht="15" customHeight="1">
      <c r="B108" s="92"/>
      <c r="C108" s="68" t="s">
        <v>268</v>
      </c>
      <c r="D108" s="69">
        <v>19</v>
      </c>
      <c r="E108" s="70">
        <v>6.4044224222200002E-4</v>
      </c>
    </row>
    <row r="109" spans="2:5" ht="15" customHeight="1">
      <c r="B109" s="92"/>
      <c r="C109" s="68" t="s">
        <v>269</v>
      </c>
      <c r="D109" s="69">
        <v>71</v>
      </c>
      <c r="E109" s="70">
        <v>2.3932315367239999E-3</v>
      </c>
    </row>
    <row r="110" spans="2:5" ht="15" customHeight="1">
      <c r="B110" s="92"/>
      <c r="C110" s="68" t="s">
        <v>270</v>
      </c>
      <c r="D110" s="69">
        <v>4</v>
      </c>
      <c r="E110" s="70">
        <v>1.3482994573099999E-4</v>
      </c>
    </row>
    <row r="111" spans="2:5" ht="15" customHeight="1">
      <c r="B111" s="92"/>
      <c r="C111" s="68" t="s">
        <v>271</v>
      </c>
      <c r="D111" s="69">
        <v>2</v>
      </c>
      <c r="E111" s="70">
        <v>6.7414972865000001E-5</v>
      </c>
    </row>
    <row r="112" spans="2:5" ht="15" customHeight="1">
      <c r="B112" s="92"/>
      <c r="C112" s="68" t="s">
        <v>272</v>
      </c>
      <c r="D112" s="69">
        <v>1</v>
      </c>
      <c r="E112" s="70">
        <v>3.3707486433000001E-5</v>
      </c>
    </row>
    <row r="113" spans="2:5" ht="15" customHeight="1">
      <c r="B113" s="92"/>
      <c r="C113" s="68" t="s">
        <v>273</v>
      </c>
      <c r="D113" s="69">
        <v>1</v>
      </c>
      <c r="E113" s="70">
        <v>3.3707486433000001E-5</v>
      </c>
    </row>
    <row r="114" spans="2:5" ht="15" customHeight="1">
      <c r="B114" s="92"/>
      <c r="C114" s="68" t="s">
        <v>274</v>
      </c>
      <c r="D114" s="69">
        <v>4</v>
      </c>
      <c r="E114" s="70">
        <v>1.3482994573099999E-4</v>
      </c>
    </row>
    <row r="115" spans="2:5" ht="15" customHeight="1">
      <c r="B115" s="92"/>
      <c r="C115" s="68" t="s">
        <v>275</v>
      </c>
      <c r="D115" s="69">
        <v>15</v>
      </c>
      <c r="E115" s="70">
        <v>5.0561229649099995E-4</v>
      </c>
    </row>
    <row r="116" spans="2:5" ht="15" customHeight="1">
      <c r="B116" s="92"/>
      <c r="C116" s="68" t="s">
        <v>278</v>
      </c>
      <c r="D116" s="69">
        <v>1</v>
      </c>
      <c r="E116" s="70">
        <v>3.3707486433000001E-5</v>
      </c>
    </row>
    <row r="117" spans="2:5" ht="15" customHeight="1">
      <c r="B117" s="93"/>
      <c r="C117" s="36" t="s">
        <v>29</v>
      </c>
      <c r="D117" s="35">
        <v>473</v>
      </c>
      <c r="E117" s="34">
        <v>1.5943641082684E-2</v>
      </c>
    </row>
    <row r="118" spans="2:5" ht="15" customHeight="1">
      <c r="B118" s="91" t="s">
        <v>99</v>
      </c>
      <c r="C118" s="68" t="s">
        <v>274</v>
      </c>
      <c r="D118" s="69">
        <v>1</v>
      </c>
      <c r="E118" s="70">
        <v>3.3707486433000001E-5</v>
      </c>
    </row>
    <row r="119" spans="2:5" ht="15" customHeight="1">
      <c r="B119" s="93"/>
      <c r="C119" s="36" t="s">
        <v>29</v>
      </c>
      <c r="D119" s="35">
        <v>1</v>
      </c>
      <c r="E119" s="34">
        <v>3.3707486433000001E-5</v>
      </c>
    </row>
    <row r="120" spans="2:5" ht="15" customHeight="1">
      <c r="B120" s="91" t="s">
        <v>54</v>
      </c>
      <c r="C120" s="68" t="s">
        <v>255</v>
      </c>
      <c r="D120" s="69">
        <v>7</v>
      </c>
      <c r="E120" s="70">
        <v>2.35952405029E-4</v>
      </c>
    </row>
    <row r="121" spans="2:5" ht="15" customHeight="1">
      <c r="B121" s="92"/>
      <c r="C121" s="68" t="s">
        <v>256</v>
      </c>
      <c r="D121" s="69">
        <v>5</v>
      </c>
      <c r="E121" s="70">
        <v>1.68537432164E-4</v>
      </c>
    </row>
    <row r="122" spans="2:5" ht="15" customHeight="1">
      <c r="B122" s="92"/>
      <c r="C122" s="68" t="s">
        <v>257</v>
      </c>
      <c r="D122" s="69">
        <v>5</v>
      </c>
      <c r="E122" s="70">
        <v>1.68537432164E-4</v>
      </c>
    </row>
    <row r="123" spans="2:5" ht="15" customHeight="1">
      <c r="B123" s="92"/>
      <c r="C123" s="68" t="s">
        <v>258</v>
      </c>
      <c r="D123" s="69">
        <v>10</v>
      </c>
      <c r="E123" s="70">
        <v>3.3707486432699998E-4</v>
      </c>
    </row>
    <row r="124" spans="2:5" ht="15" customHeight="1">
      <c r="B124" s="92"/>
      <c r="C124" s="68" t="s">
        <v>259</v>
      </c>
      <c r="D124" s="69">
        <v>5</v>
      </c>
      <c r="E124" s="70">
        <v>1.68537432164E-4</v>
      </c>
    </row>
    <row r="125" spans="2:5" ht="15" customHeight="1">
      <c r="B125" s="92"/>
      <c r="C125" s="68" t="s">
        <v>260</v>
      </c>
      <c r="D125" s="69">
        <v>8</v>
      </c>
      <c r="E125" s="70">
        <v>2.6965989146199998E-4</v>
      </c>
    </row>
    <row r="126" spans="2:5" ht="15" customHeight="1">
      <c r="B126" s="92"/>
      <c r="C126" s="68" t="s">
        <v>261</v>
      </c>
      <c r="D126" s="69">
        <v>51</v>
      </c>
      <c r="E126" s="70">
        <v>1.7190818080699999E-3</v>
      </c>
    </row>
    <row r="127" spans="2:5" ht="15" customHeight="1">
      <c r="B127" s="92"/>
      <c r="C127" s="68" t="s">
        <v>262</v>
      </c>
      <c r="D127" s="69">
        <v>238</v>
      </c>
      <c r="E127" s="70">
        <v>8.0223817709910005E-3</v>
      </c>
    </row>
    <row r="128" spans="2:5" ht="15" customHeight="1">
      <c r="B128" s="92"/>
      <c r="C128" s="68" t="s">
        <v>263</v>
      </c>
      <c r="D128" s="69">
        <v>7</v>
      </c>
      <c r="E128" s="70">
        <v>2.35952405029E-4</v>
      </c>
    </row>
    <row r="129" spans="2:5" ht="15" customHeight="1">
      <c r="B129" s="92"/>
      <c r="C129" s="68" t="s">
        <v>264</v>
      </c>
      <c r="D129" s="69">
        <v>13</v>
      </c>
      <c r="E129" s="70">
        <v>4.38197323626E-4</v>
      </c>
    </row>
    <row r="130" spans="2:5" ht="15" customHeight="1">
      <c r="B130" s="92"/>
      <c r="C130" s="68" t="s">
        <v>265</v>
      </c>
      <c r="D130" s="69">
        <v>34</v>
      </c>
      <c r="E130" s="70">
        <v>1.1460545387130001E-3</v>
      </c>
    </row>
    <row r="131" spans="2:5" ht="15" customHeight="1">
      <c r="B131" s="92"/>
      <c r="C131" s="68" t="s">
        <v>266</v>
      </c>
      <c r="D131" s="69">
        <v>429</v>
      </c>
      <c r="E131" s="70">
        <v>1.4460511679644E-2</v>
      </c>
    </row>
    <row r="132" spans="2:5" ht="15" customHeight="1">
      <c r="B132" s="92"/>
      <c r="C132" s="68" t="s">
        <v>267</v>
      </c>
      <c r="D132" s="69">
        <v>23</v>
      </c>
      <c r="E132" s="70">
        <v>7.7527218795299998E-4</v>
      </c>
    </row>
    <row r="133" spans="2:5" ht="15" customHeight="1">
      <c r="B133" s="92"/>
      <c r="C133" s="68" t="s">
        <v>268</v>
      </c>
      <c r="D133" s="69">
        <v>49</v>
      </c>
      <c r="E133" s="70">
        <v>1.6516668352039999E-3</v>
      </c>
    </row>
    <row r="134" spans="2:5" ht="15" customHeight="1">
      <c r="B134" s="92"/>
      <c r="C134" s="68" t="s">
        <v>269</v>
      </c>
      <c r="D134" s="69">
        <v>221</v>
      </c>
      <c r="E134" s="70">
        <v>7.4493545016350001E-3</v>
      </c>
    </row>
    <row r="135" spans="2:5" ht="15" customHeight="1">
      <c r="B135" s="92"/>
      <c r="C135" s="68" t="s">
        <v>270</v>
      </c>
      <c r="D135" s="69">
        <v>4</v>
      </c>
      <c r="E135" s="70">
        <v>1.3482994573099999E-4</v>
      </c>
    </row>
    <row r="136" spans="2:5" ht="15" customHeight="1">
      <c r="B136" s="92"/>
      <c r="C136" s="68" t="s">
        <v>271</v>
      </c>
      <c r="D136" s="69">
        <v>4</v>
      </c>
      <c r="E136" s="70">
        <v>1.3482994573099999E-4</v>
      </c>
    </row>
    <row r="137" spans="2:5" ht="15" customHeight="1">
      <c r="B137" s="92"/>
      <c r="C137" s="68" t="s">
        <v>272</v>
      </c>
      <c r="D137" s="69">
        <v>5</v>
      </c>
      <c r="E137" s="70">
        <v>1.68537432164E-4</v>
      </c>
    </row>
    <row r="138" spans="2:5" ht="15" customHeight="1">
      <c r="B138" s="92"/>
      <c r="C138" s="68" t="s">
        <v>273</v>
      </c>
      <c r="D138" s="69">
        <v>2</v>
      </c>
      <c r="E138" s="70">
        <v>6.7414972865000001E-5</v>
      </c>
    </row>
    <row r="139" spans="2:5" ht="15" customHeight="1">
      <c r="B139" s="92"/>
      <c r="C139" s="68" t="s">
        <v>274</v>
      </c>
      <c r="D139" s="69">
        <v>20</v>
      </c>
      <c r="E139" s="70">
        <v>6.7414972865500002E-4</v>
      </c>
    </row>
    <row r="140" spans="2:5" ht="15" customHeight="1">
      <c r="B140" s="92"/>
      <c r="C140" s="68" t="s">
        <v>275</v>
      </c>
      <c r="D140" s="69">
        <v>77</v>
      </c>
      <c r="E140" s="70">
        <v>2.5954764553209999E-3</v>
      </c>
    </row>
    <row r="141" spans="2:5" ht="15" customHeight="1">
      <c r="B141" s="92"/>
      <c r="C141" s="68" t="s">
        <v>276</v>
      </c>
      <c r="D141" s="69">
        <v>2</v>
      </c>
      <c r="E141" s="70">
        <v>6.7414972865000001E-5</v>
      </c>
    </row>
    <row r="142" spans="2:5" ht="15" customHeight="1">
      <c r="B142" s="92"/>
      <c r="C142" s="68" t="s">
        <v>277</v>
      </c>
      <c r="D142" s="69">
        <v>3</v>
      </c>
      <c r="E142" s="70">
        <v>1.0112245929799999E-4</v>
      </c>
    </row>
    <row r="143" spans="2:5" ht="15" customHeight="1">
      <c r="B143" s="93"/>
      <c r="C143" s="36" t="s">
        <v>29</v>
      </c>
      <c r="D143" s="35">
        <v>1222</v>
      </c>
      <c r="E143" s="34">
        <v>4.1190548420804003E-2</v>
      </c>
    </row>
    <row r="144" spans="2:5" ht="15" customHeight="1">
      <c r="B144" s="91" t="s">
        <v>50</v>
      </c>
      <c r="C144" s="68" t="s">
        <v>255</v>
      </c>
      <c r="D144" s="69">
        <v>72</v>
      </c>
      <c r="E144" s="70">
        <v>2.4269390231570001E-3</v>
      </c>
    </row>
    <row r="145" spans="2:5" ht="15" customHeight="1">
      <c r="B145" s="92"/>
      <c r="C145" s="68" t="s">
        <v>256</v>
      </c>
      <c r="D145" s="69">
        <v>31</v>
      </c>
      <c r="E145" s="70">
        <v>1.0449320794149999E-3</v>
      </c>
    </row>
    <row r="146" spans="2:5" ht="15" customHeight="1">
      <c r="B146" s="92"/>
      <c r="C146" s="68" t="s">
        <v>257</v>
      </c>
      <c r="D146" s="69">
        <v>56</v>
      </c>
      <c r="E146" s="70">
        <v>1.887619240233E-3</v>
      </c>
    </row>
    <row r="147" spans="2:5" ht="15" customHeight="1">
      <c r="B147" s="92"/>
      <c r="C147" s="68" t="s">
        <v>258</v>
      </c>
      <c r="D147" s="69">
        <v>126</v>
      </c>
      <c r="E147" s="70">
        <v>4.247143290525E-3</v>
      </c>
    </row>
    <row r="148" spans="2:5" ht="15" customHeight="1">
      <c r="B148" s="92"/>
      <c r="C148" s="68" t="s">
        <v>259</v>
      </c>
      <c r="D148" s="69">
        <v>87</v>
      </c>
      <c r="E148" s="70">
        <v>2.9325513196480002E-3</v>
      </c>
    </row>
    <row r="149" spans="2:5" ht="15" customHeight="1">
      <c r="B149" s="92"/>
      <c r="C149" s="68" t="s">
        <v>260</v>
      </c>
      <c r="D149" s="69">
        <v>121</v>
      </c>
      <c r="E149" s="70">
        <v>4.0786058583610002E-3</v>
      </c>
    </row>
    <row r="150" spans="2:5" ht="15" customHeight="1">
      <c r="B150" s="92"/>
      <c r="C150" s="68" t="s">
        <v>261</v>
      </c>
      <c r="D150" s="69">
        <v>628</v>
      </c>
      <c r="E150" s="70">
        <v>2.1168301479759E-2</v>
      </c>
    </row>
    <row r="151" spans="2:5" ht="15" customHeight="1">
      <c r="B151" s="92"/>
      <c r="C151" s="68" t="s">
        <v>262</v>
      </c>
      <c r="D151" s="69">
        <v>970</v>
      </c>
      <c r="E151" s="70">
        <v>3.2696261839754999E-2</v>
      </c>
    </row>
    <row r="152" spans="2:5" ht="15" customHeight="1">
      <c r="B152" s="92"/>
      <c r="C152" s="68" t="s">
        <v>263</v>
      </c>
      <c r="D152" s="69">
        <v>54</v>
      </c>
      <c r="E152" s="70">
        <v>1.8202042673680001E-3</v>
      </c>
    </row>
    <row r="153" spans="2:5" ht="15" customHeight="1">
      <c r="B153" s="92"/>
      <c r="C153" s="68" t="s">
        <v>264</v>
      </c>
      <c r="D153" s="69">
        <v>145</v>
      </c>
      <c r="E153" s="70">
        <v>4.887585532747E-3</v>
      </c>
    </row>
    <row r="154" spans="2:5" ht="15" customHeight="1">
      <c r="B154" s="92"/>
      <c r="C154" s="68" t="s">
        <v>265</v>
      </c>
      <c r="D154" s="69">
        <v>394</v>
      </c>
      <c r="E154" s="70">
        <v>1.3280749654498001E-2</v>
      </c>
    </row>
    <row r="155" spans="2:5" ht="15" customHeight="1">
      <c r="B155" s="92"/>
      <c r="C155" s="68" t="s">
        <v>266</v>
      </c>
      <c r="D155" s="69">
        <v>3289</v>
      </c>
      <c r="E155" s="70">
        <v>0.110863922877271</v>
      </c>
    </row>
    <row r="156" spans="2:5" ht="15" customHeight="1">
      <c r="B156" s="92"/>
      <c r="C156" s="68" t="s">
        <v>267</v>
      </c>
      <c r="D156" s="69">
        <v>87</v>
      </c>
      <c r="E156" s="70">
        <v>2.9325513196480002E-3</v>
      </c>
    </row>
    <row r="157" spans="2:5" ht="15" customHeight="1">
      <c r="B157" s="92"/>
      <c r="C157" s="68" t="s">
        <v>268</v>
      </c>
      <c r="D157" s="69">
        <v>396</v>
      </c>
      <c r="E157" s="70">
        <v>1.3348164627364E-2</v>
      </c>
    </row>
    <row r="158" spans="2:5" ht="15" customHeight="1">
      <c r="B158" s="92"/>
      <c r="C158" s="68" t="s">
        <v>269</v>
      </c>
      <c r="D158" s="69">
        <v>1624</v>
      </c>
      <c r="E158" s="70">
        <v>5.4740957966764002E-2</v>
      </c>
    </row>
    <row r="159" spans="2:5" ht="15" customHeight="1">
      <c r="B159" s="92"/>
      <c r="C159" s="68" t="s">
        <v>270</v>
      </c>
      <c r="D159" s="69">
        <v>9</v>
      </c>
      <c r="E159" s="70">
        <v>3.0336737789499998E-4</v>
      </c>
    </row>
    <row r="160" spans="2:5" ht="15" customHeight="1">
      <c r="B160" s="92"/>
      <c r="C160" s="68" t="s">
        <v>271</v>
      </c>
      <c r="D160" s="69">
        <v>17</v>
      </c>
      <c r="E160" s="70">
        <v>5.7302726935699996E-4</v>
      </c>
    </row>
    <row r="161" spans="2:5" ht="15" customHeight="1">
      <c r="B161" s="92"/>
      <c r="C161" s="68" t="s">
        <v>272</v>
      </c>
      <c r="D161" s="69">
        <v>14</v>
      </c>
      <c r="E161" s="70">
        <v>4.7190481005799999E-4</v>
      </c>
    </row>
    <row r="162" spans="2:5" ht="15" customHeight="1">
      <c r="B162" s="92"/>
      <c r="C162" s="68" t="s">
        <v>273</v>
      </c>
      <c r="D162" s="69">
        <v>10</v>
      </c>
      <c r="E162" s="70">
        <v>3.3707486432699998E-4</v>
      </c>
    </row>
    <row r="163" spans="2:5" ht="15" customHeight="1">
      <c r="B163" s="92"/>
      <c r="C163" s="68" t="s">
        <v>274</v>
      </c>
      <c r="D163" s="69">
        <v>63</v>
      </c>
      <c r="E163" s="70">
        <v>2.123571645262E-3</v>
      </c>
    </row>
    <row r="164" spans="2:5" ht="15" customHeight="1">
      <c r="B164" s="92"/>
      <c r="C164" s="68" t="s">
        <v>275</v>
      </c>
      <c r="D164" s="69">
        <v>145</v>
      </c>
      <c r="E164" s="70">
        <v>4.887585532747E-3</v>
      </c>
    </row>
    <row r="165" spans="2:5" ht="15" customHeight="1">
      <c r="B165" s="92"/>
      <c r="C165" s="68" t="s">
        <v>276</v>
      </c>
      <c r="D165" s="69">
        <v>8</v>
      </c>
      <c r="E165" s="70">
        <v>2.6965989146199998E-4</v>
      </c>
    </row>
    <row r="166" spans="2:5" ht="15" customHeight="1">
      <c r="B166" s="92"/>
      <c r="C166" s="68" t="s">
        <v>277</v>
      </c>
      <c r="D166" s="69">
        <v>5</v>
      </c>
      <c r="E166" s="70">
        <v>1.68537432164E-4</v>
      </c>
    </row>
    <row r="167" spans="2:5" ht="15" customHeight="1">
      <c r="B167" s="93"/>
      <c r="C167" s="36" t="s">
        <v>29</v>
      </c>
      <c r="D167" s="35">
        <v>8351</v>
      </c>
      <c r="E167" s="34">
        <v>0.28149121919978398</v>
      </c>
    </row>
    <row r="168" spans="2:5" ht="15" customHeight="1">
      <c r="B168" s="91" t="s">
        <v>95</v>
      </c>
      <c r="C168" s="68" t="s">
        <v>257</v>
      </c>
      <c r="D168" s="69">
        <v>1</v>
      </c>
      <c r="E168" s="70">
        <v>3.3707486433000001E-5</v>
      </c>
    </row>
    <row r="169" spans="2:5" ht="15" customHeight="1">
      <c r="B169" s="92"/>
      <c r="C169" s="68" t="s">
        <v>259</v>
      </c>
      <c r="D169" s="69">
        <v>1</v>
      </c>
      <c r="E169" s="70">
        <v>3.3707486433000001E-5</v>
      </c>
    </row>
    <row r="170" spans="2:5" ht="15" customHeight="1">
      <c r="B170" s="92"/>
      <c r="C170" s="68" t="s">
        <v>260</v>
      </c>
      <c r="D170" s="69">
        <v>1</v>
      </c>
      <c r="E170" s="70">
        <v>3.3707486433000001E-5</v>
      </c>
    </row>
    <row r="171" spans="2:5" ht="15" customHeight="1">
      <c r="B171" s="92"/>
      <c r="C171" s="68" t="s">
        <v>261</v>
      </c>
      <c r="D171" s="69">
        <v>1</v>
      </c>
      <c r="E171" s="70">
        <v>3.3707486433000001E-5</v>
      </c>
    </row>
    <row r="172" spans="2:5" ht="15" customHeight="1">
      <c r="B172" s="92"/>
      <c r="C172" s="68" t="s">
        <v>262</v>
      </c>
      <c r="D172" s="69">
        <v>2</v>
      </c>
      <c r="E172" s="70">
        <v>6.7414972865000001E-5</v>
      </c>
    </row>
    <row r="173" spans="2:5" ht="15" customHeight="1">
      <c r="B173" s="92"/>
      <c r="C173" s="68" t="s">
        <v>264</v>
      </c>
      <c r="D173" s="69">
        <v>2</v>
      </c>
      <c r="E173" s="70">
        <v>6.7414972865000001E-5</v>
      </c>
    </row>
    <row r="174" spans="2:5" ht="15" customHeight="1">
      <c r="B174" s="92"/>
      <c r="C174" s="68" t="s">
        <v>267</v>
      </c>
      <c r="D174" s="69">
        <v>1</v>
      </c>
      <c r="E174" s="70">
        <v>3.3707486433000001E-5</v>
      </c>
    </row>
    <row r="175" spans="2:5" ht="15" customHeight="1">
      <c r="B175" s="92"/>
      <c r="C175" s="68" t="s">
        <v>269</v>
      </c>
      <c r="D175" s="69">
        <v>4</v>
      </c>
      <c r="E175" s="70">
        <v>1.3482994573099999E-4</v>
      </c>
    </row>
    <row r="176" spans="2:5" ht="15" customHeight="1">
      <c r="B176" s="92"/>
      <c r="C176" s="68" t="s">
        <v>275</v>
      </c>
      <c r="D176" s="69">
        <v>1</v>
      </c>
      <c r="E176" s="70">
        <v>3.3707486433000001E-5</v>
      </c>
    </row>
    <row r="177" spans="2:5" ht="15" customHeight="1">
      <c r="B177" s="93"/>
      <c r="C177" s="36" t="s">
        <v>29</v>
      </c>
      <c r="D177" s="35">
        <v>14</v>
      </c>
      <c r="E177" s="34">
        <v>4.7190481005799999E-4</v>
      </c>
    </row>
    <row r="178" spans="2:5" ht="15" customHeight="1">
      <c r="B178" s="91" t="s">
        <v>69</v>
      </c>
      <c r="C178" s="68" t="s">
        <v>255</v>
      </c>
      <c r="D178" s="69">
        <v>6</v>
      </c>
      <c r="E178" s="70">
        <v>2.0224491859599999E-4</v>
      </c>
    </row>
    <row r="179" spans="2:5" ht="15" customHeight="1">
      <c r="B179" s="92"/>
      <c r="C179" s="68" t="s">
        <v>257</v>
      </c>
      <c r="D179" s="69">
        <v>3</v>
      </c>
      <c r="E179" s="70">
        <v>1.0112245929799999E-4</v>
      </c>
    </row>
    <row r="180" spans="2:5" ht="15" customHeight="1">
      <c r="B180" s="92"/>
      <c r="C180" s="68" t="s">
        <v>258</v>
      </c>
      <c r="D180" s="69">
        <v>8</v>
      </c>
      <c r="E180" s="70">
        <v>2.6965989146199998E-4</v>
      </c>
    </row>
    <row r="181" spans="2:5" ht="15" customHeight="1">
      <c r="B181" s="92"/>
      <c r="C181" s="68" t="s">
        <v>259</v>
      </c>
      <c r="D181" s="69">
        <v>4</v>
      </c>
      <c r="E181" s="70">
        <v>1.3482994573099999E-4</v>
      </c>
    </row>
    <row r="182" spans="2:5" ht="15" customHeight="1">
      <c r="B182" s="92"/>
      <c r="C182" s="68" t="s">
        <v>260</v>
      </c>
      <c r="D182" s="69">
        <v>8</v>
      </c>
      <c r="E182" s="70">
        <v>2.6965989146199998E-4</v>
      </c>
    </row>
    <row r="183" spans="2:5" ht="15" customHeight="1">
      <c r="B183" s="92"/>
      <c r="C183" s="68" t="s">
        <v>261</v>
      </c>
      <c r="D183" s="69">
        <v>15</v>
      </c>
      <c r="E183" s="70">
        <v>5.0561229649099995E-4</v>
      </c>
    </row>
    <row r="184" spans="2:5" ht="15" customHeight="1">
      <c r="B184" s="92"/>
      <c r="C184" s="68" t="s">
        <v>262</v>
      </c>
      <c r="D184" s="69">
        <v>17</v>
      </c>
      <c r="E184" s="70">
        <v>5.7302726935699996E-4</v>
      </c>
    </row>
    <row r="185" spans="2:5" ht="15" customHeight="1">
      <c r="B185" s="92"/>
      <c r="C185" s="68" t="s">
        <v>263</v>
      </c>
      <c r="D185" s="69">
        <v>3</v>
      </c>
      <c r="E185" s="70">
        <v>1.0112245929799999E-4</v>
      </c>
    </row>
    <row r="186" spans="2:5" ht="15" customHeight="1">
      <c r="B186" s="92"/>
      <c r="C186" s="68" t="s">
        <v>264</v>
      </c>
      <c r="D186" s="69">
        <v>3</v>
      </c>
      <c r="E186" s="70">
        <v>1.0112245929799999E-4</v>
      </c>
    </row>
    <row r="187" spans="2:5" ht="15" customHeight="1">
      <c r="B187" s="92"/>
      <c r="C187" s="68" t="s">
        <v>265</v>
      </c>
      <c r="D187" s="69">
        <v>9</v>
      </c>
      <c r="E187" s="70">
        <v>3.0336737789499998E-4</v>
      </c>
    </row>
    <row r="188" spans="2:5" ht="15" customHeight="1">
      <c r="B188" s="92"/>
      <c r="C188" s="68" t="s">
        <v>266</v>
      </c>
      <c r="D188" s="69">
        <v>61</v>
      </c>
      <c r="E188" s="70">
        <v>2.056156672397E-3</v>
      </c>
    </row>
    <row r="189" spans="2:5" ht="15" customHeight="1">
      <c r="B189" s="92"/>
      <c r="C189" s="68" t="s">
        <v>267</v>
      </c>
      <c r="D189" s="69">
        <v>2</v>
      </c>
      <c r="E189" s="70">
        <v>6.7414972865000001E-5</v>
      </c>
    </row>
    <row r="190" spans="2:5" ht="15" customHeight="1">
      <c r="B190" s="92"/>
      <c r="C190" s="68" t="s">
        <v>268</v>
      </c>
      <c r="D190" s="69">
        <v>13</v>
      </c>
      <c r="E190" s="70">
        <v>4.38197323626E-4</v>
      </c>
    </row>
    <row r="191" spans="2:5" ht="15" customHeight="1">
      <c r="B191" s="92"/>
      <c r="C191" s="68" t="s">
        <v>269</v>
      </c>
      <c r="D191" s="69">
        <v>17</v>
      </c>
      <c r="E191" s="70">
        <v>5.7302726935699996E-4</v>
      </c>
    </row>
    <row r="192" spans="2:5" ht="15" customHeight="1">
      <c r="B192" s="92"/>
      <c r="C192" s="68" t="s">
        <v>274</v>
      </c>
      <c r="D192" s="69">
        <v>1</v>
      </c>
      <c r="E192" s="70">
        <v>3.3707486433000001E-5</v>
      </c>
    </row>
    <row r="193" spans="2:5" ht="15" customHeight="1">
      <c r="B193" s="92"/>
      <c r="C193" s="68" t="s">
        <v>275</v>
      </c>
      <c r="D193" s="69">
        <v>1</v>
      </c>
      <c r="E193" s="70">
        <v>3.3707486433000001E-5</v>
      </c>
    </row>
    <row r="194" spans="2:5" ht="15" customHeight="1">
      <c r="B194" s="93"/>
      <c r="C194" s="36" t="s">
        <v>29</v>
      </c>
      <c r="D194" s="35">
        <v>171</v>
      </c>
      <c r="E194" s="34">
        <v>5.7639801799980002E-3</v>
      </c>
    </row>
    <row r="195" spans="2:5" ht="15" customHeight="1">
      <c r="B195" s="91" t="s">
        <v>66</v>
      </c>
      <c r="C195" s="68" t="s">
        <v>255</v>
      </c>
      <c r="D195" s="69">
        <v>8</v>
      </c>
      <c r="E195" s="70">
        <v>2.6965989146199998E-4</v>
      </c>
    </row>
    <row r="196" spans="2:5" ht="15" customHeight="1">
      <c r="B196" s="92"/>
      <c r="C196" s="68" t="s">
        <v>256</v>
      </c>
      <c r="D196" s="69">
        <v>1</v>
      </c>
      <c r="E196" s="70">
        <v>3.3707486433000001E-5</v>
      </c>
    </row>
    <row r="197" spans="2:5" ht="15" customHeight="1">
      <c r="B197" s="92"/>
      <c r="C197" s="68" t="s">
        <v>257</v>
      </c>
      <c r="D197" s="69">
        <v>3</v>
      </c>
      <c r="E197" s="70">
        <v>1.0112245929799999E-4</v>
      </c>
    </row>
    <row r="198" spans="2:5" ht="15" customHeight="1">
      <c r="B198" s="92"/>
      <c r="C198" s="68" t="s">
        <v>258</v>
      </c>
      <c r="D198" s="69">
        <v>3</v>
      </c>
      <c r="E198" s="70">
        <v>1.0112245929799999E-4</v>
      </c>
    </row>
    <row r="199" spans="2:5" ht="15" customHeight="1">
      <c r="B199" s="92"/>
      <c r="C199" s="68" t="s">
        <v>259</v>
      </c>
      <c r="D199" s="69">
        <v>7</v>
      </c>
      <c r="E199" s="70">
        <v>2.35952405029E-4</v>
      </c>
    </row>
    <row r="200" spans="2:5" ht="15" customHeight="1">
      <c r="B200" s="92"/>
      <c r="C200" s="68" t="s">
        <v>260</v>
      </c>
      <c r="D200" s="69">
        <v>7</v>
      </c>
      <c r="E200" s="70">
        <v>2.35952405029E-4</v>
      </c>
    </row>
    <row r="201" spans="2:5" ht="15" customHeight="1">
      <c r="B201" s="92"/>
      <c r="C201" s="68" t="s">
        <v>261</v>
      </c>
      <c r="D201" s="69">
        <v>26</v>
      </c>
      <c r="E201" s="70">
        <v>8.7639464725100004E-4</v>
      </c>
    </row>
    <row r="202" spans="2:5" ht="15" customHeight="1">
      <c r="B202" s="92"/>
      <c r="C202" s="68" t="s">
        <v>262</v>
      </c>
      <c r="D202" s="69">
        <v>35</v>
      </c>
      <c r="E202" s="70">
        <v>1.1797620251460001E-3</v>
      </c>
    </row>
    <row r="203" spans="2:5" ht="15" customHeight="1">
      <c r="B203" s="92"/>
      <c r="C203" s="68" t="s">
        <v>263</v>
      </c>
      <c r="D203" s="69">
        <v>2</v>
      </c>
      <c r="E203" s="70">
        <v>6.7414972865000001E-5</v>
      </c>
    </row>
    <row r="204" spans="2:5" ht="15" customHeight="1">
      <c r="B204" s="92"/>
      <c r="C204" s="68" t="s">
        <v>264</v>
      </c>
      <c r="D204" s="69">
        <v>9</v>
      </c>
      <c r="E204" s="70">
        <v>3.0336737789499998E-4</v>
      </c>
    </row>
    <row r="205" spans="2:5" ht="15" customHeight="1">
      <c r="B205" s="92"/>
      <c r="C205" s="68" t="s">
        <v>265</v>
      </c>
      <c r="D205" s="69">
        <v>18</v>
      </c>
      <c r="E205" s="70">
        <v>6.0673475578900001E-4</v>
      </c>
    </row>
    <row r="206" spans="2:5" ht="15" customHeight="1">
      <c r="B206" s="92"/>
      <c r="C206" s="68" t="s">
        <v>266</v>
      </c>
      <c r="D206" s="69">
        <v>65</v>
      </c>
      <c r="E206" s="70">
        <v>2.190986618128E-3</v>
      </c>
    </row>
    <row r="207" spans="2:5" ht="15" customHeight="1">
      <c r="B207" s="92"/>
      <c r="C207" s="68" t="s">
        <v>267</v>
      </c>
      <c r="D207" s="69">
        <v>4</v>
      </c>
      <c r="E207" s="70">
        <v>1.3482994573099999E-4</v>
      </c>
    </row>
    <row r="208" spans="2:5" ht="15" customHeight="1">
      <c r="B208" s="92"/>
      <c r="C208" s="68" t="s">
        <v>268</v>
      </c>
      <c r="D208" s="69">
        <v>16</v>
      </c>
      <c r="E208" s="70">
        <v>5.3931978292399995E-4</v>
      </c>
    </row>
    <row r="209" spans="2:5" ht="15" customHeight="1">
      <c r="B209" s="92"/>
      <c r="C209" s="68" t="s">
        <v>269</v>
      </c>
      <c r="D209" s="69">
        <v>40</v>
      </c>
      <c r="E209" s="70">
        <v>1.348299457309E-3</v>
      </c>
    </row>
    <row r="210" spans="2:5" ht="15" customHeight="1">
      <c r="B210" s="92"/>
      <c r="C210" s="68" t="s">
        <v>274</v>
      </c>
      <c r="D210" s="69">
        <v>3</v>
      </c>
      <c r="E210" s="70">
        <v>1.0112245929799999E-4</v>
      </c>
    </row>
    <row r="211" spans="2:5" ht="15" customHeight="1">
      <c r="B211" s="92"/>
      <c r="C211" s="68" t="s">
        <v>275</v>
      </c>
      <c r="D211" s="69">
        <v>7</v>
      </c>
      <c r="E211" s="70">
        <v>2.35952405029E-4</v>
      </c>
    </row>
    <row r="212" spans="2:5" ht="15" customHeight="1">
      <c r="B212" s="92"/>
      <c r="C212" s="68" t="s">
        <v>277</v>
      </c>
      <c r="D212" s="69">
        <v>1</v>
      </c>
      <c r="E212" s="70">
        <v>3.3707486433000001E-5</v>
      </c>
    </row>
    <row r="213" spans="2:5" ht="15" customHeight="1">
      <c r="B213" s="93"/>
      <c r="C213" s="36" t="s">
        <v>29</v>
      </c>
      <c r="D213" s="35">
        <v>255</v>
      </c>
      <c r="E213" s="34">
        <v>8.5954090403479993E-3</v>
      </c>
    </row>
    <row r="214" spans="2:5" ht="15" customHeight="1">
      <c r="B214" s="91" t="s">
        <v>97</v>
      </c>
      <c r="C214" s="68" t="s">
        <v>264</v>
      </c>
      <c r="D214" s="69">
        <v>1</v>
      </c>
      <c r="E214" s="70">
        <v>3.3707486433000001E-5</v>
      </c>
    </row>
    <row r="215" spans="2:5" ht="15" customHeight="1">
      <c r="B215" s="92"/>
      <c r="C215" s="68" t="s">
        <v>265</v>
      </c>
      <c r="D215" s="69">
        <v>2</v>
      </c>
      <c r="E215" s="70">
        <v>6.7414972865000001E-5</v>
      </c>
    </row>
    <row r="216" spans="2:5" ht="15" customHeight="1">
      <c r="B216" s="92"/>
      <c r="C216" s="68" t="s">
        <v>266</v>
      </c>
      <c r="D216" s="69">
        <v>1</v>
      </c>
      <c r="E216" s="70">
        <v>3.3707486433000001E-5</v>
      </c>
    </row>
    <row r="217" spans="2:5" ht="15" customHeight="1">
      <c r="B217" s="92"/>
      <c r="C217" s="68" t="s">
        <v>267</v>
      </c>
      <c r="D217" s="69">
        <v>1</v>
      </c>
      <c r="E217" s="70">
        <v>3.3707486433000001E-5</v>
      </c>
    </row>
    <row r="218" spans="2:5" ht="15" customHeight="1">
      <c r="B218" s="92"/>
      <c r="C218" s="68" t="s">
        <v>269</v>
      </c>
      <c r="D218" s="69">
        <v>1</v>
      </c>
      <c r="E218" s="70">
        <v>3.3707486433000001E-5</v>
      </c>
    </row>
    <row r="219" spans="2:5" ht="15" customHeight="1">
      <c r="B219" s="93"/>
      <c r="C219" s="36" t="s">
        <v>29</v>
      </c>
      <c r="D219" s="35">
        <v>6</v>
      </c>
      <c r="E219" s="34">
        <v>2.0224491859599999E-4</v>
      </c>
    </row>
    <row r="220" spans="2:5" ht="15" customHeight="1">
      <c r="B220" s="91" t="s">
        <v>92</v>
      </c>
      <c r="C220" s="68" t="s">
        <v>255</v>
      </c>
      <c r="D220" s="69">
        <v>1</v>
      </c>
      <c r="E220" s="70">
        <v>3.3707486433000001E-5</v>
      </c>
    </row>
    <row r="221" spans="2:5" ht="15" customHeight="1">
      <c r="B221" s="92"/>
      <c r="C221" s="68" t="s">
        <v>262</v>
      </c>
      <c r="D221" s="69">
        <v>3</v>
      </c>
      <c r="E221" s="70">
        <v>1.0112245929799999E-4</v>
      </c>
    </row>
    <row r="222" spans="2:5" ht="15" customHeight="1">
      <c r="B222" s="92"/>
      <c r="C222" s="68" t="s">
        <v>265</v>
      </c>
      <c r="D222" s="69">
        <v>1</v>
      </c>
      <c r="E222" s="70">
        <v>3.3707486433000001E-5</v>
      </c>
    </row>
    <row r="223" spans="2:5" ht="15" customHeight="1">
      <c r="B223" s="92"/>
      <c r="C223" s="68" t="s">
        <v>266</v>
      </c>
      <c r="D223" s="69">
        <v>8</v>
      </c>
      <c r="E223" s="70">
        <v>2.6965989146199998E-4</v>
      </c>
    </row>
    <row r="224" spans="2:5" ht="15" customHeight="1">
      <c r="B224" s="92"/>
      <c r="C224" s="68" t="s">
        <v>268</v>
      </c>
      <c r="D224" s="69">
        <v>1</v>
      </c>
      <c r="E224" s="70">
        <v>3.3707486433000001E-5</v>
      </c>
    </row>
    <row r="225" spans="2:5" ht="15" customHeight="1">
      <c r="B225" s="92"/>
      <c r="C225" s="68" t="s">
        <v>269</v>
      </c>
      <c r="D225" s="69">
        <v>5</v>
      </c>
      <c r="E225" s="70">
        <v>1.68537432164E-4</v>
      </c>
    </row>
    <row r="226" spans="2:5" ht="15" customHeight="1">
      <c r="B226" s="92"/>
      <c r="C226" s="68" t="s">
        <v>271</v>
      </c>
      <c r="D226" s="69">
        <v>1</v>
      </c>
      <c r="E226" s="70">
        <v>3.3707486433000001E-5</v>
      </c>
    </row>
    <row r="227" spans="2:5" ht="15" customHeight="1">
      <c r="B227" s="92"/>
      <c r="C227" s="68" t="s">
        <v>275</v>
      </c>
      <c r="D227" s="69">
        <v>1</v>
      </c>
      <c r="E227" s="70">
        <v>3.3707486433000001E-5</v>
      </c>
    </row>
    <row r="228" spans="2:5" ht="15" customHeight="1">
      <c r="B228" s="93"/>
      <c r="C228" s="36" t="s">
        <v>29</v>
      </c>
      <c r="D228" s="35">
        <v>21</v>
      </c>
      <c r="E228" s="34">
        <v>7.0785721508699996E-4</v>
      </c>
    </row>
    <row r="229" spans="2:5" ht="15" customHeight="1">
      <c r="B229" s="91" t="s">
        <v>80</v>
      </c>
      <c r="C229" s="68" t="s">
        <v>259</v>
      </c>
      <c r="D229" s="69">
        <v>1</v>
      </c>
      <c r="E229" s="70">
        <v>3.3707486433000001E-5</v>
      </c>
    </row>
    <row r="230" spans="2:5" ht="15" customHeight="1">
      <c r="B230" s="92"/>
      <c r="C230" s="68" t="s">
        <v>260</v>
      </c>
      <c r="D230" s="69">
        <v>1</v>
      </c>
      <c r="E230" s="70">
        <v>3.3707486433000001E-5</v>
      </c>
    </row>
    <row r="231" spans="2:5" ht="15" customHeight="1">
      <c r="B231" s="92"/>
      <c r="C231" s="68" t="s">
        <v>261</v>
      </c>
      <c r="D231" s="69">
        <v>1</v>
      </c>
      <c r="E231" s="70">
        <v>3.3707486433000001E-5</v>
      </c>
    </row>
    <row r="232" spans="2:5" ht="15" customHeight="1">
      <c r="B232" s="92"/>
      <c r="C232" s="68" t="s">
        <v>262</v>
      </c>
      <c r="D232" s="69">
        <v>8</v>
      </c>
      <c r="E232" s="70">
        <v>2.6965989146199998E-4</v>
      </c>
    </row>
    <row r="233" spans="2:5" ht="15" customHeight="1">
      <c r="B233" s="92"/>
      <c r="C233" s="68" t="s">
        <v>264</v>
      </c>
      <c r="D233" s="69">
        <v>2</v>
      </c>
      <c r="E233" s="70">
        <v>6.7414972865000001E-5</v>
      </c>
    </row>
    <row r="234" spans="2:5" ht="15" customHeight="1">
      <c r="B234" s="92"/>
      <c r="C234" s="68" t="s">
        <v>265</v>
      </c>
      <c r="D234" s="69">
        <v>2</v>
      </c>
      <c r="E234" s="70">
        <v>6.7414972865000001E-5</v>
      </c>
    </row>
    <row r="235" spans="2:5" ht="15" customHeight="1">
      <c r="B235" s="92"/>
      <c r="C235" s="68" t="s">
        <v>266</v>
      </c>
      <c r="D235" s="69">
        <v>32</v>
      </c>
      <c r="E235" s="70">
        <v>1.0786395658479999E-3</v>
      </c>
    </row>
    <row r="236" spans="2:5" ht="15" customHeight="1">
      <c r="B236" s="92"/>
      <c r="C236" s="68" t="s">
        <v>268</v>
      </c>
      <c r="D236" s="69">
        <v>3</v>
      </c>
      <c r="E236" s="70">
        <v>1.0112245929799999E-4</v>
      </c>
    </row>
    <row r="237" spans="2:5" ht="15" customHeight="1">
      <c r="B237" s="92"/>
      <c r="C237" s="68" t="s">
        <v>269</v>
      </c>
      <c r="D237" s="69">
        <v>14</v>
      </c>
      <c r="E237" s="70">
        <v>4.7190481005799999E-4</v>
      </c>
    </row>
    <row r="238" spans="2:5" ht="15" customHeight="1">
      <c r="B238" s="92"/>
      <c r="C238" s="68" t="s">
        <v>271</v>
      </c>
      <c r="D238" s="69">
        <v>1</v>
      </c>
      <c r="E238" s="70">
        <v>3.3707486433000001E-5</v>
      </c>
    </row>
    <row r="239" spans="2:5" ht="15" customHeight="1">
      <c r="B239" s="92"/>
      <c r="C239" s="68" t="s">
        <v>272</v>
      </c>
      <c r="D239" s="69">
        <v>1</v>
      </c>
      <c r="E239" s="70">
        <v>3.3707486433000001E-5</v>
      </c>
    </row>
    <row r="240" spans="2:5" ht="15" customHeight="1">
      <c r="B240" s="92"/>
      <c r="C240" s="68" t="s">
        <v>274</v>
      </c>
      <c r="D240" s="69">
        <v>2</v>
      </c>
      <c r="E240" s="70">
        <v>6.7414972865000001E-5</v>
      </c>
    </row>
    <row r="241" spans="2:5" ht="15" customHeight="1">
      <c r="B241" s="92"/>
      <c r="C241" s="68" t="s">
        <v>275</v>
      </c>
      <c r="D241" s="69">
        <v>2</v>
      </c>
      <c r="E241" s="70">
        <v>6.7414972865000001E-5</v>
      </c>
    </row>
    <row r="242" spans="2:5" ht="15" customHeight="1">
      <c r="B242" s="93"/>
      <c r="C242" s="36" t="s">
        <v>29</v>
      </c>
      <c r="D242" s="35">
        <v>70</v>
      </c>
      <c r="E242" s="34">
        <v>2.3595240502920002E-3</v>
      </c>
    </row>
    <row r="243" spans="2:5" ht="15" customHeight="1">
      <c r="B243" s="91" t="s">
        <v>78</v>
      </c>
      <c r="C243" s="68" t="s">
        <v>255</v>
      </c>
      <c r="D243" s="69">
        <v>4</v>
      </c>
      <c r="E243" s="70">
        <v>1.3482994573099999E-4</v>
      </c>
    </row>
    <row r="244" spans="2:5" ht="15" customHeight="1">
      <c r="B244" s="92"/>
      <c r="C244" s="68" t="s">
        <v>256</v>
      </c>
      <c r="D244" s="69">
        <v>2</v>
      </c>
      <c r="E244" s="70">
        <v>6.7414972865000001E-5</v>
      </c>
    </row>
    <row r="245" spans="2:5" ht="15" customHeight="1">
      <c r="B245" s="92"/>
      <c r="C245" s="68" t="s">
        <v>257</v>
      </c>
      <c r="D245" s="69">
        <v>2</v>
      </c>
      <c r="E245" s="70">
        <v>6.7414972865000001E-5</v>
      </c>
    </row>
    <row r="246" spans="2:5" ht="15" customHeight="1">
      <c r="B246" s="92"/>
      <c r="C246" s="68" t="s">
        <v>258</v>
      </c>
      <c r="D246" s="69">
        <v>3</v>
      </c>
      <c r="E246" s="70">
        <v>1.0112245929799999E-4</v>
      </c>
    </row>
    <row r="247" spans="2:5" ht="15" customHeight="1">
      <c r="B247" s="92"/>
      <c r="C247" s="68" t="s">
        <v>259</v>
      </c>
      <c r="D247" s="69">
        <v>5</v>
      </c>
      <c r="E247" s="70">
        <v>1.68537432164E-4</v>
      </c>
    </row>
    <row r="248" spans="2:5" ht="15" customHeight="1">
      <c r="B248" s="92"/>
      <c r="C248" s="68" t="s">
        <v>260</v>
      </c>
      <c r="D248" s="69">
        <v>2</v>
      </c>
      <c r="E248" s="70">
        <v>6.7414972865000001E-5</v>
      </c>
    </row>
    <row r="249" spans="2:5" ht="15" customHeight="1">
      <c r="B249" s="92"/>
      <c r="C249" s="68" t="s">
        <v>261</v>
      </c>
      <c r="D249" s="69">
        <v>17</v>
      </c>
      <c r="E249" s="70">
        <v>5.7302726935699996E-4</v>
      </c>
    </row>
    <row r="250" spans="2:5" ht="15" customHeight="1">
      <c r="B250" s="92"/>
      <c r="C250" s="68" t="s">
        <v>262</v>
      </c>
      <c r="D250" s="69">
        <v>14</v>
      </c>
      <c r="E250" s="70">
        <v>4.7190481005799999E-4</v>
      </c>
    </row>
    <row r="251" spans="2:5" ht="15" customHeight="1">
      <c r="B251" s="92"/>
      <c r="C251" s="68" t="s">
        <v>263</v>
      </c>
      <c r="D251" s="69">
        <v>1</v>
      </c>
      <c r="E251" s="70">
        <v>3.3707486433000001E-5</v>
      </c>
    </row>
    <row r="252" spans="2:5" ht="15" customHeight="1">
      <c r="B252" s="92"/>
      <c r="C252" s="68" t="s">
        <v>264</v>
      </c>
      <c r="D252" s="69">
        <v>3</v>
      </c>
      <c r="E252" s="70">
        <v>1.0112245929799999E-4</v>
      </c>
    </row>
    <row r="253" spans="2:5" ht="15" customHeight="1">
      <c r="B253" s="92"/>
      <c r="C253" s="68" t="s">
        <v>265</v>
      </c>
      <c r="D253" s="69">
        <v>4</v>
      </c>
      <c r="E253" s="70">
        <v>1.3482994573099999E-4</v>
      </c>
    </row>
    <row r="254" spans="2:5" ht="15" customHeight="1">
      <c r="B254" s="92"/>
      <c r="C254" s="68" t="s">
        <v>266</v>
      </c>
      <c r="D254" s="69">
        <v>26</v>
      </c>
      <c r="E254" s="70">
        <v>8.7639464725100004E-4</v>
      </c>
    </row>
    <row r="255" spans="2:5" ht="15" customHeight="1">
      <c r="B255" s="92"/>
      <c r="C255" s="68" t="s">
        <v>268</v>
      </c>
      <c r="D255" s="69">
        <v>6</v>
      </c>
      <c r="E255" s="70">
        <v>2.0224491859599999E-4</v>
      </c>
    </row>
    <row r="256" spans="2:5" ht="15" customHeight="1">
      <c r="B256" s="92"/>
      <c r="C256" s="68" t="s">
        <v>269</v>
      </c>
      <c r="D256" s="69">
        <v>16</v>
      </c>
      <c r="E256" s="70">
        <v>5.3931978292399995E-4</v>
      </c>
    </row>
    <row r="257" spans="2:5" ht="15" customHeight="1">
      <c r="B257" s="92"/>
      <c r="C257" s="68" t="s">
        <v>274</v>
      </c>
      <c r="D257" s="69">
        <v>2</v>
      </c>
      <c r="E257" s="70">
        <v>6.7414972865000001E-5</v>
      </c>
    </row>
    <row r="258" spans="2:5" ht="15" customHeight="1">
      <c r="B258" s="92"/>
      <c r="C258" s="68" t="s">
        <v>275</v>
      </c>
      <c r="D258" s="69">
        <v>2</v>
      </c>
      <c r="E258" s="70">
        <v>6.7414972865000001E-5</v>
      </c>
    </row>
    <row r="259" spans="2:5" ht="15" customHeight="1">
      <c r="B259" s="93"/>
      <c r="C259" s="36" t="s">
        <v>29</v>
      </c>
      <c r="D259" s="35">
        <v>109</v>
      </c>
      <c r="E259" s="34">
        <v>3.6741160211679999E-3</v>
      </c>
    </row>
    <row r="260" spans="2:5" ht="15" customHeight="1">
      <c r="B260" s="91" t="s">
        <v>51</v>
      </c>
      <c r="C260" s="68" t="s">
        <v>255</v>
      </c>
      <c r="D260" s="69">
        <v>95</v>
      </c>
      <c r="E260" s="70">
        <v>3.2022112111100001E-3</v>
      </c>
    </row>
    <row r="261" spans="2:5" ht="15" customHeight="1">
      <c r="B261" s="92"/>
      <c r="C261" s="68" t="s">
        <v>256</v>
      </c>
      <c r="D261" s="69">
        <v>34</v>
      </c>
      <c r="E261" s="70">
        <v>1.1460545387130001E-3</v>
      </c>
    </row>
    <row r="262" spans="2:5" ht="15" customHeight="1">
      <c r="B262" s="92"/>
      <c r="C262" s="68" t="s">
        <v>257</v>
      </c>
      <c r="D262" s="69">
        <v>66</v>
      </c>
      <c r="E262" s="70">
        <v>2.2246941045610002E-3</v>
      </c>
    </row>
    <row r="263" spans="2:5" ht="15" customHeight="1">
      <c r="B263" s="92"/>
      <c r="C263" s="68" t="s">
        <v>258</v>
      </c>
      <c r="D263" s="69">
        <v>138</v>
      </c>
      <c r="E263" s="70">
        <v>4.6516331277179999E-3</v>
      </c>
    </row>
    <row r="264" spans="2:5" ht="15" customHeight="1">
      <c r="B264" s="92"/>
      <c r="C264" s="68" t="s">
        <v>259</v>
      </c>
      <c r="D264" s="69">
        <v>104</v>
      </c>
      <c r="E264" s="70">
        <v>3.5055785890049998E-3</v>
      </c>
    </row>
    <row r="265" spans="2:5" ht="15" customHeight="1">
      <c r="B265" s="92"/>
      <c r="C265" s="68" t="s">
        <v>260</v>
      </c>
      <c r="D265" s="69">
        <v>125</v>
      </c>
      <c r="E265" s="70">
        <v>4.2134358040920002E-3</v>
      </c>
    </row>
    <row r="266" spans="2:5" ht="15" customHeight="1">
      <c r="B266" s="92"/>
      <c r="C266" s="68" t="s">
        <v>261</v>
      </c>
      <c r="D266" s="69">
        <v>592</v>
      </c>
      <c r="E266" s="70">
        <v>1.9954831968180001E-2</v>
      </c>
    </row>
    <row r="267" spans="2:5" ht="15" customHeight="1">
      <c r="B267" s="92"/>
      <c r="C267" s="68" t="s">
        <v>262</v>
      </c>
      <c r="D267" s="69">
        <v>1007</v>
      </c>
      <c r="E267" s="70">
        <v>3.3943438837766002E-2</v>
      </c>
    </row>
    <row r="268" spans="2:5" ht="15" customHeight="1">
      <c r="B268" s="92"/>
      <c r="C268" s="68" t="s">
        <v>263</v>
      </c>
      <c r="D268" s="69">
        <v>64</v>
      </c>
      <c r="E268" s="70">
        <v>2.1572791316950002E-3</v>
      </c>
    </row>
    <row r="269" spans="2:5" ht="15" customHeight="1">
      <c r="B269" s="92"/>
      <c r="C269" s="68" t="s">
        <v>264</v>
      </c>
      <c r="D269" s="69">
        <v>162</v>
      </c>
      <c r="E269" s="70">
        <v>5.4606128021029996E-3</v>
      </c>
    </row>
    <row r="270" spans="2:5" ht="15" customHeight="1">
      <c r="B270" s="92"/>
      <c r="C270" s="68" t="s">
        <v>265</v>
      </c>
      <c r="D270" s="69">
        <v>317</v>
      </c>
      <c r="E270" s="70">
        <v>1.0685273199178001E-2</v>
      </c>
    </row>
    <row r="271" spans="2:5" ht="15" customHeight="1">
      <c r="B271" s="92"/>
      <c r="C271" s="68" t="s">
        <v>266</v>
      </c>
      <c r="D271" s="69">
        <v>2582</v>
      </c>
      <c r="E271" s="70">
        <v>8.7032729969325998E-2</v>
      </c>
    </row>
    <row r="272" spans="2:5" ht="15" customHeight="1">
      <c r="B272" s="92"/>
      <c r="C272" s="68" t="s">
        <v>267</v>
      </c>
      <c r="D272" s="69">
        <v>101</v>
      </c>
      <c r="E272" s="70">
        <v>3.404456129706E-3</v>
      </c>
    </row>
    <row r="273" spans="2:5" ht="15" customHeight="1">
      <c r="B273" s="92"/>
      <c r="C273" s="68" t="s">
        <v>268</v>
      </c>
      <c r="D273" s="69">
        <v>332</v>
      </c>
      <c r="E273" s="70">
        <v>1.1190885495669E-2</v>
      </c>
    </row>
    <row r="274" spans="2:5" ht="15" customHeight="1">
      <c r="B274" s="92"/>
      <c r="C274" s="68" t="s">
        <v>269</v>
      </c>
      <c r="D274" s="69">
        <v>1373</v>
      </c>
      <c r="E274" s="70">
        <v>4.6280378872147997E-2</v>
      </c>
    </row>
    <row r="275" spans="2:5" ht="15" customHeight="1">
      <c r="B275" s="92"/>
      <c r="C275" s="68" t="s">
        <v>270</v>
      </c>
      <c r="D275" s="69">
        <v>19</v>
      </c>
      <c r="E275" s="70">
        <v>6.4044224222200002E-4</v>
      </c>
    </row>
    <row r="276" spans="2:5" ht="15" customHeight="1">
      <c r="B276" s="92"/>
      <c r="C276" s="68" t="s">
        <v>271</v>
      </c>
      <c r="D276" s="69">
        <v>16</v>
      </c>
      <c r="E276" s="70">
        <v>5.3931978292399995E-4</v>
      </c>
    </row>
    <row r="277" spans="2:5" ht="15" customHeight="1">
      <c r="B277" s="92"/>
      <c r="C277" s="68" t="s">
        <v>272</v>
      </c>
      <c r="D277" s="69">
        <v>13</v>
      </c>
      <c r="E277" s="70">
        <v>4.38197323626E-4</v>
      </c>
    </row>
    <row r="278" spans="2:5" ht="15" customHeight="1">
      <c r="B278" s="92"/>
      <c r="C278" s="68" t="s">
        <v>273</v>
      </c>
      <c r="D278" s="69">
        <v>6</v>
      </c>
      <c r="E278" s="70">
        <v>2.0224491859599999E-4</v>
      </c>
    </row>
    <row r="279" spans="2:5" ht="15" customHeight="1">
      <c r="B279" s="92"/>
      <c r="C279" s="68" t="s">
        <v>274</v>
      </c>
      <c r="D279" s="69">
        <v>82</v>
      </c>
      <c r="E279" s="70">
        <v>2.764013887484E-3</v>
      </c>
    </row>
    <row r="280" spans="2:5" ht="15" customHeight="1">
      <c r="B280" s="92"/>
      <c r="C280" s="68" t="s">
        <v>275</v>
      </c>
      <c r="D280" s="69">
        <v>187</v>
      </c>
      <c r="E280" s="70">
        <v>6.303299962922E-3</v>
      </c>
    </row>
    <row r="281" spans="2:5" ht="15" customHeight="1">
      <c r="B281" s="92"/>
      <c r="C281" s="68" t="s">
        <v>276</v>
      </c>
      <c r="D281" s="69">
        <v>1</v>
      </c>
      <c r="E281" s="70">
        <v>3.3707486433000001E-5</v>
      </c>
    </row>
    <row r="282" spans="2:5" ht="15" customHeight="1">
      <c r="B282" s="92"/>
      <c r="C282" s="68" t="s">
        <v>277</v>
      </c>
      <c r="D282" s="69">
        <v>13</v>
      </c>
      <c r="E282" s="70">
        <v>4.38197323626E-4</v>
      </c>
    </row>
    <row r="283" spans="2:5" ht="15" customHeight="1">
      <c r="B283" s="93"/>
      <c r="C283" s="36" t="s">
        <v>29</v>
      </c>
      <c r="D283" s="35">
        <v>7429</v>
      </c>
      <c r="E283" s="34">
        <v>0.250412916708801</v>
      </c>
    </row>
    <row r="284" spans="2:5" ht="15" customHeight="1">
      <c r="B284" s="91" t="s">
        <v>64</v>
      </c>
      <c r="C284" s="68" t="s">
        <v>255</v>
      </c>
      <c r="D284" s="69">
        <v>2</v>
      </c>
      <c r="E284" s="70">
        <v>6.7414972865000001E-5</v>
      </c>
    </row>
    <row r="285" spans="2:5" ht="15" customHeight="1">
      <c r="B285" s="92"/>
      <c r="C285" s="68" t="s">
        <v>256</v>
      </c>
      <c r="D285" s="69">
        <v>3</v>
      </c>
      <c r="E285" s="70">
        <v>1.0112245929799999E-4</v>
      </c>
    </row>
    <row r="286" spans="2:5" ht="15" customHeight="1">
      <c r="B286" s="92"/>
      <c r="C286" s="68" t="s">
        <v>257</v>
      </c>
      <c r="D286" s="69">
        <v>5</v>
      </c>
      <c r="E286" s="70">
        <v>1.68537432164E-4</v>
      </c>
    </row>
    <row r="287" spans="2:5" ht="15" customHeight="1">
      <c r="B287" s="92"/>
      <c r="C287" s="68" t="s">
        <v>258</v>
      </c>
      <c r="D287" s="69">
        <v>8</v>
      </c>
      <c r="E287" s="70">
        <v>2.6965989146199998E-4</v>
      </c>
    </row>
    <row r="288" spans="2:5" ht="15" customHeight="1">
      <c r="B288" s="92"/>
      <c r="C288" s="68" t="s">
        <v>259</v>
      </c>
      <c r="D288" s="69">
        <v>4</v>
      </c>
      <c r="E288" s="70">
        <v>1.3482994573099999E-4</v>
      </c>
    </row>
    <row r="289" spans="2:5" ht="15" customHeight="1">
      <c r="B289" s="92"/>
      <c r="C289" s="68" t="s">
        <v>260</v>
      </c>
      <c r="D289" s="69">
        <v>8</v>
      </c>
      <c r="E289" s="70">
        <v>2.6965989146199998E-4</v>
      </c>
    </row>
    <row r="290" spans="2:5" ht="15" customHeight="1">
      <c r="B290" s="92"/>
      <c r="C290" s="68" t="s">
        <v>261</v>
      </c>
      <c r="D290" s="69">
        <v>43</v>
      </c>
      <c r="E290" s="70">
        <v>1.449421916608E-3</v>
      </c>
    </row>
    <row r="291" spans="2:5" ht="15" customHeight="1">
      <c r="B291" s="92"/>
      <c r="C291" s="68" t="s">
        <v>262</v>
      </c>
      <c r="D291" s="69">
        <v>50</v>
      </c>
      <c r="E291" s="70">
        <v>1.6853743216369999E-3</v>
      </c>
    </row>
    <row r="292" spans="2:5" ht="15" customHeight="1">
      <c r="B292" s="92"/>
      <c r="C292" s="68" t="s">
        <v>263</v>
      </c>
      <c r="D292" s="69">
        <v>6</v>
      </c>
      <c r="E292" s="70">
        <v>2.0224491859599999E-4</v>
      </c>
    </row>
    <row r="293" spans="2:5" ht="15" customHeight="1">
      <c r="B293" s="92"/>
      <c r="C293" s="68" t="s">
        <v>264</v>
      </c>
      <c r="D293" s="69">
        <v>10</v>
      </c>
      <c r="E293" s="70">
        <v>3.3707486432699998E-4</v>
      </c>
    </row>
    <row r="294" spans="2:5" ht="15" customHeight="1">
      <c r="B294" s="92"/>
      <c r="C294" s="68" t="s">
        <v>265</v>
      </c>
      <c r="D294" s="69">
        <v>28</v>
      </c>
      <c r="E294" s="70">
        <v>9.4380962011699995E-4</v>
      </c>
    </row>
    <row r="295" spans="2:5" ht="15" customHeight="1">
      <c r="B295" s="92"/>
      <c r="C295" s="68" t="s">
        <v>266</v>
      </c>
      <c r="D295" s="69">
        <v>109</v>
      </c>
      <c r="E295" s="70">
        <v>3.6741160211679999E-3</v>
      </c>
    </row>
    <row r="296" spans="2:5" ht="15" customHeight="1">
      <c r="B296" s="92"/>
      <c r="C296" s="68" t="s">
        <v>267</v>
      </c>
      <c r="D296" s="69">
        <v>2</v>
      </c>
      <c r="E296" s="70">
        <v>6.7414972865000001E-5</v>
      </c>
    </row>
    <row r="297" spans="2:5" ht="15" customHeight="1">
      <c r="B297" s="92"/>
      <c r="C297" s="68" t="s">
        <v>268</v>
      </c>
      <c r="D297" s="69">
        <v>7</v>
      </c>
      <c r="E297" s="70">
        <v>2.35952405029E-4</v>
      </c>
    </row>
    <row r="298" spans="2:5" ht="15" customHeight="1">
      <c r="B298" s="92"/>
      <c r="C298" s="68" t="s">
        <v>269</v>
      </c>
      <c r="D298" s="69">
        <v>46</v>
      </c>
      <c r="E298" s="70">
        <v>1.550544375906E-3</v>
      </c>
    </row>
    <row r="299" spans="2:5" ht="15" customHeight="1">
      <c r="B299" s="92"/>
      <c r="C299" s="68" t="s">
        <v>270</v>
      </c>
      <c r="D299" s="69">
        <v>1</v>
      </c>
      <c r="E299" s="70">
        <v>3.3707486433000001E-5</v>
      </c>
    </row>
    <row r="300" spans="2:5" ht="15" customHeight="1">
      <c r="B300" s="92"/>
      <c r="C300" s="68" t="s">
        <v>274</v>
      </c>
      <c r="D300" s="69">
        <v>4</v>
      </c>
      <c r="E300" s="70">
        <v>1.3482994573099999E-4</v>
      </c>
    </row>
    <row r="301" spans="2:5" ht="15" customHeight="1">
      <c r="B301" s="92"/>
      <c r="C301" s="68" t="s">
        <v>275</v>
      </c>
      <c r="D301" s="69">
        <v>6</v>
      </c>
      <c r="E301" s="70">
        <v>2.0224491859599999E-4</v>
      </c>
    </row>
    <row r="302" spans="2:5" ht="15" customHeight="1">
      <c r="B302" s="92"/>
      <c r="C302" s="68" t="s">
        <v>277</v>
      </c>
      <c r="D302" s="69">
        <v>1</v>
      </c>
      <c r="E302" s="70">
        <v>3.3707486433000001E-5</v>
      </c>
    </row>
    <row r="303" spans="2:5" ht="15" customHeight="1">
      <c r="B303" s="93"/>
      <c r="C303" s="36" t="s">
        <v>29</v>
      </c>
      <c r="D303" s="35">
        <v>343</v>
      </c>
      <c r="E303" s="34">
        <v>1.1561667846428999E-2</v>
      </c>
    </row>
    <row r="304" spans="2:5" ht="15" customHeight="1">
      <c r="B304" s="91" t="s">
        <v>65</v>
      </c>
      <c r="C304" s="68" t="s">
        <v>255</v>
      </c>
      <c r="D304" s="69">
        <v>1</v>
      </c>
      <c r="E304" s="70">
        <v>3.3707486433000001E-5</v>
      </c>
    </row>
    <row r="305" spans="2:5" ht="15" customHeight="1">
      <c r="B305" s="92"/>
      <c r="C305" s="68" t="s">
        <v>257</v>
      </c>
      <c r="D305" s="69">
        <v>3</v>
      </c>
      <c r="E305" s="70">
        <v>1.0112245929799999E-4</v>
      </c>
    </row>
    <row r="306" spans="2:5" ht="15" customHeight="1">
      <c r="B306" s="92"/>
      <c r="C306" s="68" t="s">
        <v>258</v>
      </c>
      <c r="D306" s="69">
        <v>3</v>
      </c>
      <c r="E306" s="70">
        <v>1.0112245929799999E-4</v>
      </c>
    </row>
    <row r="307" spans="2:5" ht="15" customHeight="1">
      <c r="B307" s="92"/>
      <c r="C307" s="68" t="s">
        <v>259</v>
      </c>
      <c r="D307" s="69">
        <v>5</v>
      </c>
      <c r="E307" s="70">
        <v>1.68537432164E-4</v>
      </c>
    </row>
    <row r="308" spans="2:5" ht="15" customHeight="1">
      <c r="B308" s="92"/>
      <c r="C308" s="68" t="s">
        <v>260</v>
      </c>
      <c r="D308" s="69">
        <v>8</v>
      </c>
      <c r="E308" s="70">
        <v>2.6965989146199998E-4</v>
      </c>
    </row>
    <row r="309" spans="2:5" ht="15" customHeight="1">
      <c r="B309" s="92"/>
      <c r="C309" s="68" t="s">
        <v>261</v>
      </c>
      <c r="D309" s="69">
        <v>25</v>
      </c>
      <c r="E309" s="70">
        <v>8.4268716081800003E-4</v>
      </c>
    </row>
    <row r="310" spans="2:5" ht="15" customHeight="1">
      <c r="B310" s="92"/>
      <c r="C310" s="68" t="s">
        <v>262</v>
      </c>
      <c r="D310" s="69">
        <v>45</v>
      </c>
      <c r="E310" s="70">
        <v>1.516836889473E-3</v>
      </c>
    </row>
    <row r="311" spans="2:5" ht="15" customHeight="1">
      <c r="B311" s="92"/>
      <c r="C311" s="68" t="s">
        <v>263</v>
      </c>
      <c r="D311" s="69">
        <v>8</v>
      </c>
      <c r="E311" s="70">
        <v>2.6965989146199998E-4</v>
      </c>
    </row>
    <row r="312" spans="2:5" ht="15" customHeight="1">
      <c r="B312" s="92"/>
      <c r="C312" s="68" t="s">
        <v>264</v>
      </c>
      <c r="D312" s="69">
        <v>8</v>
      </c>
      <c r="E312" s="70">
        <v>2.6965989146199998E-4</v>
      </c>
    </row>
    <row r="313" spans="2:5" ht="15" customHeight="1">
      <c r="B313" s="92"/>
      <c r="C313" s="68" t="s">
        <v>265</v>
      </c>
      <c r="D313" s="69">
        <v>17</v>
      </c>
      <c r="E313" s="70">
        <v>5.7302726935699996E-4</v>
      </c>
    </row>
    <row r="314" spans="2:5" ht="15" customHeight="1">
      <c r="B314" s="92"/>
      <c r="C314" s="68" t="s">
        <v>266</v>
      </c>
      <c r="D314" s="69">
        <v>111</v>
      </c>
      <c r="E314" s="70">
        <v>3.7415309940339999E-3</v>
      </c>
    </row>
    <row r="315" spans="2:5" ht="15" customHeight="1">
      <c r="B315" s="92"/>
      <c r="C315" s="68" t="s">
        <v>267</v>
      </c>
      <c r="D315" s="69">
        <v>4</v>
      </c>
      <c r="E315" s="70">
        <v>1.3482994573099999E-4</v>
      </c>
    </row>
    <row r="316" spans="2:5" ht="15" customHeight="1">
      <c r="B316" s="92"/>
      <c r="C316" s="68" t="s">
        <v>268</v>
      </c>
      <c r="D316" s="69">
        <v>17</v>
      </c>
      <c r="E316" s="70">
        <v>5.7302726935699996E-4</v>
      </c>
    </row>
    <row r="317" spans="2:5" ht="15" customHeight="1">
      <c r="B317" s="92"/>
      <c r="C317" s="68" t="s">
        <v>269</v>
      </c>
      <c r="D317" s="69">
        <v>49</v>
      </c>
      <c r="E317" s="70">
        <v>1.6516668352039999E-3</v>
      </c>
    </row>
    <row r="318" spans="2:5" ht="15" customHeight="1">
      <c r="B318" s="92"/>
      <c r="C318" s="68" t="s">
        <v>270</v>
      </c>
      <c r="D318" s="69">
        <v>1</v>
      </c>
      <c r="E318" s="70">
        <v>3.3707486433000001E-5</v>
      </c>
    </row>
    <row r="319" spans="2:5" ht="15" customHeight="1">
      <c r="B319" s="92"/>
      <c r="C319" s="68" t="s">
        <v>271</v>
      </c>
      <c r="D319" s="69">
        <v>2</v>
      </c>
      <c r="E319" s="70">
        <v>6.7414972865000001E-5</v>
      </c>
    </row>
    <row r="320" spans="2:5" ht="15" customHeight="1">
      <c r="B320" s="92"/>
      <c r="C320" s="68" t="s">
        <v>272</v>
      </c>
      <c r="D320" s="69">
        <v>2</v>
      </c>
      <c r="E320" s="70">
        <v>6.7414972865000001E-5</v>
      </c>
    </row>
    <row r="321" spans="2:5" ht="15" customHeight="1">
      <c r="B321" s="92"/>
      <c r="C321" s="68" t="s">
        <v>273</v>
      </c>
      <c r="D321" s="69">
        <v>1</v>
      </c>
      <c r="E321" s="70">
        <v>3.3707486433000001E-5</v>
      </c>
    </row>
    <row r="322" spans="2:5" ht="15" customHeight="1">
      <c r="B322" s="92"/>
      <c r="C322" s="68" t="s">
        <v>274</v>
      </c>
      <c r="D322" s="69">
        <v>2</v>
      </c>
      <c r="E322" s="70">
        <v>6.7414972865000001E-5</v>
      </c>
    </row>
    <row r="323" spans="2:5" ht="15" customHeight="1">
      <c r="B323" s="92"/>
      <c r="C323" s="68" t="s">
        <v>275</v>
      </c>
      <c r="D323" s="69">
        <v>6</v>
      </c>
      <c r="E323" s="70">
        <v>2.0224491859599999E-4</v>
      </c>
    </row>
    <row r="324" spans="2:5" ht="15" customHeight="1">
      <c r="B324" s="93"/>
      <c r="C324" s="36" t="s">
        <v>29</v>
      </c>
      <c r="D324" s="35">
        <v>318</v>
      </c>
      <c r="E324" s="34">
        <v>1.0718980685610001E-2</v>
      </c>
    </row>
    <row r="325" spans="2:5" ht="15" customHeight="1">
      <c r="B325" s="91" t="s">
        <v>68</v>
      </c>
      <c r="C325" s="68" t="s">
        <v>255</v>
      </c>
      <c r="D325" s="69">
        <v>5</v>
      </c>
      <c r="E325" s="70">
        <v>1.68537432164E-4</v>
      </c>
    </row>
    <row r="326" spans="2:5" ht="15" customHeight="1">
      <c r="B326" s="92"/>
      <c r="C326" s="68" t="s">
        <v>256</v>
      </c>
      <c r="D326" s="69">
        <v>2</v>
      </c>
      <c r="E326" s="70">
        <v>6.7414972865000001E-5</v>
      </c>
    </row>
    <row r="327" spans="2:5" ht="15" customHeight="1">
      <c r="B327" s="92"/>
      <c r="C327" s="68" t="s">
        <v>257</v>
      </c>
      <c r="D327" s="69">
        <v>2</v>
      </c>
      <c r="E327" s="70">
        <v>6.7414972865000001E-5</v>
      </c>
    </row>
    <row r="328" spans="2:5" ht="15" customHeight="1">
      <c r="B328" s="92"/>
      <c r="C328" s="68" t="s">
        <v>258</v>
      </c>
      <c r="D328" s="69">
        <v>4</v>
      </c>
      <c r="E328" s="70">
        <v>1.3482994573099999E-4</v>
      </c>
    </row>
    <row r="329" spans="2:5" ht="15" customHeight="1">
      <c r="B329" s="92"/>
      <c r="C329" s="68" t="s">
        <v>259</v>
      </c>
      <c r="D329" s="69">
        <v>6</v>
      </c>
      <c r="E329" s="70">
        <v>2.0224491859599999E-4</v>
      </c>
    </row>
    <row r="330" spans="2:5" ht="15" customHeight="1">
      <c r="B330" s="92"/>
      <c r="C330" s="68" t="s">
        <v>260</v>
      </c>
      <c r="D330" s="69">
        <v>3</v>
      </c>
      <c r="E330" s="70">
        <v>1.0112245929799999E-4</v>
      </c>
    </row>
    <row r="331" spans="2:5" ht="15" customHeight="1">
      <c r="B331" s="92"/>
      <c r="C331" s="68" t="s">
        <v>261</v>
      </c>
      <c r="D331" s="69">
        <v>37</v>
      </c>
      <c r="E331" s="70">
        <v>1.247176998011E-3</v>
      </c>
    </row>
    <row r="332" spans="2:5" ht="15" customHeight="1">
      <c r="B332" s="92"/>
      <c r="C332" s="68" t="s">
        <v>262</v>
      </c>
      <c r="D332" s="69">
        <v>26</v>
      </c>
      <c r="E332" s="70">
        <v>8.7639464725100004E-4</v>
      </c>
    </row>
    <row r="333" spans="2:5" ht="15" customHeight="1">
      <c r="B333" s="92"/>
      <c r="C333" s="68" t="s">
        <v>263</v>
      </c>
      <c r="D333" s="69">
        <v>4</v>
      </c>
      <c r="E333" s="70">
        <v>1.3482994573099999E-4</v>
      </c>
    </row>
    <row r="334" spans="2:5" ht="15" customHeight="1">
      <c r="B334" s="92"/>
      <c r="C334" s="68" t="s">
        <v>264</v>
      </c>
      <c r="D334" s="69">
        <v>15</v>
      </c>
      <c r="E334" s="70">
        <v>5.0561229649099995E-4</v>
      </c>
    </row>
    <row r="335" spans="2:5" ht="15" customHeight="1">
      <c r="B335" s="92"/>
      <c r="C335" s="68" t="s">
        <v>265</v>
      </c>
      <c r="D335" s="69">
        <v>14</v>
      </c>
      <c r="E335" s="70">
        <v>4.7190481005799999E-4</v>
      </c>
    </row>
    <row r="336" spans="2:5" ht="15" customHeight="1">
      <c r="B336" s="92"/>
      <c r="C336" s="68" t="s">
        <v>266</v>
      </c>
      <c r="D336" s="69">
        <v>65</v>
      </c>
      <c r="E336" s="70">
        <v>2.190986618128E-3</v>
      </c>
    </row>
    <row r="337" spans="2:5" ht="15" customHeight="1">
      <c r="B337" s="92"/>
      <c r="C337" s="68" t="s">
        <v>267</v>
      </c>
      <c r="D337" s="69">
        <v>3</v>
      </c>
      <c r="E337" s="70">
        <v>1.0112245929799999E-4</v>
      </c>
    </row>
    <row r="338" spans="2:5" ht="15" customHeight="1">
      <c r="B338" s="92"/>
      <c r="C338" s="68" t="s">
        <v>268</v>
      </c>
      <c r="D338" s="69">
        <v>5</v>
      </c>
      <c r="E338" s="70">
        <v>1.68537432164E-4</v>
      </c>
    </row>
    <row r="339" spans="2:5" ht="15" customHeight="1">
      <c r="B339" s="92"/>
      <c r="C339" s="68" t="s">
        <v>269</v>
      </c>
      <c r="D339" s="69">
        <v>23</v>
      </c>
      <c r="E339" s="70">
        <v>7.7527218795299998E-4</v>
      </c>
    </row>
    <row r="340" spans="2:5" ht="15" customHeight="1">
      <c r="B340" s="92"/>
      <c r="C340" s="68" t="s">
        <v>274</v>
      </c>
      <c r="D340" s="69">
        <v>3</v>
      </c>
      <c r="E340" s="70">
        <v>1.0112245929799999E-4</v>
      </c>
    </row>
    <row r="341" spans="2:5" ht="15" customHeight="1">
      <c r="B341" s="92"/>
      <c r="C341" s="68" t="s">
        <v>275</v>
      </c>
      <c r="D341" s="69">
        <v>9</v>
      </c>
      <c r="E341" s="70">
        <v>3.0336737789499998E-4</v>
      </c>
    </row>
    <row r="342" spans="2:5" ht="15" customHeight="1">
      <c r="B342" s="93"/>
      <c r="C342" s="36" t="s">
        <v>29</v>
      </c>
      <c r="D342" s="35">
        <v>226</v>
      </c>
      <c r="E342" s="34">
        <v>7.6178919337979998E-3</v>
      </c>
    </row>
    <row r="343" spans="2:5" ht="15" customHeight="1">
      <c r="B343" s="91" t="s">
        <v>73</v>
      </c>
      <c r="C343" s="68" t="s">
        <v>256</v>
      </c>
      <c r="D343" s="69">
        <v>1</v>
      </c>
      <c r="E343" s="70">
        <v>3.3707486433000001E-5</v>
      </c>
    </row>
    <row r="344" spans="2:5" ht="15" customHeight="1">
      <c r="B344" s="92"/>
      <c r="C344" s="68" t="s">
        <v>257</v>
      </c>
      <c r="D344" s="69">
        <v>1</v>
      </c>
      <c r="E344" s="70">
        <v>3.3707486433000001E-5</v>
      </c>
    </row>
    <row r="345" spans="2:5" ht="15" customHeight="1">
      <c r="B345" s="92"/>
      <c r="C345" s="68" t="s">
        <v>258</v>
      </c>
      <c r="D345" s="69">
        <v>3</v>
      </c>
      <c r="E345" s="70">
        <v>1.0112245929799999E-4</v>
      </c>
    </row>
    <row r="346" spans="2:5" ht="15" customHeight="1">
      <c r="B346" s="92"/>
      <c r="C346" s="68" t="s">
        <v>259</v>
      </c>
      <c r="D346" s="69">
        <v>1</v>
      </c>
      <c r="E346" s="70">
        <v>3.3707486433000001E-5</v>
      </c>
    </row>
    <row r="347" spans="2:5" ht="15" customHeight="1">
      <c r="B347" s="92"/>
      <c r="C347" s="68" t="s">
        <v>260</v>
      </c>
      <c r="D347" s="69">
        <v>5</v>
      </c>
      <c r="E347" s="70">
        <v>1.68537432164E-4</v>
      </c>
    </row>
    <row r="348" spans="2:5" ht="15" customHeight="1">
      <c r="B348" s="92"/>
      <c r="C348" s="68" t="s">
        <v>261</v>
      </c>
      <c r="D348" s="69">
        <v>14</v>
      </c>
      <c r="E348" s="70">
        <v>4.7190481005799999E-4</v>
      </c>
    </row>
    <row r="349" spans="2:5" ht="15" customHeight="1">
      <c r="B349" s="92"/>
      <c r="C349" s="68" t="s">
        <v>262</v>
      </c>
      <c r="D349" s="69">
        <v>15</v>
      </c>
      <c r="E349" s="70">
        <v>5.0561229649099995E-4</v>
      </c>
    </row>
    <row r="350" spans="2:5" ht="15" customHeight="1">
      <c r="B350" s="92"/>
      <c r="C350" s="68" t="s">
        <v>263</v>
      </c>
      <c r="D350" s="69">
        <v>3</v>
      </c>
      <c r="E350" s="70">
        <v>1.0112245929799999E-4</v>
      </c>
    </row>
    <row r="351" spans="2:5" ht="15" customHeight="1">
      <c r="B351" s="92"/>
      <c r="C351" s="68" t="s">
        <v>264</v>
      </c>
      <c r="D351" s="69">
        <v>5</v>
      </c>
      <c r="E351" s="70">
        <v>1.68537432164E-4</v>
      </c>
    </row>
    <row r="352" spans="2:5" ht="15" customHeight="1">
      <c r="B352" s="92"/>
      <c r="C352" s="68" t="s">
        <v>265</v>
      </c>
      <c r="D352" s="69">
        <v>10</v>
      </c>
      <c r="E352" s="70">
        <v>3.3707486432699998E-4</v>
      </c>
    </row>
    <row r="353" spans="2:5" ht="15" customHeight="1">
      <c r="B353" s="92"/>
      <c r="C353" s="68" t="s">
        <v>266</v>
      </c>
      <c r="D353" s="69">
        <v>36</v>
      </c>
      <c r="E353" s="70">
        <v>1.2134695115790001E-3</v>
      </c>
    </row>
    <row r="354" spans="2:5" ht="15" customHeight="1">
      <c r="B354" s="92"/>
      <c r="C354" s="68" t="s">
        <v>267</v>
      </c>
      <c r="D354" s="69">
        <v>4</v>
      </c>
      <c r="E354" s="70">
        <v>1.3482994573099999E-4</v>
      </c>
    </row>
    <row r="355" spans="2:5" ht="15" customHeight="1">
      <c r="B355" s="92"/>
      <c r="C355" s="68" t="s">
        <v>268</v>
      </c>
      <c r="D355" s="69">
        <v>7</v>
      </c>
      <c r="E355" s="70">
        <v>2.35952405029E-4</v>
      </c>
    </row>
    <row r="356" spans="2:5" ht="15" customHeight="1">
      <c r="B356" s="92"/>
      <c r="C356" s="68" t="s">
        <v>269</v>
      </c>
      <c r="D356" s="69">
        <v>24</v>
      </c>
      <c r="E356" s="70">
        <v>8.0897967438599999E-4</v>
      </c>
    </row>
    <row r="357" spans="2:5" ht="15" customHeight="1">
      <c r="B357" s="92"/>
      <c r="C357" s="68" t="s">
        <v>271</v>
      </c>
      <c r="D357" s="69">
        <v>1</v>
      </c>
      <c r="E357" s="70">
        <v>3.3707486433000001E-5</v>
      </c>
    </row>
    <row r="358" spans="2:5" ht="15" customHeight="1">
      <c r="B358" s="92"/>
      <c r="C358" s="68" t="s">
        <v>275</v>
      </c>
      <c r="D358" s="69">
        <v>6</v>
      </c>
      <c r="E358" s="70">
        <v>2.0224491859599999E-4</v>
      </c>
    </row>
    <row r="359" spans="2:5" ht="15" customHeight="1">
      <c r="B359" s="93"/>
      <c r="C359" s="36" t="s">
        <v>29</v>
      </c>
      <c r="D359" s="35">
        <v>136</v>
      </c>
      <c r="E359" s="34">
        <v>4.5842181548520003E-3</v>
      </c>
    </row>
    <row r="360" spans="2:5" ht="15" customHeight="1">
      <c r="B360" s="91" t="s">
        <v>56</v>
      </c>
      <c r="C360" s="68" t="s">
        <v>255</v>
      </c>
      <c r="D360" s="69">
        <v>13</v>
      </c>
      <c r="E360" s="70">
        <v>4.38197323626E-4</v>
      </c>
    </row>
    <row r="361" spans="2:5" ht="15" customHeight="1">
      <c r="B361" s="92"/>
      <c r="C361" s="68" t="s">
        <v>256</v>
      </c>
      <c r="D361" s="69">
        <v>8</v>
      </c>
      <c r="E361" s="70">
        <v>2.6965989146199998E-4</v>
      </c>
    </row>
    <row r="362" spans="2:5" ht="15" customHeight="1">
      <c r="B362" s="92"/>
      <c r="C362" s="68" t="s">
        <v>257</v>
      </c>
      <c r="D362" s="69">
        <v>11</v>
      </c>
      <c r="E362" s="70">
        <v>3.7078235075999999E-4</v>
      </c>
    </row>
    <row r="363" spans="2:5" ht="15" customHeight="1">
      <c r="B363" s="92"/>
      <c r="C363" s="68" t="s">
        <v>258</v>
      </c>
      <c r="D363" s="69">
        <v>28</v>
      </c>
      <c r="E363" s="70">
        <v>9.4380962011699995E-4</v>
      </c>
    </row>
    <row r="364" spans="2:5" ht="15" customHeight="1">
      <c r="B364" s="92"/>
      <c r="C364" s="68" t="s">
        <v>259</v>
      </c>
      <c r="D364" s="69">
        <v>11</v>
      </c>
      <c r="E364" s="70">
        <v>3.7078235075999999E-4</v>
      </c>
    </row>
    <row r="365" spans="2:5" ht="15" customHeight="1">
      <c r="B365" s="92"/>
      <c r="C365" s="68" t="s">
        <v>260</v>
      </c>
      <c r="D365" s="69">
        <v>18</v>
      </c>
      <c r="E365" s="70">
        <v>6.0673475578900001E-4</v>
      </c>
    </row>
    <row r="366" spans="2:5" ht="15" customHeight="1">
      <c r="B366" s="92"/>
      <c r="C366" s="68" t="s">
        <v>261</v>
      </c>
      <c r="D366" s="69">
        <v>69</v>
      </c>
      <c r="E366" s="70">
        <v>2.3258165638589999E-3</v>
      </c>
    </row>
    <row r="367" spans="2:5" ht="15" customHeight="1">
      <c r="B367" s="92"/>
      <c r="C367" s="68" t="s">
        <v>262</v>
      </c>
      <c r="D367" s="69">
        <v>170</v>
      </c>
      <c r="E367" s="70">
        <v>5.7302726935650004E-3</v>
      </c>
    </row>
    <row r="368" spans="2:5" ht="15" customHeight="1">
      <c r="B368" s="92"/>
      <c r="C368" s="68" t="s">
        <v>263</v>
      </c>
      <c r="D368" s="69">
        <v>9</v>
      </c>
      <c r="E368" s="70">
        <v>3.0336737789499998E-4</v>
      </c>
    </row>
    <row r="369" spans="2:5" ht="15" customHeight="1">
      <c r="B369" s="92"/>
      <c r="C369" s="68" t="s">
        <v>264</v>
      </c>
      <c r="D369" s="69">
        <v>22</v>
      </c>
      <c r="E369" s="70">
        <v>7.4156470151999997E-4</v>
      </c>
    </row>
    <row r="370" spans="2:5" ht="15" customHeight="1">
      <c r="B370" s="92"/>
      <c r="C370" s="68" t="s">
        <v>265</v>
      </c>
      <c r="D370" s="69">
        <v>55</v>
      </c>
      <c r="E370" s="70">
        <v>1.8539117538010001E-3</v>
      </c>
    </row>
    <row r="371" spans="2:5" ht="15" customHeight="1">
      <c r="B371" s="92"/>
      <c r="C371" s="68" t="s">
        <v>266</v>
      </c>
      <c r="D371" s="69">
        <v>340</v>
      </c>
      <c r="E371" s="70">
        <v>1.1460545387130001E-2</v>
      </c>
    </row>
    <row r="372" spans="2:5" ht="15" customHeight="1">
      <c r="B372" s="92"/>
      <c r="C372" s="68" t="s">
        <v>267</v>
      </c>
      <c r="D372" s="69">
        <v>6</v>
      </c>
      <c r="E372" s="70">
        <v>2.0224491859599999E-4</v>
      </c>
    </row>
    <row r="373" spans="2:5" ht="15" customHeight="1">
      <c r="B373" s="92"/>
      <c r="C373" s="68" t="s">
        <v>268</v>
      </c>
      <c r="D373" s="69">
        <v>54</v>
      </c>
      <c r="E373" s="70">
        <v>1.8202042673680001E-3</v>
      </c>
    </row>
    <row r="374" spans="2:5" ht="15" customHeight="1">
      <c r="B374" s="92"/>
      <c r="C374" s="68" t="s">
        <v>269</v>
      </c>
      <c r="D374" s="69">
        <v>185</v>
      </c>
      <c r="E374" s="70">
        <v>6.2358849900560004E-3</v>
      </c>
    </row>
    <row r="375" spans="2:5" ht="15" customHeight="1">
      <c r="B375" s="92"/>
      <c r="C375" s="68" t="s">
        <v>270</v>
      </c>
      <c r="D375" s="69">
        <v>2</v>
      </c>
      <c r="E375" s="70">
        <v>6.7414972865000001E-5</v>
      </c>
    </row>
    <row r="376" spans="2:5" ht="15" customHeight="1">
      <c r="B376" s="92"/>
      <c r="C376" s="68" t="s">
        <v>271</v>
      </c>
      <c r="D376" s="69">
        <v>2</v>
      </c>
      <c r="E376" s="70">
        <v>6.7414972865000001E-5</v>
      </c>
    </row>
    <row r="377" spans="2:5" ht="15" customHeight="1">
      <c r="B377" s="92"/>
      <c r="C377" s="68" t="s">
        <v>273</v>
      </c>
      <c r="D377" s="69">
        <v>1</v>
      </c>
      <c r="E377" s="70">
        <v>3.3707486433000001E-5</v>
      </c>
    </row>
    <row r="378" spans="2:5" ht="15" customHeight="1">
      <c r="B378" s="92"/>
      <c r="C378" s="68" t="s">
        <v>274</v>
      </c>
      <c r="D378" s="69">
        <v>7</v>
      </c>
      <c r="E378" s="70">
        <v>2.35952405029E-4</v>
      </c>
    </row>
    <row r="379" spans="2:5" ht="15" customHeight="1">
      <c r="B379" s="92"/>
      <c r="C379" s="68" t="s">
        <v>275</v>
      </c>
      <c r="D379" s="69">
        <v>11</v>
      </c>
      <c r="E379" s="70">
        <v>3.7078235075999999E-4</v>
      </c>
    </row>
    <row r="380" spans="2:5" ht="15" customHeight="1">
      <c r="B380" s="92"/>
      <c r="C380" s="68" t="s">
        <v>277</v>
      </c>
      <c r="D380" s="69">
        <v>1</v>
      </c>
      <c r="E380" s="70">
        <v>3.3707486433000001E-5</v>
      </c>
    </row>
    <row r="381" spans="2:5" ht="15" customHeight="1">
      <c r="B381" s="93"/>
      <c r="C381" s="36" t="s">
        <v>29</v>
      </c>
      <c r="D381" s="35">
        <v>1023</v>
      </c>
      <c r="E381" s="34">
        <v>3.4482758620690002E-2</v>
      </c>
    </row>
    <row r="382" spans="2:5" ht="15" customHeight="1">
      <c r="B382" s="91" t="s">
        <v>63</v>
      </c>
      <c r="C382" s="68" t="s">
        <v>255</v>
      </c>
      <c r="D382" s="69">
        <v>6</v>
      </c>
      <c r="E382" s="70">
        <v>2.0224491859599999E-4</v>
      </c>
    </row>
    <row r="383" spans="2:5" ht="15" customHeight="1">
      <c r="B383" s="92"/>
      <c r="C383" s="68" t="s">
        <v>256</v>
      </c>
      <c r="D383" s="69">
        <v>2</v>
      </c>
      <c r="E383" s="70">
        <v>6.7414972865000001E-5</v>
      </c>
    </row>
    <row r="384" spans="2:5" ht="15" customHeight="1">
      <c r="B384" s="92"/>
      <c r="C384" s="68" t="s">
        <v>257</v>
      </c>
      <c r="D384" s="69">
        <v>8</v>
      </c>
      <c r="E384" s="70">
        <v>2.6965989146199998E-4</v>
      </c>
    </row>
    <row r="385" spans="2:5" ht="15" customHeight="1">
      <c r="B385" s="92"/>
      <c r="C385" s="68" t="s">
        <v>258</v>
      </c>
      <c r="D385" s="69">
        <v>10</v>
      </c>
      <c r="E385" s="70">
        <v>3.3707486432699998E-4</v>
      </c>
    </row>
    <row r="386" spans="2:5" ht="15" customHeight="1">
      <c r="B386" s="92"/>
      <c r="C386" s="68" t="s">
        <v>259</v>
      </c>
      <c r="D386" s="69">
        <v>7</v>
      </c>
      <c r="E386" s="70">
        <v>2.35952405029E-4</v>
      </c>
    </row>
    <row r="387" spans="2:5" ht="15" customHeight="1">
      <c r="B387" s="92"/>
      <c r="C387" s="68" t="s">
        <v>260</v>
      </c>
      <c r="D387" s="69">
        <v>6</v>
      </c>
      <c r="E387" s="70">
        <v>2.0224491859599999E-4</v>
      </c>
    </row>
    <row r="388" spans="2:5" ht="15" customHeight="1">
      <c r="B388" s="92"/>
      <c r="C388" s="68" t="s">
        <v>261</v>
      </c>
      <c r="D388" s="69">
        <v>35</v>
      </c>
      <c r="E388" s="70">
        <v>1.1797620251460001E-3</v>
      </c>
    </row>
    <row r="389" spans="2:5" ht="15" customHeight="1">
      <c r="B389" s="92"/>
      <c r="C389" s="68" t="s">
        <v>262</v>
      </c>
      <c r="D389" s="69">
        <v>74</v>
      </c>
      <c r="E389" s="70">
        <v>2.4943539960230001E-3</v>
      </c>
    </row>
    <row r="390" spans="2:5" ht="15" customHeight="1">
      <c r="B390" s="92"/>
      <c r="C390" s="68" t="s">
        <v>263</v>
      </c>
      <c r="D390" s="69">
        <v>5</v>
      </c>
      <c r="E390" s="70">
        <v>1.68537432164E-4</v>
      </c>
    </row>
    <row r="391" spans="2:5" ht="15" customHeight="1">
      <c r="B391" s="92"/>
      <c r="C391" s="68" t="s">
        <v>264</v>
      </c>
      <c r="D391" s="69">
        <v>12</v>
      </c>
      <c r="E391" s="70">
        <v>4.0448983719299999E-4</v>
      </c>
    </row>
    <row r="392" spans="2:5" ht="15" customHeight="1">
      <c r="B392" s="92"/>
      <c r="C392" s="68" t="s">
        <v>265</v>
      </c>
      <c r="D392" s="69">
        <v>20</v>
      </c>
      <c r="E392" s="70">
        <v>6.7414972865500002E-4</v>
      </c>
    </row>
    <row r="393" spans="2:5" ht="15" customHeight="1">
      <c r="B393" s="92"/>
      <c r="C393" s="68" t="s">
        <v>266</v>
      </c>
      <c r="D393" s="69">
        <v>98</v>
      </c>
      <c r="E393" s="70">
        <v>3.3033336704079998E-3</v>
      </c>
    </row>
    <row r="394" spans="2:5" ht="15" customHeight="1">
      <c r="B394" s="92"/>
      <c r="C394" s="68" t="s">
        <v>267</v>
      </c>
      <c r="D394" s="69">
        <v>5</v>
      </c>
      <c r="E394" s="70">
        <v>1.68537432164E-4</v>
      </c>
    </row>
    <row r="395" spans="2:5" ht="15" customHeight="1">
      <c r="B395" s="92"/>
      <c r="C395" s="68" t="s">
        <v>268</v>
      </c>
      <c r="D395" s="69">
        <v>8</v>
      </c>
      <c r="E395" s="70">
        <v>2.6965989146199998E-4</v>
      </c>
    </row>
    <row r="396" spans="2:5" ht="15" customHeight="1">
      <c r="B396" s="92"/>
      <c r="C396" s="68" t="s">
        <v>269</v>
      </c>
      <c r="D396" s="69">
        <v>47</v>
      </c>
      <c r="E396" s="70">
        <v>1.584251862339E-3</v>
      </c>
    </row>
    <row r="397" spans="2:5" ht="15" customHeight="1">
      <c r="B397" s="92"/>
      <c r="C397" s="68" t="s">
        <v>270</v>
      </c>
      <c r="D397" s="69">
        <v>1</v>
      </c>
      <c r="E397" s="70">
        <v>3.3707486433000001E-5</v>
      </c>
    </row>
    <row r="398" spans="2:5" ht="15" customHeight="1">
      <c r="B398" s="92"/>
      <c r="C398" s="68" t="s">
        <v>271</v>
      </c>
      <c r="D398" s="69">
        <v>3</v>
      </c>
      <c r="E398" s="70">
        <v>1.0112245929799999E-4</v>
      </c>
    </row>
    <row r="399" spans="2:5" ht="15" customHeight="1">
      <c r="B399" s="92"/>
      <c r="C399" s="68" t="s">
        <v>274</v>
      </c>
      <c r="D399" s="69">
        <v>2</v>
      </c>
      <c r="E399" s="70">
        <v>6.7414972865000001E-5</v>
      </c>
    </row>
    <row r="400" spans="2:5" ht="15" customHeight="1">
      <c r="B400" s="92"/>
      <c r="C400" s="68" t="s">
        <v>275</v>
      </c>
      <c r="D400" s="69">
        <v>10</v>
      </c>
      <c r="E400" s="70">
        <v>3.3707486432699998E-4</v>
      </c>
    </row>
    <row r="401" spans="2:5" ht="15" customHeight="1">
      <c r="B401" s="92"/>
      <c r="C401" s="68" t="s">
        <v>276</v>
      </c>
      <c r="D401" s="69">
        <v>1</v>
      </c>
      <c r="E401" s="70">
        <v>3.3707486433000001E-5</v>
      </c>
    </row>
    <row r="402" spans="2:5" ht="15" customHeight="1">
      <c r="B402" s="92"/>
      <c r="C402" s="68" t="s">
        <v>277</v>
      </c>
      <c r="D402" s="69">
        <v>1</v>
      </c>
      <c r="E402" s="70">
        <v>3.3707486433000001E-5</v>
      </c>
    </row>
    <row r="403" spans="2:5" ht="15" customHeight="1">
      <c r="B403" s="93"/>
      <c r="C403" s="36" t="s">
        <v>29</v>
      </c>
      <c r="D403" s="35">
        <v>361</v>
      </c>
      <c r="E403" s="34">
        <v>1.2168402602217999E-2</v>
      </c>
    </row>
    <row r="404" spans="2:5" ht="15" customHeight="1">
      <c r="B404" s="91" t="s">
        <v>59</v>
      </c>
      <c r="C404" s="68" t="s">
        <v>255</v>
      </c>
      <c r="D404" s="69">
        <v>14</v>
      </c>
      <c r="E404" s="70">
        <v>4.7190481005799999E-4</v>
      </c>
    </row>
    <row r="405" spans="2:5" ht="15" customHeight="1">
      <c r="B405" s="92"/>
      <c r="C405" s="68" t="s">
        <v>256</v>
      </c>
      <c r="D405" s="69">
        <v>6</v>
      </c>
      <c r="E405" s="70">
        <v>2.0224491859599999E-4</v>
      </c>
    </row>
    <row r="406" spans="2:5" ht="15" customHeight="1">
      <c r="B406" s="92"/>
      <c r="C406" s="68" t="s">
        <v>257</v>
      </c>
      <c r="D406" s="69">
        <v>13</v>
      </c>
      <c r="E406" s="70">
        <v>4.38197323626E-4</v>
      </c>
    </row>
    <row r="407" spans="2:5" ht="15" customHeight="1">
      <c r="B407" s="92"/>
      <c r="C407" s="68" t="s">
        <v>258</v>
      </c>
      <c r="D407" s="69">
        <v>26</v>
      </c>
      <c r="E407" s="70">
        <v>8.7639464725100004E-4</v>
      </c>
    </row>
    <row r="408" spans="2:5" ht="15" customHeight="1">
      <c r="B408" s="92"/>
      <c r="C408" s="68" t="s">
        <v>259</v>
      </c>
      <c r="D408" s="69">
        <v>12</v>
      </c>
      <c r="E408" s="70">
        <v>4.0448983719299999E-4</v>
      </c>
    </row>
    <row r="409" spans="2:5" ht="15" customHeight="1">
      <c r="B409" s="92"/>
      <c r="C409" s="68" t="s">
        <v>260</v>
      </c>
      <c r="D409" s="69">
        <v>31</v>
      </c>
      <c r="E409" s="70">
        <v>1.0449320794149999E-3</v>
      </c>
    </row>
    <row r="410" spans="2:5" ht="15" customHeight="1">
      <c r="B410" s="92"/>
      <c r="C410" s="68" t="s">
        <v>261</v>
      </c>
      <c r="D410" s="69">
        <v>86</v>
      </c>
      <c r="E410" s="70">
        <v>2.8988438332149999E-3</v>
      </c>
    </row>
    <row r="411" spans="2:5" ht="15" customHeight="1">
      <c r="B411" s="92"/>
      <c r="C411" s="68" t="s">
        <v>262</v>
      </c>
      <c r="D411" s="69">
        <v>62</v>
      </c>
      <c r="E411" s="70">
        <v>2.0898641588299998E-3</v>
      </c>
    </row>
    <row r="412" spans="2:5" ht="15" customHeight="1">
      <c r="B412" s="92"/>
      <c r="C412" s="68" t="s">
        <v>263</v>
      </c>
      <c r="D412" s="69">
        <v>7</v>
      </c>
      <c r="E412" s="70">
        <v>2.35952405029E-4</v>
      </c>
    </row>
    <row r="413" spans="2:5" ht="15" customHeight="1">
      <c r="B413" s="92"/>
      <c r="C413" s="68" t="s">
        <v>264</v>
      </c>
      <c r="D413" s="69">
        <v>18</v>
      </c>
      <c r="E413" s="70">
        <v>6.0673475578900001E-4</v>
      </c>
    </row>
    <row r="414" spans="2:5" ht="15" customHeight="1">
      <c r="B414" s="92"/>
      <c r="C414" s="68" t="s">
        <v>265</v>
      </c>
      <c r="D414" s="69">
        <v>40</v>
      </c>
      <c r="E414" s="70">
        <v>1.348299457309E-3</v>
      </c>
    </row>
    <row r="415" spans="2:5" ht="15" customHeight="1">
      <c r="B415" s="92"/>
      <c r="C415" s="68" t="s">
        <v>266</v>
      </c>
      <c r="D415" s="69">
        <v>164</v>
      </c>
      <c r="E415" s="70">
        <v>5.528027774969E-3</v>
      </c>
    </row>
    <row r="416" spans="2:5" ht="15" customHeight="1">
      <c r="B416" s="92"/>
      <c r="C416" s="68" t="s">
        <v>267</v>
      </c>
      <c r="D416" s="69">
        <v>14</v>
      </c>
      <c r="E416" s="70">
        <v>4.7190481005799999E-4</v>
      </c>
    </row>
    <row r="417" spans="2:5" ht="15" customHeight="1">
      <c r="B417" s="92"/>
      <c r="C417" s="68" t="s">
        <v>268</v>
      </c>
      <c r="D417" s="69">
        <v>25</v>
      </c>
      <c r="E417" s="70">
        <v>8.4268716081800003E-4</v>
      </c>
    </row>
    <row r="418" spans="2:5" ht="15" customHeight="1">
      <c r="B418" s="92"/>
      <c r="C418" s="68" t="s">
        <v>269</v>
      </c>
      <c r="D418" s="69">
        <v>95</v>
      </c>
      <c r="E418" s="70">
        <v>3.2022112111100001E-3</v>
      </c>
    </row>
    <row r="419" spans="2:5" ht="15" customHeight="1">
      <c r="B419" s="92"/>
      <c r="C419" s="68" t="s">
        <v>270</v>
      </c>
      <c r="D419" s="69">
        <v>1</v>
      </c>
      <c r="E419" s="70">
        <v>3.3707486433000001E-5</v>
      </c>
    </row>
    <row r="420" spans="2:5" ht="15" customHeight="1">
      <c r="B420" s="92"/>
      <c r="C420" s="68" t="s">
        <v>271</v>
      </c>
      <c r="D420" s="69">
        <v>2</v>
      </c>
      <c r="E420" s="70">
        <v>6.7414972865000001E-5</v>
      </c>
    </row>
    <row r="421" spans="2:5" ht="15" customHeight="1">
      <c r="B421" s="92"/>
      <c r="C421" s="68" t="s">
        <v>272</v>
      </c>
      <c r="D421" s="69">
        <v>1</v>
      </c>
      <c r="E421" s="70">
        <v>3.3707486433000001E-5</v>
      </c>
    </row>
    <row r="422" spans="2:5" ht="15" customHeight="1">
      <c r="B422" s="92"/>
      <c r="C422" s="68" t="s">
        <v>273</v>
      </c>
      <c r="D422" s="69">
        <v>1</v>
      </c>
      <c r="E422" s="70">
        <v>3.3707486433000001E-5</v>
      </c>
    </row>
    <row r="423" spans="2:5" ht="15" customHeight="1">
      <c r="B423" s="92"/>
      <c r="C423" s="68" t="s">
        <v>274</v>
      </c>
      <c r="D423" s="69">
        <v>3</v>
      </c>
      <c r="E423" s="70">
        <v>1.0112245929799999E-4</v>
      </c>
    </row>
    <row r="424" spans="2:5" ht="15" customHeight="1">
      <c r="B424" s="92"/>
      <c r="C424" s="68" t="s">
        <v>275</v>
      </c>
      <c r="D424" s="69">
        <v>20</v>
      </c>
      <c r="E424" s="70">
        <v>6.7414972865500002E-4</v>
      </c>
    </row>
    <row r="425" spans="2:5" ht="15" customHeight="1">
      <c r="B425" s="92"/>
      <c r="C425" s="68" t="s">
        <v>277</v>
      </c>
      <c r="D425" s="69">
        <v>1</v>
      </c>
      <c r="E425" s="70">
        <v>3.3707486433000001E-5</v>
      </c>
    </row>
    <row r="426" spans="2:5" ht="15" customHeight="1">
      <c r="B426" s="92"/>
      <c r="C426" s="68" t="s">
        <v>278</v>
      </c>
      <c r="D426" s="69">
        <v>2</v>
      </c>
      <c r="E426" s="70">
        <v>6.7414972865000001E-5</v>
      </c>
    </row>
    <row r="427" spans="2:5" ht="15" customHeight="1">
      <c r="B427" s="93"/>
      <c r="C427" s="36" t="s">
        <v>29</v>
      </c>
      <c r="D427" s="35">
        <v>644</v>
      </c>
      <c r="E427" s="34">
        <v>2.1707621262682001E-2</v>
      </c>
    </row>
    <row r="428" spans="2:5" ht="15" customHeight="1">
      <c r="B428" s="91" t="s">
        <v>67</v>
      </c>
      <c r="C428" s="68" t="s">
        <v>255</v>
      </c>
      <c r="D428" s="69">
        <v>4</v>
      </c>
      <c r="E428" s="70">
        <v>1.3482994573099999E-4</v>
      </c>
    </row>
    <row r="429" spans="2:5" ht="15" customHeight="1">
      <c r="B429" s="92"/>
      <c r="C429" s="68" t="s">
        <v>257</v>
      </c>
      <c r="D429" s="69">
        <v>4</v>
      </c>
      <c r="E429" s="70">
        <v>1.3482994573099999E-4</v>
      </c>
    </row>
    <row r="430" spans="2:5" ht="15" customHeight="1">
      <c r="B430" s="92"/>
      <c r="C430" s="68" t="s">
        <v>258</v>
      </c>
      <c r="D430" s="69">
        <v>6</v>
      </c>
      <c r="E430" s="70">
        <v>2.0224491859599999E-4</v>
      </c>
    </row>
    <row r="431" spans="2:5" ht="15" customHeight="1">
      <c r="B431" s="92"/>
      <c r="C431" s="68" t="s">
        <v>259</v>
      </c>
      <c r="D431" s="69">
        <v>4</v>
      </c>
      <c r="E431" s="70">
        <v>1.3482994573099999E-4</v>
      </c>
    </row>
    <row r="432" spans="2:5" ht="15" customHeight="1">
      <c r="B432" s="92"/>
      <c r="C432" s="68" t="s">
        <v>260</v>
      </c>
      <c r="D432" s="69">
        <v>5</v>
      </c>
      <c r="E432" s="70">
        <v>1.68537432164E-4</v>
      </c>
    </row>
    <row r="433" spans="2:5" ht="15" customHeight="1">
      <c r="B433" s="92"/>
      <c r="C433" s="68" t="s">
        <v>261</v>
      </c>
      <c r="D433" s="69">
        <v>21</v>
      </c>
      <c r="E433" s="70">
        <v>7.0785721508699996E-4</v>
      </c>
    </row>
    <row r="434" spans="2:5" ht="15" customHeight="1">
      <c r="B434" s="92"/>
      <c r="C434" s="68" t="s">
        <v>262</v>
      </c>
      <c r="D434" s="69">
        <v>48</v>
      </c>
      <c r="E434" s="70">
        <v>1.6179593487709999E-3</v>
      </c>
    </row>
    <row r="435" spans="2:5" ht="15" customHeight="1">
      <c r="B435" s="92"/>
      <c r="C435" s="68" t="s">
        <v>263</v>
      </c>
      <c r="D435" s="69">
        <v>3</v>
      </c>
      <c r="E435" s="70">
        <v>1.0112245929799999E-4</v>
      </c>
    </row>
    <row r="436" spans="2:5" ht="15" customHeight="1">
      <c r="B436" s="92"/>
      <c r="C436" s="68" t="s">
        <v>264</v>
      </c>
      <c r="D436" s="69">
        <v>12</v>
      </c>
      <c r="E436" s="70">
        <v>4.0448983719299999E-4</v>
      </c>
    </row>
    <row r="437" spans="2:5" ht="15" customHeight="1">
      <c r="B437" s="92"/>
      <c r="C437" s="68" t="s">
        <v>265</v>
      </c>
      <c r="D437" s="69">
        <v>10</v>
      </c>
      <c r="E437" s="70">
        <v>3.3707486432699998E-4</v>
      </c>
    </row>
    <row r="438" spans="2:5" ht="15" customHeight="1">
      <c r="B438" s="92"/>
      <c r="C438" s="68" t="s">
        <v>266</v>
      </c>
      <c r="D438" s="69">
        <v>83</v>
      </c>
      <c r="E438" s="70">
        <v>2.7977213739170002E-3</v>
      </c>
    </row>
    <row r="439" spans="2:5" ht="15" customHeight="1">
      <c r="B439" s="92"/>
      <c r="C439" s="68" t="s">
        <v>267</v>
      </c>
      <c r="D439" s="69">
        <v>2</v>
      </c>
      <c r="E439" s="70">
        <v>6.7414972865000001E-5</v>
      </c>
    </row>
    <row r="440" spans="2:5" ht="15" customHeight="1">
      <c r="B440" s="92"/>
      <c r="C440" s="68" t="s">
        <v>268</v>
      </c>
      <c r="D440" s="69">
        <v>4</v>
      </c>
      <c r="E440" s="70">
        <v>1.3482994573099999E-4</v>
      </c>
    </row>
    <row r="441" spans="2:5" ht="15" customHeight="1">
      <c r="B441" s="92"/>
      <c r="C441" s="68" t="s">
        <v>269</v>
      </c>
      <c r="D441" s="69">
        <v>38</v>
      </c>
      <c r="E441" s="70">
        <v>1.280884484444E-3</v>
      </c>
    </row>
    <row r="442" spans="2:5" ht="15" customHeight="1">
      <c r="B442" s="92"/>
      <c r="C442" s="68" t="s">
        <v>274</v>
      </c>
      <c r="D442" s="69">
        <v>2</v>
      </c>
      <c r="E442" s="70">
        <v>6.7414972865000001E-5</v>
      </c>
    </row>
    <row r="443" spans="2:5" ht="15" customHeight="1">
      <c r="B443" s="92"/>
      <c r="C443" s="68" t="s">
        <v>275</v>
      </c>
      <c r="D443" s="69">
        <v>9</v>
      </c>
      <c r="E443" s="70">
        <v>3.0336737789499998E-4</v>
      </c>
    </row>
    <row r="444" spans="2:5" ht="15" customHeight="1">
      <c r="B444" s="93"/>
      <c r="C444" s="36" t="s">
        <v>29</v>
      </c>
      <c r="D444" s="35">
        <v>255</v>
      </c>
      <c r="E444" s="34">
        <v>8.5954090403479993E-3</v>
      </c>
    </row>
    <row r="445" spans="2:5" ht="15" customHeight="1">
      <c r="B445" s="91" t="s">
        <v>83</v>
      </c>
      <c r="C445" s="68" t="s">
        <v>259</v>
      </c>
      <c r="D445" s="69">
        <v>1</v>
      </c>
      <c r="E445" s="70">
        <v>3.3707486433000001E-5</v>
      </c>
    </row>
    <row r="446" spans="2:5" ht="15" customHeight="1">
      <c r="B446" s="92"/>
      <c r="C446" s="68" t="s">
        <v>260</v>
      </c>
      <c r="D446" s="69">
        <v>2</v>
      </c>
      <c r="E446" s="70">
        <v>6.7414972865000001E-5</v>
      </c>
    </row>
    <row r="447" spans="2:5" ht="15" customHeight="1">
      <c r="B447" s="92"/>
      <c r="C447" s="68" t="s">
        <v>261</v>
      </c>
      <c r="D447" s="69">
        <v>4</v>
      </c>
      <c r="E447" s="70">
        <v>1.3482994573099999E-4</v>
      </c>
    </row>
    <row r="448" spans="2:5" ht="15" customHeight="1">
      <c r="B448" s="92"/>
      <c r="C448" s="68" t="s">
        <v>262</v>
      </c>
      <c r="D448" s="69">
        <v>9</v>
      </c>
      <c r="E448" s="70">
        <v>3.0336737789499998E-4</v>
      </c>
    </row>
    <row r="449" spans="2:5" ht="15" customHeight="1">
      <c r="B449" s="92"/>
      <c r="C449" s="68" t="s">
        <v>263</v>
      </c>
      <c r="D449" s="69">
        <v>1</v>
      </c>
      <c r="E449" s="70">
        <v>3.3707486433000001E-5</v>
      </c>
    </row>
    <row r="450" spans="2:5" ht="15" customHeight="1">
      <c r="B450" s="92"/>
      <c r="C450" s="68" t="s">
        <v>264</v>
      </c>
      <c r="D450" s="69">
        <v>1</v>
      </c>
      <c r="E450" s="70">
        <v>3.3707486433000001E-5</v>
      </c>
    </row>
    <row r="451" spans="2:5" ht="15" customHeight="1">
      <c r="B451" s="92"/>
      <c r="C451" s="68" t="s">
        <v>265</v>
      </c>
      <c r="D451" s="69">
        <v>1</v>
      </c>
      <c r="E451" s="70">
        <v>3.3707486433000001E-5</v>
      </c>
    </row>
    <row r="452" spans="2:5" ht="15" customHeight="1">
      <c r="B452" s="92"/>
      <c r="C452" s="68" t="s">
        <v>266</v>
      </c>
      <c r="D452" s="69">
        <v>17</v>
      </c>
      <c r="E452" s="70">
        <v>5.7302726935699996E-4</v>
      </c>
    </row>
    <row r="453" spans="2:5" ht="15" customHeight="1">
      <c r="B453" s="92"/>
      <c r="C453" s="68" t="s">
        <v>267</v>
      </c>
      <c r="D453" s="69">
        <v>3</v>
      </c>
      <c r="E453" s="70">
        <v>1.0112245929799999E-4</v>
      </c>
    </row>
    <row r="454" spans="2:5" ht="15" customHeight="1">
      <c r="B454" s="92"/>
      <c r="C454" s="68" t="s">
        <v>268</v>
      </c>
      <c r="D454" s="69">
        <v>6</v>
      </c>
      <c r="E454" s="70">
        <v>2.0224491859599999E-4</v>
      </c>
    </row>
    <row r="455" spans="2:5" ht="15" customHeight="1">
      <c r="B455" s="92"/>
      <c r="C455" s="68" t="s">
        <v>269</v>
      </c>
      <c r="D455" s="69">
        <v>8</v>
      </c>
      <c r="E455" s="70">
        <v>2.6965989146199998E-4</v>
      </c>
    </row>
    <row r="456" spans="2:5" ht="15" customHeight="1">
      <c r="B456" s="92"/>
      <c r="C456" s="68" t="s">
        <v>270</v>
      </c>
      <c r="D456" s="69">
        <v>1</v>
      </c>
      <c r="E456" s="70">
        <v>3.3707486433000001E-5</v>
      </c>
    </row>
    <row r="457" spans="2:5" ht="15" customHeight="1">
      <c r="B457" s="92"/>
      <c r="C457" s="68" t="s">
        <v>274</v>
      </c>
      <c r="D457" s="69">
        <v>3</v>
      </c>
      <c r="E457" s="70">
        <v>1.0112245929799999E-4</v>
      </c>
    </row>
    <row r="458" spans="2:5" ht="15" customHeight="1">
      <c r="B458" s="92"/>
      <c r="C458" s="68" t="s">
        <v>275</v>
      </c>
      <c r="D458" s="69">
        <v>2</v>
      </c>
      <c r="E458" s="70">
        <v>6.7414972865000001E-5</v>
      </c>
    </row>
    <row r="459" spans="2:5" ht="15" customHeight="1">
      <c r="B459" s="92"/>
      <c r="C459" s="68" t="s">
        <v>277</v>
      </c>
      <c r="D459" s="69">
        <v>1</v>
      </c>
      <c r="E459" s="70">
        <v>3.3707486433000001E-5</v>
      </c>
    </row>
    <row r="460" spans="2:5" ht="15" customHeight="1">
      <c r="B460" s="93"/>
      <c r="C460" s="36" t="s">
        <v>29</v>
      </c>
      <c r="D460" s="35">
        <v>60</v>
      </c>
      <c r="E460" s="34">
        <v>2.0224491859639998E-3</v>
      </c>
    </row>
    <row r="461" spans="2:5" ht="15" customHeight="1">
      <c r="B461" s="91" t="s">
        <v>96</v>
      </c>
      <c r="C461" s="68" t="s">
        <v>255</v>
      </c>
      <c r="D461" s="69">
        <v>1</v>
      </c>
      <c r="E461" s="70">
        <v>3.3707486433000001E-5</v>
      </c>
    </row>
    <row r="462" spans="2:5" ht="15" customHeight="1">
      <c r="B462" s="92"/>
      <c r="C462" s="68" t="s">
        <v>259</v>
      </c>
      <c r="D462" s="69">
        <v>1</v>
      </c>
      <c r="E462" s="70">
        <v>3.3707486433000001E-5</v>
      </c>
    </row>
    <row r="463" spans="2:5" ht="15" customHeight="1">
      <c r="B463" s="92"/>
      <c r="C463" s="68" t="s">
        <v>261</v>
      </c>
      <c r="D463" s="69">
        <v>1</v>
      </c>
      <c r="E463" s="70">
        <v>3.3707486433000001E-5</v>
      </c>
    </row>
    <row r="464" spans="2:5" ht="15" customHeight="1">
      <c r="B464" s="92"/>
      <c r="C464" s="68" t="s">
        <v>262</v>
      </c>
      <c r="D464" s="69">
        <v>2</v>
      </c>
      <c r="E464" s="70">
        <v>6.7414972865000001E-5</v>
      </c>
    </row>
    <row r="465" spans="2:5" ht="15" customHeight="1">
      <c r="B465" s="92"/>
      <c r="C465" s="68" t="s">
        <v>266</v>
      </c>
      <c r="D465" s="69">
        <v>4</v>
      </c>
      <c r="E465" s="70">
        <v>1.3482994573099999E-4</v>
      </c>
    </row>
    <row r="466" spans="2:5" ht="15" customHeight="1">
      <c r="B466" s="92"/>
      <c r="C466" s="68" t="s">
        <v>269</v>
      </c>
      <c r="D466" s="69">
        <v>1</v>
      </c>
      <c r="E466" s="70">
        <v>3.3707486433000001E-5</v>
      </c>
    </row>
    <row r="467" spans="2:5" ht="15" customHeight="1">
      <c r="B467" s="93"/>
      <c r="C467" s="36" t="s">
        <v>29</v>
      </c>
      <c r="D467" s="35">
        <v>10</v>
      </c>
      <c r="E467" s="34">
        <v>3.3707486432699998E-4</v>
      </c>
    </row>
    <row r="468" spans="2:5" ht="15" customHeight="1">
      <c r="B468" s="91" t="s">
        <v>100</v>
      </c>
      <c r="C468" s="68" t="s">
        <v>261</v>
      </c>
      <c r="D468" s="69">
        <v>1</v>
      </c>
      <c r="E468" s="70">
        <v>3.3707486433000001E-5</v>
      </c>
    </row>
    <row r="469" spans="2:5" ht="15" customHeight="1">
      <c r="B469" s="93"/>
      <c r="C469" s="36" t="s">
        <v>29</v>
      </c>
      <c r="D469" s="35">
        <v>1</v>
      </c>
      <c r="E469" s="34">
        <v>3.3707486433000001E-5</v>
      </c>
    </row>
    <row r="470" spans="2:5" ht="15" customHeight="1">
      <c r="B470" s="91" t="s">
        <v>62</v>
      </c>
      <c r="C470" s="68" t="s">
        <v>255</v>
      </c>
      <c r="D470" s="69">
        <v>1</v>
      </c>
      <c r="E470" s="70">
        <v>3.3707486433000001E-5</v>
      </c>
    </row>
    <row r="471" spans="2:5" ht="15" customHeight="1">
      <c r="B471" s="92"/>
      <c r="C471" s="68" t="s">
        <v>256</v>
      </c>
      <c r="D471" s="69">
        <v>1</v>
      </c>
      <c r="E471" s="70">
        <v>3.3707486433000001E-5</v>
      </c>
    </row>
    <row r="472" spans="2:5" ht="15" customHeight="1">
      <c r="B472" s="92"/>
      <c r="C472" s="68" t="s">
        <v>257</v>
      </c>
      <c r="D472" s="69">
        <v>6</v>
      </c>
      <c r="E472" s="70">
        <v>2.0224491859599999E-4</v>
      </c>
    </row>
    <row r="473" spans="2:5" ht="15" customHeight="1">
      <c r="B473" s="92"/>
      <c r="C473" s="68" t="s">
        <v>258</v>
      </c>
      <c r="D473" s="69">
        <v>13</v>
      </c>
      <c r="E473" s="70">
        <v>4.38197323626E-4</v>
      </c>
    </row>
    <row r="474" spans="2:5" ht="15" customHeight="1">
      <c r="B474" s="92"/>
      <c r="C474" s="68" t="s">
        <v>259</v>
      </c>
      <c r="D474" s="69">
        <v>8</v>
      </c>
      <c r="E474" s="70">
        <v>2.6965989146199998E-4</v>
      </c>
    </row>
    <row r="475" spans="2:5" ht="15" customHeight="1">
      <c r="B475" s="92"/>
      <c r="C475" s="68" t="s">
        <v>260</v>
      </c>
      <c r="D475" s="69">
        <v>10</v>
      </c>
      <c r="E475" s="70">
        <v>3.3707486432699998E-4</v>
      </c>
    </row>
    <row r="476" spans="2:5" ht="15" customHeight="1">
      <c r="B476" s="92"/>
      <c r="C476" s="68" t="s">
        <v>261</v>
      </c>
      <c r="D476" s="69">
        <v>29</v>
      </c>
      <c r="E476" s="70">
        <v>9.775171065490001E-4</v>
      </c>
    </row>
    <row r="477" spans="2:5" ht="15" customHeight="1">
      <c r="B477" s="92"/>
      <c r="C477" s="68" t="s">
        <v>262</v>
      </c>
      <c r="D477" s="69">
        <v>58</v>
      </c>
      <c r="E477" s="70">
        <v>1.9550342130989998E-3</v>
      </c>
    </row>
    <row r="478" spans="2:5" ht="15" customHeight="1">
      <c r="B478" s="92"/>
      <c r="C478" s="68" t="s">
        <v>263</v>
      </c>
      <c r="D478" s="69">
        <v>8</v>
      </c>
      <c r="E478" s="70">
        <v>2.6965989146199998E-4</v>
      </c>
    </row>
    <row r="479" spans="2:5" ht="15" customHeight="1">
      <c r="B479" s="92"/>
      <c r="C479" s="68" t="s">
        <v>264</v>
      </c>
      <c r="D479" s="69">
        <v>15</v>
      </c>
      <c r="E479" s="70">
        <v>5.0561229649099995E-4</v>
      </c>
    </row>
    <row r="480" spans="2:5" ht="15" customHeight="1">
      <c r="B480" s="92"/>
      <c r="C480" s="68" t="s">
        <v>265</v>
      </c>
      <c r="D480" s="69">
        <v>15</v>
      </c>
      <c r="E480" s="70">
        <v>5.0561229649099995E-4</v>
      </c>
    </row>
    <row r="481" spans="2:5" ht="15" customHeight="1">
      <c r="B481" s="92"/>
      <c r="C481" s="68" t="s">
        <v>266</v>
      </c>
      <c r="D481" s="69">
        <v>161</v>
      </c>
      <c r="E481" s="70">
        <v>5.4269053156709999E-3</v>
      </c>
    </row>
    <row r="482" spans="2:5" ht="15" customHeight="1">
      <c r="B482" s="92"/>
      <c r="C482" s="68" t="s">
        <v>267</v>
      </c>
      <c r="D482" s="69">
        <v>6</v>
      </c>
      <c r="E482" s="70">
        <v>2.0224491859599999E-4</v>
      </c>
    </row>
    <row r="483" spans="2:5" ht="15" customHeight="1">
      <c r="B483" s="92"/>
      <c r="C483" s="68" t="s">
        <v>268</v>
      </c>
      <c r="D483" s="69">
        <v>12</v>
      </c>
      <c r="E483" s="70">
        <v>4.0448983719299999E-4</v>
      </c>
    </row>
    <row r="484" spans="2:5" ht="15" customHeight="1">
      <c r="B484" s="92"/>
      <c r="C484" s="68" t="s">
        <v>269</v>
      </c>
      <c r="D484" s="69">
        <v>63</v>
      </c>
      <c r="E484" s="70">
        <v>2.123571645262E-3</v>
      </c>
    </row>
    <row r="485" spans="2:5" ht="15" customHeight="1">
      <c r="B485" s="92"/>
      <c r="C485" s="68" t="s">
        <v>271</v>
      </c>
      <c r="D485" s="69">
        <v>2</v>
      </c>
      <c r="E485" s="70">
        <v>6.7414972865000001E-5</v>
      </c>
    </row>
    <row r="486" spans="2:5" ht="15" customHeight="1">
      <c r="B486" s="92"/>
      <c r="C486" s="68" t="s">
        <v>273</v>
      </c>
      <c r="D486" s="69">
        <v>1</v>
      </c>
      <c r="E486" s="70">
        <v>3.3707486433000001E-5</v>
      </c>
    </row>
    <row r="487" spans="2:5" ht="15" customHeight="1">
      <c r="B487" s="92"/>
      <c r="C487" s="68" t="s">
        <v>274</v>
      </c>
      <c r="D487" s="69">
        <v>8</v>
      </c>
      <c r="E487" s="70">
        <v>2.6965989146199998E-4</v>
      </c>
    </row>
    <row r="488" spans="2:5" ht="15" customHeight="1">
      <c r="B488" s="92"/>
      <c r="C488" s="68" t="s">
        <v>275</v>
      </c>
      <c r="D488" s="69">
        <v>8</v>
      </c>
      <c r="E488" s="70">
        <v>2.6965989146199998E-4</v>
      </c>
    </row>
    <row r="489" spans="2:5" ht="15" customHeight="1">
      <c r="B489" s="93"/>
      <c r="C489" s="36" t="s">
        <v>29</v>
      </c>
      <c r="D489" s="35">
        <v>425</v>
      </c>
      <c r="E489" s="34">
        <v>1.4325681733913E-2</v>
      </c>
    </row>
    <row r="490" spans="2:5" ht="15" customHeight="1">
      <c r="B490" s="91" t="s">
        <v>81</v>
      </c>
      <c r="C490" s="68" t="s">
        <v>255</v>
      </c>
      <c r="D490" s="69">
        <v>2</v>
      </c>
      <c r="E490" s="70">
        <v>6.7414972865000001E-5</v>
      </c>
    </row>
    <row r="491" spans="2:5" ht="15" customHeight="1">
      <c r="B491" s="92"/>
      <c r="C491" s="68" t="s">
        <v>257</v>
      </c>
      <c r="D491" s="69">
        <v>1</v>
      </c>
      <c r="E491" s="70">
        <v>3.3707486433000001E-5</v>
      </c>
    </row>
    <row r="492" spans="2:5" ht="15" customHeight="1">
      <c r="B492" s="92"/>
      <c r="C492" s="68" t="s">
        <v>259</v>
      </c>
      <c r="D492" s="69">
        <v>2</v>
      </c>
      <c r="E492" s="70">
        <v>6.7414972865000001E-5</v>
      </c>
    </row>
    <row r="493" spans="2:5" ht="15" customHeight="1">
      <c r="B493" s="92"/>
      <c r="C493" s="68" t="s">
        <v>260</v>
      </c>
      <c r="D493" s="69">
        <v>1</v>
      </c>
      <c r="E493" s="70">
        <v>3.3707486433000001E-5</v>
      </c>
    </row>
    <row r="494" spans="2:5" ht="15" customHeight="1">
      <c r="B494" s="92"/>
      <c r="C494" s="68" t="s">
        <v>261</v>
      </c>
      <c r="D494" s="69">
        <v>4</v>
      </c>
      <c r="E494" s="70">
        <v>1.3482994573099999E-4</v>
      </c>
    </row>
    <row r="495" spans="2:5" ht="15" customHeight="1">
      <c r="B495" s="92"/>
      <c r="C495" s="68" t="s">
        <v>262</v>
      </c>
      <c r="D495" s="69">
        <v>7</v>
      </c>
      <c r="E495" s="70">
        <v>2.35952405029E-4</v>
      </c>
    </row>
    <row r="496" spans="2:5" ht="15" customHeight="1">
      <c r="B496" s="92"/>
      <c r="C496" s="68" t="s">
        <v>264</v>
      </c>
      <c r="D496" s="69">
        <v>3</v>
      </c>
      <c r="E496" s="70">
        <v>1.0112245929799999E-4</v>
      </c>
    </row>
    <row r="497" spans="2:5" ht="15" customHeight="1">
      <c r="B497" s="92"/>
      <c r="C497" s="68" t="s">
        <v>266</v>
      </c>
      <c r="D497" s="69">
        <v>17</v>
      </c>
      <c r="E497" s="70">
        <v>5.7302726935699996E-4</v>
      </c>
    </row>
    <row r="498" spans="2:5" ht="15" customHeight="1">
      <c r="B498" s="92"/>
      <c r="C498" s="68" t="s">
        <v>267</v>
      </c>
      <c r="D498" s="69">
        <v>1</v>
      </c>
      <c r="E498" s="70">
        <v>3.3707486433000001E-5</v>
      </c>
    </row>
    <row r="499" spans="2:5" ht="15" customHeight="1">
      <c r="B499" s="92"/>
      <c r="C499" s="68" t="s">
        <v>268</v>
      </c>
      <c r="D499" s="69">
        <v>4</v>
      </c>
      <c r="E499" s="70">
        <v>1.3482994573099999E-4</v>
      </c>
    </row>
    <row r="500" spans="2:5" ht="15" customHeight="1">
      <c r="B500" s="92"/>
      <c r="C500" s="68" t="s">
        <v>269</v>
      </c>
      <c r="D500" s="69">
        <v>17</v>
      </c>
      <c r="E500" s="70">
        <v>5.7302726935699996E-4</v>
      </c>
    </row>
    <row r="501" spans="2:5" ht="15" customHeight="1">
      <c r="B501" s="92"/>
      <c r="C501" s="68" t="s">
        <v>274</v>
      </c>
      <c r="D501" s="69">
        <v>1</v>
      </c>
      <c r="E501" s="70">
        <v>3.3707486433000001E-5</v>
      </c>
    </row>
    <row r="502" spans="2:5" ht="15" customHeight="1">
      <c r="B502" s="92"/>
      <c r="C502" s="68" t="s">
        <v>275</v>
      </c>
      <c r="D502" s="69">
        <v>5</v>
      </c>
      <c r="E502" s="70">
        <v>1.68537432164E-4</v>
      </c>
    </row>
    <row r="503" spans="2:5" ht="15" customHeight="1">
      <c r="B503" s="93"/>
      <c r="C503" s="36" t="s">
        <v>29</v>
      </c>
      <c r="D503" s="35">
        <v>65</v>
      </c>
      <c r="E503" s="34">
        <v>2.190986618128E-3</v>
      </c>
    </row>
    <row r="504" spans="2:5" ht="15" customHeight="1">
      <c r="B504" s="91" t="s">
        <v>58</v>
      </c>
      <c r="C504" s="68" t="s">
        <v>255</v>
      </c>
      <c r="D504" s="69">
        <v>6</v>
      </c>
      <c r="E504" s="70">
        <v>2.0224491859599999E-4</v>
      </c>
    </row>
    <row r="505" spans="2:5" ht="15" customHeight="1">
      <c r="B505" s="92"/>
      <c r="C505" s="68" t="s">
        <v>256</v>
      </c>
      <c r="D505" s="69">
        <v>4</v>
      </c>
      <c r="E505" s="70">
        <v>1.3482994573099999E-4</v>
      </c>
    </row>
    <row r="506" spans="2:5" ht="15" customHeight="1">
      <c r="B506" s="92"/>
      <c r="C506" s="68" t="s">
        <v>257</v>
      </c>
      <c r="D506" s="69">
        <v>9</v>
      </c>
      <c r="E506" s="70">
        <v>3.0336737789499998E-4</v>
      </c>
    </row>
    <row r="507" spans="2:5" ht="15" customHeight="1">
      <c r="B507" s="92"/>
      <c r="C507" s="68" t="s">
        <v>258</v>
      </c>
      <c r="D507" s="69">
        <v>22</v>
      </c>
      <c r="E507" s="70">
        <v>7.4156470151999997E-4</v>
      </c>
    </row>
    <row r="508" spans="2:5" ht="15" customHeight="1">
      <c r="B508" s="92"/>
      <c r="C508" s="68" t="s">
        <v>259</v>
      </c>
      <c r="D508" s="69">
        <v>9</v>
      </c>
      <c r="E508" s="70">
        <v>3.0336737789499998E-4</v>
      </c>
    </row>
    <row r="509" spans="2:5" ht="15" customHeight="1">
      <c r="B509" s="92"/>
      <c r="C509" s="68" t="s">
        <v>260</v>
      </c>
      <c r="D509" s="69">
        <v>15</v>
      </c>
      <c r="E509" s="70">
        <v>5.0561229649099995E-4</v>
      </c>
    </row>
    <row r="510" spans="2:5" ht="15" customHeight="1">
      <c r="B510" s="92"/>
      <c r="C510" s="68" t="s">
        <v>261</v>
      </c>
      <c r="D510" s="69">
        <v>47</v>
      </c>
      <c r="E510" s="70">
        <v>1.584251862339E-3</v>
      </c>
    </row>
    <row r="511" spans="2:5" ht="15" customHeight="1">
      <c r="B511" s="92"/>
      <c r="C511" s="68" t="s">
        <v>262</v>
      </c>
      <c r="D511" s="69">
        <v>94</v>
      </c>
      <c r="E511" s="70">
        <v>3.1685037246769999E-3</v>
      </c>
    </row>
    <row r="512" spans="2:5" ht="15" customHeight="1">
      <c r="B512" s="92"/>
      <c r="C512" s="68" t="s">
        <v>263</v>
      </c>
      <c r="D512" s="69">
        <v>11</v>
      </c>
      <c r="E512" s="70">
        <v>3.7078235075999999E-4</v>
      </c>
    </row>
    <row r="513" spans="2:5" ht="15" customHeight="1">
      <c r="B513" s="92"/>
      <c r="C513" s="68" t="s">
        <v>264</v>
      </c>
      <c r="D513" s="69">
        <v>19</v>
      </c>
      <c r="E513" s="70">
        <v>6.4044224222200002E-4</v>
      </c>
    </row>
    <row r="514" spans="2:5" ht="15" customHeight="1">
      <c r="B514" s="92"/>
      <c r="C514" s="68" t="s">
        <v>265</v>
      </c>
      <c r="D514" s="69">
        <v>26</v>
      </c>
      <c r="E514" s="70">
        <v>8.7639464725100004E-4</v>
      </c>
    </row>
    <row r="515" spans="2:5" ht="15" customHeight="1">
      <c r="B515" s="92"/>
      <c r="C515" s="68" t="s">
        <v>266</v>
      </c>
      <c r="D515" s="69">
        <v>252</v>
      </c>
      <c r="E515" s="70">
        <v>8.49428658105E-3</v>
      </c>
    </row>
    <row r="516" spans="2:5" ht="15" customHeight="1">
      <c r="B516" s="92"/>
      <c r="C516" s="68" t="s">
        <v>267</v>
      </c>
      <c r="D516" s="69">
        <v>7</v>
      </c>
      <c r="E516" s="70">
        <v>2.35952405029E-4</v>
      </c>
    </row>
    <row r="517" spans="2:5" ht="15" customHeight="1">
      <c r="B517" s="92"/>
      <c r="C517" s="68" t="s">
        <v>268</v>
      </c>
      <c r="D517" s="69">
        <v>34</v>
      </c>
      <c r="E517" s="70">
        <v>1.1460545387130001E-3</v>
      </c>
    </row>
    <row r="518" spans="2:5" ht="15" customHeight="1">
      <c r="B518" s="92"/>
      <c r="C518" s="68" t="s">
        <v>269</v>
      </c>
      <c r="D518" s="69">
        <v>128</v>
      </c>
      <c r="E518" s="70">
        <v>4.3145582633900004E-3</v>
      </c>
    </row>
    <row r="519" spans="2:5" ht="15" customHeight="1">
      <c r="B519" s="92"/>
      <c r="C519" s="68" t="s">
        <v>270</v>
      </c>
      <c r="D519" s="69">
        <v>2</v>
      </c>
      <c r="E519" s="70">
        <v>6.7414972865000001E-5</v>
      </c>
    </row>
    <row r="520" spans="2:5" ht="15" customHeight="1">
      <c r="B520" s="92"/>
      <c r="C520" s="68" t="s">
        <v>271</v>
      </c>
      <c r="D520" s="69">
        <v>2</v>
      </c>
      <c r="E520" s="70">
        <v>6.7414972865000001E-5</v>
      </c>
    </row>
    <row r="521" spans="2:5" ht="15" customHeight="1">
      <c r="B521" s="92"/>
      <c r="C521" s="68" t="s">
        <v>272</v>
      </c>
      <c r="D521" s="69">
        <v>3</v>
      </c>
      <c r="E521" s="70">
        <v>1.0112245929799999E-4</v>
      </c>
    </row>
    <row r="522" spans="2:5" ht="15" customHeight="1">
      <c r="B522" s="92"/>
      <c r="C522" s="68" t="s">
        <v>273</v>
      </c>
      <c r="D522" s="69">
        <v>1</v>
      </c>
      <c r="E522" s="70">
        <v>3.3707486433000001E-5</v>
      </c>
    </row>
    <row r="523" spans="2:5" ht="15" customHeight="1">
      <c r="B523" s="92"/>
      <c r="C523" s="68" t="s">
        <v>274</v>
      </c>
      <c r="D523" s="69">
        <v>4</v>
      </c>
      <c r="E523" s="70">
        <v>1.3482994573099999E-4</v>
      </c>
    </row>
    <row r="524" spans="2:5" ht="15" customHeight="1">
      <c r="B524" s="92"/>
      <c r="C524" s="68" t="s">
        <v>275</v>
      </c>
      <c r="D524" s="69">
        <v>8</v>
      </c>
      <c r="E524" s="70">
        <v>2.6965989146199998E-4</v>
      </c>
    </row>
    <row r="525" spans="2:5" ht="15" customHeight="1">
      <c r="B525" s="92"/>
      <c r="C525" s="68" t="s">
        <v>277</v>
      </c>
      <c r="D525" s="69">
        <v>1</v>
      </c>
      <c r="E525" s="70">
        <v>3.3707486433000001E-5</v>
      </c>
    </row>
    <row r="526" spans="2:5" ht="15" customHeight="1">
      <c r="B526" s="92"/>
      <c r="C526" s="68" t="s">
        <v>278</v>
      </c>
      <c r="D526" s="69">
        <v>1</v>
      </c>
      <c r="E526" s="70">
        <v>3.3707486433000001E-5</v>
      </c>
    </row>
    <row r="527" spans="2:5" ht="15" customHeight="1">
      <c r="B527" s="93"/>
      <c r="C527" s="36" t="s">
        <v>29</v>
      </c>
      <c r="D527" s="35">
        <v>705</v>
      </c>
      <c r="E527" s="34">
        <v>2.3763777935079E-2</v>
      </c>
    </row>
    <row r="528" spans="2:5" ht="15" customHeight="1">
      <c r="B528" s="91" t="s">
        <v>77</v>
      </c>
      <c r="C528" s="68" t="s">
        <v>256</v>
      </c>
      <c r="D528" s="69">
        <v>1</v>
      </c>
      <c r="E528" s="70">
        <v>3.3707486433000001E-5</v>
      </c>
    </row>
    <row r="529" spans="2:5" ht="15" customHeight="1">
      <c r="B529" s="92"/>
      <c r="C529" s="68" t="s">
        <v>257</v>
      </c>
      <c r="D529" s="69">
        <v>3</v>
      </c>
      <c r="E529" s="70">
        <v>1.0112245929799999E-4</v>
      </c>
    </row>
    <row r="530" spans="2:5" ht="15" customHeight="1">
      <c r="B530" s="92"/>
      <c r="C530" s="68" t="s">
        <v>258</v>
      </c>
      <c r="D530" s="69">
        <v>5</v>
      </c>
      <c r="E530" s="70">
        <v>1.68537432164E-4</v>
      </c>
    </row>
    <row r="531" spans="2:5" ht="15" customHeight="1">
      <c r="B531" s="92"/>
      <c r="C531" s="68" t="s">
        <v>259</v>
      </c>
      <c r="D531" s="69">
        <v>3</v>
      </c>
      <c r="E531" s="70">
        <v>1.0112245929799999E-4</v>
      </c>
    </row>
    <row r="532" spans="2:5" ht="15" customHeight="1">
      <c r="B532" s="92"/>
      <c r="C532" s="68" t="s">
        <v>260</v>
      </c>
      <c r="D532" s="69">
        <v>1</v>
      </c>
      <c r="E532" s="70">
        <v>3.3707486433000001E-5</v>
      </c>
    </row>
    <row r="533" spans="2:5" ht="15" customHeight="1">
      <c r="B533" s="92"/>
      <c r="C533" s="68" t="s">
        <v>261</v>
      </c>
      <c r="D533" s="69">
        <v>7</v>
      </c>
      <c r="E533" s="70">
        <v>2.35952405029E-4</v>
      </c>
    </row>
    <row r="534" spans="2:5" ht="15" customHeight="1">
      <c r="B534" s="92"/>
      <c r="C534" s="68" t="s">
        <v>262</v>
      </c>
      <c r="D534" s="69">
        <v>14</v>
      </c>
      <c r="E534" s="70">
        <v>4.7190481005799999E-4</v>
      </c>
    </row>
    <row r="535" spans="2:5" ht="15" customHeight="1">
      <c r="B535" s="92"/>
      <c r="C535" s="68" t="s">
        <v>263</v>
      </c>
      <c r="D535" s="69">
        <v>2</v>
      </c>
      <c r="E535" s="70">
        <v>6.7414972865000001E-5</v>
      </c>
    </row>
    <row r="536" spans="2:5" ht="15" customHeight="1">
      <c r="B536" s="92"/>
      <c r="C536" s="68" t="s">
        <v>264</v>
      </c>
      <c r="D536" s="69">
        <v>4</v>
      </c>
      <c r="E536" s="70">
        <v>1.3482994573099999E-4</v>
      </c>
    </row>
    <row r="537" spans="2:5" ht="15" customHeight="1">
      <c r="B537" s="92"/>
      <c r="C537" s="68" t="s">
        <v>265</v>
      </c>
      <c r="D537" s="69">
        <v>5</v>
      </c>
      <c r="E537" s="70">
        <v>1.68537432164E-4</v>
      </c>
    </row>
    <row r="538" spans="2:5" ht="15" customHeight="1">
      <c r="B538" s="92"/>
      <c r="C538" s="68" t="s">
        <v>266</v>
      </c>
      <c r="D538" s="69">
        <v>42</v>
      </c>
      <c r="E538" s="70">
        <v>1.415714430175E-3</v>
      </c>
    </row>
    <row r="539" spans="2:5" ht="15" customHeight="1">
      <c r="B539" s="92"/>
      <c r="C539" s="68" t="s">
        <v>267</v>
      </c>
      <c r="D539" s="69">
        <v>2</v>
      </c>
      <c r="E539" s="70">
        <v>6.7414972865000001E-5</v>
      </c>
    </row>
    <row r="540" spans="2:5" ht="15" customHeight="1">
      <c r="B540" s="92"/>
      <c r="C540" s="68" t="s">
        <v>268</v>
      </c>
      <c r="D540" s="69">
        <v>3</v>
      </c>
      <c r="E540" s="70">
        <v>1.0112245929799999E-4</v>
      </c>
    </row>
    <row r="541" spans="2:5" ht="15" customHeight="1">
      <c r="B541" s="92"/>
      <c r="C541" s="68" t="s">
        <v>269</v>
      </c>
      <c r="D541" s="69">
        <v>16</v>
      </c>
      <c r="E541" s="70">
        <v>5.3931978292399995E-4</v>
      </c>
    </row>
    <row r="542" spans="2:5" ht="15" customHeight="1">
      <c r="B542" s="92"/>
      <c r="C542" s="68" t="s">
        <v>274</v>
      </c>
      <c r="D542" s="69">
        <v>1</v>
      </c>
      <c r="E542" s="70">
        <v>3.3707486433000001E-5</v>
      </c>
    </row>
    <row r="543" spans="2:5" ht="15" customHeight="1">
      <c r="B543" s="92"/>
      <c r="C543" s="68" t="s">
        <v>275</v>
      </c>
      <c r="D543" s="69">
        <v>1</v>
      </c>
      <c r="E543" s="70">
        <v>3.3707486433000001E-5</v>
      </c>
    </row>
    <row r="544" spans="2:5" ht="15" customHeight="1">
      <c r="B544" s="93"/>
      <c r="C544" s="36" t="s">
        <v>29</v>
      </c>
      <c r="D544" s="35">
        <v>110</v>
      </c>
      <c r="E544" s="34">
        <v>3.7078235076010001E-3</v>
      </c>
    </row>
    <row r="545" spans="2:5" ht="15" customHeight="1">
      <c r="B545" s="91" t="s">
        <v>61</v>
      </c>
      <c r="C545" s="68" t="s">
        <v>255</v>
      </c>
      <c r="D545" s="69">
        <v>8</v>
      </c>
      <c r="E545" s="70">
        <v>2.6965989146199998E-4</v>
      </c>
    </row>
    <row r="546" spans="2:5" ht="15" customHeight="1">
      <c r="B546" s="92"/>
      <c r="C546" s="68" t="s">
        <v>256</v>
      </c>
      <c r="D546" s="69">
        <v>3</v>
      </c>
      <c r="E546" s="70">
        <v>1.0112245929799999E-4</v>
      </c>
    </row>
    <row r="547" spans="2:5" ht="15" customHeight="1">
      <c r="B547" s="92"/>
      <c r="C547" s="68" t="s">
        <v>257</v>
      </c>
      <c r="D547" s="69">
        <v>6</v>
      </c>
      <c r="E547" s="70">
        <v>2.0224491859599999E-4</v>
      </c>
    </row>
    <row r="548" spans="2:5" ht="15" customHeight="1">
      <c r="B548" s="92"/>
      <c r="C548" s="68" t="s">
        <v>258</v>
      </c>
      <c r="D548" s="69">
        <v>8</v>
      </c>
      <c r="E548" s="70">
        <v>2.6965989146199998E-4</v>
      </c>
    </row>
    <row r="549" spans="2:5" ht="15" customHeight="1">
      <c r="B549" s="92"/>
      <c r="C549" s="68" t="s">
        <v>259</v>
      </c>
      <c r="D549" s="69">
        <v>5</v>
      </c>
      <c r="E549" s="70">
        <v>1.68537432164E-4</v>
      </c>
    </row>
    <row r="550" spans="2:5" ht="15" customHeight="1">
      <c r="B550" s="92"/>
      <c r="C550" s="68" t="s">
        <v>260</v>
      </c>
      <c r="D550" s="69">
        <v>7</v>
      </c>
      <c r="E550" s="70">
        <v>2.35952405029E-4</v>
      </c>
    </row>
    <row r="551" spans="2:5" ht="15" customHeight="1">
      <c r="B551" s="92"/>
      <c r="C551" s="68" t="s">
        <v>261</v>
      </c>
      <c r="D551" s="69">
        <v>23</v>
      </c>
      <c r="E551" s="70">
        <v>7.7527218795299998E-4</v>
      </c>
    </row>
    <row r="552" spans="2:5" ht="15" customHeight="1">
      <c r="B552" s="92"/>
      <c r="C552" s="68" t="s">
        <v>262</v>
      </c>
      <c r="D552" s="69">
        <v>67</v>
      </c>
      <c r="E552" s="70">
        <v>2.2584015909929999E-3</v>
      </c>
    </row>
    <row r="553" spans="2:5" ht="15" customHeight="1">
      <c r="B553" s="92"/>
      <c r="C553" s="68" t="s">
        <v>263</v>
      </c>
      <c r="D553" s="69">
        <v>12</v>
      </c>
      <c r="E553" s="70">
        <v>4.0448983719299999E-4</v>
      </c>
    </row>
    <row r="554" spans="2:5" ht="15" customHeight="1">
      <c r="B554" s="92"/>
      <c r="C554" s="68" t="s">
        <v>264</v>
      </c>
      <c r="D554" s="69">
        <v>18</v>
      </c>
      <c r="E554" s="70">
        <v>6.0673475578900001E-4</v>
      </c>
    </row>
    <row r="555" spans="2:5" ht="15" customHeight="1">
      <c r="B555" s="92"/>
      <c r="C555" s="68" t="s">
        <v>265</v>
      </c>
      <c r="D555" s="69">
        <v>16</v>
      </c>
      <c r="E555" s="70">
        <v>5.3931978292399995E-4</v>
      </c>
    </row>
    <row r="556" spans="2:5" ht="15" customHeight="1">
      <c r="B556" s="92"/>
      <c r="C556" s="68" t="s">
        <v>266</v>
      </c>
      <c r="D556" s="69">
        <v>164</v>
      </c>
      <c r="E556" s="70">
        <v>5.528027774969E-3</v>
      </c>
    </row>
    <row r="557" spans="2:5" ht="15" customHeight="1">
      <c r="B557" s="92"/>
      <c r="C557" s="68" t="s">
        <v>267</v>
      </c>
      <c r="D557" s="69">
        <v>5</v>
      </c>
      <c r="E557" s="70">
        <v>1.68537432164E-4</v>
      </c>
    </row>
    <row r="558" spans="2:5" ht="15" customHeight="1">
      <c r="B558" s="92"/>
      <c r="C558" s="68" t="s">
        <v>268</v>
      </c>
      <c r="D558" s="69">
        <v>14</v>
      </c>
      <c r="E558" s="70">
        <v>4.7190481005799999E-4</v>
      </c>
    </row>
    <row r="559" spans="2:5" ht="15" customHeight="1">
      <c r="B559" s="92"/>
      <c r="C559" s="68" t="s">
        <v>269</v>
      </c>
      <c r="D559" s="69">
        <v>55</v>
      </c>
      <c r="E559" s="70">
        <v>1.8539117538010001E-3</v>
      </c>
    </row>
    <row r="560" spans="2:5" ht="15" customHeight="1">
      <c r="B560" s="92"/>
      <c r="C560" s="68" t="s">
        <v>271</v>
      </c>
      <c r="D560" s="69">
        <v>1</v>
      </c>
      <c r="E560" s="70">
        <v>3.3707486433000001E-5</v>
      </c>
    </row>
    <row r="561" spans="2:5" ht="15" customHeight="1">
      <c r="B561" s="92"/>
      <c r="C561" s="68" t="s">
        <v>274</v>
      </c>
      <c r="D561" s="69">
        <v>3</v>
      </c>
      <c r="E561" s="70">
        <v>1.0112245929799999E-4</v>
      </c>
    </row>
    <row r="562" spans="2:5" ht="15" customHeight="1">
      <c r="B562" s="92"/>
      <c r="C562" s="68" t="s">
        <v>275</v>
      </c>
      <c r="D562" s="69">
        <v>11</v>
      </c>
      <c r="E562" s="70">
        <v>3.7078235075999999E-4</v>
      </c>
    </row>
    <row r="563" spans="2:5" ht="15" customHeight="1">
      <c r="B563" s="93"/>
      <c r="C563" s="36" t="s">
        <v>29</v>
      </c>
      <c r="D563" s="35">
        <v>426</v>
      </c>
      <c r="E563" s="34">
        <v>1.4359389220346E-2</v>
      </c>
    </row>
    <row r="564" spans="2:5" ht="15" customHeight="1">
      <c r="B564" s="91" t="s">
        <v>91</v>
      </c>
      <c r="C564" s="68" t="s">
        <v>255</v>
      </c>
      <c r="D564" s="69">
        <v>1</v>
      </c>
      <c r="E564" s="70">
        <v>3.3707486433000001E-5</v>
      </c>
    </row>
    <row r="565" spans="2:5" ht="15" customHeight="1">
      <c r="B565" s="92"/>
      <c r="C565" s="68" t="s">
        <v>258</v>
      </c>
      <c r="D565" s="69">
        <v>1</v>
      </c>
      <c r="E565" s="70">
        <v>3.3707486433000001E-5</v>
      </c>
    </row>
    <row r="566" spans="2:5" ht="15" customHeight="1">
      <c r="B566" s="92"/>
      <c r="C566" s="68" t="s">
        <v>259</v>
      </c>
      <c r="D566" s="69">
        <v>1</v>
      </c>
      <c r="E566" s="70">
        <v>3.3707486433000001E-5</v>
      </c>
    </row>
    <row r="567" spans="2:5" ht="15" customHeight="1">
      <c r="B567" s="92"/>
      <c r="C567" s="68" t="s">
        <v>262</v>
      </c>
      <c r="D567" s="69">
        <v>7</v>
      </c>
      <c r="E567" s="70">
        <v>2.35952405029E-4</v>
      </c>
    </row>
    <row r="568" spans="2:5" ht="15" customHeight="1">
      <c r="B568" s="92"/>
      <c r="C568" s="68" t="s">
        <v>266</v>
      </c>
      <c r="D568" s="69">
        <v>7</v>
      </c>
      <c r="E568" s="70">
        <v>2.35952405029E-4</v>
      </c>
    </row>
    <row r="569" spans="2:5" ht="15" customHeight="1">
      <c r="B569" s="92"/>
      <c r="C569" s="68" t="s">
        <v>268</v>
      </c>
      <c r="D569" s="69">
        <v>3</v>
      </c>
      <c r="E569" s="70">
        <v>1.0112245929799999E-4</v>
      </c>
    </row>
    <row r="570" spans="2:5" ht="15" customHeight="1">
      <c r="B570" s="92"/>
      <c r="C570" s="68" t="s">
        <v>269</v>
      </c>
      <c r="D570" s="69">
        <v>3</v>
      </c>
      <c r="E570" s="70">
        <v>1.0112245929799999E-4</v>
      </c>
    </row>
    <row r="571" spans="2:5" ht="15" customHeight="1">
      <c r="B571" s="92"/>
      <c r="C571" s="68" t="s">
        <v>275</v>
      </c>
      <c r="D571" s="69">
        <v>2</v>
      </c>
      <c r="E571" s="70">
        <v>6.7414972865000001E-5</v>
      </c>
    </row>
    <row r="572" spans="2:5" ht="15" customHeight="1">
      <c r="B572" s="92"/>
      <c r="C572" s="68" t="s">
        <v>278</v>
      </c>
      <c r="D572" s="69">
        <v>1</v>
      </c>
      <c r="E572" s="70">
        <v>3.3707486433000001E-5</v>
      </c>
    </row>
    <row r="573" spans="2:5" ht="15" customHeight="1">
      <c r="B573" s="93"/>
      <c r="C573" s="36" t="s">
        <v>29</v>
      </c>
      <c r="D573" s="35">
        <v>26</v>
      </c>
      <c r="E573" s="34">
        <v>8.7639464725100004E-4</v>
      </c>
    </row>
    <row r="574" spans="2:5" ht="15" customHeight="1">
      <c r="B574" s="91" t="s">
        <v>76</v>
      </c>
      <c r="C574" s="68" t="s">
        <v>255</v>
      </c>
      <c r="D574" s="69">
        <v>2</v>
      </c>
      <c r="E574" s="70">
        <v>6.7414972865000001E-5</v>
      </c>
    </row>
    <row r="575" spans="2:5" ht="15" customHeight="1">
      <c r="B575" s="92"/>
      <c r="C575" s="68" t="s">
        <v>256</v>
      </c>
      <c r="D575" s="69">
        <v>2</v>
      </c>
      <c r="E575" s="70">
        <v>6.7414972865000001E-5</v>
      </c>
    </row>
    <row r="576" spans="2:5" ht="15" customHeight="1">
      <c r="B576" s="92"/>
      <c r="C576" s="68" t="s">
        <v>258</v>
      </c>
      <c r="D576" s="69">
        <v>6</v>
      </c>
      <c r="E576" s="70">
        <v>2.0224491859599999E-4</v>
      </c>
    </row>
    <row r="577" spans="2:5" ht="15" customHeight="1">
      <c r="B577" s="92"/>
      <c r="C577" s="68" t="s">
        <v>260</v>
      </c>
      <c r="D577" s="69">
        <v>2</v>
      </c>
      <c r="E577" s="70">
        <v>6.7414972865000001E-5</v>
      </c>
    </row>
    <row r="578" spans="2:5" ht="15" customHeight="1">
      <c r="B578" s="92"/>
      <c r="C578" s="68" t="s">
        <v>261</v>
      </c>
      <c r="D578" s="69">
        <v>7</v>
      </c>
      <c r="E578" s="70">
        <v>2.35952405029E-4</v>
      </c>
    </row>
    <row r="579" spans="2:5" ht="15" customHeight="1">
      <c r="B579" s="92"/>
      <c r="C579" s="68" t="s">
        <v>262</v>
      </c>
      <c r="D579" s="69">
        <v>19</v>
      </c>
      <c r="E579" s="70">
        <v>6.4044224222200002E-4</v>
      </c>
    </row>
    <row r="580" spans="2:5" ht="15" customHeight="1">
      <c r="B580" s="92"/>
      <c r="C580" s="68" t="s">
        <v>264</v>
      </c>
      <c r="D580" s="69">
        <v>5</v>
      </c>
      <c r="E580" s="70">
        <v>1.68537432164E-4</v>
      </c>
    </row>
    <row r="581" spans="2:5" ht="15" customHeight="1">
      <c r="B581" s="92"/>
      <c r="C581" s="68" t="s">
        <v>265</v>
      </c>
      <c r="D581" s="69">
        <v>6</v>
      </c>
      <c r="E581" s="70">
        <v>2.0224491859599999E-4</v>
      </c>
    </row>
    <row r="582" spans="2:5" ht="15" customHeight="1">
      <c r="B582" s="92"/>
      <c r="C582" s="68" t="s">
        <v>266</v>
      </c>
      <c r="D582" s="69">
        <v>34</v>
      </c>
      <c r="E582" s="70">
        <v>1.1460545387130001E-3</v>
      </c>
    </row>
    <row r="583" spans="2:5" ht="15" customHeight="1">
      <c r="B583" s="92"/>
      <c r="C583" s="68" t="s">
        <v>267</v>
      </c>
      <c r="D583" s="69">
        <v>1</v>
      </c>
      <c r="E583" s="70">
        <v>3.3707486433000001E-5</v>
      </c>
    </row>
    <row r="584" spans="2:5" ht="15" customHeight="1">
      <c r="B584" s="92"/>
      <c r="C584" s="68" t="s">
        <v>268</v>
      </c>
      <c r="D584" s="69">
        <v>4</v>
      </c>
      <c r="E584" s="70">
        <v>1.3482994573099999E-4</v>
      </c>
    </row>
    <row r="585" spans="2:5" ht="15" customHeight="1">
      <c r="B585" s="92"/>
      <c r="C585" s="68" t="s">
        <v>269</v>
      </c>
      <c r="D585" s="69">
        <v>23</v>
      </c>
      <c r="E585" s="70">
        <v>7.7527218795299998E-4</v>
      </c>
    </row>
    <row r="586" spans="2:5" ht="15" customHeight="1">
      <c r="B586" s="92"/>
      <c r="C586" s="68" t="s">
        <v>271</v>
      </c>
      <c r="D586" s="69">
        <v>1</v>
      </c>
      <c r="E586" s="70">
        <v>3.3707486433000001E-5</v>
      </c>
    </row>
    <row r="587" spans="2:5" ht="15" customHeight="1">
      <c r="B587" s="92"/>
      <c r="C587" s="68" t="s">
        <v>272</v>
      </c>
      <c r="D587" s="69">
        <v>1</v>
      </c>
      <c r="E587" s="70">
        <v>3.3707486433000001E-5</v>
      </c>
    </row>
    <row r="588" spans="2:5" ht="15" customHeight="1">
      <c r="B588" s="92"/>
      <c r="C588" s="68" t="s">
        <v>274</v>
      </c>
      <c r="D588" s="69">
        <v>2</v>
      </c>
      <c r="E588" s="70">
        <v>6.7414972865000001E-5</v>
      </c>
    </row>
    <row r="589" spans="2:5" ht="15" customHeight="1">
      <c r="B589" s="92"/>
      <c r="C589" s="68" t="s">
        <v>275</v>
      </c>
      <c r="D589" s="69">
        <v>2</v>
      </c>
      <c r="E589" s="70">
        <v>6.7414972865000001E-5</v>
      </c>
    </row>
    <row r="590" spans="2:5" ht="15" customHeight="1">
      <c r="B590" s="93"/>
      <c r="C590" s="36" t="s">
        <v>29</v>
      </c>
      <c r="D590" s="35">
        <v>117</v>
      </c>
      <c r="E590" s="34">
        <v>3.9437759126300003E-3</v>
      </c>
    </row>
    <row r="591" spans="2:5" ht="15" customHeight="1">
      <c r="B591" s="91" t="s">
        <v>93</v>
      </c>
      <c r="C591" s="68" t="s">
        <v>261</v>
      </c>
      <c r="D591" s="69">
        <v>1</v>
      </c>
      <c r="E591" s="70">
        <v>3.3707486433000001E-5</v>
      </c>
    </row>
    <row r="592" spans="2:5" ht="15" customHeight="1">
      <c r="B592" s="92"/>
      <c r="C592" s="68" t="s">
        <v>262</v>
      </c>
      <c r="D592" s="69">
        <v>1</v>
      </c>
      <c r="E592" s="70">
        <v>3.3707486433000001E-5</v>
      </c>
    </row>
    <row r="593" spans="2:5" ht="15" customHeight="1">
      <c r="B593" s="92"/>
      <c r="C593" s="68" t="s">
        <v>263</v>
      </c>
      <c r="D593" s="69">
        <v>2</v>
      </c>
      <c r="E593" s="70">
        <v>6.7414972865000001E-5</v>
      </c>
    </row>
    <row r="594" spans="2:5" ht="15" customHeight="1">
      <c r="B594" s="92"/>
      <c r="C594" s="68" t="s">
        <v>265</v>
      </c>
      <c r="D594" s="69">
        <v>2</v>
      </c>
      <c r="E594" s="70">
        <v>6.7414972865000001E-5</v>
      </c>
    </row>
    <row r="595" spans="2:5" ht="15" customHeight="1">
      <c r="B595" s="92"/>
      <c r="C595" s="68" t="s">
        <v>266</v>
      </c>
      <c r="D595" s="69">
        <v>4</v>
      </c>
      <c r="E595" s="70">
        <v>1.3482994573099999E-4</v>
      </c>
    </row>
    <row r="596" spans="2:5" ht="15" customHeight="1">
      <c r="B596" s="92"/>
      <c r="C596" s="68" t="s">
        <v>268</v>
      </c>
      <c r="D596" s="69">
        <v>1</v>
      </c>
      <c r="E596" s="70">
        <v>3.3707486433000001E-5</v>
      </c>
    </row>
    <row r="597" spans="2:5" ht="15" customHeight="1">
      <c r="B597" s="92"/>
      <c r="C597" s="68" t="s">
        <v>269</v>
      </c>
      <c r="D597" s="69">
        <v>4</v>
      </c>
      <c r="E597" s="70">
        <v>1.3482994573099999E-4</v>
      </c>
    </row>
    <row r="598" spans="2:5" ht="15" customHeight="1">
      <c r="B598" s="92"/>
      <c r="C598" s="68" t="s">
        <v>274</v>
      </c>
      <c r="D598" s="69">
        <v>1</v>
      </c>
      <c r="E598" s="70">
        <v>3.3707486433000001E-5</v>
      </c>
    </row>
    <row r="599" spans="2:5" ht="15" customHeight="1">
      <c r="B599" s="93"/>
      <c r="C599" s="36" t="s">
        <v>29</v>
      </c>
      <c r="D599" s="35">
        <v>16</v>
      </c>
      <c r="E599" s="34">
        <v>5.3931978292399995E-4</v>
      </c>
    </row>
    <row r="600" spans="2:5" ht="15" customHeight="1">
      <c r="B600" s="91" t="s">
        <v>88</v>
      </c>
      <c r="C600" s="68" t="s">
        <v>258</v>
      </c>
      <c r="D600" s="69">
        <v>1</v>
      </c>
      <c r="E600" s="70">
        <v>3.3707486433000001E-5</v>
      </c>
    </row>
    <row r="601" spans="2:5" ht="15" customHeight="1">
      <c r="B601" s="92"/>
      <c r="C601" s="68" t="s">
        <v>259</v>
      </c>
      <c r="D601" s="69">
        <v>1</v>
      </c>
      <c r="E601" s="70">
        <v>3.3707486433000001E-5</v>
      </c>
    </row>
    <row r="602" spans="2:5" ht="15" customHeight="1">
      <c r="B602" s="92"/>
      <c r="C602" s="68" t="s">
        <v>261</v>
      </c>
      <c r="D602" s="69">
        <v>6</v>
      </c>
      <c r="E602" s="70">
        <v>2.0224491859599999E-4</v>
      </c>
    </row>
    <row r="603" spans="2:5" ht="15" customHeight="1">
      <c r="B603" s="92"/>
      <c r="C603" s="68" t="s">
        <v>262</v>
      </c>
      <c r="D603" s="69">
        <v>5</v>
      </c>
      <c r="E603" s="70">
        <v>1.68537432164E-4</v>
      </c>
    </row>
    <row r="604" spans="2:5" ht="15" customHeight="1">
      <c r="B604" s="92"/>
      <c r="C604" s="68" t="s">
        <v>263</v>
      </c>
      <c r="D604" s="69">
        <v>1</v>
      </c>
      <c r="E604" s="70">
        <v>3.3707486433000001E-5</v>
      </c>
    </row>
    <row r="605" spans="2:5" ht="15" customHeight="1">
      <c r="B605" s="92"/>
      <c r="C605" s="68" t="s">
        <v>265</v>
      </c>
      <c r="D605" s="69">
        <v>4</v>
      </c>
      <c r="E605" s="70">
        <v>1.3482994573099999E-4</v>
      </c>
    </row>
    <row r="606" spans="2:5" ht="15" customHeight="1">
      <c r="B606" s="92"/>
      <c r="C606" s="68" t="s">
        <v>266</v>
      </c>
      <c r="D606" s="69">
        <v>11</v>
      </c>
      <c r="E606" s="70">
        <v>3.7078235075999999E-4</v>
      </c>
    </row>
    <row r="607" spans="2:5" ht="15" customHeight="1">
      <c r="B607" s="92"/>
      <c r="C607" s="68" t="s">
        <v>268</v>
      </c>
      <c r="D607" s="69">
        <v>1</v>
      </c>
      <c r="E607" s="70">
        <v>3.3707486433000001E-5</v>
      </c>
    </row>
    <row r="608" spans="2:5" ht="15" customHeight="1">
      <c r="B608" s="92"/>
      <c r="C608" s="68" t="s">
        <v>269</v>
      </c>
      <c r="D608" s="69">
        <v>8</v>
      </c>
      <c r="E608" s="70">
        <v>2.6965989146199998E-4</v>
      </c>
    </row>
    <row r="609" spans="2:5" ht="15" customHeight="1">
      <c r="B609" s="93"/>
      <c r="C609" s="36" t="s">
        <v>29</v>
      </c>
      <c r="D609" s="35">
        <v>38</v>
      </c>
      <c r="E609" s="34">
        <v>1.280884484444E-3</v>
      </c>
    </row>
    <row r="610" spans="2:5" ht="15" customHeight="1">
      <c r="B610" s="91" t="s">
        <v>55</v>
      </c>
      <c r="C610" s="68" t="s">
        <v>255</v>
      </c>
      <c r="D610" s="69">
        <v>25</v>
      </c>
      <c r="E610" s="70">
        <v>8.4268716081800003E-4</v>
      </c>
    </row>
    <row r="611" spans="2:5" ht="15" customHeight="1">
      <c r="B611" s="92"/>
      <c r="C611" s="68" t="s">
        <v>256</v>
      </c>
      <c r="D611" s="69">
        <v>3</v>
      </c>
      <c r="E611" s="70">
        <v>1.0112245929799999E-4</v>
      </c>
    </row>
    <row r="612" spans="2:5" ht="15" customHeight="1">
      <c r="B612" s="92"/>
      <c r="C612" s="68" t="s">
        <v>257</v>
      </c>
      <c r="D612" s="69">
        <v>5</v>
      </c>
      <c r="E612" s="70">
        <v>1.68537432164E-4</v>
      </c>
    </row>
    <row r="613" spans="2:5" ht="15" customHeight="1">
      <c r="B613" s="92"/>
      <c r="C613" s="68" t="s">
        <v>258</v>
      </c>
      <c r="D613" s="69">
        <v>19</v>
      </c>
      <c r="E613" s="70">
        <v>6.4044224222200002E-4</v>
      </c>
    </row>
    <row r="614" spans="2:5" ht="15" customHeight="1">
      <c r="B614" s="92"/>
      <c r="C614" s="68" t="s">
        <v>259</v>
      </c>
      <c r="D614" s="69">
        <v>15</v>
      </c>
      <c r="E614" s="70">
        <v>5.0561229649099995E-4</v>
      </c>
    </row>
    <row r="615" spans="2:5" ht="15" customHeight="1">
      <c r="B615" s="92"/>
      <c r="C615" s="68" t="s">
        <v>260</v>
      </c>
      <c r="D615" s="69">
        <v>24</v>
      </c>
      <c r="E615" s="70">
        <v>8.0897967438599999E-4</v>
      </c>
    </row>
    <row r="616" spans="2:5" ht="15" customHeight="1">
      <c r="B616" s="92"/>
      <c r="C616" s="68" t="s">
        <v>261</v>
      </c>
      <c r="D616" s="69">
        <v>73</v>
      </c>
      <c r="E616" s="70">
        <v>2.4606465095899999E-3</v>
      </c>
    </row>
    <row r="617" spans="2:5" ht="15" customHeight="1">
      <c r="B617" s="92"/>
      <c r="C617" s="68" t="s">
        <v>262</v>
      </c>
      <c r="D617" s="69">
        <v>194</v>
      </c>
      <c r="E617" s="70">
        <v>6.5392523679510001E-3</v>
      </c>
    </row>
    <row r="618" spans="2:5" ht="15" customHeight="1">
      <c r="B618" s="92"/>
      <c r="C618" s="68" t="s">
        <v>263</v>
      </c>
      <c r="D618" s="69">
        <v>9</v>
      </c>
      <c r="E618" s="70">
        <v>3.0336737789499998E-4</v>
      </c>
    </row>
    <row r="619" spans="2:5" ht="15" customHeight="1">
      <c r="B619" s="92"/>
      <c r="C619" s="68" t="s">
        <v>264</v>
      </c>
      <c r="D619" s="69">
        <v>30</v>
      </c>
      <c r="E619" s="70">
        <v>1.0112245929819999E-3</v>
      </c>
    </row>
    <row r="620" spans="2:5" ht="15" customHeight="1">
      <c r="B620" s="92"/>
      <c r="C620" s="68" t="s">
        <v>265</v>
      </c>
      <c r="D620" s="69">
        <v>52</v>
      </c>
      <c r="E620" s="70">
        <v>1.7527892945020001E-3</v>
      </c>
    </row>
    <row r="621" spans="2:5" ht="15" customHeight="1">
      <c r="B621" s="92"/>
      <c r="C621" s="68" t="s">
        <v>266</v>
      </c>
      <c r="D621" s="69">
        <v>431</v>
      </c>
      <c r="E621" s="70">
        <v>1.4527926652509999E-2</v>
      </c>
    </row>
    <row r="622" spans="2:5" ht="15" customHeight="1">
      <c r="B622" s="92"/>
      <c r="C622" s="68" t="s">
        <v>267</v>
      </c>
      <c r="D622" s="69">
        <v>15</v>
      </c>
      <c r="E622" s="70">
        <v>5.0561229649099995E-4</v>
      </c>
    </row>
    <row r="623" spans="2:5" ht="15" customHeight="1">
      <c r="B623" s="92"/>
      <c r="C623" s="68" t="s">
        <v>268</v>
      </c>
      <c r="D623" s="69">
        <v>47</v>
      </c>
      <c r="E623" s="70">
        <v>1.584251862339E-3</v>
      </c>
    </row>
    <row r="624" spans="2:5" ht="15" customHeight="1">
      <c r="B624" s="92"/>
      <c r="C624" s="68" t="s">
        <v>269</v>
      </c>
      <c r="D624" s="69">
        <v>206</v>
      </c>
      <c r="E624" s="70">
        <v>6.943742205144E-3</v>
      </c>
    </row>
    <row r="625" spans="2:5" ht="15" customHeight="1">
      <c r="B625" s="92"/>
      <c r="C625" s="68" t="s">
        <v>271</v>
      </c>
      <c r="D625" s="69">
        <v>1</v>
      </c>
      <c r="E625" s="70">
        <v>3.3707486433000001E-5</v>
      </c>
    </row>
    <row r="626" spans="2:5" ht="15" customHeight="1">
      <c r="B626" s="92"/>
      <c r="C626" s="68" t="s">
        <v>273</v>
      </c>
      <c r="D626" s="69">
        <v>1</v>
      </c>
      <c r="E626" s="70">
        <v>3.3707486433000001E-5</v>
      </c>
    </row>
    <row r="627" spans="2:5" ht="15" customHeight="1">
      <c r="B627" s="92"/>
      <c r="C627" s="68" t="s">
        <v>274</v>
      </c>
      <c r="D627" s="69">
        <v>8</v>
      </c>
      <c r="E627" s="70">
        <v>2.6965989146199998E-4</v>
      </c>
    </row>
    <row r="628" spans="2:5" ht="15" customHeight="1">
      <c r="B628" s="92"/>
      <c r="C628" s="68" t="s">
        <v>275</v>
      </c>
      <c r="D628" s="69">
        <v>17</v>
      </c>
      <c r="E628" s="70">
        <v>5.7302726935699996E-4</v>
      </c>
    </row>
    <row r="629" spans="2:5" ht="15" customHeight="1">
      <c r="B629" s="93"/>
      <c r="C629" s="36" t="s">
        <v>29</v>
      </c>
      <c r="D629" s="35">
        <v>1175</v>
      </c>
      <c r="E629" s="34">
        <v>3.9606296558466002E-2</v>
      </c>
    </row>
    <row r="630" spans="2:5" ht="15" customHeight="1">
      <c r="B630" s="91" t="s">
        <v>82</v>
      </c>
      <c r="C630" s="68" t="s">
        <v>255</v>
      </c>
      <c r="D630" s="69">
        <v>1</v>
      </c>
      <c r="E630" s="70">
        <v>3.3707486433000001E-5</v>
      </c>
    </row>
    <row r="631" spans="2:5" ht="15" customHeight="1">
      <c r="B631" s="92"/>
      <c r="C631" s="68" t="s">
        <v>256</v>
      </c>
      <c r="D631" s="69">
        <v>1</v>
      </c>
      <c r="E631" s="70">
        <v>3.3707486433000001E-5</v>
      </c>
    </row>
    <row r="632" spans="2:5" ht="15" customHeight="1">
      <c r="B632" s="92"/>
      <c r="C632" s="68" t="s">
        <v>258</v>
      </c>
      <c r="D632" s="69">
        <v>2</v>
      </c>
      <c r="E632" s="70">
        <v>6.7414972865000001E-5</v>
      </c>
    </row>
    <row r="633" spans="2:5" ht="15" customHeight="1">
      <c r="B633" s="92"/>
      <c r="C633" s="68" t="s">
        <v>260</v>
      </c>
      <c r="D633" s="69">
        <v>1</v>
      </c>
      <c r="E633" s="70">
        <v>3.3707486433000001E-5</v>
      </c>
    </row>
    <row r="634" spans="2:5" ht="15" customHeight="1">
      <c r="B634" s="92"/>
      <c r="C634" s="68" t="s">
        <v>261</v>
      </c>
      <c r="D634" s="69">
        <v>2</v>
      </c>
      <c r="E634" s="70">
        <v>6.7414972865000001E-5</v>
      </c>
    </row>
    <row r="635" spans="2:5" ht="15" customHeight="1">
      <c r="B635" s="92"/>
      <c r="C635" s="68" t="s">
        <v>262</v>
      </c>
      <c r="D635" s="69">
        <v>12</v>
      </c>
      <c r="E635" s="70">
        <v>4.0448983719299999E-4</v>
      </c>
    </row>
    <row r="636" spans="2:5" ht="15" customHeight="1">
      <c r="B636" s="92"/>
      <c r="C636" s="68" t="s">
        <v>264</v>
      </c>
      <c r="D636" s="69">
        <v>1</v>
      </c>
      <c r="E636" s="70">
        <v>3.3707486433000001E-5</v>
      </c>
    </row>
    <row r="637" spans="2:5" ht="15" customHeight="1">
      <c r="B637" s="92"/>
      <c r="C637" s="68" t="s">
        <v>265</v>
      </c>
      <c r="D637" s="69">
        <v>6</v>
      </c>
      <c r="E637" s="70">
        <v>2.0224491859599999E-4</v>
      </c>
    </row>
    <row r="638" spans="2:5" ht="15" customHeight="1">
      <c r="B638" s="92"/>
      <c r="C638" s="68" t="s">
        <v>266</v>
      </c>
      <c r="D638" s="69">
        <v>17</v>
      </c>
      <c r="E638" s="70">
        <v>5.7302726935699996E-4</v>
      </c>
    </row>
    <row r="639" spans="2:5" ht="15" customHeight="1">
      <c r="B639" s="92"/>
      <c r="C639" s="68" t="s">
        <v>267</v>
      </c>
      <c r="D639" s="69">
        <v>1</v>
      </c>
      <c r="E639" s="70">
        <v>3.3707486433000001E-5</v>
      </c>
    </row>
    <row r="640" spans="2:5" ht="15" customHeight="1">
      <c r="B640" s="92"/>
      <c r="C640" s="68" t="s">
        <v>268</v>
      </c>
      <c r="D640" s="69">
        <v>2</v>
      </c>
      <c r="E640" s="70">
        <v>6.7414972865000001E-5</v>
      </c>
    </row>
    <row r="641" spans="2:5" ht="15" customHeight="1">
      <c r="B641" s="92"/>
      <c r="C641" s="68" t="s">
        <v>269</v>
      </c>
      <c r="D641" s="69">
        <v>15</v>
      </c>
      <c r="E641" s="70">
        <v>5.0561229649099995E-4</v>
      </c>
    </row>
    <row r="642" spans="2:5" ht="15" customHeight="1">
      <c r="B642" s="92"/>
      <c r="C642" s="68" t="s">
        <v>275</v>
      </c>
      <c r="D642" s="69">
        <v>1</v>
      </c>
      <c r="E642" s="70">
        <v>3.3707486433000001E-5</v>
      </c>
    </row>
    <row r="643" spans="2:5" ht="15" customHeight="1">
      <c r="B643" s="93"/>
      <c r="C643" s="36" t="s">
        <v>29</v>
      </c>
      <c r="D643" s="35">
        <v>62</v>
      </c>
      <c r="E643" s="34">
        <v>2.0898641588299998E-3</v>
      </c>
    </row>
    <row r="644" spans="2:5" ht="15" customHeight="1">
      <c r="B644" s="91" t="s">
        <v>71</v>
      </c>
      <c r="C644" s="68" t="s">
        <v>258</v>
      </c>
      <c r="D644" s="69">
        <v>2</v>
      </c>
      <c r="E644" s="70">
        <v>6.7414972865000001E-5</v>
      </c>
    </row>
    <row r="645" spans="2:5" ht="15" customHeight="1">
      <c r="B645" s="92"/>
      <c r="C645" s="68" t="s">
        <v>259</v>
      </c>
      <c r="D645" s="69">
        <v>2</v>
      </c>
      <c r="E645" s="70">
        <v>6.7414972865000001E-5</v>
      </c>
    </row>
    <row r="646" spans="2:5" ht="15" customHeight="1">
      <c r="B646" s="92"/>
      <c r="C646" s="68" t="s">
        <v>260</v>
      </c>
      <c r="D646" s="69">
        <v>3</v>
      </c>
      <c r="E646" s="70">
        <v>1.0112245929799999E-4</v>
      </c>
    </row>
    <row r="647" spans="2:5" ht="15" customHeight="1">
      <c r="B647" s="92"/>
      <c r="C647" s="68" t="s">
        <v>261</v>
      </c>
      <c r="D647" s="69">
        <v>6</v>
      </c>
      <c r="E647" s="70">
        <v>2.0224491859599999E-4</v>
      </c>
    </row>
    <row r="648" spans="2:5" ht="15" customHeight="1">
      <c r="B648" s="92"/>
      <c r="C648" s="68" t="s">
        <v>262</v>
      </c>
      <c r="D648" s="69">
        <v>27</v>
      </c>
      <c r="E648" s="70">
        <v>9.1010213368400005E-4</v>
      </c>
    </row>
    <row r="649" spans="2:5" ht="15" customHeight="1">
      <c r="B649" s="92"/>
      <c r="C649" s="68" t="s">
        <v>264</v>
      </c>
      <c r="D649" s="69">
        <v>4</v>
      </c>
      <c r="E649" s="70">
        <v>1.3482994573099999E-4</v>
      </c>
    </row>
    <row r="650" spans="2:5" ht="15" customHeight="1">
      <c r="B650" s="92"/>
      <c r="C650" s="68" t="s">
        <v>265</v>
      </c>
      <c r="D650" s="69">
        <v>1</v>
      </c>
      <c r="E650" s="70">
        <v>3.3707486433000001E-5</v>
      </c>
    </row>
    <row r="651" spans="2:5" ht="15" customHeight="1">
      <c r="B651" s="92"/>
      <c r="C651" s="68" t="s">
        <v>266</v>
      </c>
      <c r="D651" s="69">
        <v>60</v>
      </c>
      <c r="E651" s="70">
        <v>2.0224491859639998E-3</v>
      </c>
    </row>
    <row r="652" spans="2:5" ht="15" customHeight="1">
      <c r="B652" s="92"/>
      <c r="C652" s="68" t="s">
        <v>267</v>
      </c>
      <c r="D652" s="69">
        <v>1</v>
      </c>
      <c r="E652" s="70">
        <v>3.3707486433000001E-5</v>
      </c>
    </row>
    <row r="653" spans="2:5" ht="15" customHeight="1">
      <c r="B653" s="92"/>
      <c r="C653" s="68" t="s">
        <v>268</v>
      </c>
      <c r="D653" s="69">
        <v>3</v>
      </c>
      <c r="E653" s="70">
        <v>1.0112245929799999E-4</v>
      </c>
    </row>
    <row r="654" spans="2:5" ht="15" customHeight="1">
      <c r="B654" s="92"/>
      <c r="C654" s="68" t="s">
        <v>269</v>
      </c>
      <c r="D654" s="69">
        <v>26</v>
      </c>
      <c r="E654" s="70">
        <v>8.7639464725100004E-4</v>
      </c>
    </row>
    <row r="655" spans="2:5" ht="15" customHeight="1">
      <c r="B655" s="92"/>
      <c r="C655" s="68" t="s">
        <v>274</v>
      </c>
      <c r="D655" s="69">
        <v>4</v>
      </c>
      <c r="E655" s="70">
        <v>1.3482994573099999E-4</v>
      </c>
    </row>
    <row r="656" spans="2:5" ht="15" customHeight="1">
      <c r="B656" s="92"/>
      <c r="C656" s="68" t="s">
        <v>275</v>
      </c>
      <c r="D656" s="69">
        <v>7</v>
      </c>
      <c r="E656" s="70">
        <v>2.35952405029E-4</v>
      </c>
    </row>
    <row r="657" spans="2:5" ht="15" customHeight="1">
      <c r="B657" s="93"/>
      <c r="C657" s="36" t="s">
        <v>29</v>
      </c>
      <c r="D657" s="35">
        <v>146</v>
      </c>
      <c r="E657" s="34">
        <v>4.9212930191799998E-3</v>
      </c>
    </row>
    <row r="658" spans="2:5" ht="15" customHeight="1">
      <c r="B658" s="91" t="s">
        <v>86</v>
      </c>
      <c r="C658" s="68" t="s">
        <v>257</v>
      </c>
      <c r="D658" s="69">
        <v>1</v>
      </c>
      <c r="E658" s="70">
        <v>3.3707486433000001E-5</v>
      </c>
    </row>
    <row r="659" spans="2:5" ht="15" customHeight="1">
      <c r="B659" s="92"/>
      <c r="C659" s="68" t="s">
        <v>261</v>
      </c>
      <c r="D659" s="69">
        <v>6</v>
      </c>
      <c r="E659" s="70">
        <v>2.0224491859599999E-4</v>
      </c>
    </row>
    <row r="660" spans="2:5" ht="15" customHeight="1">
      <c r="B660" s="92"/>
      <c r="C660" s="68" t="s">
        <v>262</v>
      </c>
      <c r="D660" s="69">
        <v>5</v>
      </c>
      <c r="E660" s="70">
        <v>1.68537432164E-4</v>
      </c>
    </row>
    <row r="661" spans="2:5" ht="15" customHeight="1">
      <c r="B661" s="92"/>
      <c r="C661" s="68" t="s">
        <v>263</v>
      </c>
      <c r="D661" s="69">
        <v>2</v>
      </c>
      <c r="E661" s="70">
        <v>6.7414972865000001E-5</v>
      </c>
    </row>
    <row r="662" spans="2:5" ht="15" customHeight="1">
      <c r="B662" s="92"/>
      <c r="C662" s="68" t="s">
        <v>264</v>
      </c>
      <c r="D662" s="69">
        <v>2</v>
      </c>
      <c r="E662" s="70">
        <v>6.7414972865000001E-5</v>
      </c>
    </row>
    <row r="663" spans="2:5" ht="15" customHeight="1">
      <c r="B663" s="92"/>
      <c r="C663" s="68" t="s">
        <v>265</v>
      </c>
      <c r="D663" s="69">
        <v>2</v>
      </c>
      <c r="E663" s="70">
        <v>6.7414972865000001E-5</v>
      </c>
    </row>
    <row r="664" spans="2:5" ht="15" customHeight="1">
      <c r="B664" s="92"/>
      <c r="C664" s="68" t="s">
        <v>266</v>
      </c>
      <c r="D664" s="69">
        <v>24</v>
      </c>
      <c r="E664" s="70">
        <v>8.0897967438599999E-4</v>
      </c>
    </row>
    <row r="665" spans="2:5" ht="15" customHeight="1">
      <c r="B665" s="92"/>
      <c r="C665" s="68" t="s">
        <v>268</v>
      </c>
      <c r="D665" s="69">
        <v>5</v>
      </c>
      <c r="E665" s="70">
        <v>1.68537432164E-4</v>
      </c>
    </row>
    <row r="666" spans="2:5" ht="15" customHeight="1">
      <c r="B666" s="92"/>
      <c r="C666" s="68" t="s">
        <v>269</v>
      </c>
      <c r="D666" s="69">
        <v>6</v>
      </c>
      <c r="E666" s="70">
        <v>2.0224491859599999E-4</v>
      </c>
    </row>
    <row r="667" spans="2:5" ht="15" customHeight="1">
      <c r="B667" s="92"/>
      <c r="C667" s="68" t="s">
        <v>270</v>
      </c>
      <c r="D667" s="69">
        <v>1</v>
      </c>
      <c r="E667" s="70">
        <v>3.3707486433000001E-5</v>
      </c>
    </row>
    <row r="668" spans="2:5" ht="15" customHeight="1">
      <c r="B668" s="92"/>
      <c r="C668" s="68" t="s">
        <v>272</v>
      </c>
      <c r="D668" s="69">
        <v>1</v>
      </c>
      <c r="E668" s="70">
        <v>3.3707486433000001E-5</v>
      </c>
    </row>
    <row r="669" spans="2:5" ht="15" customHeight="1">
      <c r="B669" s="92"/>
      <c r="C669" s="68" t="s">
        <v>274</v>
      </c>
      <c r="D669" s="69">
        <v>1</v>
      </c>
      <c r="E669" s="70">
        <v>3.3707486433000001E-5</v>
      </c>
    </row>
    <row r="670" spans="2:5" ht="15" customHeight="1">
      <c r="B670" s="92"/>
      <c r="C670" s="68" t="s">
        <v>275</v>
      </c>
      <c r="D670" s="69">
        <v>1</v>
      </c>
      <c r="E670" s="70">
        <v>3.3707486433000001E-5</v>
      </c>
    </row>
    <row r="671" spans="2:5" ht="15" customHeight="1">
      <c r="B671" s="93"/>
      <c r="C671" s="36" t="s">
        <v>29</v>
      </c>
      <c r="D671" s="35">
        <v>57</v>
      </c>
      <c r="E671" s="34">
        <v>1.9213267266660001E-3</v>
      </c>
    </row>
    <row r="672" spans="2:5" ht="15" customHeight="1">
      <c r="B672" s="91" t="s">
        <v>57</v>
      </c>
      <c r="C672" s="68" t="s">
        <v>255</v>
      </c>
      <c r="D672" s="69">
        <v>11</v>
      </c>
      <c r="E672" s="70">
        <v>3.7078235075999999E-4</v>
      </c>
    </row>
    <row r="673" spans="2:5" ht="15" customHeight="1">
      <c r="B673" s="92"/>
      <c r="C673" s="68" t="s">
        <v>256</v>
      </c>
      <c r="D673" s="69">
        <v>9</v>
      </c>
      <c r="E673" s="70">
        <v>3.0336737789499998E-4</v>
      </c>
    </row>
    <row r="674" spans="2:5" ht="15" customHeight="1">
      <c r="B674" s="92"/>
      <c r="C674" s="68" t="s">
        <v>257</v>
      </c>
      <c r="D674" s="69">
        <v>14</v>
      </c>
      <c r="E674" s="70">
        <v>4.7190481005799999E-4</v>
      </c>
    </row>
    <row r="675" spans="2:5" ht="15" customHeight="1">
      <c r="B675" s="92"/>
      <c r="C675" s="68" t="s">
        <v>258</v>
      </c>
      <c r="D675" s="69">
        <v>19</v>
      </c>
      <c r="E675" s="70">
        <v>6.4044224222200002E-4</v>
      </c>
    </row>
    <row r="676" spans="2:5" ht="15" customHeight="1">
      <c r="B676" s="92"/>
      <c r="C676" s="68" t="s">
        <v>259</v>
      </c>
      <c r="D676" s="69">
        <v>18</v>
      </c>
      <c r="E676" s="70">
        <v>6.0673475578900001E-4</v>
      </c>
    </row>
    <row r="677" spans="2:5" ht="15" customHeight="1">
      <c r="B677" s="92"/>
      <c r="C677" s="68" t="s">
        <v>260</v>
      </c>
      <c r="D677" s="69">
        <v>8</v>
      </c>
      <c r="E677" s="70">
        <v>2.6965989146199998E-4</v>
      </c>
    </row>
    <row r="678" spans="2:5" ht="15" customHeight="1">
      <c r="B678" s="92"/>
      <c r="C678" s="68" t="s">
        <v>261</v>
      </c>
      <c r="D678" s="69">
        <v>113</v>
      </c>
      <c r="E678" s="70">
        <v>3.8089459668989999E-3</v>
      </c>
    </row>
    <row r="679" spans="2:5" ht="15" customHeight="1">
      <c r="B679" s="92"/>
      <c r="C679" s="68" t="s">
        <v>262</v>
      </c>
      <c r="D679" s="69">
        <v>80</v>
      </c>
      <c r="E679" s="70">
        <v>2.696598914619E-3</v>
      </c>
    </row>
    <row r="680" spans="2:5" ht="15" customHeight="1">
      <c r="B680" s="92"/>
      <c r="C680" s="68" t="s">
        <v>263</v>
      </c>
      <c r="D680" s="69">
        <v>7</v>
      </c>
      <c r="E680" s="70">
        <v>2.35952405029E-4</v>
      </c>
    </row>
    <row r="681" spans="2:5" ht="15" customHeight="1">
      <c r="B681" s="92"/>
      <c r="C681" s="68" t="s">
        <v>264</v>
      </c>
      <c r="D681" s="69">
        <v>18</v>
      </c>
      <c r="E681" s="70">
        <v>6.0673475578900001E-4</v>
      </c>
    </row>
    <row r="682" spans="2:5" ht="15" customHeight="1">
      <c r="B682" s="92"/>
      <c r="C682" s="68" t="s">
        <v>265</v>
      </c>
      <c r="D682" s="69">
        <v>51</v>
      </c>
      <c r="E682" s="70">
        <v>1.7190818080699999E-3</v>
      </c>
    </row>
    <row r="683" spans="2:5" ht="15" customHeight="1">
      <c r="B683" s="92"/>
      <c r="C683" s="68" t="s">
        <v>266</v>
      </c>
      <c r="D683" s="69">
        <v>258</v>
      </c>
      <c r="E683" s="70">
        <v>8.6965314996460003E-3</v>
      </c>
    </row>
    <row r="684" spans="2:5" ht="15" customHeight="1">
      <c r="B684" s="92"/>
      <c r="C684" s="68" t="s">
        <v>267</v>
      </c>
      <c r="D684" s="69">
        <v>18</v>
      </c>
      <c r="E684" s="70">
        <v>6.0673475578900001E-4</v>
      </c>
    </row>
    <row r="685" spans="2:5" ht="15" customHeight="1">
      <c r="B685" s="92"/>
      <c r="C685" s="68" t="s">
        <v>268</v>
      </c>
      <c r="D685" s="69">
        <v>24</v>
      </c>
      <c r="E685" s="70">
        <v>8.0897967438599999E-4</v>
      </c>
    </row>
    <row r="686" spans="2:5" ht="15" customHeight="1">
      <c r="B686" s="92"/>
      <c r="C686" s="68" t="s">
        <v>269</v>
      </c>
      <c r="D686" s="69">
        <v>135</v>
      </c>
      <c r="E686" s="70">
        <v>4.5505106684189996E-3</v>
      </c>
    </row>
    <row r="687" spans="2:5" ht="15" customHeight="1">
      <c r="B687" s="92"/>
      <c r="C687" s="68" t="s">
        <v>270</v>
      </c>
      <c r="D687" s="69">
        <v>2</v>
      </c>
      <c r="E687" s="70">
        <v>6.7414972865000001E-5</v>
      </c>
    </row>
    <row r="688" spans="2:5" ht="15" customHeight="1">
      <c r="B688" s="92"/>
      <c r="C688" s="68" t="s">
        <v>271</v>
      </c>
      <c r="D688" s="69">
        <v>2</v>
      </c>
      <c r="E688" s="70">
        <v>6.7414972865000001E-5</v>
      </c>
    </row>
    <row r="689" spans="2:5" ht="15" customHeight="1">
      <c r="B689" s="92"/>
      <c r="C689" s="68" t="s">
        <v>274</v>
      </c>
      <c r="D689" s="69">
        <v>1</v>
      </c>
      <c r="E689" s="70">
        <v>3.3707486433000001E-5</v>
      </c>
    </row>
    <row r="690" spans="2:5" ht="15" customHeight="1">
      <c r="B690" s="92"/>
      <c r="C690" s="68" t="s">
        <v>275</v>
      </c>
      <c r="D690" s="69">
        <v>30</v>
      </c>
      <c r="E690" s="70">
        <v>1.0112245929819999E-3</v>
      </c>
    </row>
    <row r="691" spans="2:5" ht="15" customHeight="1">
      <c r="B691" s="92"/>
      <c r="C691" s="68" t="s">
        <v>277</v>
      </c>
      <c r="D691" s="69">
        <v>2</v>
      </c>
      <c r="E691" s="70">
        <v>6.7414972865000001E-5</v>
      </c>
    </row>
    <row r="692" spans="2:5" ht="15" customHeight="1">
      <c r="B692" s="92"/>
      <c r="C692" s="68" t="s">
        <v>278</v>
      </c>
      <c r="D692" s="69">
        <v>1</v>
      </c>
      <c r="E692" s="70">
        <v>3.3707486433000001E-5</v>
      </c>
    </row>
    <row r="693" spans="2:5" ht="15" customHeight="1">
      <c r="B693" s="93"/>
      <c r="C693" s="36" t="s">
        <v>29</v>
      </c>
      <c r="D693" s="35">
        <v>821</v>
      </c>
      <c r="E693" s="34">
        <v>2.7673846361277E-2</v>
      </c>
    </row>
    <row r="694" spans="2:5" ht="15" customHeight="1">
      <c r="B694" s="91" t="s">
        <v>79</v>
      </c>
      <c r="C694" s="68" t="s">
        <v>255</v>
      </c>
      <c r="D694" s="69">
        <v>3</v>
      </c>
      <c r="E694" s="70">
        <v>1.0112245929799999E-4</v>
      </c>
    </row>
    <row r="695" spans="2:5" ht="15" customHeight="1">
      <c r="B695" s="92"/>
      <c r="C695" s="68" t="s">
        <v>256</v>
      </c>
      <c r="D695" s="69">
        <v>1</v>
      </c>
      <c r="E695" s="70">
        <v>3.3707486433000001E-5</v>
      </c>
    </row>
    <row r="696" spans="2:5" ht="15" customHeight="1">
      <c r="B696" s="92"/>
      <c r="C696" s="68" t="s">
        <v>257</v>
      </c>
      <c r="D696" s="69">
        <v>2</v>
      </c>
      <c r="E696" s="70">
        <v>6.7414972865000001E-5</v>
      </c>
    </row>
    <row r="697" spans="2:5" ht="15" customHeight="1">
      <c r="B697" s="92"/>
      <c r="C697" s="68" t="s">
        <v>258</v>
      </c>
      <c r="D697" s="69">
        <v>2</v>
      </c>
      <c r="E697" s="70">
        <v>6.7414972865000001E-5</v>
      </c>
    </row>
    <row r="698" spans="2:5" ht="15" customHeight="1">
      <c r="B698" s="92"/>
      <c r="C698" s="68" t="s">
        <v>259</v>
      </c>
      <c r="D698" s="69">
        <v>1</v>
      </c>
      <c r="E698" s="70">
        <v>3.3707486433000001E-5</v>
      </c>
    </row>
    <row r="699" spans="2:5" ht="15" customHeight="1">
      <c r="B699" s="92"/>
      <c r="C699" s="68" t="s">
        <v>260</v>
      </c>
      <c r="D699" s="69">
        <v>2</v>
      </c>
      <c r="E699" s="70">
        <v>6.7414972865000001E-5</v>
      </c>
    </row>
    <row r="700" spans="2:5" ht="15" customHeight="1">
      <c r="B700" s="92"/>
      <c r="C700" s="68" t="s">
        <v>261</v>
      </c>
      <c r="D700" s="69">
        <v>13</v>
      </c>
      <c r="E700" s="70">
        <v>4.38197323626E-4</v>
      </c>
    </row>
    <row r="701" spans="2:5" ht="15" customHeight="1">
      <c r="B701" s="92"/>
      <c r="C701" s="68" t="s">
        <v>262</v>
      </c>
      <c r="D701" s="69">
        <v>10</v>
      </c>
      <c r="E701" s="70">
        <v>3.3707486432699998E-4</v>
      </c>
    </row>
    <row r="702" spans="2:5" ht="15" customHeight="1">
      <c r="B702" s="92"/>
      <c r="C702" s="68" t="s">
        <v>263</v>
      </c>
      <c r="D702" s="69">
        <v>2</v>
      </c>
      <c r="E702" s="70">
        <v>6.7414972865000001E-5</v>
      </c>
    </row>
    <row r="703" spans="2:5" ht="15" customHeight="1">
      <c r="B703" s="92"/>
      <c r="C703" s="68" t="s">
        <v>264</v>
      </c>
      <c r="D703" s="69">
        <v>2</v>
      </c>
      <c r="E703" s="70">
        <v>6.7414972865000001E-5</v>
      </c>
    </row>
    <row r="704" spans="2:5" ht="15" customHeight="1">
      <c r="B704" s="92"/>
      <c r="C704" s="68" t="s">
        <v>265</v>
      </c>
      <c r="D704" s="69">
        <v>8</v>
      </c>
      <c r="E704" s="70">
        <v>2.6965989146199998E-4</v>
      </c>
    </row>
    <row r="705" spans="2:5" ht="15" customHeight="1">
      <c r="B705" s="92"/>
      <c r="C705" s="68" t="s">
        <v>266</v>
      </c>
      <c r="D705" s="69">
        <v>26</v>
      </c>
      <c r="E705" s="70">
        <v>8.7639464725100004E-4</v>
      </c>
    </row>
    <row r="706" spans="2:5" ht="15" customHeight="1">
      <c r="B706" s="92"/>
      <c r="C706" s="68" t="s">
        <v>268</v>
      </c>
      <c r="D706" s="69">
        <v>3</v>
      </c>
      <c r="E706" s="70">
        <v>1.0112245929799999E-4</v>
      </c>
    </row>
    <row r="707" spans="2:5" ht="15" customHeight="1">
      <c r="B707" s="92"/>
      <c r="C707" s="68" t="s">
        <v>269</v>
      </c>
      <c r="D707" s="69">
        <v>19</v>
      </c>
      <c r="E707" s="70">
        <v>6.4044224222200002E-4</v>
      </c>
    </row>
    <row r="708" spans="2:5" ht="15" customHeight="1">
      <c r="B708" s="92"/>
      <c r="C708" s="68" t="s">
        <v>272</v>
      </c>
      <c r="D708" s="69">
        <v>1</v>
      </c>
      <c r="E708" s="70">
        <v>3.3707486433000001E-5</v>
      </c>
    </row>
    <row r="709" spans="2:5" ht="15" customHeight="1">
      <c r="B709" s="92"/>
      <c r="C709" s="68" t="s">
        <v>274</v>
      </c>
      <c r="D709" s="69">
        <v>1</v>
      </c>
      <c r="E709" s="70">
        <v>3.3707486433000001E-5</v>
      </c>
    </row>
    <row r="710" spans="2:5" ht="15" customHeight="1">
      <c r="B710" s="92"/>
      <c r="C710" s="68" t="s">
        <v>275</v>
      </c>
      <c r="D710" s="69">
        <v>1</v>
      </c>
      <c r="E710" s="70">
        <v>3.3707486433000001E-5</v>
      </c>
    </row>
    <row r="711" spans="2:5" ht="15" customHeight="1">
      <c r="B711" s="93"/>
      <c r="C711" s="36" t="s">
        <v>29</v>
      </c>
      <c r="D711" s="35">
        <v>97</v>
      </c>
      <c r="E711" s="34">
        <v>3.269626183975E-3</v>
      </c>
    </row>
    <row r="712" spans="2:5" ht="15" customHeight="1">
      <c r="B712" s="91" t="s">
        <v>72</v>
      </c>
      <c r="C712" s="68" t="s">
        <v>255</v>
      </c>
      <c r="D712" s="69">
        <v>2</v>
      </c>
      <c r="E712" s="70">
        <v>6.7414972865000001E-5</v>
      </c>
    </row>
    <row r="713" spans="2:5" ht="15" customHeight="1">
      <c r="B713" s="92"/>
      <c r="C713" s="68" t="s">
        <v>257</v>
      </c>
      <c r="D713" s="69">
        <v>1</v>
      </c>
      <c r="E713" s="70">
        <v>3.3707486433000001E-5</v>
      </c>
    </row>
    <row r="714" spans="2:5" ht="15" customHeight="1">
      <c r="B714" s="92"/>
      <c r="C714" s="68" t="s">
        <v>258</v>
      </c>
      <c r="D714" s="69">
        <v>7</v>
      </c>
      <c r="E714" s="70">
        <v>2.35952405029E-4</v>
      </c>
    </row>
    <row r="715" spans="2:5" ht="15" customHeight="1">
      <c r="B715" s="92"/>
      <c r="C715" s="68" t="s">
        <v>260</v>
      </c>
      <c r="D715" s="69">
        <v>2</v>
      </c>
      <c r="E715" s="70">
        <v>6.7414972865000001E-5</v>
      </c>
    </row>
    <row r="716" spans="2:5" ht="15" customHeight="1">
      <c r="B716" s="92"/>
      <c r="C716" s="68" t="s">
        <v>261</v>
      </c>
      <c r="D716" s="69">
        <v>10</v>
      </c>
      <c r="E716" s="70">
        <v>3.3707486432699998E-4</v>
      </c>
    </row>
    <row r="717" spans="2:5" ht="15" customHeight="1">
      <c r="B717" s="92"/>
      <c r="C717" s="68" t="s">
        <v>262</v>
      </c>
      <c r="D717" s="69">
        <v>25</v>
      </c>
      <c r="E717" s="70">
        <v>8.4268716081800003E-4</v>
      </c>
    </row>
    <row r="718" spans="2:5" ht="15" customHeight="1">
      <c r="B718" s="92"/>
      <c r="C718" s="68" t="s">
        <v>264</v>
      </c>
      <c r="D718" s="69">
        <v>1</v>
      </c>
      <c r="E718" s="70">
        <v>3.3707486433000001E-5</v>
      </c>
    </row>
    <row r="719" spans="2:5" ht="15" customHeight="1">
      <c r="B719" s="92"/>
      <c r="C719" s="68" t="s">
        <v>265</v>
      </c>
      <c r="D719" s="69">
        <v>4</v>
      </c>
      <c r="E719" s="70">
        <v>1.3482994573099999E-4</v>
      </c>
    </row>
    <row r="720" spans="2:5" ht="15" customHeight="1">
      <c r="B720" s="92"/>
      <c r="C720" s="68" t="s">
        <v>266</v>
      </c>
      <c r="D720" s="69">
        <v>48</v>
      </c>
      <c r="E720" s="70">
        <v>1.6179593487709999E-3</v>
      </c>
    </row>
    <row r="721" spans="2:5" ht="15" customHeight="1">
      <c r="B721" s="92"/>
      <c r="C721" s="68" t="s">
        <v>267</v>
      </c>
      <c r="D721" s="69">
        <v>1</v>
      </c>
      <c r="E721" s="70">
        <v>3.3707486433000001E-5</v>
      </c>
    </row>
    <row r="722" spans="2:5" ht="15" customHeight="1">
      <c r="B722" s="92"/>
      <c r="C722" s="68" t="s">
        <v>268</v>
      </c>
      <c r="D722" s="69">
        <v>10</v>
      </c>
      <c r="E722" s="70">
        <v>3.3707486432699998E-4</v>
      </c>
    </row>
    <row r="723" spans="2:5" ht="15" customHeight="1">
      <c r="B723" s="92"/>
      <c r="C723" s="68" t="s">
        <v>269</v>
      </c>
      <c r="D723" s="69">
        <v>22</v>
      </c>
      <c r="E723" s="70">
        <v>7.4156470151999997E-4</v>
      </c>
    </row>
    <row r="724" spans="2:5" ht="15" customHeight="1">
      <c r="B724" s="92"/>
      <c r="C724" s="68" t="s">
        <v>270</v>
      </c>
      <c r="D724" s="69">
        <v>1</v>
      </c>
      <c r="E724" s="70">
        <v>3.3707486433000001E-5</v>
      </c>
    </row>
    <row r="725" spans="2:5" ht="15" customHeight="1">
      <c r="B725" s="92"/>
      <c r="C725" s="68" t="s">
        <v>275</v>
      </c>
      <c r="D725" s="69">
        <v>6</v>
      </c>
      <c r="E725" s="70">
        <v>2.0224491859599999E-4</v>
      </c>
    </row>
    <row r="726" spans="2:5" ht="15" customHeight="1">
      <c r="B726" s="93"/>
      <c r="C726" s="36" t="s">
        <v>29</v>
      </c>
      <c r="D726" s="35">
        <v>140</v>
      </c>
      <c r="E726" s="34">
        <v>4.7190481005830003E-3</v>
      </c>
    </row>
    <row r="727" spans="2:5" ht="15" customHeight="1">
      <c r="B727" s="91" t="s">
        <v>90</v>
      </c>
      <c r="C727" s="68" t="s">
        <v>255</v>
      </c>
      <c r="D727" s="69">
        <v>2</v>
      </c>
      <c r="E727" s="70">
        <v>6.7414972865000001E-5</v>
      </c>
    </row>
    <row r="728" spans="2:5" ht="15" customHeight="1">
      <c r="B728" s="92"/>
      <c r="C728" s="68" t="s">
        <v>257</v>
      </c>
      <c r="D728" s="69">
        <v>1</v>
      </c>
      <c r="E728" s="70">
        <v>3.3707486433000001E-5</v>
      </c>
    </row>
    <row r="729" spans="2:5" ht="15" customHeight="1">
      <c r="B729" s="92"/>
      <c r="C729" s="68" t="s">
        <v>258</v>
      </c>
      <c r="D729" s="69">
        <v>2</v>
      </c>
      <c r="E729" s="70">
        <v>6.7414972865000001E-5</v>
      </c>
    </row>
    <row r="730" spans="2:5" ht="15" customHeight="1">
      <c r="B730" s="92"/>
      <c r="C730" s="68" t="s">
        <v>261</v>
      </c>
      <c r="D730" s="69">
        <v>3</v>
      </c>
      <c r="E730" s="70">
        <v>1.0112245929799999E-4</v>
      </c>
    </row>
    <row r="731" spans="2:5" ht="15" customHeight="1">
      <c r="B731" s="92"/>
      <c r="C731" s="68" t="s">
        <v>262</v>
      </c>
      <c r="D731" s="69">
        <v>1</v>
      </c>
      <c r="E731" s="70">
        <v>3.3707486433000001E-5</v>
      </c>
    </row>
    <row r="732" spans="2:5" ht="15" customHeight="1">
      <c r="B732" s="92"/>
      <c r="C732" s="68" t="s">
        <v>265</v>
      </c>
      <c r="D732" s="69">
        <v>4</v>
      </c>
      <c r="E732" s="70">
        <v>1.3482994573099999E-4</v>
      </c>
    </row>
    <row r="733" spans="2:5" ht="15" customHeight="1">
      <c r="B733" s="92"/>
      <c r="C733" s="68" t="s">
        <v>266</v>
      </c>
      <c r="D733" s="69">
        <v>10</v>
      </c>
      <c r="E733" s="70">
        <v>3.3707486432699998E-4</v>
      </c>
    </row>
    <row r="734" spans="2:5" ht="15" customHeight="1">
      <c r="B734" s="92"/>
      <c r="C734" s="68" t="s">
        <v>268</v>
      </c>
      <c r="D734" s="69">
        <v>1</v>
      </c>
      <c r="E734" s="70">
        <v>3.3707486433000001E-5</v>
      </c>
    </row>
    <row r="735" spans="2:5" ht="15" customHeight="1">
      <c r="B735" s="92"/>
      <c r="C735" s="68" t="s">
        <v>269</v>
      </c>
      <c r="D735" s="69">
        <v>3</v>
      </c>
      <c r="E735" s="70">
        <v>1.0112245929799999E-4</v>
      </c>
    </row>
    <row r="736" spans="2:5" ht="15" customHeight="1">
      <c r="B736" s="92"/>
      <c r="C736" s="68" t="s">
        <v>271</v>
      </c>
      <c r="D736" s="69">
        <v>1</v>
      </c>
      <c r="E736" s="70">
        <v>3.3707486433000001E-5</v>
      </c>
    </row>
    <row r="737" spans="2:5" ht="15" customHeight="1">
      <c r="B737" s="93"/>
      <c r="C737" s="36" t="s">
        <v>29</v>
      </c>
      <c r="D737" s="35">
        <v>28</v>
      </c>
      <c r="E737" s="34">
        <v>9.4380962011699995E-4</v>
      </c>
    </row>
    <row r="738" spans="2:5" ht="15" customHeight="1">
      <c r="B738" s="91" t="s">
        <v>84</v>
      </c>
      <c r="C738" s="68" t="s">
        <v>258</v>
      </c>
      <c r="D738" s="69">
        <v>2</v>
      </c>
      <c r="E738" s="70">
        <v>6.7414972865000001E-5</v>
      </c>
    </row>
    <row r="739" spans="2:5" ht="15" customHeight="1">
      <c r="B739" s="92"/>
      <c r="C739" s="68" t="s">
        <v>259</v>
      </c>
      <c r="D739" s="69">
        <v>1</v>
      </c>
      <c r="E739" s="70">
        <v>3.3707486433000001E-5</v>
      </c>
    </row>
    <row r="740" spans="2:5" ht="15" customHeight="1">
      <c r="B740" s="92"/>
      <c r="C740" s="68" t="s">
        <v>260</v>
      </c>
      <c r="D740" s="69">
        <v>1</v>
      </c>
      <c r="E740" s="70">
        <v>3.3707486433000001E-5</v>
      </c>
    </row>
    <row r="741" spans="2:5" ht="15" customHeight="1">
      <c r="B741" s="92"/>
      <c r="C741" s="68" t="s">
        <v>261</v>
      </c>
      <c r="D741" s="69">
        <v>6</v>
      </c>
      <c r="E741" s="70">
        <v>2.0224491859599999E-4</v>
      </c>
    </row>
    <row r="742" spans="2:5" ht="15" customHeight="1">
      <c r="B742" s="92"/>
      <c r="C742" s="68" t="s">
        <v>262</v>
      </c>
      <c r="D742" s="69">
        <v>10</v>
      </c>
      <c r="E742" s="70">
        <v>3.3707486432699998E-4</v>
      </c>
    </row>
    <row r="743" spans="2:5" ht="15" customHeight="1">
      <c r="B743" s="92"/>
      <c r="C743" s="68" t="s">
        <v>263</v>
      </c>
      <c r="D743" s="69">
        <v>3</v>
      </c>
      <c r="E743" s="70">
        <v>1.0112245929799999E-4</v>
      </c>
    </row>
    <row r="744" spans="2:5" ht="15" customHeight="1">
      <c r="B744" s="92"/>
      <c r="C744" s="68" t="s">
        <v>265</v>
      </c>
      <c r="D744" s="69">
        <v>2</v>
      </c>
      <c r="E744" s="70">
        <v>6.7414972865000001E-5</v>
      </c>
    </row>
    <row r="745" spans="2:5" ht="15" customHeight="1">
      <c r="B745" s="92"/>
      <c r="C745" s="68" t="s">
        <v>266</v>
      </c>
      <c r="D745" s="69">
        <v>17</v>
      </c>
      <c r="E745" s="70">
        <v>5.7302726935699996E-4</v>
      </c>
    </row>
    <row r="746" spans="2:5" ht="15" customHeight="1">
      <c r="B746" s="92"/>
      <c r="C746" s="68" t="s">
        <v>267</v>
      </c>
      <c r="D746" s="69">
        <v>1</v>
      </c>
      <c r="E746" s="70">
        <v>3.3707486433000001E-5</v>
      </c>
    </row>
    <row r="747" spans="2:5" ht="15" customHeight="1">
      <c r="B747" s="92"/>
      <c r="C747" s="68" t="s">
        <v>268</v>
      </c>
      <c r="D747" s="69">
        <v>3</v>
      </c>
      <c r="E747" s="70">
        <v>1.0112245929799999E-4</v>
      </c>
    </row>
    <row r="748" spans="2:5" ht="15" customHeight="1">
      <c r="B748" s="92"/>
      <c r="C748" s="68" t="s">
        <v>269</v>
      </c>
      <c r="D748" s="69">
        <v>4</v>
      </c>
      <c r="E748" s="70">
        <v>1.3482994573099999E-4</v>
      </c>
    </row>
    <row r="749" spans="2:5" ht="15" customHeight="1">
      <c r="B749" s="92"/>
      <c r="C749" s="68" t="s">
        <v>270</v>
      </c>
      <c r="D749" s="69">
        <v>2</v>
      </c>
      <c r="E749" s="70">
        <v>6.7414972865000001E-5</v>
      </c>
    </row>
    <row r="750" spans="2:5" ht="15" customHeight="1">
      <c r="B750" s="92"/>
      <c r="C750" s="68" t="s">
        <v>274</v>
      </c>
      <c r="D750" s="69">
        <v>1</v>
      </c>
      <c r="E750" s="70">
        <v>3.3707486433000001E-5</v>
      </c>
    </row>
    <row r="751" spans="2:5" ht="15" customHeight="1">
      <c r="B751" s="92"/>
      <c r="C751" s="68" t="s">
        <v>275</v>
      </c>
      <c r="D751" s="69">
        <v>6</v>
      </c>
      <c r="E751" s="70">
        <v>2.0224491859599999E-4</v>
      </c>
    </row>
    <row r="752" spans="2:5" ht="15" customHeight="1">
      <c r="B752" s="93"/>
      <c r="C752" s="36" t="s">
        <v>29</v>
      </c>
      <c r="D752" s="35">
        <v>59</v>
      </c>
      <c r="E752" s="34">
        <v>1.988741699531E-3</v>
      </c>
    </row>
    <row r="753" spans="2:5" ht="15" customHeight="1">
      <c r="B753" s="91" t="s">
        <v>74</v>
      </c>
      <c r="C753" s="68" t="s">
        <v>255</v>
      </c>
      <c r="D753" s="69">
        <v>3</v>
      </c>
      <c r="E753" s="70">
        <v>1.0112245929799999E-4</v>
      </c>
    </row>
    <row r="754" spans="2:5" ht="15" customHeight="1">
      <c r="B754" s="92"/>
      <c r="C754" s="68" t="s">
        <v>256</v>
      </c>
      <c r="D754" s="69">
        <v>1</v>
      </c>
      <c r="E754" s="70">
        <v>3.3707486433000001E-5</v>
      </c>
    </row>
    <row r="755" spans="2:5" ht="15" customHeight="1">
      <c r="B755" s="92"/>
      <c r="C755" s="68" t="s">
        <v>257</v>
      </c>
      <c r="D755" s="69">
        <v>2</v>
      </c>
      <c r="E755" s="70">
        <v>6.7414972865000001E-5</v>
      </c>
    </row>
    <row r="756" spans="2:5" ht="15" customHeight="1">
      <c r="B756" s="92"/>
      <c r="C756" s="68" t="s">
        <v>258</v>
      </c>
      <c r="D756" s="69">
        <v>3</v>
      </c>
      <c r="E756" s="70">
        <v>1.0112245929799999E-4</v>
      </c>
    </row>
    <row r="757" spans="2:5" ht="15" customHeight="1">
      <c r="B757" s="92"/>
      <c r="C757" s="68" t="s">
        <v>260</v>
      </c>
      <c r="D757" s="69">
        <v>3</v>
      </c>
      <c r="E757" s="70">
        <v>1.0112245929799999E-4</v>
      </c>
    </row>
    <row r="758" spans="2:5" ht="15" customHeight="1">
      <c r="B758" s="92"/>
      <c r="C758" s="68" t="s">
        <v>261</v>
      </c>
      <c r="D758" s="69">
        <v>14</v>
      </c>
      <c r="E758" s="70">
        <v>4.7190481005799999E-4</v>
      </c>
    </row>
    <row r="759" spans="2:5" ht="15" customHeight="1">
      <c r="B759" s="92"/>
      <c r="C759" s="68" t="s">
        <v>262</v>
      </c>
      <c r="D759" s="69">
        <v>23</v>
      </c>
      <c r="E759" s="70">
        <v>7.7527218795299998E-4</v>
      </c>
    </row>
    <row r="760" spans="2:5" ht="15" customHeight="1">
      <c r="B760" s="92"/>
      <c r="C760" s="68" t="s">
        <v>264</v>
      </c>
      <c r="D760" s="69">
        <v>5</v>
      </c>
      <c r="E760" s="70">
        <v>1.68537432164E-4</v>
      </c>
    </row>
    <row r="761" spans="2:5" ht="15" customHeight="1">
      <c r="B761" s="92"/>
      <c r="C761" s="68" t="s">
        <v>265</v>
      </c>
      <c r="D761" s="69">
        <v>1</v>
      </c>
      <c r="E761" s="70">
        <v>3.3707486433000001E-5</v>
      </c>
    </row>
    <row r="762" spans="2:5" ht="15" customHeight="1">
      <c r="B762" s="92"/>
      <c r="C762" s="68" t="s">
        <v>266</v>
      </c>
      <c r="D762" s="69">
        <v>34</v>
      </c>
      <c r="E762" s="70">
        <v>1.1460545387130001E-3</v>
      </c>
    </row>
    <row r="763" spans="2:5" ht="15" customHeight="1">
      <c r="B763" s="92"/>
      <c r="C763" s="68" t="s">
        <v>267</v>
      </c>
      <c r="D763" s="69">
        <v>2</v>
      </c>
      <c r="E763" s="70">
        <v>6.7414972865000001E-5</v>
      </c>
    </row>
    <row r="764" spans="2:5" ht="15" customHeight="1">
      <c r="B764" s="92"/>
      <c r="C764" s="68" t="s">
        <v>268</v>
      </c>
      <c r="D764" s="69">
        <v>7</v>
      </c>
      <c r="E764" s="70">
        <v>2.35952405029E-4</v>
      </c>
    </row>
    <row r="765" spans="2:5" ht="15" customHeight="1">
      <c r="B765" s="92"/>
      <c r="C765" s="68" t="s">
        <v>269</v>
      </c>
      <c r="D765" s="69">
        <v>24</v>
      </c>
      <c r="E765" s="70">
        <v>8.0897967438599999E-4</v>
      </c>
    </row>
    <row r="766" spans="2:5" ht="15" customHeight="1">
      <c r="B766" s="92"/>
      <c r="C766" s="68" t="s">
        <v>270</v>
      </c>
      <c r="D766" s="69">
        <v>1</v>
      </c>
      <c r="E766" s="70">
        <v>3.3707486433000001E-5</v>
      </c>
    </row>
    <row r="767" spans="2:5" ht="15" customHeight="1">
      <c r="B767" s="92"/>
      <c r="C767" s="68" t="s">
        <v>271</v>
      </c>
      <c r="D767" s="69">
        <v>4</v>
      </c>
      <c r="E767" s="70">
        <v>1.3482994573099999E-4</v>
      </c>
    </row>
    <row r="768" spans="2:5" ht="15" customHeight="1">
      <c r="B768" s="92"/>
      <c r="C768" s="68" t="s">
        <v>273</v>
      </c>
      <c r="D768" s="69">
        <v>1</v>
      </c>
      <c r="E768" s="70">
        <v>3.3707486433000001E-5</v>
      </c>
    </row>
    <row r="769" spans="2:5" ht="15" customHeight="1">
      <c r="B769" s="92"/>
      <c r="C769" s="68" t="s">
        <v>274</v>
      </c>
      <c r="D769" s="69">
        <v>3</v>
      </c>
      <c r="E769" s="70">
        <v>1.0112245929799999E-4</v>
      </c>
    </row>
    <row r="770" spans="2:5" ht="15" customHeight="1">
      <c r="B770" s="92"/>
      <c r="C770" s="68" t="s">
        <v>275</v>
      </c>
      <c r="D770" s="69">
        <v>5</v>
      </c>
      <c r="E770" s="70">
        <v>1.68537432164E-4</v>
      </c>
    </row>
    <row r="771" spans="2:5" ht="15" customHeight="1">
      <c r="B771" s="93"/>
      <c r="C771" s="36" t="s">
        <v>29</v>
      </c>
      <c r="D771" s="35">
        <v>136</v>
      </c>
      <c r="E771" s="34">
        <v>4.5842181548520003E-3</v>
      </c>
    </row>
    <row r="772" spans="2:5" ht="15" customHeight="1">
      <c r="B772" s="91" t="s">
        <v>89</v>
      </c>
      <c r="C772" s="68" t="s">
        <v>262</v>
      </c>
      <c r="D772" s="69">
        <v>6</v>
      </c>
      <c r="E772" s="70">
        <v>2.0224491859599999E-4</v>
      </c>
    </row>
    <row r="773" spans="2:5" ht="15" customHeight="1">
      <c r="B773" s="92"/>
      <c r="C773" s="68" t="s">
        <v>263</v>
      </c>
      <c r="D773" s="69">
        <v>1</v>
      </c>
      <c r="E773" s="70">
        <v>3.3707486433000001E-5</v>
      </c>
    </row>
    <row r="774" spans="2:5" ht="15" customHeight="1">
      <c r="B774" s="92"/>
      <c r="C774" s="68" t="s">
        <v>264</v>
      </c>
      <c r="D774" s="69">
        <v>2</v>
      </c>
      <c r="E774" s="70">
        <v>6.7414972865000001E-5</v>
      </c>
    </row>
    <row r="775" spans="2:5" ht="15" customHeight="1">
      <c r="B775" s="92"/>
      <c r="C775" s="68" t="s">
        <v>266</v>
      </c>
      <c r="D775" s="69">
        <v>13</v>
      </c>
      <c r="E775" s="70">
        <v>4.38197323626E-4</v>
      </c>
    </row>
    <row r="776" spans="2:5" ht="15" customHeight="1">
      <c r="B776" s="92"/>
      <c r="C776" s="68" t="s">
        <v>267</v>
      </c>
      <c r="D776" s="69">
        <v>1</v>
      </c>
      <c r="E776" s="70">
        <v>3.3707486433000001E-5</v>
      </c>
    </row>
    <row r="777" spans="2:5" ht="15" customHeight="1">
      <c r="B777" s="92"/>
      <c r="C777" s="68" t="s">
        <v>269</v>
      </c>
      <c r="D777" s="69">
        <v>6</v>
      </c>
      <c r="E777" s="70">
        <v>2.0224491859599999E-4</v>
      </c>
    </row>
    <row r="778" spans="2:5" ht="15" customHeight="1">
      <c r="B778" s="92"/>
      <c r="C778" s="68" t="s">
        <v>274</v>
      </c>
      <c r="D778" s="69">
        <v>1</v>
      </c>
      <c r="E778" s="70">
        <v>3.3707486433000001E-5</v>
      </c>
    </row>
    <row r="779" spans="2:5" ht="15" customHeight="1">
      <c r="B779" s="93"/>
      <c r="C779" s="36" t="s">
        <v>29</v>
      </c>
      <c r="D779" s="35">
        <v>30</v>
      </c>
      <c r="E779" s="34">
        <v>1.0112245929819999E-3</v>
      </c>
    </row>
    <row r="780" spans="2:5" ht="15" customHeight="1">
      <c r="B780" s="91" t="s">
        <v>94</v>
      </c>
      <c r="C780" s="68" t="s">
        <v>257</v>
      </c>
      <c r="D780" s="69">
        <v>1</v>
      </c>
      <c r="E780" s="70">
        <v>3.3707486433000001E-5</v>
      </c>
    </row>
    <row r="781" spans="2:5" ht="15" customHeight="1">
      <c r="B781" s="92"/>
      <c r="C781" s="68" t="s">
        <v>261</v>
      </c>
      <c r="D781" s="69">
        <v>3</v>
      </c>
      <c r="E781" s="70">
        <v>1.0112245929799999E-4</v>
      </c>
    </row>
    <row r="782" spans="2:5" ht="15" customHeight="1">
      <c r="B782" s="92"/>
      <c r="C782" s="68" t="s">
        <v>262</v>
      </c>
      <c r="D782" s="69">
        <v>3</v>
      </c>
      <c r="E782" s="70">
        <v>1.0112245929799999E-4</v>
      </c>
    </row>
    <row r="783" spans="2:5" ht="15" customHeight="1">
      <c r="B783" s="92"/>
      <c r="C783" s="68" t="s">
        <v>263</v>
      </c>
      <c r="D783" s="69">
        <v>1</v>
      </c>
      <c r="E783" s="70">
        <v>3.3707486433000001E-5</v>
      </c>
    </row>
    <row r="784" spans="2:5" ht="15" customHeight="1">
      <c r="B784" s="92"/>
      <c r="C784" s="68" t="s">
        <v>265</v>
      </c>
      <c r="D784" s="69">
        <v>1</v>
      </c>
      <c r="E784" s="70">
        <v>3.3707486433000001E-5</v>
      </c>
    </row>
    <row r="785" spans="2:5" ht="15" customHeight="1">
      <c r="B785" s="92"/>
      <c r="C785" s="68" t="s">
        <v>266</v>
      </c>
      <c r="D785" s="69">
        <v>4</v>
      </c>
      <c r="E785" s="70">
        <v>1.3482994573099999E-4</v>
      </c>
    </row>
    <row r="786" spans="2:5" ht="15" customHeight="1">
      <c r="B786" s="92"/>
      <c r="C786" s="68" t="s">
        <v>268</v>
      </c>
      <c r="D786" s="69">
        <v>1</v>
      </c>
      <c r="E786" s="70">
        <v>3.3707486433000001E-5</v>
      </c>
    </row>
    <row r="787" spans="2:5" ht="15" customHeight="1">
      <c r="B787" s="92"/>
      <c r="C787" s="68" t="s">
        <v>269</v>
      </c>
      <c r="D787" s="69">
        <v>1</v>
      </c>
      <c r="E787" s="70">
        <v>3.3707486433000001E-5</v>
      </c>
    </row>
    <row r="788" spans="2:5" ht="15" customHeight="1">
      <c r="B788" s="93"/>
      <c r="C788" s="36" t="s">
        <v>29</v>
      </c>
      <c r="D788" s="35">
        <v>15</v>
      </c>
      <c r="E788" s="34">
        <v>5.0561229649099995E-4</v>
      </c>
    </row>
    <row r="789" spans="2:5" ht="15" customHeight="1">
      <c r="B789" s="91" t="s">
        <v>70</v>
      </c>
      <c r="C789" s="68" t="s">
        <v>255</v>
      </c>
      <c r="D789" s="69">
        <v>1</v>
      </c>
      <c r="E789" s="70">
        <v>3.3707486433000001E-5</v>
      </c>
    </row>
    <row r="790" spans="2:5" ht="15" customHeight="1">
      <c r="B790" s="92"/>
      <c r="C790" s="68" t="s">
        <v>258</v>
      </c>
      <c r="D790" s="69">
        <v>3</v>
      </c>
      <c r="E790" s="70">
        <v>1.0112245929799999E-4</v>
      </c>
    </row>
    <row r="791" spans="2:5" ht="15" customHeight="1">
      <c r="B791" s="92"/>
      <c r="C791" s="68" t="s">
        <v>259</v>
      </c>
      <c r="D791" s="69">
        <v>4</v>
      </c>
      <c r="E791" s="70">
        <v>1.3482994573099999E-4</v>
      </c>
    </row>
    <row r="792" spans="2:5" ht="15" customHeight="1">
      <c r="B792" s="92"/>
      <c r="C792" s="68" t="s">
        <v>260</v>
      </c>
      <c r="D792" s="69">
        <v>2</v>
      </c>
      <c r="E792" s="70">
        <v>6.7414972865000001E-5</v>
      </c>
    </row>
    <row r="793" spans="2:5" ht="15" customHeight="1">
      <c r="B793" s="92"/>
      <c r="C793" s="68" t="s">
        <v>261</v>
      </c>
      <c r="D793" s="69">
        <v>10</v>
      </c>
      <c r="E793" s="70">
        <v>3.3707486432699998E-4</v>
      </c>
    </row>
    <row r="794" spans="2:5" ht="15" customHeight="1">
      <c r="B794" s="92"/>
      <c r="C794" s="68" t="s">
        <v>262</v>
      </c>
      <c r="D794" s="69">
        <v>23</v>
      </c>
      <c r="E794" s="70">
        <v>7.7527218795299998E-4</v>
      </c>
    </row>
    <row r="795" spans="2:5" ht="15" customHeight="1">
      <c r="B795" s="92"/>
      <c r="C795" s="68" t="s">
        <v>263</v>
      </c>
      <c r="D795" s="69">
        <v>2</v>
      </c>
      <c r="E795" s="70">
        <v>6.7414972865000001E-5</v>
      </c>
    </row>
    <row r="796" spans="2:5" ht="15" customHeight="1">
      <c r="B796" s="92"/>
      <c r="C796" s="68" t="s">
        <v>264</v>
      </c>
      <c r="D796" s="69">
        <v>5</v>
      </c>
      <c r="E796" s="70">
        <v>1.68537432164E-4</v>
      </c>
    </row>
    <row r="797" spans="2:5" ht="15" customHeight="1">
      <c r="B797" s="92"/>
      <c r="C797" s="68" t="s">
        <v>265</v>
      </c>
      <c r="D797" s="69">
        <v>9</v>
      </c>
      <c r="E797" s="70">
        <v>3.0336737789499998E-4</v>
      </c>
    </row>
    <row r="798" spans="2:5" ht="15" customHeight="1">
      <c r="B798" s="92"/>
      <c r="C798" s="68" t="s">
        <v>266</v>
      </c>
      <c r="D798" s="69">
        <v>61</v>
      </c>
      <c r="E798" s="70">
        <v>2.056156672397E-3</v>
      </c>
    </row>
    <row r="799" spans="2:5" ht="15" customHeight="1">
      <c r="B799" s="92"/>
      <c r="C799" s="68" t="s">
        <v>267</v>
      </c>
      <c r="D799" s="69">
        <v>1</v>
      </c>
      <c r="E799" s="70">
        <v>3.3707486433000001E-5</v>
      </c>
    </row>
    <row r="800" spans="2:5" ht="15" customHeight="1">
      <c r="B800" s="92"/>
      <c r="C800" s="68" t="s">
        <v>268</v>
      </c>
      <c r="D800" s="69">
        <v>5</v>
      </c>
      <c r="E800" s="70">
        <v>1.68537432164E-4</v>
      </c>
    </row>
    <row r="801" spans="2:5" ht="15" customHeight="1">
      <c r="B801" s="92"/>
      <c r="C801" s="68" t="s">
        <v>269</v>
      </c>
      <c r="D801" s="69">
        <v>28</v>
      </c>
      <c r="E801" s="70">
        <v>9.4380962011699995E-4</v>
      </c>
    </row>
    <row r="802" spans="2:5" ht="15" customHeight="1">
      <c r="B802" s="92"/>
      <c r="C802" s="68" t="s">
        <v>272</v>
      </c>
      <c r="D802" s="69">
        <v>1</v>
      </c>
      <c r="E802" s="70">
        <v>3.3707486433000001E-5</v>
      </c>
    </row>
    <row r="803" spans="2:5" ht="15" customHeight="1">
      <c r="B803" s="92"/>
      <c r="C803" s="68" t="s">
        <v>274</v>
      </c>
      <c r="D803" s="69">
        <v>1</v>
      </c>
      <c r="E803" s="70">
        <v>3.3707486433000001E-5</v>
      </c>
    </row>
    <row r="804" spans="2:5" ht="15" customHeight="1">
      <c r="B804" s="92"/>
      <c r="C804" s="68" t="s">
        <v>275</v>
      </c>
      <c r="D804" s="69">
        <v>2</v>
      </c>
      <c r="E804" s="70">
        <v>6.7414972865000001E-5</v>
      </c>
    </row>
    <row r="805" spans="2:5" ht="15" customHeight="1">
      <c r="B805" s="93"/>
      <c r="C805" s="36" t="s">
        <v>29</v>
      </c>
      <c r="D805" s="35">
        <v>158</v>
      </c>
      <c r="E805" s="34">
        <v>5.3257828563719996E-3</v>
      </c>
    </row>
    <row r="806" spans="2:5" ht="15" customHeight="1">
      <c r="B806" s="91" t="s">
        <v>98</v>
      </c>
      <c r="C806" s="68" t="s">
        <v>255</v>
      </c>
      <c r="D806" s="69">
        <v>1</v>
      </c>
      <c r="E806" s="70">
        <v>3.3707486433000001E-5</v>
      </c>
    </row>
    <row r="807" spans="2:5" ht="15" customHeight="1">
      <c r="B807" s="92"/>
      <c r="C807" s="68" t="s">
        <v>261</v>
      </c>
      <c r="D807" s="69">
        <v>1</v>
      </c>
      <c r="E807" s="70">
        <v>3.3707486433000001E-5</v>
      </c>
    </row>
    <row r="808" spans="2:5" ht="15" customHeight="1">
      <c r="B808" s="92"/>
      <c r="C808" s="68" t="s">
        <v>262</v>
      </c>
      <c r="D808" s="69">
        <v>1</v>
      </c>
      <c r="E808" s="70">
        <v>3.3707486433000001E-5</v>
      </c>
    </row>
    <row r="809" spans="2:5" ht="15" customHeight="1">
      <c r="B809" s="92"/>
      <c r="C809" s="68" t="s">
        <v>269</v>
      </c>
      <c r="D809" s="69">
        <v>2</v>
      </c>
      <c r="E809" s="70">
        <v>6.7414972865000001E-5</v>
      </c>
    </row>
    <row r="810" spans="2:5" ht="15" customHeight="1">
      <c r="B810" s="93"/>
      <c r="C810" s="36" t="s">
        <v>29</v>
      </c>
      <c r="D810" s="35">
        <v>5</v>
      </c>
      <c r="E810" s="34">
        <v>1.68537432164E-4</v>
      </c>
    </row>
    <row r="811" spans="2:5" ht="15" customHeight="1">
      <c r="B811" s="94" t="s">
        <v>29</v>
      </c>
      <c r="C811" s="95"/>
      <c r="D811" s="65">
        <v>29667</v>
      </c>
      <c r="E811" s="66">
        <v>1</v>
      </c>
    </row>
    <row r="813" spans="2:5" ht="15" customHeight="1">
      <c r="B813" s="15" t="s">
        <v>47</v>
      </c>
    </row>
    <row r="814" spans="2:5" ht="15" customHeight="1">
      <c r="B814" s="17" t="s">
        <v>18</v>
      </c>
    </row>
    <row r="815" spans="2:5" ht="15" customHeight="1">
      <c r="B815" s="16" t="s">
        <v>48</v>
      </c>
    </row>
    <row r="816" spans="2:5" ht="15" customHeight="1">
      <c r="B816" s="15" t="s">
        <v>17</v>
      </c>
    </row>
    <row r="817" spans="2:2" ht="15" customHeight="1">
      <c r="B817" s="15" t="s">
        <v>49</v>
      </c>
    </row>
  </sheetData>
  <mergeCells count="53">
    <mergeCell ref="B811:C811"/>
    <mergeCell ref="B727:B737"/>
    <mergeCell ref="B738:B752"/>
    <mergeCell ref="B753:B771"/>
    <mergeCell ref="B772:B779"/>
    <mergeCell ref="B780:B788"/>
    <mergeCell ref="B404:B427"/>
    <mergeCell ref="B428:B444"/>
    <mergeCell ref="B445:B460"/>
    <mergeCell ref="B789:B805"/>
    <mergeCell ref="B806:B810"/>
    <mergeCell ref="B214:B219"/>
    <mergeCell ref="B220:B228"/>
    <mergeCell ref="B229:B242"/>
    <mergeCell ref="B360:B381"/>
    <mergeCell ref="B382:B403"/>
    <mergeCell ref="B120:B143"/>
    <mergeCell ref="B144:B167"/>
    <mergeCell ref="B168:B177"/>
    <mergeCell ref="B178:B194"/>
    <mergeCell ref="B195:B213"/>
    <mergeCell ref="B591:B599"/>
    <mergeCell ref="B600:B609"/>
    <mergeCell ref="B610:B629"/>
    <mergeCell ref="B7:E8"/>
    <mergeCell ref="B672:B693"/>
    <mergeCell ref="B528:B544"/>
    <mergeCell ref="B545:B563"/>
    <mergeCell ref="B564:B573"/>
    <mergeCell ref="B574:B590"/>
    <mergeCell ref="B10:B26"/>
    <mergeCell ref="B27:B49"/>
    <mergeCell ref="B50:B72"/>
    <mergeCell ref="B73:B83"/>
    <mergeCell ref="B84:B94"/>
    <mergeCell ref="B95:B117"/>
    <mergeCell ref="B118:B119"/>
    <mergeCell ref="B694:B711"/>
    <mergeCell ref="B712:B726"/>
    <mergeCell ref="B243:B259"/>
    <mergeCell ref="B260:B283"/>
    <mergeCell ref="B284:B303"/>
    <mergeCell ref="B304:B324"/>
    <mergeCell ref="B325:B342"/>
    <mergeCell ref="B343:B359"/>
    <mergeCell ref="B630:B643"/>
    <mergeCell ref="B644:B657"/>
    <mergeCell ref="B658:B671"/>
    <mergeCell ref="B461:B467"/>
    <mergeCell ref="B468:B469"/>
    <mergeCell ref="B470:B489"/>
    <mergeCell ref="B490:B503"/>
    <mergeCell ref="B504:B52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B1:E20"/>
  <sheetViews>
    <sheetView showGridLines="0" view="pageBreakPreview" topLeftCell="A3" zoomScale="115" zoomScaleNormal="100" zoomScaleSheetLayoutView="115" workbookViewId="0">
      <selection activeCell="E15" sqref="E15"/>
    </sheetView>
  </sheetViews>
  <sheetFormatPr baseColWidth="10" defaultColWidth="11.42578125" defaultRowHeight="15"/>
  <cols>
    <col min="1" max="1" width="9.28515625" style="13" customWidth="1"/>
    <col min="2" max="2" width="21.7109375" style="13" customWidth="1"/>
    <col min="3" max="3" width="17.7109375" style="14" customWidth="1"/>
    <col min="4" max="4" width="17.7109375" style="13" customWidth="1"/>
    <col min="5" max="5" width="9.28515625" style="13" customWidth="1"/>
    <col min="6" max="6" width="5.7109375" style="13" customWidth="1"/>
    <col min="7" max="16384" width="11.42578125" style="13"/>
  </cols>
  <sheetData>
    <row r="1" spans="2:5" s="25" customFormat="1" ht="15" customHeight="1">
      <c r="C1" s="31"/>
    </row>
    <row r="2" spans="2:5" s="25" customFormat="1" ht="15" customHeight="1">
      <c r="C2" s="31"/>
    </row>
    <row r="3" spans="2:5" s="25" customFormat="1" ht="15" customHeight="1">
      <c r="C3" s="31"/>
    </row>
    <row r="4" spans="2:5" s="25" customFormat="1" ht="30" customHeight="1">
      <c r="C4" s="31"/>
      <c r="D4" s="30"/>
    </row>
    <row r="5" spans="2:5" s="25" customFormat="1" ht="15" customHeight="1">
      <c r="C5" s="31"/>
      <c r="D5" s="30"/>
    </row>
    <row r="6" spans="2:5" s="25" customFormat="1" ht="15" customHeight="1">
      <c r="C6" s="31"/>
      <c r="D6" s="30"/>
    </row>
    <row r="7" spans="2:5" s="25" customFormat="1" ht="15" customHeight="1">
      <c r="B7" s="87" t="s">
        <v>38</v>
      </c>
      <c r="C7" s="87"/>
      <c r="D7" s="87"/>
    </row>
    <row r="8" spans="2:5" s="25" customFormat="1" ht="15" customHeight="1">
      <c r="B8" s="87"/>
      <c r="C8" s="87"/>
      <c r="D8" s="87"/>
    </row>
    <row r="9" spans="2:5" s="25" customFormat="1" ht="33" customHeight="1">
      <c r="B9" s="87"/>
      <c r="C9" s="87"/>
      <c r="D9" s="87"/>
    </row>
    <row r="10" spans="2:5" s="25" customFormat="1" ht="4.5" customHeight="1">
      <c r="B10" s="29"/>
      <c r="C10" s="29"/>
      <c r="D10" s="29"/>
    </row>
    <row r="11" spans="2:5" s="25" customFormat="1" ht="33" customHeight="1">
      <c r="B11" s="28" t="s">
        <v>30</v>
      </c>
      <c r="C11" s="27" t="s">
        <v>20</v>
      </c>
      <c r="D11" s="26" t="s">
        <v>19</v>
      </c>
    </row>
    <row r="12" spans="2:5">
      <c r="B12" s="23" t="s">
        <v>148</v>
      </c>
      <c r="C12" s="22">
        <v>10915</v>
      </c>
      <c r="D12" s="21">
        <v>0.36791721441332098</v>
      </c>
    </row>
    <row r="13" spans="2:5">
      <c r="B13" s="23" t="s">
        <v>149</v>
      </c>
      <c r="C13" s="22">
        <v>18752</v>
      </c>
      <c r="D13" s="21">
        <v>0.63208278558667896</v>
      </c>
    </row>
    <row r="14" spans="2:5">
      <c r="B14" s="20" t="s">
        <v>29</v>
      </c>
      <c r="C14" s="19">
        <v>29667</v>
      </c>
      <c r="D14" s="18">
        <v>1</v>
      </c>
    </row>
    <row r="15" spans="2:5">
      <c r="B15" s="24"/>
      <c r="C15" s="49"/>
      <c r="D15" s="49"/>
      <c r="E15" s="24"/>
    </row>
    <row r="16" spans="2:5">
      <c r="B16" s="15" t="s">
        <v>47</v>
      </c>
      <c r="C16" s="49"/>
      <c r="D16" s="49"/>
      <c r="E16" s="24"/>
    </row>
    <row r="17" spans="2:4">
      <c r="B17" s="17" t="s">
        <v>18</v>
      </c>
      <c r="C17" s="48"/>
      <c r="D17" s="48"/>
    </row>
    <row r="18" spans="2:4">
      <c r="B18" s="16" t="s">
        <v>48</v>
      </c>
      <c r="C18" s="47"/>
      <c r="D18" s="47"/>
    </row>
    <row r="19" spans="2:4">
      <c r="B19" s="15" t="s">
        <v>17</v>
      </c>
    </row>
    <row r="20" spans="2:4">
      <c r="B20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B1:F169"/>
  <sheetViews>
    <sheetView showGridLines="0" view="pageBreakPreview" zoomScaleNormal="100" zoomScaleSheetLayoutView="100" workbookViewId="0">
      <selection activeCell="E14" sqref="E14"/>
    </sheetView>
  </sheetViews>
  <sheetFormatPr baseColWidth="10" defaultColWidth="11.42578125" defaultRowHeight="11.25"/>
  <cols>
    <col min="1" max="1" width="5.7109375" style="25" customWidth="1"/>
    <col min="2" max="3" width="25.7109375" style="41" customWidth="1"/>
    <col min="4" max="4" width="15.7109375" style="44" customWidth="1"/>
    <col min="5" max="5" width="15.7109375" style="41" customWidth="1"/>
    <col min="6" max="6" width="4.85546875" style="25" customWidth="1"/>
    <col min="7" max="7" width="8" style="25" customWidth="1"/>
    <col min="8" max="16384" width="11.42578125" style="25"/>
  </cols>
  <sheetData>
    <row r="1" spans="2:6" s="13" customFormat="1" ht="15">
      <c r="B1" s="41"/>
      <c r="C1" s="41"/>
    </row>
    <row r="2" spans="2:6" s="41" customFormat="1">
      <c r="B2" s="51"/>
    </row>
    <row r="3" spans="2:6" ht="15" customHeight="1">
      <c r="B3" s="52"/>
      <c r="C3" s="31"/>
      <c r="D3" s="25"/>
      <c r="F3" s="41"/>
    </row>
    <row r="4" spans="2:6" ht="30" customHeight="1">
      <c r="B4" s="52"/>
      <c r="C4" s="31"/>
      <c r="D4" s="25"/>
      <c r="F4" s="41"/>
    </row>
    <row r="5" spans="2:6" ht="15" customHeight="1">
      <c r="B5" s="52"/>
      <c r="C5" s="31"/>
      <c r="D5" s="25"/>
      <c r="F5" s="41"/>
    </row>
    <row r="6" spans="2:6" s="41" customFormat="1">
      <c r="B6" s="43"/>
      <c r="C6" s="37"/>
    </row>
    <row r="7" spans="2:6" s="41" customFormat="1">
      <c r="B7" s="51"/>
    </row>
    <row r="8" spans="2:6" s="13" customFormat="1" ht="15" customHeight="1">
      <c r="B8" s="87" t="s">
        <v>40</v>
      </c>
      <c r="C8" s="87"/>
      <c r="D8" s="87"/>
      <c r="E8" s="87"/>
    </row>
    <row r="9" spans="2:6" s="13" customFormat="1" ht="15" customHeight="1">
      <c r="B9" s="87"/>
      <c r="C9" s="87"/>
      <c r="D9" s="87"/>
      <c r="E9" s="87"/>
      <c r="F9" s="50"/>
    </row>
    <row r="10" spans="2:6" s="13" customFormat="1" ht="15" customHeight="1">
      <c r="B10" s="87"/>
      <c r="C10" s="87"/>
      <c r="D10" s="87"/>
      <c r="E10" s="87"/>
    </row>
    <row r="11" spans="2:6" s="13" customFormat="1" ht="15" customHeight="1">
      <c r="B11" s="54"/>
      <c r="C11" s="54"/>
      <c r="D11" s="54"/>
      <c r="E11" s="54"/>
    </row>
    <row r="12" spans="2:6" s="13" customFormat="1" ht="36.950000000000003" customHeight="1">
      <c r="B12" s="56" t="s">
        <v>22</v>
      </c>
      <c r="C12" s="56" t="s">
        <v>30</v>
      </c>
      <c r="D12" s="56" t="s">
        <v>20</v>
      </c>
      <c r="E12" s="56" t="s">
        <v>19</v>
      </c>
    </row>
    <row r="13" spans="2:6" ht="14.45" customHeight="1">
      <c r="B13" s="91" t="s">
        <v>75</v>
      </c>
      <c r="C13" s="68" t="s">
        <v>148</v>
      </c>
      <c r="D13" s="69">
        <v>36</v>
      </c>
      <c r="E13" s="70">
        <v>1.2134695115790001E-3</v>
      </c>
    </row>
    <row r="14" spans="2:6" ht="14.45" customHeight="1">
      <c r="B14" s="92"/>
      <c r="C14" s="68" t="s">
        <v>149</v>
      </c>
      <c r="D14" s="69">
        <v>99</v>
      </c>
      <c r="E14" s="70">
        <v>3.337041156841E-3</v>
      </c>
    </row>
    <row r="15" spans="2:6" ht="14.45" customHeight="1">
      <c r="B15" s="93"/>
      <c r="C15" s="62" t="s">
        <v>29</v>
      </c>
      <c r="D15" s="63">
        <v>135</v>
      </c>
      <c r="E15" s="64">
        <v>4.5505106684189996E-3</v>
      </c>
    </row>
    <row r="16" spans="2:6" ht="14.45" customHeight="1">
      <c r="B16" s="91" t="s">
        <v>53</v>
      </c>
      <c r="C16" s="68" t="s">
        <v>148</v>
      </c>
      <c r="D16" s="69">
        <v>439</v>
      </c>
      <c r="E16" s="70">
        <v>1.4797586543971E-2</v>
      </c>
    </row>
    <row r="17" spans="2:5" ht="14.45" customHeight="1">
      <c r="B17" s="92"/>
      <c r="C17" s="68" t="s">
        <v>149</v>
      </c>
      <c r="D17" s="69">
        <v>1040</v>
      </c>
      <c r="E17" s="70">
        <v>3.5055785890046001E-2</v>
      </c>
    </row>
    <row r="18" spans="2:5" ht="14.45" customHeight="1">
      <c r="B18" s="93" t="s">
        <v>353</v>
      </c>
      <c r="C18" s="62" t="s">
        <v>29</v>
      </c>
      <c r="D18" s="63">
        <v>1479</v>
      </c>
      <c r="E18" s="64">
        <v>4.9853372434018002E-2</v>
      </c>
    </row>
    <row r="19" spans="2:5" ht="14.45" customHeight="1">
      <c r="B19" s="91" t="s">
        <v>52</v>
      </c>
      <c r="C19" s="68" t="s">
        <v>148</v>
      </c>
      <c r="D19" s="69">
        <v>566</v>
      </c>
      <c r="E19" s="70">
        <v>1.9078437320928999E-2</v>
      </c>
    </row>
    <row r="20" spans="2:5" ht="14.45" customHeight="1">
      <c r="B20" s="92"/>
      <c r="C20" s="68" t="s">
        <v>149</v>
      </c>
      <c r="D20" s="69">
        <v>1032</v>
      </c>
      <c r="E20" s="70">
        <v>3.4786125998584001E-2</v>
      </c>
    </row>
    <row r="21" spans="2:5" ht="14.45" customHeight="1">
      <c r="B21" s="93" t="s">
        <v>354</v>
      </c>
      <c r="C21" s="62" t="s">
        <v>29</v>
      </c>
      <c r="D21" s="63">
        <v>1598</v>
      </c>
      <c r="E21" s="64">
        <v>5.3864563319512997E-2</v>
      </c>
    </row>
    <row r="22" spans="2:5" ht="14.45" customHeight="1">
      <c r="B22" s="91" t="s">
        <v>85</v>
      </c>
      <c r="C22" s="68" t="s">
        <v>148</v>
      </c>
      <c r="D22" s="69">
        <v>10</v>
      </c>
      <c r="E22" s="70">
        <v>3.3707486432699998E-4</v>
      </c>
    </row>
    <row r="23" spans="2:5" ht="14.45" customHeight="1">
      <c r="B23" s="92"/>
      <c r="C23" s="68" t="s">
        <v>149</v>
      </c>
      <c r="D23" s="69">
        <v>47</v>
      </c>
      <c r="E23" s="70">
        <v>1.584251862339E-3</v>
      </c>
    </row>
    <row r="24" spans="2:5" ht="14.45" customHeight="1">
      <c r="B24" s="93" t="s">
        <v>355</v>
      </c>
      <c r="C24" s="62" t="s">
        <v>29</v>
      </c>
      <c r="D24" s="63">
        <v>57</v>
      </c>
      <c r="E24" s="64">
        <v>1.9213267266660001E-3</v>
      </c>
    </row>
    <row r="25" spans="2:5" ht="14.45" customHeight="1">
      <c r="B25" s="91" t="s">
        <v>87</v>
      </c>
      <c r="C25" s="68" t="s">
        <v>148</v>
      </c>
      <c r="D25" s="69">
        <v>10</v>
      </c>
      <c r="E25" s="70">
        <v>3.3707486432699998E-4</v>
      </c>
    </row>
    <row r="26" spans="2:5" ht="14.45" customHeight="1">
      <c r="B26" s="92"/>
      <c r="C26" s="68" t="s">
        <v>149</v>
      </c>
      <c r="D26" s="69">
        <v>32</v>
      </c>
      <c r="E26" s="70">
        <v>1.0786395658479999E-3</v>
      </c>
    </row>
    <row r="27" spans="2:5" ht="14.45" customHeight="1">
      <c r="B27" s="93" t="s">
        <v>356</v>
      </c>
      <c r="C27" s="62" t="s">
        <v>29</v>
      </c>
      <c r="D27" s="63">
        <v>42</v>
      </c>
      <c r="E27" s="64">
        <v>1.415714430175E-3</v>
      </c>
    </row>
    <row r="28" spans="2:5" ht="14.45" customHeight="1">
      <c r="B28" s="91" t="s">
        <v>60</v>
      </c>
      <c r="C28" s="68" t="s">
        <v>148</v>
      </c>
      <c r="D28" s="69">
        <v>273</v>
      </c>
      <c r="E28" s="70">
        <v>9.2021437961369995E-3</v>
      </c>
    </row>
    <row r="29" spans="2:5" ht="14.45" customHeight="1">
      <c r="B29" s="92"/>
      <c r="C29" s="68" t="s">
        <v>149</v>
      </c>
      <c r="D29" s="69">
        <v>200</v>
      </c>
      <c r="E29" s="70">
        <v>6.7414972865469996E-3</v>
      </c>
    </row>
    <row r="30" spans="2:5" ht="14.45" customHeight="1">
      <c r="B30" s="93" t="s">
        <v>357</v>
      </c>
      <c r="C30" s="62" t="s">
        <v>29</v>
      </c>
      <c r="D30" s="63">
        <v>473</v>
      </c>
      <c r="E30" s="64">
        <v>1.5943641082684E-2</v>
      </c>
    </row>
    <row r="31" spans="2:5" ht="14.45" customHeight="1">
      <c r="B31" s="91" t="s">
        <v>99</v>
      </c>
      <c r="C31" s="68" t="s">
        <v>149</v>
      </c>
      <c r="D31" s="69">
        <v>1</v>
      </c>
      <c r="E31" s="70">
        <v>3.3707486433000001E-5</v>
      </c>
    </row>
    <row r="32" spans="2:5" ht="14.45" customHeight="1">
      <c r="B32" s="93" t="s">
        <v>358</v>
      </c>
      <c r="C32" s="62" t="s">
        <v>29</v>
      </c>
      <c r="D32" s="63">
        <v>1</v>
      </c>
      <c r="E32" s="64">
        <v>3.3707486433000001E-5</v>
      </c>
    </row>
    <row r="33" spans="2:5" ht="14.45" customHeight="1">
      <c r="B33" s="91" t="s">
        <v>54</v>
      </c>
      <c r="C33" s="68" t="s">
        <v>148</v>
      </c>
      <c r="D33" s="69">
        <v>514</v>
      </c>
      <c r="E33" s="70">
        <v>1.7325648026426999E-2</v>
      </c>
    </row>
    <row r="34" spans="2:5" ht="14.45" customHeight="1">
      <c r="B34" s="92"/>
      <c r="C34" s="68" t="s">
        <v>149</v>
      </c>
      <c r="D34" s="69">
        <v>708</v>
      </c>
      <c r="E34" s="70">
        <v>2.3864900394378E-2</v>
      </c>
    </row>
    <row r="35" spans="2:5" ht="14.45" customHeight="1">
      <c r="B35" s="93" t="s">
        <v>359</v>
      </c>
      <c r="C35" s="62" t="s">
        <v>29</v>
      </c>
      <c r="D35" s="63">
        <v>1222</v>
      </c>
      <c r="E35" s="64">
        <v>4.1190548420804003E-2</v>
      </c>
    </row>
    <row r="36" spans="2:5" ht="14.45" customHeight="1">
      <c r="B36" s="91" t="s">
        <v>50</v>
      </c>
      <c r="C36" s="68" t="s">
        <v>148</v>
      </c>
      <c r="D36" s="69">
        <v>2880</v>
      </c>
      <c r="E36" s="70">
        <v>9.7077560926282003E-2</v>
      </c>
    </row>
    <row r="37" spans="2:5" ht="14.45" customHeight="1">
      <c r="B37" s="92"/>
      <c r="C37" s="68" t="s">
        <v>149</v>
      </c>
      <c r="D37" s="69">
        <v>5471</v>
      </c>
      <c r="E37" s="70">
        <v>0.18441365827350301</v>
      </c>
    </row>
    <row r="38" spans="2:5" ht="14.45" customHeight="1">
      <c r="B38" s="93" t="s">
        <v>360</v>
      </c>
      <c r="C38" s="62" t="s">
        <v>29</v>
      </c>
      <c r="D38" s="63">
        <v>8351</v>
      </c>
      <c r="E38" s="64">
        <v>0.28149121919978398</v>
      </c>
    </row>
    <row r="39" spans="2:5" ht="14.45" customHeight="1">
      <c r="B39" s="91" t="s">
        <v>95</v>
      </c>
      <c r="C39" s="68" t="s">
        <v>148</v>
      </c>
      <c r="D39" s="69">
        <v>4</v>
      </c>
      <c r="E39" s="70">
        <v>1.3482994573099999E-4</v>
      </c>
    </row>
    <row r="40" spans="2:5" ht="14.45" customHeight="1">
      <c r="B40" s="92"/>
      <c r="C40" s="68" t="s">
        <v>149</v>
      </c>
      <c r="D40" s="69">
        <v>10</v>
      </c>
      <c r="E40" s="70">
        <v>3.3707486432699998E-4</v>
      </c>
    </row>
    <row r="41" spans="2:5" ht="14.45" customHeight="1">
      <c r="B41" s="93" t="s">
        <v>361</v>
      </c>
      <c r="C41" s="62" t="s">
        <v>29</v>
      </c>
      <c r="D41" s="63">
        <v>14</v>
      </c>
      <c r="E41" s="64">
        <v>4.7190481005799999E-4</v>
      </c>
    </row>
    <row r="42" spans="2:5" ht="14.45" customHeight="1">
      <c r="B42" s="91" t="s">
        <v>69</v>
      </c>
      <c r="C42" s="68" t="s">
        <v>148</v>
      </c>
      <c r="D42" s="69">
        <v>42</v>
      </c>
      <c r="E42" s="70">
        <v>1.415714430175E-3</v>
      </c>
    </row>
    <row r="43" spans="2:5" ht="14.45" customHeight="1">
      <c r="B43" s="92"/>
      <c r="C43" s="68" t="s">
        <v>149</v>
      </c>
      <c r="D43" s="69">
        <v>129</v>
      </c>
      <c r="E43" s="70">
        <v>4.3482657498230002E-3</v>
      </c>
    </row>
    <row r="44" spans="2:5" ht="14.45" customHeight="1">
      <c r="B44" s="93" t="s">
        <v>362</v>
      </c>
      <c r="C44" s="62" t="s">
        <v>29</v>
      </c>
      <c r="D44" s="63">
        <v>171</v>
      </c>
      <c r="E44" s="64">
        <v>5.7639801799980002E-3</v>
      </c>
    </row>
    <row r="45" spans="2:5" ht="14.45" customHeight="1">
      <c r="B45" s="91" t="s">
        <v>66</v>
      </c>
      <c r="C45" s="68" t="s">
        <v>148</v>
      </c>
      <c r="D45" s="69">
        <v>79</v>
      </c>
      <c r="E45" s="70">
        <v>2.6628914281859998E-3</v>
      </c>
    </row>
    <row r="46" spans="2:5" ht="14.45" customHeight="1">
      <c r="B46" s="92"/>
      <c r="C46" s="68" t="s">
        <v>149</v>
      </c>
      <c r="D46" s="69">
        <v>176</v>
      </c>
      <c r="E46" s="70">
        <v>5.9325176121619999E-3</v>
      </c>
    </row>
    <row r="47" spans="2:5" ht="14.45" customHeight="1">
      <c r="B47" s="93" t="s">
        <v>363</v>
      </c>
      <c r="C47" s="62" t="s">
        <v>29</v>
      </c>
      <c r="D47" s="63">
        <v>255</v>
      </c>
      <c r="E47" s="64">
        <v>8.5954090403479993E-3</v>
      </c>
    </row>
    <row r="48" spans="2:5" ht="14.45" customHeight="1">
      <c r="B48" s="91" t="s">
        <v>97</v>
      </c>
      <c r="C48" s="68" t="s">
        <v>149</v>
      </c>
      <c r="D48" s="69">
        <v>6</v>
      </c>
      <c r="E48" s="70">
        <v>2.0224491859599999E-4</v>
      </c>
    </row>
    <row r="49" spans="2:5" ht="14.45" customHeight="1">
      <c r="B49" s="93" t="s">
        <v>364</v>
      </c>
      <c r="C49" s="62" t="s">
        <v>29</v>
      </c>
      <c r="D49" s="63">
        <v>6</v>
      </c>
      <c r="E49" s="64">
        <v>2.0224491859599999E-4</v>
      </c>
    </row>
    <row r="50" spans="2:5" ht="14.45" customHeight="1">
      <c r="B50" s="91" t="s">
        <v>92</v>
      </c>
      <c r="C50" s="68" t="s">
        <v>148</v>
      </c>
      <c r="D50" s="69">
        <v>10</v>
      </c>
      <c r="E50" s="70">
        <v>3.3707486432699998E-4</v>
      </c>
    </row>
    <row r="51" spans="2:5" ht="14.45" customHeight="1">
      <c r="B51" s="92"/>
      <c r="C51" s="68" t="s">
        <v>149</v>
      </c>
      <c r="D51" s="69">
        <v>11</v>
      </c>
      <c r="E51" s="70">
        <v>3.7078235075999999E-4</v>
      </c>
    </row>
    <row r="52" spans="2:5" ht="14.45" customHeight="1">
      <c r="B52" s="93" t="s">
        <v>365</v>
      </c>
      <c r="C52" s="62" t="s">
        <v>29</v>
      </c>
      <c r="D52" s="63">
        <v>21</v>
      </c>
      <c r="E52" s="64">
        <v>7.0785721508699996E-4</v>
      </c>
    </row>
    <row r="53" spans="2:5" ht="14.45" customHeight="1">
      <c r="B53" s="91" t="s">
        <v>80</v>
      </c>
      <c r="C53" s="68" t="s">
        <v>148</v>
      </c>
      <c r="D53" s="69">
        <v>22</v>
      </c>
      <c r="E53" s="70">
        <v>7.4156470151999997E-4</v>
      </c>
    </row>
    <row r="54" spans="2:5" ht="14.45" customHeight="1">
      <c r="B54" s="92"/>
      <c r="C54" s="68" t="s">
        <v>149</v>
      </c>
      <c r="D54" s="69">
        <v>48</v>
      </c>
      <c r="E54" s="70">
        <v>1.6179593487709999E-3</v>
      </c>
    </row>
    <row r="55" spans="2:5" ht="14.45" customHeight="1">
      <c r="B55" s="93" t="s">
        <v>366</v>
      </c>
      <c r="C55" s="62" t="s">
        <v>29</v>
      </c>
      <c r="D55" s="63">
        <v>70</v>
      </c>
      <c r="E55" s="64">
        <v>2.3595240502920002E-3</v>
      </c>
    </row>
    <row r="56" spans="2:5" ht="14.45" customHeight="1">
      <c r="B56" s="91" t="s">
        <v>78</v>
      </c>
      <c r="C56" s="68" t="s">
        <v>148</v>
      </c>
      <c r="D56" s="69">
        <v>40</v>
      </c>
      <c r="E56" s="70">
        <v>1.348299457309E-3</v>
      </c>
    </row>
    <row r="57" spans="2:5" ht="14.45" customHeight="1">
      <c r="B57" s="92"/>
      <c r="C57" s="68" t="s">
        <v>149</v>
      </c>
      <c r="D57" s="69">
        <v>69</v>
      </c>
      <c r="E57" s="70">
        <v>2.3258165638589999E-3</v>
      </c>
    </row>
    <row r="58" spans="2:5" ht="14.45" customHeight="1">
      <c r="B58" s="93" t="s">
        <v>367</v>
      </c>
      <c r="C58" s="62" t="s">
        <v>29</v>
      </c>
      <c r="D58" s="63">
        <v>109</v>
      </c>
      <c r="E58" s="64">
        <v>3.6741160211679999E-3</v>
      </c>
    </row>
    <row r="59" spans="2:5" ht="14.45" customHeight="1">
      <c r="B59" s="91" t="s">
        <v>51</v>
      </c>
      <c r="C59" s="68" t="s">
        <v>148</v>
      </c>
      <c r="D59" s="69">
        <v>2980</v>
      </c>
      <c r="E59" s="70">
        <v>0.100448309569555</v>
      </c>
    </row>
    <row r="60" spans="2:5" ht="14.45" customHeight="1">
      <c r="B60" s="92"/>
      <c r="C60" s="68" t="s">
        <v>149</v>
      </c>
      <c r="D60" s="69">
        <v>4449</v>
      </c>
      <c r="E60" s="70">
        <v>0.149964607139246</v>
      </c>
    </row>
    <row r="61" spans="2:5" ht="14.45" customHeight="1">
      <c r="B61" s="93" t="s">
        <v>368</v>
      </c>
      <c r="C61" s="62" t="s">
        <v>29</v>
      </c>
      <c r="D61" s="63">
        <v>7429</v>
      </c>
      <c r="E61" s="64">
        <v>0.250412916708801</v>
      </c>
    </row>
    <row r="62" spans="2:5" ht="14.45" customHeight="1">
      <c r="B62" s="91" t="s">
        <v>64</v>
      </c>
      <c r="C62" s="68" t="s">
        <v>148</v>
      </c>
      <c r="D62" s="69">
        <v>99</v>
      </c>
      <c r="E62" s="70">
        <v>3.337041156841E-3</v>
      </c>
    </row>
    <row r="63" spans="2:5" ht="14.45" customHeight="1">
      <c r="B63" s="92"/>
      <c r="C63" s="68" t="s">
        <v>149</v>
      </c>
      <c r="D63" s="69">
        <v>244</v>
      </c>
      <c r="E63" s="70">
        <v>8.2246266895880001E-3</v>
      </c>
    </row>
    <row r="64" spans="2:5" ht="14.45" customHeight="1">
      <c r="B64" s="93" t="s">
        <v>369</v>
      </c>
      <c r="C64" s="62" t="s">
        <v>29</v>
      </c>
      <c r="D64" s="63">
        <v>343</v>
      </c>
      <c r="E64" s="64">
        <v>1.1561667846428999E-2</v>
      </c>
    </row>
    <row r="65" spans="2:5" ht="14.45" customHeight="1">
      <c r="B65" s="91" t="s">
        <v>65</v>
      </c>
      <c r="C65" s="68" t="s">
        <v>148</v>
      </c>
      <c r="D65" s="69">
        <v>92</v>
      </c>
      <c r="E65" s="70">
        <v>3.1010887518119999E-3</v>
      </c>
    </row>
    <row r="66" spans="2:5" ht="14.45" customHeight="1">
      <c r="B66" s="92"/>
      <c r="C66" s="68" t="s">
        <v>149</v>
      </c>
      <c r="D66" s="69">
        <v>226</v>
      </c>
      <c r="E66" s="70">
        <v>7.6178919337979998E-3</v>
      </c>
    </row>
    <row r="67" spans="2:5" ht="14.45" customHeight="1">
      <c r="B67" s="93" t="s">
        <v>370</v>
      </c>
      <c r="C67" s="62" t="s">
        <v>29</v>
      </c>
      <c r="D67" s="63">
        <v>318</v>
      </c>
      <c r="E67" s="64">
        <v>1.0718980685610001E-2</v>
      </c>
    </row>
    <row r="68" spans="2:5" ht="14.45" customHeight="1">
      <c r="B68" s="91" t="s">
        <v>68</v>
      </c>
      <c r="C68" s="68" t="s">
        <v>148</v>
      </c>
      <c r="D68" s="69">
        <v>152</v>
      </c>
      <c r="E68" s="70">
        <v>5.1235379377760001E-3</v>
      </c>
    </row>
    <row r="69" spans="2:5" ht="14.45" customHeight="1">
      <c r="B69" s="92"/>
      <c r="C69" s="68" t="s">
        <v>149</v>
      </c>
      <c r="D69" s="69">
        <v>74</v>
      </c>
      <c r="E69" s="70">
        <v>2.4943539960230001E-3</v>
      </c>
    </row>
    <row r="70" spans="2:5" ht="14.45" customHeight="1">
      <c r="B70" s="93" t="s">
        <v>371</v>
      </c>
      <c r="C70" s="62" t="s">
        <v>29</v>
      </c>
      <c r="D70" s="63">
        <v>226</v>
      </c>
      <c r="E70" s="64">
        <v>7.6178919337979998E-3</v>
      </c>
    </row>
    <row r="71" spans="2:5" ht="14.45" customHeight="1">
      <c r="B71" s="91" t="s">
        <v>73</v>
      </c>
      <c r="C71" s="68" t="s">
        <v>148</v>
      </c>
      <c r="D71" s="69">
        <v>47</v>
      </c>
      <c r="E71" s="70">
        <v>1.584251862339E-3</v>
      </c>
    </row>
    <row r="72" spans="2:5" ht="14.45" customHeight="1">
      <c r="B72" s="92"/>
      <c r="C72" s="68" t="s">
        <v>149</v>
      </c>
      <c r="D72" s="69">
        <v>89</v>
      </c>
      <c r="E72" s="70">
        <v>2.9999662925140002E-3</v>
      </c>
    </row>
    <row r="73" spans="2:5" ht="14.45" customHeight="1">
      <c r="B73" s="93" t="s">
        <v>372</v>
      </c>
      <c r="C73" s="62" t="s">
        <v>29</v>
      </c>
      <c r="D73" s="63">
        <v>136</v>
      </c>
      <c r="E73" s="64">
        <v>4.5842181548520003E-3</v>
      </c>
    </row>
    <row r="74" spans="2:5" ht="14.45" customHeight="1">
      <c r="B74" s="91" t="s">
        <v>56</v>
      </c>
      <c r="C74" s="68" t="s">
        <v>148</v>
      </c>
      <c r="D74" s="69">
        <v>318</v>
      </c>
      <c r="E74" s="70">
        <v>1.0718980685610001E-2</v>
      </c>
    </row>
    <row r="75" spans="2:5" ht="14.45" customHeight="1">
      <c r="B75" s="92"/>
      <c r="C75" s="68" t="s">
        <v>149</v>
      </c>
      <c r="D75" s="69">
        <v>705</v>
      </c>
      <c r="E75" s="70">
        <v>2.3763777935079E-2</v>
      </c>
    </row>
    <row r="76" spans="2:5" ht="14.45" customHeight="1">
      <c r="B76" s="93" t="s">
        <v>373</v>
      </c>
      <c r="C76" s="62" t="s">
        <v>29</v>
      </c>
      <c r="D76" s="63">
        <v>1023</v>
      </c>
      <c r="E76" s="64">
        <v>3.4482758620690002E-2</v>
      </c>
    </row>
    <row r="77" spans="2:5" ht="14.45" customHeight="1">
      <c r="B77" s="91" t="s">
        <v>63</v>
      </c>
      <c r="C77" s="68" t="s">
        <v>148</v>
      </c>
      <c r="D77" s="69">
        <v>161</v>
      </c>
      <c r="E77" s="70">
        <v>5.4269053156709999E-3</v>
      </c>
    </row>
    <row r="78" spans="2:5" ht="14.45" customHeight="1">
      <c r="B78" s="92"/>
      <c r="C78" s="68" t="s">
        <v>149</v>
      </c>
      <c r="D78" s="69">
        <v>200</v>
      </c>
      <c r="E78" s="70">
        <v>6.7414972865469996E-3</v>
      </c>
    </row>
    <row r="79" spans="2:5" ht="14.45" customHeight="1">
      <c r="B79" s="93" t="s">
        <v>374</v>
      </c>
      <c r="C79" s="62" t="s">
        <v>29</v>
      </c>
      <c r="D79" s="63">
        <v>361</v>
      </c>
      <c r="E79" s="64">
        <v>1.2168402602217999E-2</v>
      </c>
    </row>
    <row r="80" spans="2:5" ht="14.45" customHeight="1">
      <c r="B80" s="91" t="s">
        <v>59</v>
      </c>
      <c r="C80" s="68" t="s">
        <v>148</v>
      </c>
      <c r="D80" s="69">
        <v>382</v>
      </c>
      <c r="E80" s="70">
        <v>1.2876259817305001E-2</v>
      </c>
    </row>
    <row r="81" spans="2:5" ht="14.45" customHeight="1">
      <c r="B81" s="92"/>
      <c r="C81" s="68" t="s">
        <v>149</v>
      </c>
      <c r="D81" s="69">
        <v>262</v>
      </c>
      <c r="E81" s="70">
        <v>8.8313614453770003E-3</v>
      </c>
    </row>
    <row r="82" spans="2:5" ht="14.45" customHeight="1">
      <c r="B82" s="93" t="s">
        <v>375</v>
      </c>
      <c r="C82" s="62" t="s">
        <v>29</v>
      </c>
      <c r="D82" s="63">
        <v>644</v>
      </c>
      <c r="E82" s="64">
        <v>2.1707621262682001E-2</v>
      </c>
    </row>
    <row r="83" spans="2:5" ht="14.45" customHeight="1">
      <c r="B83" s="91" t="s">
        <v>67</v>
      </c>
      <c r="C83" s="68" t="s">
        <v>148</v>
      </c>
      <c r="D83" s="69">
        <v>77</v>
      </c>
      <c r="E83" s="70">
        <v>2.5954764553209999E-3</v>
      </c>
    </row>
    <row r="84" spans="2:5" ht="14.45" customHeight="1">
      <c r="B84" s="92"/>
      <c r="C84" s="68" t="s">
        <v>149</v>
      </c>
      <c r="D84" s="69">
        <v>178</v>
      </c>
      <c r="E84" s="70">
        <v>5.9999325850270003E-3</v>
      </c>
    </row>
    <row r="85" spans="2:5" ht="14.45" customHeight="1">
      <c r="B85" s="93" t="s">
        <v>376</v>
      </c>
      <c r="C85" s="62" t="s">
        <v>29</v>
      </c>
      <c r="D85" s="63">
        <v>255</v>
      </c>
      <c r="E85" s="64">
        <v>8.5954090403479993E-3</v>
      </c>
    </row>
    <row r="86" spans="2:5" ht="14.45" customHeight="1">
      <c r="B86" s="91" t="s">
        <v>83</v>
      </c>
      <c r="C86" s="68" t="s">
        <v>148</v>
      </c>
      <c r="D86" s="69">
        <v>28</v>
      </c>
      <c r="E86" s="70">
        <v>9.4380962011699995E-4</v>
      </c>
    </row>
    <row r="87" spans="2:5" ht="14.45" customHeight="1">
      <c r="B87" s="92"/>
      <c r="C87" s="68" t="s">
        <v>149</v>
      </c>
      <c r="D87" s="69">
        <v>32</v>
      </c>
      <c r="E87" s="70">
        <v>1.0786395658479999E-3</v>
      </c>
    </row>
    <row r="88" spans="2:5" ht="14.45" customHeight="1">
      <c r="B88" s="93" t="s">
        <v>377</v>
      </c>
      <c r="C88" s="62" t="s">
        <v>29</v>
      </c>
      <c r="D88" s="63">
        <v>60</v>
      </c>
      <c r="E88" s="64">
        <v>2.0224491859639998E-3</v>
      </c>
    </row>
    <row r="89" spans="2:5" ht="14.45" customHeight="1">
      <c r="B89" s="91" t="s">
        <v>96</v>
      </c>
      <c r="C89" s="68" t="s">
        <v>148</v>
      </c>
      <c r="D89" s="69">
        <v>3</v>
      </c>
      <c r="E89" s="70">
        <v>1.0112245929799999E-4</v>
      </c>
    </row>
    <row r="90" spans="2:5" ht="14.45" customHeight="1">
      <c r="B90" s="92"/>
      <c r="C90" s="68" t="s">
        <v>149</v>
      </c>
      <c r="D90" s="69">
        <v>7</v>
      </c>
      <c r="E90" s="70">
        <v>2.35952405029E-4</v>
      </c>
    </row>
    <row r="91" spans="2:5" ht="14.45" customHeight="1">
      <c r="B91" s="93" t="s">
        <v>345</v>
      </c>
      <c r="C91" s="62" t="s">
        <v>29</v>
      </c>
      <c r="D91" s="63">
        <v>10</v>
      </c>
      <c r="E91" s="64">
        <v>3.3707486432699998E-4</v>
      </c>
    </row>
    <row r="92" spans="2:5" ht="14.45" customHeight="1">
      <c r="B92" s="91" t="s">
        <v>100</v>
      </c>
      <c r="C92" s="68" t="s">
        <v>149</v>
      </c>
      <c r="D92" s="69">
        <v>1</v>
      </c>
      <c r="E92" s="70">
        <v>3.3707486433000001E-5</v>
      </c>
    </row>
    <row r="93" spans="2:5" ht="14.45" customHeight="1">
      <c r="B93" s="93"/>
      <c r="C93" s="62" t="s">
        <v>29</v>
      </c>
      <c r="D93" s="63">
        <v>1</v>
      </c>
      <c r="E93" s="64">
        <v>3.3707486433000001E-5</v>
      </c>
    </row>
    <row r="94" spans="2:5" ht="14.45" customHeight="1">
      <c r="B94" s="91" t="s">
        <v>62</v>
      </c>
      <c r="C94" s="68" t="s">
        <v>148</v>
      </c>
      <c r="D94" s="69">
        <v>139</v>
      </c>
      <c r="E94" s="70">
        <v>4.6853406141499996E-3</v>
      </c>
    </row>
    <row r="95" spans="2:5" ht="14.45" customHeight="1">
      <c r="B95" s="92"/>
      <c r="C95" s="68" t="s">
        <v>149</v>
      </c>
      <c r="D95" s="69">
        <v>286</v>
      </c>
      <c r="E95" s="70">
        <v>9.6403411197630001E-3</v>
      </c>
    </row>
    <row r="96" spans="2:5" ht="14.45" customHeight="1">
      <c r="B96" s="93" t="s">
        <v>346</v>
      </c>
      <c r="C96" s="62" t="s">
        <v>29</v>
      </c>
      <c r="D96" s="63">
        <v>425</v>
      </c>
      <c r="E96" s="64">
        <v>1.4325681733913E-2</v>
      </c>
    </row>
    <row r="97" spans="2:5" ht="14.45" customHeight="1">
      <c r="B97" s="91" t="s">
        <v>81</v>
      </c>
      <c r="C97" s="68" t="s">
        <v>148</v>
      </c>
      <c r="D97" s="69">
        <v>21</v>
      </c>
      <c r="E97" s="70">
        <v>7.0785721508699996E-4</v>
      </c>
    </row>
    <row r="98" spans="2:5" ht="14.45" customHeight="1">
      <c r="B98" s="92"/>
      <c r="C98" s="68" t="s">
        <v>149</v>
      </c>
      <c r="D98" s="69">
        <v>44</v>
      </c>
      <c r="E98" s="70">
        <v>1.4831294030399999E-3</v>
      </c>
    </row>
    <row r="99" spans="2:5" ht="14.45" customHeight="1">
      <c r="B99" s="93" t="s">
        <v>347</v>
      </c>
      <c r="C99" s="62" t="s">
        <v>29</v>
      </c>
      <c r="D99" s="63">
        <v>65</v>
      </c>
      <c r="E99" s="64">
        <v>2.190986618128E-3</v>
      </c>
    </row>
    <row r="100" spans="2:5" ht="14.45" customHeight="1">
      <c r="B100" s="91" t="s">
        <v>58</v>
      </c>
      <c r="C100" s="68" t="s">
        <v>148</v>
      </c>
      <c r="D100" s="69">
        <v>255</v>
      </c>
      <c r="E100" s="70">
        <v>8.5954090403479993E-3</v>
      </c>
    </row>
    <row r="101" spans="2:5" ht="14.45" customHeight="1">
      <c r="B101" s="92"/>
      <c r="C101" s="68" t="s">
        <v>149</v>
      </c>
      <c r="D101" s="69">
        <v>450</v>
      </c>
      <c r="E101" s="70">
        <v>1.5168368894732E-2</v>
      </c>
    </row>
    <row r="102" spans="2:5" ht="14.45" customHeight="1">
      <c r="B102" s="93" t="s">
        <v>348</v>
      </c>
      <c r="C102" s="62" t="s">
        <v>29</v>
      </c>
      <c r="D102" s="63">
        <v>705</v>
      </c>
      <c r="E102" s="64">
        <v>2.3763777935079E-2</v>
      </c>
    </row>
    <row r="103" spans="2:5" ht="14.45" customHeight="1">
      <c r="B103" s="91" t="s">
        <v>77</v>
      </c>
      <c r="C103" s="68" t="s">
        <v>148</v>
      </c>
      <c r="D103" s="69">
        <v>37</v>
      </c>
      <c r="E103" s="70">
        <v>1.247176998011E-3</v>
      </c>
    </row>
    <row r="104" spans="2:5" ht="14.45" customHeight="1">
      <c r="B104" s="92"/>
      <c r="C104" s="68" t="s">
        <v>149</v>
      </c>
      <c r="D104" s="69">
        <v>73</v>
      </c>
      <c r="E104" s="70">
        <v>2.4606465095899999E-3</v>
      </c>
    </row>
    <row r="105" spans="2:5" ht="14.45" customHeight="1">
      <c r="B105" s="93" t="s">
        <v>349</v>
      </c>
      <c r="C105" s="62" t="s">
        <v>29</v>
      </c>
      <c r="D105" s="63">
        <v>110</v>
      </c>
      <c r="E105" s="64">
        <v>3.7078235076010001E-3</v>
      </c>
    </row>
    <row r="106" spans="2:5" ht="14.45" customHeight="1">
      <c r="B106" s="91" t="s">
        <v>61</v>
      </c>
      <c r="C106" s="68" t="s">
        <v>148</v>
      </c>
      <c r="D106" s="69">
        <v>124</v>
      </c>
      <c r="E106" s="70">
        <v>4.1797283176590004E-3</v>
      </c>
    </row>
    <row r="107" spans="2:5" ht="14.45" customHeight="1">
      <c r="B107" s="92"/>
      <c r="C107" s="68" t="s">
        <v>149</v>
      </c>
      <c r="D107" s="69">
        <v>302</v>
      </c>
      <c r="E107" s="70">
        <v>1.0179660902686001E-2</v>
      </c>
    </row>
    <row r="108" spans="2:5" ht="14.45" customHeight="1">
      <c r="B108" s="93" t="s">
        <v>350</v>
      </c>
      <c r="C108" s="62" t="s">
        <v>29</v>
      </c>
      <c r="D108" s="63">
        <v>426</v>
      </c>
      <c r="E108" s="64">
        <v>1.4359389220346E-2</v>
      </c>
    </row>
    <row r="109" spans="2:5" ht="14.45" customHeight="1">
      <c r="B109" s="91" t="s">
        <v>91</v>
      </c>
      <c r="C109" s="68" t="s">
        <v>148</v>
      </c>
      <c r="D109" s="69">
        <v>13</v>
      </c>
      <c r="E109" s="70">
        <v>4.38197323626E-4</v>
      </c>
    </row>
    <row r="110" spans="2:5" ht="14.45" customHeight="1">
      <c r="B110" s="92"/>
      <c r="C110" s="68" t="s">
        <v>149</v>
      </c>
      <c r="D110" s="69">
        <v>13</v>
      </c>
      <c r="E110" s="70">
        <v>4.38197323626E-4</v>
      </c>
    </row>
    <row r="111" spans="2:5" ht="14.45" customHeight="1">
      <c r="B111" s="93" t="s">
        <v>351</v>
      </c>
      <c r="C111" s="62" t="s">
        <v>29</v>
      </c>
      <c r="D111" s="63">
        <v>26</v>
      </c>
      <c r="E111" s="64">
        <v>8.7639464725100004E-4</v>
      </c>
    </row>
    <row r="112" spans="2:5" ht="14.45" customHeight="1">
      <c r="B112" s="91" t="s">
        <v>76</v>
      </c>
      <c r="C112" s="68" t="s">
        <v>148</v>
      </c>
      <c r="D112" s="69">
        <v>28</v>
      </c>
      <c r="E112" s="70">
        <v>9.4380962011699995E-4</v>
      </c>
    </row>
    <row r="113" spans="2:5" ht="14.45" customHeight="1">
      <c r="B113" s="92"/>
      <c r="C113" s="68" t="s">
        <v>149</v>
      </c>
      <c r="D113" s="69">
        <v>89</v>
      </c>
      <c r="E113" s="70">
        <v>2.9999662925140002E-3</v>
      </c>
    </row>
    <row r="114" spans="2:5" ht="14.45" customHeight="1">
      <c r="B114" s="93" t="s">
        <v>352</v>
      </c>
      <c r="C114" s="62" t="s">
        <v>29</v>
      </c>
      <c r="D114" s="63">
        <v>117</v>
      </c>
      <c r="E114" s="64">
        <v>3.9437759126300003E-3</v>
      </c>
    </row>
    <row r="115" spans="2:5" ht="14.45" customHeight="1">
      <c r="B115" s="91" t="s">
        <v>93</v>
      </c>
      <c r="C115" s="68" t="s">
        <v>148</v>
      </c>
      <c r="D115" s="69">
        <v>6</v>
      </c>
      <c r="E115" s="70">
        <v>2.0224491859599999E-4</v>
      </c>
    </row>
    <row r="116" spans="2:5" ht="14.45" customHeight="1">
      <c r="B116" s="92"/>
      <c r="C116" s="68" t="s">
        <v>149</v>
      </c>
      <c r="D116" s="69">
        <v>10</v>
      </c>
      <c r="E116" s="70">
        <v>3.3707486432699998E-4</v>
      </c>
    </row>
    <row r="117" spans="2:5" ht="14.45" customHeight="1">
      <c r="B117" s="93" t="s">
        <v>378</v>
      </c>
      <c r="C117" s="62" t="s">
        <v>29</v>
      </c>
      <c r="D117" s="63">
        <v>16</v>
      </c>
      <c r="E117" s="64">
        <v>5.3931978292399995E-4</v>
      </c>
    </row>
    <row r="118" spans="2:5" ht="14.45" customHeight="1">
      <c r="B118" s="91" t="s">
        <v>88</v>
      </c>
      <c r="C118" s="68" t="s">
        <v>148</v>
      </c>
      <c r="D118" s="69">
        <v>6</v>
      </c>
      <c r="E118" s="70">
        <v>2.0224491859599999E-4</v>
      </c>
    </row>
    <row r="119" spans="2:5" ht="14.45" customHeight="1">
      <c r="B119" s="92"/>
      <c r="C119" s="68" t="s">
        <v>149</v>
      </c>
      <c r="D119" s="69">
        <v>32</v>
      </c>
      <c r="E119" s="70">
        <v>1.0786395658479999E-3</v>
      </c>
    </row>
    <row r="120" spans="2:5" ht="14.45" customHeight="1">
      <c r="B120" s="93" t="s">
        <v>379</v>
      </c>
      <c r="C120" s="62" t="s">
        <v>29</v>
      </c>
      <c r="D120" s="63">
        <v>38</v>
      </c>
      <c r="E120" s="64">
        <v>1.280884484444E-3</v>
      </c>
    </row>
    <row r="121" spans="2:5" ht="14.45" customHeight="1">
      <c r="B121" s="91" t="s">
        <v>55</v>
      </c>
      <c r="C121" s="68" t="s">
        <v>148</v>
      </c>
      <c r="D121" s="69">
        <v>369</v>
      </c>
      <c r="E121" s="70">
        <v>1.2438062493679999E-2</v>
      </c>
    </row>
    <row r="122" spans="2:5" ht="14.45" customHeight="1">
      <c r="B122" s="92"/>
      <c r="C122" s="68" t="s">
        <v>149</v>
      </c>
      <c r="D122" s="69">
        <v>806</v>
      </c>
      <c r="E122" s="70">
        <v>2.7168234064785999E-2</v>
      </c>
    </row>
    <row r="123" spans="2:5" ht="14.45" customHeight="1">
      <c r="B123" s="93" t="s">
        <v>380</v>
      </c>
      <c r="C123" s="62" t="s">
        <v>29</v>
      </c>
      <c r="D123" s="63">
        <v>1175</v>
      </c>
      <c r="E123" s="64">
        <v>3.9606296558466002E-2</v>
      </c>
    </row>
    <row r="124" spans="2:5" ht="14.45" customHeight="1">
      <c r="B124" s="91" t="s">
        <v>82</v>
      </c>
      <c r="C124" s="68" t="s">
        <v>148</v>
      </c>
      <c r="D124" s="69">
        <v>17</v>
      </c>
      <c r="E124" s="70">
        <v>5.7302726935699996E-4</v>
      </c>
    </row>
    <row r="125" spans="2:5" ht="14.45" customHeight="1">
      <c r="B125" s="92"/>
      <c r="C125" s="68" t="s">
        <v>149</v>
      </c>
      <c r="D125" s="69">
        <v>45</v>
      </c>
      <c r="E125" s="70">
        <v>1.516836889473E-3</v>
      </c>
    </row>
    <row r="126" spans="2:5" ht="14.45" customHeight="1">
      <c r="B126" s="93" t="s">
        <v>381</v>
      </c>
      <c r="C126" s="62" t="s">
        <v>29</v>
      </c>
      <c r="D126" s="63">
        <v>62</v>
      </c>
      <c r="E126" s="64">
        <v>2.0898641588299998E-3</v>
      </c>
    </row>
    <row r="127" spans="2:5" ht="14.45" customHeight="1">
      <c r="B127" s="91" t="s">
        <v>71</v>
      </c>
      <c r="C127" s="68" t="s">
        <v>148</v>
      </c>
      <c r="D127" s="69">
        <v>41</v>
      </c>
      <c r="E127" s="70">
        <v>1.382006943742E-3</v>
      </c>
    </row>
    <row r="128" spans="2:5" ht="14.45" customHeight="1">
      <c r="B128" s="92"/>
      <c r="C128" s="68" t="s">
        <v>149</v>
      </c>
      <c r="D128" s="69">
        <v>105</v>
      </c>
      <c r="E128" s="70">
        <v>3.539286075437E-3</v>
      </c>
    </row>
    <row r="129" spans="2:5" ht="14.45" customHeight="1">
      <c r="B129" s="93" t="s">
        <v>382</v>
      </c>
      <c r="C129" s="62" t="s">
        <v>29</v>
      </c>
      <c r="D129" s="63">
        <v>146</v>
      </c>
      <c r="E129" s="64">
        <v>4.9212930191799998E-3</v>
      </c>
    </row>
    <row r="130" spans="2:5" ht="14.45" customHeight="1">
      <c r="B130" s="91" t="s">
        <v>86</v>
      </c>
      <c r="C130" s="68" t="s">
        <v>148</v>
      </c>
      <c r="D130" s="69">
        <v>19</v>
      </c>
      <c r="E130" s="70">
        <v>6.4044224222200002E-4</v>
      </c>
    </row>
    <row r="131" spans="2:5" ht="14.45" customHeight="1">
      <c r="B131" s="92"/>
      <c r="C131" s="68" t="s">
        <v>149</v>
      </c>
      <c r="D131" s="69">
        <v>38</v>
      </c>
      <c r="E131" s="70">
        <v>1.280884484444E-3</v>
      </c>
    </row>
    <row r="132" spans="2:5" ht="14.45" customHeight="1">
      <c r="B132" s="93" t="s">
        <v>383</v>
      </c>
      <c r="C132" s="62" t="s">
        <v>29</v>
      </c>
      <c r="D132" s="63">
        <v>57</v>
      </c>
      <c r="E132" s="64">
        <v>1.9213267266660001E-3</v>
      </c>
    </row>
    <row r="133" spans="2:5" ht="14.45" customHeight="1">
      <c r="B133" s="91" t="s">
        <v>57</v>
      </c>
      <c r="C133" s="68" t="s">
        <v>148</v>
      </c>
      <c r="D133" s="69">
        <v>299</v>
      </c>
      <c r="E133" s="70">
        <v>1.0078538443388E-2</v>
      </c>
    </row>
    <row r="134" spans="2:5" ht="14.45" customHeight="1">
      <c r="B134" s="92"/>
      <c r="C134" s="68" t="s">
        <v>149</v>
      </c>
      <c r="D134" s="69">
        <v>522</v>
      </c>
      <c r="E134" s="70">
        <v>1.7595307917888998E-2</v>
      </c>
    </row>
    <row r="135" spans="2:5" ht="14.45" customHeight="1">
      <c r="B135" s="93" t="s">
        <v>384</v>
      </c>
      <c r="C135" s="62" t="s">
        <v>29</v>
      </c>
      <c r="D135" s="63">
        <v>821</v>
      </c>
      <c r="E135" s="64">
        <v>2.7673846361277E-2</v>
      </c>
    </row>
    <row r="136" spans="2:5" ht="14.45" customHeight="1">
      <c r="B136" s="91" t="s">
        <v>79</v>
      </c>
      <c r="C136" s="68" t="s">
        <v>148</v>
      </c>
      <c r="D136" s="69">
        <v>43</v>
      </c>
      <c r="E136" s="70">
        <v>1.449421916608E-3</v>
      </c>
    </row>
    <row r="137" spans="2:5" ht="14.45" customHeight="1">
      <c r="B137" s="92"/>
      <c r="C137" s="68" t="s">
        <v>149</v>
      </c>
      <c r="D137" s="69">
        <v>54</v>
      </c>
      <c r="E137" s="70">
        <v>1.8202042673680001E-3</v>
      </c>
    </row>
    <row r="138" spans="2:5" ht="14.45" customHeight="1">
      <c r="B138" s="93" t="s">
        <v>385</v>
      </c>
      <c r="C138" s="62" t="s">
        <v>29</v>
      </c>
      <c r="D138" s="63">
        <v>97</v>
      </c>
      <c r="E138" s="64">
        <v>3.269626183975E-3</v>
      </c>
    </row>
    <row r="139" spans="2:5" ht="14.45" customHeight="1">
      <c r="B139" s="91" t="s">
        <v>72</v>
      </c>
      <c r="C139" s="68" t="s">
        <v>148</v>
      </c>
      <c r="D139" s="69">
        <v>72</v>
      </c>
      <c r="E139" s="70">
        <v>2.4269390231570001E-3</v>
      </c>
    </row>
    <row r="140" spans="2:5" ht="14.45" customHeight="1">
      <c r="B140" s="92"/>
      <c r="C140" s="68" t="s">
        <v>149</v>
      </c>
      <c r="D140" s="69">
        <v>68</v>
      </c>
      <c r="E140" s="70">
        <v>2.2921090774260001E-3</v>
      </c>
    </row>
    <row r="141" spans="2:5" ht="14.45" customHeight="1">
      <c r="B141" s="93" t="s">
        <v>386</v>
      </c>
      <c r="C141" s="62" t="s">
        <v>29</v>
      </c>
      <c r="D141" s="63">
        <v>140</v>
      </c>
      <c r="E141" s="64">
        <v>4.7190481005830003E-3</v>
      </c>
    </row>
    <row r="142" spans="2:5" ht="14.45" customHeight="1">
      <c r="B142" s="91" t="s">
        <v>90</v>
      </c>
      <c r="C142" s="68" t="s">
        <v>148</v>
      </c>
      <c r="D142" s="69">
        <v>9</v>
      </c>
      <c r="E142" s="70">
        <v>3.0336737789499998E-4</v>
      </c>
    </row>
    <row r="143" spans="2:5" ht="14.45" customHeight="1">
      <c r="B143" s="92"/>
      <c r="C143" s="68" t="s">
        <v>149</v>
      </c>
      <c r="D143" s="69">
        <v>19</v>
      </c>
      <c r="E143" s="70">
        <v>6.4044224222200002E-4</v>
      </c>
    </row>
    <row r="144" spans="2:5" ht="14.45" customHeight="1">
      <c r="B144" s="93" t="s">
        <v>387</v>
      </c>
      <c r="C144" s="62" t="s">
        <v>29</v>
      </c>
      <c r="D144" s="63">
        <v>28</v>
      </c>
      <c r="E144" s="64">
        <v>9.4380962011699995E-4</v>
      </c>
    </row>
    <row r="145" spans="2:5" ht="14.45" customHeight="1">
      <c r="B145" s="91" t="s">
        <v>84</v>
      </c>
      <c r="C145" s="68" t="s">
        <v>148</v>
      </c>
      <c r="D145" s="69">
        <v>30</v>
      </c>
      <c r="E145" s="70">
        <v>1.0112245929819999E-3</v>
      </c>
    </row>
    <row r="146" spans="2:5" ht="14.45" customHeight="1">
      <c r="B146" s="92"/>
      <c r="C146" s="68" t="s">
        <v>149</v>
      </c>
      <c r="D146" s="69">
        <v>29</v>
      </c>
      <c r="E146" s="70">
        <v>9.775171065490001E-4</v>
      </c>
    </row>
    <row r="147" spans="2:5" ht="14.45" customHeight="1">
      <c r="B147" s="93" t="s">
        <v>388</v>
      </c>
      <c r="C147" s="62" t="s">
        <v>29</v>
      </c>
      <c r="D147" s="63">
        <v>59</v>
      </c>
      <c r="E147" s="64">
        <v>1.988741699531E-3</v>
      </c>
    </row>
    <row r="148" spans="2:5" ht="14.45" customHeight="1">
      <c r="B148" s="91" t="s">
        <v>74</v>
      </c>
      <c r="C148" s="68" t="s">
        <v>148</v>
      </c>
      <c r="D148" s="69">
        <v>61</v>
      </c>
      <c r="E148" s="70">
        <v>2.056156672397E-3</v>
      </c>
    </row>
    <row r="149" spans="2:5" ht="14.45" customHeight="1">
      <c r="B149" s="92"/>
      <c r="C149" s="68" t="s">
        <v>149</v>
      </c>
      <c r="D149" s="69">
        <v>75</v>
      </c>
      <c r="E149" s="70">
        <v>2.5280614824549998E-3</v>
      </c>
    </row>
    <row r="150" spans="2:5" ht="14.45" customHeight="1">
      <c r="B150" s="93" t="s">
        <v>389</v>
      </c>
      <c r="C150" s="62" t="s">
        <v>29</v>
      </c>
      <c r="D150" s="63">
        <v>136</v>
      </c>
      <c r="E150" s="64">
        <v>4.5842181548520003E-3</v>
      </c>
    </row>
    <row r="151" spans="2:5" ht="14.45" customHeight="1">
      <c r="B151" s="91" t="s">
        <v>89</v>
      </c>
      <c r="C151" s="68" t="s">
        <v>148</v>
      </c>
      <c r="D151" s="69">
        <v>2</v>
      </c>
      <c r="E151" s="70">
        <v>6.7414972865000001E-5</v>
      </c>
    </row>
    <row r="152" spans="2:5" ht="14.45" customHeight="1">
      <c r="B152" s="92"/>
      <c r="C152" s="68" t="s">
        <v>149</v>
      </c>
      <c r="D152" s="69">
        <v>28</v>
      </c>
      <c r="E152" s="70">
        <v>9.4380962011699995E-4</v>
      </c>
    </row>
    <row r="153" spans="2:5" ht="14.45" customHeight="1">
      <c r="B153" s="93" t="s">
        <v>390</v>
      </c>
      <c r="C153" s="62" t="s">
        <v>29</v>
      </c>
      <c r="D153" s="63">
        <v>30</v>
      </c>
      <c r="E153" s="64">
        <v>1.0112245929819999E-3</v>
      </c>
    </row>
    <row r="154" spans="2:5" ht="14.45" customHeight="1">
      <c r="B154" s="91" t="s">
        <v>94</v>
      </c>
      <c r="C154" s="68" t="s">
        <v>148</v>
      </c>
      <c r="D154" s="69">
        <v>6</v>
      </c>
      <c r="E154" s="70">
        <v>2.0224491859599999E-4</v>
      </c>
    </row>
    <row r="155" spans="2:5" ht="14.45" customHeight="1">
      <c r="B155" s="92"/>
      <c r="C155" s="68" t="s">
        <v>149</v>
      </c>
      <c r="D155" s="69">
        <v>9</v>
      </c>
      <c r="E155" s="70">
        <v>3.0336737789499998E-4</v>
      </c>
    </row>
    <row r="156" spans="2:5" ht="14.45" customHeight="1">
      <c r="B156" s="93" t="s">
        <v>391</v>
      </c>
      <c r="C156" s="62" t="s">
        <v>29</v>
      </c>
      <c r="D156" s="63">
        <v>15</v>
      </c>
      <c r="E156" s="64">
        <v>5.0561229649099995E-4</v>
      </c>
    </row>
    <row r="157" spans="2:5" ht="14.45" customHeight="1">
      <c r="B157" s="91" t="s">
        <v>70</v>
      </c>
      <c r="C157" s="68" t="s">
        <v>148</v>
      </c>
      <c r="D157" s="69">
        <v>52</v>
      </c>
      <c r="E157" s="70">
        <v>1.7527892945020001E-3</v>
      </c>
    </row>
    <row r="158" spans="2:5" ht="14.45" customHeight="1">
      <c r="B158" s="92"/>
      <c r="C158" s="68" t="s">
        <v>149</v>
      </c>
      <c r="D158" s="69">
        <v>106</v>
      </c>
      <c r="E158" s="70">
        <v>3.5729935618700002E-3</v>
      </c>
    </row>
    <row r="159" spans="2:5" ht="14.45" customHeight="1">
      <c r="B159" s="93" t="s">
        <v>192</v>
      </c>
      <c r="C159" s="62" t="s">
        <v>29</v>
      </c>
      <c r="D159" s="63">
        <v>158</v>
      </c>
      <c r="E159" s="64">
        <v>5.3257828563719996E-3</v>
      </c>
    </row>
    <row r="160" spans="2:5" ht="14.45" customHeight="1">
      <c r="B160" s="91" t="s">
        <v>98</v>
      </c>
      <c r="C160" s="68" t="s">
        <v>148</v>
      </c>
      <c r="D160" s="69">
        <v>2</v>
      </c>
      <c r="E160" s="70">
        <v>6.7414972865000001E-5</v>
      </c>
    </row>
    <row r="161" spans="2:5" ht="14.45" customHeight="1">
      <c r="B161" s="92"/>
      <c r="C161" s="68" t="s">
        <v>149</v>
      </c>
      <c r="D161" s="69">
        <v>3</v>
      </c>
      <c r="E161" s="70">
        <v>1.0112245929799999E-4</v>
      </c>
    </row>
    <row r="162" spans="2:5" ht="14.45" customHeight="1">
      <c r="B162" s="93" t="s">
        <v>392</v>
      </c>
      <c r="C162" s="62" t="s">
        <v>29</v>
      </c>
      <c r="D162" s="63">
        <v>5</v>
      </c>
      <c r="E162" s="64">
        <v>1.68537432164E-4</v>
      </c>
    </row>
    <row r="163" spans="2:5" ht="14.45" customHeight="1">
      <c r="B163" s="97" t="s">
        <v>29</v>
      </c>
      <c r="C163" s="98"/>
      <c r="D163" s="60">
        <v>29667</v>
      </c>
      <c r="E163" s="61">
        <v>1</v>
      </c>
    </row>
    <row r="164" spans="2:5" ht="14.45" customHeight="1"/>
    <row r="165" spans="2:5" ht="14.45" customHeight="1">
      <c r="B165" s="15" t="s">
        <v>47</v>
      </c>
    </row>
    <row r="166" spans="2:5" ht="14.45" customHeight="1">
      <c r="B166" s="17" t="s">
        <v>18</v>
      </c>
    </row>
    <row r="167" spans="2:5" ht="14.45" customHeight="1">
      <c r="B167" s="16" t="s">
        <v>48</v>
      </c>
    </row>
    <row r="168" spans="2:5" ht="14.45" customHeight="1">
      <c r="B168" s="15" t="s">
        <v>17</v>
      </c>
    </row>
    <row r="169" spans="2:5" ht="14.45" customHeight="1">
      <c r="B169" s="15" t="s">
        <v>49</v>
      </c>
    </row>
  </sheetData>
  <mergeCells count="53">
    <mergeCell ref="B154:B156"/>
    <mergeCell ref="B157:B159"/>
    <mergeCell ref="B160:B162"/>
    <mergeCell ref="B163:C163"/>
    <mergeCell ref="B115:B117"/>
    <mergeCell ref="B118:B120"/>
    <mergeCell ref="B121:B123"/>
    <mergeCell ref="B124:B126"/>
    <mergeCell ref="B127:B129"/>
    <mergeCell ref="B130:B132"/>
    <mergeCell ref="B133:B135"/>
    <mergeCell ref="B136:B138"/>
    <mergeCell ref="B139:B141"/>
    <mergeCell ref="B142:B144"/>
    <mergeCell ref="B145:B147"/>
    <mergeCell ref="B148:B150"/>
    <mergeCell ref="B100:B102"/>
    <mergeCell ref="B103:B105"/>
    <mergeCell ref="B106:B108"/>
    <mergeCell ref="B109:B111"/>
    <mergeCell ref="B112:B114"/>
    <mergeCell ref="B86:B88"/>
    <mergeCell ref="B89:B91"/>
    <mergeCell ref="B92:B93"/>
    <mergeCell ref="B94:B96"/>
    <mergeCell ref="B97:B99"/>
    <mergeCell ref="B151:B153"/>
    <mergeCell ref="B25:B27"/>
    <mergeCell ref="B28:B30"/>
    <mergeCell ref="B31:B32"/>
    <mergeCell ref="B33:B35"/>
    <mergeCell ref="B36:B38"/>
    <mergeCell ref="B39:B41"/>
    <mergeCell ref="B42:B44"/>
    <mergeCell ref="B45:B47"/>
    <mergeCell ref="B48:B49"/>
    <mergeCell ref="B50:B52"/>
    <mergeCell ref="B53:B55"/>
    <mergeCell ref="B56:B58"/>
    <mergeCell ref="B59:B61"/>
    <mergeCell ref="B62:B64"/>
    <mergeCell ref="B65:B67"/>
    <mergeCell ref="B8:E10"/>
    <mergeCell ref="B13:B15"/>
    <mergeCell ref="B16:B18"/>
    <mergeCell ref="B19:B21"/>
    <mergeCell ref="B22:B24"/>
    <mergeCell ref="B83:B85"/>
    <mergeCell ref="B68:B70"/>
    <mergeCell ref="B71:B73"/>
    <mergeCell ref="B74:B76"/>
    <mergeCell ref="B77:B79"/>
    <mergeCell ref="B80:B82"/>
  </mergeCells>
  <printOptions horizontalCentered="1"/>
  <pageMargins left="0.74803149606299213" right="0.74803149606299213" top="0.98425196850393704" bottom="0.98425196850393704" header="0.51181102362204722" footer="0.51181102362204722"/>
  <pageSetup scale="59" orientation="portrait" r:id="rId1"/>
  <headerFooter>
    <oddFooter>&amp;C&amp;P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B1:F160"/>
  <sheetViews>
    <sheetView showGridLines="0" view="pageBreakPreview" zoomScaleNormal="85" zoomScaleSheetLayoutView="100" workbookViewId="0">
      <selection activeCell="E154" sqref="B12:E154"/>
    </sheetView>
  </sheetViews>
  <sheetFormatPr baseColWidth="10" defaultColWidth="11.42578125" defaultRowHeight="11.25"/>
  <cols>
    <col min="1" max="1" width="5.7109375" style="25" customWidth="1"/>
    <col min="2" max="3" width="25.7109375" style="41" customWidth="1"/>
    <col min="4" max="4" width="15.7109375" style="44" customWidth="1"/>
    <col min="5" max="5" width="15.7109375" style="41" customWidth="1"/>
    <col min="6" max="6" width="3.85546875" style="25" customWidth="1"/>
    <col min="7" max="7" width="0.42578125" style="25" customWidth="1"/>
    <col min="8" max="16384" width="11.42578125" style="25"/>
  </cols>
  <sheetData>
    <row r="1" spans="2:6" s="13" customFormat="1" ht="15">
      <c r="B1" s="41"/>
      <c r="C1" s="41"/>
    </row>
    <row r="2" spans="2:6" s="41" customFormat="1">
      <c r="B2" s="51"/>
    </row>
    <row r="3" spans="2:6" ht="15" customHeight="1">
      <c r="B3" s="52"/>
      <c r="C3" s="31"/>
      <c r="D3" s="25"/>
      <c r="F3" s="41"/>
    </row>
    <row r="4" spans="2:6" ht="30" customHeight="1">
      <c r="B4" s="52"/>
      <c r="C4" s="31"/>
      <c r="D4" s="25"/>
      <c r="F4" s="41"/>
    </row>
    <row r="5" spans="2:6" ht="15" customHeight="1">
      <c r="B5" s="52"/>
      <c r="C5" s="31"/>
      <c r="D5" s="25"/>
      <c r="F5" s="41"/>
    </row>
    <row r="6" spans="2:6" s="41" customFormat="1">
      <c r="B6" s="43"/>
      <c r="C6" s="37"/>
    </row>
    <row r="7" spans="2:6" s="41" customFormat="1">
      <c r="B7" s="51"/>
    </row>
    <row r="8" spans="2:6" s="13" customFormat="1" ht="15" customHeight="1">
      <c r="B8" s="87" t="s">
        <v>41</v>
      </c>
      <c r="C8" s="87"/>
      <c r="D8" s="87"/>
      <c r="E8" s="87"/>
    </row>
    <row r="9" spans="2:6" s="13" customFormat="1" ht="15" customHeight="1">
      <c r="B9" s="87"/>
      <c r="C9" s="87"/>
      <c r="D9" s="87"/>
      <c r="E9" s="87"/>
      <c r="F9" s="50"/>
    </row>
    <row r="10" spans="2:6" s="13" customFormat="1" ht="15" customHeight="1">
      <c r="B10" s="87"/>
      <c r="C10" s="87"/>
      <c r="D10" s="87"/>
      <c r="E10" s="87"/>
    </row>
    <row r="11" spans="2:6" s="13" customFormat="1" ht="15" customHeight="1">
      <c r="B11" s="54"/>
      <c r="C11" s="54"/>
      <c r="D11" s="54"/>
      <c r="E11" s="54"/>
    </row>
    <row r="12" spans="2:6" s="13" customFormat="1" ht="36.950000000000003" customHeight="1">
      <c r="B12" s="56" t="s">
        <v>25</v>
      </c>
      <c r="C12" s="56" t="s">
        <v>30</v>
      </c>
      <c r="D12" s="56" t="s">
        <v>20</v>
      </c>
      <c r="E12" s="56" t="s">
        <v>19</v>
      </c>
    </row>
    <row r="13" spans="2:6" ht="14.45" customHeight="1">
      <c r="B13" s="88" t="s">
        <v>101</v>
      </c>
      <c r="C13" s="68" t="s">
        <v>148</v>
      </c>
      <c r="D13" s="69">
        <v>61</v>
      </c>
      <c r="E13" s="70">
        <v>2.056156672397E-3</v>
      </c>
    </row>
    <row r="14" spans="2:6" ht="14.45" customHeight="1">
      <c r="B14" s="88"/>
      <c r="C14" s="68" t="s">
        <v>149</v>
      </c>
      <c r="D14" s="69">
        <v>152</v>
      </c>
      <c r="E14" s="70">
        <v>5.1235379377760001E-3</v>
      </c>
    </row>
    <row r="15" spans="2:6" ht="14.45" customHeight="1">
      <c r="B15" s="88"/>
      <c r="C15" s="77" t="s">
        <v>29</v>
      </c>
      <c r="D15" s="63">
        <v>213</v>
      </c>
      <c r="E15" s="64">
        <v>7.1796946101730002E-3</v>
      </c>
    </row>
    <row r="16" spans="2:6" ht="14.45" customHeight="1">
      <c r="B16" s="88" t="s">
        <v>102</v>
      </c>
      <c r="C16" s="68" t="s">
        <v>148</v>
      </c>
      <c r="D16" s="69">
        <v>33</v>
      </c>
      <c r="E16" s="70">
        <v>1.1123470522800001E-3</v>
      </c>
    </row>
    <row r="17" spans="2:5" ht="14.45" customHeight="1">
      <c r="B17" s="88"/>
      <c r="C17" s="68" t="s">
        <v>149</v>
      </c>
      <c r="D17" s="69">
        <v>98</v>
      </c>
      <c r="E17" s="70">
        <v>3.3033336704079998E-3</v>
      </c>
    </row>
    <row r="18" spans="2:5" ht="14.45" customHeight="1">
      <c r="B18" s="88" t="s">
        <v>150</v>
      </c>
      <c r="C18" s="77" t="s">
        <v>29</v>
      </c>
      <c r="D18" s="63">
        <v>131</v>
      </c>
      <c r="E18" s="64">
        <v>4.4156807226889997E-3</v>
      </c>
    </row>
    <row r="19" spans="2:5" ht="14.45" customHeight="1">
      <c r="B19" s="88" t="s">
        <v>103</v>
      </c>
      <c r="C19" s="68" t="s">
        <v>148</v>
      </c>
      <c r="D19" s="69">
        <v>168</v>
      </c>
      <c r="E19" s="70">
        <v>5.6628577207E-3</v>
      </c>
    </row>
    <row r="20" spans="2:5" ht="14.45" customHeight="1">
      <c r="B20" s="88"/>
      <c r="C20" s="68" t="s">
        <v>149</v>
      </c>
      <c r="D20" s="69">
        <v>353</v>
      </c>
      <c r="E20" s="70">
        <v>1.1898742710756E-2</v>
      </c>
    </row>
    <row r="21" spans="2:5" ht="14.45" customHeight="1">
      <c r="B21" s="88" t="s">
        <v>151</v>
      </c>
      <c r="C21" s="77" t="s">
        <v>29</v>
      </c>
      <c r="D21" s="63">
        <v>521</v>
      </c>
      <c r="E21" s="64">
        <v>1.7561600431456E-2</v>
      </c>
    </row>
    <row r="22" spans="2:5" ht="14.45" customHeight="1">
      <c r="B22" s="88" t="s">
        <v>104</v>
      </c>
      <c r="C22" s="68" t="s">
        <v>148</v>
      </c>
      <c r="D22" s="69">
        <v>446</v>
      </c>
      <c r="E22" s="70">
        <v>1.5033538949001E-2</v>
      </c>
    </row>
    <row r="23" spans="2:5" ht="14.45" customHeight="1">
      <c r="B23" s="88"/>
      <c r="C23" s="68" t="s">
        <v>149</v>
      </c>
      <c r="D23" s="69">
        <v>567</v>
      </c>
      <c r="E23" s="70">
        <v>1.9112144807362001E-2</v>
      </c>
    </row>
    <row r="24" spans="2:5" ht="14.45" customHeight="1">
      <c r="B24" s="88" t="s">
        <v>152</v>
      </c>
      <c r="C24" s="77" t="s">
        <v>29</v>
      </c>
      <c r="D24" s="63">
        <v>1013</v>
      </c>
      <c r="E24" s="64">
        <v>3.4145683756361997E-2</v>
      </c>
    </row>
    <row r="25" spans="2:5" ht="14.45" customHeight="1">
      <c r="B25" s="88" t="s">
        <v>105</v>
      </c>
      <c r="C25" s="68" t="s">
        <v>148</v>
      </c>
      <c r="D25" s="69">
        <v>42</v>
      </c>
      <c r="E25" s="70">
        <v>1.415714430175E-3</v>
      </c>
    </row>
    <row r="26" spans="2:5" ht="14.45" customHeight="1">
      <c r="B26" s="88"/>
      <c r="C26" s="68" t="s">
        <v>149</v>
      </c>
      <c r="D26" s="69">
        <v>126</v>
      </c>
      <c r="E26" s="70">
        <v>4.247143290525E-3</v>
      </c>
    </row>
    <row r="27" spans="2:5" ht="14.45" customHeight="1">
      <c r="B27" s="88" t="s">
        <v>153</v>
      </c>
      <c r="C27" s="77" t="s">
        <v>29</v>
      </c>
      <c r="D27" s="63">
        <v>168</v>
      </c>
      <c r="E27" s="64">
        <v>5.6628577207E-3</v>
      </c>
    </row>
    <row r="28" spans="2:5" ht="14.45" customHeight="1">
      <c r="B28" s="88" t="s">
        <v>106</v>
      </c>
      <c r="C28" s="68" t="s">
        <v>148</v>
      </c>
      <c r="D28" s="69">
        <v>2</v>
      </c>
      <c r="E28" s="70">
        <v>6.7414972865000001E-5</v>
      </c>
    </row>
    <row r="29" spans="2:5" ht="14.45" customHeight="1">
      <c r="B29" s="88"/>
      <c r="C29" s="68" t="s">
        <v>149</v>
      </c>
      <c r="D29" s="69">
        <v>10</v>
      </c>
      <c r="E29" s="70">
        <v>3.3707486432699998E-4</v>
      </c>
    </row>
    <row r="30" spans="2:5" ht="14.45" customHeight="1">
      <c r="B30" s="88" t="s">
        <v>154</v>
      </c>
      <c r="C30" s="77" t="s">
        <v>29</v>
      </c>
      <c r="D30" s="63">
        <v>12</v>
      </c>
      <c r="E30" s="64">
        <v>4.0448983719299999E-4</v>
      </c>
    </row>
    <row r="31" spans="2:5" ht="14.45" customHeight="1">
      <c r="B31" s="88" t="s">
        <v>107</v>
      </c>
      <c r="C31" s="68" t="s">
        <v>148</v>
      </c>
      <c r="D31" s="69">
        <v>12</v>
      </c>
      <c r="E31" s="70">
        <v>4.0448983719299999E-4</v>
      </c>
    </row>
    <row r="32" spans="2:5" ht="14.45" customHeight="1">
      <c r="B32" s="88"/>
      <c r="C32" s="68" t="s">
        <v>149</v>
      </c>
      <c r="D32" s="69">
        <v>20</v>
      </c>
      <c r="E32" s="70">
        <v>6.7414972865500002E-4</v>
      </c>
    </row>
    <row r="33" spans="2:5" ht="14.45" customHeight="1">
      <c r="B33" s="88" t="s">
        <v>155</v>
      </c>
      <c r="C33" s="77" t="s">
        <v>29</v>
      </c>
      <c r="D33" s="63">
        <v>32</v>
      </c>
      <c r="E33" s="64">
        <v>1.0786395658479999E-3</v>
      </c>
    </row>
    <row r="34" spans="2:5" ht="14.45" customHeight="1">
      <c r="B34" s="88" t="s">
        <v>108</v>
      </c>
      <c r="C34" s="68" t="s">
        <v>148</v>
      </c>
      <c r="D34" s="69">
        <v>194</v>
      </c>
      <c r="E34" s="70">
        <v>6.5392523679510001E-3</v>
      </c>
    </row>
    <row r="35" spans="2:5" ht="14.45" customHeight="1">
      <c r="B35" s="88"/>
      <c r="C35" s="68" t="s">
        <v>149</v>
      </c>
      <c r="D35" s="69">
        <v>470</v>
      </c>
      <c r="E35" s="70">
        <v>1.5842518623385999E-2</v>
      </c>
    </row>
    <row r="36" spans="2:5" ht="14.45" customHeight="1">
      <c r="B36" s="88" t="s">
        <v>156</v>
      </c>
      <c r="C36" s="77" t="s">
        <v>29</v>
      </c>
      <c r="D36" s="63">
        <v>664</v>
      </c>
      <c r="E36" s="64">
        <v>2.2381770991337001E-2</v>
      </c>
    </row>
    <row r="37" spans="2:5" ht="14.45" customHeight="1">
      <c r="B37" s="88" t="s">
        <v>109</v>
      </c>
      <c r="C37" s="68" t="s">
        <v>148</v>
      </c>
      <c r="D37" s="69">
        <v>333</v>
      </c>
      <c r="E37" s="70">
        <v>1.1224592982101E-2</v>
      </c>
    </row>
    <row r="38" spans="2:5" ht="14.45" customHeight="1">
      <c r="B38" s="88"/>
      <c r="C38" s="68" t="s">
        <v>149</v>
      </c>
      <c r="D38" s="69">
        <v>704</v>
      </c>
      <c r="E38" s="70">
        <v>2.3730070448647E-2</v>
      </c>
    </row>
    <row r="39" spans="2:5" ht="14.45" customHeight="1">
      <c r="B39" s="88" t="s">
        <v>157</v>
      </c>
      <c r="C39" s="77" t="s">
        <v>29</v>
      </c>
      <c r="D39" s="63">
        <v>1037</v>
      </c>
      <c r="E39" s="64">
        <v>3.4954663430747997E-2</v>
      </c>
    </row>
    <row r="40" spans="2:5" ht="14.45" customHeight="1">
      <c r="B40" s="88" t="s">
        <v>110</v>
      </c>
      <c r="C40" s="68" t="s">
        <v>149</v>
      </c>
      <c r="D40" s="69">
        <v>1</v>
      </c>
      <c r="E40" s="70">
        <v>3.3707486433000001E-5</v>
      </c>
    </row>
    <row r="41" spans="2:5" ht="14.45" customHeight="1">
      <c r="B41" s="88" t="s">
        <v>158</v>
      </c>
      <c r="C41" s="77" t="s">
        <v>29</v>
      </c>
      <c r="D41" s="63">
        <v>1</v>
      </c>
      <c r="E41" s="64">
        <v>3.3707486433000001E-5</v>
      </c>
    </row>
    <row r="42" spans="2:5" ht="14.45" customHeight="1">
      <c r="B42" s="88" t="s">
        <v>111</v>
      </c>
      <c r="C42" s="68" t="s">
        <v>148</v>
      </c>
      <c r="D42" s="69">
        <v>9</v>
      </c>
      <c r="E42" s="70">
        <v>3.0336737789499998E-4</v>
      </c>
    </row>
    <row r="43" spans="2:5" ht="14.45" customHeight="1">
      <c r="B43" s="88"/>
      <c r="C43" s="68" t="s">
        <v>149</v>
      </c>
      <c r="D43" s="69">
        <v>35</v>
      </c>
      <c r="E43" s="70">
        <v>1.1797620251460001E-3</v>
      </c>
    </row>
    <row r="44" spans="2:5" ht="14.45" customHeight="1">
      <c r="B44" s="88" t="s">
        <v>159</v>
      </c>
      <c r="C44" s="77" t="s">
        <v>29</v>
      </c>
      <c r="D44" s="63">
        <v>44</v>
      </c>
      <c r="E44" s="64">
        <v>1.4831294030399999E-3</v>
      </c>
    </row>
    <row r="45" spans="2:5" ht="14.45" customHeight="1">
      <c r="B45" s="88" t="s">
        <v>112</v>
      </c>
      <c r="C45" s="68" t="s">
        <v>148</v>
      </c>
      <c r="D45" s="69">
        <v>435</v>
      </c>
      <c r="E45" s="70">
        <v>1.466275659824E-2</v>
      </c>
    </row>
    <row r="46" spans="2:5" ht="14.45" customHeight="1">
      <c r="B46" s="88"/>
      <c r="C46" s="68" t="s">
        <v>149</v>
      </c>
      <c r="D46" s="69">
        <v>576</v>
      </c>
      <c r="E46" s="70">
        <v>1.9415512185256001E-2</v>
      </c>
    </row>
    <row r="47" spans="2:5" ht="14.45" customHeight="1">
      <c r="B47" s="88" t="s">
        <v>160</v>
      </c>
      <c r="C47" s="77" t="s">
        <v>29</v>
      </c>
      <c r="D47" s="63">
        <v>1011</v>
      </c>
      <c r="E47" s="64">
        <v>3.4078268783496998E-2</v>
      </c>
    </row>
    <row r="48" spans="2:5" ht="14.45" customHeight="1">
      <c r="B48" s="88" t="s">
        <v>113</v>
      </c>
      <c r="C48" s="68" t="s">
        <v>148</v>
      </c>
      <c r="D48" s="69">
        <v>113</v>
      </c>
      <c r="E48" s="70">
        <v>3.8089459668989999E-3</v>
      </c>
    </row>
    <row r="49" spans="2:5" ht="14.45" customHeight="1">
      <c r="B49" s="88"/>
      <c r="C49" s="68" t="s">
        <v>149</v>
      </c>
      <c r="D49" s="69">
        <v>227</v>
      </c>
      <c r="E49" s="70">
        <v>7.6515994202310004E-3</v>
      </c>
    </row>
    <row r="50" spans="2:5" ht="14.45" customHeight="1">
      <c r="B50" s="88" t="s">
        <v>161</v>
      </c>
      <c r="C50" s="77" t="s">
        <v>29</v>
      </c>
      <c r="D50" s="63">
        <v>340</v>
      </c>
      <c r="E50" s="64">
        <v>1.1460545387130001E-2</v>
      </c>
    </row>
    <row r="51" spans="2:5" ht="14.45" customHeight="1">
      <c r="B51" s="88" t="s">
        <v>114</v>
      </c>
      <c r="C51" s="68" t="s">
        <v>148</v>
      </c>
      <c r="D51" s="69">
        <v>11</v>
      </c>
      <c r="E51" s="70">
        <v>3.7078235075999999E-4</v>
      </c>
    </row>
    <row r="52" spans="2:5" ht="14.45" customHeight="1">
      <c r="B52" s="88"/>
      <c r="C52" s="68" t="s">
        <v>149</v>
      </c>
      <c r="D52" s="69">
        <v>29</v>
      </c>
      <c r="E52" s="70">
        <v>9.775171065490001E-4</v>
      </c>
    </row>
    <row r="53" spans="2:5" ht="14.45" customHeight="1">
      <c r="B53" s="88" t="s">
        <v>162</v>
      </c>
      <c r="C53" s="77" t="s">
        <v>29</v>
      </c>
      <c r="D53" s="63">
        <v>40</v>
      </c>
      <c r="E53" s="64">
        <v>1.348299457309E-3</v>
      </c>
    </row>
    <row r="54" spans="2:5" ht="14.45" customHeight="1">
      <c r="B54" s="88" t="s">
        <v>115</v>
      </c>
      <c r="C54" s="68" t="s">
        <v>148</v>
      </c>
      <c r="D54" s="69">
        <v>63</v>
      </c>
      <c r="E54" s="70">
        <v>2.123571645262E-3</v>
      </c>
    </row>
    <row r="55" spans="2:5" ht="14.45" customHeight="1">
      <c r="B55" s="88"/>
      <c r="C55" s="68" t="s">
        <v>149</v>
      </c>
      <c r="D55" s="69">
        <v>147</v>
      </c>
      <c r="E55" s="70">
        <v>4.9550005056120004E-3</v>
      </c>
    </row>
    <row r="56" spans="2:5" ht="14.45" customHeight="1">
      <c r="B56" s="88" t="s">
        <v>163</v>
      </c>
      <c r="C56" s="77" t="s">
        <v>29</v>
      </c>
      <c r="D56" s="63">
        <v>210</v>
      </c>
      <c r="E56" s="64">
        <v>7.078572150875E-3</v>
      </c>
    </row>
    <row r="57" spans="2:5" ht="14.45" customHeight="1">
      <c r="B57" s="88" t="s">
        <v>116</v>
      </c>
      <c r="C57" s="68" t="s">
        <v>148</v>
      </c>
      <c r="D57" s="69">
        <v>40</v>
      </c>
      <c r="E57" s="70">
        <v>1.348299457309E-3</v>
      </c>
    </row>
    <row r="58" spans="2:5" ht="14.45" customHeight="1">
      <c r="B58" s="88"/>
      <c r="C58" s="68" t="s">
        <v>149</v>
      </c>
      <c r="D58" s="69">
        <v>90</v>
      </c>
      <c r="E58" s="70">
        <v>3.0336737789459999E-3</v>
      </c>
    </row>
    <row r="59" spans="2:5" ht="14.45" customHeight="1">
      <c r="B59" s="88" t="s">
        <v>164</v>
      </c>
      <c r="C59" s="77" t="s">
        <v>29</v>
      </c>
      <c r="D59" s="63">
        <v>130</v>
      </c>
      <c r="E59" s="64">
        <v>4.381973236256E-3</v>
      </c>
    </row>
    <row r="60" spans="2:5" ht="14.45" customHeight="1">
      <c r="B60" s="88" t="s">
        <v>117</v>
      </c>
      <c r="C60" s="68" t="s">
        <v>148</v>
      </c>
      <c r="D60" s="69">
        <v>90</v>
      </c>
      <c r="E60" s="70">
        <v>3.0336737789459999E-3</v>
      </c>
    </row>
    <row r="61" spans="2:5" ht="14.45" customHeight="1">
      <c r="B61" s="88"/>
      <c r="C61" s="68" t="s">
        <v>149</v>
      </c>
      <c r="D61" s="69">
        <v>194</v>
      </c>
      <c r="E61" s="70">
        <v>6.5392523679510001E-3</v>
      </c>
    </row>
    <row r="62" spans="2:5" ht="14.45" customHeight="1">
      <c r="B62" s="88" t="s">
        <v>165</v>
      </c>
      <c r="C62" s="77" t="s">
        <v>29</v>
      </c>
      <c r="D62" s="63">
        <v>284</v>
      </c>
      <c r="E62" s="64">
        <v>9.5729261468970005E-3</v>
      </c>
    </row>
    <row r="63" spans="2:5" ht="14.45" customHeight="1">
      <c r="B63" s="88" t="s">
        <v>118</v>
      </c>
      <c r="C63" s="68" t="s">
        <v>148</v>
      </c>
      <c r="D63" s="69">
        <v>10</v>
      </c>
      <c r="E63" s="70">
        <v>3.3707486432699998E-4</v>
      </c>
    </row>
    <row r="64" spans="2:5" ht="14.45" customHeight="1">
      <c r="B64" s="88"/>
      <c r="C64" s="68" t="s">
        <v>149</v>
      </c>
      <c r="D64" s="69">
        <v>16</v>
      </c>
      <c r="E64" s="70">
        <v>5.3931978292399995E-4</v>
      </c>
    </row>
    <row r="65" spans="2:5" ht="14.45" customHeight="1">
      <c r="B65" s="88" t="s">
        <v>166</v>
      </c>
      <c r="C65" s="77" t="s">
        <v>29</v>
      </c>
      <c r="D65" s="63">
        <v>26</v>
      </c>
      <c r="E65" s="64">
        <v>8.7639464725100004E-4</v>
      </c>
    </row>
    <row r="66" spans="2:5" ht="14.45" customHeight="1">
      <c r="B66" s="88" t="s">
        <v>119</v>
      </c>
      <c r="C66" s="68" t="s">
        <v>148</v>
      </c>
      <c r="D66" s="69">
        <v>6</v>
      </c>
      <c r="E66" s="70">
        <v>2.0224491859599999E-4</v>
      </c>
    </row>
    <row r="67" spans="2:5" ht="14.45" customHeight="1">
      <c r="B67" s="88"/>
      <c r="C67" s="68" t="s">
        <v>149</v>
      </c>
      <c r="D67" s="69">
        <v>18</v>
      </c>
      <c r="E67" s="70">
        <v>6.0673475578900001E-4</v>
      </c>
    </row>
    <row r="68" spans="2:5" ht="14.45" customHeight="1">
      <c r="B68" s="88" t="s">
        <v>167</v>
      </c>
      <c r="C68" s="77" t="s">
        <v>29</v>
      </c>
      <c r="D68" s="63">
        <v>24</v>
      </c>
      <c r="E68" s="64">
        <v>8.0897967438599999E-4</v>
      </c>
    </row>
    <row r="69" spans="2:5" ht="14.45" customHeight="1">
      <c r="B69" s="88" t="s">
        <v>120</v>
      </c>
      <c r="C69" s="68" t="s">
        <v>148</v>
      </c>
      <c r="D69" s="69">
        <v>63</v>
      </c>
      <c r="E69" s="70">
        <v>2.123571645262E-3</v>
      </c>
    </row>
    <row r="70" spans="2:5" ht="14.45" customHeight="1">
      <c r="B70" s="88"/>
      <c r="C70" s="68" t="s">
        <v>149</v>
      </c>
      <c r="D70" s="69">
        <v>101</v>
      </c>
      <c r="E70" s="70">
        <v>3.404456129706E-3</v>
      </c>
    </row>
    <row r="71" spans="2:5" ht="14.45" customHeight="1">
      <c r="B71" s="88" t="s">
        <v>168</v>
      </c>
      <c r="C71" s="77" t="s">
        <v>29</v>
      </c>
      <c r="D71" s="63">
        <v>164</v>
      </c>
      <c r="E71" s="64">
        <v>5.528027774969E-3</v>
      </c>
    </row>
    <row r="72" spans="2:5" ht="14.45" customHeight="1">
      <c r="B72" s="88" t="s">
        <v>121</v>
      </c>
      <c r="C72" s="68" t="s">
        <v>148</v>
      </c>
      <c r="D72" s="69">
        <v>37</v>
      </c>
      <c r="E72" s="70">
        <v>1.247176998011E-3</v>
      </c>
    </row>
    <row r="73" spans="2:5" ht="14.45" customHeight="1">
      <c r="B73" s="88"/>
      <c r="C73" s="68" t="s">
        <v>149</v>
      </c>
      <c r="D73" s="69">
        <v>91</v>
      </c>
      <c r="E73" s="70">
        <v>3.0673812653790001E-3</v>
      </c>
    </row>
    <row r="74" spans="2:5" ht="14.45" customHeight="1">
      <c r="B74" s="88" t="s">
        <v>169</v>
      </c>
      <c r="C74" s="77" t="s">
        <v>29</v>
      </c>
      <c r="D74" s="63">
        <v>128</v>
      </c>
      <c r="E74" s="64">
        <v>4.3145582633900004E-3</v>
      </c>
    </row>
    <row r="75" spans="2:5" ht="14.45" customHeight="1">
      <c r="B75" s="88" t="s">
        <v>122</v>
      </c>
      <c r="C75" s="68" t="s">
        <v>148</v>
      </c>
      <c r="D75" s="69">
        <v>52</v>
      </c>
      <c r="E75" s="70">
        <v>1.7527892945020001E-3</v>
      </c>
    </row>
    <row r="76" spans="2:5" ht="14.45" customHeight="1">
      <c r="B76" s="88"/>
      <c r="C76" s="68" t="s">
        <v>149</v>
      </c>
      <c r="D76" s="69">
        <v>85</v>
      </c>
      <c r="E76" s="70">
        <v>2.8651363467829998E-3</v>
      </c>
    </row>
    <row r="77" spans="2:5" ht="14.45" customHeight="1">
      <c r="B77" s="88" t="s">
        <v>170</v>
      </c>
      <c r="C77" s="77" t="s">
        <v>29</v>
      </c>
      <c r="D77" s="63">
        <v>137</v>
      </c>
      <c r="E77" s="64">
        <v>4.6179256412850001E-3</v>
      </c>
    </row>
    <row r="78" spans="2:5" ht="14.45" customHeight="1">
      <c r="B78" s="88" t="s">
        <v>123</v>
      </c>
      <c r="C78" s="68" t="s">
        <v>148</v>
      </c>
      <c r="D78" s="69">
        <v>31</v>
      </c>
      <c r="E78" s="70">
        <v>1.0449320794149999E-3</v>
      </c>
    </row>
    <row r="79" spans="2:5" ht="14.45" customHeight="1">
      <c r="B79" s="88"/>
      <c r="C79" s="68" t="s">
        <v>149</v>
      </c>
      <c r="D79" s="69">
        <v>89</v>
      </c>
      <c r="E79" s="70">
        <v>2.9999662925140002E-3</v>
      </c>
    </row>
    <row r="80" spans="2:5" ht="14.45" customHeight="1">
      <c r="B80" s="88" t="s">
        <v>171</v>
      </c>
      <c r="C80" s="77" t="s">
        <v>29</v>
      </c>
      <c r="D80" s="63">
        <v>120</v>
      </c>
      <c r="E80" s="64">
        <v>4.0448983719279996E-3</v>
      </c>
    </row>
    <row r="81" spans="2:5" ht="14.45" customHeight="1">
      <c r="B81" s="88" t="s">
        <v>124</v>
      </c>
      <c r="C81" s="68" t="s">
        <v>148</v>
      </c>
      <c r="D81" s="69">
        <v>1</v>
      </c>
      <c r="E81" s="70">
        <v>3.3707486433000001E-5</v>
      </c>
    </row>
    <row r="82" spans="2:5" ht="14.45" customHeight="1">
      <c r="B82" s="88"/>
      <c r="C82" s="68" t="s">
        <v>149</v>
      </c>
      <c r="D82" s="69">
        <v>9</v>
      </c>
      <c r="E82" s="70">
        <v>3.0336737789499998E-4</v>
      </c>
    </row>
    <row r="83" spans="2:5" ht="14.45" customHeight="1">
      <c r="B83" s="88" t="s">
        <v>172</v>
      </c>
      <c r="C83" s="77" t="s">
        <v>29</v>
      </c>
      <c r="D83" s="63">
        <v>10</v>
      </c>
      <c r="E83" s="64">
        <v>3.3707486432699998E-4</v>
      </c>
    </row>
    <row r="84" spans="2:5" ht="14.45" customHeight="1">
      <c r="B84" s="88" t="s">
        <v>125</v>
      </c>
      <c r="C84" s="68" t="s">
        <v>148</v>
      </c>
      <c r="D84" s="69">
        <v>29</v>
      </c>
      <c r="E84" s="70">
        <v>9.775171065490001E-4</v>
      </c>
    </row>
    <row r="85" spans="2:5" ht="14.45" customHeight="1">
      <c r="B85" s="88"/>
      <c r="C85" s="68" t="s">
        <v>149</v>
      </c>
      <c r="D85" s="69">
        <v>51</v>
      </c>
      <c r="E85" s="70">
        <v>1.7190818080699999E-3</v>
      </c>
    </row>
    <row r="86" spans="2:5" ht="14.45" customHeight="1">
      <c r="B86" s="88" t="s">
        <v>173</v>
      </c>
      <c r="C86" s="77" t="s">
        <v>29</v>
      </c>
      <c r="D86" s="63">
        <v>80</v>
      </c>
      <c r="E86" s="64">
        <v>2.696598914619E-3</v>
      </c>
    </row>
    <row r="87" spans="2:5" ht="14.45" customHeight="1">
      <c r="B87" s="88" t="s">
        <v>126</v>
      </c>
      <c r="C87" s="68" t="s">
        <v>148</v>
      </c>
      <c r="D87" s="69">
        <v>48</v>
      </c>
      <c r="E87" s="70">
        <v>1.6179593487709999E-3</v>
      </c>
    </row>
    <row r="88" spans="2:5" ht="14.45" customHeight="1">
      <c r="B88" s="88"/>
      <c r="C88" s="68" t="s">
        <v>149</v>
      </c>
      <c r="D88" s="69">
        <v>93</v>
      </c>
      <c r="E88" s="70">
        <v>3.1347962382450001E-3</v>
      </c>
    </row>
    <row r="89" spans="2:5" ht="14.45" customHeight="1">
      <c r="B89" s="88" t="s">
        <v>174</v>
      </c>
      <c r="C89" s="77" t="s">
        <v>29</v>
      </c>
      <c r="D89" s="63">
        <v>141</v>
      </c>
      <c r="E89" s="64">
        <v>4.752755587016E-3</v>
      </c>
    </row>
    <row r="90" spans="2:5" ht="14.45" customHeight="1">
      <c r="B90" s="88" t="s">
        <v>127</v>
      </c>
      <c r="C90" s="68" t="s">
        <v>148</v>
      </c>
      <c r="D90" s="69">
        <v>1</v>
      </c>
      <c r="E90" s="70">
        <v>3.3707486433000001E-5</v>
      </c>
    </row>
    <row r="91" spans="2:5" ht="14.45" customHeight="1">
      <c r="B91" s="88"/>
      <c r="C91" s="68" t="s">
        <v>149</v>
      </c>
      <c r="D91" s="69">
        <v>1</v>
      </c>
      <c r="E91" s="70">
        <v>3.3707486433000001E-5</v>
      </c>
    </row>
    <row r="92" spans="2:5" ht="14.45" customHeight="1">
      <c r="B92" s="88" t="s">
        <v>175</v>
      </c>
      <c r="C92" s="77" t="s">
        <v>29</v>
      </c>
      <c r="D92" s="63">
        <v>2</v>
      </c>
      <c r="E92" s="64">
        <v>6.7414972865000001E-5</v>
      </c>
    </row>
    <row r="93" spans="2:5" ht="14.45" customHeight="1">
      <c r="B93" s="88" t="s">
        <v>128</v>
      </c>
      <c r="C93" s="68" t="s">
        <v>148</v>
      </c>
      <c r="D93" s="69">
        <v>11</v>
      </c>
      <c r="E93" s="70">
        <v>3.7078235075999999E-4</v>
      </c>
    </row>
    <row r="94" spans="2:5" ht="14.45" customHeight="1">
      <c r="B94" s="88"/>
      <c r="C94" s="68" t="s">
        <v>149</v>
      </c>
      <c r="D94" s="69">
        <v>21</v>
      </c>
      <c r="E94" s="70">
        <v>7.0785721508699996E-4</v>
      </c>
    </row>
    <row r="95" spans="2:5" ht="14.45" customHeight="1">
      <c r="B95" s="88" t="s">
        <v>176</v>
      </c>
      <c r="C95" s="77" t="s">
        <v>29</v>
      </c>
      <c r="D95" s="63">
        <v>32</v>
      </c>
      <c r="E95" s="64">
        <v>1.0786395658479999E-3</v>
      </c>
    </row>
    <row r="96" spans="2:5" ht="14.45" customHeight="1">
      <c r="B96" s="88" t="s">
        <v>129</v>
      </c>
      <c r="C96" s="68" t="s">
        <v>148</v>
      </c>
      <c r="D96" s="69">
        <v>22</v>
      </c>
      <c r="E96" s="70">
        <v>7.4156470151999997E-4</v>
      </c>
    </row>
    <row r="97" spans="2:5" ht="14.45" customHeight="1">
      <c r="B97" s="88"/>
      <c r="C97" s="68" t="s">
        <v>149</v>
      </c>
      <c r="D97" s="69">
        <v>35</v>
      </c>
      <c r="E97" s="70">
        <v>1.1797620251460001E-3</v>
      </c>
    </row>
    <row r="98" spans="2:5" ht="14.45" customHeight="1">
      <c r="B98" s="88" t="s">
        <v>177</v>
      </c>
      <c r="C98" s="77" t="s">
        <v>29</v>
      </c>
      <c r="D98" s="63">
        <v>57</v>
      </c>
      <c r="E98" s="64">
        <v>1.9213267266660001E-3</v>
      </c>
    </row>
    <row r="99" spans="2:5" ht="14.45" customHeight="1">
      <c r="B99" s="88" t="s">
        <v>130</v>
      </c>
      <c r="C99" s="68" t="s">
        <v>148</v>
      </c>
      <c r="D99" s="69">
        <v>16</v>
      </c>
      <c r="E99" s="70">
        <v>5.3931978292399995E-4</v>
      </c>
    </row>
    <row r="100" spans="2:5" ht="14.45" customHeight="1">
      <c r="B100" s="88"/>
      <c r="C100" s="68" t="s">
        <v>149</v>
      </c>
      <c r="D100" s="69">
        <v>36</v>
      </c>
      <c r="E100" s="70">
        <v>1.2134695115790001E-3</v>
      </c>
    </row>
    <row r="101" spans="2:5" ht="14.45" customHeight="1">
      <c r="B101" s="88" t="s">
        <v>178</v>
      </c>
      <c r="C101" s="77" t="s">
        <v>29</v>
      </c>
      <c r="D101" s="63">
        <v>52</v>
      </c>
      <c r="E101" s="64">
        <v>1.7527892945020001E-3</v>
      </c>
    </row>
    <row r="102" spans="2:5" ht="14.45" customHeight="1">
      <c r="B102" s="88" t="s">
        <v>131</v>
      </c>
      <c r="C102" s="68" t="s">
        <v>148</v>
      </c>
      <c r="D102" s="69">
        <v>256</v>
      </c>
      <c r="E102" s="70">
        <v>8.6291165267809999E-3</v>
      </c>
    </row>
    <row r="103" spans="2:5" ht="14.45" customHeight="1">
      <c r="B103" s="88"/>
      <c r="C103" s="68" t="s">
        <v>149</v>
      </c>
      <c r="D103" s="69">
        <v>575</v>
      </c>
      <c r="E103" s="70">
        <v>1.9381804698824001E-2</v>
      </c>
    </row>
    <row r="104" spans="2:5" ht="14.45" customHeight="1">
      <c r="B104" s="88" t="s">
        <v>179</v>
      </c>
      <c r="C104" s="77" t="s">
        <v>29</v>
      </c>
      <c r="D104" s="63">
        <v>831</v>
      </c>
      <c r="E104" s="64">
        <v>2.8010921225603998E-2</v>
      </c>
    </row>
    <row r="105" spans="2:5" ht="14.45" customHeight="1">
      <c r="B105" s="88" t="s">
        <v>132</v>
      </c>
      <c r="C105" s="68" t="s">
        <v>148</v>
      </c>
      <c r="D105" s="69">
        <v>1</v>
      </c>
      <c r="E105" s="70">
        <v>3.3707486433000001E-5</v>
      </c>
    </row>
    <row r="106" spans="2:5" ht="14.45" customHeight="1">
      <c r="B106" s="88"/>
      <c r="C106" s="68" t="s">
        <v>149</v>
      </c>
      <c r="D106" s="69">
        <v>9</v>
      </c>
      <c r="E106" s="70">
        <v>3.0336737789499998E-4</v>
      </c>
    </row>
    <row r="107" spans="2:5" ht="14.45" customHeight="1">
      <c r="B107" s="88" t="s">
        <v>180</v>
      </c>
      <c r="C107" s="77" t="s">
        <v>29</v>
      </c>
      <c r="D107" s="63">
        <v>10</v>
      </c>
      <c r="E107" s="64">
        <v>3.3707486432699998E-4</v>
      </c>
    </row>
    <row r="108" spans="2:5" ht="14.45" customHeight="1">
      <c r="B108" s="88" t="s">
        <v>133</v>
      </c>
      <c r="C108" s="68" t="s">
        <v>148</v>
      </c>
      <c r="D108" s="69">
        <v>39</v>
      </c>
      <c r="E108" s="70">
        <v>1.314591970877E-3</v>
      </c>
    </row>
    <row r="109" spans="2:5" ht="14.45" customHeight="1">
      <c r="B109" s="88"/>
      <c r="C109" s="68" t="s">
        <v>149</v>
      </c>
      <c r="D109" s="69">
        <v>119</v>
      </c>
      <c r="E109" s="70">
        <v>4.0111908854959999E-3</v>
      </c>
    </row>
    <row r="110" spans="2:5" ht="14.45" customHeight="1">
      <c r="B110" s="88" t="s">
        <v>181</v>
      </c>
      <c r="C110" s="77" t="s">
        <v>29</v>
      </c>
      <c r="D110" s="63">
        <v>158</v>
      </c>
      <c r="E110" s="64">
        <v>5.3257828563719996E-3</v>
      </c>
    </row>
    <row r="111" spans="2:5" ht="14.45" customHeight="1">
      <c r="B111" s="88" t="s">
        <v>134</v>
      </c>
      <c r="C111" s="68" t="s">
        <v>148</v>
      </c>
      <c r="D111" s="69">
        <v>316</v>
      </c>
      <c r="E111" s="70">
        <v>1.0651565712745E-2</v>
      </c>
    </row>
    <row r="112" spans="2:5" ht="14.45" customHeight="1">
      <c r="B112" s="88"/>
      <c r="C112" s="68" t="s">
        <v>149</v>
      </c>
      <c r="D112" s="69">
        <v>548</v>
      </c>
      <c r="E112" s="70">
        <v>1.847170256514E-2</v>
      </c>
    </row>
    <row r="113" spans="2:5" ht="14.45" customHeight="1">
      <c r="B113" s="88" t="s">
        <v>182</v>
      </c>
      <c r="C113" s="77" t="s">
        <v>29</v>
      </c>
      <c r="D113" s="63">
        <v>864</v>
      </c>
      <c r="E113" s="64">
        <v>2.9123268277885E-2</v>
      </c>
    </row>
    <row r="114" spans="2:5" ht="14.45" customHeight="1">
      <c r="B114" s="88" t="s">
        <v>135</v>
      </c>
      <c r="C114" s="68" t="s">
        <v>148</v>
      </c>
      <c r="D114" s="69">
        <v>5</v>
      </c>
      <c r="E114" s="70">
        <v>1.68537432164E-4</v>
      </c>
    </row>
    <row r="115" spans="2:5" ht="14.45" customHeight="1">
      <c r="B115" s="88"/>
      <c r="C115" s="68" t="s">
        <v>149</v>
      </c>
      <c r="D115" s="69">
        <v>7</v>
      </c>
      <c r="E115" s="70">
        <v>2.35952405029E-4</v>
      </c>
    </row>
    <row r="116" spans="2:5" ht="14.45" customHeight="1">
      <c r="B116" s="88" t="s">
        <v>183</v>
      </c>
      <c r="C116" s="77" t="s">
        <v>29</v>
      </c>
      <c r="D116" s="63">
        <v>12</v>
      </c>
      <c r="E116" s="64">
        <v>4.0448983719299999E-4</v>
      </c>
    </row>
    <row r="117" spans="2:5" ht="14.45" customHeight="1">
      <c r="B117" s="88" t="s">
        <v>136</v>
      </c>
      <c r="C117" s="68" t="s">
        <v>148</v>
      </c>
      <c r="D117" s="69">
        <v>7</v>
      </c>
      <c r="E117" s="70">
        <v>2.35952405029E-4</v>
      </c>
    </row>
    <row r="118" spans="2:5" ht="14.45" customHeight="1">
      <c r="B118" s="88"/>
      <c r="C118" s="68" t="s">
        <v>149</v>
      </c>
      <c r="D118" s="69">
        <v>20</v>
      </c>
      <c r="E118" s="70">
        <v>6.7414972865500002E-4</v>
      </c>
    </row>
    <row r="119" spans="2:5" ht="14.45" customHeight="1">
      <c r="B119" s="88" t="s">
        <v>184</v>
      </c>
      <c r="C119" s="77" t="s">
        <v>29</v>
      </c>
      <c r="D119" s="63">
        <v>27</v>
      </c>
      <c r="E119" s="64">
        <v>9.1010213368400005E-4</v>
      </c>
    </row>
    <row r="120" spans="2:5" ht="14.45" customHeight="1">
      <c r="B120" s="88" t="s">
        <v>137</v>
      </c>
      <c r="C120" s="68" t="s">
        <v>148</v>
      </c>
      <c r="D120" s="69">
        <v>1</v>
      </c>
      <c r="E120" s="70">
        <v>3.3707486433000001E-5</v>
      </c>
    </row>
    <row r="121" spans="2:5" ht="14.45" customHeight="1">
      <c r="B121" s="88"/>
      <c r="C121" s="68" t="s">
        <v>149</v>
      </c>
      <c r="D121" s="69">
        <v>1</v>
      </c>
      <c r="E121" s="70">
        <v>3.3707486433000001E-5</v>
      </c>
    </row>
    <row r="122" spans="2:5" ht="14.45" customHeight="1">
      <c r="B122" s="88" t="s">
        <v>185</v>
      </c>
      <c r="C122" s="77" t="s">
        <v>29</v>
      </c>
      <c r="D122" s="63">
        <v>2</v>
      </c>
      <c r="E122" s="64">
        <v>6.7414972865000001E-5</v>
      </c>
    </row>
    <row r="123" spans="2:5" ht="14.45" customHeight="1">
      <c r="B123" s="88" t="s">
        <v>138</v>
      </c>
      <c r="C123" s="68" t="s">
        <v>148</v>
      </c>
      <c r="D123" s="69">
        <v>103</v>
      </c>
      <c r="E123" s="70">
        <v>3.471871102572E-3</v>
      </c>
    </row>
    <row r="124" spans="2:5" ht="14.45" customHeight="1">
      <c r="B124" s="88"/>
      <c r="C124" s="68" t="s">
        <v>149</v>
      </c>
      <c r="D124" s="69">
        <v>178</v>
      </c>
      <c r="E124" s="70">
        <v>5.9999325850270003E-3</v>
      </c>
    </row>
    <row r="125" spans="2:5" ht="14.45" customHeight="1">
      <c r="B125" s="88" t="s">
        <v>186</v>
      </c>
      <c r="C125" s="77" t="s">
        <v>29</v>
      </c>
      <c r="D125" s="63">
        <v>281</v>
      </c>
      <c r="E125" s="64">
        <v>9.4718036875989994E-3</v>
      </c>
    </row>
    <row r="126" spans="2:5" ht="14.45" customHeight="1">
      <c r="B126" s="88" t="s">
        <v>139</v>
      </c>
      <c r="C126" s="68" t="s">
        <v>148</v>
      </c>
      <c r="D126" s="69">
        <v>4</v>
      </c>
      <c r="E126" s="70">
        <v>1.3482994573099999E-4</v>
      </c>
    </row>
    <row r="127" spans="2:5" ht="14.45" customHeight="1">
      <c r="B127" s="88"/>
      <c r="C127" s="68" t="s">
        <v>149</v>
      </c>
      <c r="D127" s="69">
        <v>9</v>
      </c>
      <c r="E127" s="70">
        <v>3.0336737789499998E-4</v>
      </c>
    </row>
    <row r="128" spans="2:5" ht="14.45" customHeight="1">
      <c r="B128" s="88" t="s">
        <v>187</v>
      </c>
      <c r="C128" s="77" t="s">
        <v>29</v>
      </c>
      <c r="D128" s="63">
        <v>13</v>
      </c>
      <c r="E128" s="64">
        <v>4.38197323626E-4</v>
      </c>
    </row>
    <row r="129" spans="2:5" ht="14.45" customHeight="1">
      <c r="B129" s="88" t="s">
        <v>140</v>
      </c>
      <c r="C129" s="68" t="s">
        <v>148</v>
      </c>
      <c r="D129" s="69">
        <v>150</v>
      </c>
      <c r="E129" s="70">
        <v>5.0561229649109998E-3</v>
      </c>
    </row>
    <row r="130" spans="2:5" ht="14.45" customHeight="1">
      <c r="B130" s="88"/>
      <c r="C130" s="68" t="s">
        <v>149</v>
      </c>
      <c r="D130" s="69">
        <v>478</v>
      </c>
      <c r="E130" s="70">
        <v>1.6112178514847999E-2</v>
      </c>
    </row>
    <row r="131" spans="2:5" ht="14.45" customHeight="1">
      <c r="B131" s="88" t="s">
        <v>188</v>
      </c>
      <c r="C131" s="77" t="s">
        <v>29</v>
      </c>
      <c r="D131" s="63">
        <v>628</v>
      </c>
      <c r="E131" s="64">
        <v>2.1168301479759E-2</v>
      </c>
    </row>
    <row r="132" spans="2:5" ht="14.45" customHeight="1">
      <c r="B132" s="88" t="s">
        <v>141</v>
      </c>
      <c r="C132" s="68" t="s">
        <v>148</v>
      </c>
      <c r="D132" s="69">
        <v>7554</v>
      </c>
      <c r="E132" s="70">
        <v>0.25462635251289301</v>
      </c>
    </row>
    <row r="133" spans="2:5" ht="14.45" customHeight="1">
      <c r="B133" s="88"/>
      <c r="C133" s="68" t="s">
        <v>149</v>
      </c>
      <c r="D133" s="69">
        <v>12143</v>
      </c>
      <c r="E133" s="70">
        <v>0.40931000775272203</v>
      </c>
    </row>
    <row r="134" spans="2:5" ht="14.45" customHeight="1">
      <c r="B134" s="88" t="s">
        <v>189</v>
      </c>
      <c r="C134" s="77" t="s">
        <v>29</v>
      </c>
      <c r="D134" s="63">
        <v>19697</v>
      </c>
      <c r="E134" s="64">
        <v>0.66393636026561498</v>
      </c>
    </row>
    <row r="135" spans="2:5" ht="14.45" customHeight="1">
      <c r="B135" s="88" t="s">
        <v>142</v>
      </c>
      <c r="C135" s="68" t="s">
        <v>148</v>
      </c>
      <c r="D135" s="69">
        <v>16</v>
      </c>
      <c r="E135" s="70">
        <v>5.3931978292399995E-4</v>
      </c>
    </row>
    <row r="136" spans="2:5" ht="14.45" customHeight="1">
      <c r="B136" s="88"/>
      <c r="C136" s="68" t="s">
        <v>149</v>
      </c>
      <c r="D136" s="69">
        <v>34</v>
      </c>
      <c r="E136" s="70">
        <v>1.1460545387130001E-3</v>
      </c>
    </row>
    <row r="137" spans="2:5" ht="14.45" customHeight="1">
      <c r="B137" s="88" t="s">
        <v>190</v>
      </c>
      <c r="C137" s="77" t="s">
        <v>29</v>
      </c>
      <c r="D137" s="63">
        <v>50</v>
      </c>
      <c r="E137" s="64">
        <v>1.6853743216369999E-3</v>
      </c>
    </row>
    <row r="138" spans="2:5" ht="14.45" customHeight="1">
      <c r="B138" s="88" t="s">
        <v>143</v>
      </c>
      <c r="C138" s="68" t="s">
        <v>149</v>
      </c>
      <c r="D138" s="69">
        <v>2</v>
      </c>
      <c r="E138" s="70">
        <v>6.7414972865000001E-5</v>
      </c>
    </row>
    <row r="139" spans="2:5" ht="14.45" customHeight="1">
      <c r="B139" s="88"/>
      <c r="C139" s="77" t="s">
        <v>29</v>
      </c>
      <c r="D139" s="63">
        <v>2</v>
      </c>
      <c r="E139" s="64">
        <v>6.7414972865000001E-5</v>
      </c>
    </row>
    <row r="140" spans="2:5" ht="14.45" customHeight="1">
      <c r="B140" s="88" t="s">
        <v>144</v>
      </c>
      <c r="C140" s="68" t="s">
        <v>148</v>
      </c>
      <c r="D140" s="69">
        <v>44</v>
      </c>
      <c r="E140" s="70">
        <v>1.4831294030399999E-3</v>
      </c>
    </row>
    <row r="141" spans="2:5" ht="14.45" customHeight="1">
      <c r="B141" s="88"/>
      <c r="C141" s="68" t="s">
        <v>149</v>
      </c>
      <c r="D141" s="69">
        <v>102</v>
      </c>
      <c r="E141" s="70">
        <v>3.4381636161389998E-3</v>
      </c>
    </row>
    <row r="142" spans="2:5" ht="14.45" customHeight="1">
      <c r="B142" s="88" t="s">
        <v>191</v>
      </c>
      <c r="C142" s="77" t="s">
        <v>29</v>
      </c>
      <c r="D142" s="63">
        <v>146</v>
      </c>
      <c r="E142" s="64">
        <v>4.9212930191799998E-3</v>
      </c>
    </row>
    <row r="143" spans="2:5" ht="14.45" customHeight="1">
      <c r="B143" s="88" t="s">
        <v>70</v>
      </c>
      <c r="C143" s="68" t="s">
        <v>148</v>
      </c>
      <c r="D143" s="69">
        <v>3</v>
      </c>
      <c r="E143" s="70">
        <v>1.0112245929799999E-4</v>
      </c>
    </row>
    <row r="144" spans="2:5" ht="14.45" customHeight="1">
      <c r="B144" s="88"/>
      <c r="C144" s="68" t="s">
        <v>149</v>
      </c>
      <c r="D144" s="69">
        <v>38</v>
      </c>
      <c r="E144" s="70">
        <v>1.280884484444E-3</v>
      </c>
    </row>
    <row r="145" spans="2:5" ht="14.45" customHeight="1">
      <c r="B145" s="88" t="s">
        <v>192</v>
      </c>
      <c r="C145" s="77" t="s">
        <v>29</v>
      </c>
      <c r="D145" s="63">
        <v>41</v>
      </c>
      <c r="E145" s="64">
        <v>1.382006943742E-3</v>
      </c>
    </row>
    <row r="146" spans="2:5" ht="14.45" customHeight="1">
      <c r="B146" s="88" t="s">
        <v>145</v>
      </c>
      <c r="C146" s="68" t="s">
        <v>148</v>
      </c>
      <c r="D146" s="69">
        <v>3</v>
      </c>
      <c r="E146" s="70">
        <v>1.0112245929799999E-4</v>
      </c>
    </row>
    <row r="147" spans="2:5" ht="14.45" customHeight="1">
      <c r="B147" s="88"/>
      <c r="C147" s="77" t="s">
        <v>29</v>
      </c>
      <c r="D147" s="63">
        <v>3</v>
      </c>
      <c r="E147" s="64">
        <v>1.0112245929799999E-4</v>
      </c>
    </row>
    <row r="148" spans="2:5" ht="14.45" customHeight="1">
      <c r="B148" s="88" t="s">
        <v>146</v>
      </c>
      <c r="C148" s="68" t="s">
        <v>148</v>
      </c>
      <c r="D148" s="69">
        <v>29</v>
      </c>
      <c r="E148" s="70">
        <v>9.775171065490001E-4</v>
      </c>
    </row>
    <row r="149" spans="2:5" ht="14.45" customHeight="1">
      <c r="B149" s="88"/>
      <c r="C149" s="68" t="s">
        <v>149</v>
      </c>
      <c r="D149" s="69">
        <v>33</v>
      </c>
      <c r="E149" s="70">
        <v>1.1123470522800001E-3</v>
      </c>
    </row>
    <row r="150" spans="2:5" ht="14.45" customHeight="1">
      <c r="B150" s="88" t="s">
        <v>193</v>
      </c>
      <c r="C150" s="77" t="s">
        <v>29</v>
      </c>
      <c r="D150" s="63">
        <v>62</v>
      </c>
      <c r="E150" s="64">
        <v>2.0898641588299998E-3</v>
      </c>
    </row>
    <row r="151" spans="2:5" ht="14.45" customHeight="1">
      <c r="B151" s="88" t="s">
        <v>147</v>
      </c>
      <c r="C151" s="68" t="s">
        <v>148</v>
      </c>
      <c r="D151" s="69">
        <v>5</v>
      </c>
      <c r="E151" s="70">
        <v>1.68537432164E-4</v>
      </c>
    </row>
    <row r="152" spans="2:5" ht="14.45" customHeight="1">
      <c r="B152" s="88"/>
      <c r="C152" s="68" t="s">
        <v>149</v>
      </c>
      <c r="D152" s="69">
        <v>11</v>
      </c>
      <c r="E152" s="70">
        <v>3.7078235075999999E-4</v>
      </c>
    </row>
    <row r="153" spans="2:5" ht="14.45" customHeight="1">
      <c r="B153" s="88" t="s">
        <v>194</v>
      </c>
      <c r="C153" s="77" t="s">
        <v>29</v>
      </c>
      <c r="D153" s="63">
        <v>16</v>
      </c>
      <c r="E153" s="64">
        <v>5.3931978292399995E-4</v>
      </c>
    </row>
    <row r="154" spans="2:5" ht="14.45" customHeight="1">
      <c r="B154" s="99" t="s">
        <v>29</v>
      </c>
      <c r="C154" s="99"/>
      <c r="D154" s="60">
        <v>29667</v>
      </c>
      <c r="E154" s="61">
        <v>1</v>
      </c>
    </row>
    <row r="155" spans="2:5" ht="14.45" customHeight="1">
      <c r="B155" s="15"/>
    </row>
    <row r="156" spans="2:5" ht="14.45" customHeight="1">
      <c r="B156" s="15" t="s">
        <v>47</v>
      </c>
    </row>
    <row r="157" spans="2:5" ht="14.45" customHeight="1">
      <c r="B157" s="17" t="s">
        <v>18</v>
      </c>
    </row>
    <row r="158" spans="2:5" ht="14.45" customHeight="1">
      <c r="B158" s="16" t="s">
        <v>48</v>
      </c>
    </row>
    <row r="159" spans="2:5" ht="14.45" customHeight="1">
      <c r="B159" s="15" t="s">
        <v>17</v>
      </c>
    </row>
    <row r="160" spans="2:5" ht="14.45" customHeight="1">
      <c r="B160" s="15" t="s">
        <v>49</v>
      </c>
    </row>
  </sheetData>
  <mergeCells count="50">
    <mergeCell ref="B146:B147"/>
    <mergeCell ref="B148:B150"/>
    <mergeCell ref="B151:B153"/>
    <mergeCell ref="B154:C154"/>
    <mergeCell ref="B25:B27"/>
    <mergeCell ref="B45:B47"/>
    <mergeCell ref="B48:B50"/>
    <mergeCell ref="B51:B53"/>
    <mergeCell ref="B54:B56"/>
    <mergeCell ref="B28:B30"/>
    <mergeCell ref="B31:B33"/>
    <mergeCell ref="B34:B36"/>
    <mergeCell ref="B37:B39"/>
    <mergeCell ref="B40:B41"/>
    <mergeCell ref="B42:B44"/>
    <mergeCell ref="B93:B95"/>
    <mergeCell ref="B8:E10"/>
    <mergeCell ref="B13:B15"/>
    <mergeCell ref="B16:B18"/>
    <mergeCell ref="B19:B21"/>
    <mergeCell ref="B22:B24"/>
    <mergeCell ref="B117:B119"/>
    <mergeCell ref="B120:B122"/>
    <mergeCell ref="B72:B74"/>
    <mergeCell ref="B81:B83"/>
    <mergeCell ref="B84:B86"/>
    <mergeCell ref="B87:B89"/>
    <mergeCell ref="B90:B92"/>
    <mergeCell ref="B75:B77"/>
    <mergeCell ref="B78:B80"/>
    <mergeCell ref="B96:B98"/>
    <mergeCell ref="B99:B101"/>
    <mergeCell ref="B111:B113"/>
    <mergeCell ref="B114:B116"/>
    <mergeCell ref="B102:B104"/>
    <mergeCell ref="B105:B107"/>
    <mergeCell ref="B108:B110"/>
    <mergeCell ref="B57:B59"/>
    <mergeCell ref="B60:B62"/>
    <mergeCell ref="B63:B65"/>
    <mergeCell ref="B66:B68"/>
    <mergeCell ref="B69:B71"/>
    <mergeCell ref="B140:B142"/>
    <mergeCell ref="B143:B145"/>
    <mergeCell ref="B123:B125"/>
    <mergeCell ref="B126:B128"/>
    <mergeCell ref="B129:B131"/>
    <mergeCell ref="B132:B134"/>
    <mergeCell ref="B135:B137"/>
    <mergeCell ref="B138:B139"/>
  </mergeCells>
  <printOptions horizontalCentered="1"/>
  <pageMargins left="0.74803149606299213" right="0.74803149606299213" top="0.98425196850393704" bottom="0.98425196850393704" header="0.51181102362204722" footer="0.51181102362204722"/>
  <pageSetup scale="59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B1:G36"/>
  <sheetViews>
    <sheetView showGridLines="0" view="pageBreakPreview" topLeftCell="A4" zoomScaleNormal="100" zoomScaleSheetLayoutView="100" workbookViewId="0">
      <selection activeCell="G19" sqref="G19"/>
    </sheetView>
  </sheetViews>
  <sheetFormatPr baseColWidth="10" defaultColWidth="11.42578125" defaultRowHeight="11.25"/>
  <cols>
    <col min="1" max="1" width="5.7109375" style="25" customWidth="1"/>
    <col min="2" max="2" width="19" style="41" customWidth="1"/>
    <col min="3" max="3" width="30.140625" style="41" customWidth="1"/>
    <col min="4" max="4" width="17.140625" style="44" customWidth="1"/>
    <col min="5" max="5" width="16.5703125" style="44" customWidth="1"/>
    <col min="6" max="6" width="16.5703125" style="41" customWidth="1"/>
    <col min="7" max="7" width="5.42578125" style="25" customWidth="1"/>
    <col min="8" max="16384" width="11.42578125" style="25"/>
  </cols>
  <sheetData>
    <row r="1" spans="2:7" s="13" customFormat="1" ht="15">
      <c r="B1" s="41"/>
      <c r="C1" s="41"/>
    </row>
    <row r="2" spans="2:7" s="41" customFormat="1">
      <c r="B2" s="51"/>
    </row>
    <row r="3" spans="2:7" ht="15" customHeight="1">
      <c r="B3" s="52"/>
      <c r="C3" s="31"/>
      <c r="D3" s="25"/>
      <c r="E3" s="25"/>
      <c r="G3" s="41"/>
    </row>
    <row r="4" spans="2:7" ht="30" customHeight="1">
      <c r="B4" s="52"/>
      <c r="C4" s="31"/>
      <c r="D4" s="25"/>
      <c r="E4" s="25"/>
      <c r="G4" s="41"/>
    </row>
    <row r="5" spans="2:7" ht="15" customHeight="1">
      <c r="B5" s="52"/>
      <c r="C5" s="31"/>
      <c r="D5" s="25"/>
      <c r="E5" s="25"/>
      <c r="G5" s="41"/>
    </row>
    <row r="6" spans="2:7" s="41" customFormat="1">
      <c r="B6" s="43"/>
      <c r="C6" s="37"/>
    </row>
    <row r="7" spans="2:7" s="41" customFormat="1">
      <c r="B7" s="51"/>
    </row>
    <row r="8" spans="2:7" s="13" customFormat="1" ht="15" customHeight="1">
      <c r="B8" s="87" t="s">
        <v>34</v>
      </c>
      <c r="C8" s="87"/>
      <c r="D8" s="87"/>
      <c r="E8" s="87"/>
      <c r="F8" s="87"/>
    </row>
    <row r="9" spans="2:7" s="13" customFormat="1" ht="15" customHeight="1">
      <c r="B9" s="87"/>
      <c r="C9" s="87"/>
      <c r="D9" s="87"/>
      <c r="E9" s="87"/>
      <c r="F9" s="87"/>
      <c r="G9" s="50"/>
    </row>
    <row r="10" spans="2:7" s="13" customFormat="1" ht="15" customHeight="1">
      <c r="B10" s="87"/>
      <c r="C10" s="87"/>
      <c r="D10" s="87"/>
      <c r="E10" s="87"/>
      <c r="F10" s="87"/>
    </row>
    <row r="11" spans="2:7" s="13" customFormat="1" ht="15" customHeight="1">
      <c r="B11" s="53"/>
      <c r="C11" s="53"/>
      <c r="D11" s="53"/>
      <c r="E11" s="53"/>
      <c r="F11" s="53"/>
    </row>
    <row r="12" spans="2:7" s="13" customFormat="1" ht="45" customHeight="1">
      <c r="B12" s="56" t="s">
        <v>30</v>
      </c>
      <c r="C12" s="56" t="s">
        <v>33</v>
      </c>
      <c r="D12" s="56" t="s">
        <v>20</v>
      </c>
      <c r="E12" s="56" t="s">
        <v>32</v>
      </c>
      <c r="F12" s="56" t="s">
        <v>31</v>
      </c>
    </row>
    <row r="13" spans="2:7" ht="14.45" customHeight="1">
      <c r="B13" s="100" t="s">
        <v>148</v>
      </c>
      <c r="C13" s="57" t="s">
        <v>279</v>
      </c>
      <c r="D13" s="58">
        <v>27</v>
      </c>
      <c r="E13" s="67">
        <v>2.4736601007790001E-3</v>
      </c>
      <c r="F13" s="59">
        <v>9.1010213368400005E-4</v>
      </c>
    </row>
    <row r="14" spans="2:7" ht="14.45" customHeight="1">
      <c r="B14" s="100"/>
      <c r="C14" s="57" t="s">
        <v>280</v>
      </c>
      <c r="D14" s="58">
        <v>1002</v>
      </c>
      <c r="E14" s="67">
        <v>9.1800274851121993E-2</v>
      </c>
      <c r="F14" s="59">
        <v>3.3774901405601999E-2</v>
      </c>
    </row>
    <row r="15" spans="2:7" ht="14.45" customHeight="1">
      <c r="B15" s="100"/>
      <c r="C15" s="57" t="s">
        <v>281</v>
      </c>
      <c r="D15" s="58">
        <v>2686</v>
      </c>
      <c r="E15" s="67">
        <v>0.2460833715071</v>
      </c>
      <c r="F15" s="59">
        <v>9.0538308558331004E-2</v>
      </c>
    </row>
    <row r="16" spans="2:7" ht="14.45" customHeight="1">
      <c r="B16" s="100"/>
      <c r="C16" s="57" t="s">
        <v>282</v>
      </c>
      <c r="D16" s="58">
        <v>4063</v>
      </c>
      <c r="E16" s="67">
        <v>0.37224003664681599</v>
      </c>
      <c r="F16" s="59">
        <v>0.13695351737620901</v>
      </c>
    </row>
    <row r="17" spans="2:6" ht="14.45" customHeight="1">
      <c r="B17" s="100"/>
      <c r="C17" s="57" t="s">
        <v>283</v>
      </c>
      <c r="D17" s="58">
        <v>2693</v>
      </c>
      <c r="E17" s="67">
        <v>0.24672469079248699</v>
      </c>
      <c r="F17" s="59">
        <v>9.0774260963359998E-2</v>
      </c>
    </row>
    <row r="18" spans="2:6" ht="14.45" customHeight="1">
      <c r="B18" s="100"/>
      <c r="C18" s="57" t="s">
        <v>284</v>
      </c>
      <c r="D18" s="58">
        <v>363</v>
      </c>
      <c r="E18" s="67">
        <v>3.3256985799358998E-2</v>
      </c>
      <c r="F18" s="59">
        <v>1.2235817575083E-2</v>
      </c>
    </row>
    <row r="19" spans="2:6" ht="14.45" customHeight="1">
      <c r="B19" s="100"/>
      <c r="C19" s="57" t="s">
        <v>285</v>
      </c>
      <c r="D19" s="58">
        <v>1</v>
      </c>
      <c r="E19" s="67">
        <v>9.1617040770000007E-5</v>
      </c>
      <c r="F19" s="59">
        <v>3.3707486433000001E-5</v>
      </c>
    </row>
    <row r="20" spans="2:6" ht="14.45" customHeight="1">
      <c r="B20" s="100"/>
      <c r="C20" s="57" t="s">
        <v>286</v>
      </c>
      <c r="D20" s="58">
        <v>80</v>
      </c>
      <c r="E20" s="67">
        <v>7.329363261567E-3</v>
      </c>
      <c r="F20" s="59">
        <v>2.696598914619E-3</v>
      </c>
    </row>
    <row r="21" spans="2:6" ht="14.45" customHeight="1">
      <c r="B21" s="100" t="s">
        <v>149</v>
      </c>
      <c r="C21" s="57" t="s">
        <v>279</v>
      </c>
      <c r="D21" s="58">
        <v>30</v>
      </c>
      <c r="E21" s="67">
        <v>1.5998293515360001E-3</v>
      </c>
      <c r="F21" s="59">
        <v>1.0112245929819999E-3</v>
      </c>
    </row>
    <row r="22" spans="2:6" ht="14.45" customHeight="1">
      <c r="B22" s="100"/>
      <c r="C22" s="57" t="s">
        <v>280</v>
      </c>
      <c r="D22" s="58">
        <v>2939</v>
      </c>
      <c r="E22" s="67">
        <v>0.15672994880546101</v>
      </c>
      <c r="F22" s="59">
        <v>9.9066302625812994E-2</v>
      </c>
    </row>
    <row r="23" spans="2:6" ht="14.45" customHeight="1">
      <c r="B23" s="100"/>
      <c r="C23" s="57" t="s">
        <v>281</v>
      </c>
      <c r="D23" s="58">
        <v>5476</v>
      </c>
      <c r="E23" s="67">
        <v>0.29202218430034099</v>
      </c>
      <c r="F23" s="59">
        <v>0.184582195705666</v>
      </c>
    </row>
    <row r="24" spans="2:6" ht="14.45" customHeight="1">
      <c r="B24" s="100"/>
      <c r="C24" s="57" t="s">
        <v>282</v>
      </c>
      <c r="D24" s="58">
        <v>5928</v>
      </c>
      <c r="E24" s="67">
        <v>0.31612627986348102</v>
      </c>
      <c r="F24" s="59">
        <v>0.199817979573263</v>
      </c>
    </row>
    <row r="25" spans="2:6" ht="14.45" customHeight="1">
      <c r="B25" s="100"/>
      <c r="C25" s="57" t="s">
        <v>283</v>
      </c>
      <c r="D25" s="58">
        <v>3815</v>
      </c>
      <c r="E25" s="67">
        <v>0.203444965870307</v>
      </c>
      <c r="F25" s="59">
        <v>0.128594060740891</v>
      </c>
    </row>
    <row r="26" spans="2:6" ht="14.45" customHeight="1">
      <c r="B26" s="100"/>
      <c r="C26" s="57" t="s">
        <v>284</v>
      </c>
      <c r="D26" s="58">
        <v>468</v>
      </c>
      <c r="E26" s="67">
        <v>2.4957337883958999E-2</v>
      </c>
      <c r="F26" s="59">
        <v>1.5775103650521E-2</v>
      </c>
    </row>
    <row r="27" spans="2:6" ht="14.45" customHeight="1">
      <c r="B27" s="100"/>
      <c r="C27" s="57" t="s">
        <v>285</v>
      </c>
      <c r="D27" s="58">
        <v>1</v>
      </c>
      <c r="E27" s="67">
        <v>5.3327645051E-5</v>
      </c>
      <c r="F27" s="59">
        <v>3.3707486433000001E-5</v>
      </c>
    </row>
    <row r="28" spans="2:6" ht="14.45" customHeight="1">
      <c r="B28" s="100"/>
      <c r="C28" s="57" t="s">
        <v>286</v>
      </c>
      <c r="D28" s="58">
        <v>95</v>
      </c>
      <c r="E28" s="67">
        <v>5.0661262798629998E-3</v>
      </c>
      <c r="F28" s="59">
        <v>3.2022112111100001E-3</v>
      </c>
    </row>
    <row r="29" spans="2:6" ht="14.45" customHeight="1">
      <c r="B29" s="99" t="s">
        <v>29</v>
      </c>
      <c r="C29" s="99"/>
      <c r="D29" s="60">
        <v>29667</v>
      </c>
      <c r="E29" s="61">
        <v>1</v>
      </c>
      <c r="F29" s="61">
        <v>1</v>
      </c>
    </row>
    <row r="30" spans="2:6" ht="14.45" customHeight="1"/>
    <row r="31" spans="2:6" ht="14.45" customHeight="1">
      <c r="B31" s="15" t="s">
        <v>47</v>
      </c>
    </row>
    <row r="32" spans="2:6" ht="14.45" customHeight="1">
      <c r="B32" s="17" t="s">
        <v>18</v>
      </c>
    </row>
    <row r="33" spans="2:2" ht="14.45" customHeight="1">
      <c r="B33" s="16" t="s">
        <v>48</v>
      </c>
    </row>
    <row r="34" spans="2:2" ht="14.45" customHeight="1">
      <c r="B34" s="15" t="s">
        <v>17</v>
      </c>
    </row>
    <row r="35" spans="2:2" ht="14.45" customHeight="1">
      <c r="B35" s="15" t="s">
        <v>49</v>
      </c>
    </row>
    <row r="36" spans="2:2" ht="14.45" customHeight="1"/>
  </sheetData>
  <mergeCells count="4">
    <mergeCell ref="B8:F10"/>
    <mergeCell ref="B13:B20"/>
    <mergeCell ref="B21:B28"/>
    <mergeCell ref="B29:C2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F75"/>
  <sheetViews>
    <sheetView showGridLines="0" tabSelected="1" view="pageBreakPreview" topLeftCell="A48" zoomScaleNormal="100" zoomScaleSheetLayoutView="100" workbookViewId="0">
      <selection activeCell="C12" sqref="C12:C68"/>
    </sheetView>
  </sheetViews>
  <sheetFormatPr baseColWidth="10" defaultColWidth="11.42578125" defaultRowHeight="15"/>
  <cols>
    <col min="1" max="1" width="9.28515625" style="13" customWidth="1"/>
    <col min="2" max="2" width="43.7109375" style="13" customWidth="1"/>
    <col min="3" max="3" width="17.7109375" style="14" customWidth="1"/>
    <col min="4" max="4" width="17.7109375" style="13" customWidth="1"/>
    <col min="5" max="5" width="8.85546875" style="13" customWidth="1"/>
    <col min="6" max="6" width="5.7109375" style="13" hidden="1" customWidth="1"/>
    <col min="7" max="16384" width="11.42578125" style="13"/>
  </cols>
  <sheetData>
    <row r="1" spans="2:5" s="25" customFormat="1" ht="15" customHeight="1">
      <c r="C1" s="31"/>
    </row>
    <row r="2" spans="2:5" s="25" customFormat="1" ht="15" customHeight="1">
      <c r="C2" s="31"/>
    </row>
    <row r="3" spans="2:5" s="25" customFormat="1" ht="15" customHeight="1">
      <c r="C3" s="31"/>
    </row>
    <row r="4" spans="2:5" s="25" customFormat="1" ht="30" customHeight="1">
      <c r="C4" s="31"/>
      <c r="D4" s="30"/>
    </row>
    <row r="5" spans="2:5" s="25" customFormat="1" ht="15" customHeight="1">
      <c r="C5" s="31"/>
      <c r="D5" s="30"/>
    </row>
    <row r="6" spans="2:5" s="25" customFormat="1" ht="15" customHeight="1">
      <c r="C6" s="31"/>
      <c r="D6" s="30"/>
    </row>
    <row r="7" spans="2:5" s="25" customFormat="1" ht="15" customHeight="1">
      <c r="B7" s="87" t="s">
        <v>393</v>
      </c>
      <c r="C7" s="87"/>
      <c r="D7" s="87"/>
    </row>
    <row r="8" spans="2:5" s="25" customFormat="1" ht="15" customHeight="1">
      <c r="B8" s="87"/>
      <c r="C8" s="87"/>
      <c r="D8" s="87"/>
    </row>
    <row r="9" spans="2:5" s="25" customFormat="1" ht="33" customHeight="1">
      <c r="B9" s="87"/>
      <c r="C9" s="87"/>
      <c r="D9" s="87"/>
    </row>
    <row r="10" spans="2:5" s="25" customFormat="1" ht="4.5" customHeight="1">
      <c r="B10" s="29"/>
      <c r="C10" s="29"/>
      <c r="D10" s="29"/>
    </row>
    <row r="11" spans="2:5" s="25" customFormat="1" ht="33" customHeight="1">
      <c r="B11" s="28" t="s">
        <v>35</v>
      </c>
      <c r="C11" s="27" t="s">
        <v>20</v>
      </c>
      <c r="D11" s="26" t="s">
        <v>19</v>
      </c>
    </row>
    <row r="12" spans="2:5">
      <c r="B12" s="23" t="s">
        <v>287</v>
      </c>
      <c r="C12" s="22">
        <v>17123</v>
      </c>
      <c r="D12" s="21">
        <v>0.57717329018775099</v>
      </c>
    </row>
    <row r="13" spans="2:5">
      <c r="B13" s="23" t="s">
        <v>288</v>
      </c>
      <c r="C13" s="22">
        <v>6340</v>
      </c>
      <c r="D13" s="21">
        <v>0.213705463983551</v>
      </c>
    </row>
    <row r="14" spans="2:5">
      <c r="B14" s="23" t="s">
        <v>289</v>
      </c>
      <c r="C14" s="22">
        <v>1703</v>
      </c>
      <c r="D14" s="21">
        <v>5.7403849394951002E-2</v>
      </c>
      <c r="E14" s="24"/>
    </row>
    <row r="15" spans="2:5">
      <c r="B15" s="23" t="s">
        <v>290</v>
      </c>
      <c r="C15" s="22">
        <v>1667</v>
      </c>
      <c r="D15" s="21">
        <v>5.6190379883371999E-2</v>
      </c>
      <c r="E15" s="24"/>
    </row>
    <row r="16" spans="2:5">
      <c r="B16" s="23" t="s">
        <v>291</v>
      </c>
      <c r="C16" s="22">
        <v>581</v>
      </c>
      <c r="D16" s="21">
        <v>1.958404961742E-2</v>
      </c>
    </row>
    <row r="17" spans="2:4" ht="28.5" customHeight="1">
      <c r="B17" s="23" t="s">
        <v>292</v>
      </c>
      <c r="C17" s="22">
        <v>374</v>
      </c>
      <c r="D17" s="21">
        <v>1.2606599925844E-2</v>
      </c>
    </row>
    <row r="18" spans="2:4">
      <c r="B18" s="23" t="s">
        <v>293</v>
      </c>
      <c r="C18" s="22">
        <v>291</v>
      </c>
      <c r="D18" s="21">
        <v>9.8088785519259997E-3</v>
      </c>
    </row>
    <row r="19" spans="2:4">
      <c r="B19" s="23" t="s">
        <v>294</v>
      </c>
      <c r="C19" s="22">
        <v>267</v>
      </c>
      <c r="D19" s="21">
        <v>8.9998988775409992E-3</v>
      </c>
    </row>
    <row r="20" spans="2:4">
      <c r="B20" s="23" t="s">
        <v>295</v>
      </c>
      <c r="C20" s="22">
        <v>170</v>
      </c>
      <c r="D20" s="21">
        <v>5.7302726935650004E-3</v>
      </c>
    </row>
    <row r="21" spans="2:4">
      <c r="B21" s="23" t="s">
        <v>296</v>
      </c>
      <c r="C21" s="22">
        <v>114</v>
      </c>
      <c r="D21" s="21">
        <v>3.8426534533320001E-3</v>
      </c>
    </row>
    <row r="22" spans="2:4">
      <c r="B22" s="23" t="s">
        <v>297</v>
      </c>
      <c r="C22" s="22">
        <v>107</v>
      </c>
      <c r="D22" s="21">
        <v>3.606701048303E-3</v>
      </c>
    </row>
    <row r="23" spans="2:4">
      <c r="B23" s="23" t="s">
        <v>298</v>
      </c>
      <c r="C23" s="22">
        <v>101</v>
      </c>
      <c r="D23" s="21">
        <v>3.404456129706E-3</v>
      </c>
    </row>
    <row r="24" spans="2:4">
      <c r="B24" s="23" t="s">
        <v>299</v>
      </c>
      <c r="C24" s="22">
        <v>92</v>
      </c>
      <c r="D24" s="21">
        <v>3.1010887518119999E-3</v>
      </c>
    </row>
    <row r="25" spans="2:4">
      <c r="B25" s="23" t="s">
        <v>300</v>
      </c>
      <c r="C25" s="22">
        <v>86</v>
      </c>
      <c r="D25" s="21">
        <v>2.8988438332149999E-3</v>
      </c>
    </row>
    <row r="26" spans="2:4">
      <c r="B26" s="23" t="s">
        <v>301</v>
      </c>
      <c r="C26" s="22">
        <v>82</v>
      </c>
      <c r="D26" s="21">
        <v>2.764013887484E-3</v>
      </c>
    </row>
    <row r="27" spans="2:4">
      <c r="B27" s="23" t="s">
        <v>302</v>
      </c>
      <c r="C27" s="22">
        <v>72</v>
      </c>
      <c r="D27" s="21">
        <v>2.4269390231570001E-3</v>
      </c>
    </row>
    <row r="28" spans="2:4">
      <c r="B28" s="23" t="s">
        <v>303</v>
      </c>
      <c r="C28" s="22">
        <v>67</v>
      </c>
      <c r="D28" s="21">
        <v>2.2584015909929999E-3</v>
      </c>
    </row>
    <row r="29" spans="2:4">
      <c r="B29" s="23" t="s">
        <v>304</v>
      </c>
      <c r="C29" s="22">
        <v>56</v>
      </c>
      <c r="D29" s="21">
        <v>1.887619240233E-3</v>
      </c>
    </row>
    <row r="30" spans="2:4">
      <c r="B30" s="23" t="s">
        <v>305</v>
      </c>
      <c r="C30" s="22">
        <v>53</v>
      </c>
      <c r="D30" s="21">
        <v>1.7864967809350001E-3</v>
      </c>
    </row>
    <row r="31" spans="2:4">
      <c r="B31" s="23" t="s">
        <v>306</v>
      </c>
      <c r="C31" s="22">
        <v>52</v>
      </c>
      <c r="D31" s="21">
        <v>1.7527892945020001E-3</v>
      </c>
    </row>
    <row r="32" spans="2:4">
      <c r="B32" s="23" t="s">
        <v>307</v>
      </c>
      <c r="C32" s="22">
        <v>46</v>
      </c>
      <c r="D32" s="21">
        <v>1.550544375906E-3</v>
      </c>
    </row>
    <row r="33" spans="1:4">
      <c r="B33" s="23" t="s">
        <v>308</v>
      </c>
      <c r="C33" s="22">
        <v>45</v>
      </c>
      <c r="D33" s="21">
        <v>1.516836889473E-3</v>
      </c>
    </row>
    <row r="34" spans="1:4">
      <c r="B34" s="23" t="s">
        <v>309</v>
      </c>
      <c r="C34" s="22">
        <v>35</v>
      </c>
      <c r="D34" s="21">
        <v>1.1797620251460001E-3</v>
      </c>
    </row>
    <row r="35" spans="1:4">
      <c r="B35" s="23" t="s">
        <v>310</v>
      </c>
      <c r="C35" s="22">
        <v>31</v>
      </c>
      <c r="D35" s="21">
        <v>1.0449320794149999E-3</v>
      </c>
    </row>
    <row r="36" spans="1:4">
      <c r="B36" s="23" t="s">
        <v>311</v>
      </c>
      <c r="C36" s="22">
        <v>17</v>
      </c>
      <c r="D36" s="21">
        <v>5.7302726935699996E-4</v>
      </c>
    </row>
    <row r="37" spans="1:4">
      <c r="B37" s="23" t="s">
        <v>312</v>
      </c>
      <c r="C37" s="22">
        <v>8</v>
      </c>
      <c r="D37" s="21">
        <v>2.6965989146199998E-4</v>
      </c>
    </row>
    <row r="38" spans="1:4">
      <c r="B38" s="23" t="s">
        <v>313</v>
      </c>
      <c r="C38" s="22">
        <v>8</v>
      </c>
      <c r="D38" s="21">
        <v>2.6965989146199998E-4</v>
      </c>
    </row>
    <row r="39" spans="1:4">
      <c r="B39" s="23" t="s">
        <v>314</v>
      </c>
      <c r="C39" s="22">
        <v>7</v>
      </c>
      <c r="D39" s="21">
        <v>2.35952405029E-4</v>
      </c>
    </row>
    <row r="40" spans="1:4">
      <c r="B40" s="23" t="s">
        <v>315</v>
      </c>
      <c r="C40" s="22">
        <v>6</v>
      </c>
      <c r="D40" s="21">
        <v>2.0224491859599999E-4</v>
      </c>
    </row>
    <row r="41" spans="1:4">
      <c r="B41" s="23" t="s">
        <v>316</v>
      </c>
      <c r="C41" s="22">
        <v>6</v>
      </c>
      <c r="D41" s="21">
        <v>2.0224491859599999E-4</v>
      </c>
    </row>
    <row r="42" spans="1:4">
      <c r="A42" s="46"/>
      <c r="B42" s="23" t="s">
        <v>317</v>
      </c>
      <c r="C42" s="22">
        <v>6</v>
      </c>
      <c r="D42" s="21">
        <v>2.0224491859599999E-4</v>
      </c>
    </row>
    <row r="43" spans="1:4">
      <c r="B43" s="23" t="s">
        <v>318</v>
      </c>
      <c r="C43" s="22">
        <v>6</v>
      </c>
      <c r="D43" s="21">
        <v>2.0224491859599999E-4</v>
      </c>
    </row>
    <row r="44" spans="1:4">
      <c r="B44" s="23" t="s">
        <v>319</v>
      </c>
      <c r="C44" s="22">
        <v>5</v>
      </c>
      <c r="D44" s="21">
        <v>1.68537432164E-4</v>
      </c>
    </row>
    <row r="45" spans="1:4">
      <c r="B45" s="23" t="s">
        <v>320</v>
      </c>
      <c r="C45" s="22">
        <v>5</v>
      </c>
      <c r="D45" s="21">
        <v>1.68537432164E-4</v>
      </c>
    </row>
    <row r="46" spans="1:4">
      <c r="B46" s="23" t="s">
        <v>321</v>
      </c>
      <c r="C46" s="22">
        <v>4</v>
      </c>
      <c r="D46" s="21">
        <v>1.3482994573099999E-4</v>
      </c>
    </row>
    <row r="47" spans="1:4">
      <c r="B47" s="23" t="s">
        <v>322</v>
      </c>
      <c r="C47" s="22">
        <v>4</v>
      </c>
      <c r="D47" s="21">
        <v>1.3482994573099999E-4</v>
      </c>
    </row>
    <row r="48" spans="1:4">
      <c r="B48" s="23" t="s">
        <v>323</v>
      </c>
      <c r="C48" s="22">
        <v>3</v>
      </c>
      <c r="D48" s="21">
        <v>1.0112245929799999E-4</v>
      </c>
    </row>
    <row r="49" spans="2:4">
      <c r="B49" s="23" t="s">
        <v>324</v>
      </c>
      <c r="C49" s="22">
        <v>3</v>
      </c>
      <c r="D49" s="21">
        <v>1.0112245929799999E-4</v>
      </c>
    </row>
    <row r="50" spans="2:4">
      <c r="B50" s="23" t="s">
        <v>325</v>
      </c>
      <c r="C50" s="22">
        <v>2</v>
      </c>
      <c r="D50" s="21">
        <v>6.7414972865000001E-5</v>
      </c>
    </row>
    <row r="51" spans="2:4">
      <c r="B51" s="23" t="s">
        <v>326</v>
      </c>
      <c r="C51" s="22">
        <v>2</v>
      </c>
      <c r="D51" s="21">
        <v>6.7414972865000001E-5</v>
      </c>
    </row>
    <row r="52" spans="2:4">
      <c r="B52" s="23" t="s">
        <v>327</v>
      </c>
      <c r="C52" s="22">
        <v>2</v>
      </c>
      <c r="D52" s="21">
        <v>6.7414972865000001E-5</v>
      </c>
    </row>
    <row r="53" spans="2:4">
      <c r="B53" s="23" t="s">
        <v>328</v>
      </c>
      <c r="C53" s="22">
        <v>2</v>
      </c>
      <c r="D53" s="21">
        <v>6.7414972865000001E-5</v>
      </c>
    </row>
    <row r="54" spans="2:4">
      <c r="B54" s="23" t="s">
        <v>329</v>
      </c>
      <c r="C54" s="22">
        <v>2</v>
      </c>
      <c r="D54" s="21">
        <v>6.7414972865000001E-5</v>
      </c>
    </row>
    <row r="55" spans="2:4">
      <c r="B55" s="23" t="s">
        <v>330</v>
      </c>
      <c r="C55" s="22">
        <v>1</v>
      </c>
      <c r="D55" s="21">
        <v>3.3707486433000001E-5</v>
      </c>
    </row>
    <row r="56" spans="2:4">
      <c r="B56" s="23" t="s">
        <v>331</v>
      </c>
      <c r="C56" s="22">
        <v>1</v>
      </c>
      <c r="D56" s="21">
        <v>3.3707486433000001E-5</v>
      </c>
    </row>
    <row r="57" spans="2:4">
      <c r="B57" s="23" t="s">
        <v>332</v>
      </c>
      <c r="C57" s="22">
        <v>1</v>
      </c>
      <c r="D57" s="21">
        <v>3.3707486433000001E-5</v>
      </c>
    </row>
    <row r="58" spans="2:4">
      <c r="B58" s="23" t="s">
        <v>333</v>
      </c>
      <c r="C58" s="22">
        <v>1</v>
      </c>
      <c r="D58" s="21">
        <v>3.3707486433000001E-5</v>
      </c>
    </row>
    <row r="59" spans="2:4">
      <c r="B59" s="23" t="s">
        <v>334</v>
      </c>
      <c r="C59" s="22">
        <v>1</v>
      </c>
      <c r="D59" s="21">
        <v>3.3707486433000001E-5</v>
      </c>
    </row>
    <row r="60" spans="2:4">
      <c r="B60" s="23" t="s">
        <v>335</v>
      </c>
      <c r="C60" s="22">
        <v>1</v>
      </c>
      <c r="D60" s="21">
        <v>3.3707486433000001E-5</v>
      </c>
    </row>
    <row r="61" spans="2:4">
      <c r="B61" s="23" t="s">
        <v>336</v>
      </c>
      <c r="C61" s="22">
        <v>1</v>
      </c>
      <c r="D61" s="21">
        <v>3.3707486433000001E-5</v>
      </c>
    </row>
    <row r="62" spans="2:4">
      <c r="B62" s="23" t="s">
        <v>337</v>
      </c>
      <c r="C62" s="22">
        <v>1</v>
      </c>
      <c r="D62" s="21">
        <v>3.3707486433000001E-5</v>
      </c>
    </row>
    <row r="63" spans="2:4">
      <c r="B63" s="23" t="s">
        <v>338</v>
      </c>
      <c r="C63" s="22">
        <v>1</v>
      </c>
      <c r="D63" s="21">
        <v>3.3707486433000001E-5</v>
      </c>
    </row>
    <row r="64" spans="2:4">
      <c r="B64" s="23" t="s">
        <v>339</v>
      </c>
      <c r="C64" s="22">
        <v>1</v>
      </c>
      <c r="D64" s="21">
        <v>3.3707486433000001E-5</v>
      </c>
    </row>
    <row r="65" spans="2:4">
      <c r="B65" s="23" t="s">
        <v>340</v>
      </c>
      <c r="C65" s="22">
        <v>1</v>
      </c>
      <c r="D65" s="21">
        <v>3.3707486433000001E-5</v>
      </c>
    </row>
    <row r="66" spans="2:4">
      <c r="B66" s="23" t="s">
        <v>341</v>
      </c>
      <c r="C66" s="22">
        <v>1</v>
      </c>
      <c r="D66" s="21">
        <v>3.3707486433000001E-5</v>
      </c>
    </row>
    <row r="67" spans="2:4">
      <c r="B67" s="23" t="s">
        <v>342</v>
      </c>
      <c r="C67" s="22">
        <v>1</v>
      </c>
      <c r="D67" s="21">
        <v>3.3707486433000001E-5</v>
      </c>
    </row>
    <row r="68" spans="2:4">
      <c r="B68" s="23" t="s">
        <v>343</v>
      </c>
      <c r="C68" s="22">
        <v>1</v>
      </c>
      <c r="D68" s="21">
        <v>3.3707486433000001E-5</v>
      </c>
    </row>
    <row r="69" spans="2:4">
      <c r="B69" s="20" t="s">
        <v>29</v>
      </c>
      <c r="C69" s="19">
        <v>29667</v>
      </c>
      <c r="D69" s="18">
        <v>1</v>
      </c>
    </row>
    <row r="71" spans="2:4">
      <c r="B71" s="15" t="s">
        <v>47</v>
      </c>
    </row>
    <row r="72" spans="2:4">
      <c r="B72" s="17" t="s">
        <v>18</v>
      </c>
    </row>
    <row r="73" spans="2:4">
      <c r="B73" s="16" t="s">
        <v>48</v>
      </c>
    </row>
    <row r="74" spans="2:4">
      <c r="B74" s="15" t="s">
        <v>17</v>
      </c>
    </row>
    <row r="75" spans="2:4">
      <c r="B75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20</vt:i4>
      </vt:variant>
    </vt:vector>
  </HeadingPairs>
  <TitlesOfParts>
    <vt:vector size="35" baseType="lpstr">
      <vt:lpstr>Índice</vt:lpstr>
      <vt:lpstr>San Luis Potosí_EdoUsa</vt:lpstr>
      <vt:lpstr>San Luis Potosí_Cons</vt:lpstr>
      <vt:lpstr>San Luis PotosíXCons</vt:lpstr>
      <vt:lpstr>San Luis Potosí_EdoMun</vt:lpstr>
      <vt:lpstr>San Luis Potosí_USAMuni</vt:lpstr>
      <vt:lpstr>San Luis Potosí_MUNICIPIO</vt:lpstr>
      <vt:lpstr>San Luis Potosí_educ_gral</vt:lpstr>
      <vt:lpstr>San Luis Potosí_NivelE_Cons</vt:lpstr>
      <vt:lpstr>San Luis Potosí_EducCons</vt:lpstr>
      <vt:lpstr>San Luis Potosí_GenGral</vt:lpstr>
      <vt:lpstr>San Luis Potosí_GENERO</vt:lpstr>
      <vt:lpstr>San Luis Potosí_GENERO_EUA</vt:lpstr>
      <vt:lpstr>San Luis Potosí_Gen_Edad</vt:lpstr>
      <vt:lpstr>San Luis Potosí_ocup_gral</vt:lpstr>
      <vt:lpstr>'San Luis Potosí_educ_gral'!Área_de_impresión</vt:lpstr>
      <vt:lpstr>'San Luis Potosí_EducCons'!Área_de_impresión</vt:lpstr>
      <vt:lpstr>'San Luis Potosí_Gen_Edad'!Área_de_impresión</vt:lpstr>
      <vt:lpstr>'San Luis Potosí_MUNICIPIO'!Área_de_impresión</vt:lpstr>
      <vt:lpstr>'San Luis Potosí_NivelE_Cons'!Área_de_impresión</vt:lpstr>
      <vt:lpstr>'San Luis Potosí_USAMuni'!Área_de_impresión</vt:lpstr>
      <vt:lpstr>'San Luis Potosí_Cons'!Títulos_a_imprimir</vt:lpstr>
      <vt:lpstr>'San Luis Potosí_EdoMun'!Títulos_a_imprimir</vt:lpstr>
      <vt:lpstr>'San Luis Potosí_EdoUsa'!Títulos_a_imprimir</vt:lpstr>
      <vt:lpstr>'San Luis Potosí_educ_gral'!Títulos_a_imprimir</vt:lpstr>
      <vt:lpstr>'San Luis Potosí_EducCons'!Títulos_a_imprimir</vt:lpstr>
      <vt:lpstr>'San Luis Potosí_Gen_Edad'!Títulos_a_imprimir</vt:lpstr>
      <vt:lpstr>'San Luis Potosí_GENERO'!Títulos_a_imprimir</vt:lpstr>
      <vt:lpstr>'San Luis Potosí_GENERO_EUA'!Títulos_a_imprimir</vt:lpstr>
      <vt:lpstr>'San Luis Potosí_GenGral'!Títulos_a_imprimir</vt:lpstr>
      <vt:lpstr>'San Luis Potosí_MUNICIPIO'!Títulos_a_imprimir</vt:lpstr>
      <vt:lpstr>'San Luis Potosí_NivelE_Cons'!Títulos_a_imprimir</vt:lpstr>
      <vt:lpstr>'San Luis Potosí_ocup_gral'!Títulos_a_imprimir</vt:lpstr>
      <vt:lpstr>'San Luis Potosí_USAMuni'!Títulos_a_imprimir</vt:lpstr>
      <vt:lpstr>'San Luis PotosíXCons'!Títulos_a_imprimir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2020-06-03T23:25:22Z</dcterms:created>
  <dcterms:modified xsi:type="dcterms:W3CDTF">2024-12-31T16:50:59Z</dcterms:modified>
</cp:coreProperties>
</file>