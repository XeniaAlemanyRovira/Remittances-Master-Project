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84DF3C49-F0FB-4547-A254-061D0CB2CC68}" xr6:coauthVersionLast="47" xr6:coauthVersionMax="47" xr10:uidLastSave="{00000000-0000-0000-0000-000000000000}"/>
  <bookViews>
    <workbookView xWindow="-110" yWindow="-110" windowWidth="19420" windowHeight="10420" tabRatio="763" firstSheet="9" activeTab="14" xr2:uid="{00000000-000D-0000-FFFF-FFFF00000000}"/>
  </bookViews>
  <sheets>
    <sheet name="Índice" sheetId="1" r:id="rId1"/>
    <sheet name="Tlaxcala_EdoUsa" sheetId="2" r:id="rId2"/>
    <sheet name="Tlaxcala_Cons" sheetId="15" r:id="rId3"/>
    <sheet name="TlaxcalaXCons" sheetId="16" r:id="rId4"/>
    <sheet name="Tlaxcala_EdoMun" sheetId="5" r:id="rId5"/>
    <sheet name="Tlaxcala_USAMuni" sheetId="6" r:id="rId6"/>
    <sheet name="Tlaxcala_MUNICIPIO" sheetId="7" r:id="rId7"/>
    <sheet name="Tlaxcala_educ_gral" sheetId="8" r:id="rId8"/>
    <sheet name="Tlaxcala_NivelE_Cons" sheetId="9" r:id="rId9"/>
    <sheet name="Tlaxcala_EducCons" sheetId="10" r:id="rId10"/>
    <sheet name="Tlaxcala_GenGral" sheetId="11" r:id="rId11"/>
    <sheet name="Tlaxcala_GENERO" sheetId="12" r:id="rId12"/>
    <sheet name="Tlaxcala_GENERO_EUA" sheetId="17" r:id="rId13"/>
    <sheet name="Tlaxcala_Gen_Edad" sheetId="13" r:id="rId14"/>
    <sheet name="Tlaxcala_ocup_gral" sheetId="14" r:id="rId15"/>
  </sheets>
  <definedNames>
    <definedName name="_xlnm._FilterDatabase" localSheetId="2" hidden="1">Tlaxcala_Cons!$B$11:$D$11</definedName>
    <definedName name="_xlnm._FilterDatabase" localSheetId="4" hidden="1">Tlaxcala_EdoMun!$B$11:$D$11</definedName>
    <definedName name="_xlnm._FilterDatabase" localSheetId="1" hidden="1">Tlaxcala_EdoUsa!$B$11:$D$11</definedName>
    <definedName name="_xlnm._FilterDatabase" localSheetId="7" hidden="1">Tlaxcala_educ_gral!$B$11:$D$11</definedName>
    <definedName name="_xlnm._FilterDatabase" localSheetId="9" hidden="1">Tlaxcala_EducCons!$B$9:$E$393</definedName>
    <definedName name="_xlnm._FilterDatabase" localSheetId="11" hidden="1">Tlaxcala_GENERO!$C$12:$E$137</definedName>
    <definedName name="_xlnm._FilterDatabase" localSheetId="12" hidden="1">Tlaxcala_GENERO_EUA!$C$12:$E$141</definedName>
    <definedName name="_xlnm._FilterDatabase" localSheetId="10" hidden="1">Tlaxcala_GenGral!$B$11:$D$11</definedName>
    <definedName name="_xlnm._FilterDatabase" localSheetId="6" hidden="1">Tlaxcala_MUNICIPIO!$B$9:$E$998</definedName>
    <definedName name="_xlnm._FilterDatabase" localSheetId="8" hidden="1">Tlaxcala_NivelE_Cons!$B$9:$E$9</definedName>
    <definedName name="_xlnm._FilterDatabase" localSheetId="14" hidden="1">Tlaxcala_ocup_gral!$B$11:$D$11</definedName>
    <definedName name="_xlnm._FilterDatabase" localSheetId="5" hidden="1">Tlaxcala_USAMuni!$B$9:$E$9</definedName>
    <definedName name="_xlnm._FilterDatabase" localSheetId="3" hidden="1">TlaxcalaXCons!$B$11:$D$11</definedName>
    <definedName name="_xlnm.Print_Area" localSheetId="9">Tlaxcala_EducCons!$A$1:$E$535</definedName>
    <definedName name="_xlnm.Print_Area" localSheetId="11">Tlaxcala_GENERO!$A$1:$F$153</definedName>
    <definedName name="_xlnm.Print_Area" localSheetId="12">Tlaxcala_GENERO_EUA!$A$1:$F$149</definedName>
    <definedName name="_xlnm.Print_Area" localSheetId="6">Tlaxcala_MUNICIPIO!$A$1:$E$1004</definedName>
    <definedName name="_xlnm.Print_Area" localSheetId="8">Tlaxcala_NivelE_Cons!$A$1:$E$463</definedName>
    <definedName name="_xlnm.Print_Area" localSheetId="5">Tlaxcala_USAMuni!$A$1:$E$871</definedName>
    <definedName name="_xlnm.Print_Titles" localSheetId="2">Tlaxcala_Cons!$1:$11</definedName>
    <definedName name="_xlnm.Print_Titles" localSheetId="4">Tlaxcala_EdoMun!$1:$11</definedName>
    <definedName name="_xlnm.Print_Titles" localSheetId="1">Tlaxcala_EdoUsa!$1:$11</definedName>
    <definedName name="_xlnm.Print_Titles" localSheetId="7">Tlaxcala_educ_gral!$1:$11</definedName>
    <definedName name="_xlnm.Print_Titles" localSheetId="9">Tlaxcala_EducCons!$1:$9</definedName>
    <definedName name="_xlnm.Print_Titles" localSheetId="13">Tlaxcala_Gen_Edad!$1:$12</definedName>
    <definedName name="_xlnm.Print_Titles" localSheetId="11">Tlaxcala_GENERO!$1:$12</definedName>
    <definedName name="_xlnm.Print_Titles" localSheetId="12">Tlaxcala_GENERO_EUA!$1:$12</definedName>
    <definedName name="_xlnm.Print_Titles" localSheetId="10">Tlaxcala_GenGral!$1:$11</definedName>
    <definedName name="_xlnm.Print_Titles" localSheetId="6">Tlaxcala_MUNICIPIO!$1:$9</definedName>
    <definedName name="_xlnm.Print_Titles" localSheetId="8">Tlaxcala_NivelE_Cons!$1:$9</definedName>
    <definedName name="_xlnm.Print_Titles" localSheetId="14">Tlaxcala_ocup_gral!$1:$11</definedName>
    <definedName name="_xlnm.Print_Titles" localSheetId="5">Tlaxcala_USAMuni!$1:$9</definedName>
    <definedName name="_xlnm.Print_Titles" localSheetId="3">TlaxcalaXCons!$1:$11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6" l="1"/>
  <c r="D13" i="16"/>
  <c r="D12" i="16"/>
  <c r="D21" i="16"/>
  <c r="D20" i="16"/>
  <c r="D19" i="16"/>
  <c r="D18" i="16"/>
  <c r="D17" i="16"/>
  <c r="D16" i="16"/>
  <c r="D15" i="16"/>
  <c r="C22" i="16"/>
  <c r="D22" i="16" s="1"/>
</calcChain>
</file>

<file path=xl/sharedStrings.xml><?xml version="1.0" encoding="utf-8"?>
<sst xmlns="http://schemas.openxmlformats.org/spreadsheetml/2006/main" count="3818" uniqueCount="360">
  <si>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</si>
  <si>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</si>
  <si>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</si>
  <si>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</si>
  <si>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</si>
  <si>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</si>
  <si>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</si>
  <si>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</si>
  <si>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</si>
  <si>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</si>
  <si>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</si>
  <si>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</si>
  <si>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</si>
  <si>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</si>
  <si>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</si>
  <si>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</si>
  <si>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</si>
  <si>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</si>
  <si>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</si>
  <si>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</si>
  <si>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</si>
  <si>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</si>
  <si>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</si>
  <si>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</si>
  <si>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</si>
  <si>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</si>
  <si>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</si>
  <si>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</si>
  <si>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</si>
  <si>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</si>
  <si>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</si>
  <si>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</si>
  <si>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</si>
  <si>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</si>
  <si>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TLAXCALA POR GÉNERO Y EDAD EN EE.UU.</t>
  </si>
  <si>
    <t>Ocupación</t>
  </si>
  <si>
    <t>5.3 Por Estado de la Unión Americana</t>
  </si>
  <si>
    <t>MATRÍCULAS CONSULARES DE ALTA SEGURIDAD EXPEDIDAS A ORIGINARIOS DE TLAXCALA EN LOS CONSULADOS DE MÉXICO EN EE.UU.</t>
  </si>
  <si>
    <t xml:space="preserve">MATRÍCULAS CONSULARES EXPEDIDAS A ORIGINARIOS DE TLAXCALA POR GÉNERO EN EE.UU </t>
  </si>
  <si>
    <t>MATRÍCULAS CONSULARES EXPEDIDAS EN EE.UU. A ORIGINARIOS DE TLAXCALA POR NIVEL DE EDUCACIÓN</t>
  </si>
  <si>
    <t xml:space="preserve">MATRÍCULAS CONSULARES DE ALTA SEGURIDAD EXPEDIDAS POR MUNICIPIO A ORIGINARIOS DEL ESTADO DE TLAXCALA EN LOS CONSULADOS DE MÉXICO EN EE.UU. </t>
  </si>
  <si>
    <t>MATRÍCULAS CONSULARES DE ALTA SEGURIDAD EXPEDIDAS A ORIGINARIOS DE TLAXCALA POR ESTADO DE LA UNIÓN AMERICANA</t>
  </si>
  <si>
    <t>LOS 10 CONSULADOS  DE MÉXICO EN EE.UU., CON MAYOR NÚMERO DE EXPEDICIÓN DE  MATRÍCULAS CONSULARES DE ALTA SEGURIDAD A ORIGINARIOS DE TLAXCALA</t>
  </si>
  <si>
    <t>TOTAL TOP 10</t>
  </si>
  <si>
    <t>TOTAL GENERAL</t>
  </si>
  <si>
    <t xml:space="preserve">  Matrículas consulares expedidas a originarios de Tlaxcala en el 2023</t>
  </si>
  <si>
    <t>NUEVA YORK</t>
  </si>
  <si>
    <t>CHICAGO</t>
  </si>
  <si>
    <t>LOS ANGELES</t>
  </si>
  <si>
    <t>HOUSTON</t>
  </si>
  <si>
    <t>FILADELFIA</t>
  </si>
  <si>
    <t>SANTA ANA</t>
  </si>
  <si>
    <t>BOSTON</t>
  </si>
  <si>
    <t>ATLANTA</t>
  </si>
  <si>
    <t>DALLAS</t>
  </si>
  <si>
    <t>RALEIGH</t>
  </si>
  <si>
    <t>SALT LAKE CITY</t>
  </si>
  <si>
    <t>BOISE</t>
  </si>
  <si>
    <t>INDIANAPOLIS</t>
  </si>
  <si>
    <t>OXNARD</t>
  </si>
  <si>
    <t>KANSAS CITY</t>
  </si>
  <si>
    <t>SAN FRANCISCO</t>
  </si>
  <si>
    <t>SAN DIEGO</t>
  </si>
  <si>
    <t>SAN BERNARDINO</t>
  </si>
  <si>
    <t>LAS VEGAS</t>
  </si>
  <si>
    <t>SAINT PAUL</t>
  </si>
  <si>
    <t>LITTLE ROCK</t>
  </si>
  <si>
    <t>SACRAMENTO</t>
  </si>
  <si>
    <t>SAN JOSE</t>
  </si>
  <si>
    <t>PHOENIX</t>
  </si>
  <si>
    <t>WASHINGTON</t>
  </si>
  <si>
    <t>PORTLAND</t>
  </si>
  <si>
    <t>DETROIT</t>
  </si>
  <si>
    <t>MILWAUKEE</t>
  </si>
  <si>
    <t>MIAMI</t>
  </si>
  <si>
    <t>DENVER</t>
  </si>
  <si>
    <t>FRESNO</t>
  </si>
  <si>
    <t>MCALLEN</t>
  </si>
  <si>
    <t>ORLANDO</t>
  </si>
  <si>
    <t>NUEVA ORLEANS</t>
  </si>
  <si>
    <t>NEW BRUNSWICK</t>
  </si>
  <si>
    <t>AUSTIN</t>
  </si>
  <si>
    <t>OKLAHOMA CITY</t>
  </si>
  <si>
    <t>ALBUQUERQUE</t>
  </si>
  <si>
    <t>SAN ANTONIO</t>
  </si>
  <si>
    <t>SEATTLE</t>
  </si>
  <si>
    <t>OMAHA</t>
  </si>
  <si>
    <t>BROWNSVILLE</t>
  </si>
  <si>
    <t>LAREDO</t>
  </si>
  <si>
    <t>EAGLE PASS</t>
  </si>
  <si>
    <t>NOGALES</t>
  </si>
  <si>
    <t>TUCSON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</si>
  <si>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</si>
  <si>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</si>
  <si>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</si>
  <si>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</si>
  <si>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</si>
  <si>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</si>
  <si>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</si>
  <si>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</si>
  <si>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</si>
  <si>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</si>
  <si>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</si>
  <si>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</si>
  <si>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</si>
  <si>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</si>
  <si>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</si>
  <si>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</si>
  <si>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</si>
  <si>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</si>
  <si>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</si>
  <si>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</si>
  <si>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</si>
  <si>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</si>
  <si>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</si>
  <si>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</si>
  <si>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</si>
  <si>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</si>
  <si>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</si>
  <si>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</si>
  <si>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</si>
  <si>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</si>
  <si>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</si>
  <si>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</si>
  <si>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</si>
  <si>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</si>
  <si>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</si>
  <si>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</si>
  <si>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</si>
  <si>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</si>
  <si>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TEXAS</t>
  </si>
  <si>
    <t>UTAH</t>
  </si>
  <si>
    <t>VIRGINIA</t>
  </si>
  <si>
    <t>WISCONSIN</t>
  </si>
  <si>
    <t>WYOMING</t>
  </si>
  <si>
    <t>Tamaño de la muestra: 789,030</t>
  </si>
  <si>
    <t>Elaborado por: Análisis de Información, Instituto de Mexicanas y Mexicanos en el Exterior</t>
  </si>
  <si>
    <t>Noviembre de 2024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</si>
  <si>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</si>
  <si>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</si>
  <si>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</si>
  <si>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</si>
  <si>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</si>
  <si>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</si>
  <si>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</si>
  <si>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</si>
  <si>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</si>
  <si>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</si>
  <si>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</si>
  <si>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</si>
  <si>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</si>
  <si>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</si>
  <si>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</si>
  <si>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</si>
  <si>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</si>
  <si>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</si>
  <si>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</si>
  <si>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</si>
  <si>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</si>
  <si>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</si>
  <si>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</si>
  <si>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</si>
  <si>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</si>
  <si>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</si>
  <si>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</si>
  <si>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</si>
  <si>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</si>
  <si>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</si>
  <si>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</si>
  <si>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</si>
  <si>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</si>
  <si>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</si>
  <si>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</si>
  <si>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</si>
  <si>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</si>
  <si>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TENNESSEE Total</t>
  </si>
  <si>
    <t>TEXAS Total</t>
  </si>
  <si>
    <t>UTAH Total</t>
  </si>
  <si>
    <t>VIRGINIA Total</t>
  </si>
  <si>
    <t>WASHINGTON Total</t>
  </si>
  <si>
    <t>WISCONSIN Total</t>
  </si>
  <si>
    <t>WYOMING Total</t>
  </si>
  <si>
    <t>APIZACO</t>
  </si>
  <si>
    <t>ATLANGATEPEC</t>
  </si>
  <si>
    <t>CALPULALPAN</t>
  </si>
  <si>
    <t>CHIAUTEMPAN</t>
  </si>
  <si>
    <t>HUAMANTLA</t>
  </si>
  <si>
    <t>IXTACUIXTLA DE MARIANO MATAMOROS</t>
  </si>
  <si>
    <t>LA MAGDALENA TLALTELULCO</t>
  </si>
  <si>
    <t>NANACAMILPA DE MARIANO ARISTA</t>
  </si>
  <si>
    <t>SAN PABLO DEL MONTE</t>
  </si>
  <si>
    <t>TEOLOCHOLCO</t>
  </si>
  <si>
    <t>TEPEYANCO</t>
  </si>
  <si>
    <t>TERRENATE</t>
  </si>
  <si>
    <t>TETLA DE LA SOLIDARIDAD</t>
  </si>
  <si>
    <t>TLAXCALA</t>
  </si>
  <si>
    <t>TLAXCO</t>
  </si>
  <si>
    <t>CONTLA DE JUAN CUAMATZI</t>
  </si>
  <si>
    <t>ESPAÑITA</t>
  </si>
  <si>
    <t>LÁZARO CÁRDENAS</t>
  </si>
  <si>
    <t>MAZATECOCHCO DE JOSÉ MARÍA MORELOS</t>
  </si>
  <si>
    <t>XALOZTOC</t>
  </si>
  <si>
    <t>XALTOCAN</t>
  </si>
  <si>
    <t>XICOHTZINCO</t>
  </si>
  <si>
    <t>ZACATELCO</t>
  </si>
  <si>
    <t>ZILTLALTÉPEC DE TRINIDAD SÁNCHEZ SANTOS</t>
  </si>
  <si>
    <t>NATÍVITAS</t>
  </si>
  <si>
    <t>PANOTLA</t>
  </si>
  <si>
    <t>TOCATLÁN</t>
  </si>
  <si>
    <t>TZOMPANTEPEC</t>
  </si>
  <si>
    <t>ACUAMANALA DE MIGUEL HIDALGO</t>
  </si>
  <si>
    <t>AMAXAC DE GUERRERO</t>
  </si>
  <si>
    <t>APETATITLÁN DE ANTONIO CARVAJAL</t>
  </si>
  <si>
    <t>ATLTZAYANCA</t>
  </si>
  <si>
    <t>BENITO JUÁREZ</t>
  </si>
  <si>
    <t>CUAPIAXTLA</t>
  </si>
  <si>
    <t>EL CARMEN TEQUEXQUITLA</t>
  </si>
  <si>
    <t>EMILIANO ZAPATA</t>
  </si>
  <si>
    <t>HUEYOTLIPAN</t>
  </si>
  <si>
    <t>IXTENCO</t>
  </si>
  <si>
    <t>MUÑOZ DE DOMINGO ARENAS</t>
  </si>
  <si>
    <t>PAPALOTLA DE XICOHTÉNCATL</t>
  </si>
  <si>
    <t>SAN FRANCISCO TETLANOHCAN</t>
  </si>
  <si>
    <t>SAN JOSÉ TEACALCO</t>
  </si>
  <si>
    <t>SAN JUAN HUACTZINCO</t>
  </si>
  <si>
    <t>SAN LORENZO AXOCOMANITLA</t>
  </si>
  <si>
    <t>SAN LUCAS TECOPILCO</t>
  </si>
  <si>
    <t>SANCTÓRUM DE LÁZARO CÁRDENAS</t>
  </si>
  <si>
    <t>SANTA CATARINA AYOMETLA</t>
  </si>
  <si>
    <t>SANTA CRUZ QUILEHTLA</t>
  </si>
  <si>
    <t>SANTA CRUZ TLAXCALA</t>
  </si>
  <si>
    <t>SANTA ISABEL XILOXOXTLA</t>
  </si>
  <si>
    <t>TENANCINGO</t>
  </si>
  <si>
    <t>TEPETITLA DE LARDIZÁBAL</t>
  </si>
  <si>
    <t>TETLATLAHUCA</t>
  </si>
  <si>
    <t>TOTOLAC</t>
  </si>
  <si>
    <t>YAUHQUEMEHCAN</t>
  </si>
  <si>
    <t>NO SE REGISTRÓ EL MUNICIPIO/CONDADO/ALCALDÍA DE NACIMIENTO</t>
  </si>
  <si>
    <t>SAN DAMIÁN TEXÓLOC</t>
  </si>
  <si>
    <t>SAN JERÓNIMO ZACUALPAN</t>
  </si>
  <si>
    <t>SANTA APOLONIA TEACALCO</t>
  </si>
  <si>
    <t>CUAXOMULCO</t>
  </si>
  <si>
    <t>SANTA ANA NOPALUCAN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</si>
  <si>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</si>
  <si>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</si>
  <si>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</si>
  <si>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</si>
  <si>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</si>
  <si>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</si>
  <si>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</si>
  <si>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</si>
  <si>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</si>
  <si>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</si>
  <si>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</si>
  <si>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</si>
  <si>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</si>
  <si>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</si>
  <si>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</si>
  <si>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</si>
  <si>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</si>
  <si>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</si>
  <si>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</si>
  <si>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</si>
  <si>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</si>
  <si>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</si>
  <si>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</si>
  <si>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</si>
  <si>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</si>
  <si>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</si>
  <si>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</si>
  <si>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</si>
  <si>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</si>
  <si>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</si>
  <si>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</si>
  <si>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</si>
  <si>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</si>
  <si>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</si>
  <si>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</si>
  <si>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ALIMENTOS Y BEBIDAS, ESP. EN PREPARACIÓN DE</t>
  </si>
  <si>
    <t>CONSTRUCCIÓN, TRAB. DE LA IND. DE LA</t>
  </si>
  <si>
    <t>OBRERO(A)</t>
  </si>
  <si>
    <t>ESTUDIANTE</t>
  </si>
  <si>
    <t>PINTOR(A)</t>
  </si>
  <si>
    <t>AGROPECUARIA, TRAB. DE LA INDUSTRIA</t>
  </si>
  <si>
    <t>JARDINERO(A)</t>
  </si>
  <si>
    <t>LIMPIEZA, EMPLEADO DE</t>
  </si>
  <si>
    <t>SIN ESPECIFICAR</t>
  </si>
  <si>
    <t>DESEMPLEADO</t>
  </si>
  <si>
    <t>JUBILADO(A)/PENSIONADO(A)</t>
  </si>
  <si>
    <t>MESERO(A)</t>
  </si>
  <si>
    <t>MECÁNICO(A)</t>
  </si>
  <si>
    <t>EMPRESARIO(A)</t>
  </si>
  <si>
    <t>CAJERO(A)/COBRADOR(A)</t>
  </si>
  <si>
    <t>VENDEDOR(A)</t>
  </si>
  <si>
    <t>OPERARIO(A)</t>
  </si>
  <si>
    <t>PROFESIONISTA</t>
  </si>
  <si>
    <t>CARPINTERO/TAPICERO</t>
  </si>
  <si>
    <t>CHOFER</t>
  </si>
  <si>
    <t>TÉCNICO(A) EN MANTENIMIENTO</t>
  </si>
  <si>
    <t>MODISTA/SASTRE</t>
  </si>
  <si>
    <t>AEROCOMERCIAL, TRAB. DE LA INDUSTRIA</t>
  </si>
  <si>
    <t>ABOGADO(A)</t>
  </si>
  <si>
    <t>BELLEZA, PROFESIONAL DE SERVICIOS DE</t>
  </si>
  <si>
    <t>CARNICERO(A)</t>
  </si>
  <si>
    <t>OTRO</t>
  </si>
  <si>
    <t>SOLDADOR</t>
  </si>
  <si>
    <t>ADMINISTRADOR(A)/CONTADOR(A)</t>
  </si>
  <si>
    <t>HOJALATERO</t>
  </si>
  <si>
    <t>MISIONERO(A)</t>
  </si>
  <si>
    <t>NO SE CAPTURO LA OCUPACION</t>
  </si>
  <si>
    <t>PROFESIONAL TÉCNICO</t>
  </si>
  <si>
    <t>PROFESOR(A)</t>
  </si>
  <si>
    <t>SUPERVISOR(A)</t>
  </si>
  <si>
    <t>TRABAJADOR(A) DOMÉSTICO(A)</t>
  </si>
  <si>
    <t>ATLANTA Total</t>
  </si>
  <si>
    <t>AUSTIN Total</t>
  </si>
  <si>
    <t>BOISE Total</t>
  </si>
  <si>
    <t>BOSTON Total</t>
  </si>
  <si>
    <t>BROWNSVILLE Total</t>
  </si>
  <si>
    <t>CHICAGO Total</t>
  </si>
  <si>
    <t>DALLAS Total</t>
  </si>
  <si>
    <t>DENVER Total</t>
  </si>
  <si>
    <t>DETROIT Total</t>
  </si>
  <si>
    <t>EAGLE PASS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</si>
  <si>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</si>
  <si>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</si>
  <si>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</si>
  <si>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</si>
  <si>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</si>
  <si>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</si>
  <si>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</si>
  <si>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</si>
  <si>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</si>
  <si>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</si>
  <si>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</si>
  <si>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</si>
  <si>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</si>
  <si>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</si>
  <si>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</si>
  <si>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</si>
  <si>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</si>
  <si>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</si>
  <si>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</si>
  <si>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</si>
  <si>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</si>
  <si>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</si>
  <si>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</si>
  <si>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</si>
  <si>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</si>
  <si>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</si>
  <si>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</si>
  <si>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</si>
  <si>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</si>
  <si>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</si>
  <si>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</si>
  <si>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</si>
  <si>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</si>
  <si>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MATRÍCULAS CONSULARES EXPEDIDAS A ORIGINARIOS DE TLAXCALA POR 
GÉNERO Y CONSULADO</t>
  </si>
  <si>
    <t>MATRÍCULAS CONSULARES EXPEDIDAS A ORIGINARIOS DE TLAXCALA POR 
GÉNERO Y POR ESTADO DE LA UNIÓN AMERICANA</t>
  </si>
  <si>
    <t>MATRÍCULAS CONSULARES EXPEDIDAS EN EE.UU. ORIGINARIOS DE TLAXCALA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</si>
</sst>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0" fillId="0" borderId="4" xfId="0" applyFont="1" applyBorder="1"/>
    <xf numFmtId="0" fontId="23" fillId="3" borderId="0" xfId="0" applyFont="1" applyFill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vertical="center" wrapText="1"/>
    </xf>
    <xf numFmtId="164" fontId="6" fillId="9" borderId="9" xfId="0" applyNumberFormat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393699</xdr:colOff>
      <xdr:row>1</xdr:row>
      <xdr:rowOff>174828</xdr:rowOff>
    </xdr:from>
    <xdr:to>
      <xdr:col>3</xdr:col>
      <xdr:colOff>905796</xdr:colOff>
      <xdr:row>2</xdr:row>
      <xdr:rowOff>174829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9849" y="708228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261178</xdr:colOff>
      <xdr:row>8</xdr:row>
      <xdr:rowOff>62948</xdr:rowOff>
    </xdr:from>
    <xdr:to>
      <xdr:col>5</xdr:col>
      <xdr:colOff>154150</xdr:colOff>
      <xdr:row>8</xdr:row>
      <xdr:rowOff>247303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374308" y="1796774"/>
          <a:ext cx="5390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0</xdr:rowOff>
    </xdr:from>
    <xdr:to>
      <xdr:col>1</xdr:col>
      <xdr:colOff>410134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53A4CCF-CC68-4B7D-B578-CCCD70052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160131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38728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973898</xdr:colOff>
      <xdr:row>1</xdr:row>
      <xdr:rowOff>146879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75289" y="34014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19050</xdr:rowOff>
    </xdr:from>
    <xdr:to>
      <xdr:col>1</xdr:col>
      <xdr:colOff>429184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4C0BF3F-EC7D-41B5-A595-CD977F867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57550" y="14478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171450</xdr:colOff>
      <xdr:row>0</xdr:row>
      <xdr:rowOff>180975</xdr:rowOff>
    </xdr:from>
    <xdr:to>
      <xdr:col>1</xdr:col>
      <xdr:colOff>476809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110AA3D-4CED-462A-8395-739540EAD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231913</xdr:colOff>
      <xdr:row>8</xdr:row>
      <xdr:rowOff>5522</xdr:rowOff>
    </xdr:from>
    <xdr:to>
      <xdr:col>5</xdr:col>
      <xdr:colOff>97967</xdr:colOff>
      <xdr:row>8</xdr:row>
      <xdr:rowOff>189877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6096000" y="173934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0</xdr:rowOff>
    </xdr:from>
    <xdr:to>
      <xdr:col>1</xdr:col>
      <xdr:colOff>419659</xdr:colOff>
      <xdr:row>3</xdr:row>
      <xdr:rowOff>335696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E807A0B-B7FF-4D26-9A42-52CD0BAF1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90500"/>
          <a:ext cx="924484" cy="71669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TLAXCALA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516113</xdr:colOff>
      <xdr:row>6</xdr:row>
      <xdr:rowOff>298308</xdr:rowOff>
    </xdr:from>
    <xdr:to>
      <xdr:col>4</xdr:col>
      <xdr:colOff>1028210</xdr:colOff>
      <xdr:row>7</xdr:row>
      <xdr:rowOff>153957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6201231" y="171772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1</xdr:row>
      <xdr:rowOff>0</xdr:rowOff>
    </xdr:from>
    <xdr:to>
      <xdr:col>1</xdr:col>
      <xdr:colOff>972109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7894D33-DC0F-4992-92E6-06B9C2D8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TLAXCALA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98534</xdr:rowOff>
    </xdr:from>
    <xdr:to>
      <xdr:col>4</xdr:col>
      <xdr:colOff>1050752</xdr:colOff>
      <xdr:row>7</xdr:row>
      <xdr:rowOff>282889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76345" y="183931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0</xdr:rowOff>
    </xdr:from>
    <xdr:to>
      <xdr:col>1</xdr:col>
      <xdr:colOff>1010209</xdr:colOff>
      <xdr:row>3</xdr:row>
      <xdr:rowOff>335696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1DE86-0CB8-428A-934E-4F6438B30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52400"/>
          <a:ext cx="924484" cy="71669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513521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52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736463</xdr:colOff>
      <xdr:row>1</xdr:row>
      <xdr:rowOff>119269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96202" y="31253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1163845</xdr:colOff>
      <xdr:row>8</xdr:row>
      <xdr:rowOff>101876</xdr:rowOff>
    </xdr:from>
    <xdr:to>
      <xdr:col>4</xdr:col>
      <xdr:colOff>465990</xdr:colOff>
      <xdr:row>8</xdr:row>
      <xdr:rowOff>292376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923584" y="1835702"/>
          <a:ext cx="5390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47625</xdr:colOff>
      <xdr:row>1</xdr:row>
      <xdr:rowOff>19050</xdr:rowOff>
    </xdr:from>
    <xdr:to>
      <xdr:col>1</xdr:col>
      <xdr:colOff>352984</xdr:colOff>
      <xdr:row>3</xdr:row>
      <xdr:rowOff>347942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021092A-6E72-4868-96D0-C1675DF25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209550"/>
          <a:ext cx="924484" cy="70989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TLAXCALA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105103</xdr:rowOff>
    </xdr:from>
    <xdr:to>
      <xdr:col>4</xdr:col>
      <xdr:colOff>1024476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50069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78442</xdr:colOff>
      <xdr:row>0</xdr:row>
      <xdr:rowOff>145676</xdr:rowOff>
    </xdr:from>
    <xdr:to>
      <xdr:col>1</xdr:col>
      <xdr:colOff>1002926</xdr:colOff>
      <xdr:row>3</xdr:row>
      <xdr:rowOff>322168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3A4CDC6-10A4-4AE2-B49B-C35E637B3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677" y="145676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TLAXCALA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518924</xdr:colOff>
      <xdr:row>7</xdr:row>
      <xdr:rowOff>47796</xdr:rowOff>
    </xdr:from>
    <xdr:to>
      <xdr:col>4</xdr:col>
      <xdr:colOff>1031021</xdr:colOff>
      <xdr:row>7</xdr:row>
      <xdr:rowOff>238296</xdr:rowOff>
    </xdr:to>
    <xdr:sp macro="" textlink="">
      <xdr:nvSpPr>
        <xdr:cNvPr id="7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6097365" y="1788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174112</xdr:colOff>
      <xdr:row>1</xdr:row>
      <xdr:rowOff>40967</xdr:rowOff>
    </xdr:from>
    <xdr:to>
      <xdr:col>1</xdr:col>
      <xdr:colOff>1098596</xdr:colOff>
      <xdr:row>3</xdr:row>
      <xdr:rowOff>368469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D41C029-A259-402B-B865-673E84886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806" y="194596"/>
          <a:ext cx="924484" cy="71669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767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180975</xdr:rowOff>
    </xdr:from>
    <xdr:to>
      <xdr:col>1</xdr:col>
      <xdr:colOff>448234</xdr:colOff>
      <xdr:row>3</xdr:row>
      <xdr:rowOff>319367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716D34E-2164-4537-BE01-FC85134329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80975"/>
          <a:ext cx="924484" cy="70989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799486</xdr:colOff>
      <xdr:row>9</xdr:row>
      <xdr:rowOff>6350</xdr:rowOff>
    </xdr:from>
    <xdr:to>
      <xdr:col>5</xdr:col>
      <xdr:colOff>234131</xdr:colOff>
      <xdr:row>10</xdr:row>
      <xdr:rowOff>6350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612786" y="1720850"/>
          <a:ext cx="53319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71693</xdr:colOff>
      <xdr:row>0</xdr:row>
      <xdr:rowOff>102419</xdr:rowOff>
    </xdr:from>
    <xdr:to>
      <xdr:col>1</xdr:col>
      <xdr:colOff>996177</xdr:colOff>
      <xdr:row>3</xdr:row>
      <xdr:rowOff>286534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74BFF09-9DE0-420B-817D-04CCF8EF3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0645" y="102419"/>
          <a:ext cx="924484" cy="71669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669140</xdr:colOff>
      <xdr:row>8</xdr:row>
      <xdr:rowOff>163871</xdr:rowOff>
    </xdr:from>
    <xdr:to>
      <xdr:col>5</xdr:col>
      <xdr:colOff>105833</xdr:colOff>
      <xdr:row>9</xdr:row>
      <xdr:rowOff>163871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89678" y="1700161"/>
          <a:ext cx="535994" cy="19118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102419</xdr:colOff>
      <xdr:row>0</xdr:row>
      <xdr:rowOff>122903</xdr:rowOff>
    </xdr:from>
    <xdr:to>
      <xdr:col>1</xdr:col>
      <xdr:colOff>1026903</xdr:colOff>
      <xdr:row>3</xdr:row>
      <xdr:rowOff>304696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D5973DF-C808-4397-A24E-F7E0BBE39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371" y="122903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878489</xdr:colOff>
      <xdr:row>9</xdr:row>
      <xdr:rowOff>95250</xdr:rowOff>
    </xdr:from>
    <xdr:to>
      <xdr:col>6</xdr:col>
      <xdr:colOff>251747</xdr:colOff>
      <xdr:row>10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936389" y="1809750"/>
          <a:ext cx="528958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95250</xdr:rowOff>
    </xdr:from>
    <xdr:to>
      <xdr:col>1</xdr:col>
      <xdr:colOff>972109</xdr:colOff>
      <xdr:row>3</xdr:row>
      <xdr:rowOff>281267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1985EE8-7D22-4BC3-9C04-E4B902791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5250"/>
          <a:ext cx="924484" cy="709892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612914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568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813767</xdr:colOff>
      <xdr:row>1</xdr:row>
      <xdr:rowOff>146878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90071" y="340139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1146314</xdr:colOff>
      <xdr:row>8</xdr:row>
      <xdr:rowOff>84206</xdr:rowOff>
    </xdr:from>
    <xdr:to>
      <xdr:col>4</xdr:col>
      <xdr:colOff>448459</xdr:colOff>
      <xdr:row>8</xdr:row>
      <xdr:rowOff>277467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22618" y="1818032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180975</xdr:rowOff>
    </xdr:from>
    <xdr:to>
      <xdr:col>1</xdr:col>
      <xdr:colOff>400609</xdr:colOff>
      <xdr:row>3</xdr:row>
      <xdr:rowOff>326171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9565FB-B968-474E-9BF3-B2FDD2274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80975"/>
          <a:ext cx="924484" cy="716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D5" sqref="D5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7" t="s">
        <v>45</v>
      </c>
      <c r="B1" s="78"/>
      <c r="C1" s="78"/>
      <c r="D1" s="79"/>
    </row>
    <row r="2" spans="1:4">
      <c r="A2" s="2"/>
      <c r="B2" s="3"/>
      <c r="C2" s="3"/>
      <c r="D2" s="4"/>
    </row>
    <row r="3" spans="1:4">
      <c r="A3" s="80" t="s">
        <v>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5"/>
      <c r="B5" s="6"/>
      <c r="C5" s="6"/>
      <c r="D5" s="7"/>
    </row>
    <row r="6" spans="1:4" ht="18.5">
      <c r="A6" s="74" t="s">
        <v>1</v>
      </c>
      <c r="B6" s="75"/>
      <c r="C6" s="75"/>
      <c r="D6" s="76"/>
    </row>
    <row r="7" spans="1:4">
      <c r="A7" s="8"/>
      <c r="D7" s="9"/>
    </row>
    <row r="8" spans="1:4" ht="18.5">
      <c r="A8" s="74" t="s">
        <v>2</v>
      </c>
      <c r="B8" s="75"/>
      <c r="C8" s="75"/>
      <c r="D8" s="76"/>
    </row>
    <row r="9" spans="1:4" ht="18.5">
      <c r="A9" s="8"/>
      <c r="B9" s="74" t="s">
        <v>3</v>
      </c>
      <c r="C9" s="75"/>
      <c r="D9" s="75"/>
    </row>
    <row r="10" spans="1:4">
      <c r="A10" s="8"/>
      <c r="D10" s="9"/>
    </row>
    <row r="11" spans="1:4" ht="18.5">
      <c r="A11" s="53" t="s">
        <v>4</v>
      </c>
      <c r="D11" s="9"/>
    </row>
    <row r="12" spans="1:4" ht="18.5">
      <c r="A12" s="8"/>
      <c r="B12" s="74" t="s">
        <v>5</v>
      </c>
      <c r="C12" s="75"/>
      <c r="D12" s="75"/>
    </row>
    <row r="13" spans="1:4" ht="18.5">
      <c r="A13" s="8"/>
      <c r="B13" s="74" t="s">
        <v>6</v>
      </c>
      <c r="C13" s="75"/>
      <c r="D13" s="75"/>
    </row>
    <row r="14" spans="1:4" ht="18.5">
      <c r="A14" s="8"/>
      <c r="B14" s="74" t="s">
        <v>7</v>
      </c>
      <c r="C14" s="75"/>
      <c r="D14" s="75"/>
    </row>
    <row r="15" spans="1:4">
      <c r="A15" s="8"/>
      <c r="D15" s="9"/>
    </row>
    <row r="16" spans="1:4" ht="18.5">
      <c r="A16" s="53" t="s">
        <v>8</v>
      </c>
      <c r="D16" s="9"/>
    </row>
    <row r="17" spans="1:4" ht="18.5">
      <c r="A17" s="8"/>
      <c r="B17" s="74" t="s">
        <v>9</v>
      </c>
      <c r="C17" s="75"/>
      <c r="D17" s="75"/>
    </row>
    <row r="18" spans="1:4" ht="18.5">
      <c r="A18" s="8"/>
      <c r="B18" s="74" t="s">
        <v>10</v>
      </c>
      <c r="C18" s="75"/>
      <c r="D18" s="75"/>
    </row>
    <row r="19" spans="1:4" ht="18.5">
      <c r="A19" s="8"/>
      <c r="B19" s="74" t="s">
        <v>11</v>
      </c>
      <c r="C19" s="75"/>
      <c r="D19" s="75"/>
    </row>
    <row r="20" spans="1:4">
      <c r="A20" s="8"/>
      <c r="D20" s="9"/>
    </row>
    <row r="21" spans="1:4" ht="18.5">
      <c r="A21" s="53" t="s">
        <v>12</v>
      </c>
      <c r="D21" s="9"/>
    </row>
    <row r="22" spans="1:4" ht="18.5">
      <c r="A22" s="8"/>
      <c r="B22" s="74" t="s">
        <v>13</v>
      </c>
      <c r="C22" s="75"/>
      <c r="D22" s="75"/>
    </row>
    <row r="23" spans="1:4" ht="18.5">
      <c r="A23" s="8"/>
      <c r="B23" s="74" t="s">
        <v>14</v>
      </c>
      <c r="C23" s="75"/>
      <c r="D23" s="75"/>
    </row>
    <row r="24" spans="1:4" ht="18.5">
      <c r="A24" s="8"/>
      <c r="B24" s="74" t="s">
        <v>36</v>
      </c>
      <c r="C24" s="75"/>
      <c r="D24" s="75"/>
    </row>
    <row r="25" spans="1:4">
      <c r="A25" s="8"/>
      <c r="D25" s="9"/>
    </row>
    <row r="26" spans="1:4" ht="18.5">
      <c r="A26" s="74" t="s">
        <v>15</v>
      </c>
      <c r="B26" s="75"/>
      <c r="C26" s="75"/>
      <c r="D26" s="76"/>
    </row>
    <row r="27" spans="1:4">
      <c r="A27" s="8"/>
      <c r="D27" s="9"/>
    </row>
    <row r="28" spans="1:4" ht="18.5">
      <c r="A28" s="74" t="s">
        <v>16</v>
      </c>
      <c r="B28" s="75"/>
      <c r="C28" s="75"/>
      <c r="D28" s="76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Tlaxcala_USAMuni!A1" display="3.2 Por Estado de USA" xr:uid="{00000000-0004-0000-0000-00000D000000}"/>
    <hyperlink ref="A8:D8" location="Tlaxcala_Cons!A1" display="2. Por Circunscripción Consular" xr:uid="{00000000-0004-0000-0000-00000E000000}"/>
    <hyperlink ref="B9:D9" location="TlaxcalaXCons!A1" display="2.1 Top ten por circunscripción consular" xr:uid="{00000000-0004-0000-0000-00000F000000}"/>
    <hyperlink ref="A6:D6" location="Tlaxcala_EdoUsa!A1" display="1. Por Estados de USA" xr:uid="{00000000-0004-0000-0000-000010000000}"/>
    <hyperlink ref="B12:D12" location="Tlaxcala_EdoMun!A1" display="3.1 Municipio general" xr:uid="{00000000-0004-0000-0000-000011000000}"/>
    <hyperlink ref="B14:D14" location="Tlaxcala_MUNICIPIO!A1" display="3.3 Por Circunscripción Consular" xr:uid="{00000000-0004-0000-0000-000012000000}"/>
    <hyperlink ref="B17:D17" location="Tlaxcala_educ_gral!A1" display="4.1 Educación general" xr:uid="{00000000-0004-0000-0000-000013000000}"/>
    <hyperlink ref="B18:D18" location="Tlaxcala_NivelE_Cons!A1" display="4.2 Por Estado de USA" xr:uid="{00000000-0004-0000-0000-000014000000}"/>
    <hyperlink ref="B19:D19" location="Tlaxcala_EducCons!A1" display="4.3 Por Circunscripción Consular" xr:uid="{00000000-0004-0000-0000-000015000000}"/>
    <hyperlink ref="B22:D22" location="Tlaxcala_GenGral!A1" display="5.1 Género General" xr:uid="{00000000-0004-0000-0000-000016000000}"/>
    <hyperlink ref="B23:D23" location="Tlaxcala_GENERO!A1" display="5.2 Por Circunscripción Consular" xr:uid="{00000000-0004-0000-0000-000017000000}"/>
    <hyperlink ref="A26:D26" location="Tlaxcala_Gen_Edad!A1" display="6. Por estructura de Edad" xr:uid="{00000000-0004-0000-0000-000018000000}"/>
    <hyperlink ref="A28:D28" location="Tlaxcala_ocup_gral!A1" display="7. Por Ocupación" xr:uid="{00000000-0004-0000-0000-000019000000}"/>
    <hyperlink ref="B24" location="Tlaxcal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2"/>
  <sheetViews>
    <sheetView showGridLines="0" view="pageBreakPreview" zoomScale="115" zoomScaleNormal="100" zoomScaleSheetLayoutView="115" workbookViewId="0">
      <selection activeCell="A55" sqref="A53:XFD55"/>
    </sheetView>
  </sheetViews>
  <sheetFormatPr baseColWidth="10" defaultColWidth="11.453125" defaultRowHeight="14.5"/>
  <cols>
    <col min="1" max="1" width="9.26953125" style="13" customWidth="1"/>
    <col min="2" max="2" width="28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41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6" t="s">
        <v>21</v>
      </c>
      <c r="C11" s="67" t="s">
        <v>20</v>
      </c>
      <c r="D11" s="66" t="s">
        <v>19</v>
      </c>
    </row>
    <row r="12" spans="2:5" ht="14.5" customHeight="1">
      <c r="B12" s="23" t="s">
        <v>92</v>
      </c>
      <c r="C12" s="22">
        <v>26</v>
      </c>
      <c r="D12" s="21">
        <v>4.705882352941E-3</v>
      </c>
    </row>
    <row r="13" spans="2:5" ht="14.5" customHeight="1">
      <c r="B13" s="23" t="s">
        <v>93</v>
      </c>
      <c r="C13" s="22">
        <v>53</v>
      </c>
      <c r="D13" s="21">
        <v>9.5927601809950008E-3</v>
      </c>
      <c r="E13" s="24"/>
    </row>
    <row r="14" spans="2:5" ht="14.5" customHeight="1">
      <c r="B14" s="23" t="s">
        <v>94</v>
      </c>
      <c r="C14" s="22">
        <v>31</v>
      </c>
      <c r="D14" s="21">
        <v>5.6108597285069997E-3</v>
      </c>
      <c r="E14" s="24"/>
    </row>
    <row r="15" spans="2:5" ht="14.5" customHeight="1">
      <c r="B15" s="23" t="s">
        <v>95</v>
      </c>
      <c r="C15" s="22">
        <v>1261</v>
      </c>
      <c r="D15" s="21">
        <v>0.22823529411764701</v>
      </c>
    </row>
    <row r="16" spans="2:5" ht="14.5" customHeight="1">
      <c r="B16" s="23" t="s">
        <v>96</v>
      </c>
      <c r="C16" s="22">
        <v>35</v>
      </c>
      <c r="D16" s="21">
        <v>6.3348416289590002E-3</v>
      </c>
    </row>
    <row r="17" spans="2:4" ht="14.5" customHeight="1">
      <c r="B17" s="23" t="s">
        <v>97</v>
      </c>
      <c r="C17" s="22">
        <v>273</v>
      </c>
      <c r="D17" s="21">
        <v>4.9411764705882003E-2</v>
      </c>
    </row>
    <row r="18" spans="2:4" ht="14.5" customHeight="1">
      <c r="B18" s="23" t="s">
        <v>98</v>
      </c>
      <c r="C18" s="22">
        <v>30</v>
      </c>
      <c r="D18" s="21">
        <v>5.4298642533939998E-3</v>
      </c>
    </row>
    <row r="19" spans="2:4" ht="14.5" customHeight="1">
      <c r="B19" s="23" t="s">
        <v>99</v>
      </c>
      <c r="C19" s="22">
        <v>7</v>
      </c>
      <c r="D19" s="21">
        <v>1.266968325792E-3</v>
      </c>
    </row>
    <row r="20" spans="2:4" ht="14.5" customHeight="1">
      <c r="B20" s="23" t="s">
        <v>100</v>
      </c>
      <c r="C20" s="22">
        <v>73</v>
      </c>
      <c r="D20" s="21">
        <v>1.3212669683258E-2</v>
      </c>
    </row>
    <row r="21" spans="2:4" ht="14.5" customHeight="1">
      <c r="B21" s="23" t="s">
        <v>101</v>
      </c>
      <c r="C21" s="22">
        <v>135</v>
      </c>
      <c r="D21" s="21">
        <v>2.4434389140271E-2</v>
      </c>
    </row>
    <row r="22" spans="2:4" ht="14.5" customHeight="1">
      <c r="B22" s="23" t="s">
        <v>102</v>
      </c>
      <c r="C22" s="22">
        <v>1</v>
      </c>
      <c r="D22" s="21">
        <v>1.8099547511300001E-4</v>
      </c>
    </row>
    <row r="23" spans="2:4" ht="14.5" customHeight="1">
      <c r="B23" s="23" t="s">
        <v>103</v>
      </c>
      <c r="C23" s="22">
        <v>123</v>
      </c>
      <c r="D23" s="21">
        <v>2.2262443438913999E-2</v>
      </c>
    </row>
    <row r="24" spans="2:4" ht="14.5" customHeight="1">
      <c r="B24" s="23" t="s">
        <v>104</v>
      </c>
      <c r="C24" s="22">
        <v>502</v>
      </c>
      <c r="D24" s="21">
        <v>9.0859728506787002E-2</v>
      </c>
    </row>
    <row r="25" spans="2:4" ht="14.5" customHeight="1">
      <c r="B25" s="23" t="s">
        <v>105</v>
      </c>
      <c r="C25" s="22">
        <v>162</v>
      </c>
      <c r="D25" s="21">
        <v>2.9321266968326001E-2</v>
      </c>
    </row>
    <row r="26" spans="2:4" ht="14.5" customHeight="1">
      <c r="B26" s="23" t="s">
        <v>106</v>
      </c>
      <c r="C26" s="22">
        <v>4</v>
      </c>
      <c r="D26" s="21">
        <v>7.2398190045200002E-4</v>
      </c>
    </row>
    <row r="27" spans="2:4" ht="14.5" customHeight="1">
      <c r="B27" s="23" t="s">
        <v>107</v>
      </c>
      <c r="C27" s="22">
        <v>30</v>
      </c>
      <c r="D27" s="21">
        <v>5.4298642533939998E-3</v>
      </c>
    </row>
    <row r="28" spans="2:4" ht="14.5" customHeight="1">
      <c r="B28" s="23" t="s">
        <v>108</v>
      </c>
      <c r="C28" s="22">
        <v>35</v>
      </c>
      <c r="D28" s="21">
        <v>6.3348416289590002E-3</v>
      </c>
    </row>
    <row r="29" spans="2:4" ht="14.5" customHeight="1">
      <c r="B29" s="23" t="s">
        <v>109</v>
      </c>
      <c r="C29" s="22">
        <v>21</v>
      </c>
      <c r="D29" s="21">
        <v>3.8009049773759999E-3</v>
      </c>
    </row>
    <row r="30" spans="2:4" ht="14.5" customHeight="1">
      <c r="B30" s="23" t="s">
        <v>110</v>
      </c>
      <c r="C30" s="22">
        <v>19</v>
      </c>
      <c r="D30" s="21">
        <v>3.438914027149E-3</v>
      </c>
    </row>
    <row r="31" spans="2:4" ht="14.5" customHeight="1">
      <c r="B31" s="23" t="s">
        <v>111</v>
      </c>
      <c r="C31" s="22">
        <v>9</v>
      </c>
      <c r="D31" s="21">
        <v>1.628959276018E-3</v>
      </c>
    </row>
    <row r="32" spans="2:4" ht="14.5" customHeight="1">
      <c r="B32" s="23" t="s">
        <v>112</v>
      </c>
      <c r="C32" s="22">
        <v>27</v>
      </c>
      <c r="D32" s="21">
        <v>4.8868778280539999E-3</v>
      </c>
    </row>
    <row r="33" spans="2:4" ht="14.5" customHeight="1">
      <c r="B33" s="23" t="s">
        <v>113</v>
      </c>
      <c r="C33" s="22">
        <v>60</v>
      </c>
      <c r="D33" s="21">
        <v>1.0859728506787E-2</v>
      </c>
    </row>
    <row r="34" spans="2:4" ht="14.5" customHeight="1">
      <c r="B34" s="23" t="s">
        <v>114</v>
      </c>
      <c r="C34" s="22">
        <v>7</v>
      </c>
      <c r="D34" s="21">
        <v>1.266968325792E-3</v>
      </c>
    </row>
    <row r="35" spans="2:4" ht="14.5" customHeight="1">
      <c r="B35" s="23" t="s">
        <v>115</v>
      </c>
      <c r="C35" s="22">
        <v>132</v>
      </c>
      <c r="D35" s="21">
        <v>2.3891402714932002E-2</v>
      </c>
    </row>
    <row r="36" spans="2:4" ht="14.5" customHeight="1">
      <c r="B36" s="23" t="s">
        <v>116</v>
      </c>
      <c r="C36" s="22">
        <v>7</v>
      </c>
      <c r="D36" s="21">
        <v>1.266968325792E-3</v>
      </c>
    </row>
    <row r="37" spans="2:4" ht="14.5" customHeight="1">
      <c r="B37" s="23" t="s">
        <v>117</v>
      </c>
      <c r="C37" s="22">
        <v>70</v>
      </c>
      <c r="D37" s="21">
        <v>1.2669683257919E-2</v>
      </c>
    </row>
    <row r="38" spans="2:4" ht="14.5" customHeight="1">
      <c r="B38" s="23" t="s">
        <v>118</v>
      </c>
      <c r="C38" s="22">
        <v>337</v>
      </c>
      <c r="D38" s="21">
        <v>6.0995475113121998E-2</v>
      </c>
    </row>
    <row r="39" spans="2:4" ht="14.5" customHeight="1">
      <c r="B39" s="23" t="s">
        <v>119</v>
      </c>
      <c r="C39" s="22">
        <v>18</v>
      </c>
      <c r="D39" s="21">
        <v>3.2579185520360001E-3</v>
      </c>
    </row>
    <row r="40" spans="2:4" ht="14.5" customHeight="1">
      <c r="B40" s="23" t="s">
        <v>120</v>
      </c>
      <c r="C40" s="22">
        <v>813</v>
      </c>
      <c r="D40" s="21">
        <v>0.147149321266968</v>
      </c>
    </row>
    <row r="41" spans="2:4" ht="14.5" customHeight="1">
      <c r="B41" s="23" t="s">
        <v>121</v>
      </c>
      <c r="C41" s="22">
        <v>97</v>
      </c>
      <c r="D41" s="21">
        <v>1.7556561085973001E-2</v>
      </c>
    </row>
    <row r="42" spans="2:4" ht="14.5" customHeight="1">
      <c r="B42" s="23" t="s">
        <v>122</v>
      </c>
      <c r="C42" s="22">
        <v>1</v>
      </c>
      <c r="D42" s="21">
        <v>1.8099547511300001E-4</v>
      </c>
    </row>
    <row r="43" spans="2:4" ht="14.5" customHeight="1">
      <c r="B43" s="23" t="s">
        <v>123</v>
      </c>
      <c r="C43" s="22">
        <v>24</v>
      </c>
      <c r="D43" s="21">
        <v>4.3438914027150001E-3</v>
      </c>
    </row>
    <row r="44" spans="2:4" ht="14.5" customHeight="1">
      <c r="B44" s="23" t="s">
        <v>124</v>
      </c>
      <c r="C44" s="22">
        <v>35</v>
      </c>
      <c r="D44" s="21">
        <v>6.3348416289590002E-3</v>
      </c>
    </row>
    <row r="45" spans="2:4" ht="14.5" customHeight="1">
      <c r="B45" s="23" t="s">
        <v>125</v>
      </c>
      <c r="C45" s="22">
        <v>42</v>
      </c>
      <c r="D45" s="21">
        <v>7.6018099547509998E-3</v>
      </c>
    </row>
    <row r="46" spans="2:4" ht="14.5" customHeight="1">
      <c r="B46" s="23" t="s">
        <v>126</v>
      </c>
      <c r="C46" s="22">
        <v>140</v>
      </c>
      <c r="D46" s="21">
        <v>2.5339366515837E-2</v>
      </c>
    </row>
    <row r="47" spans="2:4" ht="14.5" customHeight="1">
      <c r="B47" s="23" t="s">
        <v>127</v>
      </c>
      <c r="C47" s="22">
        <v>7</v>
      </c>
      <c r="D47" s="21">
        <v>1.266968325792E-3</v>
      </c>
    </row>
    <row r="48" spans="2:4" ht="14.5" customHeight="1">
      <c r="B48" s="23" t="s">
        <v>128</v>
      </c>
      <c r="C48" s="22">
        <v>39</v>
      </c>
      <c r="D48" s="21">
        <v>7.058823529412E-3</v>
      </c>
    </row>
    <row r="49" spans="2:4" ht="14.5" customHeight="1">
      <c r="B49" s="23" t="s">
        <v>129</v>
      </c>
      <c r="C49" s="22">
        <v>25</v>
      </c>
      <c r="D49" s="21">
        <v>4.5248868778280001E-3</v>
      </c>
    </row>
    <row r="50" spans="2:4" ht="14.5" customHeight="1">
      <c r="B50" s="23" t="s">
        <v>130</v>
      </c>
      <c r="C50" s="22">
        <v>549</v>
      </c>
      <c r="D50" s="21">
        <v>9.9366515837104E-2</v>
      </c>
    </row>
    <row r="51" spans="2:4" ht="14.5" customHeight="1">
      <c r="B51" s="23" t="s">
        <v>131</v>
      </c>
      <c r="C51" s="22">
        <v>43</v>
      </c>
      <c r="D51" s="21">
        <v>7.7828054298639997E-3</v>
      </c>
    </row>
    <row r="52" spans="2:4" ht="14.5" customHeight="1">
      <c r="B52" s="23" t="s">
        <v>132</v>
      </c>
      <c r="C52" s="22">
        <v>34</v>
      </c>
      <c r="D52" s="21">
        <v>6.1538461538460003E-3</v>
      </c>
    </row>
    <row r="53" spans="2:4" ht="14.5" customHeight="1">
      <c r="B53" s="23" t="s">
        <v>70</v>
      </c>
      <c r="C53" s="22">
        <v>24</v>
      </c>
      <c r="D53" s="21">
        <v>4.3438914027150001E-3</v>
      </c>
    </row>
    <row r="54" spans="2:4" ht="14.5" customHeight="1">
      <c r="B54" s="23" t="s">
        <v>133</v>
      </c>
      <c r="C54" s="22">
        <v>45</v>
      </c>
      <c r="D54" s="21">
        <v>8.1447963800900004E-3</v>
      </c>
    </row>
    <row r="55" spans="2:4" ht="14.5" customHeight="1">
      <c r="B55" s="23" t="s">
        <v>134</v>
      </c>
      <c r="C55" s="22">
        <v>119</v>
      </c>
      <c r="D55" s="21">
        <v>2.1538461538461999E-2</v>
      </c>
    </row>
    <row r="56" spans="2:4" ht="14.5" customHeight="1">
      <c r="B56" s="20" t="s">
        <v>29</v>
      </c>
      <c r="C56" s="19">
        <v>5525</v>
      </c>
      <c r="D56" s="18">
        <v>1</v>
      </c>
    </row>
    <row r="57" spans="2:4" ht="14.5" customHeight="1">
      <c r="B57" s="15"/>
    </row>
    <row r="58" spans="2:4" ht="14.5" customHeight="1">
      <c r="B58" s="15" t="s">
        <v>135</v>
      </c>
    </row>
    <row r="59" spans="2:4" ht="14.5" customHeight="1">
      <c r="B59" s="17" t="s">
        <v>18</v>
      </c>
    </row>
    <row r="60" spans="2:4" ht="14.5" customHeight="1">
      <c r="B60" s="16" t="s">
        <v>136</v>
      </c>
    </row>
    <row r="61" spans="2:4" ht="14.5" customHeight="1">
      <c r="B61" s="15" t="s">
        <v>17</v>
      </c>
    </row>
    <row r="62" spans="2:4" ht="14.5" customHeight="1">
      <c r="B62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4"/>
  <sheetViews>
    <sheetView showGridLines="0" view="pageBreakPreview" topLeftCell="A51" zoomScale="115" zoomScaleNormal="100" zoomScaleSheetLayoutView="115" workbookViewId="0">
      <selection activeCell="E12" sqref="E12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179687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37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7" customHeight="1">
      <c r="B10" s="29"/>
      <c r="C10" s="29"/>
      <c r="D10" s="29"/>
    </row>
    <row r="11" spans="2:5" s="25" customFormat="1" ht="33" customHeight="1">
      <c r="B11" s="66" t="s">
        <v>22</v>
      </c>
      <c r="C11" s="67" t="s">
        <v>20</v>
      </c>
      <c r="D11" s="66" t="s">
        <v>19</v>
      </c>
    </row>
    <row r="12" spans="2:5" ht="14.5" customHeight="1">
      <c r="B12" s="23" t="s">
        <v>46</v>
      </c>
      <c r="C12" s="22">
        <v>1039</v>
      </c>
      <c r="D12" s="21">
        <v>0.18805429864253401</v>
      </c>
    </row>
    <row r="13" spans="2:5" ht="14.5" customHeight="1">
      <c r="B13" s="23" t="s">
        <v>47</v>
      </c>
      <c r="C13" s="22">
        <v>633</v>
      </c>
      <c r="D13" s="21">
        <v>0.114570135746606</v>
      </c>
    </row>
    <row r="14" spans="2:5" ht="14.5" customHeight="1">
      <c r="B14" s="23" t="s">
        <v>48</v>
      </c>
      <c r="C14" s="22">
        <v>516</v>
      </c>
      <c r="D14" s="21">
        <v>9.3393665158370998E-2</v>
      </c>
      <c r="E14" s="24"/>
    </row>
    <row r="15" spans="2:5" ht="14.5" customHeight="1">
      <c r="B15" s="23" t="s">
        <v>49</v>
      </c>
      <c r="C15" s="22">
        <v>307</v>
      </c>
      <c r="D15" s="21">
        <v>5.5565610859728998E-2</v>
      </c>
    </row>
    <row r="16" spans="2:5" ht="14.5" customHeight="1">
      <c r="B16" s="23" t="s">
        <v>50</v>
      </c>
      <c r="C16" s="22">
        <v>286</v>
      </c>
      <c r="D16" s="21">
        <v>5.1764705882352997E-2</v>
      </c>
    </row>
    <row r="17" spans="2:4" ht="14.5" customHeight="1">
      <c r="B17" s="23" t="s">
        <v>51</v>
      </c>
      <c r="C17" s="22">
        <v>282</v>
      </c>
      <c r="D17" s="21">
        <v>5.1040723981900002E-2</v>
      </c>
    </row>
    <row r="18" spans="2:4" ht="14.5" customHeight="1">
      <c r="B18" s="23" t="s">
        <v>52</v>
      </c>
      <c r="C18" s="22">
        <v>254</v>
      </c>
      <c r="D18" s="21">
        <v>4.5972850678733003E-2</v>
      </c>
    </row>
    <row r="19" spans="2:4" ht="14.5" customHeight="1">
      <c r="B19" s="23" t="s">
        <v>53</v>
      </c>
      <c r="C19" s="22">
        <v>170</v>
      </c>
      <c r="D19" s="21">
        <v>3.0769230769231E-2</v>
      </c>
    </row>
    <row r="20" spans="2:4" ht="14.5" customHeight="1">
      <c r="B20" s="23" t="s">
        <v>54</v>
      </c>
      <c r="C20" s="22">
        <v>162</v>
      </c>
      <c r="D20" s="21">
        <v>2.9321266968326001E-2</v>
      </c>
    </row>
    <row r="21" spans="2:4" ht="14.5" customHeight="1">
      <c r="B21" s="23" t="s">
        <v>55</v>
      </c>
      <c r="C21" s="22">
        <v>153</v>
      </c>
      <c r="D21" s="21">
        <v>2.7692307692307998E-2</v>
      </c>
    </row>
    <row r="22" spans="2:4" ht="14.5" customHeight="1">
      <c r="B22" s="23" t="s">
        <v>56</v>
      </c>
      <c r="C22" s="22">
        <v>149</v>
      </c>
      <c r="D22" s="21">
        <v>2.6968325791855E-2</v>
      </c>
    </row>
    <row r="23" spans="2:4" ht="14.5" customHeight="1">
      <c r="B23" s="23" t="s">
        <v>57</v>
      </c>
      <c r="C23" s="22">
        <v>135</v>
      </c>
      <c r="D23" s="21">
        <v>2.4434389140271E-2</v>
      </c>
    </row>
    <row r="24" spans="2:4" ht="14.5" customHeight="1">
      <c r="B24" s="23" t="s">
        <v>58</v>
      </c>
      <c r="C24" s="22">
        <v>125</v>
      </c>
      <c r="D24" s="21">
        <v>2.262443438914E-2</v>
      </c>
    </row>
    <row r="25" spans="2:4" ht="14.5" customHeight="1">
      <c r="B25" s="23" t="s">
        <v>59</v>
      </c>
      <c r="C25" s="22">
        <v>119</v>
      </c>
      <c r="D25" s="21">
        <v>2.1538461538461999E-2</v>
      </c>
    </row>
    <row r="26" spans="2:4" ht="14.5" customHeight="1">
      <c r="B26" s="23" t="s">
        <v>60</v>
      </c>
      <c r="C26" s="22">
        <v>108</v>
      </c>
      <c r="D26" s="21">
        <v>1.9547511312216999E-2</v>
      </c>
    </row>
    <row r="27" spans="2:4" ht="14.5" customHeight="1">
      <c r="B27" s="23" t="s">
        <v>61</v>
      </c>
      <c r="C27" s="22">
        <v>72</v>
      </c>
      <c r="D27" s="21">
        <v>1.3031674208145E-2</v>
      </c>
    </row>
    <row r="28" spans="2:4" ht="14.5" customHeight="1">
      <c r="B28" s="23" t="s">
        <v>62</v>
      </c>
      <c r="C28" s="22">
        <v>71</v>
      </c>
      <c r="D28" s="21">
        <v>1.2850678733032E-2</v>
      </c>
    </row>
    <row r="29" spans="2:4" ht="14.5" customHeight="1">
      <c r="B29" s="23" t="s">
        <v>63</v>
      </c>
      <c r="C29" s="22">
        <v>66</v>
      </c>
      <c r="D29" s="21">
        <v>1.1945701357466001E-2</v>
      </c>
    </row>
    <row r="30" spans="2:4" ht="14.5" customHeight="1">
      <c r="B30" s="23" t="s">
        <v>64</v>
      </c>
      <c r="C30" s="22">
        <v>64</v>
      </c>
      <c r="D30" s="21">
        <v>1.1583710407239999E-2</v>
      </c>
    </row>
    <row r="31" spans="2:4" ht="14.5" customHeight="1">
      <c r="B31" s="23" t="s">
        <v>65</v>
      </c>
      <c r="C31" s="22">
        <v>62</v>
      </c>
      <c r="D31" s="21">
        <v>1.1221719457013999E-2</v>
      </c>
    </row>
    <row r="32" spans="2:4" ht="14.5" customHeight="1">
      <c r="B32" s="23" t="s">
        <v>66</v>
      </c>
      <c r="C32" s="22">
        <v>57</v>
      </c>
      <c r="D32" s="21">
        <v>1.0316742081448E-2</v>
      </c>
    </row>
    <row r="33" spans="2:4" ht="14.5" customHeight="1">
      <c r="B33" s="23" t="s">
        <v>67</v>
      </c>
      <c r="C33" s="22">
        <v>54</v>
      </c>
      <c r="D33" s="21">
        <v>9.7737556561090008E-3</v>
      </c>
    </row>
    <row r="34" spans="2:4" ht="14.5" customHeight="1">
      <c r="B34" s="23" t="s">
        <v>68</v>
      </c>
      <c r="C34" s="22">
        <v>52</v>
      </c>
      <c r="D34" s="21">
        <v>9.411764705882E-3</v>
      </c>
    </row>
    <row r="35" spans="2:4" ht="14.5" customHeight="1">
      <c r="B35" s="23" t="s">
        <v>69</v>
      </c>
      <c r="C35" s="22">
        <v>51</v>
      </c>
      <c r="D35" s="21">
        <v>9.2307692307689992E-3</v>
      </c>
    </row>
    <row r="36" spans="2:4" ht="14.5" customHeight="1">
      <c r="B36" s="23" t="s">
        <v>70</v>
      </c>
      <c r="C36" s="22">
        <v>49</v>
      </c>
      <c r="D36" s="21">
        <v>8.8687782805429993E-3</v>
      </c>
    </row>
    <row r="37" spans="2:4" ht="14.5" customHeight="1">
      <c r="B37" s="23" t="s">
        <v>71</v>
      </c>
      <c r="C37" s="22">
        <v>48</v>
      </c>
      <c r="D37" s="21">
        <v>8.6877828054300003E-3</v>
      </c>
    </row>
    <row r="38" spans="2:4" ht="14.5" customHeight="1">
      <c r="B38" s="23" t="s">
        <v>72</v>
      </c>
      <c r="C38" s="22">
        <v>45</v>
      </c>
      <c r="D38" s="21">
        <v>8.1447963800900004E-3</v>
      </c>
    </row>
    <row r="39" spans="2:4" ht="14.5" customHeight="1">
      <c r="B39" s="23" t="s">
        <v>73</v>
      </c>
      <c r="C39" s="22">
        <v>43</v>
      </c>
      <c r="D39" s="21">
        <v>7.7828054298639997E-3</v>
      </c>
    </row>
    <row r="40" spans="2:4" ht="14.5" customHeight="1">
      <c r="B40" s="23" t="s">
        <v>74</v>
      </c>
      <c r="C40" s="22">
        <v>41</v>
      </c>
      <c r="D40" s="21">
        <v>7.4208144796379999E-3</v>
      </c>
    </row>
    <row r="41" spans="2:4" ht="14.5" customHeight="1">
      <c r="B41" s="23" t="s">
        <v>75</v>
      </c>
      <c r="C41" s="22">
        <v>37</v>
      </c>
      <c r="D41" s="21">
        <v>6.6968325791860002E-3</v>
      </c>
    </row>
    <row r="42" spans="2:4" ht="14.5" customHeight="1">
      <c r="B42" s="23" t="s">
        <v>76</v>
      </c>
      <c r="C42" s="22">
        <v>35</v>
      </c>
      <c r="D42" s="21">
        <v>6.3348416289590002E-3</v>
      </c>
    </row>
    <row r="43" spans="2:4" ht="14.5" customHeight="1">
      <c r="B43" s="23" t="s">
        <v>77</v>
      </c>
      <c r="C43" s="22">
        <v>32</v>
      </c>
      <c r="D43" s="21">
        <v>5.7918552036199996E-3</v>
      </c>
    </row>
    <row r="44" spans="2:4" ht="14.5" customHeight="1">
      <c r="B44" s="23" t="s">
        <v>78</v>
      </c>
      <c r="C44" s="22">
        <v>31</v>
      </c>
      <c r="D44" s="21">
        <v>5.6108597285069997E-3</v>
      </c>
    </row>
    <row r="45" spans="2:4" ht="14.5" customHeight="1">
      <c r="B45" s="23" t="s">
        <v>79</v>
      </c>
      <c r="C45" s="22">
        <v>29</v>
      </c>
      <c r="D45" s="21">
        <v>5.2488687782809998E-3</v>
      </c>
    </row>
    <row r="46" spans="2:4" ht="14.5" customHeight="1">
      <c r="B46" s="23" t="s">
        <v>80</v>
      </c>
      <c r="C46" s="22">
        <v>27</v>
      </c>
      <c r="D46" s="21">
        <v>4.8868778280539999E-3</v>
      </c>
    </row>
    <row r="47" spans="2:4" ht="14.5" customHeight="1">
      <c r="B47" s="23" t="s">
        <v>81</v>
      </c>
      <c r="C47" s="22">
        <v>26</v>
      </c>
      <c r="D47" s="21">
        <v>4.705882352941E-3</v>
      </c>
    </row>
    <row r="48" spans="2:4" ht="14.5" customHeight="1">
      <c r="B48" s="23" t="s">
        <v>82</v>
      </c>
      <c r="C48" s="22">
        <v>24</v>
      </c>
      <c r="D48" s="21">
        <v>4.3438914027150001E-3</v>
      </c>
    </row>
    <row r="49" spans="2:4" ht="14.5" customHeight="1">
      <c r="B49" s="23" t="s">
        <v>83</v>
      </c>
      <c r="C49" s="22">
        <v>19</v>
      </c>
      <c r="D49" s="21">
        <v>3.438914027149E-3</v>
      </c>
    </row>
    <row r="50" spans="2:4" ht="14.5" customHeight="1">
      <c r="B50" s="23" t="s">
        <v>84</v>
      </c>
      <c r="C50" s="22">
        <v>19</v>
      </c>
      <c r="D50" s="21">
        <v>3.438914027149E-3</v>
      </c>
    </row>
    <row r="51" spans="2:4" ht="14.5" customHeight="1">
      <c r="B51" s="23" t="s">
        <v>85</v>
      </c>
      <c r="C51" s="22">
        <v>16</v>
      </c>
      <c r="D51" s="21">
        <v>2.8959276018099998E-3</v>
      </c>
    </row>
    <row r="52" spans="2:4" ht="14.5" customHeight="1">
      <c r="B52" s="23" t="s">
        <v>86</v>
      </c>
      <c r="C52" s="22">
        <v>10</v>
      </c>
      <c r="D52" s="21">
        <v>1.809954751131E-3</v>
      </c>
    </row>
    <row r="53" spans="2:4" ht="14.5" customHeight="1">
      <c r="B53" s="23" t="s">
        <v>87</v>
      </c>
      <c r="C53" s="22">
        <v>2</v>
      </c>
      <c r="D53" s="21">
        <v>3.6199095022600001E-4</v>
      </c>
    </row>
    <row r="54" spans="2:4" ht="14.5" customHeight="1">
      <c r="B54" s="23" t="s">
        <v>88</v>
      </c>
      <c r="C54" s="22">
        <v>2</v>
      </c>
      <c r="D54" s="21">
        <v>3.6199095022600001E-4</v>
      </c>
    </row>
    <row r="55" spans="2:4" ht="14.5" customHeight="1">
      <c r="B55" s="23" t="s">
        <v>89</v>
      </c>
      <c r="C55" s="22">
        <v>1</v>
      </c>
      <c r="D55" s="21">
        <v>1.8099547511300001E-4</v>
      </c>
    </row>
    <row r="56" spans="2:4" ht="14.5" customHeight="1">
      <c r="B56" s="23" t="s">
        <v>90</v>
      </c>
      <c r="C56" s="22">
        <v>1</v>
      </c>
      <c r="D56" s="21">
        <v>1.8099547511300001E-4</v>
      </c>
    </row>
    <row r="57" spans="2:4" ht="14.5" customHeight="1">
      <c r="B57" s="23" t="s">
        <v>91</v>
      </c>
      <c r="C57" s="22">
        <v>1</v>
      </c>
      <c r="D57" s="21">
        <v>1.8099547511300001E-4</v>
      </c>
    </row>
    <row r="58" spans="2:4" ht="14.5" customHeight="1">
      <c r="B58" s="20" t="s">
        <v>29</v>
      </c>
      <c r="C58" s="19">
        <v>5525</v>
      </c>
      <c r="D58" s="18">
        <v>1</v>
      </c>
    </row>
    <row r="59" spans="2:4" ht="14.5" customHeight="1">
      <c r="B59" s="15"/>
    </row>
    <row r="60" spans="2:4" ht="14.5" customHeight="1">
      <c r="B60" s="15" t="s">
        <v>135</v>
      </c>
    </row>
    <row r="61" spans="2:4" ht="14.5" customHeight="1">
      <c r="B61" s="17" t="s">
        <v>18</v>
      </c>
    </row>
    <row r="62" spans="2:4" ht="14.5" customHeight="1">
      <c r="B62" s="16" t="s">
        <v>136</v>
      </c>
    </row>
    <row r="63" spans="2:4" ht="14.5" customHeight="1">
      <c r="B63" s="15" t="s">
        <v>17</v>
      </c>
    </row>
    <row r="64" spans="2:4" ht="14.5" customHeight="1">
      <c r="B64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topLeftCell="A18" zoomScale="115" zoomScaleNormal="100" zoomScaleSheetLayoutView="115" workbookViewId="0">
      <selection activeCell="D11" sqref="B11:D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42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6" t="s">
        <v>22</v>
      </c>
      <c r="C11" s="67" t="s">
        <v>20</v>
      </c>
      <c r="D11" s="66" t="s">
        <v>19</v>
      </c>
    </row>
    <row r="12" spans="2:5">
      <c r="B12" s="23" t="s">
        <v>46</v>
      </c>
      <c r="C12" s="22">
        <v>1039</v>
      </c>
      <c r="D12" s="21">
        <f>C12/$C$22</f>
        <v>0.27327722251446607</v>
      </c>
    </row>
    <row r="13" spans="2:5">
      <c r="B13" s="23" t="s">
        <v>47</v>
      </c>
      <c r="C13" s="22">
        <v>633</v>
      </c>
      <c r="D13" s="21">
        <f>C13/$C$22</f>
        <v>0.16649132035770647</v>
      </c>
    </row>
    <row r="14" spans="2:5">
      <c r="B14" s="23" t="s">
        <v>48</v>
      </c>
      <c r="C14" s="22">
        <v>516</v>
      </c>
      <c r="D14" s="21">
        <f>C14/$C$22</f>
        <v>0.13571804313519201</v>
      </c>
      <c r="E14" s="24"/>
    </row>
    <row r="15" spans="2:5">
      <c r="B15" s="23" t="s">
        <v>49</v>
      </c>
      <c r="C15" s="22">
        <v>307</v>
      </c>
      <c r="D15" s="21">
        <f t="shared" ref="D15:D21" si="0">C15/$C$22</f>
        <v>8.0746975276170432E-2</v>
      </c>
      <c r="E15" s="24"/>
    </row>
    <row r="16" spans="2:5">
      <c r="B16" s="23" t="s">
        <v>50</v>
      </c>
      <c r="C16" s="22">
        <v>286</v>
      </c>
      <c r="D16" s="21">
        <f t="shared" si="0"/>
        <v>7.5223566543924245E-2</v>
      </c>
    </row>
    <row r="17" spans="2:4">
      <c r="B17" s="23" t="s">
        <v>51</v>
      </c>
      <c r="C17" s="22">
        <v>282</v>
      </c>
      <c r="D17" s="21">
        <f t="shared" si="0"/>
        <v>7.4171488690163073E-2</v>
      </c>
    </row>
    <row r="18" spans="2:4">
      <c r="B18" s="23" t="s">
        <v>52</v>
      </c>
      <c r="C18" s="22">
        <v>254</v>
      </c>
      <c r="D18" s="21">
        <f t="shared" si="0"/>
        <v>6.6806943713834818E-2</v>
      </c>
    </row>
    <row r="19" spans="2:4">
      <c r="B19" s="23" t="s">
        <v>53</v>
      </c>
      <c r="C19" s="22">
        <v>170</v>
      </c>
      <c r="D19" s="21">
        <f t="shared" si="0"/>
        <v>4.4713308784850081E-2</v>
      </c>
    </row>
    <row r="20" spans="2:4">
      <c r="B20" s="23" t="s">
        <v>54</v>
      </c>
      <c r="C20" s="22">
        <v>162</v>
      </c>
      <c r="D20" s="21">
        <f t="shared" si="0"/>
        <v>4.2609153077327724E-2</v>
      </c>
    </row>
    <row r="21" spans="2:4">
      <c r="B21" s="23" t="s">
        <v>55</v>
      </c>
      <c r="C21" s="22">
        <v>153</v>
      </c>
      <c r="D21" s="21">
        <f t="shared" si="0"/>
        <v>4.0241977906365071E-2</v>
      </c>
    </row>
    <row r="22" spans="2:4">
      <c r="B22" s="20" t="s">
        <v>43</v>
      </c>
      <c r="C22" s="19">
        <f>SUM(C12:C21)</f>
        <v>3802</v>
      </c>
      <c r="D22" s="18">
        <f t="shared" ref="D22" si="1">C22/$C$22</f>
        <v>1</v>
      </c>
    </row>
    <row r="23" spans="2:4">
      <c r="B23" s="20" t="s">
        <v>44</v>
      </c>
      <c r="C23" s="19">
        <v>5525</v>
      </c>
    </row>
    <row r="24" spans="2:4">
      <c r="B24" s="15"/>
    </row>
    <row r="25" spans="2:4">
      <c r="B25" s="15" t="s">
        <v>135</v>
      </c>
    </row>
    <row r="26" spans="2:4">
      <c r="B26" s="17" t="s">
        <v>18</v>
      </c>
    </row>
    <row r="27" spans="2:4">
      <c r="B27" s="16" t="s">
        <v>136</v>
      </c>
    </row>
    <row r="28" spans="2:4">
      <c r="B28" s="15" t="s">
        <v>17</v>
      </c>
    </row>
    <row r="29" spans="2:4">
      <c r="B29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79"/>
  <sheetViews>
    <sheetView showGridLines="0" view="pageBreakPreview" topLeftCell="A62" zoomScale="115" zoomScaleNormal="100" zoomScaleSheetLayoutView="115" workbookViewId="0">
      <selection activeCell="F11" sqref="F11"/>
    </sheetView>
  </sheetViews>
  <sheetFormatPr baseColWidth="10" defaultColWidth="11.453125" defaultRowHeight="14.5"/>
  <cols>
    <col min="1" max="1" width="9.26953125" style="13" customWidth="1"/>
    <col min="2" max="2" width="39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40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23</v>
      </c>
      <c r="C11" s="27" t="s">
        <v>20</v>
      </c>
      <c r="D11" s="26" t="s">
        <v>19</v>
      </c>
    </row>
    <row r="12" spans="2:5">
      <c r="B12" s="23" t="s">
        <v>195</v>
      </c>
      <c r="C12" s="22">
        <v>866</v>
      </c>
      <c r="D12" s="21">
        <v>0.156742081447964</v>
      </c>
    </row>
    <row r="13" spans="2:5">
      <c r="B13" s="23" t="s">
        <v>185</v>
      </c>
      <c r="C13" s="22">
        <v>529</v>
      </c>
      <c r="D13" s="21">
        <v>9.5746606334841999E-2</v>
      </c>
    </row>
    <row r="14" spans="2:5">
      <c r="B14" s="23" t="s">
        <v>204</v>
      </c>
      <c r="C14" s="22">
        <v>356</v>
      </c>
      <c r="D14" s="21">
        <v>6.4434389140271997E-2</v>
      </c>
      <c r="E14" s="24"/>
    </row>
    <row r="15" spans="2:5">
      <c r="B15" s="23" t="s">
        <v>184</v>
      </c>
      <c r="C15" s="22">
        <v>321</v>
      </c>
      <c r="D15" s="21">
        <v>5.8099547511312001E-2</v>
      </c>
      <c r="E15" s="24"/>
    </row>
    <row r="16" spans="2:5">
      <c r="B16" s="23" t="s">
        <v>186</v>
      </c>
      <c r="C16" s="22">
        <v>297</v>
      </c>
      <c r="D16" s="21">
        <v>5.3755656108596998E-2</v>
      </c>
    </row>
    <row r="17" spans="2:4">
      <c r="B17" s="23" t="s">
        <v>182</v>
      </c>
      <c r="C17" s="22">
        <v>286</v>
      </c>
      <c r="D17" s="21">
        <v>5.1764705882352997E-2</v>
      </c>
    </row>
    <row r="18" spans="2:4">
      <c r="B18" s="23" t="s">
        <v>187</v>
      </c>
      <c r="C18" s="22">
        <v>242</v>
      </c>
      <c r="D18" s="21">
        <v>4.3800904977376001E-2</v>
      </c>
    </row>
    <row r="19" spans="2:4">
      <c r="B19" s="23" t="s">
        <v>206</v>
      </c>
      <c r="C19" s="22">
        <v>240</v>
      </c>
      <c r="D19" s="21">
        <v>4.3438914027149E-2</v>
      </c>
    </row>
    <row r="20" spans="2:4">
      <c r="B20" s="23" t="s">
        <v>196</v>
      </c>
      <c r="C20" s="22">
        <v>198</v>
      </c>
      <c r="D20" s="21">
        <v>3.5837104072397999E-2</v>
      </c>
    </row>
    <row r="21" spans="2:4">
      <c r="B21" s="23" t="s">
        <v>218</v>
      </c>
      <c r="C21" s="22">
        <v>166</v>
      </c>
      <c r="D21" s="21">
        <v>3.0045248868778001E-2</v>
      </c>
    </row>
    <row r="22" spans="2:4">
      <c r="B22" s="23" t="s">
        <v>191</v>
      </c>
      <c r="C22" s="22">
        <v>156</v>
      </c>
      <c r="D22" s="21">
        <v>2.8235294117647001E-2</v>
      </c>
    </row>
    <row r="23" spans="2:4">
      <c r="B23" s="23" t="s">
        <v>190</v>
      </c>
      <c r="C23" s="22">
        <v>137</v>
      </c>
      <c r="D23" s="21">
        <v>2.4796380090498001E-2</v>
      </c>
    </row>
    <row r="24" spans="2:4">
      <c r="B24" s="23" t="s">
        <v>232</v>
      </c>
      <c r="C24" s="22">
        <v>120</v>
      </c>
      <c r="D24" s="21">
        <v>2.1719457013575E-2</v>
      </c>
    </row>
    <row r="25" spans="2:4">
      <c r="B25" s="23" t="s">
        <v>221</v>
      </c>
      <c r="C25" s="22">
        <v>105</v>
      </c>
      <c r="D25" s="21">
        <v>1.9004524886878E-2</v>
      </c>
    </row>
    <row r="26" spans="2:4">
      <c r="B26" s="23" t="s">
        <v>234</v>
      </c>
      <c r="C26" s="22">
        <v>96</v>
      </c>
      <c r="D26" s="21">
        <v>1.7375565610860001E-2</v>
      </c>
    </row>
    <row r="27" spans="2:4">
      <c r="B27" s="23" t="s">
        <v>202</v>
      </c>
      <c r="C27" s="22">
        <v>93</v>
      </c>
      <c r="D27" s="21">
        <v>1.6832579185519999E-2</v>
      </c>
    </row>
    <row r="28" spans="2:4">
      <c r="B28" s="23" t="s">
        <v>192</v>
      </c>
      <c r="C28" s="22">
        <v>86</v>
      </c>
      <c r="D28" s="21">
        <v>1.5565610859729E-2</v>
      </c>
    </row>
    <row r="29" spans="2:4">
      <c r="B29" s="23" t="s">
        <v>189</v>
      </c>
      <c r="C29" s="22">
        <v>81</v>
      </c>
      <c r="D29" s="21">
        <v>1.4660633484163001E-2</v>
      </c>
    </row>
    <row r="30" spans="2:4">
      <c r="B30" s="23" t="s">
        <v>197</v>
      </c>
      <c r="C30" s="22">
        <v>74</v>
      </c>
      <c r="D30" s="21">
        <v>1.3393665158370999E-2</v>
      </c>
    </row>
    <row r="31" spans="2:4">
      <c r="B31" s="23" t="s">
        <v>193</v>
      </c>
      <c r="C31" s="22">
        <v>72</v>
      </c>
      <c r="D31" s="21">
        <v>1.3031674208145E-2</v>
      </c>
    </row>
    <row r="32" spans="2:4">
      <c r="B32" s="23" t="s">
        <v>233</v>
      </c>
      <c r="C32" s="22">
        <v>69</v>
      </c>
      <c r="D32" s="21">
        <v>1.2488687782805E-2</v>
      </c>
    </row>
    <row r="33" spans="2:4">
      <c r="B33" s="23" t="s">
        <v>201</v>
      </c>
      <c r="C33" s="22">
        <v>69</v>
      </c>
      <c r="D33" s="21">
        <v>1.2488687782805E-2</v>
      </c>
    </row>
    <row r="34" spans="2:4">
      <c r="B34" s="23" t="s">
        <v>207</v>
      </c>
      <c r="C34" s="22">
        <v>58</v>
      </c>
      <c r="D34" s="21">
        <v>1.0497737556561E-2</v>
      </c>
    </row>
    <row r="35" spans="2:4" ht="28">
      <c r="B35" s="23" t="s">
        <v>205</v>
      </c>
      <c r="C35" s="22">
        <v>58</v>
      </c>
      <c r="D35" s="21">
        <v>1.0497737556561E-2</v>
      </c>
    </row>
    <row r="36" spans="2:4">
      <c r="B36" s="23" t="s">
        <v>194</v>
      </c>
      <c r="C36" s="22">
        <v>53</v>
      </c>
      <c r="D36" s="21">
        <v>9.5927601809950008E-3</v>
      </c>
    </row>
    <row r="37" spans="2:4">
      <c r="B37" s="23" t="s">
        <v>200</v>
      </c>
      <c r="C37" s="22">
        <v>46</v>
      </c>
      <c r="D37" s="21">
        <v>8.3257918552040004E-3</v>
      </c>
    </row>
    <row r="38" spans="2:4">
      <c r="B38" s="23" t="s">
        <v>210</v>
      </c>
      <c r="C38" s="22">
        <v>45</v>
      </c>
      <c r="D38" s="21">
        <v>8.1447963800900004E-3</v>
      </c>
    </row>
    <row r="39" spans="2:4">
      <c r="B39" s="23" t="s">
        <v>216</v>
      </c>
      <c r="C39" s="22">
        <v>45</v>
      </c>
      <c r="D39" s="21">
        <v>8.1447963800900004E-3</v>
      </c>
    </row>
    <row r="40" spans="2:4">
      <c r="B40" s="23" t="s">
        <v>198</v>
      </c>
      <c r="C40" s="22">
        <v>44</v>
      </c>
      <c r="D40" s="21">
        <v>7.9638009049769996E-3</v>
      </c>
    </row>
    <row r="41" spans="2:4">
      <c r="B41" s="23" t="s">
        <v>203</v>
      </c>
      <c r="C41" s="22">
        <v>42</v>
      </c>
      <c r="D41" s="21">
        <v>7.6018099547509998E-3</v>
      </c>
    </row>
    <row r="42" spans="2:4">
      <c r="B42" s="23" t="s">
        <v>236</v>
      </c>
      <c r="C42" s="22">
        <v>39</v>
      </c>
      <c r="D42" s="21">
        <v>7.058823529412E-3</v>
      </c>
    </row>
    <row r="43" spans="2:4">
      <c r="B43" s="23" t="s">
        <v>213</v>
      </c>
      <c r="C43" s="22">
        <v>38</v>
      </c>
      <c r="D43" s="21">
        <v>6.8778280542990001E-3</v>
      </c>
    </row>
    <row r="44" spans="2:4">
      <c r="B44" s="23" t="s">
        <v>209</v>
      </c>
      <c r="C44" s="22">
        <v>37</v>
      </c>
      <c r="D44" s="21">
        <v>6.6968325791860002E-3</v>
      </c>
    </row>
    <row r="45" spans="2:4">
      <c r="B45" s="23" t="s">
        <v>235</v>
      </c>
      <c r="C45" s="22">
        <v>30</v>
      </c>
      <c r="D45" s="21">
        <v>5.4298642533939998E-3</v>
      </c>
    </row>
    <row r="46" spans="2:4">
      <c r="B46" s="23" t="s">
        <v>230</v>
      </c>
      <c r="C46" s="22">
        <v>27</v>
      </c>
      <c r="D46" s="21">
        <v>4.8868778280539999E-3</v>
      </c>
    </row>
    <row r="47" spans="2:4">
      <c r="B47" s="23" t="s">
        <v>183</v>
      </c>
      <c r="C47" s="22">
        <v>26</v>
      </c>
      <c r="D47" s="21">
        <v>4.705882352941E-3</v>
      </c>
    </row>
    <row r="48" spans="2:4">
      <c r="B48" s="23" t="s">
        <v>229</v>
      </c>
      <c r="C48" s="22">
        <v>25</v>
      </c>
      <c r="D48" s="21">
        <v>4.5248868778280001E-3</v>
      </c>
    </row>
    <row r="49" spans="2:4">
      <c r="B49" s="23" t="s">
        <v>219</v>
      </c>
      <c r="C49" s="22">
        <v>24</v>
      </c>
      <c r="D49" s="21">
        <v>4.3438914027150001E-3</v>
      </c>
    </row>
    <row r="50" spans="2:4">
      <c r="B50" s="23" t="s">
        <v>212</v>
      </c>
      <c r="C50" s="22">
        <v>21</v>
      </c>
      <c r="D50" s="21">
        <v>3.8009049773759999E-3</v>
      </c>
    </row>
    <row r="51" spans="2:4">
      <c r="B51" s="23" t="s">
        <v>188</v>
      </c>
      <c r="C51" s="22">
        <v>20</v>
      </c>
      <c r="D51" s="21">
        <v>3.6199095022619999E-3</v>
      </c>
    </row>
    <row r="52" spans="2:4">
      <c r="B52" s="23" t="s">
        <v>222</v>
      </c>
      <c r="C52" s="22">
        <v>18</v>
      </c>
      <c r="D52" s="21">
        <v>3.2579185520360001E-3</v>
      </c>
    </row>
    <row r="53" spans="2:4">
      <c r="B53" s="23" t="s">
        <v>208</v>
      </c>
      <c r="C53" s="22">
        <v>18</v>
      </c>
      <c r="D53" s="21">
        <v>3.2579185520360001E-3</v>
      </c>
    </row>
    <row r="54" spans="2:4">
      <c r="B54" s="23" t="s">
        <v>211</v>
      </c>
      <c r="C54" s="22">
        <v>17</v>
      </c>
      <c r="D54" s="21">
        <v>3.0769230769230002E-3</v>
      </c>
    </row>
    <row r="55" spans="2:4">
      <c r="B55" s="23" t="s">
        <v>199</v>
      </c>
      <c r="C55" s="22">
        <v>14</v>
      </c>
      <c r="D55" s="21">
        <v>2.533936651584E-3</v>
      </c>
    </row>
    <row r="56" spans="2:4">
      <c r="B56" s="23" t="s">
        <v>227</v>
      </c>
      <c r="C56" s="22">
        <v>13</v>
      </c>
      <c r="D56" s="21">
        <v>2.352941176471E-3</v>
      </c>
    </row>
    <row r="57" spans="2:4" ht="42">
      <c r="B57" s="23" t="s">
        <v>237</v>
      </c>
      <c r="C57" s="22">
        <v>12</v>
      </c>
      <c r="D57" s="21">
        <v>2.171945701357E-3</v>
      </c>
    </row>
    <row r="58" spans="2:4">
      <c r="B58" s="23" t="s">
        <v>228</v>
      </c>
      <c r="C58" s="22">
        <v>11</v>
      </c>
      <c r="D58" s="21">
        <v>1.9909502262440001E-3</v>
      </c>
    </row>
    <row r="59" spans="2:4">
      <c r="B59" s="23" t="s">
        <v>215</v>
      </c>
      <c r="C59" s="22">
        <v>10</v>
      </c>
      <c r="D59" s="21">
        <v>1.809954751131E-3</v>
      </c>
    </row>
    <row r="60" spans="2:4">
      <c r="B60" s="23" t="s">
        <v>224</v>
      </c>
      <c r="C60" s="22">
        <v>10</v>
      </c>
      <c r="D60" s="21">
        <v>1.809954751131E-3</v>
      </c>
    </row>
    <row r="61" spans="2:4">
      <c r="B61" s="23" t="s">
        <v>226</v>
      </c>
      <c r="C61" s="22">
        <v>10</v>
      </c>
      <c r="D61" s="21">
        <v>1.809954751131E-3</v>
      </c>
    </row>
    <row r="62" spans="2:4">
      <c r="B62" s="23" t="s">
        <v>240</v>
      </c>
      <c r="C62" s="22">
        <v>10</v>
      </c>
      <c r="D62" s="21">
        <v>1.809954751131E-3</v>
      </c>
    </row>
    <row r="63" spans="2:4">
      <c r="B63" s="23" t="s">
        <v>214</v>
      </c>
      <c r="C63" s="22">
        <v>8</v>
      </c>
      <c r="D63" s="21">
        <v>1.4479638009049999E-3</v>
      </c>
    </row>
    <row r="64" spans="2:4">
      <c r="B64" s="23" t="s">
        <v>220</v>
      </c>
      <c r="C64" s="22">
        <v>8</v>
      </c>
      <c r="D64" s="21">
        <v>1.4479638009049999E-3</v>
      </c>
    </row>
    <row r="65" spans="2:4">
      <c r="B65" s="23" t="s">
        <v>231</v>
      </c>
      <c r="C65" s="22">
        <v>6</v>
      </c>
      <c r="D65" s="21">
        <v>1.0859728506790001E-3</v>
      </c>
    </row>
    <row r="66" spans="2:4">
      <c r="B66" s="23" t="s">
        <v>241</v>
      </c>
      <c r="C66" s="22">
        <v>5</v>
      </c>
      <c r="D66" s="21">
        <v>9.0497737556600002E-4</v>
      </c>
    </row>
    <row r="67" spans="2:4">
      <c r="B67" s="23" t="s">
        <v>223</v>
      </c>
      <c r="C67" s="22">
        <v>5</v>
      </c>
      <c r="D67" s="21">
        <v>9.0497737556600002E-4</v>
      </c>
    </row>
    <row r="68" spans="2:4">
      <c r="B68" s="23" t="s">
        <v>217</v>
      </c>
      <c r="C68" s="22">
        <v>4</v>
      </c>
      <c r="D68" s="21">
        <v>7.2398190045200002E-4</v>
      </c>
    </row>
    <row r="69" spans="2:4">
      <c r="B69" s="23" t="s">
        <v>239</v>
      </c>
      <c r="C69" s="22">
        <v>4</v>
      </c>
      <c r="D69" s="21">
        <v>7.2398190045200002E-4</v>
      </c>
    </row>
    <row r="70" spans="2:4">
      <c r="B70" s="23" t="s">
        <v>238</v>
      </c>
      <c r="C70" s="22">
        <v>3</v>
      </c>
      <c r="D70" s="21">
        <v>5.4298642533899999E-4</v>
      </c>
    </row>
    <row r="71" spans="2:4">
      <c r="B71" s="23" t="s">
        <v>225</v>
      </c>
      <c r="C71" s="22">
        <v>1</v>
      </c>
      <c r="D71" s="21">
        <v>1.8099547511300001E-4</v>
      </c>
    </row>
    <row r="72" spans="2:4">
      <c r="B72" s="23" t="s">
        <v>242</v>
      </c>
      <c r="C72" s="22">
        <v>1</v>
      </c>
      <c r="D72" s="21">
        <v>1.8099547511300001E-4</v>
      </c>
    </row>
    <row r="73" spans="2:4">
      <c r="B73" s="20" t="s">
        <v>29</v>
      </c>
      <c r="C73" s="19">
        <v>5525</v>
      </c>
      <c r="D73" s="18">
        <v>1</v>
      </c>
    </row>
    <row r="74" spans="2:4">
      <c r="B74" s="17"/>
    </row>
    <row r="75" spans="2:4">
      <c r="B75" s="15" t="s">
        <v>135</v>
      </c>
    </row>
    <row r="76" spans="2:4">
      <c r="B76" s="17" t="s">
        <v>18</v>
      </c>
    </row>
    <row r="77" spans="2:4">
      <c r="B77" s="16" t="s">
        <v>136</v>
      </c>
    </row>
    <row r="78" spans="2:4">
      <c r="B78" s="15" t="s">
        <v>17</v>
      </c>
    </row>
    <row r="79" spans="2:4">
      <c r="B79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871"/>
  <sheetViews>
    <sheetView showGridLines="0" view="pageBreakPreview" topLeftCell="A4" zoomScale="85" zoomScaleNormal="100" zoomScaleSheetLayoutView="85" workbookViewId="0">
      <selection activeCell="B865" sqref="B865:C865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43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25</v>
      </c>
      <c r="C9" s="40" t="s">
        <v>24</v>
      </c>
      <c r="D9" s="39" t="s">
        <v>20</v>
      </c>
      <c r="E9" s="38" t="s">
        <v>19</v>
      </c>
    </row>
    <row r="10" spans="1:5" ht="15" customHeight="1">
      <c r="B10" s="84" t="s">
        <v>92</v>
      </c>
      <c r="C10" s="63" t="s">
        <v>182</v>
      </c>
      <c r="D10" s="64">
        <v>1</v>
      </c>
      <c r="E10" s="65">
        <v>1.8099547511300001E-4</v>
      </c>
    </row>
    <row r="11" spans="1:5" ht="15" customHeight="1">
      <c r="B11" s="85"/>
      <c r="C11" s="63" t="s">
        <v>183</v>
      </c>
      <c r="D11" s="64">
        <v>1</v>
      </c>
      <c r="E11" s="65">
        <v>1.8099547511300001E-4</v>
      </c>
    </row>
    <row r="12" spans="1:5" ht="15" customHeight="1">
      <c r="B12" s="85"/>
      <c r="C12" s="63" t="s">
        <v>184</v>
      </c>
      <c r="D12" s="64">
        <v>2</v>
      </c>
      <c r="E12" s="65">
        <v>3.6199095022600001E-4</v>
      </c>
    </row>
    <row r="13" spans="1:5" ht="15" customHeight="1">
      <c r="B13" s="85"/>
      <c r="C13" s="63" t="s">
        <v>185</v>
      </c>
      <c r="D13" s="64">
        <v>4</v>
      </c>
      <c r="E13" s="65">
        <v>7.2398190045200002E-4</v>
      </c>
    </row>
    <row r="14" spans="1:5" ht="15" customHeight="1">
      <c r="B14" s="85"/>
      <c r="C14" s="63" t="s">
        <v>186</v>
      </c>
      <c r="D14" s="64">
        <v>3</v>
      </c>
      <c r="E14" s="65">
        <v>5.4298642533899999E-4</v>
      </c>
    </row>
    <row r="15" spans="1:5" ht="15" customHeight="1">
      <c r="B15" s="85"/>
      <c r="C15" s="63" t="s">
        <v>187</v>
      </c>
      <c r="D15" s="64">
        <v>1</v>
      </c>
      <c r="E15" s="65">
        <v>1.8099547511300001E-4</v>
      </c>
    </row>
    <row r="16" spans="1:5" ht="15" customHeight="1">
      <c r="B16" s="85"/>
      <c r="C16" s="63" t="s">
        <v>188</v>
      </c>
      <c r="D16" s="64">
        <v>1</v>
      </c>
      <c r="E16" s="65">
        <v>1.8099547511300001E-4</v>
      </c>
    </row>
    <row r="17" spans="2:5" ht="15" customHeight="1">
      <c r="B17" s="85"/>
      <c r="C17" s="63" t="s">
        <v>189</v>
      </c>
      <c r="D17" s="64">
        <v>1</v>
      </c>
      <c r="E17" s="65">
        <v>1.8099547511300001E-4</v>
      </c>
    </row>
    <row r="18" spans="2:5" ht="15" customHeight="1">
      <c r="B18" s="85"/>
      <c r="C18" s="63" t="s">
        <v>190</v>
      </c>
      <c r="D18" s="64">
        <v>1</v>
      </c>
      <c r="E18" s="65">
        <v>1.8099547511300001E-4</v>
      </c>
    </row>
    <row r="19" spans="2:5" ht="15" customHeight="1">
      <c r="B19" s="85"/>
      <c r="C19" s="63" t="s">
        <v>191</v>
      </c>
      <c r="D19" s="64">
        <v>1</v>
      </c>
      <c r="E19" s="65">
        <v>1.8099547511300001E-4</v>
      </c>
    </row>
    <row r="20" spans="2:5" ht="15" customHeight="1">
      <c r="B20" s="85"/>
      <c r="C20" s="63" t="s">
        <v>192</v>
      </c>
      <c r="D20" s="64">
        <v>1</v>
      </c>
      <c r="E20" s="65">
        <v>1.8099547511300001E-4</v>
      </c>
    </row>
    <row r="21" spans="2:5" ht="15" customHeight="1">
      <c r="B21" s="85"/>
      <c r="C21" s="63" t="s">
        <v>193</v>
      </c>
      <c r="D21" s="64">
        <v>3</v>
      </c>
      <c r="E21" s="65">
        <v>5.4298642533899999E-4</v>
      </c>
    </row>
    <row r="22" spans="2:5" ht="15" customHeight="1">
      <c r="B22" s="85"/>
      <c r="C22" s="63" t="s">
        <v>194</v>
      </c>
      <c r="D22" s="64">
        <v>2</v>
      </c>
      <c r="E22" s="65">
        <v>3.6199095022600001E-4</v>
      </c>
    </row>
    <row r="23" spans="2:5" ht="15" customHeight="1">
      <c r="B23" s="85"/>
      <c r="C23" s="63" t="s">
        <v>195</v>
      </c>
      <c r="D23" s="64">
        <v>1</v>
      </c>
      <c r="E23" s="65">
        <v>1.8099547511300001E-4</v>
      </c>
    </row>
    <row r="24" spans="2:5" ht="15" customHeight="1">
      <c r="B24" s="85"/>
      <c r="C24" s="63" t="s">
        <v>196</v>
      </c>
      <c r="D24" s="64">
        <v>3</v>
      </c>
      <c r="E24" s="65">
        <v>5.4298642533899999E-4</v>
      </c>
    </row>
    <row r="25" spans="2:5" ht="15" customHeight="1">
      <c r="B25" s="86"/>
      <c r="C25" s="36" t="s">
        <v>29</v>
      </c>
      <c r="D25" s="35">
        <v>26</v>
      </c>
      <c r="E25" s="34">
        <v>4.705882352941E-3</v>
      </c>
    </row>
    <row r="26" spans="2:5" ht="15" customHeight="1">
      <c r="B26" s="84" t="s">
        <v>93</v>
      </c>
      <c r="C26" s="63" t="s">
        <v>182</v>
      </c>
      <c r="D26" s="64">
        <v>1</v>
      </c>
      <c r="E26" s="65">
        <v>1.8099547511300001E-4</v>
      </c>
    </row>
    <row r="27" spans="2:5" ht="15" customHeight="1">
      <c r="B27" s="85"/>
      <c r="C27" s="63" t="s">
        <v>184</v>
      </c>
      <c r="D27" s="64">
        <v>9</v>
      </c>
      <c r="E27" s="65">
        <v>1.628959276018E-3</v>
      </c>
    </row>
    <row r="28" spans="2:5" ht="15" customHeight="1">
      <c r="B28" s="85"/>
      <c r="C28" s="63" t="s">
        <v>185</v>
      </c>
      <c r="D28" s="64">
        <v>6</v>
      </c>
      <c r="E28" s="65">
        <v>1.0859728506790001E-3</v>
      </c>
    </row>
    <row r="29" spans="2:5" ht="15" customHeight="1">
      <c r="B29" s="85"/>
      <c r="C29" s="63" t="s">
        <v>197</v>
      </c>
      <c r="D29" s="64">
        <v>1</v>
      </c>
      <c r="E29" s="65">
        <v>1.8099547511300001E-4</v>
      </c>
    </row>
    <row r="30" spans="2:5" ht="15" customHeight="1">
      <c r="B30" s="85"/>
      <c r="C30" s="63" t="s">
        <v>198</v>
      </c>
      <c r="D30" s="64">
        <v>1</v>
      </c>
      <c r="E30" s="65">
        <v>1.8099547511300001E-4</v>
      </c>
    </row>
    <row r="31" spans="2:5" ht="15" customHeight="1">
      <c r="B31" s="85"/>
      <c r="C31" s="63" t="s">
        <v>186</v>
      </c>
      <c r="D31" s="64">
        <v>4</v>
      </c>
      <c r="E31" s="65">
        <v>7.2398190045200002E-4</v>
      </c>
    </row>
    <row r="32" spans="2:5" ht="15" customHeight="1">
      <c r="B32" s="85"/>
      <c r="C32" s="63" t="s">
        <v>187</v>
      </c>
      <c r="D32" s="64">
        <v>1</v>
      </c>
      <c r="E32" s="65">
        <v>1.8099547511300001E-4</v>
      </c>
    </row>
    <row r="33" spans="2:5" ht="15" customHeight="1">
      <c r="B33" s="85"/>
      <c r="C33" s="63" t="s">
        <v>199</v>
      </c>
      <c r="D33" s="64">
        <v>1</v>
      </c>
      <c r="E33" s="65">
        <v>1.8099547511300001E-4</v>
      </c>
    </row>
    <row r="34" spans="2:5" ht="15" customHeight="1">
      <c r="B34" s="85"/>
      <c r="C34" s="63" t="s">
        <v>200</v>
      </c>
      <c r="D34" s="64">
        <v>1</v>
      </c>
      <c r="E34" s="65">
        <v>1.8099547511300001E-4</v>
      </c>
    </row>
    <row r="35" spans="2:5" ht="15" customHeight="1">
      <c r="B35" s="85"/>
      <c r="C35" s="63" t="s">
        <v>189</v>
      </c>
      <c r="D35" s="64">
        <v>1</v>
      </c>
      <c r="E35" s="65">
        <v>1.8099547511300001E-4</v>
      </c>
    </row>
    <row r="36" spans="2:5" ht="15" customHeight="1">
      <c r="B36" s="85"/>
      <c r="C36" s="63" t="s">
        <v>190</v>
      </c>
      <c r="D36" s="64">
        <v>1</v>
      </c>
      <c r="E36" s="65">
        <v>1.8099547511300001E-4</v>
      </c>
    </row>
    <row r="37" spans="2:5" ht="15" customHeight="1">
      <c r="B37" s="85"/>
      <c r="C37" s="63" t="s">
        <v>191</v>
      </c>
      <c r="D37" s="64">
        <v>1</v>
      </c>
      <c r="E37" s="65">
        <v>1.8099547511300001E-4</v>
      </c>
    </row>
    <row r="38" spans="2:5" ht="15" customHeight="1">
      <c r="B38" s="85"/>
      <c r="C38" s="63" t="s">
        <v>195</v>
      </c>
      <c r="D38" s="64">
        <v>12</v>
      </c>
      <c r="E38" s="65">
        <v>2.171945701357E-3</v>
      </c>
    </row>
    <row r="39" spans="2:5" ht="15" customHeight="1">
      <c r="B39" s="85"/>
      <c r="C39" s="63" t="s">
        <v>201</v>
      </c>
      <c r="D39" s="64">
        <v>1</v>
      </c>
      <c r="E39" s="65">
        <v>1.8099547511300001E-4</v>
      </c>
    </row>
    <row r="40" spans="2:5" ht="15" customHeight="1">
      <c r="B40" s="85"/>
      <c r="C40" s="63" t="s">
        <v>202</v>
      </c>
      <c r="D40" s="64">
        <v>2</v>
      </c>
      <c r="E40" s="65">
        <v>3.6199095022600001E-4</v>
      </c>
    </row>
    <row r="41" spans="2:5" ht="15" customHeight="1">
      <c r="B41" s="85"/>
      <c r="C41" s="63" t="s">
        <v>203</v>
      </c>
      <c r="D41" s="64">
        <v>1</v>
      </c>
      <c r="E41" s="65">
        <v>1.8099547511300001E-4</v>
      </c>
    </row>
    <row r="42" spans="2:5" ht="15" customHeight="1">
      <c r="B42" s="85"/>
      <c r="C42" s="63" t="s">
        <v>204</v>
      </c>
      <c r="D42" s="64">
        <v>8</v>
      </c>
      <c r="E42" s="65">
        <v>1.4479638009049999E-3</v>
      </c>
    </row>
    <row r="43" spans="2:5" ht="15" customHeight="1">
      <c r="B43" s="85"/>
      <c r="C43" s="63" t="s">
        <v>205</v>
      </c>
      <c r="D43" s="64">
        <v>1</v>
      </c>
      <c r="E43" s="65">
        <v>1.8099547511300001E-4</v>
      </c>
    </row>
    <row r="44" spans="2:5" ht="15" customHeight="1">
      <c r="B44" s="86"/>
      <c r="C44" s="36" t="s">
        <v>29</v>
      </c>
      <c r="D44" s="35">
        <v>53</v>
      </c>
      <c r="E44" s="34">
        <v>9.5927601809950008E-3</v>
      </c>
    </row>
    <row r="45" spans="2:5" ht="15" customHeight="1">
      <c r="B45" s="84" t="s">
        <v>94</v>
      </c>
      <c r="C45" s="63" t="s">
        <v>184</v>
      </c>
      <c r="D45" s="64">
        <v>4</v>
      </c>
      <c r="E45" s="65">
        <v>7.2398190045200002E-4</v>
      </c>
    </row>
    <row r="46" spans="2:5" ht="15" customHeight="1">
      <c r="B46" s="85"/>
      <c r="C46" s="63" t="s">
        <v>185</v>
      </c>
      <c r="D46" s="64">
        <v>2</v>
      </c>
      <c r="E46" s="65">
        <v>3.6199095022600001E-4</v>
      </c>
    </row>
    <row r="47" spans="2:5" ht="15" customHeight="1">
      <c r="B47" s="85"/>
      <c r="C47" s="63" t="s">
        <v>186</v>
      </c>
      <c r="D47" s="64">
        <v>2</v>
      </c>
      <c r="E47" s="65">
        <v>3.6199095022600001E-4</v>
      </c>
    </row>
    <row r="48" spans="2:5" ht="15" customHeight="1">
      <c r="B48" s="85"/>
      <c r="C48" s="63" t="s">
        <v>187</v>
      </c>
      <c r="D48" s="64">
        <v>2</v>
      </c>
      <c r="E48" s="65">
        <v>3.6199095022600001E-4</v>
      </c>
    </row>
    <row r="49" spans="2:5" ht="15" customHeight="1">
      <c r="B49" s="85"/>
      <c r="C49" s="63" t="s">
        <v>206</v>
      </c>
      <c r="D49" s="64">
        <v>1</v>
      </c>
      <c r="E49" s="65">
        <v>1.8099547511300001E-4</v>
      </c>
    </row>
    <row r="50" spans="2:5" ht="15" customHeight="1">
      <c r="B50" s="85"/>
      <c r="C50" s="63" t="s">
        <v>207</v>
      </c>
      <c r="D50" s="64">
        <v>1</v>
      </c>
      <c r="E50" s="65">
        <v>1.8099547511300001E-4</v>
      </c>
    </row>
    <row r="51" spans="2:5" ht="15" customHeight="1">
      <c r="B51" s="85"/>
      <c r="C51" s="63" t="s">
        <v>190</v>
      </c>
      <c r="D51" s="64">
        <v>1</v>
      </c>
      <c r="E51" s="65">
        <v>1.8099547511300001E-4</v>
      </c>
    </row>
    <row r="52" spans="2:5" ht="15" customHeight="1">
      <c r="B52" s="85"/>
      <c r="C52" s="63" t="s">
        <v>195</v>
      </c>
      <c r="D52" s="64">
        <v>6</v>
      </c>
      <c r="E52" s="65">
        <v>1.0859728506790001E-3</v>
      </c>
    </row>
    <row r="53" spans="2:5" ht="15" customHeight="1">
      <c r="B53" s="85"/>
      <c r="C53" s="63" t="s">
        <v>196</v>
      </c>
      <c r="D53" s="64">
        <v>5</v>
      </c>
      <c r="E53" s="65">
        <v>9.0497737556600002E-4</v>
      </c>
    </row>
    <row r="54" spans="2:5" ht="15" customHeight="1">
      <c r="B54" s="85"/>
      <c r="C54" s="63" t="s">
        <v>208</v>
      </c>
      <c r="D54" s="64">
        <v>1</v>
      </c>
      <c r="E54" s="65">
        <v>1.8099547511300001E-4</v>
      </c>
    </row>
    <row r="55" spans="2:5" ht="15" customHeight="1">
      <c r="B55" s="85"/>
      <c r="C55" s="63" t="s">
        <v>209</v>
      </c>
      <c r="D55" s="64">
        <v>1</v>
      </c>
      <c r="E55" s="65">
        <v>1.8099547511300001E-4</v>
      </c>
    </row>
    <row r="56" spans="2:5" ht="15" customHeight="1">
      <c r="B56" s="85"/>
      <c r="C56" s="63" t="s">
        <v>201</v>
      </c>
      <c r="D56" s="64">
        <v>3</v>
      </c>
      <c r="E56" s="65">
        <v>5.4298642533899999E-4</v>
      </c>
    </row>
    <row r="57" spans="2:5" ht="15" customHeight="1">
      <c r="B57" s="85"/>
      <c r="C57" s="63" t="s">
        <v>202</v>
      </c>
      <c r="D57" s="64">
        <v>1</v>
      </c>
      <c r="E57" s="65">
        <v>1.8099547511300001E-4</v>
      </c>
    </row>
    <row r="58" spans="2:5" ht="15" customHeight="1">
      <c r="B58" s="85"/>
      <c r="C58" s="63" t="s">
        <v>204</v>
      </c>
      <c r="D58" s="64">
        <v>1</v>
      </c>
      <c r="E58" s="65">
        <v>1.8099547511300001E-4</v>
      </c>
    </row>
    <row r="59" spans="2:5" ht="15" customHeight="1">
      <c r="B59" s="86"/>
      <c r="C59" s="36" t="s">
        <v>29</v>
      </c>
      <c r="D59" s="35">
        <v>31</v>
      </c>
      <c r="E59" s="34">
        <v>5.6108597285069997E-3</v>
      </c>
    </row>
    <row r="60" spans="2:5" ht="15" customHeight="1">
      <c r="B60" s="84" t="s">
        <v>95</v>
      </c>
      <c r="C60" s="63" t="s">
        <v>210</v>
      </c>
      <c r="D60" s="64">
        <v>3</v>
      </c>
      <c r="E60" s="65">
        <v>5.4298642533899999E-4</v>
      </c>
    </row>
    <row r="61" spans="2:5" ht="15" customHeight="1">
      <c r="B61" s="85"/>
      <c r="C61" s="63" t="s">
        <v>211</v>
      </c>
      <c r="D61" s="64">
        <v>4</v>
      </c>
      <c r="E61" s="65">
        <v>7.2398190045200002E-4</v>
      </c>
    </row>
    <row r="62" spans="2:5" ht="15" customHeight="1">
      <c r="B62" s="85"/>
      <c r="C62" s="63" t="s">
        <v>212</v>
      </c>
      <c r="D62" s="64">
        <v>6</v>
      </c>
      <c r="E62" s="65">
        <v>1.0859728506790001E-3</v>
      </c>
    </row>
    <row r="63" spans="2:5" ht="15" customHeight="1">
      <c r="B63" s="85"/>
      <c r="C63" s="63" t="s">
        <v>182</v>
      </c>
      <c r="D63" s="64">
        <v>66</v>
      </c>
      <c r="E63" s="65">
        <v>1.1945701357466001E-2</v>
      </c>
    </row>
    <row r="64" spans="2:5" ht="15" customHeight="1">
      <c r="B64" s="85"/>
      <c r="C64" s="63" t="s">
        <v>183</v>
      </c>
      <c r="D64" s="64">
        <v>6</v>
      </c>
      <c r="E64" s="65">
        <v>1.0859728506790001E-3</v>
      </c>
    </row>
    <row r="65" spans="2:5" ht="15" customHeight="1">
      <c r="B65" s="85"/>
      <c r="C65" s="63" t="s">
        <v>213</v>
      </c>
      <c r="D65" s="64">
        <v>7</v>
      </c>
      <c r="E65" s="65">
        <v>1.266968325792E-3</v>
      </c>
    </row>
    <row r="66" spans="2:5" ht="15" customHeight="1">
      <c r="B66" s="85"/>
      <c r="C66" s="63" t="s">
        <v>214</v>
      </c>
      <c r="D66" s="64">
        <v>2</v>
      </c>
      <c r="E66" s="65">
        <v>3.6199095022600001E-4</v>
      </c>
    </row>
    <row r="67" spans="2:5" ht="15" customHeight="1">
      <c r="B67" s="85"/>
      <c r="C67" s="63" t="s">
        <v>184</v>
      </c>
      <c r="D67" s="64">
        <v>91</v>
      </c>
      <c r="E67" s="65">
        <v>1.6470588235294001E-2</v>
      </c>
    </row>
    <row r="68" spans="2:5" ht="15" customHeight="1">
      <c r="B68" s="85"/>
      <c r="C68" s="63" t="s">
        <v>185</v>
      </c>
      <c r="D68" s="64">
        <v>171</v>
      </c>
      <c r="E68" s="65">
        <v>3.0950226244344001E-2</v>
      </c>
    </row>
    <row r="69" spans="2:5" ht="15" customHeight="1">
      <c r="B69" s="85"/>
      <c r="C69" s="63" t="s">
        <v>197</v>
      </c>
      <c r="D69" s="64">
        <v>32</v>
      </c>
      <c r="E69" s="65">
        <v>5.7918552036199996E-3</v>
      </c>
    </row>
    <row r="70" spans="2:5" ht="15" customHeight="1">
      <c r="B70" s="85"/>
      <c r="C70" s="63" t="s">
        <v>215</v>
      </c>
      <c r="D70" s="64">
        <v>2</v>
      </c>
      <c r="E70" s="65">
        <v>3.6199095022600001E-4</v>
      </c>
    </row>
    <row r="71" spans="2:5" ht="15" customHeight="1">
      <c r="B71" s="85"/>
      <c r="C71" s="63" t="s">
        <v>216</v>
      </c>
      <c r="D71" s="64">
        <v>9</v>
      </c>
      <c r="E71" s="65">
        <v>1.628959276018E-3</v>
      </c>
    </row>
    <row r="72" spans="2:5" ht="15" customHeight="1">
      <c r="B72" s="85"/>
      <c r="C72" s="63" t="s">
        <v>217</v>
      </c>
      <c r="D72" s="64">
        <v>2</v>
      </c>
      <c r="E72" s="65">
        <v>3.6199095022600001E-4</v>
      </c>
    </row>
    <row r="73" spans="2:5" ht="15" customHeight="1">
      <c r="B73" s="85"/>
      <c r="C73" s="63" t="s">
        <v>198</v>
      </c>
      <c r="D73" s="64">
        <v>12</v>
      </c>
      <c r="E73" s="65">
        <v>2.171945701357E-3</v>
      </c>
    </row>
    <row r="74" spans="2:5" ht="15" customHeight="1">
      <c r="B74" s="85"/>
      <c r="C74" s="63" t="s">
        <v>186</v>
      </c>
      <c r="D74" s="64">
        <v>94</v>
      </c>
      <c r="E74" s="65">
        <v>1.7013574660633E-2</v>
      </c>
    </row>
    <row r="75" spans="2:5" ht="15" customHeight="1">
      <c r="B75" s="85"/>
      <c r="C75" s="63" t="s">
        <v>218</v>
      </c>
      <c r="D75" s="64">
        <v>9</v>
      </c>
      <c r="E75" s="65">
        <v>1.628959276018E-3</v>
      </c>
    </row>
    <row r="76" spans="2:5" ht="15" customHeight="1">
      <c r="B76" s="85"/>
      <c r="C76" s="63" t="s">
        <v>187</v>
      </c>
      <c r="D76" s="64">
        <v>28</v>
      </c>
      <c r="E76" s="65">
        <v>5.0678733031669998E-3</v>
      </c>
    </row>
    <row r="77" spans="2:5" ht="15" customHeight="1">
      <c r="B77" s="85"/>
      <c r="C77" s="63" t="s">
        <v>219</v>
      </c>
      <c r="D77" s="64">
        <v>11</v>
      </c>
      <c r="E77" s="65">
        <v>1.9909502262440001E-3</v>
      </c>
    </row>
    <row r="78" spans="2:5" ht="15" customHeight="1">
      <c r="B78" s="85"/>
      <c r="C78" s="63" t="s">
        <v>188</v>
      </c>
      <c r="D78" s="64">
        <v>1</v>
      </c>
      <c r="E78" s="65">
        <v>1.8099547511300001E-4</v>
      </c>
    </row>
    <row r="79" spans="2:5" ht="15" customHeight="1">
      <c r="B79" s="85"/>
      <c r="C79" s="63" t="s">
        <v>199</v>
      </c>
      <c r="D79" s="64">
        <v>4</v>
      </c>
      <c r="E79" s="65">
        <v>7.2398190045200002E-4</v>
      </c>
    </row>
    <row r="80" spans="2:5" ht="15" customHeight="1">
      <c r="B80" s="85"/>
      <c r="C80" s="63" t="s">
        <v>200</v>
      </c>
      <c r="D80" s="64">
        <v>3</v>
      </c>
      <c r="E80" s="65">
        <v>5.4298642533899999E-4</v>
      </c>
    </row>
    <row r="81" spans="2:5" ht="15" customHeight="1">
      <c r="B81" s="85"/>
      <c r="C81" s="63" t="s">
        <v>220</v>
      </c>
      <c r="D81" s="64">
        <v>3</v>
      </c>
      <c r="E81" s="65">
        <v>5.4298642533899999E-4</v>
      </c>
    </row>
    <row r="82" spans="2:5" ht="15" customHeight="1">
      <c r="B82" s="85"/>
      <c r="C82" s="63" t="s">
        <v>189</v>
      </c>
      <c r="D82" s="64">
        <v>19</v>
      </c>
      <c r="E82" s="65">
        <v>3.438914027149E-3</v>
      </c>
    </row>
    <row r="83" spans="2:5" ht="15" customHeight="1">
      <c r="B83" s="85"/>
      <c r="C83" s="63" t="s">
        <v>206</v>
      </c>
      <c r="D83" s="64">
        <v>50</v>
      </c>
      <c r="E83" s="65">
        <v>9.0497737556560001E-3</v>
      </c>
    </row>
    <row r="84" spans="2:5" ht="15" customHeight="1">
      <c r="B84" s="85"/>
      <c r="C84" s="63" t="s">
        <v>207</v>
      </c>
      <c r="D84" s="64">
        <v>10</v>
      </c>
      <c r="E84" s="65">
        <v>1.809954751131E-3</v>
      </c>
    </row>
    <row r="85" spans="2:5" ht="15" customHeight="1">
      <c r="B85" s="85"/>
      <c r="C85" s="63" t="s">
        <v>221</v>
      </c>
      <c r="D85" s="64">
        <v>18</v>
      </c>
      <c r="E85" s="65">
        <v>3.2579185520360001E-3</v>
      </c>
    </row>
    <row r="86" spans="2:5" ht="15" customHeight="1">
      <c r="B86" s="85"/>
      <c r="C86" s="63" t="s">
        <v>222</v>
      </c>
      <c r="D86" s="64">
        <v>4</v>
      </c>
      <c r="E86" s="65">
        <v>7.2398190045200002E-4</v>
      </c>
    </row>
    <row r="87" spans="2:5" ht="15" customHeight="1">
      <c r="B87" s="85"/>
      <c r="C87" s="63" t="s">
        <v>223</v>
      </c>
      <c r="D87" s="64">
        <v>2</v>
      </c>
      <c r="E87" s="65">
        <v>3.6199095022600001E-4</v>
      </c>
    </row>
    <row r="88" spans="2:5" ht="15" customHeight="1">
      <c r="B88" s="85"/>
      <c r="C88" s="63" t="s">
        <v>224</v>
      </c>
      <c r="D88" s="64">
        <v>5</v>
      </c>
      <c r="E88" s="65">
        <v>9.0497737556600002E-4</v>
      </c>
    </row>
    <row r="89" spans="2:5" ht="15" customHeight="1">
      <c r="B89" s="85"/>
      <c r="C89" s="63" t="s">
        <v>225</v>
      </c>
      <c r="D89" s="64">
        <v>1</v>
      </c>
      <c r="E89" s="65">
        <v>1.8099547511300001E-4</v>
      </c>
    </row>
    <row r="90" spans="2:5" ht="15" customHeight="1">
      <c r="B90" s="85"/>
      <c r="C90" s="63" t="s">
        <v>226</v>
      </c>
      <c r="D90" s="64">
        <v>1</v>
      </c>
      <c r="E90" s="65">
        <v>1.8099547511300001E-4</v>
      </c>
    </row>
    <row r="91" spans="2:5" ht="15" customHeight="1">
      <c r="B91" s="85"/>
      <c r="C91" s="63" t="s">
        <v>190</v>
      </c>
      <c r="D91" s="64">
        <v>15</v>
      </c>
      <c r="E91" s="65">
        <v>2.7149321266969999E-3</v>
      </c>
    </row>
    <row r="92" spans="2:5" ht="15" customHeight="1">
      <c r="B92" s="85"/>
      <c r="C92" s="63" t="s">
        <v>227</v>
      </c>
      <c r="D92" s="64">
        <v>1</v>
      </c>
      <c r="E92" s="65">
        <v>1.8099547511300001E-4</v>
      </c>
    </row>
    <row r="93" spans="2:5" ht="15" customHeight="1">
      <c r="B93" s="85"/>
      <c r="C93" s="63" t="s">
        <v>228</v>
      </c>
      <c r="D93" s="64">
        <v>1</v>
      </c>
      <c r="E93" s="65">
        <v>1.8099547511300001E-4</v>
      </c>
    </row>
    <row r="94" spans="2:5" ht="15" customHeight="1">
      <c r="B94" s="85"/>
      <c r="C94" s="63" t="s">
        <v>229</v>
      </c>
      <c r="D94" s="64">
        <v>2</v>
      </c>
      <c r="E94" s="65">
        <v>3.6199095022600001E-4</v>
      </c>
    </row>
    <row r="95" spans="2:5" ht="15" customHeight="1">
      <c r="B95" s="85"/>
      <c r="C95" s="63" t="s">
        <v>230</v>
      </c>
      <c r="D95" s="64">
        <v>5</v>
      </c>
      <c r="E95" s="65">
        <v>9.0497737556600002E-4</v>
      </c>
    </row>
    <row r="96" spans="2:5" ht="15" customHeight="1">
      <c r="B96" s="85"/>
      <c r="C96" s="63" t="s">
        <v>231</v>
      </c>
      <c r="D96" s="64">
        <v>3</v>
      </c>
      <c r="E96" s="65">
        <v>5.4298642533899999E-4</v>
      </c>
    </row>
    <row r="97" spans="2:5" ht="15" customHeight="1">
      <c r="B97" s="85"/>
      <c r="C97" s="63" t="s">
        <v>232</v>
      </c>
      <c r="D97" s="64">
        <v>19</v>
      </c>
      <c r="E97" s="65">
        <v>3.438914027149E-3</v>
      </c>
    </row>
    <row r="98" spans="2:5" ht="15" customHeight="1">
      <c r="B98" s="85"/>
      <c r="C98" s="63" t="s">
        <v>191</v>
      </c>
      <c r="D98" s="64">
        <v>12</v>
      </c>
      <c r="E98" s="65">
        <v>2.171945701357E-3</v>
      </c>
    </row>
    <row r="99" spans="2:5" ht="15" customHeight="1">
      <c r="B99" s="85"/>
      <c r="C99" s="63" t="s">
        <v>233</v>
      </c>
      <c r="D99" s="64">
        <v>24</v>
      </c>
      <c r="E99" s="65">
        <v>4.3438914027150001E-3</v>
      </c>
    </row>
    <row r="100" spans="2:5" ht="15" customHeight="1">
      <c r="B100" s="85"/>
      <c r="C100" s="63" t="s">
        <v>192</v>
      </c>
      <c r="D100" s="64">
        <v>21</v>
      </c>
      <c r="E100" s="65">
        <v>3.8009049773759999E-3</v>
      </c>
    </row>
    <row r="101" spans="2:5" ht="15" customHeight="1">
      <c r="B101" s="85"/>
      <c r="C101" s="63" t="s">
        <v>193</v>
      </c>
      <c r="D101" s="64">
        <v>25</v>
      </c>
      <c r="E101" s="65">
        <v>4.5248868778280001E-3</v>
      </c>
    </row>
    <row r="102" spans="2:5" ht="15" customHeight="1">
      <c r="B102" s="85"/>
      <c r="C102" s="63" t="s">
        <v>194</v>
      </c>
      <c r="D102" s="64">
        <v>17</v>
      </c>
      <c r="E102" s="65">
        <v>3.0769230769230002E-3</v>
      </c>
    </row>
    <row r="103" spans="2:5" ht="15" customHeight="1">
      <c r="B103" s="85"/>
      <c r="C103" s="63" t="s">
        <v>234</v>
      </c>
      <c r="D103" s="64">
        <v>13</v>
      </c>
      <c r="E103" s="65">
        <v>2.352941176471E-3</v>
      </c>
    </row>
    <row r="104" spans="2:5" ht="15" customHeight="1">
      <c r="B104" s="85"/>
      <c r="C104" s="63" t="s">
        <v>195</v>
      </c>
      <c r="D104" s="64">
        <v>207</v>
      </c>
      <c r="E104" s="65">
        <v>3.7466063348415998E-2</v>
      </c>
    </row>
    <row r="105" spans="2:5" ht="15" customHeight="1">
      <c r="B105" s="85"/>
      <c r="C105" s="63" t="s">
        <v>196</v>
      </c>
      <c r="D105" s="64">
        <v>43</v>
      </c>
      <c r="E105" s="65">
        <v>7.7828054298639997E-3</v>
      </c>
    </row>
    <row r="106" spans="2:5" ht="15" customHeight="1">
      <c r="B106" s="85"/>
      <c r="C106" s="63" t="s">
        <v>208</v>
      </c>
      <c r="D106" s="64">
        <v>4</v>
      </c>
      <c r="E106" s="65">
        <v>7.2398190045200002E-4</v>
      </c>
    </row>
    <row r="107" spans="2:5" ht="15" customHeight="1">
      <c r="B107" s="85"/>
      <c r="C107" s="63" t="s">
        <v>235</v>
      </c>
      <c r="D107" s="64">
        <v>14</v>
      </c>
      <c r="E107" s="65">
        <v>2.533936651584E-3</v>
      </c>
    </row>
    <row r="108" spans="2:5" ht="15" customHeight="1">
      <c r="B108" s="85"/>
      <c r="C108" s="63" t="s">
        <v>209</v>
      </c>
      <c r="D108" s="64">
        <v>8</v>
      </c>
      <c r="E108" s="65">
        <v>1.4479638009049999E-3</v>
      </c>
    </row>
    <row r="109" spans="2:5" ht="15" customHeight="1">
      <c r="B109" s="85"/>
      <c r="C109" s="63" t="s">
        <v>201</v>
      </c>
      <c r="D109" s="64">
        <v>15</v>
      </c>
      <c r="E109" s="65">
        <v>2.7149321266969999E-3</v>
      </c>
    </row>
    <row r="110" spans="2:5" ht="15" customHeight="1">
      <c r="B110" s="85"/>
      <c r="C110" s="63" t="s">
        <v>202</v>
      </c>
      <c r="D110" s="64">
        <v>17</v>
      </c>
      <c r="E110" s="65">
        <v>3.0769230769230002E-3</v>
      </c>
    </row>
    <row r="111" spans="2:5" ht="15" customHeight="1">
      <c r="B111" s="85"/>
      <c r="C111" s="63" t="s">
        <v>203</v>
      </c>
      <c r="D111" s="64">
        <v>7</v>
      </c>
      <c r="E111" s="65">
        <v>1.266968325792E-3</v>
      </c>
    </row>
    <row r="112" spans="2:5" ht="15" customHeight="1">
      <c r="B112" s="85"/>
      <c r="C112" s="63" t="s">
        <v>236</v>
      </c>
      <c r="D112" s="64">
        <v>5</v>
      </c>
      <c r="E112" s="65">
        <v>9.0497737556600002E-4</v>
      </c>
    </row>
    <row r="113" spans="2:5" ht="15" customHeight="1">
      <c r="B113" s="85"/>
      <c r="C113" s="63" t="s">
        <v>204</v>
      </c>
      <c r="D113" s="64">
        <v>61</v>
      </c>
      <c r="E113" s="65">
        <v>1.1040723981899999E-2</v>
      </c>
    </row>
    <row r="114" spans="2:5" ht="15" customHeight="1">
      <c r="B114" s="85"/>
      <c r="C114" s="63" t="s">
        <v>205</v>
      </c>
      <c r="D114" s="64">
        <v>46</v>
      </c>
      <c r="E114" s="65">
        <v>8.3257918552040004E-3</v>
      </c>
    </row>
    <row r="115" spans="2:5" ht="15" customHeight="1">
      <c r="B115" s="86"/>
      <c r="C115" s="36" t="s">
        <v>29</v>
      </c>
      <c r="D115" s="35">
        <v>1261</v>
      </c>
      <c r="E115" s="34">
        <v>0.22823529411764701</v>
      </c>
    </row>
    <row r="116" spans="2:5" ht="15" customHeight="1">
      <c r="B116" s="84" t="s">
        <v>96</v>
      </c>
      <c r="C116" s="63" t="s">
        <v>182</v>
      </c>
      <c r="D116" s="64">
        <v>2</v>
      </c>
      <c r="E116" s="65">
        <v>3.6199095022600001E-4</v>
      </c>
    </row>
    <row r="117" spans="2:5" ht="15" customHeight="1">
      <c r="B117" s="85"/>
      <c r="C117" s="63" t="s">
        <v>214</v>
      </c>
      <c r="D117" s="64">
        <v>1</v>
      </c>
      <c r="E117" s="65">
        <v>1.8099547511300001E-4</v>
      </c>
    </row>
    <row r="118" spans="2:5" ht="15" customHeight="1">
      <c r="B118" s="85"/>
      <c r="C118" s="63" t="s">
        <v>185</v>
      </c>
      <c r="D118" s="64">
        <v>6</v>
      </c>
      <c r="E118" s="65">
        <v>1.0859728506790001E-3</v>
      </c>
    </row>
    <row r="119" spans="2:5" ht="15" customHeight="1">
      <c r="B119" s="85"/>
      <c r="C119" s="63" t="s">
        <v>219</v>
      </c>
      <c r="D119" s="64">
        <v>1</v>
      </c>
      <c r="E119" s="65">
        <v>1.8099547511300001E-4</v>
      </c>
    </row>
    <row r="120" spans="2:5" ht="15" customHeight="1">
      <c r="B120" s="85"/>
      <c r="C120" s="63" t="s">
        <v>188</v>
      </c>
      <c r="D120" s="64">
        <v>1</v>
      </c>
      <c r="E120" s="65">
        <v>1.8099547511300001E-4</v>
      </c>
    </row>
    <row r="121" spans="2:5" ht="15" customHeight="1">
      <c r="B121" s="85"/>
      <c r="C121" s="63" t="s">
        <v>189</v>
      </c>
      <c r="D121" s="64">
        <v>2</v>
      </c>
      <c r="E121" s="65">
        <v>3.6199095022600001E-4</v>
      </c>
    </row>
    <row r="122" spans="2:5" ht="15" customHeight="1">
      <c r="B122" s="85"/>
      <c r="C122" s="63" t="s">
        <v>206</v>
      </c>
      <c r="D122" s="64">
        <v>2</v>
      </c>
      <c r="E122" s="65">
        <v>3.6199095022600001E-4</v>
      </c>
    </row>
    <row r="123" spans="2:5" ht="15" customHeight="1">
      <c r="B123" s="85"/>
      <c r="C123" s="63" t="s">
        <v>233</v>
      </c>
      <c r="D123" s="64">
        <v>1</v>
      </c>
      <c r="E123" s="65">
        <v>1.8099547511300001E-4</v>
      </c>
    </row>
    <row r="124" spans="2:5" ht="15" customHeight="1">
      <c r="B124" s="85"/>
      <c r="C124" s="63" t="s">
        <v>192</v>
      </c>
      <c r="D124" s="64">
        <v>1</v>
      </c>
      <c r="E124" s="65">
        <v>1.8099547511300001E-4</v>
      </c>
    </row>
    <row r="125" spans="2:5" ht="15" customHeight="1">
      <c r="B125" s="85"/>
      <c r="C125" s="63" t="s">
        <v>193</v>
      </c>
      <c r="D125" s="64">
        <v>1</v>
      </c>
      <c r="E125" s="65">
        <v>1.8099547511300001E-4</v>
      </c>
    </row>
    <row r="126" spans="2:5" ht="15" customHeight="1">
      <c r="B126" s="85"/>
      <c r="C126" s="63" t="s">
        <v>195</v>
      </c>
      <c r="D126" s="64">
        <v>10</v>
      </c>
      <c r="E126" s="65">
        <v>1.809954751131E-3</v>
      </c>
    </row>
    <row r="127" spans="2:5" ht="15" customHeight="1">
      <c r="B127" s="85"/>
      <c r="C127" s="63" t="s">
        <v>196</v>
      </c>
      <c r="D127" s="64">
        <v>1</v>
      </c>
      <c r="E127" s="65">
        <v>1.8099547511300001E-4</v>
      </c>
    </row>
    <row r="128" spans="2:5" ht="15" customHeight="1">
      <c r="B128" s="85"/>
      <c r="C128" s="63" t="s">
        <v>201</v>
      </c>
      <c r="D128" s="64">
        <v>2</v>
      </c>
      <c r="E128" s="65">
        <v>3.6199095022600001E-4</v>
      </c>
    </row>
    <row r="129" spans="2:5" ht="15" customHeight="1">
      <c r="B129" s="85"/>
      <c r="C129" s="63" t="s">
        <v>202</v>
      </c>
      <c r="D129" s="64">
        <v>2</v>
      </c>
      <c r="E129" s="65">
        <v>3.6199095022600001E-4</v>
      </c>
    </row>
    <row r="130" spans="2:5" ht="15" customHeight="1">
      <c r="B130" s="85"/>
      <c r="C130" s="63" t="s">
        <v>203</v>
      </c>
      <c r="D130" s="64">
        <v>1</v>
      </c>
      <c r="E130" s="65">
        <v>1.8099547511300001E-4</v>
      </c>
    </row>
    <row r="131" spans="2:5" ht="15" customHeight="1">
      <c r="B131" s="85"/>
      <c r="C131" s="63" t="s">
        <v>236</v>
      </c>
      <c r="D131" s="64">
        <v>1</v>
      </c>
      <c r="E131" s="65">
        <v>1.8099547511300001E-4</v>
      </c>
    </row>
    <row r="132" spans="2:5" ht="15" customHeight="1">
      <c r="B132" s="86"/>
      <c r="C132" s="36" t="s">
        <v>29</v>
      </c>
      <c r="D132" s="35">
        <v>35</v>
      </c>
      <c r="E132" s="34">
        <v>6.3348416289590002E-3</v>
      </c>
    </row>
    <row r="133" spans="2:5" ht="15" customHeight="1">
      <c r="B133" s="84" t="s">
        <v>97</v>
      </c>
      <c r="C133" s="63" t="s">
        <v>212</v>
      </c>
      <c r="D133" s="64">
        <v>1</v>
      </c>
      <c r="E133" s="65">
        <v>1.8099547511300001E-4</v>
      </c>
    </row>
    <row r="134" spans="2:5" ht="15" customHeight="1">
      <c r="B134" s="85"/>
      <c r="C134" s="63" t="s">
        <v>182</v>
      </c>
      <c r="D134" s="64">
        <v>2</v>
      </c>
      <c r="E134" s="65">
        <v>3.6199095022600001E-4</v>
      </c>
    </row>
    <row r="135" spans="2:5" ht="15" customHeight="1">
      <c r="B135" s="85"/>
      <c r="C135" s="63" t="s">
        <v>184</v>
      </c>
      <c r="D135" s="64">
        <v>1</v>
      </c>
      <c r="E135" s="65">
        <v>1.8099547511300001E-4</v>
      </c>
    </row>
    <row r="136" spans="2:5" ht="15" customHeight="1">
      <c r="B136" s="85"/>
      <c r="C136" s="63" t="s">
        <v>185</v>
      </c>
      <c r="D136" s="64">
        <v>34</v>
      </c>
      <c r="E136" s="65">
        <v>6.1538461538460003E-3</v>
      </c>
    </row>
    <row r="137" spans="2:5" ht="15" customHeight="1">
      <c r="B137" s="85"/>
      <c r="C137" s="63" t="s">
        <v>197</v>
      </c>
      <c r="D137" s="64">
        <v>3</v>
      </c>
      <c r="E137" s="65">
        <v>5.4298642533899999E-4</v>
      </c>
    </row>
    <row r="138" spans="2:5" ht="15" customHeight="1">
      <c r="B138" s="85"/>
      <c r="C138" s="63" t="s">
        <v>186</v>
      </c>
      <c r="D138" s="64">
        <v>2</v>
      </c>
      <c r="E138" s="65">
        <v>3.6199095022600001E-4</v>
      </c>
    </row>
    <row r="139" spans="2:5" ht="15" customHeight="1">
      <c r="B139" s="85"/>
      <c r="C139" s="63" t="s">
        <v>218</v>
      </c>
      <c r="D139" s="64">
        <v>2</v>
      </c>
      <c r="E139" s="65">
        <v>3.6199095022600001E-4</v>
      </c>
    </row>
    <row r="140" spans="2:5" ht="15" customHeight="1">
      <c r="B140" s="85"/>
      <c r="C140" s="63" t="s">
        <v>187</v>
      </c>
      <c r="D140" s="64">
        <v>4</v>
      </c>
      <c r="E140" s="65">
        <v>7.2398190045200002E-4</v>
      </c>
    </row>
    <row r="141" spans="2:5" ht="15" customHeight="1">
      <c r="B141" s="85"/>
      <c r="C141" s="63" t="s">
        <v>188</v>
      </c>
      <c r="D141" s="64">
        <v>1</v>
      </c>
      <c r="E141" s="65">
        <v>1.8099547511300001E-4</v>
      </c>
    </row>
    <row r="142" spans="2:5" ht="15" customHeight="1">
      <c r="B142" s="85"/>
      <c r="C142" s="63" t="s">
        <v>200</v>
      </c>
      <c r="D142" s="64">
        <v>8</v>
      </c>
      <c r="E142" s="65">
        <v>1.4479638009049999E-3</v>
      </c>
    </row>
    <row r="143" spans="2:5" ht="15" customHeight="1">
      <c r="B143" s="85"/>
      <c r="C143" s="63" t="s">
        <v>206</v>
      </c>
      <c r="D143" s="64">
        <v>41</v>
      </c>
      <c r="E143" s="65">
        <v>7.4208144796379999E-3</v>
      </c>
    </row>
    <row r="144" spans="2:5" ht="15" customHeight="1">
      <c r="B144" s="85"/>
      <c r="C144" s="63" t="s">
        <v>237</v>
      </c>
      <c r="D144" s="64">
        <v>1</v>
      </c>
      <c r="E144" s="65">
        <v>1.8099547511300001E-4</v>
      </c>
    </row>
    <row r="145" spans="2:5" ht="15" customHeight="1">
      <c r="B145" s="85"/>
      <c r="C145" s="63" t="s">
        <v>221</v>
      </c>
      <c r="D145" s="64">
        <v>7</v>
      </c>
      <c r="E145" s="65">
        <v>1.266968325792E-3</v>
      </c>
    </row>
    <row r="146" spans="2:5" ht="15" customHeight="1">
      <c r="B146" s="85"/>
      <c r="C146" s="63" t="s">
        <v>238</v>
      </c>
      <c r="D146" s="64">
        <v>1</v>
      </c>
      <c r="E146" s="65">
        <v>1.8099547511300001E-4</v>
      </c>
    </row>
    <row r="147" spans="2:5" ht="15" customHeight="1">
      <c r="B147" s="85"/>
      <c r="C147" s="63" t="s">
        <v>222</v>
      </c>
      <c r="D147" s="64">
        <v>2</v>
      </c>
      <c r="E147" s="65">
        <v>3.6199095022600001E-4</v>
      </c>
    </row>
    <row r="148" spans="2:5" ht="15" customHeight="1">
      <c r="B148" s="85"/>
      <c r="C148" s="63" t="s">
        <v>239</v>
      </c>
      <c r="D148" s="64">
        <v>4</v>
      </c>
      <c r="E148" s="65">
        <v>7.2398190045200002E-4</v>
      </c>
    </row>
    <row r="149" spans="2:5" ht="15" customHeight="1">
      <c r="B149" s="85"/>
      <c r="C149" s="63" t="s">
        <v>224</v>
      </c>
      <c r="D149" s="64">
        <v>3</v>
      </c>
      <c r="E149" s="65">
        <v>5.4298642533899999E-4</v>
      </c>
    </row>
    <row r="150" spans="2:5" ht="15" customHeight="1">
      <c r="B150" s="85"/>
      <c r="C150" s="63" t="s">
        <v>190</v>
      </c>
      <c r="D150" s="64">
        <v>6</v>
      </c>
      <c r="E150" s="65">
        <v>1.0859728506790001E-3</v>
      </c>
    </row>
    <row r="151" spans="2:5" ht="15" customHeight="1">
      <c r="B151" s="85"/>
      <c r="C151" s="63" t="s">
        <v>240</v>
      </c>
      <c r="D151" s="64">
        <v>7</v>
      </c>
      <c r="E151" s="65">
        <v>1.266968325792E-3</v>
      </c>
    </row>
    <row r="152" spans="2:5" ht="15" customHeight="1">
      <c r="B152" s="85"/>
      <c r="C152" s="63" t="s">
        <v>228</v>
      </c>
      <c r="D152" s="64">
        <v>2</v>
      </c>
      <c r="E152" s="65">
        <v>3.6199095022600001E-4</v>
      </c>
    </row>
    <row r="153" spans="2:5" ht="15" customHeight="1">
      <c r="B153" s="85"/>
      <c r="C153" s="63" t="s">
        <v>232</v>
      </c>
      <c r="D153" s="64">
        <v>1</v>
      </c>
      <c r="E153" s="65">
        <v>1.8099547511300001E-4</v>
      </c>
    </row>
    <row r="154" spans="2:5" ht="15" customHeight="1">
      <c r="B154" s="85"/>
      <c r="C154" s="63" t="s">
        <v>191</v>
      </c>
      <c r="D154" s="64">
        <v>8</v>
      </c>
      <c r="E154" s="65">
        <v>1.4479638009049999E-3</v>
      </c>
    </row>
    <row r="155" spans="2:5" ht="15" customHeight="1">
      <c r="B155" s="85"/>
      <c r="C155" s="63" t="s">
        <v>192</v>
      </c>
      <c r="D155" s="64">
        <v>9</v>
      </c>
      <c r="E155" s="65">
        <v>1.628959276018E-3</v>
      </c>
    </row>
    <row r="156" spans="2:5" ht="15" customHeight="1">
      <c r="B156" s="85"/>
      <c r="C156" s="63" t="s">
        <v>193</v>
      </c>
      <c r="D156" s="64">
        <v>1</v>
      </c>
      <c r="E156" s="65">
        <v>1.8099547511300001E-4</v>
      </c>
    </row>
    <row r="157" spans="2:5" ht="15" customHeight="1">
      <c r="B157" s="85"/>
      <c r="C157" s="63" t="s">
        <v>194</v>
      </c>
      <c r="D157" s="64">
        <v>1</v>
      </c>
      <c r="E157" s="65">
        <v>1.8099547511300001E-4</v>
      </c>
    </row>
    <row r="158" spans="2:5" ht="15" customHeight="1">
      <c r="B158" s="85"/>
      <c r="C158" s="63" t="s">
        <v>234</v>
      </c>
      <c r="D158" s="64">
        <v>45</v>
      </c>
      <c r="E158" s="65">
        <v>8.1447963800900004E-3</v>
      </c>
    </row>
    <row r="159" spans="2:5" ht="15" customHeight="1">
      <c r="B159" s="85"/>
      <c r="C159" s="63" t="s">
        <v>195</v>
      </c>
      <c r="D159" s="64">
        <v>41</v>
      </c>
      <c r="E159" s="65">
        <v>7.4208144796379999E-3</v>
      </c>
    </row>
    <row r="160" spans="2:5" ht="15" customHeight="1">
      <c r="B160" s="85"/>
      <c r="C160" s="63" t="s">
        <v>196</v>
      </c>
      <c r="D160" s="64">
        <v>2</v>
      </c>
      <c r="E160" s="65">
        <v>3.6199095022600001E-4</v>
      </c>
    </row>
    <row r="161" spans="2:5" ht="15" customHeight="1">
      <c r="B161" s="85"/>
      <c r="C161" s="63" t="s">
        <v>203</v>
      </c>
      <c r="D161" s="64">
        <v>5</v>
      </c>
      <c r="E161" s="65">
        <v>9.0497737556600002E-4</v>
      </c>
    </row>
    <row r="162" spans="2:5" ht="15" customHeight="1">
      <c r="B162" s="85"/>
      <c r="C162" s="63" t="s">
        <v>204</v>
      </c>
      <c r="D162" s="64">
        <v>28</v>
      </c>
      <c r="E162" s="65">
        <v>5.0678733031669998E-3</v>
      </c>
    </row>
    <row r="163" spans="2:5" ht="15" customHeight="1">
      <c r="B163" s="86"/>
      <c r="C163" s="36" t="s">
        <v>29</v>
      </c>
      <c r="D163" s="35">
        <v>273</v>
      </c>
      <c r="E163" s="34">
        <v>4.9411764705882003E-2</v>
      </c>
    </row>
    <row r="164" spans="2:5" ht="15" customHeight="1">
      <c r="B164" s="84" t="s">
        <v>98</v>
      </c>
      <c r="C164" s="63" t="s">
        <v>184</v>
      </c>
      <c r="D164" s="64">
        <v>22</v>
      </c>
      <c r="E164" s="65">
        <v>3.9819004524890003E-3</v>
      </c>
    </row>
    <row r="165" spans="2:5" ht="15" customHeight="1">
      <c r="B165" s="85"/>
      <c r="C165" s="63" t="s">
        <v>185</v>
      </c>
      <c r="D165" s="64">
        <v>2</v>
      </c>
      <c r="E165" s="65">
        <v>3.6199095022600001E-4</v>
      </c>
    </row>
    <row r="166" spans="2:5" ht="15" customHeight="1">
      <c r="B166" s="85"/>
      <c r="C166" s="63" t="s">
        <v>186</v>
      </c>
      <c r="D166" s="64">
        <v>1</v>
      </c>
      <c r="E166" s="65">
        <v>1.8099547511300001E-4</v>
      </c>
    </row>
    <row r="167" spans="2:5" ht="15" customHeight="1">
      <c r="B167" s="85"/>
      <c r="C167" s="63" t="s">
        <v>218</v>
      </c>
      <c r="D167" s="64">
        <v>1</v>
      </c>
      <c r="E167" s="65">
        <v>1.8099547511300001E-4</v>
      </c>
    </row>
    <row r="168" spans="2:5" ht="15" customHeight="1">
      <c r="B168" s="85"/>
      <c r="C168" s="63" t="s">
        <v>189</v>
      </c>
      <c r="D168" s="64">
        <v>1</v>
      </c>
      <c r="E168" s="65">
        <v>1.8099547511300001E-4</v>
      </c>
    </row>
    <row r="169" spans="2:5" ht="15" customHeight="1">
      <c r="B169" s="85"/>
      <c r="C169" s="63" t="s">
        <v>194</v>
      </c>
      <c r="D169" s="64">
        <v>1</v>
      </c>
      <c r="E169" s="65">
        <v>1.8099547511300001E-4</v>
      </c>
    </row>
    <row r="170" spans="2:5" ht="15" customHeight="1">
      <c r="B170" s="85"/>
      <c r="C170" s="63" t="s">
        <v>195</v>
      </c>
      <c r="D170" s="64">
        <v>2</v>
      </c>
      <c r="E170" s="65">
        <v>3.6199095022600001E-4</v>
      </c>
    </row>
    <row r="171" spans="2:5" ht="15" customHeight="1">
      <c r="B171" s="86"/>
      <c r="C171" s="36" t="s">
        <v>29</v>
      </c>
      <c r="D171" s="35">
        <v>30</v>
      </c>
      <c r="E171" s="34">
        <v>5.4298642533939998E-3</v>
      </c>
    </row>
    <row r="172" spans="2:5" ht="15" customHeight="1">
      <c r="B172" s="84" t="s">
        <v>99</v>
      </c>
      <c r="C172" s="63" t="s">
        <v>182</v>
      </c>
      <c r="D172" s="64">
        <v>2</v>
      </c>
      <c r="E172" s="65">
        <v>3.6199095022600001E-4</v>
      </c>
    </row>
    <row r="173" spans="2:5" ht="15" customHeight="1">
      <c r="B173" s="85"/>
      <c r="C173" s="63" t="s">
        <v>192</v>
      </c>
      <c r="D173" s="64">
        <v>1</v>
      </c>
      <c r="E173" s="65">
        <v>1.8099547511300001E-4</v>
      </c>
    </row>
    <row r="174" spans="2:5" ht="15" customHeight="1">
      <c r="B174" s="85"/>
      <c r="C174" s="63" t="s">
        <v>194</v>
      </c>
      <c r="D174" s="64">
        <v>1</v>
      </c>
      <c r="E174" s="65">
        <v>1.8099547511300001E-4</v>
      </c>
    </row>
    <row r="175" spans="2:5" ht="15" customHeight="1">
      <c r="B175" s="85"/>
      <c r="C175" s="63" t="s">
        <v>195</v>
      </c>
      <c r="D175" s="64">
        <v>1</v>
      </c>
      <c r="E175" s="65">
        <v>1.8099547511300001E-4</v>
      </c>
    </row>
    <row r="176" spans="2:5" ht="15" customHeight="1">
      <c r="B176" s="85"/>
      <c r="C176" s="63" t="s">
        <v>208</v>
      </c>
      <c r="D176" s="64">
        <v>1</v>
      </c>
      <c r="E176" s="65">
        <v>1.8099547511300001E-4</v>
      </c>
    </row>
    <row r="177" spans="2:5" ht="15" customHeight="1">
      <c r="B177" s="85"/>
      <c r="C177" s="63" t="s">
        <v>236</v>
      </c>
      <c r="D177" s="64">
        <v>1</v>
      </c>
      <c r="E177" s="65">
        <v>1.8099547511300001E-4</v>
      </c>
    </row>
    <row r="178" spans="2:5" ht="15" customHeight="1">
      <c r="B178" s="86"/>
      <c r="C178" s="36" t="s">
        <v>29</v>
      </c>
      <c r="D178" s="35">
        <v>7</v>
      </c>
      <c r="E178" s="34">
        <v>1.266968325792E-3</v>
      </c>
    </row>
    <row r="179" spans="2:5" ht="15" customHeight="1">
      <c r="B179" s="84" t="s">
        <v>100</v>
      </c>
      <c r="C179" s="63" t="s">
        <v>182</v>
      </c>
      <c r="D179" s="64">
        <v>8</v>
      </c>
      <c r="E179" s="65">
        <v>1.4479638009049999E-3</v>
      </c>
    </row>
    <row r="180" spans="2:5" ht="15" customHeight="1">
      <c r="B180" s="85"/>
      <c r="C180" s="63" t="s">
        <v>183</v>
      </c>
      <c r="D180" s="64">
        <v>2</v>
      </c>
      <c r="E180" s="65">
        <v>3.6199095022600001E-4</v>
      </c>
    </row>
    <row r="181" spans="2:5" ht="15" customHeight="1">
      <c r="B181" s="85"/>
      <c r="C181" s="63" t="s">
        <v>213</v>
      </c>
      <c r="D181" s="64">
        <v>1</v>
      </c>
      <c r="E181" s="65">
        <v>1.8099547511300001E-4</v>
      </c>
    </row>
    <row r="182" spans="2:5" ht="15" customHeight="1">
      <c r="B182" s="85"/>
      <c r="C182" s="63" t="s">
        <v>184</v>
      </c>
      <c r="D182" s="64">
        <v>4</v>
      </c>
      <c r="E182" s="65">
        <v>7.2398190045200002E-4</v>
      </c>
    </row>
    <row r="183" spans="2:5" ht="15" customHeight="1">
      <c r="B183" s="85"/>
      <c r="C183" s="63" t="s">
        <v>185</v>
      </c>
      <c r="D183" s="64">
        <v>1</v>
      </c>
      <c r="E183" s="65">
        <v>1.8099547511300001E-4</v>
      </c>
    </row>
    <row r="184" spans="2:5" ht="15" customHeight="1">
      <c r="B184" s="85"/>
      <c r="C184" s="63" t="s">
        <v>216</v>
      </c>
      <c r="D184" s="64">
        <v>2</v>
      </c>
      <c r="E184" s="65">
        <v>3.6199095022600001E-4</v>
      </c>
    </row>
    <row r="185" spans="2:5" ht="15" customHeight="1">
      <c r="B185" s="85"/>
      <c r="C185" s="63" t="s">
        <v>186</v>
      </c>
      <c r="D185" s="64">
        <v>5</v>
      </c>
      <c r="E185" s="65">
        <v>9.0497737556600002E-4</v>
      </c>
    </row>
    <row r="186" spans="2:5" ht="15" customHeight="1">
      <c r="B186" s="85"/>
      <c r="C186" s="63" t="s">
        <v>218</v>
      </c>
      <c r="D186" s="64">
        <v>2</v>
      </c>
      <c r="E186" s="65">
        <v>3.6199095022600001E-4</v>
      </c>
    </row>
    <row r="187" spans="2:5" ht="15" customHeight="1">
      <c r="B187" s="85"/>
      <c r="C187" s="63" t="s">
        <v>187</v>
      </c>
      <c r="D187" s="64">
        <v>1</v>
      </c>
      <c r="E187" s="65">
        <v>1.8099547511300001E-4</v>
      </c>
    </row>
    <row r="188" spans="2:5" ht="15" customHeight="1">
      <c r="B188" s="85"/>
      <c r="C188" s="63" t="s">
        <v>189</v>
      </c>
      <c r="D188" s="64">
        <v>1</v>
      </c>
      <c r="E188" s="65">
        <v>1.8099547511300001E-4</v>
      </c>
    </row>
    <row r="189" spans="2:5" ht="15" customHeight="1">
      <c r="B189" s="85"/>
      <c r="C189" s="63" t="s">
        <v>206</v>
      </c>
      <c r="D189" s="64">
        <v>3</v>
      </c>
      <c r="E189" s="65">
        <v>5.4298642533899999E-4</v>
      </c>
    </row>
    <row r="190" spans="2:5" ht="15" customHeight="1">
      <c r="B190" s="85"/>
      <c r="C190" s="63" t="s">
        <v>221</v>
      </c>
      <c r="D190" s="64">
        <v>3</v>
      </c>
      <c r="E190" s="65">
        <v>5.4298642533899999E-4</v>
      </c>
    </row>
    <row r="191" spans="2:5" ht="15" customHeight="1">
      <c r="B191" s="85"/>
      <c r="C191" s="63" t="s">
        <v>190</v>
      </c>
      <c r="D191" s="64">
        <v>1</v>
      </c>
      <c r="E191" s="65">
        <v>1.8099547511300001E-4</v>
      </c>
    </row>
    <row r="192" spans="2:5" ht="15" customHeight="1">
      <c r="B192" s="85"/>
      <c r="C192" s="63" t="s">
        <v>232</v>
      </c>
      <c r="D192" s="64">
        <v>2</v>
      </c>
      <c r="E192" s="65">
        <v>3.6199095022600001E-4</v>
      </c>
    </row>
    <row r="193" spans="2:5" ht="15" customHeight="1">
      <c r="B193" s="85"/>
      <c r="C193" s="63" t="s">
        <v>191</v>
      </c>
      <c r="D193" s="64">
        <v>1</v>
      </c>
      <c r="E193" s="65">
        <v>1.8099547511300001E-4</v>
      </c>
    </row>
    <row r="194" spans="2:5" ht="15" customHeight="1">
      <c r="B194" s="85"/>
      <c r="C194" s="63" t="s">
        <v>192</v>
      </c>
      <c r="D194" s="64">
        <v>2</v>
      </c>
      <c r="E194" s="65">
        <v>3.6199095022600001E-4</v>
      </c>
    </row>
    <row r="195" spans="2:5" ht="15" customHeight="1">
      <c r="B195" s="85"/>
      <c r="C195" s="63" t="s">
        <v>193</v>
      </c>
      <c r="D195" s="64">
        <v>2</v>
      </c>
      <c r="E195" s="65">
        <v>3.6199095022600001E-4</v>
      </c>
    </row>
    <row r="196" spans="2:5" ht="15" customHeight="1">
      <c r="B196" s="85"/>
      <c r="C196" s="63" t="s">
        <v>194</v>
      </c>
      <c r="D196" s="64">
        <v>3</v>
      </c>
      <c r="E196" s="65">
        <v>5.4298642533899999E-4</v>
      </c>
    </row>
    <row r="197" spans="2:5" ht="15" customHeight="1">
      <c r="B197" s="85"/>
      <c r="C197" s="63" t="s">
        <v>234</v>
      </c>
      <c r="D197" s="64">
        <v>3</v>
      </c>
      <c r="E197" s="65">
        <v>5.4298642533899999E-4</v>
      </c>
    </row>
    <row r="198" spans="2:5" ht="15" customHeight="1">
      <c r="B198" s="85"/>
      <c r="C198" s="63" t="s">
        <v>195</v>
      </c>
      <c r="D198" s="64">
        <v>10</v>
      </c>
      <c r="E198" s="65">
        <v>1.809954751131E-3</v>
      </c>
    </row>
    <row r="199" spans="2:5" ht="15" customHeight="1">
      <c r="B199" s="85"/>
      <c r="C199" s="63" t="s">
        <v>196</v>
      </c>
      <c r="D199" s="64">
        <v>11</v>
      </c>
      <c r="E199" s="65">
        <v>1.9909502262440001E-3</v>
      </c>
    </row>
    <row r="200" spans="2:5" ht="15" customHeight="1">
      <c r="B200" s="85"/>
      <c r="C200" s="63" t="s">
        <v>208</v>
      </c>
      <c r="D200" s="64">
        <v>1</v>
      </c>
      <c r="E200" s="65">
        <v>1.8099547511300001E-4</v>
      </c>
    </row>
    <row r="201" spans="2:5" ht="15" customHeight="1">
      <c r="B201" s="85"/>
      <c r="C201" s="63" t="s">
        <v>204</v>
      </c>
      <c r="D201" s="64">
        <v>4</v>
      </c>
      <c r="E201" s="65">
        <v>7.2398190045200002E-4</v>
      </c>
    </row>
    <row r="202" spans="2:5" ht="15" customHeight="1">
      <c r="B202" s="86"/>
      <c r="C202" s="36" t="s">
        <v>29</v>
      </c>
      <c r="D202" s="35">
        <v>73</v>
      </c>
      <c r="E202" s="34">
        <v>1.3212669683258E-2</v>
      </c>
    </row>
    <row r="203" spans="2:5" ht="15" customHeight="1">
      <c r="B203" s="84" t="s">
        <v>101</v>
      </c>
      <c r="C203" s="63" t="s">
        <v>182</v>
      </c>
      <c r="D203" s="64">
        <v>2</v>
      </c>
      <c r="E203" s="65">
        <v>3.6199095022600001E-4</v>
      </c>
    </row>
    <row r="204" spans="2:5" ht="15" customHeight="1">
      <c r="B204" s="85"/>
      <c r="C204" s="63" t="s">
        <v>213</v>
      </c>
      <c r="D204" s="64">
        <v>1</v>
      </c>
      <c r="E204" s="65">
        <v>1.8099547511300001E-4</v>
      </c>
    </row>
    <row r="205" spans="2:5" ht="15" customHeight="1">
      <c r="B205" s="85"/>
      <c r="C205" s="63" t="s">
        <v>184</v>
      </c>
      <c r="D205" s="64">
        <v>5</v>
      </c>
      <c r="E205" s="65">
        <v>9.0497737556600002E-4</v>
      </c>
    </row>
    <row r="206" spans="2:5" ht="15" customHeight="1">
      <c r="B206" s="85"/>
      <c r="C206" s="63" t="s">
        <v>185</v>
      </c>
      <c r="D206" s="64">
        <v>6</v>
      </c>
      <c r="E206" s="65">
        <v>1.0859728506790001E-3</v>
      </c>
    </row>
    <row r="207" spans="2:5" ht="15" customHeight="1">
      <c r="B207" s="85"/>
      <c r="C207" s="63" t="s">
        <v>198</v>
      </c>
      <c r="D207" s="64">
        <v>1</v>
      </c>
      <c r="E207" s="65">
        <v>1.8099547511300001E-4</v>
      </c>
    </row>
    <row r="208" spans="2:5" ht="15" customHeight="1">
      <c r="B208" s="85"/>
      <c r="C208" s="63" t="s">
        <v>186</v>
      </c>
      <c r="D208" s="64">
        <v>10</v>
      </c>
      <c r="E208" s="65">
        <v>1.809954751131E-3</v>
      </c>
    </row>
    <row r="209" spans="2:5" ht="15" customHeight="1">
      <c r="B209" s="85"/>
      <c r="C209" s="63" t="s">
        <v>187</v>
      </c>
      <c r="D209" s="64">
        <v>2</v>
      </c>
      <c r="E209" s="65">
        <v>3.6199095022600001E-4</v>
      </c>
    </row>
    <row r="210" spans="2:5" ht="15" customHeight="1">
      <c r="B210" s="85"/>
      <c r="C210" s="63" t="s">
        <v>199</v>
      </c>
      <c r="D210" s="64">
        <v>1</v>
      </c>
      <c r="E210" s="65">
        <v>1.8099547511300001E-4</v>
      </c>
    </row>
    <row r="211" spans="2:5" ht="15" customHeight="1">
      <c r="B211" s="85"/>
      <c r="C211" s="63" t="s">
        <v>200</v>
      </c>
      <c r="D211" s="64">
        <v>2</v>
      </c>
      <c r="E211" s="65">
        <v>3.6199095022600001E-4</v>
      </c>
    </row>
    <row r="212" spans="2:5" ht="15" customHeight="1">
      <c r="B212" s="85"/>
      <c r="C212" s="63" t="s">
        <v>189</v>
      </c>
      <c r="D212" s="64">
        <v>14</v>
      </c>
      <c r="E212" s="65">
        <v>2.533936651584E-3</v>
      </c>
    </row>
    <row r="213" spans="2:5" ht="15" customHeight="1">
      <c r="B213" s="85"/>
      <c r="C213" s="63" t="s">
        <v>206</v>
      </c>
      <c r="D213" s="64">
        <v>1</v>
      </c>
      <c r="E213" s="65">
        <v>1.8099547511300001E-4</v>
      </c>
    </row>
    <row r="214" spans="2:5" ht="15" customHeight="1">
      <c r="B214" s="85"/>
      <c r="C214" s="63" t="s">
        <v>221</v>
      </c>
      <c r="D214" s="64">
        <v>7</v>
      </c>
      <c r="E214" s="65">
        <v>1.266968325792E-3</v>
      </c>
    </row>
    <row r="215" spans="2:5" ht="15" customHeight="1">
      <c r="B215" s="85"/>
      <c r="C215" s="63" t="s">
        <v>190</v>
      </c>
      <c r="D215" s="64">
        <v>6</v>
      </c>
      <c r="E215" s="65">
        <v>1.0859728506790001E-3</v>
      </c>
    </row>
    <row r="216" spans="2:5" ht="15" customHeight="1">
      <c r="B216" s="85"/>
      <c r="C216" s="63" t="s">
        <v>230</v>
      </c>
      <c r="D216" s="64">
        <v>5</v>
      </c>
      <c r="E216" s="65">
        <v>9.0497737556600002E-4</v>
      </c>
    </row>
    <row r="217" spans="2:5" ht="15" customHeight="1">
      <c r="B217" s="85"/>
      <c r="C217" s="63" t="s">
        <v>232</v>
      </c>
      <c r="D217" s="64">
        <v>10</v>
      </c>
      <c r="E217" s="65">
        <v>1.809954751131E-3</v>
      </c>
    </row>
    <row r="218" spans="2:5" ht="15" customHeight="1">
      <c r="B218" s="85"/>
      <c r="C218" s="63" t="s">
        <v>191</v>
      </c>
      <c r="D218" s="64">
        <v>1</v>
      </c>
      <c r="E218" s="65">
        <v>1.8099547511300001E-4</v>
      </c>
    </row>
    <row r="219" spans="2:5" ht="15" customHeight="1">
      <c r="B219" s="85"/>
      <c r="C219" s="63" t="s">
        <v>192</v>
      </c>
      <c r="D219" s="64">
        <v>1</v>
      </c>
      <c r="E219" s="65">
        <v>1.8099547511300001E-4</v>
      </c>
    </row>
    <row r="220" spans="2:5" ht="15" customHeight="1">
      <c r="B220" s="85"/>
      <c r="C220" s="63" t="s">
        <v>193</v>
      </c>
      <c r="D220" s="64">
        <v>1</v>
      </c>
      <c r="E220" s="65">
        <v>1.8099547511300001E-4</v>
      </c>
    </row>
    <row r="221" spans="2:5" ht="15" customHeight="1">
      <c r="B221" s="85"/>
      <c r="C221" s="63" t="s">
        <v>194</v>
      </c>
      <c r="D221" s="64">
        <v>3</v>
      </c>
      <c r="E221" s="65">
        <v>5.4298642533899999E-4</v>
      </c>
    </row>
    <row r="222" spans="2:5" ht="15" customHeight="1">
      <c r="B222" s="85"/>
      <c r="C222" s="63" t="s">
        <v>195</v>
      </c>
      <c r="D222" s="64">
        <v>23</v>
      </c>
      <c r="E222" s="65">
        <v>4.1628959276020002E-3</v>
      </c>
    </row>
    <row r="223" spans="2:5" ht="15" customHeight="1">
      <c r="B223" s="85"/>
      <c r="C223" s="63" t="s">
        <v>209</v>
      </c>
      <c r="D223" s="64">
        <v>3</v>
      </c>
      <c r="E223" s="65">
        <v>5.4298642533899999E-4</v>
      </c>
    </row>
    <row r="224" spans="2:5" ht="15" customHeight="1">
      <c r="B224" s="85"/>
      <c r="C224" s="63" t="s">
        <v>201</v>
      </c>
      <c r="D224" s="64">
        <v>4</v>
      </c>
      <c r="E224" s="65">
        <v>7.2398190045200002E-4</v>
      </c>
    </row>
    <row r="225" spans="2:5" ht="15" customHeight="1">
      <c r="B225" s="85"/>
      <c r="C225" s="63" t="s">
        <v>202</v>
      </c>
      <c r="D225" s="64">
        <v>2</v>
      </c>
      <c r="E225" s="65">
        <v>3.6199095022600001E-4</v>
      </c>
    </row>
    <row r="226" spans="2:5" ht="15" customHeight="1">
      <c r="B226" s="85"/>
      <c r="C226" s="63" t="s">
        <v>204</v>
      </c>
      <c r="D226" s="64">
        <v>23</v>
      </c>
      <c r="E226" s="65">
        <v>4.1628959276020002E-3</v>
      </c>
    </row>
    <row r="227" spans="2:5" ht="15" customHeight="1">
      <c r="B227" s="85"/>
      <c r="C227" s="63" t="s">
        <v>205</v>
      </c>
      <c r="D227" s="64">
        <v>1</v>
      </c>
      <c r="E227" s="65">
        <v>1.8099547511300001E-4</v>
      </c>
    </row>
    <row r="228" spans="2:5" ht="15" customHeight="1">
      <c r="B228" s="86"/>
      <c r="C228" s="36" t="s">
        <v>29</v>
      </c>
      <c r="D228" s="35">
        <v>135</v>
      </c>
      <c r="E228" s="34">
        <v>2.4434389140271E-2</v>
      </c>
    </row>
    <row r="229" spans="2:5" ht="15" customHeight="1">
      <c r="B229" s="84" t="s">
        <v>102</v>
      </c>
      <c r="C229" s="63" t="s">
        <v>186</v>
      </c>
      <c r="D229" s="64">
        <v>1</v>
      </c>
      <c r="E229" s="65">
        <v>1.8099547511300001E-4</v>
      </c>
    </row>
    <row r="230" spans="2:5" ht="15" customHeight="1">
      <c r="B230" s="86"/>
      <c r="C230" s="36" t="s">
        <v>29</v>
      </c>
      <c r="D230" s="35">
        <v>1</v>
      </c>
      <c r="E230" s="34">
        <v>1.8099547511300001E-4</v>
      </c>
    </row>
    <row r="231" spans="2:5" ht="15" customHeight="1">
      <c r="B231" s="84" t="s">
        <v>103</v>
      </c>
      <c r="C231" s="63" t="s">
        <v>182</v>
      </c>
      <c r="D231" s="64">
        <v>18</v>
      </c>
      <c r="E231" s="65">
        <v>3.2579185520360001E-3</v>
      </c>
    </row>
    <row r="232" spans="2:5" ht="15" customHeight="1">
      <c r="B232" s="85"/>
      <c r="C232" s="63" t="s">
        <v>213</v>
      </c>
      <c r="D232" s="64">
        <v>1</v>
      </c>
      <c r="E232" s="65">
        <v>1.8099547511300001E-4</v>
      </c>
    </row>
    <row r="233" spans="2:5" ht="15" customHeight="1">
      <c r="B233" s="85"/>
      <c r="C233" s="63" t="s">
        <v>184</v>
      </c>
      <c r="D233" s="64">
        <v>6</v>
      </c>
      <c r="E233" s="65">
        <v>1.0859728506790001E-3</v>
      </c>
    </row>
    <row r="234" spans="2:5" ht="15" customHeight="1">
      <c r="B234" s="85"/>
      <c r="C234" s="63" t="s">
        <v>185</v>
      </c>
      <c r="D234" s="64">
        <v>4</v>
      </c>
      <c r="E234" s="65">
        <v>7.2398190045200002E-4</v>
      </c>
    </row>
    <row r="235" spans="2:5" ht="15" customHeight="1">
      <c r="B235" s="85"/>
      <c r="C235" s="63" t="s">
        <v>241</v>
      </c>
      <c r="D235" s="64">
        <v>2</v>
      </c>
      <c r="E235" s="65">
        <v>3.6199095022600001E-4</v>
      </c>
    </row>
    <row r="236" spans="2:5" ht="15" customHeight="1">
      <c r="B236" s="85"/>
      <c r="C236" s="63" t="s">
        <v>186</v>
      </c>
      <c r="D236" s="64">
        <v>2</v>
      </c>
      <c r="E236" s="65">
        <v>3.6199095022600001E-4</v>
      </c>
    </row>
    <row r="237" spans="2:5" ht="15" customHeight="1">
      <c r="B237" s="85"/>
      <c r="C237" s="63" t="s">
        <v>218</v>
      </c>
      <c r="D237" s="64">
        <v>62</v>
      </c>
      <c r="E237" s="65">
        <v>1.1221719457013999E-2</v>
      </c>
    </row>
    <row r="238" spans="2:5" ht="15" customHeight="1">
      <c r="B238" s="85"/>
      <c r="C238" s="63" t="s">
        <v>187</v>
      </c>
      <c r="D238" s="64">
        <v>4</v>
      </c>
      <c r="E238" s="65">
        <v>7.2398190045200002E-4</v>
      </c>
    </row>
    <row r="239" spans="2:5" ht="15" customHeight="1">
      <c r="B239" s="85"/>
      <c r="C239" s="63" t="s">
        <v>220</v>
      </c>
      <c r="D239" s="64">
        <v>1</v>
      </c>
      <c r="E239" s="65">
        <v>1.8099547511300001E-4</v>
      </c>
    </row>
    <row r="240" spans="2:5" ht="15" customHeight="1">
      <c r="B240" s="85"/>
      <c r="C240" s="63" t="s">
        <v>237</v>
      </c>
      <c r="D240" s="64">
        <v>2</v>
      </c>
      <c r="E240" s="65">
        <v>3.6199095022600001E-4</v>
      </c>
    </row>
    <row r="241" spans="2:5" ht="15" customHeight="1">
      <c r="B241" s="85"/>
      <c r="C241" s="63" t="s">
        <v>207</v>
      </c>
      <c r="D241" s="64">
        <v>1</v>
      </c>
      <c r="E241" s="65">
        <v>1.8099547511300001E-4</v>
      </c>
    </row>
    <row r="242" spans="2:5" ht="15" customHeight="1">
      <c r="B242" s="85"/>
      <c r="C242" s="63" t="s">
        <v>195</v>
      </c>
      <c r="D242" s="64">
        <v>12</v>
      </c>
      <c r="E242" s="65">
        <v>2.171945701357E-3</v>
      </c>
    </row>
    <row r="243" spans="2:5" ht="15" customHeight="1">
      <c r="B243" s="85"/>
      <c r="C243" s="63" t="s">
        <v>196</v>
      </c>
      <c r="D243" s="64">
        <v>1</v>
      </c>
      <c r="E243" s="65">
        <v>1.8099547511300001E-4</v>
      </c>
    </row>
    <row r="244" spans="2:5" ht="15" customHeight="1">
      <c r="B244" s="85"/>
      <c r="C244" s="63" t="s">
        <v>235</v>
      </c>
      <c r="D244" s="64">
        <v>1</v>
      </c>
      <c r="E244" s="65">
        <v>1.8099547511300001E-4</v>
      </c>
    </row>
    <row r="245" spans="2:5" ht="15" customHeight="1">
      <c r="B245" s="85"/>
      <c r="C245" s="63" t="s">
        <v>209</v>
      </c>
      <c r="D245" s="64">
        <v>1</v>
      </c>
      <c r="E245" s="65">
        <v>1.8099547511300001E-4</v>
      </c>
    </row>
    <row r="246" spans="2:5" ht="15" customHeight="1">
      <c r="B246" s="85"/>
      <c r="C246" s="63" t="s">
        <v>202</v>
      </c>
      <c r="D246" s="64">
        <v>4</v>
      </c>
      <c r="E246" s="65">
        <v>7.2398190045200002E-4</v>
      </c>
    </row>
    <row r="247" spans="2:5" ht="15" customHeight="1">
      <c r="B247" s="85"/>
      <c r="C247" s="63" t="s">
        <v>236</v>
      </c>
      <c r="D247" s="64">
        <v>1</v>
      </c>
      <c r="E247" s="65">
        <v>1.8099547511300001E-4</v>
      </c>
    </row>
    <row r="248" spans="2:5" ht="15" customHeight="1">
      <c r="B248" s="86"/>
      <c r="C248" s="36" t="s">
        <v>29</v>
      </c>
      <c r="D248" s="35">
        <v>123</v>
      </c>
      <c r="E248" s="34">
        <v>2.2262443438913999E-2</v>
      </c>
    </row>
    <row r="249" spans="2:5" ht="15" customHeight="1">
      <c r="B249" s="84" t="s">
        <v>104</v>
      </c>
      <c r="C249" s="63" t="s">
        <v>210</v>
      </c>
      <c r="D249" s="64">
        <v>22</v>
      </c>
      <c r="E249" s="65">
        <v>3.9819004524890003E-3</v>
      </c>
    </row>
    <row r="250" spans="2:5" ht="15" customHeight="1">
      <c r="B250" s="85"/>
      <c r="C250" s="63" t="s">
        <v>211</v>
      </c>
      <c r="D250" s="64">
        <v>6</v>
      </c>
      <c r="E250" s="65">
        <v>1.0859728506790001E-3</v>
      </c>
    </row>
    <row r="251" spans="2:5" ht="15" customHeight="1">
      <c r="B251" s="85"/>
      <c r="C251" s="63" t="s">
        <v>212</v>
      </c>
      <c r="D251" s="64">
        <v>5</v>
      </c>
      <c r="E251" s="65">
        <v>9.0497737556600002E-4</v>
      </c>
    </row>
    <row r="252" spans="2:5" ht="15" customHeight="1">
      <c r="B252" s="85"/>
      <c r="C252" s="63" t="s">
        <v>182</v>
      </c>
      <c r="D252" s="64">
        <v>37</v>
      </c>
      <c r="E252" s="65">
        <v>6.6968325791860002E-3</v>
      </c>
    </row>
    <row r="253" spans="2:5" ht="15" customHeight="1">
      <c r="B253" s="85"/>
      <c r="C253" s="63" t="s">
        <v>183</v>
      </c>
      <c r="D253" s="64">
        <v>2</v>
      </c>
      <c r="E253" s="65">
        <v>3.6199095022600001E-4</v>
      </c>
    </row>
    <row r="254" spans="2:5" ht="15" customHeight="1">
      <c r="B254" s="85"/>
      <c r="C254" s="63" t="s">
        <v>213</v>
      </c>
      <c r="D254" s="64">
        <v>12</v>
      </c>
      <c r="E254" s="65">
        <v>2.171945701357E-3</v>
      </c>
    </row>
    <row r="255" spans="2:5" ht="15" customHeight="1">
      <c r="B255" s="85"/>
      <c r="C255" s="63" t="s">
        <v>214</v>
      </c>
      <c r="D255" s="64">
        <v>2</v>
      </c>
      <c r="E255" s="65">
        <v>3.6199095022600001E-4</v>
      </c>
    </row>
    <row r="256" spans="2:5" ht="15" customHeight="1">
      <c r="B256" s="85"/>
      <c r="C256" s="63" t="s">
        <v>184</v>
      </c>
      <c r="D256" s="64">
        <v>33</v>
      </c>
      <c r="E256" s="65">
        <v>5.9728506787330004E-3</v>
      </c>
    </row>
    <row r="257" spans="2:5" ht="15" customHeight="1">
      <c r="B257" s="85"/>
      <c r="C257" s="63" t="s">
        <v>185</v>
      </c>
      <c r="D257" s="64">
        <v>28</v>
      </c>
      <c r="E257" s="65">
        <v>5.0678733031669998E-3</v>
      </c>
    </row>
    <row r="258" spans="2:5" ht="15" customHeight="1">
      <c r="B258" s="85"/>
      <c r="C258" s="63" t="s">
        <v>197</v>
      </c>
      <c r="D258" s="64">
        <v>3</v>
      </c>
      <c r="E258" s="65">
        <v>5.4298642533899999E-4</v>
      </c>
    </row>
    <row r="259" spans="2:5" ht="15" customHeight="1">
      <c r="B259" s="85"/>
      <c r="C259" s="63" t="s">
        <v>215</v>
      </c>
      <c r="D259" s="64">
        <v>1</v>
      </c>
      <c r="E259" s="65">
        <v>1.8099547511300001E-4</v>
      </c>
    </row>
    <row r="260" spans="2:5" ht="15" customHeight="1">
      <c r="B260" s="85"/>
      <c r="C260" s="63" t="s">
        <v>216</v>
      </c>
      <c r="D260" s="64">
        <v>8</v>
      </c>
      <c r="E260" s="65">
        <v>1.4479638009049999E-3</v>
      </c>
    </row>
    <row r="261" spans="2:5" ht="15" customHeight="1">
      <c r="B261" s="85"/>
      <c r="C261" s="63" t="s">
        <v>217</v>
      </c>
      <c r="D261" s="64">
        <v>1</v>
      </c>
      <c r="E261" s="65">
        <v>1.8099547511300001E-4</v>
      </c>
    </row>
    <row r="262" spans="2:5" ht="15" customHeight="1">
      <c r="B262" s="85"/>
      <c r="C262" s="63" t="s">
        <v>198</v>
      </c>
      <c r="D262" s="64">
        <v>3</v>
      </c>
      <c r="E262" s="65">
        <v>5.4298642533899999E-4</v>
      </c>
    </row>
    <row r="263" spans="2:5" ht="15" customHeight="1">
      <c r="B263" s="85"/>
      <c r="C263" s="63" t="s">
        <v>186</v>
      </c>
      <c r="D263" s="64">
        <v>41</v>
      </c>
      <c r="E263" s="65">
        <v>7.4208144796379999E-3</v>
      </c>
    </row>
    <row r="264" spans="2:5" ht="15" customHeight="1">
      <c r="B264" s="85"/>
      <c r="C264" s="63" t="s">
        <v>218</v>
      </c>
      <c r="D264" s="64">
        <v>3</v>
      </c>
      <c r="E264" s="65">
        <v>5.4298642533899999E-4</v>
      </c>
    </row>
    <row r="265" spans="2:5" ht="15" customHeight="1">
      <c r="B265" s="85"/>
      <c r="C265" s="63" t="s">
        <v>187</v>
      </c>
      <c r="D265" s="64">
        <v>9</v>
      </c>
      <c r="E265" s="65">
        <v>1.628959276018E-3</v>
      </c>
    </row>
    <row r="266" spans="2:5" ht="15" customHeight="1">
      <c r="B266" s="85"/>
      <c r="C266" s="63" t="s">
        <v>219</v>
      </c>
      <c r="D266" s="64">
        <v>1</v>
      </c>
      <c r="E266" s="65">
        <v>1.8099547511300001E-4</v>
      </c>
    </row>
    <row r="267" spans="2:5" ht="15" customHeight="1">
      <c r="B267" s="85"/>
      <c r="C267" s="63" t="s">
        <v>188</v>
      </c>
      <c r="D267" s="64">
        <v>1</v>
      </c>
      <c r="E267" s="65">
        <v>1.8099547511300001E-4</v>
      </c>
    </row>
    <row r="268" spans="2:5" ht="15" customHeight="1">
      <c r="B268" s="85"/>
      <c r="C268" s="63" t="s">
        <v>199</v>
      </c>
      <c r="D268" s="64">
        <v>4</v>
      </c>
      <c r="E268" s="65">
        <v>7.2398190045200002E-4</v>
      </c>
    </row>
    <row r="269" spans="2:5" ht="15" customHeight="1">
      <c r="B269" s="85"/>
      <c r="C269" s="63" t="s">
        <v>200</v>
      </c>
      <c r="D269" s="64">
        <v>4</v>
      </c>
      <c r="E269" s="65">
        <v>7.2398190045200002E-4</v>
      </c>
    </row>
    <row r="270" spans="2:5" ht="15" customHeight="1">
      <c r="B270" s="85"/>
      <c r="C270" s="63" t="s">
        <v>189</v>
      </c>
      <c r="D270" s="64">
        <v>4</v>
      </c>
      <c r="E270" s="65">
        <v>7.2398190045200002E-4</v>
      </c>
    </row>
    <row r="271" spans="2:5" ht="15" customHeight="1">
      <c r="B271" s="85"/>
      <c r="C271" s="63" t="s">
        <v>206</v>
      </c>
      <c r="D271" s="64">
        <v>34</v>
      </c>
      <c r="E271" s="65">
        <v>6.1538461538460003E-3</v>
      </c>
    </row>
    <row r="272" spans="2:5" ht="15" customHeight="1">
      <c r="B272" s="85"/>
      <c r="C272" s="63" t="s">
        <v>207</v>
      </c>
      <c r="D272" s="64">
        <v>4</v>
      </c>
      <c r="E272" s="65">
        <v>7.2398190045200002E-4</v>
      </c>
    </row>
    <row r="273" spans="2:5" ht="15" customHeight="1">
      <c r="B273" s="85"/>
      <c r="C273" s="63" t="s">
        <v>221</v>
      </c>
      <c r="D273" s="64">
        <v>4</v>
      </c>
      <c r="E273" s="65">
        <v>7.2398190045200002E-4</v>
      </c>
    </row>
    <row r="274" spans="2:5" ht="15" customHeight="1">
      <c r="B274" s="85"/>
      <c r="C274" s="63" t="s">
        <v>238</v>
      </c>
      <c r="D274" s="64">
        <v>1</v>
      </c>
      <c r="E274" s="65">
        <v>1.8099547511300001E-4</v>
      </c>
    </row>
    <row r="275" spans="2:5" ht="15" customHeight="1">
      <c r="B275" s="85"/>
      <c r="C275" s="63" t="s">
        <v>226</v>
      </c>
      <c r="D275" s="64">
        <v>7</v>
      </c>
      <c r="E275" s="65">
        <v>1.266968325792E-3</v>
      </c>
    </row>
    <row r="276" spans="2:5" ht="15" customHeight="1">
      <c r="B276" s="85"/>
      <c r="C276" s="63" t="s">
        <v>190</v>
      </c>
      <c r="D276" s="64">
        <v>8</v>
      </c>
      <c r="E276" s="65">
        <v>1.4479638009049999E-3</v>
      </c>
    </row>
    <row r="277" spans="2:5" ht="15" customHeight="1">
      <c r="B277" s="85"/>
      <c r="C277" s="63" t="s">
        <v>227</v>
      </c>
      <c r="D277" s="64">
        <v>3</v>
      </c>
      <c r="E277" s="65">
        <v>5.4298642533899999E-4</v>
      </c>
    </row>
    <row r="278" spans="2:5" ht="15" customHeight="1">
      <c r="B278" s="85"/>
      <c r="C278" s="63" t="s">
        <v>242</v>
      </c>
      <c r="D278" s="64">
        <v>1</v>
      </c>
      <c r="E278" s="65">
        <v>1.8099547511300001E-4</v>
      </c>
    </row>
    <row r="279" spans="2:5" ht="15" customHeight="1">
      <c r="B279" s="85"/>
      <c r="C279" s="63" t="s">
        <v>229</v>
      </c>
      <c r="D279" s="64">
        <v>6</v>
      </c>
      <c r="E279" s="65">
        <v>1.0859728506790001E-3</v>
      </c>
    </row>
    <row r="280" spans="2:5" ht="15" customHeight="1">
      <c r="B280" s="85"/>
      <c r="C280" s="63" t="s">
        <v>230</v>
      </c>
      <c r="D280" s="64">
        <v>4</v>
      </c>
      <c r="E280" s="65">
        <v>7.2398190045200002E-4</v>
      </c>
    </row>
    <row r="281" spans="2:5" ht="15" customHeight="1">
      <c r="B281" s="85"/>
      <c r="C281" s="63" t="s">
        <v>232</v>
      </c>
      <c r="D281" s="64">
        <v>1</v>
      </c>
      <c r="E281" s="65">
        <v>1.8099547511300001E-4</v>
      </c>
    </row>
    <row r="282" spans="2:5" ht="15" customHeight="1">
      <c r="B282" s="85"/>
      <c r="C282" s="63" t="s">
        <v>191</v>
      </c>
      <c r="D282" s="64">
        <v>22</v>
      </c>
      <c r="E282" s="65">
        <v>3.9819004524890003E-3</v>
      </c>
    </row>
    <row r="283" spans="2:5" ht="15" customHeight="1">
      <c r="B283" s="85"/>
      <c r="C283" s="63" t="s">
        <v>233</v>
      </c>
      <c r="D283" s="64">
        <v>11</v>
      </c>
      <c r="E283" s="65">
        <v>1.9909502262440001E-3</v>
      </c>
    </row>
    <row r="284" spans="2:5" ht="15" customHeight="1">
      <c r="B284" s="85"/>
      <c r="C284" s="63" t="s">
        <v>192</v>
      </c>
      <c r="D284" s="64">
        <v>7</v>
      </c>
      <c r="E284" s="65">
        <v>1.266968325792E-3</v>
      </c>
    </row>
    <row r="285" spans="2:5" ht="15" customHeight="1">
      <c r="B285" s="85"/>
      <c r="C285" s="63" t="s">
        <v>193</v>
      </c>
      <c r="D285" s="64">
        <v>6</v>
      </c>
      <c r="E285" s="65">
        <v>1.0859728506790001E-3</v>
      </c>
    </row>
    <row r="286" spans="2:5" ht="15" customHeight="1">
      <c r="B286" s="85"/>
      <c r="C286" s="63" t="s">
        <v>194</v>
      </c>
      <c r="D286" s="64">
        <v>3</v>
      </c>
      <c r="E286" s="65">
        <v>5.4298642533899999E-4</v>
      </c>
    </row>
    <row r="287" spans="2:5" ht="15" customHeight="1">
      <c r="B287" s="85"/>
      <c r="C287" s="63" t="s">
        <v>234</v>
      </c>
      <c r="D287" s="64">
        <v>2</v>
      </c>
      <c r="E287" s="65">
        <v>3.6199095022600001E-4</v>
      </c>
    </row>
    <row r="288" spans="2:5" ht="15" customHeight="1">
      <c r="B288" s="85"/>
      <c r="C288" s="63" t="s">
        <v>195</v>
      </c>
      <c r="D288" s="64">
        <v>62</v>
      </c>
      <c r="E288" s="65">
        <v>1.1221719457013999E-2</v>
      </c>
    </row>
    <row r="289" spans="2:5" ht="15" customHeight="1">
      <c r="B289" s="85"/>
      <c r="C289" s="63" t="s">
        <v>196</v>
      </c>
      <c r="D289" s="64">
        <v>11</v>
      </c>
      <c r="E289" s="65">
        <v>1.9909502262440001E-3</v>
      </c>
    </row>
    <row r="290" spans="2:5" ht="15" customHeight="1">
      <c r="B290" s="85"/>
      <c r="C290" s="63" t="s">
        <v>208</v>
      </c>
      <c r="D290" s="64">
        <v>1</v>
      </c>
      <c r="E290" s="65">
        <v>1.8099547511300001E-4</v>
      </c>
    </row>
    <row r="291" spans="2:5" ht="15" customHeight="1">
      <c r="B291" s="85"/>
      <c r="C291" s="63" t="s">
        <v>235</v>
      </c>
      <c r="D291" s="64">
        <v>2</v>
      </c>
      <c r="E291" s="65">
        <v>3.6199095022600001E-4</v>
      </c>
    </row>
    <row r="292" spans="2:5" ht="15" customHeight="1">
      <c r="B292" s="85"/>
      <c r="C292" s="63" t="s">
        <v>209</v>
      </c>
      <c r="D292" s="64">
        <v>1</v>
      </c>
      <c r="E292" s="65">
        <v>1.8099547511300001E-4</v>
      </c>
    </row>
    <row r="293" spans="2:5" ht="15" customHeight="1">
      <c r="B293" s="85"/>
      <c r="C293" s="63" t="s">
        <v>201</v>
      </c>
      <c r="D293" s="64">
        <v>5</v>
      </c>
      <c r="E293" s="65">
        <v>9.0497737556600002E-4</v>
      </c>
    </row>
    <row r="294" spans="2:5" ht="15" customHeight="1">
      <c r="B294" s="85"/>
      <c r="C294" s="63" t="s">
        <v>202</v>
      </c>
      <c r="D294" s="64">
        <v>31</v>
      </c>
      <c r="E294" s="65">
        <v>5.6108597285069997E-3</v>
      </c>
    </row>
    <row r="295" spans="2:5" ht="15" customHeight="1">
      <c r="B295" s="85"/>
      <c r="C295" s="63" t="s">
        <v>236</v>
      </c>
      <c r="D295" s="64">
        <v>8</v>
      </c>
      <c r="E295" s="65">
        <v>1.4479638009049999E-3</v>
      </c>
    </row>
    <row r="296" spans="2:5" ht="15" customHeight="1">
      <c r="B296" s="85"/>
      <c r="C296" s="63" t="s">
        <v>204</v>
      </c>
      <c r="D296" s="64">
        <v>21</v>
      </c>
      <c r="E296" s="65">
        <v>3.8009049773759999E-3</v>
      </c>
    </row>
    <row r="297" spans="2:5" ht="15" customHeight="1">
      <c r="B297" s="85"/>
      <c r="C297" s="63" t="s">
        <v>205</v>
      </c>
      <c r="D297" s="64">
        <v>6</v>
      </c>
      <c r="E297" s="65">
        <v>1.0859728506790001E-3</v>
      </c>
    </row>
    <row r="298" spans="2:5" ht="15" customHeight="1">
      <c r="B298" s="86"/>
      <c r="C298" s="36" t="s">
        <v>29</v>
      </c>
      <c r="D298" s="35">
        <v>502</v>
      </c>
      <c r="E298" s="34">
        <v>9.0859728506787002E-2</v>
      </c>
    </row>
    <row r="299" spans="2:5" ht="15" customHeight="1">
      <c r="B299" s="84" t="s">
        <v>105</v>
      </c>
      <c r="C299" s="63" t="s">
        <v>211</v>
      </c>
      <c r="D299" s="64">
        <v>1</v>
      </c>
      <c r="E299" s="65">
        <v>1.8099547511300001E-4</v>
      </c>
    </row>
    <row r="300" spans="2:5" ht="15" customHeight="1">
      <c r="B300" s="85"/>
      <c r="C300" s="63" t="s">
        <v>182</v>
      </c>
      <c r="D300" s="64">
        <v>5</v>
      </c>
      <c r="E300" s="65">
        <v>9.0497737556600002E-4</v>
      </c>
    </row>
    <row r="301" spans="2:5" ht="15" customHeight="1">
      <c r="B301" s="85"/>
      <c r="C301" s="63" t="s">
        <v>213</v>
      </c>
      <c r="D301" s="64">
        <v>1</v>
      </c>
      <c r="E301" s="65">
        <v>1.8099547511300001E-4</v>
      </c>
    </row>
    <row r="302" spans="2:5" ht="15" customHeight="1">
      <c r="B302" s="85"/>
      <c r="C302" s="63" t="s">
        <v>184</v>
      </c>
      <c r="D302" s="64">
        <v>15</v>
      </c>
      <c r="E302" s="65">
        <v>2.7149321266969999E-3</v>
      </c>
    </row>
    <row r="303" spans="2:5" ht="15" customHeight="1">
      <c r="B303" s="85"/>
      <c r="C303" s="63" t="s">
        <v>185</v>
      </c>
      <c r="D303" s="64">
        <v>1</v>
      </c>
      <c r="E303" s="65">
        <v>1.8099547511300001E-4</v>
      </c>
    </row>
    <row r="304" spans="2:5" ht="15" customHeight="1">
      <c r="B304" s="85"/>
      <c r="C304" s="63" t="s">
        <v>216</v>
      </c>
      <c r="D304" s="64">
        <v>1</v>
      </c>
      <c r="E304" s="65">
        <v>1.8099547511300001E-4</v>
      </c>
    </row>
    <row r="305" spans="2:5" ht="15" customHeight="1">
      <c r="B305" s="85"/>
      <c r="C305" s="63" t="s">
        <v>198</v>
      </c>
      <c r="D305" s="64">
        <v>6</v>
      </c>
      <c r="E305" s="65">
        <v>1.0859728506790001E-3</v>
      </c>
    </row>
    <row r="306" spans="2:5" ht="15" customHeight="1">
      <c r="B306" s="85"/>
      <c r="C306" s="63" t="s">
        <v>186</v>
      </c>
      <c r="D306" s="64">
        <v>10</v>
      </c>
      <c r="E306" s="65">
        <v>1.809954751131E-3</v>
      </c>
    </row>
    <row r="307" spans="2:5" ht="15" customHeight="1">
      <c r="B307" s="85"/>
      <c r="C307" s="63" t="s">
        <v>218</v>
      </c>
      <c r="D307" s="64">
        <v>4</v>
      </c>
      <c r="E307" s="65">
        <v>7.2398190045200002E-4</v>
      </c>
    </row>
    <row r="308" spans="2:5" ht="15" customHeight="1">
      <c r="B308" s="85"/>
      <c r="C308" s="63" t="s">
        <v>187</v>
      </c>
      <c r="D308" s="64">
        <v>22</v>
      </c>
      <c r="E308" s="65">
        <v>3.9819004524890003E-3</v>
      </c>
    </row>
    <row r="309" spans="2:5" ht="15" customHeight="1">
      <c r="B309" s="85"/>
      <c r="C309" s="63" t="s">
        <v>200</v>
      </c>
      <c r="D309" s="64">
        <v>1</v>
      </c>
      <c r="E309" s="65">
        <v>1.8099547511300001E-4</v>
      </c>
    </row>
    <row r="310" spans="2:5" ht="15" customHeight="1">
      <c r="B310" s="85"/>
      <c r="C310" s="63" t="s">
        <v>189</v>
      </c>
      <c r="D310" s="64">
        <v>3</v>
      </c>
      <c r="E310" s="65">
        <v>5.4298642533899999E-4</v>
      </c>
    </row>
    <row r="311" spans="2:5" ht="15" customHeight="1">
      <c r="B311" s="85"/>
      <c r="C311" s="63" t="s">
        <v>206</v>
      </c>
      <c r="D311" s="64">
        <v>15</v>
      </c>
      <c r="E311" s="65">
        <v>2.7149321266969999E-3</v>
      </c>
    </row>
    <row r="312" spans="2:5" ht="15" customHeight="1">
      <c r="B312" s="85"/>
      <c r="C312" s="63" t="s">
        <v>207</v>
      </c>
      <c r="D312" s="64">
        <v>10</v>
      </c>
      <c r="E312" s="65">
        <v>1.809954751131E-3</v>
      </c>
    </row>
    <row r="313" spans="2:5" ht="15" customHeight="1">
      <c r="B313" s="85"/>
      <c r="C313" s="63" t="s">
        <v>221</v>
      </c>
      <c r="D313" s="64">
        <v>4</v>
      </c>
      <c r="E313" s="65">
        <v>7.2398190045200002E-4</v>
      </c>
    </row>
    <row r="314" spans="2:5" ht="15" customHeight="1">
      <c r="B314" s="85"/>
      <c r="C314" s="63" t="s">
        <v>190</v>
      </c>
      <c r="D314" s="64">
        <v>8</v>
      </c>
      <c r="E314" s="65">
        <v>1.4479638009049999E-3</v>
      </c>
    </row>
    <row r="315" spans="2:5" ht="15" customHeight="1">
      <c r="B315" s="85"/>
      <c r="C315" s="63" t="s">
        <v>230</v>
      </c>
      <c r="D315" s="64">
        <v>1</v>
      </c>
      <c r="E315" s="65">
        <v>1.8099547511300001E-4</v>
      </c>
    </row>
    <row r="316" spans="2:5" ht="15" customHeight="1">
      <c r="B316" s="85"/>
      <c r="C316" s="63" t="s">
        <v>231</v>
      </c>
      <c r="D316" s="64">
        <v>1</v>
      </c>
      <c r="E316" s="65">
        <v>1.8099547511300001E-4</v>
      </c>
    </row>
    <row r="317" spans="2:5" ht="15" customHeight="1">
      <c r="B317" s="85"/>
      <c r="C317" s="63" t="s">
        <v>232</v>
      </c>
      <c r="D317" s="64">
        <v>2</v>
      </c>
      <c r="E317" s="65">
        <v>3.6199095022600001E-4</v>
      </c>
    </row>
    <row r="318" spans="2:5" ht="15" customHeight="1">
      <c r="B318" s="85"/>
      <c r="C318" s="63" t="s">
        <v>191</v>
      </c>
      <c r="D318" s="64">
        <v>2</v>
      </c>
      <c r="E318" s="65">
        <v>3.6199095022600001E-4</v>
      </c>
    </row>
    <row r="319" spans="2:5" ht="15" customHeight="1">
      <c r="B319" s="85"/>
      <c r="C319" s="63" t="s">
        <v>233</v>
      </c>
      <c r="D319" s="64">
        <v>5</v>
      </c>
      <c r="E319" s="65">
        <v>9.0497737556600002E-4</v>
      </c>
    </row>
    <row r="320" spans="2:5" ht="15" customHeight="1">
      <c r="B320" s="85"/>
      <c r="C320" s="63" t="s">
        <v>192</v>
      </c>
      <c r="D320" s="64">
        <v>1</v>
      </c>
      <c r="E320" s="65">
        <v>1.8099547511300001E-4</v>
      </c>
    </row>
    <row r="321" spans="2:5" ht="15" customHeight="1">
      <c r="B321" s="85"/>
      <c r="C321" s="63" t="s">
        <v>195</v>
      </c>
      <c r="D321" s="64">
        <v>25</v>
      </c>
      <c r="E321" s="65">
        <v>4.5248868778280001E-3</v>
      </c>
    </row>
    <row r="322" spans="2:5" ht="15" customHeight="1">
      <c r="B322" s="85"/>
      <c r="C322" s="63" t="s">
        <v>196</v>
      </c>
      <c r="D322" s="64">
        <v>5</v>
      </c>
      <c r="E322" s="65">
        <v>9.0497737556600002E-4</v>
      </c>
    </row>
    <row r="323" spans="2:5" ht="15" customHeight="1">
      <c r="B323" s="85"/>
      <c r="C323" s="63" t="s">
        <v>208</v>
      </c>
      <c r="D323" s="64">
        <v>2</v>
      </c>
      <c r="E323" s="65">
        <v>3.6199095022600001E-4</v>
      </c>
    </row>
    <row r="324" spans="2:5" ht="15" customHeight="1">
      <c r="B324" s="85"/>
      <c r="C324" s="63" t="s">
        <v>209</v>
      </c>
      <c r="D324" s="64">
        <v>2</v>
      </c>
      <c r="E324" s="65">
        <v>3.6199095022600001E-4</v>
      </c>
    </row>
    <row r="325" spans="2:5" ht="15" customHeight="1">
      <c r="B325" s="85"/>
      <c r="C325" s="63" t="s">
        <v>201</v>
      </c>
      <c r="D325" s="64">
        <v>2</v>
      </c>
      <c r="E325" s="65">
        <v>3.6199095022600001E-4</v>
      </c>
    </row>
    <row r="326" spans="2:5" ht="15" customHeight="1">
      <c r="B326" s="85"/>
      <c r="C326" s="63" t="s">
        <v>202</v>
      </c>
      <c r="D326" s="64">
        <v>4</v>
      </c>
      <c r="E326" s="65">
        <v>7.2398190045200002E-4</v>
      </c>
    </row>
    <row r="327" spans="2:5" ht="15" customHeight="1">
      <c r="B327" s="85"/>
      <c r="C327" s="63" t="s">
        <v>203</v>
      </c>
      <c r="D327" s="64">
        <v>1</v>
      </c>
      <c r="E327" s="65">
        <v>1.8099547511300001E-4</v>
      </c>
    </row>
    <row r="328" spans="2:5" ht="15" customHeight="1">
      <c r="B328" s="85"/>
      <c r="C328" s="63" t="s">
        <v>236</v>
      </c>
      <c r="D328" s="64">
        <v>1</v>
      </c>
      <c r="E328" s="65">
        <v>1.8099547511300001E-4</v>
      </c>
    </row>
    <row r="329" spans="2:5" ht="15" customHeight="1">
      <c r="B329" s="85"/>
      <c r="C329" s="63" t="s">
        <v>204</v>
      </c>
      <c r="D329" s="64">
        <v>1</v>
      </c>
      <c r="E329" s="65">
        <v>1.8099547511300001E-4</v>
      </c>
    </row>
    <row r="330" spans="2:5" ht="15" customHeight="1">
      <c r="B330" s="86"/>
      <c r="C330" s="36" t="s">
        <v>29</v>
      </c>
      <c r="D330" s="35">
        <v>162</v>
      </c>
      <c r="E330" s="34">
        <v>2.9321266968326001E-2</v>
      </c>
    </row>
    <row r="331" spans="2:5" ht="15" customHeight="1">
      <c r="B331" s="84" t="s">
        <v>106</v>
      </c>
      <c r="C331" s="63" t="s">
        <v>186</v>
      </c>
      <c r="D331" s="64">
        <v>1</v>
      </c>
      <c r="E331" s="65">
        <v>1.8099547511300001E-4</v>
      </c>
    </row>
    <row r="332" spans="2:5" ht="15" customHeight="1">
      <c r="B332" s="85"/>
      <c r="C332" s="63" t="s">
        <v>207</v>
      </c>
      <c r="D332" s="64">
        <v>2</v>
      </c>
      <c r="E332" s="65">
        <v>3.6199095022600001E-4</v>
      </c>
    </row>
    <row r="333" spans="2:5" ht="15" customHeight="1">
      <c r="B333" s="85"/>
      <c r="C333" s="63" t="s">
        <v>195</v>
      </c>
      <c r="D333" s="64">
        <v>1</v>
      </c>
      <c r="E333" s="65">
        <v>1.8099547511300001E-4</v>
      </c>
    </row>
    <row r="334" spans="2:5" ht="15" customHeight="1">
      <c r="B334" s="86"/>
      <c r="C334" s="36" t="s">
        <v>29</v>
      </c>
      <c r="D334" s="35">
        <v>4</v>
      </c>
      <c r="E334" s="34">
        <v>7.2398190045200002E-4</v>
      </c>
    </row>
    <row r="335" spans="2:5" ht="15" customHeight="1">
      <c r="B335" s="84" t="s">
        <v>107</v>
      </c>
      <c r="C335" s="63" t="s">
        <v>182</v>
      </c>
      <c r="D335" s="64">
        <v>3</v>
      </c>
      <c r="E335" s="65">
        <v>5.4298642533899999E-4</v>
      </c>
    </row>
    <row r="336" spans="2:5" ht="15" customHeight="1">
      <c r="B336" s="85"/>
      <c r="C336" s="63" t="s">
        <v>183</v>
      </c>
      <c r="D336" s="64">
        <v>5</v>
      </c>
      <c r="E336" s="65">
        <v>9.0497737556600002E-4</v>
      </c>
    </row>
    <row r="337" spans="2:5" ht="15" customHeight="1">
      <c r="B337" s="85"/>
      <c r="C337" s="63" t="s">
        <v>184</v>
      </c>
      <c r="D337" s="64">
        <v>4</v>
      </c>
      <c r="E337" s="65">
        <v>7.2398190045200002E-4</v>
      </c>
    </row>
    <row r="338" spans="2:5" ht="15" customHeight="1">
      <c r="B338" s="85"/>
      <c r="C338" s="63" t="s">
        <v>185</v>
      </c>
      <c r="D338" s="64">
        <v>2</v>
      </c>
      <c r="E338" s="65">
        <v>3.6199095022600001E-4</v>
      </c>
    </row>
    <row r="339" spans="2:5" ht="15" customHeight="1">
      <c r="B339" s="85"/>
      <c r="C339" s="63" t="s">
        <v>186</v>
      </c>
      <c r="D339" s="64">
        <v>1</v>
      </c>
      <c r="E339" s="65">
        <v>1.8099547511300001E-4</v>
      </c>
    </row>
    <row r="340" spans="2:5" ht="15" customHeight="1">
      <c r="B340" s="85"/>
      <c r="C340" s="63" t="s">
        <v>187</v>
      </c>
      <c r="D340" s="64">
        <v>1</v>
      </c>
      <c r="E340" s="65">
        <v>1.8099547511300001E-4</v>
      </c>
    </row>
    <row r="341" spans="2:5" ht="15" customHeight="1">
      <c r="B341" s="85"/>
      <c r="C341" s="63" t="s">
        <v>219</v>
      </c>
      <c r="D341" s="64">
        <v>1</v>
      </c>
      <c r="E341" s="65">
        <v>1.8099547511300001E-4</v>
      </c>
    </row>
    <row r="342" spans="2:5" ht="15" customHeight="1">
      <c r="B342" s="85"/>
      <c r="C342" s="63" t="s">
        <v>189</v>
      </c>
      <c r="D342" s="64">
        <v>3</v>
      </c>
      <c r="E342" s="65">
        <v>5.4298642533899999E-4</v>
      </c>
    </row>
    <row r="343" spans="2:5" ht="15" customHeight="1">
      <c r="B343" s="85"/>
      <c r="C343" s="63" t="s">
        <v>221</v>
      </c>
      <c r="D343" s="64">
        <v>1</v>
      </c>
      <c r="E343" s="65">
        <v>1.8099547511300001E-4</v>
      </c>
    </row>
    <row r="344" spans="2:5" ht="15" customHeight="1">
      <c r="B344" s="85"/>
      <c r="C344" s="63" t="s">
        <v>232</v>
      </c>
      <c r="D344" s="64">
        <v>1</v>
      </c>
      <c r="E344" s="65">
        <v>1.8099547511300001E-4</v>
      </c>
    </row>
    <row r="345" spans="2:5" ht="15" customHeight="1">
      <c r="B345" s="85"/>
      <c r="C345" s="63" t="s">
        <v>191</v>
      </c>
      <c r="D345" s="64">
        <v>2</v>
      </c>
      <c r="E345" s="65">
        <v>3.6199095022600001E-4</v>
      </c>
    </row>
    <row r="346" spans="2:5" ht="15" customHeight="1">
      <c r="B346" s="85"/>
      <c r="C346" s="63" t="s">
        <v>195</v>
      </c>
      <c r="D346" s="64">
        <v>3</v>
      </c>
      <c r="E346" s="65">
        <v>5.4298642533899999E-4</v>
      </c>
    </row>
    <row r="347" spans="2:5" ht="15" customHeight="1">
      <c r="B347" s="85"/>
      <c r="C347" s="63" t="s">
        <v>196</v>
      </c>
      <c r="D347" s="64">
        <v>1</v>
      </c>
      <c r="E347" s="65">
        <v>1.8099547511300001E-4</v>
      </c>
    </row>
    <row r="348" spans="2:5" ht="15" customHeight="1">
      <c r="B348" s="85"/>
      <c r="C348" s="63" t="s">
        <v>235</v>
      </c>
      <c r="D348" s="64">
        <v>1</v>
      </c>
      <c r="E348" s="65">
        <v>1.8099547511300001E-4</v>
      </c>
    </row>
    <row r="349" spans="2:5" ht="15" customHeight="1">
      <c r="B349" s="85"/>
      <c r="C349" s="63" t="s">
        <v>202</v>
      </c>
      <c r="D349" s="64">
        <v>1</v>
      </c>
      <c r="E349" s="65">
        <v>1.8099547511300001E-4</v>
      </c>
    </row>
    <row r="350" spans="2:5" ht="15" customHeight="1">
      <c r="B350" s="86"/>
      <c r="C350" s="36" t="s">
        <v>29</v>
      </c>
      <c r="D350" s="35">
        <v>30</v>
      </c>
      <c r="E350" s="34">
        <v>5.4298642533939998E-3</v>
      </c>
    </row>
    <row r="351" spans="2:5" ht="15" customHeight="1">
      <c r="B351" s="84" t="s">
        <v>108</v>
      </c>
      <c r="C351" s="63" t="s">
        <v>210</v>
      </c>
      <c r="D351" s="64">
        <v>2</v>
      </c>
      <c r="E351" s="65">
        <v>3.6199095022600001E-4</v>
      </c>
    </row>
    <row r="352" spans="2:5" ht="15" customHeight="1">
      <c r="B352" s="85"/>
      <c r="C352" s="63" t="s">
        <v>182</v>
      </c>
      <c r="D352" s="64">
        <v>6</v>
      </c>
      <c r="E352" s="65">
        <v>1.0859728506790001E-3</v>
      </c>
    </row>
    <row r="353" spans="2:5" ht="15" customHeight="1">
      <c r="B353" s="85"/>
      <c r="C353" s="63" t="s">
        <v>184</v>
      </c>
      <c r="D353" s="64">
        <v>4</v>
      </c>
      <c r="E353" s="65">
        <v>7.2398190045200002E-4</v>
      </c>
    </row>
    <row r="354" spans="2:5" ht="15" customHeight="1">
      <c r="B354" s="85"/>
      <c r="C354" s="63" t="s">
        <v>185</v>
      </c>
      <c r="D354" s="64">
        <v>2</v>
      </c>
      <c r="E354" s="65">
        <v>3.6199095022600001E-4</v>
      </c>
    </row>
    <row r="355" spans="2:5" ht="15" customHeight="1">
      <c r="B355" s="85"/>
      <c r="C355" s="63" t="s">
        <v>197</v>
      </c>
      <c r="D355" s="64">
        <v>1</v>
      </c>
      <c r="E355" s="65">
        <v>1.8099547511300001E-4</v>
      </c>
    </row>
    <row r="356" spans="2:5" ht="15" customHeight="1">
      <c r="B356" s="85"/>
      <c r="C356" s="63" t="s">
        <v>186</v>
      </c>
      <c r="D356" s="64">
        <v>1</v>
      </c>
      <c r="E356" s="65">
        <v>1.8099547511300001E-4</v>
      </c>
    </row>
    <row r="357" spans="2:5" ht="15" customHeight="1">
      <c r="B357" s="85"/>
      <c r="C357" s="63" t="s">
        <v>218</v>
      </c>
      <c r="D357" s="64">
        <v>1</v>
      </c>
      <c r="E357" s="65">
        <v>1.8099547511300001E-4</v>
      </c>
    </row>
    <row r="358" spans="2:5" ht="15" customHeight="1">
      <c r="B358" s="85"/>
      <c r="C358" s="63" t="s">
        <v>219</v>
      </c>
      <c r="D358" s="64">
        <v>1</v>
      </c>
      <c r="E358" s="65">
        <v>1.8099547511300001E-4</v>
      </c>
    </row>
    <row r="359" spans="2:5" ht="15" customHeight="1">
      <c r="B359" s="85"/>
      <c r="C359" s="63" t="s">
        <v>206</v>
      </c>
      <c r="D359" s="64">
        <v>4</v>
      </c>
      <c r="E359" s="65">
        <v>7.2398190045200002E-4</v>
      </c>
    </row>
    <row r="360" spans="2:5" ht="15" customHeight="1">
      <c r="B360" s="85"/>
      <c r="C360" s="63" t="s">
        <v>227</v>
      </c>
      <c r="D360" s="64">
        <v>1</v>
      </c>
      <c r="E360" s="65">
        <v>1.8099547511300001E-4</v>
      </c>
    </row>
    <row r="361" spans="2:5" ht="15" customHeight="1">
      <c r="B361" s="85"/>
      <c r="C361" s="63" t="s">
        <v>194</v>
      </c>
      <c r="D361" s="64">
        <v>1</v>
      </c>
      <c r="E361" s="65">
        <v>1.8099547511300001E-4</v>
      </c>
    </row>
    <row r="362" spans="2:5" ht="15" customHeight="1">
      <c r="B362" s="85"/>
      <c r="C362" s="63" t="s">
        <v>195</v>
      </c>
      <c r="D362" s="64">
        <v>5</v>
      </c>
      <c r="E362" s="65">
        <v>9.0497737556600002E-4</v>
      </c>
    </row>
    <row r="363" spans="2:5" ht="15" customHeight="1">
      <c r="B363" s="85"/>
      <c r="C363" s="63" t="s">
        <v>196</v>
      </c>
      <c r="D363" s="64">
        <v>4</v>
      </c>
      <c r="E363" s="65">
        <v>7.2398190045200002E-4</v>
      </c>
    </row>
    <row r="364" spans="2:5" ht="15" customHeight="1">
      <c r="B364" s="85"/>
      <c r="C364" s="63" t="s">
        <v>203</v>
      </c>
      <c r="D364" s="64">
        <v>1</v>
      </c>
      <c r="E364" s="65">
        <v>1.8099547511300001E-4</v>
      </c>
    </row>
    <row r="365" spans="2:5" ht="15" customHeight="1">
      <c r="B365" s="85"/>
      <c r="C365" s="63" t="s">
        <v>204</v>
      </c>
      <c r="D365" s="64">
        <v>1</v>
      </c>
      <c r="E365" s="65">
        <v>1.8099547511300001E-4</v>
      </c>
    </row>
    <row r="366" spans="2:5" ht="15" customHeight="1">
      <c r="B366" s="86"/>
      <c r="C366" s="36" t="s">
        <v>29</v>
      </c>
      <c r="D366" s="35">
        <v>35</v>
      </c>
      <c r="E366" s="34">
        <v>6.3348416289590002E-3</v>
      </c>
    </row>
    <row r="367" spans="2:5" ht="15" customHeight="1">
      <c r="B367" s="84" t="s">
        <v>109</v>
      </c>
      <c r="C367" s="63" t="s">
        <v>183</v>
      </c>
      <c r="D367" s="64">
        <v>1</v>
      </c>
      <c r="E367" s="65">
        <v>1.8099547511300001E-4</v>
      </c>
    </row>
    <row r="368" spans="2:5" ht="15" customHeight="1">
      <c r="B368" s="85"/>
      <c r="C368" s="63" t="s">
        <v>186</v>
      </c>
      <c r="D368" s="64">
        <v>10</v>
      </c>
      <c r="E368" s="65">
        <v>1.809954751131E-3</v>
      </c>
    </row>
    <row r="369" spans="2:5" ht="15" customHeight="1">
      <c r="B369" s="85"/>
      <c r="C369" s="63" t="s">
        <v>199</v>
      </c>
      <c r="D369" s="64">
        <v>1</v>
      </c>
      <c r="E369" s="65">
        <v>1.8099547511300001E-4</v>
      </c>
    </row>
    <row r="370" spans="2:5" ht="15" customHeight="1">
      <c r="B370" s="85"/>
      <c r="C370" s="63" t="s">
        <v>189</v>
      </c>
      <c r="D370" s="64">
        <v>1</v>
      </c>
      <c r="E370" s="65">
        <v>1.8099547511300001E-4</v>
      </c>
    </row>
    <row r="371" spans="2:5" ht="15" customHeight="1">
      <c r="B371" s="85"/>
      <c r="C371" s="63" t="s">
        <v>227</v>
      </c>
      <c r="D371" s="64">
        <v>1</v>
      </c>
      <c r="E371" s="65">
        <v>1.8099547511300001E-4</v>
      </c>
    </row>
    <row r="372" spans="2:5" ht="15" customHeight="1">
      <c r="B372" s="85"/>
      <c r="C372" s="63" t="s">
        <v>234</v>
      </c>
      <c r="D372" s="64">
        <v>2</v>
      </c>
      <c r="E372" s="65">
        <v>3.6199095022600001E-4</v>
      </c>
    </row>
    <row r="373" spans="2:5" ht="15" customHeight="1">
      <c r="B373" s="85"/>
      <c r="C373" s="63" t="s">
        <v>195</v>
      </c>
      <c r="D373" s="64">
        <v>5</v>
      </c>
      <c r="E373" s="65">
        <v>9.0497737556600002E-4</v>
      </c>
    </row>
    <row r="374" spans="2:5" ht="15" customHeight="1">
      <c r="B374" s="86"/>
      <c r="C374" s="36" t="s">
        <v>29</v>
      </c>
      <c r="D374" s="35">
        <v>21</v>
      </c>
      <c r="E374" s="34">
        <v>3.8009049773759999E-3</v>
      </c>
    </row>
    <row r="375" spans="2:5" ht="15" customHeight="1">
      <c r="B375" s="84" t="s">
        <v>110</v>
      </c>
      <c r="C375" s="63" t="s">
        <v>182</v>
      </c>
      <c r="D375" s="64">
        <v>1</v>
      </c>
      <c r="E375" s="65">
        <v>1.8099547511300001E-4</v>
      </c>
    </row>
    <row r="376" spans="2:5" ht="15" customHeight="1">
      <c r="B376" s="85"/>
      <c r="C376" s="63" t="s">
        <v>185</v>
      </c>
      <c r="D376" s="64">
        <v>2</v>
      </c>
      <c r="E376" s="65">
        <v>3.6199095022600001E-4</v>
      </c>
    </row>
    <row r="377" spans="2:5" ht="15" customHeight="1">
      <c r="B377" s="85"/>
      <c r="C377" s="63" t="s">
        <v>186</v>
      </c>
      <c r="D377" s="64">
        <v>1</v>
      </c>
      <c r="E377" s="65">
        <v>1.8099547511300001E-4</v>
      </c>
    </row>
    <row r="378" spans="2:5" ht="15" customHeight="1">
      <c r="B378" s="85"/>
      <c r="C378" s="63" t="s">
        <v>187</v>
      </c>
      <c r="D378" s="64">
        <v>2</v>
      </c>
      <c r="E378" s="65">
        <v>3.6199095022600001E-4</v>
      </c>
    </row>
    <row r="379" spans="2:5" ht="15" customHeight="1">
      <c r="B379" s="85"/>
      <c r="C379" s="63" t="s">
        <v>189</v>
      </c>
      <c r="D379" s="64">
        <v>2</v>
      </c>
      <c r="E379" s="65">
        <v>3.6199095022600001E-4</v>
      </c>
    </row>
    <row r="380" spans="2:5" ht="15" customHeight="1">
      <c r="B380" s="85"/>
      <c r="C380" s="63" t="s">
        <v>232</v>
      </c>
      <c r="D380" s="64">
        <v>2</v>
      </c>
      <c r="E380" s="65">
        <v>3.6199095022600001E-4</v>
      </c>
    </row>
    <row r="381" spans="2:5" ht="15" customHeight="1">
      <c r="B381" s="85"/>
      <c r="C381" s="63" t="s">
        <v>191</v>
      </c>
      <c r="D381" s="64">
        <v>1</v>
      </c>
      <c r="E381" s="65">
        <v>1.8099547511300001E-4</v>
      </c>
    </row>
    <row r="382" spans="2:5" ht="15" customHeight="1">
      <c r="B382" s="85"/>
      <c r="C382" s="63" t="s">
        <v>193</v>
      </c>
      <c r="D382" s="64">
        <v>5</v>
      </c>
      <c r="E382" s="65">
        <v>9.0497737556600002E-4</v>
      </c>
    </row>
    <row r="383" spans="2:5" ht="15" customHeight="1">
      <c r="B383" s="85"/>
      <c r="C383" s="63" t="s">
        <v>195</v>
      </c>
      <c r="D383" s="64">
        <v>1</v>
      </c>
      <c r="E383" s="65">
        <v>1.8099547511300001E-4</v>
      </c>
    </row>
    <row r="384" spans="2:5" ht="15" customHeight="1">
      <c r="B384" s="85"/>
      <c r="C384" s="63" t="s">
        <v>196</v>
      </c>
      <c r="D384" s="64">
        <v>1</v>
      </c>
      <c r="E384" s="65">
        <v>1.8099547511300001E-4</v>
      </c>
    </row>
    <row r="385" spans="2:5" ht="15" customHeight="1">
      <c r="B385" s="85"/>
      <c r="C385" s="63" t="s">
        <v>204</v>
      </c>
      <c r="D385" s="64">
        <v>1</v>
      </c>
      <c r="E385" s="65">
        <v>1.8099547511300001E-4</v>
      </c>
    </row>
    <row r="386" spans="2:5" ht="15" customHeight="1">
      <c r="B386" s="86"/>
      <c r="C386" s="36" t="s">
        <v>29</v>
      </c>
      <c r="D386" s="35">
        <v>19</v>
      </c>
      <c r="E386" s="34">
        <v>3.438914027149E-3</v>
      </c>
    </row>
    <row r="387" spans="2:5" ht="15" customHeight="1">
      <c r="B387" s="84" t="s">
        <v>111</v>
      </c>
      <c r="C387" s="63" t="s">
        <v>210</v>
      </c>
      <c r="D387" s="64">
        <v>1</v>
      </c>
      <c r="E387" s="65">
        <v>1.8099547511300001E-4</v>
      </c>
    </row>
    <row r="388" spans="2:5" ht="15" customHeight="1">
      <c r="B388" s="85"/>
      <c r="C388" s="63" t="s">
        <v>185</v>
      </c>
      <c r="D388" s="64">
        <v>2</v>
      </c>
      <c r="E388" s="65">
        <v>3.6199095022600001E-4</v>
      </c>
    </row>
    <row r="389" spans="2:5" ht="15" customHeight="1">
      <c r="B389" s="85"/>
      <c r="C389" s="63" t="s">
        <v>216</v>
      </c>
      <c r="D389" s="64">
        <v>1</v>
      </c>
      <c r="E389" s="65">
        <v>1.8099547511300001E-4</v>
      </c>
    </row>
    <row r="390" spans="2:5" ht="15" customHeight="1">
      <c r="B390" s="85"/>
      <c r="C390" s="63" t="s">
        <v>206</v>
      </c>
      <c r="D390" s="64">
        <v>1</v>
      </c>
      <c r="E390" s="65">
        <v>1.8099547511300001E-4</v>
      </c>
    </row>
    <row r="391" spans="2:5" ht="15" customHeight="1">
      <c r="B391" s="85"/>
      <c r="C391" s="63" t="s">
        <v>227</v>
      </c>
      <c r="D391" s="64">
        <v>1</v>
      </c>
      <c r="E391" s="65">
        <v>1.8099547511300001E-4</v>
      </c>
    </row>
    <row r="392" spans="2:5" ht="15" customHeight="1">
      <c r="B392" s="85"/>
      <c r="C392" s="63" t="s">
        <v>234</v>
      </c>
      <c r="D392" s="64">
        <v>1</v>
      </c>
      <c r="E392" s="65">
        <v>1.8099547511300001E-4</v>
      </c>
    </row>
    <row r="393" spans="2:5" ht="15" customHeight="1">
      <c r="B393" s="85"/>
      <c r="C393" s="63" t="s">
        <v>195</v>
      </c>
      <c r="D393" s="64">
        <v>2</v>
      </c>
      <c r="E393" s="65">
        <v>3.6199095022600001E-4</v>
      </c>
    </row>
    <row r="394" spans="2:5" ht="15" customHeight="1">
      <c r="B394" s="86"/>
      <c r="C394" s="36" t="s">
        <v>29</v>
      </c>
      <c r="D394" s="35">
        <v>9</v>
      </c>
      <c r="E394" s="34">
        <v>1.628959276018E-3</v>
      </c>
    </row>
    <row r="395" spans="2:5" ht="15" customHeight="1">
      <c r="B395" s="84" t="s">
        <v>112</v>
      </c>
      <c r="C395" s="63" t="s">
        <v>182</v>
      </c>
      <c r="D395" s="64">
        <v>2</v>
      </c>
      <c r="E395" s="65">
        <v>3.6199095022600001E-4</v>
      </c>
    </row>
    <row r="396" spans="2:5" ht="15" customHeight="1">
      <c r="B396" s="85"/>
      <c r="C396" s="63" t="s">
        <v>184</v>
      </c>
      <c r="D396" s="64">
        <v>1</v>
      </c>
      <c r="E396" s="65">
        <v>1.8099547511300001E-4</v>
      </c>
    </row>
    <row r="397" spans="2:5" ht="15" customHeight="1">
      <c r="B397" s="85"/>
      <c r="C397" s="63" t="s">
        <v>185</v>
      </c>
      <c r="D397" s="64">
        <v>1</v>
      </c>
      <c r="E397" s="65">
        <v>1.8099547511300001E-4</v>
      </c>
    </row>
    <row r="398" spans="2:5" ht="15" customHeight="1">
      <c r="B398" s="85"/>
      <c r="C398" s="63" t="s">
        <v>197</v>
      </c>
      <c r="D398" s="64">
        <v>1</v>
      </c>
      <c r="E398" s="65">
        <v>1.8099547511300001E-4</v>
      </c>
    </row>
    <row r="399" spans="2:5" ht="15" customHeight="1">
      <c r="B399" s="85"/>
      <c r="C399" s="63" t="s">
        <v>186</v>
      </c>
      <c r="D399" s="64">
        <v>2</v>
      </c>
      <c r="E399" s="65">
        <v>3.6199095022600001E-4</v>
      </c>
    </row>
    <row r="400" spans="2:5" ht="15" customHeight="1">
      <c r="B400" s="85"/>
      <c r="C400" s="63" t="s">
        <v>219</v>
      </c>
      <c r="D400" s="64">
        <v>1</v>
      </c>
      <c r="E400" s="65">
        <v>1.8099547511300001E-4</v>
      </c>
    </row>
    <row r="401" spans="2:5" ht="15" customHeight="1">
      <c r="B401" s="85"/>
      <c r="C401" s="63" t="s">
        <v>189</v>
      </c>
      <c r="D401" s="64">
        <v>2</v>
      </c>
      <c r="E401" s="65">
        <v>3.6199095022600001E-4</v>
      </c>
    </row>
    <row r="402" spans="2:5" ht="15" customHeight="1">
      <c r="B402" s="85"/>
      <c r="C402" s="63" t="s">
        <v>237</v>
      </c>
      <c r="D402" s="64">
        <v>1</v>
      </c>
      <c r="E402" s="65">
        <v>1.8099547511300001E-4</v>
      </c>
    </row>
    <row r="403" spans="2:5" ht="15" customHeight="1">
      <c r="B403" s="85"/>
      <c r="C403" s="63" t="s">
        <v>221</v>
      </c>
      <c r="D403" s="64">
        <v>1</v>
      </c>
      <c r="E403" s="65">
        <v>1.8099547511300001E-4</v>
      </c>
    </row>
    <row r="404" spans="2:5" ht="15" customHeight="1">
      <c r="B404" s="85"/>
      <c r="C404" s="63" t="s">
        <v>190</v>
      </c>
      <c r="D404" s="64">
        <v>1</v>
      </c>
      <c r="E404" s="65">
        <v>1.8099547511300001E-4</v>
      </c>
    </row>
    <row r="405" spans="2:5" ht="15" customHeight="1">
      <c r="B405" s="85"/>
      <c r="C405" s="63" t="s">
        <v>228</v>
      </c>
      <c r="D405" s="64">
        <v>1</v>
      </c>
      <c r="E405" s="65">
        <v>1.8099547511300001E-4</v>
      </c>
    </row>
    <row r="406" spans="2:5" ht="15" customHeight="1">
      <c r="B406" s="85"/>
      <c r="C406" s="63" t="s">
        <v>233</v>
      </c>
      <c r="D406" s="64">
        <v>1</v>
      </c>
      <c r="E406" s="65">
        <v>1.8099547511300001E-4</v>
      </c>
    </row>
    <row r="407" spans="2:5" ht="15" customHeight="1">
      <c r="B407" s="85"/>
      <c r="C407" s="63" t="s">
        <v>193</v>
      </c>
      <c r="D407" s="64">
        <v>1</v>
      </c>
      <c r="E407" s="65">
        <v>1.8099547511300001E-4</v>
      </c>
    </row>
    <row r="408" spans="2:5" ht="15" customHeight="1">
      <c r="B408" s="85"/>
      <c r="C408" s="63" t="s">
        <v>234</v>
      </c>
      <c r="D408" s="64">
        <v>1</v>
      </c>
      <c r="E408" s="65">
        <v>1.8099547511300001E-4</v>
      </c>
    </row>
    <row r="409" spans="2:5" ht="15" customHeight="1">
      <c r="B409" s="85"/>
      <c r="C409" s="63" t="s">
        <v>195</v>
      </c>
      <c r="D409" s="64">
        <v>1</v>
      </c>
      <c r="E409" s="65">
        <v>1.8099547511300001E-4</v>
      </c>
    </row>
    <row r="410" spans="2:5" ht="15" customHeight="1">
      <c r="B410" s="85"/>
      <c r="C410" s="63" t="s">
        <v>196</v>
      </c>
      <c r="D410" s="64">
        <v>1</v>
      </c>
      <c r="E410" s="65">
        <v>1.8099547511300001E-4</v>
      </c>
    </row>
    <row r="411" spans="2:5" ht="15" customHeight="1">
      <c r="B411" s="85"/>
      <c r="C411" s="63" t="s">
        <v>235</v>
      </c>
      <c r="D411" s="64">
        <v>1</v>
      </c>
      <c r="E411" s="65">
        <v>1.8099547511300001E-4</v>
      </c>
    </row>
    <row r="412" spans="2:5" ht="15" customHeight="1">
      <c r="B412" s="85"/>
      <c r="C412" s="63" t="s">
        <v>201</v>
      </c>
      <c r="D412" s="64">
        <v>1</v>
      </c>
      <c r="E412" s="65">
        <v>1.8099547511300001E-4</v>
      </c>
    </row>
    <row r="413" spans="2:5" ht="15" customHeight="1">
      <c r="B413" s="85"/>
      <c r="C413" s="63" t="s">
        <v>203</v>
      </c>
      <c r="D413" s="64">
        <v>3</v>
      </c>
      <c r="E413" s="65">
        <v>5.4298642533899999E-4</v>
      </c>
    </row>
    <row r="414" spans="2:5" ht="15" customHeight="1">
      <c r="B414" s="85"/>
      <c r="C414" s="63" t="s">
        <v>204</v>
      </c>
      <c r="D414" s="64">
        <v>3</v>
      </c>
      <c r="E414" s="65">
        <v>5.4298642533899999E-4</v>
      </c>
    </row>
    <row r="415" spans="2:5" ht="15" customHeight="1">
      <c r="B415" s="86"/>
      <c r="C415" s="36" t="s">
        <v>29</v>
      </c>
      <c r="D415" s="35">
        <v>27</v>
      </c>
      <c r="E415" s="34">
        <v>4.8868778280539999E-3</v>
      </c>
    </row>
    <row r="416" spans="2:5" ht="15" customHeight="1">
      <c r="B416" s="84" t="s">
        <v>113</v>
      </c>
      <c r="C416" s="63" t="s">
        <v>182</v>
      </c>
      <c r="D416" s="64">
        <v>2</v>
      </c>
      <c r="E416" s="65">
        <v>3.6199095022600001E-4</v>
      </c>
    </row>
    <row r="417" spans="2:5" ht="15" customHeight="1">
      <c r="B417" s="85"/>
      <c r="C417" s="63" t="s">
        <v>184</v>
      </c>
      <c r="D417" s="64">
        <v>14</v>
      </c>
      <c r="E417" s="65">
        <v>2.533936651584E-3</v>
      </c>
    </row>
    <row r="418" spans="2:5" ht="15" customHeight="1">
      <c r="B418" s="85"/>
      <c r="C418" s="63" t="s">
        <v>185</v>
      </c>
      <c r="D418" s="64">
        <v>3</v>
      </c>
      <c r="E418" s="65">
        <v>5.4298642533899999E-4</v>
      </c>
    </row>
    <row r="419" spans="2:5" ht="15" customHeight="1">
      <c r="B419" s="85"/>
      <c r="C419" s="63" t="s">
        <v>215</v>
      </c>
      <c r="D419" s="64">
        <v>1</v>
      </c>
      <c r="E419" s="65">
        <v>1.8099547511300001E-4</v>
      </c>
    </row>
    <row r="420" spans="2:5" ht="15" customHeight="1">
      <c r="B420" s="85"/>
      <c r="C420" s="63" t="s">
        <v>186</v>
      </c>
      <c r="D420" s="64">
        <v>4</v>
      </c>
      <c r="E420" s="65">
        <v>7.2398190045200002E-4</v>
      </c>
    </row>
    <row r="421" spans="2:5" ht="15" customHeight="1">
      <c r="B421" s="85"/>
      <c r="C421" s="63" t="s">
        <v>187</v>
      </c>
      <c r="D421" s="64">
        <v>1</v>
      </c>
      <c r="E421" s="65">
        <v>1.8099547511300001E-4</v>
      </c>
    </row>
    <row r="422" spans="2:5" ht="15" customHeight="1">
      <c r="B422" s="85"/>
      <c r="C422" s="63" t="s">
        <v>200</v>
      </c>
      <c r="D422" s="64">
        <v>2</v>
      </c>
      <c r="E422" s="65">
        <v>3.6199095022600001E-4</v>
      </c>
    </row>
    <row r="423" spans="2:5" ht="15" customHeight="1">
      <c r="B423" s="85"/>
      <c r="C423" s="63" t="s">
        <v>189</v>
      </c>
      <c r="D423" s="64">
        <v>2</v>
      </c>
      <c r="E423" s="65">
        <v>3.6199095022600001E-4</v>
      </c>
    </row>
    <row r="424" spans="2:5" ht="15" customHeight="1">
      <c r="B424" s="85"/>
      <c r="C424" s="63" t="s">
        <v>221</v>
      </c>
      <c r="D424" s="64">
        <v>3</v>
      </c>
      <c r="E424" s="65">
        <v>5.4298642533899999E-4</v>
      </c>
    </row>
    <row r="425" spans="2:5" ht="15" customHeight="1">
      <c r="B425" s="85"/>
      <c r="C425" s="63" t="s">
        <v>190</v>
      </c>
      <c r="D425" s="64">
        <v>5</v>
      </c>
      <c r="E425" s="65">
        <v>9.0497737556600002E-4</v>
      </c>
    </row>
    <row r="426" spans="2:5" ht="15" customHeight="1">
      <c r="B426" s="85"/>
      <c r="C426" s="63" t="s">
        <v>191</v>
      </c>
      <c r="D426" s="64">
        <v>2</v>
      </c>
      <c r="E426" s="65">
        <v>3.6199095022600001E-4</v>
      </c>
    </row>
    <row r="427" spans="2:5" ht="15" customHeight="1">
      <c r="B427" s="85"/>
      <c r="C427" s="63" t="s">
        <v>233</v>
      </c>
      <c r="D427" s="64">
        <v>1</v>
      </c>
      <c r="E427" s="65">
        <v>1.8099547511300001E-4</v>
      </c>
    </row>
    <row r="428" spans="2:5" ht="15" customHeight="1">
      <c r="B428" s="85"/>
      <c r="C428" s="63" t="s">
        <v>193</v>
      </c>
      <c r="D428" s="64">
        <v>1</v>
      </c>
      <c r="E428" s="65">
        <v>1.8099547511300001E-4</v>
      </c>
    </row>
    <row r="429" spans="2:5" ht="15" customHeight="1">
      <c r="B429" s="85"/>
      <c r="C429" s="63" t="s">
        <v>195</v>
      </c>
      <c r="D429" s="64">
        <v>8</v>
      </c>
      <c r="E429" s="65">
        <v>1.4479638009049999E-3</v>
      </c>
    </row>
    <row r="430" spans="2:5" ht="15" customHeight="1">
      <c r="B430" s="85"/>
      <c r="C430" s="63" t="s">
        <v>196</v>
      </c>
      <c r="D430" s="64">
        <v>2</v>
      </c>
      <c r="E430" s="65">
        <v>3.6199095022600001E-4</v>
      </c>
    </row>
    <row r="431" spans="2:5" ht="15" customHeight="1">
      <c r="B431" s="85"/>
      <c r="C431" s="63" t="s">
        <v>201</v>
      </c>
      <c r="D431" s="64">
        <v>8</v>
      </c>
      <c r="E431" s="65">
        <v>1.4479638009049999E-3</v>
      </c>
    </row>
    <row r="432" spans="2:5" ht="15" customHeight="1">
      <c r="B432" s="85"/>
      <c r="C432" s="63" t="s">
        <v>204</v>
      </c>
      <c r="D432" s="64">
        <v>1</v>
      </c>
      <c r="E432" s="65">
        <v>1.8099547511300001E-4</v>
      </c>
    </row>
    <row r="433" spans="2:5" ht="15" customHeight="1">
      <c r="B433" s="86"/>
      <c r="C433" s="36" t="s">
        <v>29</v>
      </c>
      <c r="D433" s="35">
        <v>60</v>
      </c>
      <c r="E433" s="34">
        <v>1.0859728506787E-2</v>
      </c>
    </row>
    <row r="434" spans="2:5" ht="15" customHeight="1">
      <c r="B434" s="84" t="s">
        <v>114</v>
      </c>
      <c r="C434" s="63" t="s">
        <v>182</v>
      </c>
      <c r="D434" s="64">
        <v>1</v>
      </c>
      <c r="E434" s="65">
        <v>1.8099547511300001E-4</v>
      </c>
    </row>
    <row r="435" spans="2:5" ht="15" customHeight="1">
      <c r="B435" s="85"/>
      <c r="C435" s="63" t="s">
        <v>185</v>
      </c>
      <c r="D435" s="64">
        <v>1</v>
      </c>
      <c r="E435" s="65">
        <v>1.8099547511300001E-4</v>
      </c>
    </row>
    <row r="436" spans="2:5" ht="15" customHeight="1">
      <c r="B436" s="85"/>
      <c r="C436" s="63" t="s">
        <v>230</v>
      </c>
      <c r="D436" s="64">
        <v>2</v>
      </c>
      <c r="E436" s="65">
        <v>3.6199095022600001E-4</v>
      </c>
    </row>
    <row r="437" spans="2:5" ht="15" customHeight="1">
      <c r="B437" s="85"/>
      <c r="C437" s="63" t="s">
        <v>232</v>
      </c>
      <c r="D437" s="64">
        <v>1</v>
      </c>
      <c r="E437" s="65">
        <v>1.8099547511300001E-4</v>
      </c>
    </row>
    <row r="438" spans="2:5" ht="15" customHeight="1">
      <c r="B438" s="85"/>
      <c r="C438" s="63" t="s">
        <v>193</v>
      </c>
      <c r="D438" s="64">
        <v>1</v>
      </c>
      <c r="E438" s="65">
        <v>1.8099547511300001E-4</v>
      </c>
    </row>
    <row r="439" spans="2:5" ht="15" customHeight="1">
      <c r="B439" s="85"/>
      <c r="C439" s="63" t="s">
        <v>195</v>
      </c>
      <c r="D439" s="64">
        <v>1</v>
      </c>
      <c r="E439" s="65">
        <v>1.8099547511300001E-4</v>
      </c>
    </row>
    <row r="440" spans="2:5" ht="15" customHeight="1">
      <c r="B440" s="86"/>
      <c r="C440" s="36" t="s">
        <v>29</v>
      </c>
      <c r="D440" s="35">
        <v>7</v>
      </c>
      <c r="E440" s="34">
        <v>1.266968325792E-3</v>
      </c>
    </row>
    <row r="441" spans="2:5" ht="15" customHeight="1">
      <c r="B441" s="84" t="s">
        <v>115</v>
      </c>
      <c r="C441" s="63" t="s">
        <v>210</v>
      </c>
      <c r="D441" s="64">
        <v>1</v>
      </c>
      <c r="E441" s="65">
        <v>1.8099547511300001E-4</v>
      </c>
    </row>
    <row r="442" spans="2:5" ht="15" customHeight="1">
      <c r="B442" s="85"/>
      <c r="C442" s="63" t="s">
        <v>211</v>
      </c>
      <c r="D442" s="64">
        <v>1</v>
      </c>
      <c r="E442" s="65">
        <v>1.8099547511300001E-4</v>
      </c>
    </row>
    <row r="443" spans="2:5" ht="15" customHeight="1">
      <c r="B443" s="85"/>
      <c r="C443" s="63" t="s">
        <v>212</v>
      </c>
      <c r="D443" s="64">
        <v>1</v>
      </c>
      <c r="E443" s="65">
        <v>1.8099547511300001E-4</v>
      </c>
    </row>
    <row r="444" spans="2:5" ht="15" customHeight="1">
      <c r="B444" s="85"/>
      <c r="C444" s="63" t="s">
        <v>184</v>
      </c>
      <c r="D444" s="64">
        <v>2</v>
      </c>
      <c r="E444" s="65">
        <v>3.6199095022600001E-4</v>
      </c>
    </row>
    <row r="445" spans="2:5" ht="15" customHeight="1">
      <c r="B445" s="85"/>
      <c r="C445" s="63" t="s">
        <v>185</v>
      </c>
      <c r="D445" s="64">
        <v>54</v>
      </c>
      <c r="E445" s="65">
        <v>9.7737556561090008E-3</v>
      </c>
    </row>
    <row r="446" spans="2:5" ht="15" customHeight="1">
      <c r="B446" s="85"/>
      <c r="C446" s="63" t="s">
        <v>197</v>
      </c>
      <c r="D446" s="64">
        <v>7</v>
      </c>
      <c r="E446" s="65">
        <v>1.266968325792E-3</v>
      </c>
    </row>
    <row r="447" spans="2:5" ht="15" customHeight="1">
      <c r="B447" s="85"/>
      <c r="C447" s="63" t="s">
        <v>186</v>
      </c>
      <c r="D447" s="64">
        <v>1</v>
      </c>
      <c r="E447" s="65">
        <v>1.8099547511300001E-4</v>
      </c>
    </row>
    <row r="448" spans="2:5" ht="15" customHeight="1">
      <c r="B448" s="85"/>
      <c r="C448" s="63" t="s">
        <v>187</v>
      </c>
      <c r="D448" s="64">
        <v>5</v>
      </c>
      <c r="E448" s="65">
        <v>9.0497737556600002E-4</v>
      </c>
    </row>
    <row r="449" spans="2:5" ht="15" customHeight="1">
      <c r="B449" s="85"/>
      <c r="C449" s="63" t="s">
        <v>188</v>
      </c>
      <c r="D449" s="64">
        <v>12</v>
      </c>
      <c r="E449" s="65">
        <v>2.171945701357E-3</v>
      </c>
    </row>
    <row r="450" spans="2:5" ht="15" customHeight="1">
      <c r="B450" s="85"/>
      <c r="C450" s="63" t="s">
        <v>207</v>
      </c>
      <c r="D450" s="64">
        <v>5</v>
      </c>
      <c r="E450" s="65">
        <v>9.0497737556600002E-4</v>
      </c>
    </row>
    <row r="451" spans="2:5" ht="15" customHeight="1">
      <c r="B451" s="85"/>
      <c r="C451" s="63" t="s">
        <v>190</v>
      </c>
      <c r="D451" s="64">
        <v>1</v>
      </c>
      <c r="E451" s="65">
        <v>1.8099547511300001E-4</v>
      </c>
    </row>
    <row r="452" spans="2:5" ht="15" customHeight="1">
      <c r="B452" s="85"/>
      <c r="C452" s="63" t="s">
        <v>227</v>
      </c>
      <c r="D452" s="64">
        <v>1</v>
      </c>
      <c r="E452" s="65">
        <v>1.8099547511300001E-4</v>
      </c>
    </row>
    <row r="453" spans="2:5" ht="15" customHeight="1">
      <c r="B453" s="85"/>
      <c r="C453" s="63" t="s">
        <v>191</v>
      </c>
      <c r="D453" s="64">
        <v>9</v>
      </c>
      <c r="E453" s="65">
        <v>1.628959276018E-3</v>
      </c>
    </row>
    <row r="454" spans="2:5" ht="15" customHeight="1">
      <c r="B454" s="85"/>
      <c r="C454" s="63" t="s">
        <v>233</v>
      </c>
      <c r="D454" s="64">
        <v>1</v>
      </c>
      <c r="E454" s="65">
        <v>1.8099547511300001E-4</v>
      </c>
    </row>
    <row r="455" spans="2:5" ht="15" customHeight="1">
      <c r="B455" s="85"/>
      <c r="C455" s="63" t="s">
        <v>192</v>
      </c>
      <c r="D455" s="64">
        <v>4</v>
      </c>
      <c r="E455" s="65">
        <v>7.2398190045200002E-4</v>
      </c>
    </row>
    <row r="456" spans="2:5" ht="15" customHeight="1">
      <c r="B456" s="85"/>
      <c r="C456" s="63" t="s">
        <v>193</v>
      </c>
      <c r="D456" s="64">
        <v>1</v>
      </c>
      <c r="E456" s="65">
        <v>1.8099547511300001E-4</v>
      </c>
    </row>
    <row r="457" spans="2:5" ht="15" customHeight="1">
      <c r="B457" s="85"/>
      <c r="C457" s="63" t="s">
        <v>194</v>
      </c>
      <c r="D457" s="64">
        <v>3</v>
      </c>
      <c r="E457" s="65">
        <v>5.4298642533899999E-4</v>
      </c>
    </row>
    <row r="458" spans="2:5" ht="15" customHeight="1">
      <c r="B458" s="85"/>
      <c r="C458" s="63" t="s">
        <v>195</v>
      </c>
      <c r="D458" s="64">
        <v>22</v>
      </c>
      <c r="E458" s="65">
        <v>3.9819004524890003E-3</v>
      </c>
    </row>
    <row r="459" spans="2:5" ht="15" customHeight="1">
      <c r="B459" s="85"/>
      <c r="C459" s="63" t="s">
        <v>204</v>
      </c>
      <c r="D459" s="64">
        <v>1</v>
      </c>
      <c r="E459" s="65">
        <v>1.8099547511300001E-4</v>
      </c>
    </row>
    <row r="460" spans="2:5" ht="15" customHeight="1">
      <c r="B460" s="86"/>
      <c r="C460" s="36" t="s">
        <v>29</v>
      </c>
      <c r="D460" s="35">
        <v>132</v>
      </c>
      <c r="E460" s="34">
        <v>2.3891402714932002E-2</v>
      </c>
    </row>
    <row r="461" spans="2:5" ht="15" customHeight="1">
      <c r="B461" s="84" t="s">
        <v>116</v>
      </c>
      <c r="C461" s="63" t="s">
        <v>213</v>
      </c>
      <c r="D461" s="64">
        <v>2</v>
      </c>
      <c r="E461" s="65">
        <v>3.6199095022600001E-4</v>
      </c>
    </row>
    <row r="462" spans="2:5" ht="15" customHeight="1">
      <c r="B462" s="85"/>
      <c r="C462" s="63" t="s">
        <v>218</v>
      </c>
      <c r="D462" s="64">
        <v>2</v>
      </c>
      <c r="E462" s="65">
        <v>3.6199095022600001E-4</v>
      </c>
    </row>
    <row r="463" spans="2:5" ht="15" customHeight="1">
      <c r="B463" s="85"/>
      <c r="C463" s="63" t="s">
        <v>195</v>
      </c>
      <c r="D463" s="64">
        <v>1</v>
      </c>
      <c r="E463" s="65">
        <v>1.8099547511300001E-4</v>
      </c>
    </row>
    <row r="464" spans="2:5" ht="15" customHeight="1">
      <c r="B464" s="85"/>
      <c r="C464" s="63" t="s">
        <v>196</v>
      </c>
      <c r="D464" s="64">
        <v>1</v>
      </c>
      <c r="E464" s="65">
        <v>1.8099547511300001E-4</v>
      </c>
    </row>
    <row r="465" spans="2:5" ht="15" customHeight="1">
      <c r="B465" s="85"/>
      <c r="C465" s="63" t="s">
        <v>209</v>
      </c>
      <c r="D465" s="64">
        <v>1</v>
      </c>
      <c r="E465" s="65">
        <v>1.8099547511300001E-4</v>
      </c>
    </row>
    <row r="466" spans="2:5" ht="15" customHeight="1">
      <c r="B466" s="86"/>
      <c r="C466" s="36" t="s">
        <v>29</v>
      </c>
      <c r="D466" s="35">
        <v>7</v>
      </c>
      <c r="E466" s="34">
        <v>1.266968325792E-3</v>
      </c>
    </row>
    <row r="467" spans="2:5" ht="15" customHeight="1">
      <c r="B467" s="84" t="s">
        <v>117</v>
      </c>
      <c r="C467" s="63" t="s">
        <v>182</v>
      </c>
      <c r="D467" s="64">
        <v>3</v>
      </c>
      <c r="E467" s="65">
        <v>5.4298642533899999E-4</v>
      </c>
    </row>
    <row r="468" spans="2:5" ht="15" customHeight="1">
      <c r="B468" s="85"/>
      <c r="C468" s="63" t="s">
        <v>213</v>
      </c>
      <c r="D468" s="64">
        <v>1</v>
      </c>
      <c r="E468" s="65">
        <v>1.8099547511300001E-4</v>
      </c>
    </row>
    <row r="469" spans="2:5" ht="15" customHeight="1">
      <c r="B469" s="85"/>
      <c r="C469" s="63" t="s">
        <v>184</v>
      </c>
      <c r="D469" s="64">
        <v>10</v>
      </c>
      <c r="E469" s="65">
        <v>1.809954751131E-3</v>
      </c>
    </row>
    <row r="470" spans="2:5" ht="15" customHeight="1">
      <c r="B470" s="85"/>
      <c r="C470" s="63" t="s">
        <v>185</v>
      </c>
      <c r="D470" s="64">
        <v>6</v>
      </c>
      <c r="E470" s="65">
        <v>1.0859728506790001E-3</v>
      </c>
    </row>
    <row r="471" spans="2:5" ht="15" customHeight="1">
      <c r="B471" s="85"/>
      <c r="C471" s="63" t="s">
        <v>197</v>
      </c>
      <c r="D471" s="64">
        <v>2</v>
      </c>
      <c r="E471" s="65">
        <v>3.6199095022600001E-4</v>
      </c>
    </row>
    <row r="472" spans="2:5" ht="15" customHeight="1">
      <c r="B472" s="85"/>
      <c r="C472" s="63" t="s">
        <v>198</v>
      </c>
      <c r="D472" s="64">
        <v>1</v>
      </c>
      <c r="E472" s="65">
        <v>1.8099547511300001E-4</v>
      </c>
    </row>
    <row r="473" spans="2:5" ht="15" customHeight="1">
      <c r="B473" s="85"/>
      <c r="C473" s="63" t="s">
        <v>186</v>
      </c>
      <c r="D473" s="64">
        <v>3</v>
      </c>
      <c r="E473" s="65">
        <v>5.4298642533899999E-4</v>
      </c>
    </row>
    <row r="474" spans="2:5" ht="15" customHeight="1">
      <c r="B474" s="85"/>
      <c r="C474" s="63" t="s">
        <v>218</v>
      </c>
      <c r="D474" s="64">
        <v>1</v>
      </c>
      <c r="E474" s="65">
        <v>1.8099547511300001E-4</v>
      </c>
    </row>
    <row r="475" spans="2:5" ht="15" customHeight="1">
      <c r="B475" s="85"/>
      <c r="C475" s="63" t="s">
        <v>187</v>
      </c>
      <c r="D475" s="64">
        <v>2</v>
      </c>
      <c r="E475" s="65">
        <v>3.6199095022600001E-4</v>
      </c>
    </row>
    <row r="476" spans="2:5" ht="15" customHeight="1">
      <c r="B476" s="85"/>
      <c r="C476" s="63" t="s">
        <v>219</v>
      </c>
      <c r="D476" s="64">
        <v>1</v>
      </c>
      <c r="E476" s="65">
        <v>1.8099547511300001E-4</v>
      </c>
    </row>
    <row r="477" spans="2:5" ht="15" customHeight="1">
      <c r="B477" s="85"/>
      <c r="C477" s="63" t="s">
        <v>189</v>
      </c>
      <c r="D477" s="64">
        <v>5</v>
      </c>
      <c r="E477" s="65">
        <v>9.0497737556600002E-4</v>
      </c>
    </row>
    <row r="478" spans="2:5" ht="15" customHeight="1">
      <c r="B478" s="85"/>
      <c r="C478" s="63" t="s">
        <v>206</v>
      </c>
      <c r="D478" s="64">
        <v>5</v>
      </c>
      <c r="E478" s="65">
        <v>9.0497737556600002E-4</v>
      </c>
    </row>
    <row r="479" spans="2:5" ht="15" customHeight="1">
      <c r="B479" s="85"/>
      <c r="C479" s="63" t="s">
        <v>237</v>
      </c>
      <c r="D479" s="64">
        <v>1</v>
      </c>
      <c r="E479" s="65">
        <v>1.8099547511300001E-4</v>
      </c>
    </row>
    <row r="480" spans="2:5" ht="15" customHeight="1">
      <c r="B480" s="85"/>
      <c r="C480" s="63" t="s">
        <v>207</v>
      </c>
      <c r="D480" s="64">
        <v>1</v>
      </c>
      <c r="E480" s="65">
        <v>1.8099547511300001E-4</v>
      </c>
    </row>
    <row r="481" spans="2:5" ht="15" customHeight="1">
      <c r="B481" s="85"/>
      <c r="C481" s="63" t="s">
        <v>221</v>
      </c>
      <c r="D481" s="64">
        <v>1</v>
      </c>
      <c r="E481" s="65">
        <v>1.8099547511300001E-4</v>
      </c>
    </row>
    <row r="482" spans="2:5" ht="15" customHeight="1">
      <c r="B482" s="85"/>
      <c r="C482" s="63" t="s">
        <v>190</v>
      </c>
      <c r="D482" s="64">
        <v>1</v>
      </c>
      <c r="E482" s="65">
        <v>1.8099547511300001E-4</v>
      </c>
    </row>
    <row r="483" spans="2:5" ht="15" customHeight="1">
      <c r="B483" s="85"/>
      <c r="C483" s="63" t="s">
        <v>240</v>
      </c>
      <c r="D483" s="64">
        <v>1</v>
      </c>
      <c r="E483" s="65">
        <v>1.8099547511300001E-4</v>
      </c>
    </row>
    <row r="484" spans="2:5" ht="15" customHeight="1">
      <c r="B484" s="85"/>
      <c r="C484" s="63" t="s">
        <v>230</v>
      </c>
      <c r="D484" s="64">
        <v>1</v>
      </c>
      <c r="E484" s="65">
        <v>1.8099547511300001E-4</v>
      </c>
    </row>
    <row r="485" spans="2:5" ht="15" customHeight="1">
      <c r="B485" s="85"/>
      <c r="C485" s="63" t="s">
        <v>232</v>
      </c>
      <c r="D485" s="64">
        <v>2</v>
      </c>
      <c r="E485" s="65">
        <v>3.6199095022600001E-4</v>
      </c>
    </row>
    <row r="486" spans="2:5" ht="15" customHeight="1">
      <c r="B486" s="85"/>
      <c r="C486" s="63" t="s">
        <v>194</v>
      </c>
      <c r="D486" s="64">
        <v>1</v>
      </c>
      <c r="E486" s="65">
        <v>1.8099547511300001E-4</v>
      </c>
    </row>
    <row r="487" spans="2:5" ht="15" customHeight="1">
      <c r="B487" s="85"/>
      <c r="C487" s="63" t="s">
        <v>234</v>
      </c>
      <c r="D487" s="64">
        <v>1</v>
      </c>
      <c r="E487" s="65">
        <v>1.8099547511300001E-4</v>
      </c>
    </row>
    <row r="488" spans="2:5" ht="15" customHeight="1">
      <c r="B488" s="85"/>
      <c r="C488" s="63" t="s">
        <v>195</v>
      </c>
      <c r="D488" s="64">
        <v>15</v>
      </c>
      <c r="E488" s="65">
        <v>2.7149321266969999E-3</v>
      </c>
    </row>
    <row r="489" spans="2:5" ht="15" customHeight="1">
      <c r="B489" s="85"/>
      <c r="C489" s="63" t="s">
        <v>235</v>
      </c>
      <c r="D489" s="64">
        <v>1</v>
      </c>
      <c r="E489" s="65">
        <v>1.8099547511300001E-4</v>
      </c>
    </row>
    <row r="490" spans="2:5" ht="15" customHeight="1">
      <c r="B490" s="85"/>
      <c r="C490" s="63" t="s">
        <v>201</v>
      </c>
      <c r="D490" s="64">
        <v>1</v>
      </c>
      <c r="E490" s="65">
        <v>1.8099547511300001E-4</v>
      </c>
    </row>
    <row r="491" spans="2:5" ht="15" customHeight="1">
      <c r="B491" s="85"/>
      <c r="C491" s="63" t="s">
        <v>202</v>
      </c>
      <c r="D491" s="64">
        <v>1</v>
      </c>
      <c r="E491" s="65">
        <v>1.8099547511300001E-4</v>
      </c>
    </row>
    <row r="492" spans="2:5" ht="15" customHeight="1">
      <c r="B492" s="85"/>
      <c r="C492" s="63" t="s">
        <v>203</v>
      </c>
      <c r="D492" s="64">
        <v>1</v>
      </c>
      <c r="E492" s="65">
        <v>1.8099547511300001E-4</v>
      </c>
    </row>
    <row r="493" spans="2:5" ht="15" customHeight="1">
      <c r="B493" s="85"/>
      <c r="C493" s="63" t="s">
        <v>236</v>
      </c>
      <c r="D493" s="64">
        <v>1</v>
      </c>
      <c r="E493" s="65">
        <v>1.8099547511300001E-4</v>
      </c>
    </row>
    <row r="494" spans="2:5" ht="15" customHeight="1">
      <c r="B494" s="86"/>
      <c r="C494" s="36" t="s">
        <v>29</v>
      </c>
      <c r="D494" s="35">
        <v>70</v>
      </c>
      <c r="E494" s="34">
        <v>1.2669683257919E-2</v>
      </c>
    </row>
    <row r="495" spans="2:5" ht="15" customHeight="1">
      <c r="B495" s="84" t="s">
        <v>118</v>
      </c>
      <c r="C495" s="63" t="s">
        <v>210</v>
      </c>
      <c r="D495" s="64">
        <v>4</v>
      </c>
      <c r="E495" s="65">
        <v>7.2398190045200002E-4</v>
      </c>
    </row>
    <row r="496" spans="2:5" ht="15" customHeight="1">
      <c r="B496" s="85"/>
      <c r="C496" s="63" t="s">
        <v>182</v>
      </c>
      <c r="D496" s="64">
        <v>6</v>
      </c>
      <c r="E496" s="65">
        <v>1.0859728506790001E-3</v>
      </c>
    </row>
    <row r="497" spans="2:5" ht="15" customHeight="1">
      <c r="B497" s="85"/>
      <c r="C497" s="63" t="s">
        <v>183</v>
      </c>
      <c r="D497" s="64">
        <v>1</v>
      </c>
      <c r="E497" s="65">
        <v>1.8099547511300001E-4</v>
      </c>
    </row>
    <row r="498" spans="2:5" ht="15" customHeight="1">
      <c r="B498" s="85"/>
      <c r="C498" s="63" t="s">
        <v>214</v>
      </c>
      <c r="D498" s="64">
        <v>1</v>
      </c>
      <c r="E498" s="65">
        <v>1.8099547511300001E-4</v>
      </c>
    </row>
    <row r="499" spans="2:5" ht="15" customHeight="1">
      <c r="B499" s="85"/>
      <c r="C499" s="63" t="s">
        <v>184</v>
      </c>
      <c r="D499" s="64">
        <v>5</v>
      </c>
      <c r="E499" s="65">
        <v>9.0497737556600002E-4</v>
      </c>
    </row>
    <row r="500" spans="2:5" ht="15" customHeight="1">
      <c r="B500" s="85"/>
      <c r="C500" s="63" t="s">
        <v>185</v>
      </c>
      <c r="D500" s="64">
        <v>23</v>
      </c>
      <c r="E500" s="65">
        <v>4.1628959276020002E-3</v>
      </c>
    </row>
    <row r="501" spans="2:5" ht="15" customHeight="1">
      <c r="B501" s="85"/>
      <c r="C501" s="63" t="s">
        <v>197</v>
      </c>
      <c r="D501" s="64">
        <v>4</v>
      </c>
      <c r="E501" s="65">
        <v>7.2398190045200002E-4</v>
      </c>
    </row>
    <row r="502" spans="2:5" ht="15" customHeight="1">
      <c r="B502" s="85"/>
      <c r="C502" s="63" t="s">
        <v>215</v>
      </c>
      <c r="D502" s="64">
        <v>2</v>
      </c>
      <c r="E502" s="65">
        <v>3.6199095022600001E-4</v>
      </c>
    </row>
    <row r="503" spans="2:5" ht="15" customHeight="1">
      <c r="B503" s="85"/>
      <c r="C503" s="63" t="s">
        <v>241</v>
      </c>
      <c r="D503" s="64">
        <v>1</v>
      </c>
      <c r="E503" s="65">
        <v>1.8099547511300001E-4</v>
      </c>
    </row>
    <row r="504" spans="2:5" ht="15" customHeight="1">
      <c r="B504" s="85"/>
      <c r="C504" s="63" t="s">
        <v>216</v>
      </c>
      <c r="D504" s="64">
        <v>10</v>
      </c>
      <c r="E504" s="65">
        <v>1.809954751131E-3</v>
      </c>
    </row>
    <row r="505" spans="2:5" ht="15" customHeight="1">
      <c r="B505" s="85"/>
      <c r="C505" s="63" t="s">
        <v>186</v>
      </c>
      <c r="D505" s="64">
        <v>8</v>
      </c>
      <c r="E505" s="65">
        <v>1.4479638009049999E-3</v>
      </c>
    </row>
    <row r="506" spans="2:5" ht="15" customHeight="1">
      <c r="B506" s="85"/>
      <c r="C506" s="63" t="s">
        <v>218</v>
      </c>
      <c r="D506" s="64">
        <v>5</v>
      </c>
      <c r="E506" s="65">
        <v>9.0497737556600002E-4</v>
      </c>
    </row>
    <row r="507" spans="2:5" ht="15" customHeight="1">
      <c r="B507" s="85"/>
      <c r="C507" s="63" t="s">
        <v>187</v>
      </c>
      <c r="D507" s="64">
        <v>30</v>
      </c>
      <c r="E507" s="65">
        <v>5.4298642533939998E-3</v>
      </c>
    </row>
    <row r="508" spans="2:5" ht="15" customHeight="1">
      <c r="B508" s="85"/>
      <c r="C508" s="63" t="s">
        <v>200</v>
      </c>
      <c r="D508" s="64">
        <v>20</v>
      </c>
      <c r="E508" s="65">
        <v>3.6199095022619999E-3</v>
      </c>
    </row>
    <row r="509" spans="2:5" ht="15" customHeight="1">
      <c r="B509" s="85"/>
      <c r="C509" s="63" t="s">
        <v>220</v>
      </c>
      <c r="D509" s="64">
        <v>1</v>
      </c>
      <c r="E509" s="65">
        <v>1.8099547511300001E-4</v>
      </c>
    </row>
    <row r="510" spans="2:5" ht="15" customHeight="1">
      <c r="B510" s="85"/>
      <c r="C510" s="63" t="s">
        <v>206</v>
      </c>
      <c r="D510" s="64">
        <v>16</v>
      </c>
      <c r="E510" s="65">
        <v>2.8959276018099998E-3</v>
      </c>
    </row>
    <row r="511" spans="2:5" ht="15" customHeight="1">
      <c r="B511" s="85"/>
      <c r="C511" s="63" t="s">
        <v>207</v>
      </c>
      <c r="D511" s="64">
        <v>2</v>
      </c>
      <c r="E511" s="65">
        <v>3.6199095022600001E-4</v>
      </c>
    </row>
    <row r="512" spans="2:5" ht="15" customHeight="1">
      <c r="B512" s="85"/>
      <c r="C512" s="63" t="s">
        <v>221</v>
      </c>
      <c r="D512" s="64">
        <v>15</v>
      </c>
      <c r="E512" s="65">
        <v>2.7149321266969999E-3</v>
      </c>
    </row>
    <row r="513" spans="2:5" ht="15" customHeight="1">
      <c r="B513" s="85"/>
      <c r="C513" s="63" t="s">
        <v>222</v>
      </c>
      <c r="D513" s="64">
        <v>1</v>
      </c>
      <c r="E513" s="65">
        <v>1.8099547511300001E-4</v>
      </c>
    </row>
    <row r="514" spans="2:5" ht="15" customHeight="1">
      <c r="B514" s="85"/>
      <c r="C514" s="63" t="s">
        <v>190</v>
      </c>
      <c r="D514" s="64">
        <v>9</v>
      </c>
      <c r="E514" s="65">
        <v>1.628959276018E-3</v>
      </c>
    </row>
    <row r="515" spans="2:5" ht="15" customHeight="1">
      <c r="B515" s="85"/>
      <c r="C515" s="63" t="s">
        <v>229</v>
      </c>
      <c r="D515" s="64">
        <v>13</v>
      </c>
      <c r="E515" s="65">
        <v>2.352941176471E-3</v>
      </c>
    </row>
    <row r="516" spans="2:5" ht="15" customHeight="1">
      <c r="B516" s="85"/>
      <c r="C516" s="63" t="s">
        <v>230</v>
      </c>
      <c r="D516" s="64">
        <v>1</v>
      </c>
      <c r="E516" s="65">
        <v>1.8099547511300001E-4</v>
      </c>
    </row>
    <row r="517" spans="2:5" ht="15" customHeight="1">
      <c r="B517" s="85"/>
      <c r="C517" s="63" t="s">
        <v>231</v>
      </c>
      <c r="D517" s="64">
        <v>1</v>
      </c>
      <c r="E517" s="65">
        <v>1.8099547511300001E-4</v>
      </c>
    </row>
    <row r="518" spans="2:5" ht="15" customHeight="1">
      <c r="B518" s="85"/>
      <c r="C518" s="63" t="s">
        <v>232</v>
      </c>
      <c r="D518" s="64">
        <v>24</v>
      </c>
      <c r="E518" s="65">
        <v>4.3438914027150001E-3</v>
      </c>
    </row>
    <row r="519" spans="2:5" ht="15" customHeight="1">
      <c r="B519" s="85"/>
      <c r="C519" s="63" t="s">
        <v>191</v>
      </c>
      <c r="D519" s="64">
        <v>8</v>
      </c>
      <c r="E519" s="65">
        <v>1.4479638009049999E-3</v>
      </c>
    </row>
    <row r="520" spans="2:5" ht="15" customHeight="1">
      <c r="B520" s="85"/>
      <c r="C520" s="63" t="s">
        <v>233</v>
      </c>
      <c r="D520" s="64">
        <v>2</v>
      </c>
      <c r="E520" s="65">
        <v>3.6199095022600001E-4</v>
      </c>
    </row>
    <row r="521" spans="2:5" ht="15" customHeight="1">
      <c r="B521" s="85"/>
      <c r="C521" s="63" t="s">
        <v>192</v>
      </c>
      <c r="D521" s="64">
        <v>7</v>
      </c>
      <c r="E521" s="65">
        <v>1.266968325792E-3</v>
      </c>
    </row>
    <row r="522" spans="2:5" ht="15" customHeight="1">
      <c r="B522" s="85"/>
      <c r="C522" s="63" t="s">
        <v>193</v>
      </c>
      <c r="D522" s="64">
        <v>2</v>
      </c>
      <c r="E522" s="65">
        <v>3.6199095022600001E-4</v>
      </c>
    </row>
    <row r="523" spans="2:5" ht="15" customHeight="1">
      <c r="B523" s="85"/>
      <c r="C523" s="63" t="s">
        <v>194</v>
      </c>
      <c r="D523" s="64">
        <v>3</v>
      </c>
      <c r="E523" s="65">
        <v>5.4298642533899999E-4</v>
      </c>
    </row>
    <row r="524" spans="2:5" ht="15" customHeight="1">
      <c r="B524" s="85"/>
      <c r="C524" s="63" t="s">
        <v>234</v>
      </c>
      <c r="D524" s="64">
        <v>3</v>
      </c>
      <c r="E524" s="65">
        <v>5.4298642533899999E-4</v>
      </c>
    </row>
    <row r="525" spans="2:5" ht="15" customHeight="1">
      <c r="B525" s="85"/>
      <c r="C525" s="63" t="s">
        <v>195</v>
      </c>
      <c r="D525" s="64">
        <v>53</v>
      </c>
      <c r="E525" s="65">
        <v>9.5927601809950008E-3</v>
      </c>
    </row>
    <row r="526" spans="2:5" ht="15" customHeight="1">
      <c r="B526" s="85"/>
      <c r="C526" s="63" t="s">
        <v>196</v>
      </c>
      <c r="D526" s="64">
        <v>3</v>
      </c>
      <c r="E526" s="65">
        <v>5.4298642533899999E-4</v>
      </c>
    </row>
    <row r="527" spans="2:5" ht="15" customHeight="1">
      <c r="B527" s="85"/>
      <c r="C527" s="63" t="s">
        <v>208</v>
      </c>
      <c r="D527" s="64">
        <v>5</v>
      </c>
      <c r="E527" s="65">
        <v>9.0497737556600002E-4</v>
      </c>
    </row>
    <row r="528" spans="2:5" ht="15" customHeight="1">
      <c r="B528" s="85"/>
      <c r="C528" s="63" t="s">
        <v>209</v>
      </c>
      <c r="D528" s="64">
        <v>1</v>
      </c>
      <c r="E528" s="65">
        <v>1.8099547511300001E-4</v>
      </c>
    </row>
    <row r="529" spans="2:5" ht="15" customHeight="1">
      <c r="B529" s="85"/>
      <c r="C529" s="63" t="s">
        <v>201</v>
      </c>
      <c r="D529" s="64">
        <v>7</v>
      </c>
      <c r="E529" s="65">
        <v>1.266968325792E-3</v>
      </c>
    </row>
    <row r="530" spans="2:5" ht="15" customHeight="1">
      <c r="B530" s="85"/>
      <c r="C530" s="63" t="s">
        <v>202</v>
      </c>
      <c r="D530" s="64">
        <v>1</v>
      </c>
      <c r="E530" s="65">
        <v>1.8099547511300001E-4</v>
      </c>
    </row>
    <row r="531" spans="2:5" ht="15" customHeight="1">
      <c r="B531" s="85"/>
      <c r="C531" s="63" t="s">
        <v>203</v>
      </c>
      <c r="D531" s="64">
        <v>6</v>
      </c>
      <c r="E531" s="65">
        <v>1.0859728506790001E-3</v>
      </c>
    </row>
    <row r="532" spans="2:5" ht="15" customHeight="1">
      <c r="B532" s="85"/>
      <c r="C532" s="63" t="s">
        <v>204</v>
      </c>
      <c r="D532" s="64">
        <v>33</v>
      </c>
      <c r="E532" s="65">
        <v>5.9728506787330004E-3</v>
      </c>
    </row>
    <row r="533" spans="2:5" ht="15" customHeight="1">
      <c r="B533" s="86"/>
      <c r="C533" s="36" t="s">
        <v>29</v>
      </c>
      <c r="D533" s="35">
        <v>337</v>
      </c>
      <c r="E533" s="34">
        <v>6.0995475113121998E-2</v>
      </c>
    </row>
    <row r="534" spans="2:5" ht="15" customHeight="1">
      <c r="B534" s="84" t="s">
        <v>119</v>
      </c>
      <c r="C534" s="63" t="s">
        <v>211</v>
      </c>
      <c r="D534" s="64">
        <v>1</v>
      </c>
      <c r="E534" s="65">
        <v>1.8099547511300001E-4</v>
      </c>
    </row>
    <row r="535" spans="2:5" ht="15" customHeight="1">
      <c r="B535" s="85"/>
      <c r="C535" s="63" t="s">
        <v>183</v>
      </c>
      <c r="D535" s="64">
        <v>1</v>
      </c>
      <c r="E535" s="65">
        <v>1.8099547511300001E-4</v>
      </c>
    </row>
    <row r="536" spans="2:5" ht="15" customHeight="1">
      <c r="B536" s="85"/>
      <c r="C536" s="63" t="s">
        <v>185</v>
      </c>
      <c r="D536" s="64">
        <v>2</v>
      </c>
      <c r="E536" s="65">
        <v>3.6199095022600001E-4</v>
      </c>
    </row>
    <row r="537" spans="2:5" ht="15" customHeight="1">
      <c r="B537" s="85"/>
      <c r="C537" s="63" t="s">
        <v>197</v>
      </c>
      <c r="D537" s="64">
        <v>1</v>
      </c>
      <c r="E537" s="65">
        <v>1.8099547511300001E-4</v>
      </c>
    </row>
    <row r="538" spans="2:5" ht="15" customHeight="1">
      <c r="B538" s="85"/>
      <c r="C538" s="63" t="s">
        <v>186</v>
      </c>
      <c r="D538" s="64">
        <v>1</v>
      </c>
      <c r="E538" s="65">
        <v>1.8099547511300001E-4</v>
      </c>
    </row>
    <row r="539" spans="2:5" ht="15" customHeight="1">
      <c r="B539" s="85"/>
      <c r="C539" s="63" t="s">
        <v>206</v>
      </c>
      <c r="D539" s="64">
        <v>3</v>
      </c>
      <c r="E539" s="65">
        <v>5.4298642533899999E-4</v>
      </c>
    </row>
    <row r="540" spans="2:5" ht="15" customHeight="1">
      <c r="B540" s="85"/>
      <c r="C540" s="63" t="s">
        <v>207</v>
      </c>
      <c r="D540" s="64">
        <v>1</v>
      </c>
      <c r="E540" s="65">
        <v>1.8099547511300001E-4</v>
      </c>
    </row>
    <row r="541" spans="2:5" ht="15" customHeight="1">
      <c r="B541" s="85"/>
      <c r="C541" s="63" t="s">
        <v>195</v>
      </c>
      <c r="D541" s="64">
        <v>4</v>
      </c>
      <c r="E541" s="65">
        <v>7.2398190045200002E-4</v>
      </c>
    </row>
    <row r="542" spans="2:5" ht="15" customHeight="1">
      <c r="B542" s="85"/>
      <c r="C542" s="63" t="s">
        <v>235</v>
      </c>
      <c r="D542" s="64">
        <v>1</v>
      </c>
      <c r="E542" s="65">
        <v>1.8099547511300001E-4</v>
      </c>
    </row>
    <row r="543" spans="2:5" ht="15" customHeight="1">
      <c r="B543" s="85"/>
      <c r="C543" s="63" t="s">
        <v>202</v>
      </c>
      <c r="D543" s="64">
        <v>2</v>
      </c>
      <c r="E543" s="65">
        <v>3.6199095022600001E-4</v>
      </c>
    </row>
    <row r="544" spans="2:5" ht="15" customHeight="1">
      <c r="B544" s="85"/>
      <c r="C544" s="63" t="s">
        <v>203</v>
      </c>
      <c r="D544" s="64">
        <v>1</v>
      </c>
      <c r="E544" s="65">
        <v>1.8099547511300001E-4</v>
      </c>
    </row>
    <row r="545" spans="2:5" ht="15" customHeight="1">
      <c r="B545" s="86"/>
      <c r="C545" s="36" t="s">
        <v>29</v>
      </c>
      <c r="D545" s="35">
        <v>18</v>
      </c>
      <c r="E545" s="34">
        <v>3.2579185520360001E-3</v>
      </c>
    </row>
    <row r="546" spans="2:5" ht="15" customHeight="1">
      <c r="B546" s="84" t="s">
        <v>120</v>
      </c>
      <c r="C546" s="63" t="s">
        <v>210</v>
      </c>
      <c r="D546" s="64">
        <v>7</v>
      </c>
      <c r="E546" s="65">
        <v>1.266968325792E-3</v>
      </c>
    </row>
    <row r="547" spans="2:5" ht="15" customHeight="1">
      <c r="B547" s="85"/>
      <c r="C547" s="63" t="s">
        <v>211</v>
      </c>
      <c r="D547" s="64">
        <v>3</v>
      </c>
      <c r="E547" s="65">
        <v>5.4298642533899999E-4</v>
      </c>
    </row>
    <row r="548" spans="2:5" ht="15" customHeight="1">
      <c r="B548" s="85"/>
      <c r="C548" s="63" t="s">
        <v>212</v>
      </c>
      <c r="D548" s="64">
        <v>3</v>
      </c>
      <c r="E548" s="65">
        <v>5.4298642533899999E-4</v>
      </c>
    </row>
    <row r="549" spans="2:5" ht="15" customHeight="1">
      <c r="B549" s="85"/>
      <c r="C549" s="63" t="s">
        <v>182</v>
      </c>
      <c r="D549" s="64">
        <v>11</v>
      </c>
      <c r="E549" s="65">
        <v>1.9909502262440001E-3</v>
      </c>
    </row>
    <row r="550" spans="2:5" ht="15" customHeight="1">
      <c r="B550" s="85"/>
      <c r="C550" s="63" t="s">
        <v>213</v>
      </c>
      <c r="D550" s="64">
        <v>3</v>
      </c>
      <c r="E550" s="65">
        <v>5.4298642533899999E-4</v>
      </c>
    </row>
    <row r="551" spans="2:5" ht="15" customHeight="1">
      <c r="B551" s="85"/>
      <c r="C551" s="63" t="s">
        <v>214</v>
      </c>
      <c r="D551" s="64">
        <v>1</v>
      </c>
      <c r="E551" s="65">
        <v>1.8099547511300001E-4</v>
      </c>
    </row>
    <row r="552" spans="2:5" ht="15" customHeight="1">
      <c r="B552" s="85"/>
      <c r="C552" s="63" t="s">
        <v>184</v>
      </c>
      <c r="D552" s="64">
        <v>14</v>
      </c>
      <c r="E552" s="65">
        <v>2.533936651584E-3</v>
      </c>
    </row>
    <row r="553" spans="2:5" ht="15" customHeight="1">
      <c r="B553" s="85"/>
      <c r="C553" s="63" t="s">
        <v>185</v>
      </c>
      <c r="D553" s="64">
        <v>58</v>
      </c>
      <c r="E553" s="65">
        <v>1.0497737556561E-2</v>
      </c>
    </row>
    <row r="554" spans="2:5" ht="15" customHeight="1">
      <c r="B554" s="85"/>
      <c r="C554" s="63" t="s">
        <v>197</v>
      </c>
      <c r="D554" s="64">
        <v>12</v>
      </c>
      <c r="E554" s="65">
        <v>2.171945701357E-3</v>
      </c>
    </row>
    <row r="555" spans="2:5" ht="15" customHeight="1">
      <c r="B555" s="85"/>
      <c r="C555" s="63" t="s">
        <v>241</v>
      </c>
      <c r="D555" s="64">
        <v>1</v>
      </c>
      <c r="E555" s="65">
        <v>1.8099547511300001E-4</v>
      </c>
    </row>
    <row r="556" spans="2:5" ht="15" customHeight="1">
      <c r="B556" s="85"/>
      <c r="C556" s="63" t="s">
        <v>216</v>
      </c>
      <c r="D556" s="64">
        <v>9</v>
      </c>
      <c r="E556" s="65">
        <v>1.628959276018E-3</v>
      </c>
    </row>
    <row r="557" spans="2:5" ht="15" customHeight="1">
      <c r="B557" s="85"/>
      <c r="C557" s="63" t="s">
        <v>198</v>
      </c>
      <c r="D557" s="64">
        <v>4</v>
      </c>
      <c r="E557" s="65">
        <v>7.2398190045200002E-4</v>
      </c>
    </row>
    <row r="558" spans="2:5" ht="15" customHeight="1">
      <c r="B558" s="85"/>
      <c r="C558" s="63" t="s">
        <v>186</v>
      </c>
      <c r="D558" s="64">
        <v>24</v>
      </c>
      <c r="E558" s="65">
        <v>4.3438914027150001E-3</v>
      </c>
    </row>
    <row r="559" spans="2:5" ht="15" customHeight="1">
      <c r="B559" s="85"/>
      <c r="C559" s="63" t="s">
        <v>218</v>
      </c>
      <c r="D559" s="64">
        <v>8</v>
      </c>
      <c r="E559" s="65">
        <v>1.4479638009049999E-3</v>
      </c>
    </row>
    <row r="560" spans="2:5" ht="15" customHeight="1">
      <c r="B560" s="85"/>
      <c r="C560" s="63" t="s">
        <v>187</v>
      </c>
      <c r="D560" s="64">
        <v>60</v>
      </c>
      <c r="E560" s="65">
        <v>1.0859728506787E-2</v>
      </c>
    </row>
    <row r="561" spans="2:5" ht="15" customHeight="1">
      <c r="B561" s="85"/>
      <c r="C561" s="63" t="s">
        <v>219</v>
      </c>
      <c r="D561" s="64">
        <v>2</v>
      </c>
      <c r="E561" s="65">
        <v>3.6199095022600001E-4</v>
      </c>
    </row>
    <row r="562" spans="2:5" ht="15" customHeight="1">
      <c r="B562" s="85"/>
      <c r="C562" s="63" t="s">
        <v>188</v>
      </c>
      <c r="D562" s="64">
        <v>2</v>
      </c>
      <c r="E562" s="65">
        <v>3.6199095022600001E-4</v>
      </c>
    </row>
    <row r="563" spans="2:5" ht="15" customHeight="1">
      <c r="B563" s="85"/>
      <c r="C563" s="63" t="s">
        <v>200</v>
      </c>
      <c r="D563" s="64">
        <v>3</v>
      </c>
      <c r="E563" s="65">
        <v>5.4298642533899999E-4</v>
      </c>
    </row>
    <row r="564" spans="2:5" ht="15" customHeight="1">
      <c r="B564" s="85"/>
      <c r="C564" s="63" t="s">
        <v>189</v>
      </c>
      <c r="D564" s="64">
        <v>5</v>
      </c>
      <c r="E564" s="65">
        <v>9.0497737556600002E-4</v>
      </c>
    </row>
    <row r="565" spans="2:5" ht="15" customHeight="1">
      <c r="B565" s="85"/>
      <c r="C565" s="63" t="s">
        <v>206</v>
      </c>
      <c r="D565" s="64">
        <v>36</v>
      </c>
      <c r="E565" s="65">
        <v>6.5158371040720002E-3</v>
      </c>
    </row>
    <row r="566" spans="2:5" ht="15" customHeight="1">
      <c r="B566" s="85"/>
      <c r="C566" s="63" t="s">
        <v>207</v>
      </c>
      <c r="D566" s="64">
        <v>8</v>
      </c>
      <c r="E566" s="65">
        <v>1.4479638009049999E-3</v>
      </c>
    </row>
    <row r="567" spans="2:5" ht="15" customHeight="1">
      <c r="B567" s="85"/>
      <c r="C567" s="63" t="s">
        <v>221</v>
      </c>
      <c r="D567" s="64">
        <v>31</v>
      </c>
      <c r="E567" s="65">
        <v>5.6108597285069997E-3</v>
      </c>
    </row>
    <row r="568" spans="2:5" ht="15" customHeight="1">
      <c r="B568" s="85"/>
      <c r="C568" s="63" t="s">
        <v>222</v>
      </c>
      <c r="D568" s="64">
        <v>4</v>
      </c>
      <c r="E568" s="65">
        <v>7.2398190045200002E-4</v>
      </c>
    </row>
    <row r="569" spans="2:5" ht="15" customHeight="1">
      <c r="B569" s="85"/>
      <c r="C569" s="63" t="s">
        <v>223</v>
      </c>
      <c r="D569" s="64">
        <v>2</v>
      </c>
      <c r="E569" s="65">
        <v>3.6199095022600001E-4</v>
      </c>
    </row>
    <row r="570" spans="2:5" ht="15" customHeight="1">
      <c r="B570" s="85"/>
      <c r="C570" s="63" t="s">
        <v>224</v>
      </c>
      <c r="D570" s="64">
        <v>2</v>
      </c>
      <c r="E570" s="65">
        <v>3.6199095022600001E-4</v>
      </c>
    </row>
    <row r="571" spans="2:5" ht="15" customHeight="1">
      <c r="B571" s="85"/>
      <c r="C571" s="63" t="s">
        <v>190</v>
      </c>
      <c r="D571" s="64">
        <v>48</v>
      </c>
      <c r="E571" s="65">
        <v>8.6877828054300003E-3</v>
      </c>
    </row>
    <row r="572" spans="2:5" ht="15" customHeight="1">
      <c r="B572" s="85"/>
      <c r="C572" s="63" t="s">
        <v>240</v>
      </c>
      <c r="D572" s="64">
        <v>1</v>
      </c>
      <c r="E572" s="65">
        <v>1.8099547511300001E-4</v>
      </c>
    </row>
    <row r="573" spans="2:5" ht="15" customHeight="1">
      <c r="B573" s="85"/>
      <c r="C573" s="63" t="s">
        <v>228</v>
      </c>
      <c r="D573" s="64">
        <v>6</v>
      </c>
      <c r="E573" s="65">
        <v>1.0859728506790001E-3</v>
      </c>
    </row>
    <row r="574" spans="2:5" ht="15" customHeight="1">
      <c r="B574" s="85"/>
      <c r="C574" s="63" t="s">
        <v>229</v>
      </c>
      <c r="D574" s="64">
        <v>4</v>
      </c>
      <c r="E574" s="65">
        <v>7.2398190045200002E-4</v>
      </c>
    </row>
    <row r="575" spans="2:5" ht="15" customHeight="1">
      <c r="B575" s="85"/>
      <c r="C575" s="63" t="s">
        <v>230</v>
      </c>
      <c r="D575" s="64">
        <v>3</v>
      </c>
      <c r="E575" s="65">
        <v>5.4298642533899999E-4</v>
      </c>
    </row>
    <row r="576" spans="2:5" ht="15" customHeight="1">
      <c r="B576" s="85"/>
      <c r="C576" s="63" t="s">
        <v>232</v>
      </c>
      <c r="D576" s="64">
        <v>44</v>
      </c>
      <c r="E576" s="65">
        <v>7.9638009049769996E-3</v>
      </c>
    </row>
    <row r="577" spans="2:5" ht="15" customHeight="1">
      <c r="B577" s="85"/>
      <c r="C577" s="63" t="s">
        <v>191</v>
      </c>
      <c r="D577" s="64">
        <v>38</v>
      </c>
      <c r="E577" s="65">
        <v>6.8778280542990001E-3</v>
      </c>
    </row>
    <row r="578" spans="2:5" ht="15" customHeight="1">
      <c r="B578" s="85"/>
      <c r="C578" s="63" t="s">
        <v>233</v>
      </c>
      <c r="D578" s="64">
        <v>3</v>
      </c>
      <c r="E578" s="65">
        <v>5.4298642533899999E-4</v>
      </c>
    </row>
    <row r="579" spans="2:5" ht="15" customHeight="1">
      <c r="B579" s="85"/>
      <c r="C579" s="63" t="s">
        <v>192</v>
      </c>
      <c r="D579" s="64">
        <v>22</v>
      </c>
      <c r="E579" s="65">
        <v>3.9819004524890003E-3</v>
      </c>
    </row>
    <row r="580" spans="2:5" ht="15" customHeight="1">
      <c r="B580" s="85"/>
      <c r="C580" s="63" t="s">
        <v>193</v>
      </c>
      <c r="D580" s="64">
        <v>11</v>
      </c>
      <c r="E580" s="65">
        <v>1.9909502262440001E-3</v>
      </c>
    </row>
    <row r="581" spans="2:5" ht="15" customHeight="1">
      <c r="B581" s="85"/>
      <c r="C581" s="63" t="s">
        <v>194</v>
      </c>
      <c r="D581" s="64">
        <v>1</v>
      </c>
      <c r="E581" s="65">
        <v>1.8099547511300001E-4</v>
      </c>
    </row>
    <row r="582" spans="2:5" ht="15" customHeight="1">
      <c r="B582" s="85"/>
      <c r="C582" s="63" t="s">
        <v>234</v>
      </c>
      <c r="D582" s="64">
        <v>11</v>
      </c>
      <c r="E582" s="65">
        <v>1.9909502262440001E-3</v>
      </c>
    </row>
    <row r="583" spans="2:5" ht="15" customHeight="1">
      <c r="B583" s="85"/>
      <c r="C583" s="63" t="s">
        <v>195</v>
      </c>
      <c r="D583" s="64">
        <v>156</v>
      </c>
      <c r="E583" s="65">
        <v>2.8235294117647001E-2</v>
      </c>
    </row>
    <row r="584" spans="2:5" ht="15" customHeight="1">
      <c r="B584" s="85"/>
      <c r="C584" s="63" t="s">
        <v>196</v>
      </c>
      <c r="D584" s="64">
        <v>13</v>
      </c>
      <c r="E584" s="65">
        <v>2.352941176471E-3</v>
      </c>
    </row>
    <row r="585" spans="2:5" ht="15" customHeight="1">
      <c r="B585" s="85"/>
      <c r="C585" s="63" t="s">
        <v>208</v>
      </c>
      <c r="D585" s="64">
        <v>1</v>
      </c>
      <c r="E585" s="65">
        <v>1.8099547511300001E-4</v>
      </c>
    </row>
    <row r="586" spans="2:5" ht="15" customHeight="1">
      <c r="B586" s="85"/>
      <c r="C586" s="63" t="s">
        <v>235</v>
      </c>
      <c r="D586" s="64">
        <v>3</v>
      </c>
      <c r="E586" s="65">
        <v>5.4298642533899999E-4</v>
      </c>
    </row>
    <row r="587" spans="2:5" ht="15" customHeight="1">
      <c r="B587" s="85"/>
      <c r="C587" s="63" t="s">
        <v>209</v>
      </c>
      <c r="D587" s="64">
        <v>5</v>
      </c>
      <c r="E587" s="65">
        <v>9.0497737556600002E-4</v>
      </c>
    </row>
    <row r="588" spans="2:5" ht="15" customHeight="1">
      <c r="B588" s="85"/>
      <c r="C588" s="63" t="s">
        <v>201</v>
      </c>
      <c r="D588" s="64">
        <v>3</v>
      </c>
      <c r="E588" s="65">
        <v>5.4298642533899999E-4</v>
      </c>
    </row>
    <row r="589" spans="2:5" ht="15" customHeight="1">
      <c r="B589" s="85"/>
      <c r="C589" s="63" t="s">
        <v>203</v>
      </c>
      <c r="D589" s="64">
        <v>7</v>
      </c>
      <c r="E589" s="65">
        <v>1.266968325792E-3</v>
      </c>
    </row>
    <row r="590" spans="2:5" ht="15" customHeight="1">
      <c r="B590" s="85"/>
      <c r="C590" s="63" t="s">
        <v>236</v>
      </c>
      <c r="D590" s="64">
        <v>2</v>
      </c>
      <c r="E590" s="65">
        <v>3.6199095022600001E-4</v>
      </c>
    </row>
    <row r="591" spans="2:5" ht="15" customHeight="1">
      <c r="B591" s="85"/>
      <c r="C591" s="63" t="s">
        <v>204</v>
      </c>
      <c r="D591" s="64">
        <v>116</v>
      </c>
      <c r="E591" s="65">
        <v>2.0995475113122001E-2</v>
      </c>
    </row>
    <row r="592" spans="2:5" ht="15" customHeight="1">
      <c r="B592" s="85"/>
      <c r="C592" s="63" t="s">
        <v>205</v>
      </c>
      <c r="D592" s="64">
        <v>2</v>
      </c>
      <c r="E592" s="65">
        <v>3.6199095022600001E-4</v>
      </c>
    </row>
    <row r="593" spans="2:5" ht="15" customHeight="1">
      <c r="B593" s="86"/>
      <c r="C593" s="36" t="s">
        <v>29</v>
      </c>
      <c r="D593" s="35">
        <v>813</v>
      </c>
      <c r="E593" s="34">
        <v>0.147149321266968</v>
      </c>
    </row>
    <row r="594" spans="2:5" ht="15" customHeight="1">
      <c r="B594" s="84" t="s">
        <v>121</v>
      </c>
      <c r="C594" s="63" t="s">
        <v>212</v>
      </c>
      <c r="D594" s="64">
        <v>1</v>
      </c>
      <c r="E594" s="65">
        <v>1.8099547511300001E-4</v>
      </c>
    </row>
    <row r="595" spans="2:5" ht="15" customHeight="1">
      <c r="B595" s="85"/>
      <c r="C595" s="63" t="s">
        <v>182</v>
      </c>
      <c r="D595" s="64">
        <v>4</v>
      </c>
      <c r="E595" s="65">
        <v>7.2398190045200002E-4</v>
      </c>
    </row>
    <row r="596" spans="2:5" ht="15" customHeight="1">
      <c r="B596" s="85"/>
      <c r="C596" s="63" t="s">
        <v>183</v>
      </c>
      <c r="D596" s="64">
        <v>1</v>
      </c>
      <c r="E596" s="65">
        <v>1.8099547511300001E-4</v>
      </c>
    </row>
    <row r="597" spans="2:5" ht="15" customHeight="1">
      <c r="B597" s="85"/>
      <c r="C597" s="63" t="s">
        <v>213</v>
      </c>
      <c r="D597" s="64">
        <v>1</v>
      </c>
      <c r="E597" s="65">
        <v>1.8099547511300001E-4</v>
      </c>
    </row>
    <row r="598" spans="2:5" ht="15" customHeight="1">
      <c r="B598" s="85"/>
      <c r="C598" s="63" t="s">
        <v>184</v>
      </c>
      <c r="D598" s="64">
        <v>7</v>
      </c>
      <c r="E598" s="65">
        <v>1.266968325792E-3</v>
      </c>
    </row>
    <row r="599" spans="2:5" ht="15" customHeight="1">
      <c r="B599" s="85"/>
      <c r="C599" s="63" t="s">
        <v>185</v>
      </c>
      <c r="D599" s="64">
        <v>2</v>
      </c>
      <c r="E599" s="65">
        <v>3.6199095022600001E-4</v>
      </c>
    </row>
    <row r="600" spans="2:5" ht="15" customHeight="1">
      <c r="B600" s="85"/>
      <c r="C600" s="63" t="s">
        <v>215</v>
      </c>
      <c r="D600" s="64">
        <v>1</v>
      </c>
      <c r="E600" s="65">
        <v>1.8099547511300001E-4</v>
      </c>
    </row>
    <row r="601" spans="2:5" ht="15" customHeight="1">
      <c r="B601" s="85"/>
      <c r="C601" s="63" t="s">
        <v>216</v>
      </c>
      <c r="D601" s="64">
        <v>2</v>
      </c>
      <c r="E601" s="65">
        <v>3.6199095022600001E-4</v>
      </c>
    </row>
    <row r="602" spans="2:5" ht="15" customHeight="1">
      <c r="B602" s="85"/>
      <c r="C602" s="63" t="s">
        <v>198</v>
      </c>
      <c r="D602" s="64">
        <v>1</v>
      </c>
      <c r="E602" s="65">
        <v>1.8099547511300001E-4</v>
      </c>
    </row>
    <row r="603" spans="2:5" ht="15" customHeight="1">
      <c r="B603" s="85"/>
      <c r="C603" s="63" t="s">
        <v>186</v>
      </c>
      <c r="D603" s="64">
        <v>7</v>
      </c>
      <c r="E603" s="65">
        <v>1.266968325792E-3</v>
      </c>
    </row>
    <row r="604" spans="2:5" ht="15" customHeight="1">
      <c r="B604" s="85"/>
      <c r="C604" s="63" t="s">
        <v>218</v>
      </c>
      <c r="D604" s="64">
        <v>3</v>
      </c>
      <c r="E604" s="65">
        <v>5.4298642533899999E-4</v>
      </c>
    </row>
    <row r="605" spans="2:5" ht="15" customHeight="1">
      <c r="B605" s="85"/>
      <c r="C605" s="63" t="s">
        <v>187</v>
      </c>
      <c r="D605" s="64">
        <v>2</v>
      </c>
      <c r="E605" s="65">
        <v>3.6199095022600001E-4</v>
      </c>
    </row>
    <row r="606" spans="2:5" ht="15" customHeight="1">
      <c r="B606" s="85"/>
      <c r="C606" s="63" t="s">
        <v>219</v>
      </c>
      <c r="D606" s="64">
        <v>3</v>
      </c>
      <c r="E606" s="65">
        <v>5.4298642533899999E-4</v>
      </c>
    </row>
    <row r="607" spans="2:5" ht="15" customHeight="1">
      <c r="B607" s="85"/>
      <c r="C607" s="63" t="s">
        <v>220</v>
      </c>
      <c r="D607" s="64">
        <v>1</v>
      </c>
      <c r="E607" s="65">
        <v>1.8099547511300001E-4</v>
      </c>
    </row>
    <row r="608" spans="2:5" ht="15" customHeight="1">
      <c r="B608" s="85"/>
      <c r="C608" s="63" t="s">
        <v>189</v>
      </c>
      <c r="D608" s="64">
        <v>1</v>
      </c>
      <c r="E608" s="65">
        <v>1.8099547511300001E-4</v>
      </c>
    </row>
    <row r="609" spans="2:5" ht="15" customHeight="1">
      <c r="B609" s="85"/>
      <c r="C609" s="63" t="s">
        <v>206</v>
      </c>
      <c r="D609" s="64">
        <v>5</v>
      </c>
      <c r="E609" s="65">
        <v>9.0497737556600002E-4</v>
      </c>
    </row>
    <row r="610" spans="2:5" ht="15" customHeight="1">
      <c r="B610" s="85"/>
      <c r="C610" s="63" t="s">
        <v>207</v>
      </c>
      <c r="D610" s="64">
        <v>2</v>
      </c>
      <c r="E610" s="65">
        <v>3.6199095022600001E-4</v>
      </c>
    </row>
    <row r="611" spans="2:5" ht="15" customHeight="1">
      <c r="B611" s="85"/>
      <c r="C611" s="63" t="s">
        <v>190</v>
      </c>
      <c r="D611" s="64">
        <v>5</v>
      </c>
      <c r="E611" s="65">
        <v>9.0497737556600002E-4</v>
      </c>
    </row>
    <row r="612" spans="2:5" ht="15" customHeight="1">
      <c r="B612" s="85"/>
      <c r="C612" s="63" t="s">
        <v>230</v>
      </c>
      <c r="D612" s="64">
        <v>1</v>
      </c>
      <c r="E612" s="65">
        <v>1.8099547511300001E-4</v>
      </c>
    </row>
    <row r="613" spans="2:5" ht="15" customHeight="1">
      <c r="B613" s="85"/>
      <c r="C613" s="63" t="s">
        <v>232</v>
      </c>
      <c r="D613" s="64">
        <v>2</v>
      </c>
      <c r="E613" s="65">
        <v>3.6199095022600001E-4</v>
      </c>
    </row>
    <row r="614" spans="2:5" ht="15" customHeight="1">
      <c r="B614" s="85"/>
      <c r="C614" s="63" t="s">
        <v>191</v>
      </c>
      <c r="D614" s="64">
        <v>1</v>
      </c>
      <c r="E614" s="65">
        <v>1.8099547511300001E-4</v>
      </c>
    </row>
    <row r="615" spans="2:5" ht="15" customHeight="1">
      <c r="B615" s="85"/>
      <c r="C615" s="63" t="s">
        <v>233</v>
      </c>
      <c r="D615" s="64">
        <v>2</v>
      </c>
      <c r="E615" s="65">
        <v>3.6199095022600001E-4</v>
      </c>
    </row>
    <row r="616" spans="2:5" ht="15" customHeight="1">
      <c r="B616" s="85"/>
      <c r="C616" s="63" t="s">
        <v>193</v>
      </c>
      <c r="D616" s="64">
        <v>2</v>
      </c>
      <c r="E616" s="65">
        <v>3.6199095022600001E-4</v>
      </c>
    </row>
    <row r="617" spans="2:5" ht="15" customHeight="1">
      <c r="B617" s="85"/>
      <c r="C617" s="63" t="s">
        <v>234</v>
      </c>
      <c r="D617" s="64">
        <v>2</v>
      </c>
      <c r="E617" s="65">
        <v>3.6199095022600001E-4</v>
      </c>
    </row>
    <row r="618" spans="2:5" ht="15" customHeight="1">
      <c r="B618" s="85"/>
      <c r="C618" s="63" t="s">
        <v>195</v>
      </c>
      <c r="D618" s="64">
        <v>18</v>
      </c>
      <c r="E618" s="65">
        <v>3.2579185520360001E-3</v>
      </c>
    </row>
    <row r="619" spans="2:5" ht="15" customHeight="1">
      <c r="B619" s="85"/>
      <c r="C619" s="63" t="s">
        <v>196</v>
      </c>
      <c r="D619" s="64">
        <v>4</v>
      </c>
      <c r="E619" s="65">
        <v>7.2398190045200002E-4</v>
      </c>
    </row>
    <row r="620" spans="2:5" ht="15" customHeight="1">
      <c r="B620" s="85"/>
      <c r="C620" s="63" t="s">
        <v>201</v>
      </c>
      <c r="D620" s="64">
        <v>4</v>
      </c>
      <c r="E620" s="65">
        <v>7.2398190045200002E-4</v>
      </c>
    </row>
    <row r="621" spans="2:5" ht="15" customHeight="1">
      <c r="B621" s="85"/>
      <c r="C621" s="63" t="s">
        <v>202</v>
      </c>
      <c r="D621" s="64">
        <v>4</v>
      </c>
      <c r="E621" s="65">
        <v>7.2398190045200002E-4</v>
      </c>
    </row>
    <row r="622" spans="2:5" ht="15" customHeight="1">
      <c r="B622" s="85"/>
      <c r="C622" s="63" t="s">
        <v>203</v>
      </c>
      <c r="D622" s="64">
        <v>5</v>
      </c>
      <c r="E622" s="65">
        <v>9.0497737556600002E-4</v>
      </c>
    </row>
    <row r="623" spans="2:5" ht="15" customHeight="1">
      <c r="B623" s="85"/>
      <c r="C623" s="63" t="s">
        <v>204</v>
      </c>
      <c r="D623" s="64">
        <v>3</v>
      </c>
      <c r="E623" s="65">
        <v>5.4298642533899999E-4</v>
      </c>
    </row>
    <row r="624" spans="2:5" ht="15" customHeight="1">
      <c r="B624" s="86"/>
      <c r="C624" s="36" t="s">
        <v>29</v>
      </c>
      <c r="D624" s="35">
        <v>97</v>
      </c>
      <c r="E624" s="34">
        <v>1.7556561085973001E-2</v>
      </c>
    </row>
    <row r="625" spans="2:5" ht="15" customHeight="1">
      <c r="B625" s="84" t="s">
        <v>122</v>
      </c>
      <c r="C625" s="63" t="s">
        <v>195</v>
      </c>
      <c r="D625" s="64">
        <v>1</v>
      </c>
      <c r="E625" s="65">
        <v>1.8099547511300001E-4</v>
      </c>
    </row>
    <row r="626" spans="2:5" ht="15" customHeight="1">
      <c r="B626" s="86"/>
      <c r="C626" s="36" t="s">
        <v>29</v>
      </c>
      <c r="D626" s="35">
        <v>1</v>
      </c>
      <c r="E626" s="34">
        <v>1.8099547511300001E-4</v>
      </c>
    </row>
    <row r="627" spans="2:5" ht="15" customHeight="1">
      <c r="B627" s="84" t="s">
        <v>123</v>
      </c>
      <c r="C627" s="63" t="s">
        <v>182</v>
      </c>
      <c r="D627" s="64">
        <v>3</v>
      </c>
      <c r="E627" s="65">
        <v>5.4298642533899999E-4</v>
      </c>
    </row>
    <row r="628" spans="2:5" ht="15" customHeight="1">
      <c r="B628" s="85"/>
      <c r="C628" s="63" t="s">
        <v>184</v>
      </c>
      <c r="D628" s="64">
        <v>4</v>
      </c>
      <c r="E628" s="65">
        <v>7.2398190045200002E-4</v>
      </c>
    </row>
    <row r="629" spans="2:5" ht="15" customHeight="1">
      <c r="B629" s="85"/>
      <c r="C629" s="63" t="s">
        <v>185</v>
      </c>
      <c r="D629" s="64">
        <v>3</v>
      </c>
      <c r="E629" s="65">
        <v>5.4298642533899999E-4</v>
      </c>
    </row>
    <row r="630" spans="2:5" ht="15" customHeight="1">
      <c r="B630" s="85"/>
      <c r="C630" s="63" t="s">
        <v>186</v>
      </c>
      <c r="D630" s="64">
        <v>3</v>
      </c>
      <c r="E630" s="65">
        <v>5.4298642533899999E-4</v>
      </c>
    </row>
    <row r="631" spans="2:5" ht="15" customHeight="1">
      <c r="B631" s="85"/>
      <c r="C631" s="63" t="s">
        <v>199</v>
      </c>
      <c r="D631" s="64">
        <v>1</v>
      </c>
      <c r="E631" s="65">
        <v>1.8099547511300001E-4</v>
      </c>
    </row>
    <row r="632" spans="2:5" ht="15" customHeight="1">
      <c r="B632" s="85"/>
      <c r="C632" s="63" t="s">
        <v>190</v>
      </c>
      <c r="D632" s="64">
        <v>1</v>
      </c>
      <c r="E632" s="65">
        <v>1.8099547511300001E-4</v>
      </c>
    </row>
    <row r="633" spans="2:5" ht="15" customHeight="1">
      <c r="B633" s="85"/>
      <c r="C633" s="63" t="s">
        <v>227</v>
      </c>
      <c r="D633" s="64">
        <v>1</v>
      </c>
      <c r="E633" s="65">
        <v>1.8099547511300001E-4</v>
      </c>
    </row>
    <row r="634" spans="2:5" ht="15" customHeight="1">
      <c r="B634" s="85"/>
      <c r="C634" s="63" t="s">
        <v>193</v>
      </c>
      <c r="D634" s="64">
        <v>1</v>
      </c>
      <c r="E634" s="65">
        <v>1.8099547511300001E-4</v>
      </c>
    </row>
    <row r="635" spans="2:5" ht="15" customHeight="1">
      <c r="B635" s="85"/>
      <c r="C635" s="63" t="s">
        <v>194</v>
      </c>
      <c r="D635" s="64">
        <v>1</v>
      </c>
      <c r="E635" s="65">
        <v>1.8099547511300001E-4</v>
      </c>
    </row>
    <row r="636" spans="2:5" ht="15" customHeight="1">
      <c r="B636" s="85"/>
      <c r="C636" s="63" t="s">
        <v>195</v>
      </c>
      <c r="D636" s="64">
        <v>4</v>
      </c>
      <c r="E636" s="65">
        <v>7.2398190045200002E-4</v>
      </c>
    </row>
    <row r="637" spans="2:5" ht="15" customHeight="1">
      <c r="B637" s="85"/>
      <c r="C637" s="63" t="s">
        <v>204</v>
      </c>
      <c r="D637" s="64">
        <v>2</v>
      </c>
      <c r="E637" s="65">
        <v>3.6199095022600001E-4</v>
      </c>
    </row>
    <row r="638" spans="2:5" ht="15" customHeight="1">
      <c r="B638" s="86"/>
      <c r="C638" s="36" t="s">
        <v>29</v>
      </c>
      <c r="D638" s="35">
        <v>24</v>
      </c>
      <c r="E638" s="34">
        <v>4.3438914027150001E-3</v>
      </c>
    </row>
    <row r="639" spans="2:5" ht="15" customHeight="1">
      <c r="B639" s="84" t="s">
        <v>124</v>
      </c>
      <c r="C639" s="63" t="s">
        <v>212</v>
      </c>
      <c r="D639" s="64">
        <v>2</v>
      </c>
      <c r="E639" s="65">
        <v>3.6199095022600001E-4</v>
      </c>
    </row>
    <row r="640" spans="2:5" ht="15" customHeight="1">
      <c r="B640" s="85"/>
      <c r="C640" s="63" t="s">
        <v>182</v>
      </c>
      <c r="D640" s="64">
        <v>1</v>
      </c>
      <c r="E640" s="65">
        <v>1.8099547511300001E-4</v>
      </c>
    </row>
    <row r="641" spans="2:5" ht="15" customHeight="1">
      <c r="B641" s="85"/>
      <c r="C641" s="63" t="s">
        <v>214</v>
      </c>
      <c r="D641" s="64">
        <v>1</v>
      </c>
      <c r="E641" s="65">
        <v>1.8099547511300001E-4</v>
      </c>
    </row>
    <row r="642" spans="2:5" ht="15" customHeight="1">
      <c r="B642" s="85"/>
      <c r="C642" s="63" t="s">
        <v>184</v>
      </c>
      <c r="D642" s="64">
        <v>1</v>
      </c>
      <c r="E642" s="65">
        <v>1.8099547511300001E-4</v>
      </c>
    </row>
    <row r="643" spans="2:5" ht="15" customHeight="1">
      <c r="B643" s="85"/>
      <c r="C643" s="63" t="s">
        <v>185</v>
      </c>
      <c r="D643" s="64">
        <v>2</v>
      </c>
      <c r="E643" s="65">
        <v>3.6199095022600001E-4</v>
      </c>
    </row>
    <row r="644" spans="2:5" ht="15" customHeight="1">
      <c r="B644" s="85"/>
      <c r="C644" s="63" t="s">
        <v>187</v>
      </c>
      <c r="D644" s="64">
        <v>4</v>
      </c>
      <c r="E644" s="65">
        <v>7.2398190045200002E-4</v>
      </c>
    </row>
    <row r="645" spans="2:5" ht="15" customHeight="1">
      <c r="B645" s="85"/>
      <c r="C645" s="63" t="s">
        <v>189</v>
      </c>
      <c r="D645" s="64">
        <v>2</v>
      </c>
      <c r="E645" s="65">
        <v>3.6199095022600001E-4</v>
      </c>
    </row>
    <row r="646" spans="2:5" ht="15" customHeight="1">
      <c r="B646" s="85"/>
      <c r="C646" s="63" t="s">
        <v>237</v>
      </c>
      <c r="D646" s="64">
        <v>4</v>
      </c>
      <c r="E646" s="65">
        <v>7.2398190045200002E-4</v>
      </c>
    </row>
    <row r="647" spans="2:5" ht="15" customHeight="1">
      <c r="B647" s="85"/>
      <c r="C647" s="63" t="s">
        <v>221</v>
      </c>
      <c r="D647" s="64">
        <v>1</v>
      </c>
      <c r="E647" s="65">
        <v>1.8099547511300001E-4</v>
      </c>
    </row>
    <row r="648" spans="2:5" ht="15" customHeight="1">
      <c r="B648" s="85"/>
      <c r="C648" s="63" t="s">
        <v>190</v>
      </c>
      <c r="D648" s="64">
        <v>1</v>
      </c>
      <c r="E648" s="65">
        <v>1.8099547511300001E-4</v>
      </c>
    </row>
    <row r="649" spans="2:5" ht="15" customHeight="1">
      <c r="B649" s="85"/>
      <c r="C649" s="63" t="s">
        <v>195</v>
      </c>
      <c r="D649" s="64">
        <v>5</v>
      </c>
      <c r="E649" s="65">
        <v>9.0497737556600002E-4</v>
      </c>
    </row>
    <row r="650" spans="2:5" ht="15" customHeight="1">
      <c r="B650" s="85"/>
      <c r="C650" s="63" t="s">
        <v>196</v>
      </c>
      <c r="D650" s="64">
        <v>1</v>
      </c>
      <c r="E650" s="65">
        <v>1.8099547511300001E-4</v>
      </c>
    </row>
    <row r="651" spans="2:5" ht="15" customHeight="1">
      <c r="B651" s="85"/>
      <c r="C651" s="63" t="s">
        <v>209</v>
      </c>
      <c r="D651" s="64">
        <v>2</v>
      </c>
      <c r="E651" s="65">
        <v>3.6199095022600001E-4</v>
      </c>
    </row>
    <row r="652" spans="2:5" ht="15" customHeight="1">
      <c r="B652" s="85"/>
      <c r="C652" s="63" t="s">
        <v>202</v>
      </c>
      <c r="D652" s="64">
        <v>1</v>
      </c>
      <c r="E652" s="65">
        <v>1.8099547511300001E-4</v>
      </c>
    </row>
    <row r="653" spans="2:5" ht="15" customHeight="1">
      <c r="B653" s="85"/>
      <c r="C653" s="63" t="s">
        <v>204</v>
      </c>
      <c r="D653" s="64">
        <v>7</v>
      </c>
      <c r="E653" s="65">
        <v>1.266968325792E-3</v>
      </c>
    </row>
    <row r="654" spans="2:5" ht="15" customHeight="1">
      <c r="B654" s="86"/>
      <c r="C654" s="36" t="s">
        <v>29</v>
      </c>
      <c r="D654" s="35">
        <v>35</v>
      </c>
      <c r="E654" s="34">
        <v>6.3348416289590002E-3</v>
      </c>
    </row>
    <row r="655" spans="2:5" ht="15" customHeight="1">
      <c r="B655" s="84" t="s">
        <v>125</v>
      </c>
      <c r="C655" s="63" t="s">
        <v>182</v>
      </c>
      <c r="D655" s="64">
        <v>3</v>
      </c>
      <c r="E655" s="65">
        <v>5.4298642533899999E-4</v>
      </c>
    </row>
    <row r="656" spans="2:5" ht="15" customHeight="1">
      <c r="B656" s="85"/>
      <c r="C656" s="63" t="s">
        <v>184</v>
      </c>
      <c r="D656" s="64">
        <v>1</v>
      </c>
      <c r="E656" s="65">
        <v>1.8099547511300001E-4</v>
      </c>
    </row>
    <row r="657" spans="2:5" ht="15" customHeight="1">
      <c r="B657" s="85"/>
      <c r="C657" s="63" t="s">
        <v>186</v>
      </c>
      <c r="D657" s="64">
        <v>5</v>
      </c>
      <c r="E657" s="65">
        <v>9.0497737556600002E-4</v>
      </c>
    </row>
    <row r="658" spans="2:5" ht="15" customHeight="1">
      <c r="B658" s="85"/>
      <c r="C658" s="63" t="s">
        <v>190</v>
      </c>
      <c r="D658" s="64">
        <v>2</v>
      </c>
      <c r="E658" s="65">
        <v>3.6199095022600001E-4</v>
      </c>
    </row>
    <row r="659" spans="2:5" ht="15" customHeight="1">
      <c r="B659" s="85"/>
      <c r="C659" s="63" t="s">
        <v>233</v>
      </c>
      <c r="D659" s="64">
        <v>1</v>
      </c>
      <c r="E659" s="65">
        <v>1.8099547511300001E-4</v>
      </c>
    </row>
    <row r="660" spans="2:5" ht="15" customHeight="1">
      <c r="B660" s="85"/>
      <c r="C660" s="63" t="s">
        <v>195</v>
      </c>
      <c r="D660" s="64">
        <v>3</v>
      </c>
      <c r="E660" s="65">
        <v>5.4298642533899999E-4</v>
      </c>
    </row>
    <row r="661" spans="2:5" ht="15" customHeight="1">
      <c r="B661" s="85"/>
      <c r="C661" s="63" t="s">
        <v>196</v>
      </c>
      <c r="D661" s="64">
        <v>15</v>
      </c>
      <c r="E661" s="65">
        <v>2.7149321266969999E-3</v>
      </c>
    </row>
    <row r="662" spans="2:5" ht="15" customHeight="1">
      <c r="B662" s="85"/>
      <c r="C662" s="63" t="s">
        <v>208</v>
      </c>
      <c r="D662" s="64">
        <v>1</v>
      </c>
      <c r="E662" s="65">
        <v>1.8099547511300001E-4</v>
      </c>
    </row>
    <row r="663" spans="2:5" ht="15" customHeight="1">
      <c r="B663" s="85"/>
      <c r="C663" s="63" t="s">
        <v>209</v>
      </c>
      <c r="D663" s="64">
        <v>8</v>
      </c>
      <c r="E663" s="65">
        <v>1.4479638009049999E-3</v>
      </c>
    </row>
    <row r="664" spans="2:5" ht="15" customHeight="1">
      <c r="B664" s="85"/>
      <c r="C664" s="63" t="s">
        <v>201</v>
      </c>
      <c r="D664" s="64">
        <v>2</v>
      </c>
      <c r="E664" s="65">
        <v>3.6199095022600001E-4</v>
      </c>
    </row>
    <row r="665" spans="2:5" ht="15" customHeight="1">
      <c r="B665" s="85"/>
      <c r="C665" s="63" t="s">
        <v>204</v>
      </c>
      <c r="D665" s="64">
        <v>1</v>
      </c>
      <c r="E665" s="65">
        <v>1.8099547511300001E-4</v>
      </c>
    </row>
    <row r="666" spans="2:5" ht="15" customHeight="1">
      <c r="B666" s="86"/>
      <c r="C666" s="36" t="s">
        <v>29</v>
      </c>
      <c r="D666" s="35">
        <v>42</v>
      </c>
      <c r="E666" s="34">
        <v>7.6018099547509998E-3</v>
      </c>
    </row>
    <row r="667" spans="2:5" ht="15" customHeight="1">
      <c r="B667" s="84" t="s">
        <v>126</v>
      </c>
      <c r="C667" s="63" t="s">
        <v>182</v>
      </c>
      <c r="D667" s="64">
        <v>6</v>
      </c>
      <c r="E667" s="65">
        <v>1.0859728506790001E-3</v>
      </c>
    </row>
    <row r="668" spans="2:5" ht="15" customHeight="1">
      <c r="B668" s="85"/>
      <c r="C668" s="63" t="s">
        <v>213</v>
      </c>
      <c r="D668" s="64">
        <v>1</v>
      </c>
      <c r="E668" s="65">
        <v>1.8099547511300001E-4</v>
      </c>
    </row>
    <row r="669" spans="2:5" ht="15" customHeight="1">
      <c r="B669" s="85"/>
      <c r="C669" s="63" t="s">
        <v>184</v>
      </c>
      <c r="D669" s="64">
        <v>1</v>
      </c>
      <c r="E669" s="65">
        <v>1.8099547511300001E-4</v>
      </c>
    </row>
    <row r="670" spans="2:5" ht="15" customHeight="1">
      <c r="B670" s="85"/>
      <c r="C670" s="63" t="s">
        <v>185</v>
      </c>
      <c r="D670" s="64">
        <v>36</v>
      </c>
      <c r="E670" s="65">
        <v>6.5158371040720002E-3</v>
      </c>
    </row>
    <row r="671" spans="2:5" ht="15" customHeight="1">
      <c r="B671" s="85"/>
      <c r="C671" s="63" t="s">
        <v>197</v>
      </c>
      <c r="D671" s="64">
        <v>1</v>
      </c>
      <c r="E671" s="65">
        <v>1.8099547511300001E-4</v>
      </c>
    </row>
    <row r="672" spans="2:5" ht="15" customHeight="1">
      <c r="B672" s="85"/>
      <c r="C672" s="63" t="s">
        <v>198</v>
      </c>
      <c r="D672" s="64">
        <v>1</v>
      </c>
      <c r="E672" s="65">
        <v>1.8099547511300001E-4</v>
      </c>
    </row>
    <row r="673" spans="2:5" ht="15" customHeight="1">
      <c r="B673" s="85"/>
      <c r="C673" s="63" t="s">
        <v>186</v>
      </c>
      <c r="D673" s="64">
        <v>6</v>
      </c>
      <c r="E673" s="65">
        <v>1.0859728506790001E-3</v>
      </c>
    </row>
    <row r="674" spans="2:5" ht="15" customHeight="1">
      <c r="B674" s="85"/>
      <c r="C674" s="63" t="s">
        <v>218</v>
      </c>
      <c r="D674" s="64">
        <v>1</v>
      </c>
      <c r="E674" s="65">
        <v>1.8099547511300001E-4</v>
      </c>
    </row>
    <row r="675" spans="2:5" ht="15" customHeight="1">
      <c r="B675" s="85"/>
      <c r="C675" s="63" t="s">
        <v>187</v>
      </c>
      <c r="D675" s="64">
        <v>5</v>
      </c>
      <c r="E675" s="65">
        <v>9.0497737556600002E-4</v>
      </c>
    </row>
    <row r="676" spans="2:5" ht="15" customHeight="1">
      <c r="B676" s="85"/>
      <c r="C676" s="63" t="s">
        <v>189</v>
      </c>
      <c r="D676" s="64">
        <v>2</v>
      </c>
      <c r="E676" s="65">
        <v>3.6199095022600001E-4</v>
      </c>
    </row>
    <row r="677" spans="2:5" ht="15" customHeight="1">
      <c r="B677" s="85"/>
      <c r="C677" s="63" t="s">
        <v>206</v>
      </c>
      <c r="D677" s="64">
        <v>11</v>
      </c>
      <c r="E677" s="65">
        <v>1.9909502262440001E-3</v>
      </c>
    </row>
    <row r="678" spans="2:5" ht="15" customHeight="1">
      <c r="B678" s="85"/>
      <c r="C678" s="63" t="s">
        <v>237</v>
      </c>
      <c r="D678" s="64">
        <v>2</v>
      </c>
      <c r="E678" s="65">
        <v>3.6199095022600001E-4</v>
      </c>
    </row>
    <row r="679" spans="2:5" ht="15" customHeight="1">
      <c r="B679" s="85"/>
      <c r="C679" s="63" t="s">
        <v>221</v>
      </c>
      <c r="D679" s="64">
        <v>1</v>
      </c>
      <c r="E679" s="65">
        <v>1.8099547511300001E-4</v>
      </c>
    </row>
    <row r="680" spans="2:5" ht="15" customHeight="1">
      <c r="B680" s="85"/>
      <c r="C680" s="63" t="s">
        <v>238</v>
      </c>
      <c r="D680" s="64">
        <v>1</v>
      </c>
      <c r="E680" s="65">
        <v>1.8099547511300001E-4</v>
      </c>
    </row>
    <row r="681" spans="2:5" ht="15" customHeight="1">
      <c r="B681" s="85"/>
      <c r="C681" s="63" t="s">
        <v>222</v>
      </c>
      <c r="D681" s="64">
        <v>4</v>
      </c>
      <c r="E681" s="65">
        <v>7.2398190045200002E-4</v>
      </c>
    </row>
    <row r="682" spans="2:5" ht="15" customHeight="1">
      <c r="B682" s="85"/>
      <c r="C682" s="63" t="s">
        <v>190</v>
      </c>
      <c r="D682" s="64">
        <v>6</v>
      </c>
      <c r="E682" s="65">
        <v>1.0859728506790001E-3</v>
      </c>
    </row>
    <row r="683" spans="2:5" ht="15" customHeight="1">
      <c r="B683" s="85"/>
      <c r="C683" s="63" t="s">
        <v>232</v>
      </c>
      <c r="D683" s="64">
        <v>2</v>
      </c>
      <c r="E683" s="65">
        <v>3.6199095022600001E-4</v>
      </c>
    </row>
    <row r="684" spans="2:5" ht="15" customHeight="1">
      <c r="B684" s="85"/>
      <c r="C684" s="63" t="s">
        <v>191</v>
      </c>
      <c r="D684" s="64">
        <v>12</v>
      </c>
      <c r="E684" s="65">
        <v>2.171945701357E-3</v>
      </c>
    </row>
    <row r="685" spans="2:5" ht="15" customHeight="1">
      <c r="B685" s="85"/>
      <c r="C685" s="63" t="s">
        <v>233</v>
      </c>
      <c r="D685" s="64">
        <v>3</v>
      </c>
      <c r="E685" s="65">
        <v>5.4298642533899999E-4</v>
      </c>
    </row>
    <row r="686" spans="2:5" ht="15" customHeight="1">
      <c r="B686" s="85"/>
      <c r="C686" s="63" t="s">
        <v>192</v>
      </c>
      <c r="D686" s="64">
        <v>2</v>
      </c>
      <c r="E686" s="65">
        <v>3.6199095022600001E-4</v>
      </c>
    </row>
    <row r="687" spans="2:5" ht="15" customHeight="1">
      <c r="B687" s="85"/>
      <c r="C687" s="63" t="s">
        <v>193</v>
      </c>
      <c r="D687" s="64">
        <v>1</v>
      </c>
      <c r="E687" s="65">
        <v>1.8099547511300001E-4</v>
      </c>
    </row>
    <row r="688" spans="2:5" ht="15" customHeight="1">
      <c r="B688" s="85"/>
      <c r="C688" s="63" t="s">
        <v>234</v>
      </c>
      <c r="D688" s="64">
        <v>1</v>
      </c>
      <c r="E688" s="65">
        <v>1.8099547511300001E-4</v>
      </c>
    </row>
    <row r="689" spans="2:5" ht="15" customHeight="1">
      <c r="B689" s="85"/>
      <c r="C689" s="63" t="s">
        <v>195</v>
      </c>
      <c r="D689" s="64">
        <v>24</v>
      </c>
      <c r="E689" s="65">
        <v>4.3438914027150001E-3</v>
      </c>
    </row>
    <row r="690" spans="2:5" ht="15" customHeight="1">
      <c r="B690" s="85"/>
      <c r="C690" s="63" t="s">
        <v>203</v>
      </c>
      <c r="D690" s="64">
        <v>1</v>
      </c>
      <c r="E690" s="65">
        <v>1.8099547511300001E-4</v>
      </c>
    </row>
    <row r="691" spans="2:5" ht="15" customHeight="1">
      <c r="B691" s="85"/>
      <c r="C691" s="63" t="s">
        <v>204</v>
      </c>
      <c r="D691" s="64">
        <v>9</v>
      </c>
      <c r="E691" s="65">
        <v>1.628959276018E-3</v>
      </c>
    </row>
    <row r="692" spans="2:5" ht="15" customHeight="1">
      <c r="B692" s="86"/>
      <c r="C692" s="36" t="s">
        <v>29</v>
      </c>
      <c r="D692" s="35">
        <v>140</v>
      </c>
      <c r="E692" s="34">
        <v>2.5339366515837E-2</v>
      </c>
    </row>
    <row r="693" spans="2:5" ht="15" customHeight="1">
      <c r="B693" s="84" t="s">
        <v>127</v>
      </c>
      <c r="C693" s="63" t="s">
        <v>187</v>
      </c>
      <c r="D693" s="64">
        <v>1</v>
      </c>
      <c r="E693" s="65">
        <v>1.8099547511300001E-4</v>
      </c>
    </row>
    <row r="694" spans="2:5" ht="15" customHeight="1">
      <c r="B694" s="85"/>
      <c r="C694" s="63" t="s">
        <v>195</v>
      </c>
      <c r="D694" s="64">
        <v>6</v>
      </c>
      <c r="E694" s="65">
        <v>1.0859728506790001E-3</v>
      </c>
    </row>
    <row r="695" spans="2:5" ht="15" customHeight="1">
      <c r="B695" s="86"/>
      <c r="C695" s="36" t="s">
        <v>29</v>
      </c>
      <c r="D695" s="35">
        <v>7</v>
      </c>
      <c r="E695" s="34">
        <v>1.266968325792E-3</v>
      </c>
    </row>
    <row r="696" spans="2:5" ht="15" customHeight="1">
      <c r="B696" s="84" t="s">
        <v>128</v>
      </c>
      <c r="C696" s="63" t="s">
        <v>182</v>
      </c>
      <c r="D696" s="64">
        <v>1</v>
      </c>
      <c r="E696" s="65">
        <v>1.8099547511300001E-4</v>
      </c>
    </row>
    <row r="697" spans="2:5" ht="15" customHeight="1">
      <c r="B697" s="85"/>
      <c r="C697" s="63" t="s">
        <v>183</v>
      </c>
      <c r="D697" s="64">
        <v>1</v>
      </c>
      <c r="E697" s="65">
        <v>1.8099547511300001E-4</v>
      </c>
    </row>
    <row r="698" spans="2:5" ht="15" customHeight="1">
      <c r="B698" s="85"/>
      <c r="C698" s="63" t="s">
        <v>184</v>
      </c>
      <c r="D698" s="64">
        <v>5</v>
      </c>
      <c r="E698" s="65">
        <v>9.0497737556600002E-4</v>
      </c>
    </row>
    <row r="699" spans="2:5" ht="15" customHeight="1">
      <c r="B699" s="85"/>
      <c r="C699" s="63" t="s">
        <v>185</v>
      </c>
      <c r="D699" s="64">
        <v>2</v>
      </c>
      <c r="E699" s="65">
        <v>3.6199095022600001E-4</v>
      </c>
    </row>
    <row r="700" spans="2:5" ht="15" customHeight="1">
      <c r="B700" s="85"/>
      <c r="C700" s="63" t="s">
        <v>216</v>
      </c>
      <c r="D700" s="64">
        <v>1</v>
      </c>
      <c r="E700" s="65">
        <v>1.8099547511300001E-4</v>
      </c>
    </row>
    <row r="701" spans="2:5" ht="15" customHeight="1">
      <c r="B701" s="85"/>
      <c r="C701" s="63" t="s">
        <v>186</v>
      </c>
      <c r="D701" s="64">
        <v>6</v>
      </c>
      <c r="E701" s="65">
        <v>1.0859728506790001E-3</v>
      </c>
    </row>
    <row r="702" spans="2:5" ht="15" customHeight="1">
      <c r="B702" s="85"/>
      <c r="C702" s="63" t="s">
        <v>187</v>
      </c>
      <c r="D702" s="64">
        <v>2</v>
      </c>
      <c r="E702" s="65">
        <v>3.6199095022600001E-4</v>
      </c>
    </row>
    <row r="703" spans="2:5" ht="15" customHeight="1">
      <c r="B703" s="85"/>
      <c r="C703" s="63" t="s">
        <v>189</v>
      </c>
      <c r="D703" s="64">
        <v>8</v>
      </c>
      <c r="E703" s="65">
        <v>1.4479638009049999E-3</v>
      </c>
    </row>
    <row r="704" spans="2:5" ht="15" customHeight="1">
      <c r="B704" s="85"/>
      <c r="C704" s="63" t="s">
        <v>206</v>
      </c>
      <c r="D704" s="64">
        <v>1</v>
      </c>
      <c r="E704" s="65">
        <v>1.8099547511300001E-4</v>
      </c>
    </row>
    <row r="705" spans="2:5" ht="15" customHeight="1">
      <c r="B705" s="85"/>
      <c r="C705" s="63" t="s">
        <v>190</v>
      </c>
      <c r="D705" s="64">
        <v>2</v>
      </c>
      <c r="E705" s="65">
        <v>3.6199095022600001E-4</v>
      </c>
    </row>
    <row r="706" spans="2:5" ht="15" customHeight="1">
      <c r="B706" s="85"/>
      <c r="C706" s="63" t="s">
        <v>227</v>
      </c>
      <c r="D706" s="64">
        <v>1</v>
      </c>
      <c r="E706" s="65">
        <v>1.8099547511300001E-4</v>
      </c>
    </row>
    <row r="707" spans="2:5" ht="15" customHeight="1">
      <c r="B707" s="85"/>
      <c r="C707" s="63" t="s">
        <v>230</v>
      </c>
      <c r="D707" s="64">
        <v>1</v>
      </c>
      <c r="E707" s="65">
        <v>1.8099547511300001E-4</v>
      </c>
    </row>
    <row r="708" spans="2:5" ht="15" customHeight="1">
      <c r="B708" s="85"/>
      <c r="C708" s="63" t="s">
        <v>233</v>
      </c>
      <c r="D708" s="64">
        <v>1</v>
      </c>
      <c r="E708" s="65">
        <v>1.8099547511300001E-4</v>
      </c>
    </row>
    <row r="709" spans="2:5" ht="15" customHeight="1">
      <c r="B709" s="85"/>
      <c r="C709" s="63" t="s">
        <v>194</v>
      </c>
      <c r="D709" s="64">
        <v>1</v>
      </c>
      <c r="E709" s="65">
        <v>1.8099547511300001E-4</v>
      </c>
    </row>
    <row r="710" spans="2:5" ht="15" customHeight="1">
      <c r="B710" s="85"/>
      <c r="C710" s="63" t="s">
        <v>195</v>
      </c>
      <c r="D710" s="64">
        <v>4</v>
      </c>
      <c r="E710" s="65">
        <v>7.2398190045200002E-4</v>
      </c>
    </row>
    <row r="711" spans="2:5" ht="15" customHeight="1">
      <c r="B711" s="85"/>
      <c r="C711" s="63" t="s">
        <v>204</v>
      </c>
      <c r="D711" s="64">
        <v>2</v>
      </c>
      <c r="E711" s="65">
        <v>3.6199095022600001E-4</v>
      </c>
    </row>
    <row r="712" spans="2:5" ht="15" customHeight="1">
      <c r="B712" s="86"/>
      <c r="C712" s="36" t="s">
        <v>29</v>
      </c>
      <c r="D712" s="35">
        <v>39</v>
      </c>
      <c r="E712" s="34">
        <v>7.058823529412E-3</v>
      </c>
    </row>
    <row r="713" spans="2:5" ht="15" customHeight="1">
      <c r="B713" s="84" t="s">
        <v>129</v>
      </c>
      <c r="C713" s="63" t="s">
        <v>182</v>
      </c>
      <c r="D713" s="64">
        <v>4</v>
      </c>
      <c r="E713" s="65">
        <v>7.2398190045200002E-4</v>
      </c>
    </row>
    <row r="714" spans="2:5" ht="15" customHeight="1">
      <c r="B714" s="85"/>
      <c r="C714" s="63" t="s">
        <v>184</v>
      </c>
      <c r="D714" s="64">
        <v>1</v>
      </c>
      <c r="E714" s="65">
        <v>1.8099547511300001E-4</v>
      </c>
    </row>
    <row r="715" spans="2:5" ht="15" customHeight="1">
      <c r="B715" s="85"/>
      <c r="C715" s="63" t="s">
        <v>185</v>
      </c>
      <c r="D715" s="64">
        <v>2</v>
      </c>
      <c r="E715" s="65">
        <v>3.6199095022600001E-4</v>
      </c>
    </row>
    <row r="716" spans="2:5" ht="15" customHeight="1">
      <c r="B716" s="85"/>
      <c r="C716" s="63" t="s">
        <v>186</v>
      </c>
      <c r="D716" s="64">
        <v>2</v>
      </c>
      <c r="E716" s="65">
        <v>3.6199095022600001E-4</v>
      </c>
    </row>
    <row r="717" spans="2:5" ht="15" customHeight="1">
      <c r="B717" s="85"/>
      <c r="C717" s="63" t="s">
        <v>187</v>
      </c>
      <c r="D717" s="64">
        <v>4</v>
      </c>
      <c r="E717" s="65">
        <v>7.2398190045200002E-4</v>
      </c>
    </row>
    <row r="718" spans="2:5" ht="15" customHeight="1">
      <c r="B718" s="85"/>
      <c r="C718" s="63" t="s">
        <v>207</v>
      </c>
      <c r="D718" s="64">
        <v>2</v>
      </c>
      <c r="E718" s="65">
        <v>3.6199095022600001E-4</v>
      </c>
    </row>
    <row r="719" spans="2:5" ht="15" customHeight="1">
      <c r="B719" s="85"/>
      <c r="C719" s="63" t="s">
        <v>222</v>
      </c>
      <c r="D719" s="64">
        <v>1</v>
      </c>
      <c r="E719" s="65">
        <v>1.8099547511300001E-4</v>
      </c>
    </row>
    <row r="720" spans="2:5" ht="15" customHeight="1">
      <c r="B720" s="85"/>
      <c r="C720" s="63" t="s">
        <v>232</v>
      </c>
      <c r="D720" s="64">
        <v>1</v>
      </c>
      <c r="E720" s="65">
        <v>1.8099547511300001E-4</v>
      </c>
    </row>
    <row r="721" spans="2:5" ht="15" customHeight="1">
      <c r="B721" s="85"/>
      <c r="C721" s="63" t="s">
        <v>233</v>
      </c>
      <c r="D721" s="64">
        <v>1</v>
      </c>
      <c r="E721" s="65">
        <v>1.8099547511300001E-4</v>
      </c>
    </row>
    <row r="722" spans="2:5" ht="15" customHeight="1">
      <c r="B722" s="85"/>
      <c r="C722" s="63" t="s">
        <v>195</v>
      </c>
      <c r="D722" s="64">
        <v>3</v>
      </c>
      <c r="E722" s="65">
        <v>5.4298642533899999E-4</v>
      </c>
    </row>
    <row r="723" spans="2:5" ht="15" customHeight="1">
      <c r="B723" s="85"/>
      <c r="C723" s="63" t="s">
        <v>208</v>
      </c>
      <c r="D723" s="64">
        <v>1</v>
      </c>
      <c r="E723" s="65">
        <v>1.8099547511300001E-4</v>
      </c>
    </row>
    <row r="724" spans="2:5" ht="15" customHeight="1">
      <c r="B724" s="85"/>
      <c r="C724" s="63" t="s">
        <v>201</v>
      </c>
      <c r="D724" s="64">
        <v>1</v>
      </c>
      <c r="E724" s="65">
        <v>1.8099547511300001E-4</v>
      </c>
    </row>
    <row r="725" spans="2:5" ht="15" customHeight="1">
      <c r="B725" s="85"/>
      <c r="C725" s="63" t="s">
        <v>202</v>
      </c>
      <c r="D725" s="64">
        <v>1</v>
      </c>
      <c r="E725" s="65">
        <v>1.8099547511300001E-4</v>
      </c>
    </row>
    <row r="726" spans="2:5" ht="15" customHeight="1">
      <c r="B726" s="85"/>
      <c r="C726" s="63" t="s">
        <v>203</v>
      </c>
      <c r="D726" s="64">
        <v>1</v>
      </c>
      <c r="E726" s="65">
        <v>1.8099547511300001E-4</v>
      </c>
    </row>
    <row r="727" spans="2:5" ht="15" customHeight="1">
      <c r="B727" s="86"/>
      <c r="C727" s="36" t="s">
        <v>29</v>
      </c>
      <c r="D727" s="35">
        <v>25</v>
      </c>
      <c r="E727" s="34">
        <v>4.5248868778280001E-3</v>
      </c>
    </row>
    <row r="728" spans="2:5" ht="15" customHeight="1">
      <c r="B728" s="84" t="s">
        <v>130</v>
      </c>
      <c r="C728" s="63" t="s">
        <v>210</v>
      </c>
      <c r="D728" s="64">
        <v>1</v>
      </c>
      <c r="E728" s="65">
        <v>1.8099547511300001E-4</v>
      </c>
    </row>
    <row r="729" spans="2:5" ht="15" customHeight="1">
      <c r="B729" s="85"/>
      <c r="C729" s="63" t="s">
        <v>211</v>
      </c>
      <c r="D729" s="64">
        <v>1</v>
      </c>
      <c r="E729" s="65">
        <v>1.8099547511300001E-4</v>
      </c>
    </row>
    <row r="730" spans="2:5" ht="15" customHeight="1">
      <c r="B730" s="85"/>
      <c r="C730" s="63" t="s">
        <v>212</v>
      </c>
      <c r="D730" s="64">
        <v>2</v>
      </c>
      <c r="E730" s="65">
        <v>3.6199095022600001E-4</v>
      </c>
    </row>
    <row r="731" spans="2:5" ht="15" customHeight="1">
      <c r="B731" s="85"/>
      <c r="C731" s="63" t="s">
        <v>182</v>
      </c>
      <c r="D731" s="64">
        <v>46</v>
      </c>
      <c r="E731" s="65">
        <v>8.3257918552040004E-3</v>
      </c>
    </row>
    <row r="732" spans="2:5" ht="15" customHeight="1">
      <c r="B732" s="85"/>
      <c r="C732" s="63" t="s">
        <v>183</v>
      </c>
      <c r="D732" s="64">
        <v>4</v>
      </c>
      <c r="E732" s="65">
        <v>7.2398190045200002E-4</v>
      </c>
    </row>
    <row r="733" spans="2:5" ht="15" customHeight="1">
      <c r="B733" s="85"/>
      <c r="C733" s="63" t="s">
        <v>213</v>
      </c>
      <c r="D733" s="64">
        <v>6</v>
      </c>
      <c r="E733" s="65">
        <v>1.0859728506790001E-3</v>
      </c>
    </row>
    <row r="734" spans="2:5" ht="15" customHeight="1">
      <c r="B734" s="85"/>
      <c r="C734" s="63" t="s">
        <v>184</v>
      </c>
      <c r="D734" s="64">
        <v>42</v>
      </c>
      <c r="E734" s="65">
        <v>7.6018099547509998E-3</v>
      </c>
    </row>
    <row r="735" spans="2:5" ht="15" customHeight="1">
      <c r="B735" s="85"/>
      <c r="C735" s="63" t="s">
        <v>185</v>
      </c>
      <c r="D735" s="64">
        <v>49</v>
      </c>
      <c r="E735" s="65">
        <v>8.8687782805429993E-3</v>
      </c>
    </row>
    <row r="736" spans="2:5" ht="15" customHeight="1">
      <c r="B736" s="85"/>
      <c r="C736" s="63" t="s">
        <v>197</v>
      </c>
      <c r="D736" s="64">
        <v>5</v>
      </c>
      <c r="E736" s="65">
        <v>9.0497737556600002E-4</v>
      </c>
    </row>
    <row r="737" spans="2:5" ht="15" customHeight="1">
      <c r="B737" s="85"/>
      <c r="C737" s="63" t="s">
        <v>215</v>
      </c>
      <c r="D737" s="64">
        <v>3</v>
      </c>
      <c r="E737" s="65">
        <v>5.4298642533899999E-4</v>
      </c>
    </row>
    <row r="738" spans="2:5" ht="15" customHeight="1">
      <c r="B738" s="85"/>
      <c r="C738" s="63" t="s">
        <v>241</v>
      </c>
      <c r="D738" s="64">
        <v>1</v>
      </c>
      <c r="E738" s="65">
        <v>1.8099547511300001E-4</v>
      </c>
    </row>
    <row r="739" spans="2:5" ht="15" customHeight="1">
      <c r="B739" s="85"/>
      <c r="C739" s="63" t="s">
        <v>216</v>
      </c>
      <c r="D739" s="64">
        <v>2</v>
      </c>
      <c r="E739" s="65">
        <v>3.6199095022600001E-4</v>
      </c>
    </row>
    <row r="740" spans="2:5" ht="15" customHeight="1">
      <c r="B740" s="85"/>
      <c r="C740" s="63" t="s">
        <v>198</v>
      </c>
      <c r="D740" s="64">
        <v>7</v>
      </c>
      <c r="E740" s="65">
        <v>1.266968325792E-3</v>
      </c>
    </row>
    <row r="741" spans="2:5" ht="15" customHeight="1">
      <c r="B741" s="85"/>
      <c r="C741" s="63" t="s">
        <v>186</v>
      </c>
      <c r="D741" s="64">
        <v>22</v>
      </c>
      <c r="E741" s="65">
        <v>3.9819004524890003E-3</v>
      </c>
    </row>
    <row r="742" spans="2:5" ht="15" customHeight="1">
      <c r="B742" s="85"/>
      <c r="C742" s="63" t="s">
        <v>218</v>
      </c>
      <c r="D742" s="64">
        <v>6</v>
      </c>
      <c r="E742" s="65">
        <v>1.0859728506790001E-3</v>
      </c>
    </row>
    <row r="743" spans="2:5" ht="15" customHeight="1">
      <c r="B743" s="85"/>
      <c r="C743" s="63" t="s">
        <v>187</v>
      </c>
      <c r="D743" s="64">
        <v>38</v>
      </c>
      <c r="E743" s="65">
        <v>6.8778280542990001E-3</v>
      </c>
    </row>
    <row r="744" spans="2:5" ht="15" customHeight="1">
      <c r="B744" s="85"/>
      <c r="C744" s="63" t="s">
        <v>219</v>
      </c>
      <c r="D744" s="64">
        <v>2</v>
      </c>
      <c r="E744" s="65">
        <v>3.6199095022600001E-4</v>
      </c>
    </row>
    <row r="745" spans="2:5" ht="15" customHeight="1">
      <c r="B745" s="85"/>
      <c r="C745" s="63" t="s">
        <v>188</v>
      </c>
      <c r="D745" s="64">
        <v>1</v>
      </c>
      <c r="E745" s="65">
        <v>1.8099547511300001E-4</v>
      </c>
    </row>
    <row r="746" spans="2:5" ht="15" customHeight="1">
      <c r="B746" s="85"/>
      <c r="C746" s="63" t="s">
        <v>199</v>
      </c>
      <c r="D746" s="64">
        <v>1</v>
      </c>
      <c r="E746" s="65">
        <v>1.8099547511300001E-4</v>
      </c>
    </row>
    <row r="747" spans="2:5" ht="15" customHeight="1">
      <c r="B747" s="85"/>
      <c r="C747" s="63" t="s">
        <v>200</v>
      </c>
      <c r="D747" s="64">
        <v>1</v>
      </c>
      <c r="E747" s="65">
        <v>1.8099547511300001E-4</v>
      </c>
    </row>
    <row r="748" spans="2:5" ht="15" customHeight="1">
      <c r="B748" s="85"/>
      <c r="C748" s="63" t="s">
        <v>220</v>
      </c>
      <c r="D748" s="64">
        <v>1</v>
      </c>
      <c r="E748" s="65">
        <v>1.8099547511300001E-4</v>
      </c>
    </row>
    <row r="749" spans="2:5" ht="15" customHeight="1">
      <c r="B749" s="85"/>
      <c r="C749" s="63" t="s">
        <v>189</v>
      </c>
      <c r="D749" s="64">
        <v>1</v>
      </c>
      <c r="E749" s="65">
        <v>1.8099547511300001E-4</v>
      </c>
    </row>
    <row r="750" spans="2:5" ht="15" customHeight="1">
      <c r="B750" s="85"/>
      <c r="C750" s="63" t="s">
        <v>206</v>
      </c>
      <c r="D750" s="64">
        <v>7</v>
      </c>
      <c r="E750" s="65">
        <v>1.266968325792E-3</v>
      </c>
    </row>
    <row r="751" spans="2:5" ht="15" customHeight="1">
      <c r="B751" s="85"/>
      <c r="C751" s="63" t="s">
        <v>237</v>
      </c>
      <c r="D751" s="64">
        <v>1</v>
      </c>
      <c r="E751" s="65">
        <v>1.8099547511300001E-4</v>
      </c>
    </row>
    <row r="752" spans="2:5" ht="15" customHeight="1">
      <c r="B752" s="85"/>
      <c r="C752" s="63" t="s">
        <v>207</v>
      </c>
      <c r="D752" s="64">
        <v>8</v>
      </c>
      <c r="E752" s="65">
        <v>1.4479638009049999E-3</v>
      </c>
    </row>
    <row r="753" spans="2:5" ht="15" customHeight="1">
      <c r="B753" s="85"/>
      <c r="C753" s="63" t="s">
        <v>221</v>
      </c>
      <c r="D753" s="64">
        <v>3</v>
      </c>
      <c r="E753" s="65">
        <v>5.4298642533899999E-4</v>
      </c>
    </row>
    <row r="754" spans="2:5" ht="15" customHeight="1">
      <c r="B754" s="85"/>
      <c r="C754" s="63" t="s">
        <v>222</v>
      </c>
      <c r="D754" s="64">
        <v>1</v>
      </c>
      <c r="E754" s="65">
        <v>1.8099547511300001E-4</v>
      </c>
    </row>
    <row r="755" spans="2:5" ht="15" customHeight="1">
      <c r="B755" s="85"/>
      <c r="C755" s="63" t="s">
        <v>223</v>
      </c>
      <c r="D755" s="64">
        <v>1</v>
      </c>
      <c r="E755" s="65">
        <v>1.8099547511300001E-4</v>
      </c>
    </row>
    <row r="756" spans="2:5" ht="15" customHeight="1">
      <c r="B756" s="85"/>
      <c r="C756" s="63" t="s">
        <v>226</v>
      </c>
      <c r="D756" s="64">
        <v>1</v>
      </c>
      <c r="E756" s="65">
        <v>1.8099547511300001E-4</v>
      </c>
    </row>
    <row r="757" spans="2:5" ht="15" customHeight="1">
      <c r="B757" s="85"/>
      <c r="C757" s="63" t="s">
        <v>190</v>
      </c>
      <c r="D757" s="64">
        <v>8</v>
      </c>
      <c r="E757" s="65">
        <v>1.4479638009049999E-3</v>
      </c>
    </row>
    <row r="758" spans="2:5" ht="15" customHeight="1">
      <c r="B758" s="85"/>
      <c r="C758" s="63" t="s">
        <v>227</v>
      </c>
      <c r="D758" s="64">
        <v>2</v>
      </c>
      <c r="E758" s="65">
        <v>3.6199095022600001E-4</v>
      </c>
    </row>
    <row r="759" spans="2:5" ht="15" customHeight="1">
      <c r="B759" s="85"/>
      <c r="C759" s="63" t="s">
        <v>240</v>
      </c>
      <c r="D759" s="64">
        <v>1</v>
      </c>
      <c r="E759" s="65">
        <v>1.8099547511300001E-4</v>
      </c>
    </row>
    <row r="760" spans="2:5" ht="15" customHeight="1">
      <c r="B760" s="85"/>
      <c r="C760" s="63" t="s">
        <v>230</v>
      </c>
      <c r="D760" s="64">
        <v>3</v>
      </c>
      <c r="E760" s="65">
        <v>5.4298642533899999E-4</v>
      </c>
    </row>
    <row r="761" spans="2:5" ht="15" customHeight="1">
      <c r="B761" s="85"/>
      <c r="C761" s="63" t="s">
        <v>231</v>
      </c>
      <c r="D761" s="64">
        <v>1</v>
      </c>
      <c r="E761" s="65">
        <v>1.8099547511300001E-4</v>
      </c>
    </row>
    <row r="762" spans="2:5" ht="15" customHeight="1">
      <c r="B762" s="85"/>
      <c r="C762" s="63" t="s">
        <v>232</v>
      </c>
      <c r="D762" s="64">
        <v>5</v>
      </c>
      <c r="E762" s="65">
        <v>9.0497737556600002E-4</v>
      </c>
    </row>
    <row r="763" spans="2:5" ht="15" customHeight="1">
      <c r="B763" s="85"/>
      <c r="C763" s="63" t="s">
        <v>191</v>
      </c>
      <c r="D763" s="64">
        <v>35</v>
      </c>
      <c r="E763" s="65">
        <v>6.3348416289590002E-3</v>
      </c>
    </row>
    <row r="764" spans="2:5" ht="15" customHeight="1">
      <c r="B764" s="85"/>
      <c r="C764" s="63" t="s">
        <v>233</v>
      </c>
      <c r="D764" s="64">
        <v>9</v>
      </c>
      <c r="E764" s="65">
        <v>1.628959276018E-3</v>
      </c>
    </row>
    <row r="765" spans="2:5" ht="15" customHeight="1">
      <c r="B765" s="85"/>
      <c r="C765" s="63" t="s">
        <v>192</v>
      </c>
      <c r="D765" s="64">
        <v>5</v>
      </c>
      <c r="E765" s="65">
        <v>9.0497737556600002E-4</v>
      </c>
    </row>
    <row r="766" spans="2:5" ht="15" customHeight="1">
      <c r="B766" s="85"/>
      <c r="C766" s="63" t="s">
        <v>193</v>
      </c>
      <c r="D766" s="64">
        <v>3</v>
      </c>
      <c r="E766" s="65">
        <v>5.4298642533899999E-4</v>
      </c>
    </row>
    <row r="767" spans="2:5" ht="15" customHeight="1">
      <c r="B767" s="85"/>
      <c r="C767" s="63" t="s">
        <v>194</v>
      </c>
      <c r="D767" s="64">
        <v>9</v>
      </c>
      <c r="E767" s="65">
        <v>1.628959276018E-3</v>
      </c>
    </row>
    <row r="768" spans="2:5" ht="15" customHeight="1">
      <c r="B768" s="85"/>
      <c r="C768" s="63" t="s">
        <v>234</v>
      </c>
      <c r="D768" s="64">
        <v>7</v>
      </c>
      <c r="E768" s="65">
        <v>1.266968325792E-3</v>
      </c>
    </row>
    <row r="769" spans="2:5" ht="15" customHeight="1">
      <c r="B769" s="85"/>
      <c r="C769" s="63" t="s">
        <v>195</v>
      </c>
      <c r="D769" s="64">
        <v>81</v>
      </c>
      <c r="E769" s="65">
        <v>1.4660633484163001E-2</v>
      </c>
    </row>
    <row r="770" spans="2:5" ht="15" customHeight="1">
      <c r="B770" s="85"/>
      <c r="C770" s="63" t="s">
        <v>196</v>
      </c>
      <c r="D770" s="64">
        <v>60</v>
      </c>
      <c r="E770" s="65">
        <v>1.0859728506787E-2</v>
      </c>
    </row>
    <row r="771" spans="2:5" ht="15" customHeight="1">
      <c r="B771" s="85"/>
      <c r="C771" s="63" t="s">
        <v>235</v>
      </c>
      <c r="D771" s="64">
        <v>5</v>
      </c>
      <c r="E771" s="65">
        <v>9.0497737556600002E-4</v>
      </c>
    </row>
    <row r="772" spans="2:5" ht="15" customHeight="1">
      <c r="B772" s="85"/>
      <c r="C772" s="63" t="s">
        <v>209</v>
      </c>
      <c r="D772" s="64">
        <v>1</v>
      </c>
      <c r="E772" s="65">
        <v>1.8099547511300001E-4</v>
      </c>
    </row>
    <row r="773" spans="2:5" ht="15" customHeight="1">
      <c r="B773" s="85"/>
      <c r="C773" s="63" t="s">
        <v>201</v>
      </c>
      <c r="D773" s="64">
        <v>5</v>
      </c>
      <c r="E773" s="65">
        <v>9.0497737556600002E-4</v>
      </c>
    </row>
    <row r="774" spans="2:5" ht="15" customHeight="1">
      <c r="B774" s="85"/>
      <c r="C774" s="63" t="s">
        <v>202</v>
      </c>
      <c r="D774" s="64">
        <v>3</v>
      </c>
      <c r="E774" s="65">
        <v>5.4298642533899999E-4</v>
      </c>
    </row>
    <row r="775" spans="2:5" ht="15" customHeight="1">
      <c r="B775" s="85"/>
      <c r="C775" s="63" t="s">
        <v>203</v>
      </c>
      <c r="D775" s="64">
        <v>1</v>
      </c>
      <c r="E775" s="65">
        <v>1.8099547511300001E-4</v>
      </c>
    </row>
    <row r="776" spans="2:5" ht="15" customHeight="1">
      <c r="B776" s="85"/>
      <c r="C776" s="63" t="s">
        <v>236</v>
      </c>
      <c r="D776" s="64">
        <v>15</v>
      </c>
      <c r="E776" s="65">
        <v>2.7149321266969999E-3</v>
      </c>
    </row>
    <row r="777" spans="2:5" ht="15" customHeight="1">
      <c r="B777" s="85"/>
      <c r="C777" s="63" t="s">
        <v>204</v>
      </c>
      <c r="D777" s="64">
        <v>24</v>
      </c>
      <c r="E777" s="65">
        <v>4.3438914027150001E-3</v>
      </c>
    </row>
    <row r="778" spans="2:5" ht="15" customHeight="1">
      <c r="B778" s="85"/>
      <c r="C778" s="63" t="s">
        <v>205</v>
      </c>
      <c r="D778" s="64">
        <v>2</v>
      </c>
      <c r="E778" s="65">
        <v>3.6199095022600001E-4</v>
      </c>
    </row>
    <row r="779" spans="2:5" ht="15" customHeight="1">
      <c r="B779" s="86"/>
      <c r="C779" s="36" t="s">
        <v>29</v>
      </c>
      <c r="D779" s="35">
        <v>549</v>
      </c>
      <c r="E779" s="34">
        <v>9.9366515837104E-2</v>
      </c>
    </row>
    <row r="780" spans="2:5" ht="15" customHeight="1">
      <c r="B780" s="84" t="s">
        <v>131</v>
      </c>
      <c r="C780" s="63" t="s">
        <v>182</v>
      </c>
      <c r="D780" s="64">
        <v>5</v>
      </c>
      <c r="E780" s="65">
        <v>9.0497737556600002E-4</v>
      </c>
    </row>
    <row r="781" spans="2:5" ht="15" customHeight="1">
      <c r="B781" s="85"/>
      <c r="C781" s="63" t="s">
        <v>213</v>
      </c>
      <c r="D781" s="64">
        <v>1</v>
      </c>
      <c r="E781" s="65">
        <v>1.8099547511300001E-4</v>
      </c>
    </row>
    <row r="782" spans="2:5" ht="15" customHeight="1">
      <c r="B782" s="85"/>
      <c r="C782" s="63" t="s">
        <v>184</v>
      </c>
      <c r="D782" s="64">
        <v>1</v>
      </c>
      <c r="E782" s="65">
        <v>1.8099547511300001E-4</v>
      </c>
    </row>
    <row r="783" spans="2:5" ht="15" customHeight="1">
      <c r="B783" s="85"/>
      <c r="C783" s="63" t="s">
        <v>185</v>
      </c>
      <c r="D783" s="64">
        <v>1</v>
      </c>
      <c r="E783" s="65">
        <v>1.8099547511300001E-4</v>
      </c>
    </row>
    <row r="784" spans="2:5" ht="15" customHeight="1">
      <c r="B784" s="85"/>
      <c r="C784" s="63" t="s">
        <v>198</v>
      </c>
      <c r="D784" s="64">
        <v>4</v>
      </c>
      <c r="E784" s="65">
        <v>7.2398190045200002E-4</v>
      </c>
    </row>
    <row r="785" spans="2:5" ht="15" customHeight="1">
      <c r="B785" s="85"/>
      <c r="C785" s="63" t="s">
        <v>186</v>
      </c>
      <c r="D785" s="64">
        <v>1</v>
      </c>
      <c r="E785" s="65">
        <v>1.8099547511300001E-4</v>
      </c>
    </row>
    <row r="786" spans="2:5" ht="15" customHeight="1">
      <c r="B786" s="85"/>
      <c r="C786" s="63" t="s">
        <v>187</v>
      </c>
      <c r="D786" s="64">
        <v>10</v>
      </c>
      <c r="E786" s="65">
        <v>1.809954751131E-3</v>
      </c>
    </row>
    <row r="787" spans="2:5" ht="15" customHeight="1">
      <c r="B787" s="85"/>
      <c r="C787" s="63" t="s">
        <v>200</v>
      </c>
      <c r="D787" s="64">
        <v>1</v>
      </c>
      <c r="E787" s="65">
        <v>1.8099547511300001E-4</v>
      </c>
    </row>
    <row r="788" spans="2:5" ht="15" customHeight="1">
      <c r="B788" s="85"/>
      <c r="C788" s="63" t="s">
        <v>206</v>
      </c>
      <c r="D788" s="64">
        <v>3</v>
      </c>
      <c r="E788" s="65">
        <v>5.4298642533899999E-4</v>
      </c>
    </row>
    <row r="789" spans="2:5" ht="15" customHeight="1">
      <c r="B789" s="85"/>
      <c r="C789" s="63" t="s">
        <v>221</v>
      </c>
      <c r="D789" s="64">
        <v>1</v>
      </c>
      <c r="E789" s="65">
        <v>1.8099547511300001E-4</v>
      </c>
    </row>
    <row r="790" spans="2:5" ht="15" customHeight="1">
      <c r="B790" s="85"/>
      <c r="C790" s="63" t="s">
        <v>222</v>
      </c>
      <c r="D790" s="64">
        <v>1</v>
      </c>
      <c r="E790" s="65">
        <v>1.8099547511300001E-4</v>
      </c>
    </row>
    <row r="791" spans="2:5" ht="15" customHeight="1">
      <c r="B791" s="85"/>
      <c r="C791" s="63" t="s">
        <v>227</v>
      </c>
      <c r="D791" s="64">
        <v>1</v>
      </c>
      <c r="E791" s="65">
        <v>1.8099547511300001E-4</v>
      </c>
    </row>
    <row r="792" spans="2:5" ht="15" customHeight="1">
      <c r="B792" s="85"/>
      <c r="C792" s="63" t="s">
        <v>193</v>
      </c>
      <c r="D792" s="64">
        <v>1</v>
      </c>
      <c r="E792" s="65">
        <v>1.8099547511300001E-4</v>
      </c>
    </row>
    <row r="793" spans="2:5" ht="15" customHeight="1">
      <c r="B793" s="85"/>
      <c r="C793" s="63" t="s">
        <v>194</v>
      </c>
      <c r="D793" s="64">
        <v>1</v>
      </c>
      <c r="E793" s="65">
        <v>1.8099547511300001E-4</v>
      </c>
    </row>
    <row r="794" spans="2:5" ht="15" customHeight="1">
      <c r="B794" s="85"/>
      <c r="C794" s="63" t="s">
        <v>234</v>
      </c>
      <c r="D794" s="64">
        <v>1</v>
      </c>
      <c r="E794" s="65">
        <v>1.8099547511300001E-4</v>
      </c>
    </row>
    <row r="795" spans="2:5" ht="15" customHeight="1">
      <c r="B795" s="85"/>
      <c r="C795" s="63" t="s">
        <v>195</v>
      </c>
      <c r="D795" s="64">
        <v>4</v>
      </c>
      <c r="E795" s="65">
        <v>7.2398190045200002E-4</v>
      </c>
    </row>
    <row r="796" spans="2:5" ht="15" customHeight="1">
      <c r="B796" s="85"/>
      <c r="C796" s="63" t="s">
        <v>235</v>
      </c>
      <c r="D796" s="64">
        <v>1</v>
      </c>
      <c r="E796" s="65">
        <v>1.8099547511300001E-4</v>
      </c>
    </row>
    <row r="797" spans="2:5" ht="15" customHeight="1">
      <c r="B797" s="85"/>
      <c r="C797" s="63" t="s">
        <v>201</v>
      </c>
      <c r="D797" s="64">
        <v>2</v>
      </c>
      <c r="E797" s="65">
        <v>3.6199095022600001E-4</v>
      </c>
    </row>
    <row r="798" spans="2:5" ht="15" customHeight="1">
      <c r="B798" s="85"/>
      <c r="C798" s="63" t="s">
        <v>202</v>
      </c>
      <c r="D798" s="64">
        <v>3</v>
      </c>
      <c r="E798" s="65">
        <v>5.4298642533899999E-4</v>
      </c>
    </row>
    <row r="799" spans="2:5" ht="15" customHeight="1">
      <c r="B799" s="86"/>
      <c r="C799" s="36" t="s">
        <v>29</v>
      </c>
      <c r="D799" s="35">
        <v>43</v>
      </c>
      <c r="E799" s="34">
        <v>7.7828054298639997E-3</v>
      </c>
    </row>
    <row r="800" spans="2:5" ht="15" customHeight="1">
      <c r="B800" s="84" t="s">
        <v>132</v>
      </c>
      <c r="C800" s="63" t="s">
        <v>182</v>
      </c>
      <c r="D800" s="64">
        <v>5</v>
      </c>
      <c r="E800" s="65">
        <v>9.0497737556600002E-4</v>
      </c>
    </row>
    <row r="801" spans="2:5" ht="15" customHeight="1">
      <c r="B801" s="85"/>
      <c r="C801" s="63" t="s">
        <v>183</v>
      </c>
      <c r="D801" s="64">
        <v>1</v>
      </c>
      <c r="E801" s="65">
        <v>1.8099547511300001E-4</v>
      </c>
    </row>
    <row r="802" spans="2:5" ht="15" customHeight="1">
      <c r="B802" s="85"/>
      <c r="C802" s="63" t="s">
        <v>184</v>
      </c>
      <c r="D802" s="64">
        <v>2</v>
      </c>
      <c r="E802" s="65">
        <v>3.6199095022600001E-4</v>
      </c>
    </row>
    <row r="803" spans="2:5" ht="15" customHeight="1">
      <c r="B803" s="85"/>
      <c r="C803" s="63" t="s">
        <v>185</v>
      </c>
      <c r="D803" s="64">
        <v>3</v>
      </c>
      <c r="E803" s="65">
        <v>5.4298642533899999E-4</v>
      </c>
    </row>
    <row r="804" spans="2:5" ht="15" customHeight="1">
      <c r="B804" s="85"/>
      <c r="C804" s="63" t="s">
        <v>217</v>
      </c>
      <c r="D804" s="64">
        <v>1</v>
      </c>
      <c r="E804" s="65">
        <v>1.8099547511300001E-4</v>
      </c>
    </row>
    <row r="805" spans="2:5" ht="15" customHeight="1">
      <c r="B805" s="85"/>
      <c r="C805" s="63" t="s">
        <v>198</v>
      </c>
      <c r="D805" s="64">
        <v>1</v>
      </c>
      <c r="E805" s="65">
        <v>1.8099547511300001E-4</v>
      </c>
    </row>
    <row r="806" spans="2:5" ht="15" customHeight="1">
      <c r="B806" s="85"/>
      <c r="C806" s="63" t="s">
        <v>186</v>
      </c>
      <c r="D806" s="64">
        <v>2</v>
      </c>
      <c r="E806" s="65">
        <v>3.6199095022600001E-4</v>
      </c>
    </row>
    <row r="807" spans="2:5" ht="15" customHeight="1">
      <c r="B807" s="85"/>
      <c r="C807" s="63" t="s">
        <v>189</v>
      </c>
      <c r="D807" s="64">
        <v>1</v>
      </c>
      <c r="E807" s="65">
        <v>1.8099547511300001E-4</v>
      </c>
    </row>
    <row r="808" spans="2:5" ht="15" customHeight="1">
      <c r="B808" s="85"/>
      <c r="C808" s="63" t="s">
        <v>207</v>
      </c>
      <c r="D808" s="64">
        <v>1</v>
      </c>
      <c r="E808" s="65">
        <v>1.8099547511300001E-4</v>
      </c>
    </row>
    <row r="809" spans="2:5" ht="15" customHeight="1">
      <c r="B809" s="85"/>
      <c r="C809" s="63" t="s">
        <v>232</v>
      </c>
      <c r="D809" s="64">
        <v>1</v>
      </c>
      <c r="E809" s="65">
        <v>1.8099547511300001E-4</v>
      </c>
    </row>
    <row r="810" spans="2:5" ht="15" customHeight="1">
      <c r="B810" s="85"/>
      <c r="C810" s="63" t="s">
        <v>192</v>
      </c>
      <c r="D810" s="64">
        <v>1</v>
      </c>
      <c r="E810" s="65">
        <v>1.8099547511300001E-4</v>
      </c>
    </row>
    <row r="811" spans="2:5" ht="15" customHeight="1">
      <c r="B811" s="85"/>
      <c r="C811" s="63" t="s">
        <v>193</v>
      </c>
      <c r="D811" s="64">
        <v>3</v>
      </c>
      <c r="E811" s="65">
        <v>5.4298642533899999E-4</v>
      </c>
    </row>
    <row r="812" spans="2:5" ht="15" customHeight="1">
      <c r="B812" s="85"/>
      <c r="C812" s="63" t="s">
        <v>195</v>
      </c>
      <c r="D812" s="64">
        <v>3</v>
      </c>
      <c r="E812" s="65">
        <v>5.4298642533899999E-4</v>
      </c>
    </row>
    <row r="813" spans="2:5" ht="15" customHeight="1">
      <c r="B813" s="85"/>
      <c r="C813" s="63" t="s">
        <v>196</v>
      </c>
      <c r="D813" s="64">
        <v>3</v>
      </c>
      <c r="E813" s="65">
        <v>5.4298642533899999E-4</v>
      </c>
    </row>
    <row r="814" spans="2:5" ht="15" customHeight="1">
      <c r="B814" s="85"/>
      <c r="C814" s="63" t="s">
        <v>209</v>
      </c>
      <c r="D814" s="64">
        <v>1</v>
      </c>
      <c r="E814" s="65">
        <v>1.8099547511300001E-4</v>
      </c>
    </row>
    <row r="815" spans="2:5" ht="15" customHeight="1">
      <c r="B815" s="85"/>
      <c r="C815" s="63" t="s">
        <v>201</v>
      </c>
      <c r="D815" s="64">
        <v>2</v>
      </c>
      <c r="E815" s="65">
        <v>3.6199095022600001E-4</v>
      </c>
    </row>
    <row r="816" spans="2:5" ht="15" customHeight="1">
      <c r="B816" s="85"/>
      <c r="C816" s="63" t="s">
        <v>202</v>
      </c>
      <c r="D816" s="64">
        <v>2</v>
      </c>
      <c r="E816" s="65">
        <v>3.6199095022600001E-4</v>
      </c>
    </row>
    <row r="817" spans="2:5" ht="15" customHeight="1">
      <c r="B817" s="85"/>
      <c r="C817" s="63" t="s">
        <v>204</v>
      </c>
      <c r="D817" s="64">
        <v>1</v>
      </c>
      <c r="E817" s="65">
        <v>1.8099547511300001E-4</v>
      </c>
    </row>
    <row r="818" spans="2:5" ht="15" customHeight="1">
      <c r="B818" s="86"/>
      <c r="C818" s="36" t="s">
        <v>29</v>
      </c>
      <c r="D818" s="35">
        <v>34</v>
      </c>
      <c r="E818" s="34">
        <v>6.1538461538460003E-3</v>
      </c>
    </row>
    <row r="819" spans="2:5" ht="15" customHeight="1">
      <c r="B819" s="84" t="s">
        <v>70</v>
      </c>
      <c r="C819" s="63" t="s">
        <v>182</v>
      </c>
      <c r="D819" s="64">
        <v>2</v>
      </c>
      <c r="E819" s="65">
        <v>3.6199095022600001E-4</v>
      </c>
    </row>
    <row r="820" spans="2:5" ht="15" customHeight="1">
      <c r="B820" s="85"/>
      <c r="C820" s="63" t="s">
        <v>184</v>
      </c>
      <c r="D820" s="64">
        <v>2</v>
      </c>
      <c r="E820" s="65">
        <v>3.6199095022600001E-4</v>
      </c>
    </row>
    <row r="821" spans="2:5" ht="15" customHeight="1">
      <c r="B821" s="85"/>
      <c r="C821" s="63" t="s">
        <v>185</v>
      </c>
      <c r="D821" s="64">
        <v>2</v>
      </c>
      <c r="E821" s="65">
        <v>3.6199095022600001E-4</v>
      </c>
    </row>
    <row r="822" spans="2:5" ht="15" customHeight="1">
      <c r="B822" s="85"/>
      <c r="C822" s="63" t="s">
        <v>198</v>
      </c>
      <c r="D822" s="64">
        <v>1</v>
      </c>
      <c r="E822" s="65">
        <v>1.8099547511300001E-4</v>
      </c>
    </row>
    <row r="823" spans="2:5" ht="15" customHeight="1">
      <c r="B823" s="85"/>
      <c r="C823" s="63" t="s">
        <v>186</v>
      </c>
      <c r="D823" s="64">
        <v>3</v>
      </c>
      <c r="E823" s="65">
        <v>5.4298642533899999E-4</v>
      </c>
    </row>
    <row r="824" spans="2:5" ht="15" customHeight="1">
      <c r="B824" s="85"/>
      <c r="C824" s="63" t="s">
        <v>218</v>
      </c>
      <c r="D824" s="64">
        <v>1</v>
      </c>
      <c r="E824" s="65">
        <v>1.8099547511300001E-4</v>
      </c>
    </row>
    <row r="825" spans="2:5" ht="15" customHeight="1">
      <c r="B825" s="85"/>
      <c r="C825" s="63" t="s">
        <v>187</v>
      </c>
      <c r="D825" s="64">
        <v>1</v>
      </c>
      <c r="E825" s="65">
        <v>1.8099547511300001E-4</v>
      </c>
    </row>
    <row r="826" spans="2:5" ht="15" customHeight="1">
      <c r="B826" s="85"/>
      <c r="C826" s="63" t="s">
        <v>206</v>
      </c>
      <c r="D826" s="64">
        <v>1</v>
      </c>
      <c r="E826" s="65">
        <v>1.8099547511300001E-4</v>
      </c>
    </row>
    <row r="827" spans="2:5" ht="15" customHeight="1">
      <c r="B827" s="85"/>
      <c r="C827" s="63" t="s">
        <v>234</v>
      </c>
      <c r="D827" s="64">
        <v>2</v>
      </c>
      <c r="E827" s="65">
        <v>3.6199095022600001E-4</v>
      </c>
    </row>
    <row r="828" spans="2:5" ht="15" customHeight="1">
      <c r="B828" s="85"/>
      <c r="C828" s="63" t="s">
        <v>195</v>
      </c>
      <c r="D828" s="64">
        <v>3</v>
      </c>
      <c r="E828" s="65">
        <v>5.4298642533899999E-4</v>
      </c>
    </row>
    <row r="829" spans="2:5" ht="15" customHeight="1">
      <c r="B829" s="85"/>
      <c r="C829" s="63" t="s">
        <v>196</v>
      </c>
      <c r="D829" s="64">
        <v>2</v>
      </c>
      <c r="E829" s="65">
        <v>3.6199095022600001E-4</v>
      </c>
    </row>
    <row r="830" spans="2:5" ht="15" customHeight="1">
      <c r="B830" s="85"/>
      <c r="C830" s="63" t="s">
        <v>209</v>
      </c>
      <c r="D830" s="64">
        <v>2</v>
      </c>
      <c r="E830" s="65">
        <v>3.6199095022600001E-4</v>
      </c>
    </row>
    <row r="831" spans="2:5" ht="15" customHeight="1">
      <c r="B831" s="85"/>
      <c r="C831" s="63" t="s">
        <v>202</v>
      </c>
      <c r="D831" s="64">
        <v>2</v>
      </c>
      <c r="E831" s="65">
        <v>3.6199095022600001E-4</v>
      </c>
    </row>
    <row r="832" spans="2:5" ht="15" customHeight="1">
      <c r="B832" s="86"/>
      <c r="C832" s="36" t="s">
        <v>29</v>
      </c>
      <c r="D832" s="35">
        <v>24</v>
      </c>
      <c r="E832" s="34">
        <v>4.3438914027150001E-3</v>
      </c>
    </row>
    <row r="833" spans="2:5" ht="15" customHeight="1">
      <c r="B833" s="84" t="s">
        <v>133</v>
      </c>
      <c r="C833" s="63" t="s">
        <v>210</v>
      </c>
      <c r="D833" s="64">
        <v>4</v>
      </c>
      <c r="E833" s="65">
        <v>7.2398190045200002E-4</v>
      </c>
    </row>
    <row r="834" spans="2:5" ht="15" customHeight="1">
      <c r="B834" s="85"/>
      <c r="C834" s="63" t="s">
        <v>182</v>
      </c>
      <c r="D834" s="64">
        <v>4</v>
      </c>
      <c r="E834" s="65">
        <v>7.2398190045200002E-4</v>
      </c>
    </row>
    <row r="835" spans="2:5" ht="15" customHeight="1">
      <c r="B835" s="85"/>
      <c r="C835" s="63" t="s">
        <v>184</v>
      </c>
      <c r="D835" s="64">
        <v>4</v>
      </c>
      <c r="E835" s="65">
        <v>7.2398190045200002E-4</v>
      </c>
    </row>
    <row r="836" spans="2:5" ht="15" customHeight="1">
      <c r="B836" s="85"/>
      <c r="C836" s="63" t="s">
        <v>185</v>
      </c>
      <c r="D836" s="64">
        <v>3</v>
      </c>
      <c r="E836" s="65">
        <v>5.4298642533899999E-4</v>
      </c>
    </row>
    <row r="837" spans="2:5" ht="15" customHeight="1">
      <c r="B837" s="85"/>
      <c r="C837" s="63" t="s">
        <v>198</v>
      </c>
      <c r="D837" s="64">
        <v>1</v>
      </c>
      <c r="E837" s="65">
        <v>1.8099547511300001E-4</v>
      </c>
    </row>
    <row r="838" spans="2:5" ht="15" customHeight="1">
      <c r="B838" s="85"/>
      <c r="C838" s="63" t="s">
        <v>186</v>
      </c>
      <c r="D838" s="64">
        <v>7</v>
      </c>
      <c r="E838" s="65">
        <v>1.266968325792E-3</v>
      </c>
    </row>
    <row r="839" spans="2:5" ht="15" customHeight="1">
      <c r="B839" s="85"/>
      <c r="C839" s="63" t="s">
        <v>221</v>
      </c>
      <c r="D839" s="64">
        <v>4</v>
      </c>
      <c r="E839" s="65">
        <v>7.2398190045200002E-4</v>
      </c>
    </row>
    <row r="840" spans="2:5" ht="15" customHeight="1">
      <c r="B840" s="85"/>
      <c r="C840" s="63" t="s">
        <v>228</v>
      </c>
      <c r="D840" s="64">
        <v>1</v>
      </c>
      <c r="E840" s="65">
        <v>1.8099547511300001E-4</v>
      </c>
    </row>
    <row r="841" spans="2:5" ht="15" customHeight="1">
      <c r="B841" s="85"/>
      <c r="C841" s="63" t="s">
        <v>192</v>
      </c>
      <c r="D841" s="64">
        <v>1</v>
      </c>
      <c r="E841" s="65">
        <v>1.8099547511300001E-4</v>
      </c>
    </row>
    <row r="842" spans="2:5" ht="15" customHeight="1">
      <c r="B842" s="85"/>
      <c r="C842" s="63" t="s">
        <v>234</v>
      </c>
      <c r="D842" s="64">
        <v>1</v>
      </c>
      <c r="E842" s="65">
        <v>1.8099547511300001E-4</v>
      </c>
    </row>
    <row r="843" spans="2:5" ht="15" customHeight="1">
      <c r="B843" s="85"/>
      <c r="C843" s="63" t="s">
        <v>195</v>
      </c>
      <c r="D843" s="64">
        <v>7</v>
      </c>
      <c r="E843" s="65">
        <v>1.266968325792E-3</v>
      </c>
    </row>
    <row r="844" spans="2:5" ht="15" customHeight="1">
      <c r="B844" s="85"/>
      <c r="C844" s="63" t="s">
        <v>202</v>
      </c>
      <c r="D844" s="64">
        <v>1</v>
      </c>
      <c r="E844" s="65">
        <v>1.8099547511300001E-4</v>
      </c>
    </row>
    <row r="845" spans="2:5" ht="15" customHeight="1">
      <c r="B845" s="85"/>
      <c r="C845" s="63" t="s">
        <v>236</v>
      </c>
      <c r="D845" s="64">
        <v>3</v>
      </c>
      <c r="E845" s="65">
        <v>5.4298642533899999E-4</v>
      </c>
    </row>
    <row r="846" spans="2:5" ht="15" customHeight="1">
      <c r="B846" s="85"/>
      <c r="C846" s="63" t="s">
        <v>204</v>
      </c>
      <c r="D846" s="64">
        <v>4</v>
      </c>
      <c r="E846" s="65">
        <v>7.2398190045200002E-4</v>
      </c>
    </row>
    <row r="847" spans="2:5" ht="15" customHeight="1">
      <c r="B847" s="86"/>
      <c r="C847" s="36" t="s">
        <v>29</v>
      </c>
      <c r="D847" s="35">
        <v>45</v>
      </c>
      <c r="E847" s="34">
        <v>8.1447963800900004E-3</v>
      </c>
    </row>
    <row r="848" spans="2:5" ht="15" customHeight="1">
      <c r="B848" s="84" t="s">
        <v>134</v>
      </c>
      <c r="C848" s="63" t="s">
        <v>182</v>
      </c>
      <c r="D848" s="64">
        <v>23</v>
      </c>
      <c r="E848" s="65">
        <v>4.1628959276020002E-3</v>
      </c>
    </row>
    <row r="849" spans="2:5" ht="15" customHeight="1">
      <c r="B849" s="85"/>
      <c r="C849" s="63" t="s">
        <v>184</v>
      </c>
      <c r="D849" s="64">
        <v>4</v>
      </c>
      <c r="E849" s="65">
        <v>7.2398190045200002E-4</v>
      </c>
    </row>
    <row r="850" spans="2:5" ht="15" customHeight="1">
      <c r="B850" s="85"/>
      <c r="C850" s="63" t="s">
        <v>185</v>
      </c>
      <c r="D850" s="64">
        <v>3</v>
      </c>
      <c r="E850" s="65">
        <v>5.4298642533899999E-4</v>
      </c>
    </row>
    <row r="851" spans="2:5" ht="15" customHeight="1">
      <c r="B851" s="85"/>
      <c r="C851" s="63" t="s">
        <v>197</v>
      </c>
      <c r="D851" s="64">
        <v>1</v>
      </c>
      <c r="E851" s="65">
        <v>1.8099547511300001E-4</v>
      </c>
    </row>
    <row r="852" spans="2:5" ht="15" customHeight="1">
      <c r="B852" s="85"/>
      <c r="C852" s="63" t="s">
        <v>186</v>
      </c>
      <c r="D852" s="64">
        <v>1</v>
      </c>
      <c r="E852" s="65">
        <v>1.8099547511300001E-4</v>
      </c>
    </row>
    <row r="853" spans="2:5" ht="15" customHeight="1">
      <c r="B853" s="85"/>
      <c r="C853" s="63" t="s">
        <v>218</v>
      </c>
      <c r="D853" s="64">
        <v>55</v>
      </c>
      <c r="E853" s="65">
        <v>9.9547511312219998E-3</v>
      </c>
    </row>
    <row r="854" spans="2:5" ht="15" customHeight="1">
      <c r="B854" s="85"/>
      <c r="C854" s="63" t="s">
        <v>199</v>
      </c>
      <c r="D854" s="64">
        <v>1</v>
      </c>
      <c r="E854" s="65">
        <v>1.8099547511300001E-4</v>
      </c>
    </row>
    <row r="855" spans="2:5" ht="15" customHeight="1">
      <c r="B855" s="85"/>
      <c r="C855" s="63" t="s">
        <v>220</v>
      </c>
      <c r="D855" s="64">
        <v>1</v>
      </c>
      <c r="E855" s="65">
        <v>1.8099547511300001E-4</v>
      </c>
    </row>
    <row r="856" spans="2:5" ht="15" customHeight="1">
      <c r="B856" s="85"/>
      <c r="C856" s="63" t="s">
        <v>226</v>
      </c>
      <c r="D856" s="64">
        <v>1</v>
      </c>
      <c r="E856" s="65">
        <v>1.8099547511300001E-4</v>
      </c>
    </row>
    <row r="857" spans="2:5" ht="15" customHeight="1">
      <c r="B857" s="85"/>
      <c r="C857" s="63" t="s">
        <v>233</v>
      </c>
      <c r="D857" s="64">
        <v>3</v>
      </c>
      <c r="E857" s="65">
        <v>5.4298642533899999E-4</v>
      </c>
    </row>
    <row r="858" spans="2:5" ht="15" customHeight="1">
      <c r="B858" s="85"/>
      <c r="C858" s="63" t="s">
        <v>194</v>
      </c>
      <c r="D858" s="64">
        <v>1</v>
      </c>
      <c r="E858" s="65">
        <v>1.8099547511300001E-4</v>
      </c>
    </row>
    <row r="859" spans="2:5" ht="15" customHeight="1">
      <c r="B859" s="85"/>
      <c r="C859" s="63" t="s">
        <v>195</v>
      </c>
      <c r="D859" s="64">
        <v>10</v>
      </c>
      <c r="E859" s="65">
        <v>1.809954751131E-3</v>
      </c>
    </row>
    <row r="860" spans="2:5" ht="15" customHeight="1">
      <c r="B860" s="85"/>
      <c r="C860" s="63" t="s">
        <v>196</v>
      </c>
      <c r="D860" s="64">
        <v>5</v>
      </c>
      <c r="E860" s="65">
        <v>9.0497737556600002E-4</v>
      </c>
    </row>
    <row r="861" spans="2:5" ht="15" customHeight="1">
      <c r="B861" s="85"/>
      <c r="C861" s="63" t="s">
        <v>201</v>
      </c>
      <c r="D861" s="64">
        <v>1</v>
      </c>
      <c r="E861" s="65">
        <v>1.8099547511300001E-4</v>
      </c>
    </row>
    <row r="862" spans="2:5" ht="15" customHeight="1">
      <c r="B862" s="85"/>
      <c r="C862" s="63" t="s">
        <v>202</v>
      </c>
      <c r="D862" s="64">
        <v>8</v>
      </c>
      <c r="E862" s="65">
        <v>1.4479638009049999E-3</v>
      </c>
    </row>
    <row r="863" spans="2:5" ht="15" customHeight="1">
      <c r="B863" s="85"/>
      <c r="C863" s="63" t="s">
        <v>236</v>
      </c>
      <c r="D863" s="64">
        <v>1</v>
      </c>
      <c r="E863" s="65">
        <v>1.8099547511300001E-4</v>
      </c>
    </row>
    <row r="864" spans="2:5" ht="15" customHeight="1">
      <c r="B864" s="86"/>
      <c r="C864" s="36" t="s">
        <v>29</v>
      </c>
      <c r="D864" s="35">
        <v>119</v>
      </c>
      <c r="E864" s="34">
        <v>2.1538461538461999E-2</v>
      </c>
    </row>
    <row r="865" spans="2:5" ht="15" customHeight="1">
      <c r="B865" s="87" t="s">
        <v>29</v>
      </c>
      <c r="C865" s="88"/>
      <c r="D865" s="61">
        <v>5525</v>
      </c>
      <c r="E865" s="62">
        <v>1</v>
      </c>
    </row>
    <row r="867" spans="2:5" ht="15" customHeight="1">
      <c r="B867" s="15" t="s">
        <v>135</v>
      </c>
    </row>
    <row r="868" spans="2:5" ht="15" customHeight="1">
      <c r="B868" s="17" t="s">
        <v>18</v>
      </c>
    </row>
    <row r="869" spans="2:5" ht="15" customHeight="1">
      <c r="B869" s="16" t="s">
        <v>136</v>
      </c>
    </row>
    <row r="870" spans="2:5" ht="15" customHeight="1">
      <c r="B870" s="15" t="s">
        <v>17</v>
      </c>
    </row>
    <row r="871" spans="2:5" ht="15" customHeight="1">
      <c r="B871" s="15" t="s">
        <v>137</v>
      </c>
    </row>
  </sheetData>
  <mergeCells count="46">
    <mergeCell ref="B594:B624"/>
    <mergeCell ref="B461:B466"/>
    <mergeCell ref="B467:B494"/>
    <mergeCell ref="B495:B533"/>
    <mergeCell ref="B534:B545"/>
    <mergeCell ref="B546:B593"/>
    <mergeCell ref="B387:B394"/>
    <mergeCell ref="B395:B415"/>
    <mergeCell ref="B416:B433"/>
    <mergeCell ref="B434:B440"/>
    <mergeCell ref="B441:B460"/>
    <mergeCell ref="B331:B334"/>
    <mergeCell ref="B335:B350"/>
    <mergeCell ref="B351:B366"/>
    <mergeCell ref="B367:B374"/>
    <mergeCell ref="B375:B386"/>
    <mergeCell ref="B203:B228"/>
    <mergeCell ref="B229:B230"/>
    <mergeCell ref="B231:B248"/>
    <mergeCell ref="B249:B298"/>
    <mergeCell ref="B299:B330"/>
    <mergeCell ref="B7:E8"/>
    <mergeCell ref="B133:B163"/>
    <mergeCell ref="B164:B171"/>
    <mergeCell ref="B172:B178"/>
    <mergeCell ref="B179:B202"/>
    <mergeCell ref="B10:B25"/>
    <mergeCell ref="B26:B44"/>
    <mergeCell ref="B45:B59"/>
    <mergeCell ref="B60:B115"/>
    <mergeCell ref="B116:B132"/>
    <mergeCell ref="B625:B626"/>
    <mergeCell ref="B627:B638"/>
    <mergeCell ref="B639:B654"/>
    <mergeCell ref="B655:B666"/>
    <mergeCell ref="B667:B692"/>
    <mergeCell ref="B693:B695"/>
    <mergeCell ref="B696:B712"/>
    <mergeCell ref="B713:B727"/>
    <mergeCell ref="B728:B779"/>
    <mergeCell ref="B780:B799"/>
    <mergeCell ref="B800:B818"/>
    <mergeCell ref="B819:B832"/>
    <mergeCell ref="B833:B847"/>
    <mergeCell ref="B848:B864"/>
    <mergeCell ref="B865:C8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004"/>
  <sheetViews>
    <sheetView showGridLines="0" view="pageBreakPreview" topLeftCell="A72" zoomScale="85" zoomScaleNormal="100" zoomScaleSheetLayoutView="85" workbookViewId="0">
      <selection activeCell="C78" sqref="C78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6.542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 ht="14.5" customHeight="1">
      <c r="B10" s="84" t="s">
        <v>83</v>
      </c>
      <c r="C10" s="23" t="s">
        <v>211</v>
      </c>
      <c r="D10" s="68">
        <v>1</v>
      </c>
      <c r="E10" s="21">
        <v>1.8099547511300001E-4</v>
      </c>
    </row>
    <row r="11" spans="1:5" ht="14.5" customHeight="1">
      <c r="B11" s="85"/>
      <c r="C11" s="23" t="s">
        <v>183</v>
      </c>
      <c r="D11" s="68">
        <v>1</v>
      </c>
      <c r="E11" s="21">
        <v>1.8099547511300001E-4</v>
      </c>
    </row>
    <row r="12" spans="1:5" ht="14.5" customHeight="1">
      <c r="B12" s="85"/>
      <c r="C12" s="23" t="s">
        <v>184</v>
      </c>
      <c r="D12" s="68">
        <v>1</v>
      </c>
      <c r="E12" s="21">
        <v>1.8099547511300001E-4</v>
      </c>
    </row>
    <row r="13" spans="1:5" ht="14.5" customHeight="1">
      <c r="B13" s="85"/>
      <c r="C13" s="23" t="s">
        <v>185</v>
      </c>
      <c r="D13" s="68">
        <v>2</v>
      </c>
      <c r="E13" s="21">
        <v>3.6199095022600001E-4</v>
      </c>
    </row>
    <row r="14" spans="1:5" ht="14.5" customHeight="1">
      <c r="B14" s="85"/>
      <c r="C14" s="23" t="s">
        <v>197</v>
      </c>
      <c r="D14" s="68">
        <v>1</v>
      </c>
      <c r="E14" s="21">
        <v>1.8099547511300001E-4</v>
      </c>
    </row>
    <row r="15" spans="1:5" ht="14.5" customHeight="1">
      <c r="B15" s="85"/>
      <c r="C15" s="23" t="s">
        <v>186</v>
      </c>
      <c r="D15" s="68">
        <v>1</v>
      </c>
      <c r="E15" s="21">
        <v>1.8099547511300001E-4</v>
      </c>
    </row>
    <row r="16" spans="1:5" ht="14.5" customHeight="1">
      <c r="B16" s="85"/>
      <c r="C16" s="23" t="s">
        <v>206</v>
      </c>
      <c r="D16" s="68">
        <v>3</v>
      </c>
      <c r="E16" s="21">
        <v>5.4298642533899999E-4</v>
      </c>
    </row>
    <row r="17" spans="2:5" ht="14.5" customHeight="1">
      <c r="B17" s="85"/>
      <c r="C17" s="23" t="s">
        <v>207</v>
      </c>
      <c r="D17" s="68">
        <v>1</v>
      </c>
      <c r="E17" s="21">
        <v>1.8099547511300001E-4</v>
      </c>
    </row>
    <row r="18" spans="2:5" ht="14.5" customHeight="1">
      <c r="B18" s="85"/>
      <c r="C18" s="23" t="s">
        <v>195</v>
      </c>
      <c r="D18" s="68">
        <v>4</v>
      </c>
      <c r="E18" s="21">
        <v>7.2398190045200002E-4</v>
      </c>
    </row>
    <row r="19" spans="2:5" ht="14.5" customHeight="1">
      <c r="B19" s="85"/>
      <c r="C19" s="23" t="s">
        <v>235</v>
      </c>
      <c r="D19" s="68">
        <v>1</v>
      </c>
      <c r="E19" s="21">
        <v>1.8099547511300001E-4</v>
      </c>
    </row>
    <row r="20" spans="2:5" ht="14.5" customHeight="1">
      <c r="B20" s="85"/>
      <c r="C20" s="23" t="s">
        <v>202</v>
      </c>
      <c r="D20" s="68">
        <v>2</v>
      </c>
      <c r="E20" s="21">
        <v>3.6199095022600001E-4</v>
      </c>
    </row>
    <row r="21" spans="2:5" ht="14.5" customHeight="1">
      <c r="B21" s="85"/>
      <c r="C21" s="23" t="s">
        <v>203</v>
      </c>
      <c r="D21" s="68">
        <v>1</v>
      </c>
      <c r="E21" s="21">
        <v>1.8099547511300001E-4</v>
      </c>
    </row>
    <row r="22" spans="2:5" ht="14.5" customHeight="1">
      <c r="B22" s="86"/>
      <c r="C22" s="69" t="s">
        <v>29</v>
      </c>
      <c r="D22" s="70">
        <v>19</v>
      </c>
      <c r="E22" s="71">
        <v>3.438914027149E-3</v>
      </c>
    </row>
    <row r="23" spans="2:5" ht="14.5" customHeight="1">
      <c r="B23" s="84" t="s">
        <v>53</v>
      </c>
      <c r="C23" s="23" t="s">
        <v>182</v>
      </c>
      <c r="D23" s="68">
        <v>5</v>
      </c>
      <c r="E23" s="21">
        <v>9.0497737556600002E-4</v>
      </c>
    </row>
    <row r="24" spans="2:5" ht="14.5" customHeight="1">
      <c r="B24" s="85"/>
      <c r="C24" s="23" t="s">
        <v>183</v>
      </c>
      <c r="D24" s="68">
        <v>1</v>
      </c>
      <c r="E24" s="21">
        <v>1.8099547511300001E-4</v>
      </c>
    </row>
    <row r="25" spans="2:5" ht="14.5" customHeight="1">
      <c r="B25" s="85"/>
      <c r="C25" s="23" t="s">
        <v>213</v>
      </c>
      <c r="D25" s="68">
        <v>1</v>
      </c>
      <c r="E25" s="21">
        <v>1.8099547511300001E-4</v>
      </c>
    </row>
    <row r="26" spans="2:5" ht="14.5" customHeight="1">
      <c r="B26" s="85"/>
      <c r="C26" s="23" t="s">
        <v>184</v>
      </c>
      <c r="D26" s="68">
        <v>8</v>
      </c>
      <c r="E26" s="21">
        <v>1.4479638009049999E-3</v>
      </c>
    </row>
    <row r="27" spans="2:5" ht="14.5" customHeight="1">
      <c r="B27" s="85"/>
      <c r="C27" s="23" t="s">
        <v>185</v>
      </c>
      <c r="D27" s="68">
        <v>13</v>
      </c>
      <c r="E27" s="21">
        <v>2.352941176471E-3</v>
      </c>
    </row>
    <row r="28" spans="2:5" ht="14.5" customHeight="1">
      <c r="B28" s="85"/>
      <c r="C28" s="23" t="s">
        <v>198</v>
      </c>
      <c r="D28" s="68">
        <v>1</v>
      </c>
      <c r="E28" s="21">
        <v>1.8099547511300001E-4</v>
      </c>
    </row>
    <row r="29" spans="2:5" ht="14.5" customHeight="1">
      <c r="B29" s="85"/>
      <c r="C29" s="23" t="s">
        <v>186</v>
      </c>
      <c r="D29" s="68">
        <v>13</v>
      </c>
      <c r="E29" s="21">
        <v>2.352941176471E-3</v>
      </c>
    </row>
    <row r="30" spans="2:5" ht="14.5" customHeight="1">
      <c r="B30" s="85"/>
      <c r="C30" s="23" t="s">
        <v>187</v>
      </c>
      <c r="D30" s="68">
        <v>3</v>
      </c>
      <c r="E30" s="21">
        <v>5.4298642533899999E-4</v>
      </c>
    </row>
    <row r="31" spans="2:5" ht="14.5" customHeight="1">
      <c r="B31" s="85"/>
      <c r="C31" s="23" t="s">
        <v>188</v>
      </c>
      <c r="D31" s="68">
        <v>1</v>
      </c>
      <c r="E31" s="21">
        <v>1.8099547511300001E-4</v>
      </c>
    </row>
    <row r="32" spans="2:5" ht="14.5" customHeight="1">
      <c r="B32" s="85"/>
      <c r="C32" s="23" t="s">
        <v>199</v>
      </c>
      <c r="D32" s="68">
        <v>1</v>
      </c>
      <c r="E32" s="21">
        <v>1.8099547511300001E-4</v>
      </c>
    </row>
    <row r="33" spans="2:5" ht="28" customHeight="1">
      <c r="B33" s="85"/>
      <c r="C33" s="23" t="s">
        <v>200</v>
      </c>
      <c r="D33" s="68">
        <v>2</v>
      </c>
      <c r="E33" s="21">
        <v>3.6199095022600001E-4</v>
      </c>
    </row>
    <row r="34" spans="2:5" ht="14.5" customHeight="1">
      <c r="B34" s="85"/>
      <c r="C34" s="23" t="s">
        <v>189</v>
      </c>
      <c r="D34" s="68">
        <v>14</v>
      </c>
      <c r="E34" s="21">
        <v>2.533936651584E-3</v>
      </c>
    </row>
    <row r="35" spans="2:5" ht="14.5" customHeight="1">
      <c r="B35" s="85"/>
      <c r="C35" s="23" t="s">
        <v>206</v>
      </c>
      <c r="D35" s="68">
        <v>1</v>
      </c>
      <c r="E35" s="21">
        <v>1.8099547511300001E-4</v>
      </c>
    </row>
    <row r="36" spans="2:5" ht="14.5" customHeight="1">
      <c r="B36" s="85"/>
      <c r="C36" s="23" t="s">
        <v>221</v>
      </c>
      <c r="D36" s="68">
        <v>7</v>
      </c>
      <c r="E36" s="21">
        <v>1.266968325792E-3</v>
      </c>
    </row>
    <row r="37" spans="2:5" ht="14.5" customHeight="1">
      <c r="B37" s="85"/>
      <c r="C37" s="23" t="s">
        <v>222</v>
      </c>
      <c r="D37" s="68">
        <v>1</v>
      </c>
      <c r="E37" s="21">
        <v>1.8099547511300001E-4</v>
      </c>
    </row>
    <row r="38" spans="2:5" ht="14.5" customHeight="1">
      <c r="B38" s="85"/>
      <c r="C38" s="23" t="s">
        <v>190</v>
      </c>
      <c r="D38" s="68">
        <v>6</v>
      </c>
      <c r="E38" s="21">
        <v>1.0859728506790001E-3</v>
      </c>
    </row>
    <row r="39" spans="2:5" ht="14.5" customHeight="1">
      <c r="B39" s="85"/>
      <c r="C39" s="23" t="s">
        <v>230</v>
      </c>
      <c r="D39" s="68">
        <v>5</v>
      </c>
      <c r="E39" s="21">
        <v>9.0497737556600002E-4</v>
      </c>
    </row>
    <row r="40" spans="2:5" ht="14.5" customHeight="1">
      <c r="B40" s="85"/>
      <c r="C40" s="23" t="s">
        <v>232</v>
      </c>
      <c r="D40" s="68">
        <v>10</v>
      </c>
      <c r="E40" s="21">
        <v>1.809954751131E-3</v>
      </c>
    </row>
    <row r="41" spans="2:5" ht="14.5" customHeight="1">
      <c r="B41" s="85"/>
      <c r="C41" s="23" t="s">
        <v>191</v>
      </c>
      <c r="D41" s="68">
        <v>2</v>
      </c>
      <c r="E41" s="21">
        <v>3.6199095022600001E-4</v>
      </c>
    </row>
    <row r="42" spans="2:5" ht="14.5" customHeight="1">
      <c r="B42" s="85"/>
      <c r="C42" s="23" t="s">
        <v>192</v>
      </c>
      <c r="D42" s="68">
        <v>2</v>
      </c>
      <c r="E42" s="21">
        <v>3.6199095022600001E-4</v>
      </c>
    </row>
    <row r="43" spans="2:5" ht="14.5" customHeight="1">
      <c r="B43" s="85"/>
      <c r="C43" s="23" t="s">
        <v>193</v>
      </c>
      <c r="D43" s="68">
        <v>4</v>
      </c>
      <c r="E43" s="21">
        <v>7.2398190045200002E-4</v>
      </c>
    </row>
    <row r="44" spans="2:5" ht="14.5" customHeight="1">
      <c r="B44" s="85"/>
      <c r="C44" s="23" t="s">
        <v>194</v>
      </c>
      <c r="D44" s="68">
        <v>5</v>
      </c>
      <c r="E44" s="21">
        <v>9.0497737556600002E-4</v>
      </c>
    </row>
    <row r="45" spans="2:5" ht="14.5" customHeight="1">
      <c r="B45" s="85"/>
      <c r="C45" s="23" t="s">
        <v>234</v>
      </c>
      <c r="D45" s="68">
        <v>1</v>
      </c>
      <c r="E45" s="21">
        <v>1.8099547511300001E-4</v>
      </c>
    </row>
    <row r="46" spans="2:5" ht="14.5" customHeight="1">
      <c r="B46" s="85"/>
      <c r="C46" s="23" t="s">
        <v>195</v>
      </c>
      <c r="D46" s="68">
        <v>27</v>
      </c>
      <c r="E46" s="21">
        <v>4.8868778280539999E-3</v>
      </c>
    </row>
    <row r="47" spans="2:5" ht="14.5" customHeight="1">
      <c r="B47" s="85"/>
      <c r="C47" s="23" t="s">
        <v>196</v>
      </c>
      <c r="D47" s="68">
        <v>2</v>
      </c>
      <c r="E47" s="21">
        <v>3.6199095022600001E-4</v>
      </c>
    </row>
    <row r="48" spans="2:5" ht="14.5" customHeight="1">
      <c r="B48" s="85"/>
      <c r="C48" s="23" t="s">
        <v>208</v>
      </c>
      <c r="D48" s="68">
        <v>1</v>
      </c>
      <c r="E48" s="21">
        <v>1.8099547511300001E-4</v>
      </c>
    </row>
    <row r="49" spans="2:5" ht="14.5" customHeight="1">
      <c r="B49" s="85"/>
      <c r="C49" s="23" t="s">
        <v>209</v>
      </c>
      <c r="D49" s="68">
        <v>3</v>
      </c>
      <c r="E49" s="21">
        <v>5.4298642533899999E-4</v>
      </c>
    </row>
    <row r="50" spans="2:5" ht="14.5" customHeight="1">
      <c r="B50" s="85"/>
      <c r="C50" s="23" t="s">
        <v>201</v>
      </c>
      <c r="D50" s="68">
        <v>5</v>
      </c>
      <c r="E50" s="21">
        <v>9.0497737556600002E-4</v>
      </c>
    </row>
    <row r="51" spans="2:5" ht="14.5" customHeight="1">
      <c r="B51" s="85"/>
      <c r="C51" s="23" t="s">
        <v>202</v>
      </c>
      <c r="D51" s="68">
        <v>2</v>
      </c>
      <c r="E51" s="21">
        <v>3.6199095022600001E-4</v>
      </c>
    </row>
    <row r="52" spans="2:5" ht="14.5" customHeight="1">
      <c r="B52" s="85"/>
      <c r="C52" s="23" t="s">
        <v>204</v>
      </c>
      <c r="D52" s="68">
        <v>23</v>
      </c>
      <c r="E52" s="21">
        <v>4.1628959276020002E-3</v>
      </c>
    </row>
    <row r="53" spans="2:5" ht="14.5" customHeight="1">
      <c r="B53" s="86"/>
      <c r="C53" s="69" t="s">
        <v>29</v>
      </c>
      <c r="D53" s="70">
        <v>170</v>
      </c>
      <c r="E53" s="71">
        <v>3.0769230769231E-2</v>
      </c>
    </row>
    <row r="54" spans="2:5" ht="14.5" customHeight="1">
      <c r="B54" s="84" t="s">
        <v>81</v>
      </c>
      <c r="C54" s="23" t="s">
        <v>210</v>
      </c>
      <c r="D54" s="68">
        <v>1</v>
      </c>
      <c r="E54" s="21">
        <v>1.8099547511300001E-4</v>
      </c>
    </row>
    <row r="55" spans="2:5" ht="14.5" customHeight="1">
      <c r="B55" s="85"/>
      <c r="C55" s="23" t="s">
        <v>182</v>
      </c>
      <c r="D55" s="68">
        <v>5</v>
      </c>
      <c r="E55" s="21">
        <v>9.0497737556600002E-4</v>
      </c>
    </row>
    <row r="56" spans="2:5" ht="14.5" customHeight="1">
      <c r="B56" s="85"/>
      <c r="C56" s="23" t="s">
        <v>184</v>
      </c>
      <c r="D56" s="68">
        <v>3</v>
      </c>
      <c r="E56" s="21">
        <v>5.4298642533899999E-4</v>
      </c>
    </row>
    <row r="57" spans="2:5" ht="14.5" customHeight="1">
      <c r="B57" s="85"/>
      <c r="C57" s="23" t="s">
        <v>185</v>
      </c>
      <c r="D57" s="68">
        <v>1</v>
      </c>
      <c r="E57" s="21">
        <v>1.8099547511300001E-4</v>
      </c>
    </row>
    <row r="58" spans="2:5" ht="14.5" customHeight="1">
      <c r="B58" s="85"/>
      <c r="C58" s="23" t="s">
        <v>216</v>
      </c>
      <c r="D58" s="68">
        <v>1</v>
      </c>
      <c r="E58" s="21">
        <v>1.8099547511300001E-4</v>
      </c>
    </row>
    <row r="59" spans="2:5" ht="14.5" customHeight="1">
      <c r="B59" s="85"/>
      <c r="C59" s="23" t="s">
        <v>186</v>
      </c>
      <c r="D59" s="68">
        <v>1</v>
      </c>
      <c r="E59" s="21">
        <v>1.8099547511300001E-4</v>
      </c>
    </row>
    <row r="60" spans="2:5" ht="14.5" customHeight="1">
      <c r="B60" s="85"/>
      <c r="C60" s="23" t="s">
        <v>187</v>
      </c>
      <c r="D60" s="68">
        <v>1</v>
      </c>
      <c r="E60" s="21">
        <v>1.8099547511300001E-4</v>
      </c>
    </row>
    <row r="61" spans="2:5" ht="14.5" customHeight="1">
      <c r="B61" s="85"/>
      <c r="C61" s="23" t="s">
        <v>199</v>
      </c>
      <c r="D61" s="68">
        <v>1</v>
      </c>
      <c r="E61" s="21">
        <v>1.8099547511300001E-4</v>
      </c>
    </row>
    <row r="62" spans="2:5" ht="14.5" customHeight="1">
      <c r="B62" s="85"/>
      <c r="C62" s="23" t="s">
        <v>190</v>
      </c>
      <c r="D62" s="68">
        <v>2</v>
      </c>
      <c r="E62" s="21">
        <v>3.6199095022600001E-4</v>
      </c>
    </row>
    <row r="63" spans="2:5" ht="14.5" customHeight="1">
      <c r="B63" s="85"/>
      <c r="C63" s="23" t="s">
        <v>232</v>
      </c>
      <c r="D63" s="68">
        <v>1</v>
      </c>
      <c r="E63" s="21">
        <v>1.8099547511300001E-4</v>
      </c>
    </row>
    <row r="64" spans="2:5" ht="14.5" customHeight="1">
      <c r="B64" s="85"/>
      <c r="C64" s="23" t="s">
        <v>194</v>
      </c>
      <c r="D64" s="68">
        <v>1</v>
      </c>
      <c r="E64" s="21">
        <v>1.8099547511300001E-4</v>
      </c>
    </row>
    <row r="65" spans="2:5" ht="14.5" customHeight="1">
      <c r="B65" s="85"/>
      <c r="C65" s="23" t="s">
        <v>234</v>
      </c>
      <c r="D65" s="68">
        <v>1</v>
      </c>
      <c r="E65" s="21">
        <v>1.8099547511300001E-4</v>
      </c>
    </row>
    <row r="66" spans="2:5" ht="14.5" customHeight="1">
      <c r="B66" s="85"/>
      <c r="C66" s="23" t="s">
        <v>195</v>
      </c>
      <c r="D66" s="68">
        <v>3</v>
      </c>
      <c r="E66" s="21">
        <v>5.4298642533899999E-4</v>
      </c>
    </row>
    <row r="67" spans="2:5" ht="14.5" customHeight="1">
      <c r="B67" s="85"/>
      <c r="C67" s="23" t="s">
        <v>204</v>
      </c>
      <c r="D67" s="68">
        <v>4</v>
      </c>
      <c r="E67" s="21">
        <v>7.2398190045200002E-4</v>
      </c>
    </row>
    <row r="68" spans="2:5" ht="14.5" customHeight="1">
      <c r="B68" s="86"/>
      <c r="C68" s="69" t="s">
        <v>29</v>
      </c>
      <c r="D68" s="70">
        <v>26</v>
      </c>
      <c r="E68" s="71">
        <v>4.705882352941E-3</v>
      </c>
    </row>
    <row r="69" spans="2:5" ht="14.5" customHeight="1">
      <c r="B69" s="84" t="s">
        <v>57</v>
      </c>
      <c r="C69" s="23" t="s">
        <v>182</v>
      </c>
      <c r="D69" s="68">
        <v>20</v>
      </c>
      <c r="E69" s="21">
        <v>3.6199095022619999E-3</v>
      </c>
    </row>
    <row r="70" spans="2:5" ht="14.5" customHeight="1">
      <c r="B70" s="85"/>
      <c r="C70" s="23" t="s">
        <v>213</v>
      </c>
      <c r="D70" s="68">
        <v>1</v>
      </c>
      <c r="E70" s="21">
        <v>1.8099547511300001E-4</v>
      </c>
    </row>
    <row r="71" spans="2:5" ht="14.5" customHeight="1">
      <c r="B71" s="85"/>
      <c r="C71" s="23" t="s">
        <v>184</v>
      </c>
      <c r="D71" s="68">
        <v>6</v>
      </c>
      <c r="E71" s="21">
        <v>1.0859728506790001E-3</v>
      </c>
    </row>
    <row r="72" spans="2:5" ht="14.5" customHeight="1">
      <c r="B72" s="85"/>
      <c r="C72" s="23" t="s">
        <v>185</v>
      </c>
      <c r="D72" s="68">
        <v>5</v>
      </c>
      <c r="E72" s="21">
        <v>9.0497737556600002E-4</v>
      </c>
    </row>
    <row r="73" spans="2:5" ht="14.5" customHeight="1">
      <c r="B73" s="85"/>
      <c r="C73" s="23" t="s">
        <v>241</v>
      </c>
      <c r="D73" s="68">
        <v>2</v>
      </c>
      <c r="E73" s="21">
        <v>3.6199095022600001E-4</v>
      </c>
    </row>
    <row r="74" spans="2:5" ht="14.5" customHeight="1">
      <c r="B74" s="85"/>
      <c r="C74" s="23" t="s">
        <v>186</v>
      </c>
      <c r="D74" s="68">
        <v>3</v>
      </c>
      <c r="E74" s="21">
        <v>5.4298642533899999E-4</v>
      </c>
    </row>
    <row r="75" spans="2:5" ht="14.5" customHeight="1">
      <c r="B75" s="85"/>
      <c r="C75" s="23" t="s">
        <v>218</v>
      </c>
      <c r="D75" s="68">
        <v>68</v>
      </c>
      <c r="E75" s="21">
        <v>1.2307692307692001E-2</v>
      </c>
    </row>
    <row r="76" spans="2:5" ht="14.5" customHeight="1">
      <c r="B76" s="85"/>
      <c r="C76" s="23" t="s">
        <v>187</v>
      </c>
      <c r="D76" s="68">
        <v>4</v>
      </c>
      <c r="E76" s="21">
        <v>7.2398190045200002E-4</v>
      </c>
    </row>
    <row r="77" spans="2:5" ht="14.5" customHeight="1">
      <c r="B77" s="85"/>
      <c r="C77" s="23" t="s">
        <v>220</v>
      </c>
      <c r="D77" s="68">
        <v>1</v>
      </c>
      <c r="E77" s="21">
        <v>1.8099547511300001E-4</v>
      </c>
    </row>
    <row r="78" spans="2:5" ht="28" customHeight="1">
      <c r="B78" s="85"/>
      <c r="C78" s="23" t="s">
        <v>237</v>
      </c>
      <c r="D78" s="68">
        <v>2</v>
      </c>
      <c r="E78" s="21">
        <v>3.6199095022600001E-4</v>
      </c>
    </row>
    <row r="79" spans="2:5" ht="14.5" customHeight="1">
      <c r="B79" s="85"/>
      <c r="C79" s="23" t="s">
        <v>207</v>
      </c>
      <c r="D79" s="68">
        <v>1</v>
      </c>
      <c r="E79" s="21">
        <v>1.8099547511300001E-4</v>
      </c>
    </row>
    <row r="80" spans="2:5" ht="14.5" customHeight="1">
      <c r="B80" s="85"/>
      <c r="C80" s="23" t="s">
        <v>195</v>
      </c>
      <c r="D80" s="68">
        <v>12</v>
      </c>
      <c r="E80" s="21">
        <v>2.171945701357E-3</v>
      </c>
    </row>
    <row r="81" spans="2:5" ht="14.5" customHeight="1">
      <c r="B81" s="85"/>
      <c r="C81" s="23" t="s">
        <v>196</v>
      </c>
      <c r="D81" s="68">
        <v>2</v>
      </c>
      <c r="E81" s="21">
        <v>3.6199095022600001E-4</v>
      </c>
    </row>
    <row r="82" spans="2:5" ht="14.5" customHeight="1">
      <c r="B82" s="85"/>
      <c r="C82" s="23" t="s">
        <v>235</v>
      </c>
      <c r="D82" s="68">
        <v>1</v>
      </c>
      <c r="E82" s="21">
        <v>1.8099547511300001E-4</v>
      </c>
    </row>
    <row r="83" spans="2:5" ht="14.5" customHeight="1">
      <c r="B83" s="85"/>
      <c r="C83" s="23" t="s">
        <v>209</v>
      </c>
      <c r="D83" s="68">
        <v>1</v>
      </c>
      <c r="E83" s="21">
        <v>1.8099547511300001E-4</v>
      </c>
    </row>
    <row r="84" spans="2:5" ht="14.5" customHeight="1">
      <c r="B84" s="85"/>
      <c r="C84" s="23" t="s">
        <v>202</v>
      </c>
      <c r="D84" s="68">
        <v>5</v>
      </c>
      <c r="E84" s="21">
        <v>9.0497737556600002E-4</v>
      </c>
    </row>
    <row r="85" spans="2:5" ht="14.5" customHeight="1">
      <c r="B85" s="85"/>
      <c r="C85" s="23" t="s">
        <v>236</v>
      </c>
      <c r="D85" s="68">
        <v>1</v>
      </c>
      <c r="E85" s="21">
        <v>1.8099547511300001E-4</v>
      </c>
    </row>
    <row r="86" spans="2:5" ht="14.5" customHeight="1">
      <c r="B86" s="86"/>
      <c r="C86" s="69" t="s">
        <v>29</v>
      </c>
      <c r="D86" s="70">
        <v>135</v>
      </c>
      <c r="E86" s="71">
        <v>2.4434389140271E-2</v>
      </c>
    </row>
    <row r="87" spans="2:5" ht="14.5" customHeight="1">
      <c r="B87" s="84" t="s">
        <v>52</v>
      </c>
      <c r="C87" s="23" t="s">
        <v>210</v>
      </c>
      <c r="D87" s="68">
        <v>1</v>
      </c>
      <c r="E87" s="21">
        <v>1.8099547511300001E-4</v>
      </c>
    </row>
    <row r="88" spans="2:5" ht="14.5" customHeight="1">
      <c r="B88" s="85"/>
      <c r="C88" s="23" t="s">
        <v>212</v>
      </c>
      <c r="D88" s="68">
        <v>1</v>
      </c>
      <c r="E88" s="21">
        <v>1.8099547511300001E-4</v>
      </c>
    </row>
    <row r="89" spans="2:5" ht="14.5" customHeight="1">
      <c r="B89" s="85"/>
      <c r="C89" s="23" t="s">
        <v>182</v>
      </c>
      <c r="D89" s="68">
        <v>2</v>
      </c>
      <c r="E89" s="21">
        <v>3.6199095022600001E-4</v>
      </c>
    </row>
    <row r="90" spans="2:5" ht="14.5" customHeight="1">
      <c r="B90" s="85"/>
      <c r="C90" s="23" t="s">
        <v>184</v>
      </c>
      <c r="D90" s="68">
        <v>1</v>
      </c>
      <c r="E90" s="21">
        <v>1.8099547511300001E-4</v>
      </c>
    </row>
    <row r="91" spans="2:5" ht="14.5" customHeight="1">
      <c r="B91" s="85"/>
      <c r="C91" s="23" t="s">
        <v>185</v>
      </c>
      <c r="D91" s="68">
        <v>33</v>
      </c>
      <c r="E91" s="21">
        <v>5.9728506787330004E-3</v>
      </c>
    </row>
    <row r="92" spans="2:5" ht="14.5" customHeight="1">
      <c r="B92" s="85"/>
      <c r="C92" s="23" t="s">
        <v>197</v>
      </c>
      <c r="D92" s="68">
        <v>2</v>
      </c>
      <c r="E92" s="21">
        <v>3.6199095022600001E-4</v>
      </c>
    </row>
    <row r="93" spans="2:5" ht="14.5" customHeight="1">
      <c r="B93" s="85"/>
      <c r="C93" s="23" t="s">
        <v>216</v>
      </c>
      <c r="D93" s="68">
        <v>1</v>
      </c>
      <c r="E93" s="21">
        <v>1.8099547511300001E-4</v>
      </c>
    </row>
    <row r="94" spans="2:5" ht="14.5" customHeight="1">
      <c r="B94" s="85"/>
      <c r="C94" s="23" t="s">
        <v>186</v>
      </c>
      <c r="D94" s="68">
        <v>2</v>
      </c>
      <c r="E94" s="21">
        <v>3.6199095022600001E-4</v>
      </c>
    </row>
    <row r="95" spans="2:5" ht="14.5" customHeight="1">
      <c r="B95" s="85"/>
      <c r="C95" s="23" t="s">
        <v>218</v>
      </c>
      <c r="D95" s="68">
        <v>2</v>
      </c>
      <c r="E95" s="21">
        <v>3.6199095022600001E-4</v>
      </c>
    </row>
    <row r="96" spans="2:5" ht="14.5" customHeight="1">
      <c r="B96" s="85"/>
      <c r="C96" s="23" t="s">
        <v>187</v>
      </c>
      <c r="D96" s="68">
        <v>5</v>
      </c>
      <c r="E96" s="21">
        <v>9.0497737556600002E-4</v>
      </c>
    </row>
    <row r="97" spans="2:5" ht="14.5" customHeight="1">
      <c r="B97" s="85"/>
      <c r="C97" s="23" t="s">
        <v>188</v>
      </c>
      <c r="D97" s="68">
        <v>1</v>
      </c>
      <c r="E97" s="21">
        <v>1.8099547511300001E-4</v>
      </c>
    </row>
    <row r="98" spans="2:5" ht="28" customHeight="1">
      <c r="B98" s="85"/>
      <c r="C98" s="23" t="s">
        <v>200</v>
      </c>
      <c r="D98" s="68">
        <v>7</v>
      </c>
      <c r="E98" s="21">
        <v>1.266968325792E-3</v>
      </c>
    </row>
    <row r="99" spans="2:5" ht="14.5" customHeight="1">
      <c r="B99" s="85"/>
      <c r="C99" s="23" t="s">
        <v>206</v>
      </c>
      <c r="D99" s="68">
        <v>39</v>
      </c>
      <c r="E99" s="21">
        <v>7.058823529412E-3</v>
      </c>
    </row>
    <row r="100" spans="2:5" ht="28" customHeight="1">
      <c r="B100" s="85"/>
      <c r="C100" s="23" t="s">
        <v>237</v>
      </c>
      <c r="D100" s="68">
        <v>1</v>
      </c>
      <c r="E100" s="21">
        <v>1.8099547511300001E-4</v>
      </c>
    </row>
    <row r="101" spans="2:5" ht="14.5" customHeight="1">
      <c r="B101" s="85"/>
      <c r="C101" s="23" t="s">
        <v>221</v>
      </c>
      <c r="D101" s="68">
        <v>6</v>
      </c>
      <c r="E101" s="21">
        <v>1.0859728506790001E-3</v>
      </c>
    </row>
    <row r="102" spans="2:5" ht="14.5" customHeight="1">
      <c r="B102" s="85"/>
      <c r="C102" s="23" t="s">
        <v>238</v>
      </c>
      <c r="D102" s="68">
        <v>1</v>
      </c>
      <c r="E102" s="21">
        <v>1.8099547511300001E-4</v>
      </c>
    </row>
    <row r="103" spans="2:5" ht="14.5" customHeight="1">
      <c r="B103" s="85"/>
      <c r="C103" s="23" t="s">
        <v>222</v>
      </c>
      <c r="D103" s="68">
        <v>2</v>
      </c>
      <c r="E103" s="21">
        <v>3.6199095022600001E-4</v>
      </c>
    </row>
    <row r="104" spans="2:5" ht="14.5" customHeight="1">
      <c r="B104" s="85"/>
      <c r="C104" s="23" t="s">
        <v>239</v>
      </c>
      <c r="D104" s="68">
        <v>4</v>
      </c>
      <c r="E104" s="21">
        <v>7.2398190045200002E-4</v>
      </c>
    </row>
    <row r="105" spans="2:5" ht="14.5" customHeight="1">
      <c r="B105" s="85"/>
      <c r="C105" s="23" t="s">
        <v>224</v>
      </c>
      <c r="D105" s="68">
        <v>3</v>
      </c>
      <c r="E105" s="21">
        <v>5.4298642533899999E-4</v>
      </c>
    </row>
    <row r="106" spans="2:5" ht="14.5" customHeight="1">
      <c r="B106" s="85"/>
      <c r="C106" s="23" t="s">
        <v>190</v>
      </c>
      <c r="D106" s="68">
        <v>5</v>
      </c>
      <c r="E106" s="21">
        <v>9.0497737556600002E-4</v>
      </c>
    </row>
    <row r="107" spans="2:5" ht="14.5" customHeight="1">
      <c r="B107" s="85"/>
      <c r="C107" s="23" t="s">
        <v>227</v>
      </c>
      <c r="D107" s="68">
        <v>1</v>
      </c>
      <c r="E107" s="21">
        <v>1.8099547511300001E-4</v>
      </c>
    </row>
    <row r="108" spans="2:5" ht="14.5" customHeight="1">
      <c r="B108" s="85"/>
      <c r="C108" s="23" t="s">
        <v>240</v>
      </c>
      <c r="D108" s="68">
        <v>6</v>
      </c>
      <c r="E108" s="21">
        <v>1.0859728506790001E-3</v>
      </c>
    </row>
    <row r="109" spans="2:5" ht="14.5" customHeight="1">
      <c r="B109" s="85"/>
      <c r="C109" s="23" t="s">
        <v>228</v>
      </c>
      <c r="D109" s="68">
        <v>1</v>
      </c>
      <c r="E109" s="21">
        <v>1.8099547511300001E-4</v>
      </c>
    </row>
    <row r="110" spans="2:5" ht="14.5" customHeight="1">
      <c r="B110" s="85"/>
      <c r="C110" s="23" t="s">
        <v>191</v>
      </c>
      <c r="D110" s="68">
        <v>6</v>
      </c>
      <c r="E110" s="21">
        <v>1.0859728506790001E-3</v>
      </c>
    </row>
    <row r="111" spans="2:5" ht="14.5" customHeight="1">
      <c r="B111" s="85"/>
      <c r="C111" s="23" t="s">
        <v>192</v>
      </c>
      <c r="D111" s="68">
        <v>7</v>
      </c>
      <c r="E111" s="21">
        <v>1.266968325792E-3</v>
      </c>
    </row>
    <row r="112" spans="2:5" ht="14.5" customHeight="1">
      <c r="B112" s="85"/>
      <c r="C112" s="23" t="s">
        <v>234</v>
      </c>
      <c r="D112" s="68">
        <v>42</v>
      </c>
      <c r="E112" s="21">
        <v>7.6018099547509998E-3</v>
      </c>
    </row>
    <row r="113" spans="2:5" ht="14.5" customHeight="1">
      <c r="B113" s="85"/>
      <c r="C113" s="23" t="s">
        <v>195</v>
      </c>
      <c r="D113" s="68">
        <v>43</v>
      </c>
      <c r="E113" s="21">
        <v>7.7828054298639997E-3</v>
      </c>
    </row>
    <row r="114" spans="2:5" ht="14.5" customHeight="1">
      <c r="B114" s="85"/>
      <c r="C114" s="23" t="s">
        <v>196</v>
      </c>
      <c r="D114" s="68">
        <v>1</v>
      </c>
      <c r="E114" s="21">
        <v>1.8099547511300001E-4</v>
      </c>
    </row>
    <row r="115" spans="2:5" ht="14.5" customHeight="1">
      <c r="B115" s="85"/>
      <c r="C115" s="23" t="s">
        <v>203</v>
      </c>
      <c r="D115" s="68">
        <v>4</v>
      </c>
      <c r="E115" s="21">
        <v>7.2398190045200002E-4</v>
      </c>
    </row>
    <row r="116" spans="2:5" ht="14.5" customHeight="1">
      <c r="B116" s="85"/>
      <c r="C116" s="23" t="s">
        <v>204</v>
      </c>
      <c r="D116" s="68">
        <v>24</v>
      </c>
      <c r="E116" s="21">
        <v>4.3438914027150001E-3</v>
      </c>
    </row>
    <row r="117" spans="2:5" ht="14.5" customHeight="1">
      <c r="B117" s="86"/>
      <c r="C117" s="69" t="s">
        <v>29</v>
      </c>
      <c r="D117" s="70">
        <v>254</v>
      </c>
      <c r="E117" s="71">
        <v>4.5972850678733003E-2</v>
      </c>
    </row>
    <row r="118" spans="2:5" ht="14.5" customHeight="1">
      <c r="B118" s="84" t="s">
        <v>87</v>
      </c>
      <c r="C118" s="23" t="s">
        <v>182</v>
      </c>
      <c r="D118" s="68">
        <v>1</v>
      </c>
      <c r="E118" s="21">
        <v>1.8099547511300001E-4</v>
      </c>
    </row>
    <row r="119" spans="2:5" ht="14.5" customHeight="1">
      <c r="B119" s="85"/>
      <c r="C119" s="23" t="s">
        <v>204</v>
      </c>
      <c r="D119" s="68">
        <v>1</v>
      </c>
      <c r="E119" s="21">
        <v>1.8099547511300001E-4</v>
      </c>
    </row>
    <row r="120" spans="2:5" ht="14.5" customHeight="1">
      <c r="B120" s="86"/>
      <c r="C120" s="69" t="s">
        <v>29</v>
      </c>
      <c r="D120" s="70">
        <v>2</v>
      </c>
      <c r="E120" s="71">
        <v>3.6199095022600001E-4</v>
      </c>
    </row>
    <row r="121" spans="2:5" ht="14.5" customHeight="1">
      <c r="B121" s="84" t="s">
        <v>47</v>
      </c>
      <c r="C121" s="23" t="s">
        <v>210</v>
      </c>
      <c r="D121" s="68">
        <v>23</v>
      </c>
      <c r="E121" s="21">
        <v>4.1628959276020002E-3</v>
      </c>
    </row>
    <row r="122" spans="2:5" ht="14.5" customHeight="1">
      <c r="B122" s="85"/>
      <c r="C122" s="23" t="s">
        <v>211</v>
      </c>
      <c r="D122" s="68">
        <v>6</v>
      </c>
      <c r="E122" s="21">
        <v>1.0859728506790001E-3</v>
      </c>
    </row>
    <row r="123" spans="2:5" ht="14.5" customHeight="1">
      <c r="B123" s="85"/>
      <c r="C123" s="23" t="s">
        <v>212</v>
      </c>
      <c r="D123" s="68">
        <v>6</v>
      </c>
      <c r="E123" s="21">
        <v>1.0859728506790001E-3</v>
      </c>
    </row>
    <row r="124" spans="2:5" ht="14.5" customHeight="1">
      <c r="B124" s="85"/>
      <c r="C124" s="23" t="s">
        <v>182</v>
      </c>
      <c r="D124" s="68">
        <v>40</v>
      </c>
      <c r="E124" s="21">
        <v>7.2398190045249999E-3</v>
      </c>
    </row>
    <row r="125" spans="2:5" ht="14.5" customHeight="1">
      <c r="B125" s="85"/>
      <c r="C125" s="23" t="s">
        <v>183</v>
      </c>
      <c r="D125" s="68">
        <v>2</v>
      </c>
      <c r="E125" s="21">
        <v>3.6199095022600001E-4</v>
      </c>
    </row>
    <row r="126" spans="2:5" ht="14.5" customHeight="1">
      <c r="B126" s="85"/>
      <c r="C126" s="23" t="s">
        <v>213</v>
      </c>
      <c r="D126" s="68">
        <v>12</v>
      </c>
      <c r="E126" s="21">
        <v>2.171945701357E-3</v>
      </c>
    </row>
    <row r="127" spans="2:5" ht="14.5" customHeight="1">
      <c r="B127" s="85"/>
      <c r="C127" s="23" t="s">
        <v>214</v>
      </c>
      <c r="D127" s="68">
        <v>1</v>
      </c>
      <c r="E127" s="21">
        <v>1.8099547511300001E-4</v>
      </c>
    </row>
    <row r="128" spans="2:5" ht="14.5" customHeight="1">
      <c r="B128" s="85"/>
      <c r="C128" s="23" t="s">
        <v>184</v>
      </c>
      <c r="D128" s="68">
        <v>43</v>
      </c>
      <c r="E128" s="21">
        <v>7.7828054298639997E-3</v>
      </c>
    </row>
    <row r="129" spans="2:5" ht="14.5" customHeight="1">
      <c r="B129" s="85"/>
      <c r="C129" s="23" t="s">
        <v>185</v>
      </c>
      <c r="D129" s="68">
        <v>52</v>
      </c>
      <c r="E129" s="21">
        <v>9.411764705882E-3</v>
      </c>
    </row>
    <row r="130" spans="2:5" ht="14.5" customHeight="1">
      <c r="B130" s="85"/>
      <c r="C130" s="23" t="s">
        <v>197</v>
      </c>
      <c r="D130" s="68">
        <v>9</v>
      </c>
      <c r="E130" s="21">
        <v>1.628959276018E-3</v>
      </c>
    </row>
    <row r="131" spans="2:5" ht="14.5" customHeight="1">
      <c r="B131" s="85"/>
      <c r="C131" s="23" t="s">
        <v>215</v>
      </c>
      <c r="D131" s="68">
        <v>1</v>
      </c>
      <c r="E131" s="21">
        <v>1.8099547511300001E-4</v>
      </c>
    </row>
    <row r="132" spans="2:5" ht="14.5" customHeight="1">
      <c r="B132" s="85"/>
      <c r="C132" s="23" t="s">
        <v>216</v>
      </c>
      <c r="D132" s="68">
        <v>9</v>
      </c>
      <c r="E132" s="21">
        <v>1.628959276018E-3</v>
      </c>
    </row>
    <row r="133" spans="2:5" ht="14.5" customHeight="1">
      <c r="B133" s="85"/>
      <c r="C133" s="23" t="s">
        <v>198</v>
      </c>
      <c r="D133" s="68">
        <v>3</v>
      </c>
      <c r="E133" s="21">
        <v>5.4298642533899999E-4</v>
      </c>
    </row>
    <row r="134" spans="2:5" ht="14.5" customHeight="1">
      <c r="B134" s="85"/>
      <c r="C134" s="23" t="s">
        <v>186</v>
      </c>
      <c r="D134" s="68">
        <v>48</v>
      </c>
      <c r="E134" s="21">
        <v>8.6877828054300003E-3</v>
      </c>
    </row>
    <row r="135" spans="2:5" ht="14.5" customHeight="1">
      <c r="B135" s="85"/>
      <c r="C135" s="23" t="s">
        <v>218</v>
      </c>
      <c r="D135" s="68">
        <v>5</v>
      </c>
      <c r="E135" s="21">
        <v>9.0497737556600002E-4</v>
      </c>
    </row>
    <row r="136" spans="2:5" ht="14.5" customHeight="1">
      <c r="B136" s="85"/>
      <c r="C136" s="23" t="s">
        <v>187</v>
      </c>
      <c r="D136" s="68">
        <v>17</v>
      </c>
      <c r="E136" s="21">
        <v>3.0769230769230002E-3</v>
      </c>
    </row>
    <row r="137" spans="2:5" ht="14.5" customHeight="1">
      <c r="B137" s="85"/>
      <c r="C137" s="23" t="s">
        <v>219</v>
      </c>
      <c r="D137" s="68">
        <v>1</v>
      </c>
      <c r="E137" s="21">
        <v>1.8099547511300001E-4</v>
      </c>
    </row>
    <row r="138" spans="2:5" ht="14.5" customHeight="1">
      <c r="B138" s="85"/>
      <c r="C138" s="23" t="s">
        <v>188</v>
      </c>
      <c r="D138" s="68">
        <v>6</v>
      </c>
      <c r="E138" s="21">
        <v>1.0859728506790001E-3</v>
      </c>
    </row>
    <row r="139" spans="2:5" ht="14.5" customHeight="1">
      <c r="B139" s="85"/>
      <c r="C139" s="23" t="s">
        <v>199</v>
      </c>
      <c r="D139" s="68">
        <v>5</v>
      </c>
      <c r="E139" s="21">
        <v>9.0497737556600002E-4</v>
      </c>
    </row>
    <row r="140" spans="2:5" ht="28" customHeight="1">
      <c r="B140" s="85"/>
      <c r="C140" s="23" t="s">
        <v>200</v>
      </c>
      <c r="D140" s="68">
        <v>5</v>
      </c>
      <c r="E140" s="21">
        <v>9.0497737556600002E-4</v>
      </c>
    </row>
    <row r="141" spans="2:5" ht="14.5" customHeight="1">
      <c r="B141" s="85"/>
      <c r="C141" s="23" t="s">
        <v>189</v>
      </c>
      <c r="D141" s="68">
        <v>8</v>
      </c>
      <c r="E141" s="21">
        <v>1.4479638009049999E-3</v>
      </c>
    </row>
    <row r="142" spans="2:5" ht="14.5" customHeight="1">
      <c r="B142" s="85"/>
      <c r="C142" s="23" t="s">
        <v>206</v>
      </c>
      <c r="D142" s="68">
        <v>39</v>
      </c>
      <c r="E142" s="21">
        <v>7.058823529412E-3</v>
      </c>
    </row>
    <row r="143" spans="2:5" ht="14.5" customHeight="1">
      <c r="B143" s="85"/>
      <c r="C143" s="23" t="s">
        <v>207</v>
      </c>
      <c r="D143" s="68">
        <v>10</v>
      </c>
      <c r="E143" s="21">
        <v>1.809954751131E-3</v>
      </c>
    </row>
    <row r="144" spans="2:5" ht="14.5" customHeight="1">
      <c r="B144" s="85"/>
      <c r="C144" s="23" t="s">
        <v>221</v>
      </c>
      <c r="D144" s="68">
        <v>4</v>
      </c>
      <c r="E144" s="21">
        <v>7.2398190045200002E-4</v>
      </c>
    </row>
    <row r="145" spans="2:5" ht="14.5" customHeight="1">
      <c r="B145" s="85"/>
      <c r="C145" s="23" t="s">
        <v>238</v>
      </c>
      <c r="D145" s="68">
        <v>1</v>
      </c>
      <c r="E145" s="21">
        <v>1.8099547511300001E-4</v>
      </c>
    </row>
    <row r="146" spans="2:5" ht="14.5" customHeight="1">
      <c r="B146" s="85"/>
      <c r="C146" s="23" t="s">
        <v>226</v>
      </c>
      <c r="D146" s="68">
        <v>7</v>
      </c>
      <c r="E146" s="21">
        <v>1.266968325792E-3</v>
      </c>
    </row>
    <row r="147" spans="2:5" ht="14.5" customHeight="1">
      <c r="B147" s="85"/>
      <c r="C147" s="23" t="s">
        <v>190</v>
      </c>
      <c r="D147" s="68">
        <v>11</v>
      </c>
      <c r="E147" s="21">
        <v>1.9909502262440001E-3</v>
      </c>
    </row>
    <row r="148" spans="2:5" ht="14.5" customHeight="1">
      <c r="B148" s="85"/>
      <c r="C148" s="23" t="s">
        <v>227</v>
      </c>
      <c r="D148" s="68">
        <v>4</v>
      </c>
      <c r="E148" s="21">
        <v>7.2398190045200002E-4</v>
      </c>
    </row>
    <row r="149" spans="2:5" ht="14.5" customHeight="1">
      <c r="B149" s="85"/>
      <c r="C149" s="23" t="s">
        <v>242</v>
      </c>
      <c r="D149" s="68">
        <v>1</v>
      </c>
      <c r="E149" s="21">
        <v>1.8099547511300001E-4</v>
      </c>
    </row>
    <row r="150" spans="2:5" ht="14.5" customHeight="1">
      <c r="B150" s="85"/>
      <c r="C150" s="23" t="s">
        <v>229</v>
      </c>
      <c r="D150" s="68">
        <v>6</v>
      </c>
      <c r="E150" s="21">
        <v>1.0859728506790001E-3</v>
      </c>
    </row>
    <row r="151" spans="2:5" ht="14.5" customHeight="1">
      <c r="B151" s="85"/>
      <c r="C151" s="23" t="s">
        <v>230</v>
      </c>
      <c r="D151" s="68">
        <v>5</v>
      </c>
      <c r="E151" s="21">
        <v>9.0497737556600002E-4</v>
      </c>
    </row>
    <row r="152" spans="2:5" ht="14.5" customHeight="1">
      <c r="B152" s="85"/>
      <c r="C152" s="23" t="s">
        <v>232</v>
      </c>
      <c r="D152" s="68">
        <v>3</v>
      </c>
      <c r="E152" s="21">
        <v>5.4298642533899999E-4</v>
      </c>
    </row>
    <row r="153" spans="2:5" ht="14.5" customHeight="1">
      <c r="B153" s="85"/>
      <c r="C153" s="23" t="s">
        <v>191</v>
      </c>
      <c r="D153" s="68">
        <v>24</v>
      </c>
      <c r="E153" s="21">
        <v>4.3438914027150001E-3</v>
      </c>
    </row>
    <row r="154" spans="2:5" ht="14.5" customHeight="1">
      <c r="B154" s="85"/>
      <c r="C154" s="23" t="s">
        <v>233</v>
      </c>
      <c r="D154" s="68">
        <v>14</v>
      </c>
      <c r="E154" s="21">
        <v>2.533936651584E-3</v>
      </c>
    </row>
    <row r="155" spans="2:5" ht="14.5" customHeight="1">
      <c r="B155" s="85"/>
      <c r="C155" s="23" t="s">
        <v>192</v>
      </c>
      <c r="D155" s="68">
        <v>9</v>
      </c>
      <c r="E155" s="21">
        <v>1.628959276018E-3</v>
      </c>
    </row>
    <row r="156" spans="2:5" ht="14.5" customHeight="1">
      <c r="B156" s="85"/>
      <c r="C156" s="23" t="s">
        <v>193</v>
      </c>
      <c r="D156" s="68">
        <v>8</v>
      </c>
      <c r="E156" s="21">
        <v>1.4479638009049999E-3</v>
      </c>
    </row>
    <row r="157" spans="2:5" ht="14.5" customHeight="1">
      <c r="B157" s="85"/>
      <c r="C157" s="23" t="s">
        <v>194</v>
      </c>
      <c r="D157" s="68">
        <v>3</v>
      </c>
      <c r="E157" s="21">
        <v>5.4298642533899999E-4</v>
      </c>
    </row>
    <row r="158" spans="2:5" ht="14.5" customHeight="1">
      <c r="B158" s="85"/>
      <c r="C158" s="23" t="s">
        <v>234</v>
      </c>
      <c r="D158" s="68">
        <v>2</v>
      </c>
      <c r="E158" s="21">
        <v>3.6199095022600001E-4</v>
      </c>
    </row>
    <row r="159" spans="2:5" ht="14.5" customHeight="1">
      <c r="B159" s="85"/>
      <c r="C159" s="23" t="s">
        <v>195</v>
      </c>
      <c r="D159" s="68">
        <v>86</v>
      </c>
      <c r="E159" s="21">
        <v>1.5565610859729E-2</v>
      </c>
    </row>
    <row r="160" spans="2:5" ht="14.5" customHeight="1">
      <c r="B160" s="85"/>
      <c r="C160" s="23" t="s">
        <v>196</v>
      </c>
      <c r="D160" s="68">
        <v>16</v>
      </c>
      <c r="E160" s="21">
        <v>2.8959276018099998E-3</v>
      </c>
    </row>
    <row r="161" spans="2:5" ht="14.5" customHeight="1">
      <c r="B161" s="85"/>
      <c r="C161" s="23" t="s">
        <v>208</v>
      </c>
      <c r="D161" s="68">
        <v>2</v>
      </c>
      <c r="E161" s="21">
        <v>3.6199095022600001E-4</v>
      </c>
    </row>
    <row r="162" spans="2:5" ht="14.5" customHeight="1">
      <c r="B162" s="85"/>
      <c r="C162" s="23" t="s">
        <v>235</v>
      </c>
      <c r="D162" s="68">
        <v>2</v>
      </c>
      <c r="E162" s="21">
        <v>3.6199095022600001E-4</v>
      </c>
    </row>
    <row r="163" spans="2:5" ht="14.5" customHeight="1">
      <c r="B163" s="85"/>
      <c r="C163" s="23" t="s">
        <v>209</v>
      </c>
      <c r="D163" s="68">
        <v>1</v>
      </c>
      <c r="E163" s="21">
        <v>1.8099547511300001E-4</v>
      </c>
    </row>
    <row r="164" spans="2:5" ht="14.5" customHeight="1">
      <c r="B164" s="85"/>
      <c r="C164" s="23" t="s">
        <v>201</v>
      </c>
      <c r="D164" s="68">
        <v>6</v>
      </c>
      <c r="E164" s="21">
        <v>1.0859728506790001E-3</v>
      </c>
    </row>
    <row r="165" spans="2:5" ht="14.5" customHeight="1">
      <c r="B165" s="85"/>
      <c r="C165" s="23" t="s">
        <v>202</v>
      </c>
      <c r="D165" s="68">
        <v>33</v>
      </c>
      <c r="E165" s="21">
        <v>5.9728506787330004E-3</v>
      </c>
    </row>
    <row r="166" spans="2:5" ht="14.5" customHeight="1">
      <c r="B166" s="85"/>
      <c r="C166" s="23" t="s">
        <v>236</v>
      </c>
      <c r="D166" s="68">
        <v>8</v>
      </c>
      <c r="E166" s="21">
        <v>1.4479638009049999E-3</v>
      </c>
    </row>
    <row r="167" spans="2:5" ht="14.5" customHeight="1">
      <c r="B167" s="85"/>
      <c r="C167" s="23" t="s">
        <v>204</v>
      </c>
      <c r="D167" s="68">
        <v>20</v>
      </c>
      <c r="E167" s="21">
        <v>3.6199095022619999E-3</v>
      </c>
    </row>
    <row r="168" spans="2:5" ht="28" customHeight="1">
      <c r="B168" s="85"/>
      <c r="C168" s="23" t="s">
        <v>205</v>
      </c>
      <c r="D168" s="68">
        <v>6</v>
      </c>
      <c r="E168" s="21">
        <v>1.0859728506790001E-3</v>
      </c>
    </row>
    <row r="169" spans="2:5" ht="14.5" customHeight="1">
      <c r="B169" s="86"/>
      <c r="C169" s="69" t="s">
        <v>29</v>
      </c>
      <c r="D169" s="70">
        <v>633</v>
      </c>
      <c r="E169" s="71">
        <v>0.114570135746606</v>
      </c>
    </row>
    <row r="170" spans="2:5" ht="14.5" customHeight="1">
      <c r="B170" s="84" t="s">
        <v>54</v>
      </c>
      <c r="C170" s="23" t="s">
        <v>212</v>
      </c>
      <c r="D170" s="68">
        <v>1</v>
      </c>
      <c r="E170" s="21">
        <v>1.8099547511300001E-4</v>
      </c>
    </row>
    <row r="171" spans="2:5" ht="14.5" customHeight="1">
      <c r="B171" s="85"/>
      <c r="C171" s="23" t="s">
        <v>182</v>
      </c>
      <c r="D171" s="68">
        <v>10</v>
      </c>
      <c r="E171" s="21">
        <v>1.809954751131E-3</v>
      </c>
    </row>
    <row r="172" spans="2:5" ht="14.5" customHeight="1">
      <c r="B172" s="85"/>
      <c r="C172" s="23" t="s">
        <v>183</v>
      </c>
      <c r="D172" s="68">
        <v>1</v>
      </c>
      <c r="E172" s="21">
        <v>1.8099547511300001E-4</v>
      </c>
    </row>
    <row r="173" spans="2:5" ht="14.5" customHeight="1">
      <c r="B173" s="85"/>
      <c r="C173" s="23" t="s">
        <v>213</v>
      </c>
      <c r="D173" s="68">
        <v>3</v>
      </c>
      <c r="E173" s="21">
        <v>5.4298642533899999E-4</v>
      </c>
    </row>
    <row r="174" spans="2:5" ht="14.5" customHeight="1">
      <c r="B174" s="85"/>
      <c r="C174" s="23" t="s">
        <v>184</v>
      </c>
      <c r="D174" s="68">
        <v>8</v>
      </c>
      <c r="E174" s="21">
        <v>1.4479638009049999E-3</v>
      </c>
    </row>
    <row r="175" spans="2:5" ht="14.5" customHeight="1">
      <c r="B175" s="85"/>
      <c r="C175" s="23" t="s">
        <v>185</v>
      </c>
      <c r="D175" s="68">
        <v>6</v>
      </c>
      <c r="E175" s="21">
        <v>1.0859728506790001E-3</v>
      </c>
    </row>
    <row r="176" spans="2:5" ht="14.5" customHeight="1">
      <c r="B176" s="85"/>
      <c r="C176" s="23" t="s">
        <v>197</v>
      </c>
      <c r="D176" s="68">
        <v>2</v>
      </c>
      <c r="E176" s="21">
        <v>3.6199095022600001E-4</v>
      </c>
    </row>
    <row r="177" spans="2:5" ht="14.5" customHeight="1">
      <c r="B177" s="85"/>
      <c r="C177" s="23" t="s">
        <v>241</v>
      </c>
      <c r="D177" s="68">
        <v>1</v>
      </c>
      <c r="E177" s="21">
        <v>1.8099547511300001E-4</v>
      </c>
    </row>
    <row r="178" spans="2:5" ht="14.5" customHeight="1">
      <c r="B178" s="85"/>
      <c r="C178" s="23" t="s">
        <v>198</v>
      </c>
      <c r="D178" s="68">
        <v>3</v>
      </c>
      <c r="E178" s="21">
        <v>5.4298642533899999E-4</v>
      </c>
    </row>
    <row r="179" spans="2:5" ht="14.5" customHeight="1">
      <c r="B179" s="85"/>
      <c r="C179" s="23" t="s">
        <v>186</v>
      </c>
      <c r="D179" s="68">
        <v>9</v>
      </c>
      <c r="E179" s="21">
        <v>1.628959276018E-3</v>
      </c>
    </row>
    <row r="180" spans="2:5" ht="14.5" customHeight="1">
      <c r="B180" s="85"/>
      <c r="C180" s="23" t="s">
        <v>218</v>
      </c>
      <c r="D180" s="68">
        <v>3</v>
      </c>
      <c r="E180" s="21">
        <v>5.4298642533899999E-4</v>
      </c>
    </row>
    <row r="181" spans="2:5" ht="14.5" customHeight="1">
      <c r="B181" s="85"/>
      <c r="C181" s="23" t="s">
        <v>187</v>
      </c>
      <c r="D181" s="68">
        <v>29</v>
      </c>
      <c r="E181" s="21">
        <v>5.2488687782809998E-3</v>
      </c>
    </row>
    <row r="182" spans="2:5" ht="14.5" customHeight="1">
      <c r="B182" s="85"/>
      <c r="C182" s="23" t="s">
        <v>219</v>
      </c>
      <c r="D182" s="68">
        <v>1</v>
      </c>
      <c r="E182" s="21">
        <v>1.8099547511300001E-4</v>
      </c>
    </row>
    <row r="183" spans="2:5" ht="14.5" customHeight="1">
      <c r="B183" s="85"/>
      <c r="C183" s="23" t="s">
        <v>206</v>
      </c>
      <c r="D183" s="68">
        <v>1</v>
      </c>
      <c r="E183" s="21">
        <v>1.8099547511300001E-4</v>
      </c>
    </row>
    <row r="184" spans="2:5" ht="14.5" customHeight="1">
      <c r="B184" s="85"/>
      <c r="C184" s="23" t="s">
        <v>207</v>
      </c>
      <c r="D184" s="68">
        <v>4</v>
      </c>
      <c r="E184" s="21">
        <v>7.2398190045200002E-4</v>
      </c>
    </row>
    <row r="185" spans="2:5" ht="14.5" customHeight="1">
      <c r="B185" s="85"/>
      <c r="C185" s="23" t="s">
        <v>190</v>
      </c>
      <c r="D185" s="68">
        <v>2</v>
      </c>
      <c r="E185" s="21">
        <v>3.6199095022600001E-4</v>
      </c>
    </row>
    <row r="186" spans="2:5" ht="14.5" customHeight="1">
      <c r="B186" s="85"/>
      <c r="C186" s="23" t="s">
        <v>191</v>
      </c>
      <c r="D186" s="68">
        <v>4</v>
      </c>
      <c r="E186" s="21">
        <v>7.2398190045200002E-4</v>
      </c>
    </row>
    <row r="187" spans="2:5" ht="14.5" customHeight="1">
      <c r="B187" s="85"/>
      <c r="C187" s="23" t="s">
        <v>233</v>
      </c>
      <c r="D187" s="68">
        <v>2</v>
      </c>
      <c r="E187" s="21">
        <v>3.6199095022600001E-4</v>
      </c>
    </row>
    <row r="188" spans="2:5" ht="14.5" customHeight="1">
      <c r="B188" s="85"/>
      <c r="C188" s="23" t="s">
        <v>192</v>
      </c>
      <c r="D188" s="68">
        <v>4</v>
      </c>
      <c r="E188" s="21">
        <v>7.2398190045200002E-4</v>
      </c>
    </row>
    <row r="189" spans="2:5" ht="14.5" customHeight="1">
      <c r="B189" s="85"/>
      <c r="C189" s="23" t="s">
        <v>194</v>
      </c>
      <c r="D189" s="68">
        <v>2</v>
      </c>
      <c r="E189" s="21">
        <v>3.6199095022600001E-4</v>
      </c>
    </row>
    <row r="190" spans="2:5" ht="14.5" customHeight="1">
      <c r="B190" s="85"/>
      <c r="C190" s="23" t="s">
        <v>234</v>
      </c>
      <c r="D190" s="68">
        <v>6</v>
      </c>
      <c r="E190" s="21">
        <v>1.0859728506790001E-3</v>
      </c>
    </row>
    <row r="191" spans="2:5" ht="14.5" customHeight="1">
      <c r="B191" s="85"/>
      <c r="C191" s="23" t="s">
        <v>195</v>
      </c>
      <c r="D191" s="68">
        <v>33</v>
      </c>
      <c r="E191" s="21">
        <v>5.9728506787330004E-3</v>
      </c>
    </row>
    <row r="192" spans="2:5" ht="14.5" customHeight="1">
      <c r="B192" s="85"/>
      <c r="C192" s="23" t="s">
        <v>196</v>
      </c>
      <c r="D192" s="68">
        <v>4</v>
      </c>
      <c r="E192" s="21">
        <v>7.2398190045200002E-4</v>
      </c>
    </row>
    <row r="193" spans="2:5" ht="14.5" customHeight="1">
      <c r="B193" s="85"/>
      <c r="C193" s="23" t="s">
        <v>235</v>
      </c>
      <c r="D193" s="68">
        <v>2</v>
      </c>
      <c r="E193" s="21">
        <v>3.6199095022600001E-4</v>
      </c>
    </row>
    <row r="194" spans="2:5" ht="14.5" customHeight="1">
      <c r="B194" s="85"/>
      <c r="C194" s="23" t="s">
        <v>209</v>
      </c>
      <c r="D194" s="68">
        <v>1</v>
      </c>
      <c r="E194" s="21">
        <v>1.8099547511300001E-4</v>
      </c>
    </row>
    <row r="195" spans="2:5" ht="14.5" customHeight="1">
      <c r="B195" s="85"/>
      <c r="C195" s="23" t="s">
        <v>201</v>
      </c>
      <c r="D195" s="68">
        <v>2</v>
      </c>
      <c r="E195" s="21">
        <v>3.6199095022600001E-4</v>
      </c>
    </row>
    <row r="196" spans="2:5" ht="14.5" customHeight="1">
      <c r="B196" s="85"/>
      <c r="C196" s="23" t="s">
        <v>202</v>
      </c>
      <c r="D196" s="68">
        <v>2</v>
      </c>
      <c r="E196" s="21">
        <v>3.6199095022600001E-4</v>
      </c>
    </row>
    <row r="197" spans="2:5" ht="14.5" customHeight="1">
      <c r="B197" s="85"/>
      <c r="C197" s="23" t="s">
        <v>236</v>
      </c>
      <c r="D197" s="68">
        <v>8</v>
      </c>
      <c r="E197" s="21">
        <v>1.4479638009049999E-3</v>
      </c>
    </row>
    <row r="198" spans="2:5" ht="14.5" customHeight="1">
      <c r="B198" s="85"/>
      <c r="C198" s="23" t="s">
        <v>204</v>
      </c>
      <c r="D198" s="68">
        <v>7</v>
      </c>
      <c r="E198" s="21">
        <v>1.266968325792E-3</v>
      </c>
    </row>
    <row r="199" spans="2:5" ht="28" customHeight="1">
      <c r="B199" s="85"/>
      <c r="C199" s="23" t="s">
        <v>205</v>
      </c>
      <c r="D199" s="68">
        <v>1</v>
      </c>
      <c r="E199" s="21">
        <v>1.8099547511300001E-4</v>
      </c>
    </row>
    <row r="200" spans="2:5" ht="14.5" customHeight="1">
      <c r="B200" s="86"/>
      <c r="C200" s="69" t="s">
        <v>29</v>
      </c>
      <c r="D200" s="70">
        <v>162</v>
      </c>
      <c r="E200" s="71">
        <v>2.9321266968326001E-2</v>
      </c>
    </row>
    <row r="201" spans="2:5" ht="14.5" customHeight="1">
      <c r="B201" s="84" t="s">
        <v>75</v>
      </c>
      <c r="C201" s="23" t="s">
        <v>182</v>
      </c>
      <c r="D201" s="68">
        <v>3</v>
      </c>
      <c r="E201" s="21">
        <v>5.4298642533899999E-4</v>
      </c>
    </row>
    <row r="202" spans="2:5" ht="14.5" customHeight="1">
      <c r="B202" s="85"/>
      <c r="C202" s="23" t="s">
        <v>214</v>
      </c>
      <c r="D202" s="68">
        <v>1</v>
      </c>
      <c r="E202" s="21">
        <v>1.8099547511300001E-4</v>
      </c>
    </row>
    <row r="203" spans="2:5" ht="14.5" customHeight="1">
      <c r="B203" s="85"/>
      <c r="C203" s="23" t="s">
        <v>185</v>
      </c>
      <c r="D203" s="68">
        <v>6</v>
      </c>
      <c r="E203" s="21">
        <v>1.0859728506790001E-3</v>
      </c>
    </row>
    <row r="204" spans="2:5" ht="14.5" customHeight="1">
      <c r="B204" s="85"/>
      <c r="C204" s="23" t="s">
        <v>219</v>
      </c>
      <c r="D204" s="68">
        <v>1</v>
      </c>
      <c r="E204" s="21">
        <v>1.8099547511300001E-4</v>
      </c>
    </row>
    <row r="205" spans="2:5" ht="14.5" customHeight="1">
      <c r="B205" s="85"/>
      <c r="C205" s="23" t="s">
        <v>188</v>
      </c>
      <c r="D205" s="68">
        <v>1</v>
      </c>
      <c r="E205" s="21">
        <v>1.8099547511300001E-4</v>
      </c>
    </row>
    <row r="206" spans="2:5" ht="14.5" customHeight="1">
      <c r="B206" s="85"/>
      <c r="C206" s="23" t="s">
        <v>189</v>
      </c>
      <c r="D206" s="68">
        <v>2</v>
      </c>
      <c r="E206" s="21">
        <v>3.6199095022600001E-4</v>
      </c>
    </row>
    <row r="207" spans="2:5" ht="14.5" customHeight="1">
      <c r="B207" s="85"/>
      <c r="C207" s="23" t="s">
        <v>206</v>
      </c>
      <c r="D207" s="68">
        <v>2</v>
      </c>
      <c r="E207" s="21">
        <v>3.6199095022600001E-4</v>
      </c>
    </row>
    <row r="208" spans="2:5" ht="14.5" customHeight="1">
      <c r="B208" s="85"/>
      <c r="C208" s="23" t="s">
        <v>233</v>
      </c>
      <c r="D208" s="68">
        <v>1</v>
      </c>
      <c r="E208" s="21">
        <v>1.8099547511300001E-4</v>
      </c>
    </row>
    <row r="209" spans="2:5" ht="14.5" customHeight="1">
      <c r="B209" s="85"/>
      <c r="C209" s="23" t="s">
        <v>192</v>
      </c>
      <c r="D209" s="68">
        <v>1</v>
      </c>
      <c r="E209" s="21">
        <v>1.8099547511300001E-4</v>
      </c>
    </row>
    <row r="210" spans="2:5" ht="14.5" customHeight="1">
      <c r="B210" s="85"/>
      <c r="C210" s="23" t="s">
        <v>193</v>
      </c>
      <c r="D210" s="68">
        <v>1</v>
      </c>
      <c r="E210" s="21">
        <v>1.8099547511300001E-4</v>
      </c>
    </row>
    <row r="211" spans="2:5" ht="14.5" customHeight="1">
      <c r="B211" s="85"/>
      <c r="C211" s="23" t="s">
        <v>195</v>
      </c>
      <c r="D211" s="68">
        <v>11</v>
      </c>
      <c r="E211" s="21">
        <v>1.9909502262440001E-3</v>
      </c>
    </row>
    <row r="212" spans="2:5" ht="14.5" customHeight="1">
      <c r="B212" s="85"/>
      <c r="C212" s="23" t="s">
        <v>196</v>
      </c>
      <c r="D212" s="68">
        <v>1</v>
      </c>
      <c r="E212" s="21">
        <v>1.8099547511300001E-4</v>
      </c>
    </row>
    <row r="213" spans="2:5" ht="14.5" customHeight="1">
      <c r="B213" s="85"/>
      <c r="C213" s="23" t="s">
        <v>201</v>
      </c>
      <c r="D213" s="68">
        <v>2</v>
      </c>
      <c r="E213" s="21">
        <v>3.6199095022600001E-4</v>
      </c>
    </row>
    <row r="214" spans="2:5" ht="14.5" customHeight="1">
      <c r="B214" s="85"/>
      <c r="C214" s="23" t="s">
        <v>202</v>
      </c>
      <c r="D214" s="68">
        <v>2</v>
      </c>
      <c r="E214" s="21">
        <v>3.6199095022600001E-4</v>
      </c>
    </row>
    <row r="215" spans="2:5" ht="14.5" customHeight="1">
      <c r="B215" s="85"/>
      <c r="C215" s="23" t="s">
        <v>203</v>
      </c>
      <c r="D215" s="68">
        <v>1</v>
      </c>
      <c r="E215" s="21">
        <v>1.8099547511300001E-4</v>
      </c>
    </row>
    <row r="216" spans="2:5" ht="14.5" customHeight="1">
      <c r="B216" s="85"/>
      <c r="C216" s="23" t="s">
        <v>236</v>
      </c>
      <c r="D216" s="68">
        <v>1</v>
      </c>
      <c r="E216" s="21">
        <v>1.8099547511300001E-4</v>
      </c>
    </row>
    <row r="217" spans="2:5" ht="14.5" customHeight="1">
      <c r="B217" s="86"/>
      <c r="C217" s="69" t="s">
        <v>29</v>
      </c>
      <c r="D217" s="70">
        <v>37</v>
      </c>
      <c r="E217" s="71">
        <v>6.6968325791860002E-3</v>
      </c>
    </row>
    <row r="218" spans="2:5" ht="14.5" customHeight="1">
      <c r="B218" s="84" t="s">
        <v>72</v>
      </c>
      <c r="C218" s="23" t="s">
        <v>182</v>
      </c>
      <c r="D218" s="68">
        <v>2</v>
      </c>
      <c r="E218" s="21">
        <v>3.6199095022600001E-4</v>
      </c>
    </row>
    <row r="219" spans="2:5" ht="14.5" customHeight="1">
      <c r="B219" s="85"/>
      <c r="C219" s="23" t="s">
        <v>184</v>
      </c>
      <c r="D219" s="68">
        <v>3</v>
      </c>
      <c r="E219" s="21">
        <v>5.4298642533899999E-4</v>
      </c>
    </row>
    <row r="220" spans="2:5" ht="14.5" customHeight="1">
      <c r="B220" s="85"/>
      <c r="C220" s="23" t="s">
        <v>185</v>
      </c>
      <c r="D220" s="68">
        <v>5</v>
      </c>
      <c r="E220" s="21">
        <v>9.0497737556600002E-4</v>
      </c>
    </row>
    <row r="221" spans="2:5" ht="14.5" customHeight="1">
      <c r="B221" s="85"/>
      <c r="C221" s="23" t="s">
        <v>197</v>
      </c>
      <c r="D221" s="68">
        <v>1</v>
      </c>
      <c r="E221" s="21">
        <v>1.8099547511300001E-4</v>
      </c>
    </row>
    <row r="222" spans="2:5" ht="14.5" customHeight="1">
      <c r="B222" s="85"/>
      <c r="C222" s="23" t="s">
        <v>186</v>
      </c>
      <c r="D222" s="68">
        <v>5</v>
      </c>
      <c r="E222" s="21">
        <v>9.0497737556600002E-4</v>
      </c>
    </row>
    <row r="223" spans="2:5" ht="14.5" customHeight="1">
      <c r="B223" s="85"/>
      <c r="C223" s="23" t="s">
        <v>219</v>
      </c>
      <c r="D223" s="68">
        <v>2</v>
      </c>
      <c r="E223" s="21">
        <v>3.6199095022600001E-4</v>
      </c>
    </row>
    <row r="224" spans="2:5" ht="14.5" customHeight="1">
      <c r="B224" s="85"/>
      <c r="C224" s="23" t="s">
        <v>189</v>
      </c>
      <c r="D224" s="68">
        <v>2</v>
      </c>
      <c r="E224" s="21">
        <v>3.6199095022600001E-4</v>
      </c>
    </row>
    <row r="225" spans="2:5" ht="28" customHeight="1">
      <c r="B225" s="85"/>
      <c r="C225" s="23" t="s">
        <v>237</v>
      </c>
      <c r="D225" s="68">
        <v>1</v>
      </c>
      <c r="E225" s="21">
        <v>1.8099547511300001E-4</v>
      </c>
    </row>
    <row r="226" spans="2:5" ht="14.5" customHeight="1">
      <c r="B226" s="85"/>
      <c r="C226" s="23" t="s">
        <v>221</v>
      </c>
      <c r="D226" s="68">
        <v>1</v>
      </c>
      <c r="E226" s="21">
        <v>1.8099547511300001E-4</v>
      </c>
    </row>
    <row r="227" spans="2:5" ht="14.5" customHeight="1">
      <c r="B227" s="85"/>
      <c r="C227" s="23" t="s">
        <v>190</v>
      </c>
      <c r="D227" s="68">
        <v>2</v>
      </c>
      <c r="E227" s="21">
        <v>3.6199095022600001E-4</v>
      </c>
    </row>
    <row r="228" spans="2:5" ht="14.5" customHeight="1">
      <c r="B228" s="85"/>
      <c r="C228" s="23" t="s">
        <v>227</v>
      </c>
      <c r="D228" s="68">
        <v>1</v>
      </c>
      <c r="E228" s="21">
        <v>1.8099547511300001E-4</v>
      </c>
    </row>
    <row r="229" spans="2:5" ht="14.5" customHeight="1">
      <c r="B229" s="85"/>
      <c r="C229" s="23" t="s">
        <v>228</v>
      </c>
      <c r="D229" s="68">
        <v>1</v>
      </c>
      <c r="E229" s="21">
        <v>1.8099547511300001E-4</v>
      </c>
    </row>
    <row r="230" spans="2:5" ht="14.5" customHeight="1">
      <c r="B230" s="85"/>
      <c r="C230" s="23" t="s">
        <v>233</v>
      </c>
      <c r="D230" s="68">
        <v>1</v>
      </c>
      <c r="E230" s="21">
        <v>1.8099547511300001E-4</v>
      </c>
    </row>
    <row r="231" spans="2:5" ht="14.5" customHeight="1">
      <c r="B231" s="85"/>
      <c r="C231" s="23" t="s">
        <v>193</v>
      </c>
      <c r="D231" s="68">
        <v>1</v>
      </c>
      <c r="E231" s="21">
        <v>1.8099547511300001E-4</v>
      </c>
    </row>
    <row r="232" spans="2:5" ht="14.5" customHeight="1">
      <c r="B232" s="85"/>
      <c r="C232" s="23" t="s">
        <v>194</v>
      </c>
      <c r="D232" s="68">
        <v>1</v>
      </c>
      <c r="E232" s="21">
        <v>1.8099547511300001E-4</v>
      </c>
    </row>
    <row r="233" spans="2:5" ht="14.5" customHeight="1">
      <c r="B233" s="85"/>
      <c r="C233" s="23" t="s">
        <v>234</v>
      </c>
      <c r="D233" s="68">
        <v>1</v>
      </c>
      <c r="E233" s="21">
        <v>1.8099547511300001E-4</v>
      </c>
    </row>
    <row r="234" spans="2:5" ht="14.5" customHeight="1">
      <c r="B234" s="85"/>
      <c r="C234" s="23" t="s">
        <v>195</v>
      </c>
      <c r="D234" s="68">
        <v>5</v>
      </c>
      <c r="E234" s="21">
        <v>9.0497737556600002E-4</v>
      </c>
    </row>
    <row r="235" spans="2:5" ht="14.5" customHeight="1">
      <c r="B235" s="85"/>
      <c r="C235" s="23" t="s">
        <v>196</v>
      </c>
      <c r="D235" s="68">
        <v>1</v>
      </c>
      <c r="E235" s="21">
        <v>1.8099547511300001E-4</v>
      </c>
    </row>
    <row r="236" spans="2:5" ht="14.5" customHeight="1">
      <c r="B236" s="85"/>
      <c r="C236" s="23" t="s">
        <v>235</v>
      </c>
      <c r="D236" s="68">
        <v>1</v>
      </c>
      <c r="E236" s="21">
        <v>1.8099547511300001E-4</v>
      </c>
    </row>
    <row r="237" spans="2:5" ht="14.5" customHeight="1">
      <c r="B237" s="85"/>
      <c r="C237" s="23" t="s">
        <v>201</v>
      </c>
      <c r="D237" s="68">
        <v>1</v>
      </c>
      <c r="E237" s="21">
        <v>1.8099547511300001E-4</v>
      </c>
    </row>
    <row r="238" spans="2:5" ht="14.5" customHeight="1">
      <c r="B238" s="85"/>
      <c r="C238" s="23" t="s">
        <v>203</v>
      </c>
      <c r="D238" s="68">
        <v>3</v>
      </c>
      <c r="E238" s="21">
        <v>5.4298642533899999E-4</v>
      </c>
    </row>
    <row r="239" spans="2:5" ht="14.5" customHeight="1">
      <c r="B239" s="85"/>
      <c r="C239" s="23" t="s">
        <v>204</v>
      </c>
      <c r="D239" s="68">
        <v>4</v>
      </c>
      <c r="E239" s="21">
        <v>7.2398190045200002E-4</v>
      </c>
    </row>
    <row r="240" spans="2:5" ht="14.5" customHeight="1">
      <c r="B240" s="86"/>
      <c r="C240" s="69" t="s">
        <v>29</v>
      </c>
      <c r="D240" s="70">
        <v>45</v>
      </c>
      <c r="E240" s="71">
        <v>8.1447963800900004E-3</v>
      </c>
    </row>
    <row r="241" spans="2:5" ht="14.5" customHeight="1">
      <c r="B241" s="84" t="s">
        <v>89</v>
      </c>
      <c r="C241" s="23" t="s">
        <v>182</v>
      </c>
      <c r="D241" s="68">
        <v>1</v>
      </c>
      <c r="E241" s="21">
        <v>1.8099547511300001E-4</v>
      </c>
    </row>
    <row r="242" spans="2:5" ht="14.5" customHeight="1">
      <c r="B242" s="86"/>
      <c r="C242" s="69" t="s">
        <v>29</v>
      </c>
      <c r="D242" s="70">
        <v>1</v>
      </c>
      <c r="E242" s="71">
        <v>1.8099547511300001E-4</v>
      </c>
    </row>
    <row r="243" spans="2:5" ht="14.5" customHeight="1">
      <c r="B243" s="84" t="s">
        <v>50</v>
      </c>
      <c r="C243" s="23" t="s">
        <v>210</v>
      </c>
      <c r="D243" s="68">
        <v>1</v>
      </c>
      <c r="E243" s="21">
        <v>1.8099547511300001E-4</v>
      </c>
    </row>
    <row r="244" spans="2:5" ht="14.5" customHeight="1">
      <c r="B244" s="85"/>
      <c r="C244" s="23" t="s">
        <v>182</v>
      </c>
      <c r="D244" s="68">
        <v>9</v>
      </c>
      <c r="E244" s="21">
        <v>1.628959276018E-3</v>
      </c>
    </row>
    <row r="245" spans="2:5" ht="14.5" customHeight="1">
      <c r="B245" s="85"/>
      <c r="C245" s="23" t="s">
        <v>213</v>
      </c>
      <c r="D245" s="68">
        <v>1</v>
      </c>
      <c r="E245" s="21">
        <v>1.8099547511300001E-4</v>
      </c>
    </row>
    <row r="246" spans="2:5" ht="14.5" customHeight="1">
      <c r="B246" s="85"/>
      <c r="C246" s="23" t="s">
        <v>184</v>
      </c>
      <c r="D246" s="68">
        <v>26</v>
      </c>
      <c r="E246" s="21">
        <v>4.705882352941E-3</v>
      </c>
    </row>
    <row r="247" spans="2:5" ht="14.5" customHeight="1">
      <c r="B247" s="85"/>
      <c r="C247" s="23" t="s">
        <v>185</v>
      </c>
      <c r="D247" s="68">
        <v>52</v>
      </c>
      <c r="E247" s="21">
        <v>9.411764705882E-3</v>
      </c>
    </row>
    <row r="248" spans="2:5" ht="14.5" customHeight="1">
      <c r="B248" s="85"/>
      <c r="C248" s="23" t="s">
        <v>197</v>
      </c>
      <c r="D248" s="68">
        <v>4</v>
      </c>
      <c r="E248" s="21">
        <v>7.2398190045200002E-4</v>
      </c>
    </row>
    <row r="249" spans="2:5" ht="14.5" customHeight="1">
      <c r="B249" s="85"/>
      <c r="C249" s="23" t="s">
        <v>198</v>
      </c>
      <c r="D249" s="68">
        <v>1</v>
      </c>
      <c r="E249" s="21">
        <v>1.8099547511300001E-4</v>
      </c>
    </row>
    <row r="250" spans="2:5" ht="14.5" customHeight="1">
      <c r="B250" s="85"/>
      <c r="C250" s="23" t="s">
        <v>186</v>
      </c>
      <c r="D250" s="68">
        <v>10</v>
      </c>
      <c r="E250" s="21">
        <v>1.809954751131E-3</v>
      </c>
    </row>
    <row r="251" spans="2:5" ht="14.5" customHeight="1">
      <c r="B251" s="85"/>
      <c r="C251" s="23" t="s">
        <v>218</v>
      </c>
      <c r="D251" s="68">
        <v>5</v>
      </c>
      <c r="E251" s="21">
        <v>9.0497737556600002E-4</v>
      </c>
    </row>
    <row r="252" spans="2:5" ht="14.5" customHeight="1">
      <c r="B252" s="85"/>
      <c r="C252" s="23" t="s">
        <v>187</v>
      </c>
      <c r="D252" s="68">
        <v>9</v>
      </c>
      <c r="E252" s="21">
        <v>1.628959276018E-3</v>
      </c>
    </row>
    <row r="253" spans="2:5" ht="28" customHeight="1">
      <c r="B253" s="85"/>
      <c r="C253" s="23" t="s">
        <v>200</v>
      </c>
      <c r="D253" s="68">
        <v>16</v>
      </c>
      <c r="E253" s="21">
        <v>2.8959276018099998E-3</v>
      </c>
    </row>
    <row r="254" spans="2:5" ht="14.5" customHeight="1">
      <c r="B254" s="85"/>
      <c r="C254" s="23" t="s">
        <v>189</v>
      </c>
      <c r="D254" s="68">
        <v>3</v>
      </c>
      <c r="E254" s="21">
        <v>5.4298642533899999E-4</v>
      </c>
    </row>
    <row r="255" spans="2:5" ht="14.5" customHeight="1">
      <c r="B255" s="85"/>
      <c r="C255" s="23" t="s">
        <v>206</v>
      </c>
      <c r="D255" s="68">
        <v>19</v>
      </c>
      <c r="E255" s="21">
        <v>3.438914027149E-3</v>
      </c>
    </row>
    <row r="256" spans="2:5" ht="28" customHeight="1">
      <c r="B256" s="85"/>
      <c r="C256" s="23" t="s">
        <v>237</v>
      </c>
      <c r="D256" s="68">
        <v>2</v>
      </c>
      <c r="E256" s="21">
        <v>3.6199095022600001E-4</v>
      </c>
    </row>
    <row r="257" spans="2:5" ht="14.5" customHeight="1">
      <c r="B257" s="85"/>
      <c r="C257" s="23" t="s">
        <v>207</v>
      </c>
      <c r="D257" s="68">
        <v>2</v>
      </c>
      <c r="E257" s="21">
        <v>3.6199095022600001E-4</v>
      </c>
    </row>
    <row r="258" spans="2:5" ht="14.5" customHeight="1">
      <c r="B258" s="85"/>
      <c r="C258" s="23" t="s">
        <v>221</v>
      </c>
      <c r="D258" s="68">
        <v>2</v>
      </c>
      <c r="E258" s="21">
        <v>3.6199095022600001E-4</v>
      </c>
    </row>
    <row r="259" spans="2:5" ht="14.5" customHeight="1">
      <c r="B259" s="85"/>
      <c r="C259" s="23" t="s">
        <v>238</v>
      </c>
      <c r="D259" s="68">
        <v>1</v>
      </c>
      <c r="E259" s="21">
        <v>1.8099547511300001E-4</v>
      </c>
    </row>
    <row r="260" spans="2:5" ht="14.5" customHeight="1">
      <c r="B260" s="85"/>
      <c r="C260" s="23" t="s">
        <v>222</v>
      </c>
      <c r="D260" s="68">
        <v>5</v>
      </c>
      <c r="E260" s="21">
        <v>9.0497737556600002E-4</v>
      </c>
    </row>
    <row r="261" spans="2:5" ht="14.5" customHeight="1">
      <c r="B261" s="85"/>
      <c r="C261" s="23" t="s">
        <v>190</v>
      </c>
      <c r="D261" s="68">
        <v>10</v>
      </c>
      <c r="E261" s="21">
        <v>1.809954751131E-3</v>
      </c>
    </row>
    <row r="262" spans="2:5" ht="14.5" customHeight="1">
      <c r="B262" s="85"/>
      <c r="C262" s="23" t="s">
        <v>231</v>
      </c>
      <c r="D262" s="68">
        <v>1</v>
      </c>
      <c r="E262" s="21">
        <v>1.8099547511300001E-4</v>
      </c>
    </row>
    <row r="263" spans="2:5" ht="14.5" customHeight="1">
      <c r="B263" s="85"/>
      <c r="C263" s="23" t="s">
        <v>232</v>
      </c>
      <c r="D263" s="68">
        <v>4</v>
      </c>
      <c r="E263" s="21">
        <v>7.2398190045200002E-4</v>
      </c>
    </row>
    <row r="264" spans="2:5" ht="14.5" customHeight="1">
      <c r="B264" s="85"/>
      <c r="C264" s="23" t="s">
        <v>191</v>
      </c>
      <c r="D264" s="68">
        <v>17</v>
      </c>
      <c r="E264" s="21">
        <v>3.0769230769230002E-3</v>
      </c>
    </row>
    <row r="265" spans="2:5" ht="14.5" customHeight="1">
      <c r="B265" s="85"/>
      <c r="C265" s="23" t="s">
        <v>233</v>
      </c>
      <c r="D265" s="68">
        <v>4</v>
      </c>
      <c r="E265" s="21">
        <v>7.2398190045200002E-4</v>
      </c>
    </row>
    <row r="266" spans="2:5" ht="14.5" customHeight="1">
      <c r="B266" s="85"/>
      <c r="C266" s="23" t="s">
        <v>192</v>
      </c>
      <c r="D266" s="68">
        <v>5</v>
      </c>
      <c r="E266" s="21">
        <v>9.0497737556600002E-4</v>
      </c>
    </row>
    <row r="267" spans="2:5" ht="14.5" customHeight="1">
      <c r="B267" s="85"/>
      <c r="C267" s="23" t="s">
        <v>193</v>
      </c>
      <c r="D267" s="68">
        <v>1</v>
      </c>
      <c r="E267" s="21">
        <v>1.8099547511300001E-4</v>
      </c>
    </row>
    <row r="268" spans="2:5" ht="14.5" customHeight="1">
      <c r="B268" s="85"/>
      <c r="C268" s="23" t="s">
        <v>194</v>
      </c>
      <c r="D268" s="68">
        <v>3</v>
      </c>
      <c r="E268" s="21">
        <v>5.4298642533899999E-4</v>
      </c>
    </row>
    <row r="269" spans="2:5" ht="14.5" customHeight="1">
      <c r="B269" s="85"/>
      <c r="C269" s="23" t="s">
        <v>234</v>
      </c>
      <c r="D269" s="68">
        <v>2</v>
      </c>
      <c r="E269" s="21">
        <v>3.6199095022600001E-4</v>
      </c>
    </row>
    <row r="270" spans="2:5" ht="14.5" customHeight="1">
      <c r="B270" s="85"/>
      <c r="C270" s="23" t="s">
        <v>195</v>
      </c>
      <c r="D270" s="68">
        <v>37</v>
      </c>
      <c r="E270" s="21">
        <v>6.6968325791860002E-3</v>
      </c>
    </row>
    <row r="271" spans="2:5" ht="14.5" customHeight="1">
      <c r="B271" s="85"/>
      <c r="C271" s="23" t="s">
        <v>196</v>
      </c>
      <c r="D271" s="68">
        <v>1</v>
      </c>
      <c r="E271" s="21">
        <v>1.8099547511300001E-4</v>
      </c>
    </row>
    <row r="272" spans="2:5" ht="14.5" customHeight="1">
      <c r="B272" s="85"/>
      <c r="C272" s="23" t="s">
        <v>208</v>
      </c>
      <c r="D272" s="68">
        <v>5</v>
      </c>
      <c r="E272" s="21">
        <v>9.0497737556600002E-4</v>
      </c>
    </row>
    <row r="273" spans="2:5" ht="14.5" customHeight="1">
      <c r="B273" s="85"/>
      <c r="C273" s="23" t="s">
        <v>209</v>
      </c>
      <c r="D273" s="68">
        <v>1</v>
      </c>
      <c r="E273" s="21">
        <v>1.8099547511300001E-4</v>
      </c>
    </row>
    <row r="274" spans="2:5" ht="14.5" customHeight="1">
      <c r="B274" s="85"/>
      <c r="C274" s="23" t="s">
        <v>201</v>
      </c>
      <c r="D274" s="68">
        <v>4</v>
      </c>
      <c r="E274" s="21">
        <v>7.2398190045200002E-4</v>
      </c>
    </row>
    <row r="275" spans="2:5" ht="14.5" customHeight="1">
      <c r="B275" s="85"/>
      <c r="C275" s="23" t="s">
        <v>203</v>
      </c>
      <c r="D275" s="68">
        <v>2</v>
      </c>
      <c r="E275" s="21">
        <v>3.6199095022600001E-4</v>
      </c>
    </row>
    <row r="276" spans="2:5" ht="14.5" customHeight="1">
      <c r="B276" s="85"/>
      <c r="C276" s="23" t="s">
        <v>204</v>
      </c>
      <c r="D276" s="68">
        <v>21</v>
      </c>
      <c r="E276" s="21">
        <v>3.8009049773759999E-3</v>
      </c>
    </row>
    <row r="277" spans="2:5" ht="14.5" customHeight="1">
      <c r="B277" s="86"/>
      <c r="C277" s="69" t="s">
        <v>29</v>
      </c>
      <c r="D277" s="70">
        <v>286</v>
      </c>
      <c r="E277" s="71">
        <v>5.1764705882352997E-2</v>
      </c>
    </row>
    <row r="278" spans="2:5" ht="14.5" customHeight="1">
      <c r="B278" s="84" t="s">
        <v>76</v>
      </c>
      <c r="C278" s="23" t="s">
        <v>184</v>
      </c>
      <c r="D278" s="68">
        <v>3</v>
      </c>
      <c r="E278" s="21">
        <v>5.4298642533899999E-4</v>
      </c>
    </row>
    <row r="279" spans="2:5" ht="14.5" customHeight="1">
      <c r="B279" s="85"/>
      <c r="C279" s="23" t="s">
        <v>185</v>
      </c>
      <c r="D279" s="68">
        <v>1</v>
      </c>
      <c r="E279" s="21">
        <v>1.8099547511300001E-4</v>
      </c>
    </row>
    <row r="280" spans="2:5" ht="14.5" customHeight="1">
      <c r="B280" s="85"/>
      <c r="C280" s="23" t="s">
        <v>198</v>
      </c>
      <c r="D280" s="68">
        <v>4</v>
      </c>
      <c r="E280" s="21">
        <v>7.2398190045200002E-4</v>
      </c>
    </row>
    <row r="281" spans="2:5" ht="14.5" customHeight="1">
      <c r="B281" s="85"/>
      <c r="C281" s="23" t="s">
        <v>186</v>
      </c>
      <c r="D281" s="68">
        <v>3</v>
      </c>
      <c r="E281" s="21">
        <v>5.4298642533899999E-4</v>
      </c>
    </row>
    <row r="282" spans="2:5" ht="14.5" customHeight="1">
      <c r="B282" s="85"/>
      <c r="C282" s="23" t="s">
        <v>187</v>
      </c>
      <c r="D282" s="68">
        <v>3</v>
      </c>
      <c r="E282" s="21">
        <v>5.4298642533899999E-4</v>
      </c>
    </row>
    <row r="283" spans="2:5" ht="14.5" customHeight="1">
      <c r="B283" s="85"/>
      <c r="C283" s="23" t="s">
        <v>206</v>
      </c>
      <c r="D283" s="68">
        <v>1</v>
      </c>
      <c r="E283" s="21">
        <v>1.8099547511300001E-4</v>
      </c>
    </row>
    <row r="284" spans="2:5" ht="14.5" customHeight="1">
      <c r="B284" s="85"/>
      <c r="C284" s="23" t="s">
        <v>207</v>
      </c>
      <c r="D284" s="68">
        <v>2</v>
      </c>
      <c r="E284" s="21">
        <v>3.6199095022600001E-4</v>
      </c>
    </row>
    <row r="285" spans="2:5" ht="14.5" customHeight="1">
      <c r="B285" s="85"/>
      <c r="C285" s="23" t="s">
        <v>222</v>
      </c>
      <c r="D285" s="68">
        <v>1</v>
      </c>
      <c r="E285" s="21">
        <v>1.8099547511300001E-4</v>
      </c>
    </row>
    <row r="286" spans="2:5" ht="14.5" customHeight="1">
      <c r="B286" s="85"/>
      <c r="C286" s="23" t="s">
        <v>190</v>
      </c>
      <c r="D286" s="68">
        <v>1</v>
      </c>
      <c r="E286" s="21">
        <v>1.8099547511300001E-4</v>
      </c>
    </row>
    <row r="287" spans="2:5" ht="14.5" customHeight="1">
      <c r="B287" s="85"/>
      <c r="C287" s="23" t="s">
        <v>234</v>
      </c>
      <c r="D287" s="68">
        <v>1</v>
      </c>
      <c r="E287" s="21">
        <v>1.8099547511300001E-4</v>
      </c>
    </row>
    <row r="288" spans="2:5" ht="14.5" customHeight="1">
      <c r="B288" s="85"/>
      <c r="C288" s="23" t="s">
        <v>195</v>
      </c>
      <c r="D288" s="68">
        <v>7</v>
      </c>
      <c r="E288" s="21">
        <v>1.266968325792E-3</v>
      </c>
    </row>
    <row r="289" spans="2:5" ht="14.5" customHeight="1">
      <c r="B289" s="85"/>
      <c r="C289" s="23" t="s">
        <v>196</v>
      </c>
      <c r="D289" s="68">
        <v>3</v>
      </c>
      <c r="E289" s="21">
        <v>5.4298642533899999E-4</v>
      </c>
    </row>
    <row r="290" spans="2:5" ht="14.5" customHeight="1">
      <c r="B290" s="85"/>
      <c r="C290" s="23" t="s">
        <v>236</v>
      </c>
      <c r="D290" s="68">
        <v>1</v>
      </c>
      <c r="E290" s="21">
        <v>1.8099547511300001E-4</v>
      </c>
    </row>
    <row r="291" spans="2:5" ht="28" customHeight="1">
      <c r="B291" s="85"/>
      <c r="C291" s="23" t="s">
        <v>205</v>
      </c>
      <c r="D291" s="68">
        <v>4</v>
      </c>
      <c r="E291" s="21">
        <v>7.2398190045200002E-4</v>
      </c>
    </row>
    <row r="292" spans="2:5" ht="14.5" customHeight="1">
      <c r="B292" s="86"/>
      <c r="C292" s="69" t="s">
        <v>29</v>
      </c>
      <c r="D292" s="70">
        <v>35</v>
      </c>
      <c r="E292" s="71">
        <v>6.3348416289590002E-3</v>
      </c>
    </row>
    <row r="293" spans="2:5" ht="14.5" customHeight="1">
      <c r="B293" s="84" t="s">
        <v>49</v>
      </c>
      <c r="C293" s="23" t="s">
        <v>211</v>
      </c>
      <c r="D293" s="68">
        <v>1</v>
      </c>
      <c r="E293" s="21">
        <v>1.8099547511300001E-4</v>
      </c>
    </row>
    <row r="294" spans="2:5" ht="14.5" customHeight="1">
      <c r="B294" s="85"/>
      <c r="C294" s="23" t="s">
        <v>212</v>
      </c>
      <c r="D294" s="68">
        <v>1</v>
      </c>
      <c r="E294" s="21">
        <v>1.8099547511300001E-4</v>
      </c>
    </row>
    <row r="295" spans="2:5" ht="14.5" customHeight="1">
      <c r="B295" s="85"/>
      <c r="C295" s="23" t="s">
        <v>182</v>
      </c>
      <c r="D295" s="68">
        <v>22</v>
      </c>
      <c r="E295" s="21">
        <v>3.9819004524890003E-3</v>
      </c>
    </row>
    <row r="296" spans="2:5" ht="14.5" customHeight="1">
      <c r="B296" s="85"/>
      <c r="C296" s="23" t="s">
        <v>183</v>
      </c>
      <c r="D296" s="68">
        <v>3</v>
      </c>
      <c r="E296" s="21">
        <v>5.4298642533899999E-4</v>
      </c>
    </row>
    <row r="297" spans="2:5" ht="14.5" customHeight="1">
      <c r="B297" s="85"/>
      <c r="C297" s="23" t="s">
        <v>213</v>
      </c>
      <c r="D297" s="68">
        <v>3</v>
      </c>
      <c r="E297" s="21">
        <v>5.4298642533899999E-4</v>
      </c>
    </row>
    <row r="298" spans="2:5" ht="14.5" customHeight="1">
      <c r="B298" s="85"/>
      <c r="C298" s="23" t="s">
        <v>184</v>
      </c>
      <c r="D298" s="68">
        <v>19</v>
      </c>
      <c r="E298" s="21">
        <v>3.438914027149E-3</v>
      </c>
    </row>
    <row r="299" spans="2:5" ht="14.5" customHeight="1">
      <c r="B299" s="85"/>
      <c r="C299" s="23" t="s">
        <v>185</v>
      </c>
      <c r="D299" s="68">
        <v>37</v>
      </c>
      <c r="E299" s="21">
        <v>6.6968325791860002E-3</v>
      </c>
    </row>
    <row r="300" spans="2:5" ht="14.5" customHeight="1">
      <c r="B300" s="85"/>
      <c r="C300" s="23" t="s">
        <v>197</v>
      </c>
      <c r="D300" s="68">
        <v>1</v>
      </c>
      <c r="E300" s="21">
        <v>1.8099547511300001E-4</v>
      </c>
    </row>
    <row r="301" spans="2:5" ht="14.5" customHeight="1">
      <c r="B301" s="85"/>
      <c r="C301" s="23" t="s">
        <v>215</v>
      </c>
      <c r="D301" s="68">
        <v>2</v>
      </c>
      <c r="E301" s="21">
        <v>3.6199095022600001E-4</v>
      </c>
    </row>
    <row r="302" spans="2:5" ht="14.5" customHeight="1">
      <c r="B302" s="85"/>
      <c r="C302" s="23" t="s">
        <v>216</v>
      </c>
      <c r="D302" s="68">
        <v>1</v>
      </c>
      <c r="E302" s="21">
        <v>1.8099547511300001E-4</v>
      </c>
    </row>
    <row r="303" spans="2:5" ht="14.5" customHeight="1">
      <c r="B303" s="85"/>
      <c r="C303" s="23" t="s">
        <v>198</v>
      </c>
      <c r="D303" s="68">
        <v>3</v>
      </c>
      <c r="E303" s="21">
        <v>5.4298642533899999E-4</v>
      </c>
    </row>
    <row r="304" spans="2:5" ht="14.5" customHeight="1">
      <c r="B304" s="85"/>
      <c r="C304" s="23" t="s">
        <v>186</v>
      </c>
      <c r="D304" s="68">
        <v>10</v>
      </c>
      <c r="E304" s="21">
        <v>1.809954751131E-3</v>
      </c>
    </row>
    <row r="305" spans="2:5" ht="14.5" customHeight="1">
      <c r="B305" s="85"/>
      <c r="C305" s="23" t="s">
        <v>218</v>
      </c>
      <c r="D305" s="68">
        <v>3</v>
      </c>
      <c r="E305" s="21">
        <v>5.4298642533899999E-4</v>
      </c>
    </row>
    <row r="306" spans="2:5" ht="14.5" customHeight="1">
      <c r="B306" s="85"/>
      <c r="C306" s="23" t="s">
        <v>187</v>
      </c>
      <c r="D306" s="68">
        <v>6</v>
      </c>
      <c r="E306" s="21">
        <v>1.0859728506790001E-3</v>
      </c>
    </row>
    <row r="307" spans="2:5" ht="14.5" customHeight="1">
      <c r="B307" s="85"/>
      <c r="C307" s="23" t="s">
        <v>188</v>
      </c>
      <c r="D307" s="68">
        <v>1</v>
      </c>
      <c r="E307" s="21">
        <v>1.8099547511300001E-4</v>
      </c>
    </row>
    <row r="308" spans="2:5" ht="28" customHeight="1">
      <c r="B308" s="85"/>
      <c r="C308" s="23" t="s">
        <v>200</v>
      </c>
      <c r="D308" s="68">
        <v>1</v>
      </c>
      <c r="E308" s="21">
        <v>1.8099547511300001E-4</v>
      </c>
    </row>
    <row r="309" spans="2:5" ht="14.5" customHeight="1">
      <c r="B309" s="85"/>
      <c r="C309" s="23" t="s">
        <v>220</v>
      </c>
      <c r="D309" s="68">
        <v>1</v>
      </c>
      <c r="E309" s="21">
        <v>1.8099547511300001E-4</v>
      </c>
    </row>
    <row r="310" spans="2:5" ht="14.5" customHeight="1">
      <c r="B310" s="85"/>
      <c r="C310" s="23" t="s">
        <v>189</v>
      </c>
      <c r="D310" s="68">
        <v>1</v>
      </c>
      <c r="E310" s="21">
        <v>1.8099547511300001E-4</v>
      </c>
    </row>
    <row r="311" spans="2:5" ht="14.5" customHeight="1">
      <c r="B311" s="85"/>
      <c r="C311" s="23" t="s">
        <v>206</v>
      </c>
      <c r="D311" s="68">
        <v>6</v>
      </c>
      <c r="E311" s="21">
        <v>1.0859728506790001E-3</v>
      </c>
    </row>
    <row r="312" spans="2:5" ht="28" customHeight="1">
      <c r="B312" s="85"/>
      <c r="C312" s="23" t="s">
        <v>237</v>
      </c>
      <c r="D312" s="68">
        <v>1</v>
      </c>
      <c r="E312" s="21">
        <v>1.8099547511300001E-4</v>
      </c>
    </row>
    <row r="313" spans="2:5" ht="14.5" customHeight="1">
      <c r="B313" s="85"/>
      <c r="C313" s="23" t="s">
        <v>207</v>
      </c>
      <c r="D313" s="68">
        <v>3</v>
      </c>
      <c r="E313" s="21">
        <v>5.4298642533899999E-4</v>
      </c>
    </row>
    <row r="314" spans="2:5" ht="14.5" customHeight="1">
      <c r="B314" s="85"/>
      <c r="C314" s="23" t="s">
        <v>221</v>
      </c>
      <c r="D314" s="68">
        <v>2</v>
      </c>
      <c r="E314" s="21">
        <v>3.6199095022600001E-4</v>
      </c>
    </row>
    <row r="315" spans="2:5" ht="14.5" customHeight="1">
      <c r="B315" s="85"/>
      <c r="C315" s="23" t="s">
        <v>222</v>
      </c>
      <c r="D315" s="68">
        <v>1</v>
      </c>
      <c r="E315" s="21">
        <v>1.8099547511300001E-4</v>
      </c>
    </row>
    <row r="316" spans="2:5" ht="14.5" customHeight="1">
      <c r="B316" s="85"/>
      <c r="C316" s="23" t="s">
        <v>223</v>
      </c>
      <c r="D316" s="68">
        <v>1</v>
      </c>
      <c r="E316" s="21">
        <v>1.8099547511300001E-4</v>
      </c>
    </row>
    <row r="317" spans="2:5" ht="14.5" customHeight="1">
      <c r="B317" s="85"/>
      <c r="C317" s="23" t="s">
        <v>226</v>
      </c>
      <c r="D317" s="68">
        <v>1</v>
      </c>
      <c r="E317" s="21">
        <v>1.8099547511300001E-4</v>
      </c>
    </row>
    <row r="318" spans="2:5" ht="14.5" customHeight="1">
      <c r="B318" s="85"/>
      <c r="C318" s="23" t="s">
        <v>190</v>
      </c>
      <c r="D318" s="68">
        <v>4</v>
      </c>
      <c r="E318" s="21">
        <v>7.2398190045200002E-4</v>
      </c>
    </row>
    <row r="319" spans="2:5" ht="14.5" customHeight="1">
      <c r="B319" s="85"/>
      <c r="C319" s="23" t="s">
        <v>227</v>
      </c>
      <c r="D319" s="68">
        <v>2</v>
      </c>
      <c r="E319" s="21">
        <v>3.6199095022600001E-4</v>
      </c>
    </row>
    <row r="320" spans="2:5" ht="14.5" customHeight="1">
      <c r="B320" s="85"/>
      <c r="C320" s="23" t="s">
        <v>240</v>
      </c>
      <c r="D320" s="68">
        <v>1</v>
      </c>
      <c r="E320" s="21">
        <v>1.8099547511300001E-4</v>
      </c>
    </row>
    <row r="321" spans="2:5" ht="14.5" customHeight="1">
      <c r="B321" s="85"/>
      <c r="C321" s="23" t="s">
        <v>230</v>
      </c>
      <c r="D321" s="68">
        <v>3</v>
      </c>
      <c r="E321" s="21">
        <v>5.4298642533899999E-4</v>
      </c>
    </row>
    <row r="322" spans="2:5" ht="14.5" customHeight="1">
      <c r="B322" s="85"/>
      <c r="C322" s="23" t="s">
        <v>231</v>
      </c>
      <c r="D322" s="68">
        <v>1</v>
      </c>
      <c r="E322" s="21">
        <v>1.8099547511300001E-4</v>
      </c>
    </row>
    <row r="323" spans="2:5" ht="14.5" customHeight="1">
      <c r="B323" s="85"/>
      <c r="C323" s="23" t="s">
        <v>232</v>
      </c>
      <c r="D323" s="68">
        <v>4</v>
      </c>
      <c r="E323" s="21">
        <v>7.2398190045200002E-4</v>
      </c>
    </row>
    <row r="324" spans="2:5" ht="14.5" customHeight="1">
      <c r="B324" s="85"/>
      <c r="C324" s="23" t="s">
        <v>191</v>
      </c>
      <c r="D324" s="68">
        <v>30</v>
      </c>
      <c r="E324" s="21">
        <v>5.4298642533939998E-3</v>
      </c>
    </row>
    <row r="325" spans="2:5" ht="14.5" customHeight="1">
      <c r="B325" s="85"/>
      <c r="C325" s="23" t="s">
        <v>233</v>
      </c>
      <c r="D325" s="68">
        <v>5</v>
      </c>
      <c r="E325" s="21">
        <v>9.0497737556600002E-4</v>
      </c>
    </row>
    <row r="326" spans="2:5" ht="14.5" customHeight="1">
      <c r="B326" s="85"/>
      <c r="C326" s="23" t="s">
        <v>192</v>
      </c>
      <c r="D326" s="68">
        <v>1</v>
      </c>
      <c r="E326" s="21">
        <v>1.8099547511300001E-4</v>
      </c>
    </row>
    <row r="327" spans="2:5" ht="14.5" customHeight="1">
      <c r="B327" s="85"/>
      <c r="C327" s="23" t="s">
        <v>193</v>
      </c>
      <c r="D327" s="68">
        <v>1</v>
      </c>
      <c r="E327" s="21">
        <v>1.8099547511300001E-4</v>
      </c>
    </row>
    <row r="328" spans="2:5" ht="14.5" customHeight="1">
      <c r="B328" s="85"/>
      <c r="C328" s="23" t="s">
        <v>194</v>
      </c>
      <c r="D328" s="68">
        <v>6</v>
      </c>
      <c r="E328" s="21">
        <v>1.0859728506790001E-3</v>
      </c>
    </row>
    <row r="329" spans="2:5" ht="14.5" customHeight="1">
      <c r="B329" s="85"/>
      <c r="C329" s="23" t="s">
        <v>195</v>
      </c>
      <c r="D329" s="68">
        <v>39</v>
      </c>
      <c r="E329" s="21">
        <v>7.058823529412E-3</v>
      </c>
    </row>
    <row r="330" spans="2:5" ht="14.5" customHeight="1">
      <c r="B330" s="85"/>
      <c r="C330" s="23" t="s">
        <v>196</v>
      </c>
      <c r="D330" s="68">
        <v>55</v>
      </c>
      <c r="E330" s="21">
        <v>9.9547511312219998E-3</v>
      </c>
    </row>
    <row r="331" spans="2:5" ht="14.5" customHeight="1">
      <c r="B331" s="85"/>
      <c r="C331" s="23" t="s">
        <v>235</v>
      </c>
      <c r="D331" s="68">
        <v>3</v>
      </c>
      <c r="E331" s="21">
        <v>5.4298642533899999E-4</v>
      </c>
    </row>
    <row r="332" spans="2:5" ht="14.5" customHeight="1">
      <c r="B332" s="85"/>
      <c r="C332" s="23" t="s">
        <v>201</v>
      </c>
      <c r="D332" s="68">
        <v>2</v>
      </c>
      <c r="E332" s="21">
        <v>3.6199095022600001E-4</v>
      </c>
    </row>
    <row r="333" spans="2:5" ht="14.5" customHeight="1">
      <c r="B333" s="85"/>
      <c r="C333" s="23" t="s">
        <v>202</v>
      </c>
      <c r="D333" s="68">
        <v>1</v>
      </c>
      <c r="E333" s="21">
        <v>1.8099547511300001E-4</v>
      </c>
    </row>
    <row r="334" spans="2:5" ht="14.5" customHeight="1">
      <c r="B334" s="85"/>
      <c r="C334" s="23" t="s">
        <v>236</v>
      </c>
      <c r="D334" s="68">
        <v>6</v>
      </c>
      <c r="E334" s="21">
        <v>1.0859728506790001E-3</v>
      </c>
    </row>
    <row r="335" spans="2:5" ht="14.5" customHeight="1">
      <c r="B335" s="85"/>
      <c r="C335" s="23" t="s">
        <v>204</v>
      </c>
      <c r="D335" s="68">
        <v>12</v>
      </c>
      <c r="E335" s="21">
        <v>2.171945701357E-3</v>
      </c>
    </row>
    <row r="336" spans="2:5" ht="14.5" customHeight="1">
      <c r="B336" s="86"/>
      <c r="C336" s="69" t="s">
        <v>29</v>
      </c>
      <c r="D336" s="70">
        <v>307</v>
      </c>
      <c r="E336" s="71">
        <v>5.5565610859728998E-2</v>
      </c>
    </row>
    <row r="337" spans="2:5" ht="14.5" customHeight="1">
      <c r="B337" s="84" t="s">
        <v>58</v>
      </c>
      <c r="C337" s="23" t="s">
        <v>210</v>
      </c>
      <c r="D337" s="68">
        <v>1</v>
      </c>
      <c r="E337" s="21">
        <v>1.8099547511300001E-4</v>
      </c>
    </row>
    <row r="338" spans="2:5" ht="14.5" customHeight="1">
      <c r="B338" s="85"/>
      <c r="C338" s="23" t="s">
        <v>211</v>
      </c>
      <c r="D338" s="68">
        <v>1</v>
      </c>
      <c r="E338" s="21">
        <v>1.8099547511300001E-4</v>
      </c>
    </row>
    <row r="339" spans="2:5" ht="14.5" customHeight="1">
      <c r="B339" s="85"/>
      <c r="C339" s="23" t="s">
        <v>182</v>
      </c>
      <c r="D339" s="68">
        <v>11</v>
      </c>
      <c r="E339" s="21">
        <v>1.9909502262440001E-3</v>
      </c>
    </row>
    <row r="340" spans="2:5" ht="14.5" customHeight="1">
      <c r="B340" s="85"/>
      <c r="C340" s="23" t="s">
        <v>213</v>
      </c>
      <c r="D340" s="68">
        <v>1</v>
      </c>
      <c r="E340" s="21">
        <v>1.8099547511300001E-4</v>
      </c>
    </row>
    <row r="341" spans="2:5" ht="14.5" customHeight="1">
      <c r="B341" s="85"/>
      <c r="C341" s="23" t="s">
        <v>184</v>
      </c>
      <c r="D341" s="68">
        <v>9</v>
      </c>
      <c r="E341" s="21">
        <v>1.628959276018E-3</v>
      </c>
    </row>
    <row r="342" spans="2:5" ht="14.5" customHeight="1">
      <c r="B342" s="85"/>
      <c r="C342" s="23" t="s">
        <v>185</v>
      </c>
      <c r="D342" s="68">
        <v>1</v>
      </c>
      <c r="E342" s="21">
        <v>1.8099547511300001E-4</v>
      </c>
    </row>
    <row r="343" spans="2:5" ht="14.5" customHeight="1">
      <c r="B343" s="85"/>
      <c r="C343" s="23" t="s">
        <v>198</v>
      </c>
      <c r="D343" s="68">
        <v>6</v>
      </c>
      <c r="E343" s="21">
        <v>1.0859728506790001E-3</v>
      </c>
    </row>
    <row r="344" spans="2:5" ht="14.5" customHeight="1">
      <c r="B344" s="85"/>
      <c r="C344" s="23" t="s">
        <v>186</v>
      </c>
      <c r="D344" s="68">
        <v>5</v>
      </c>
      <c r="E344" s="21">
        <v>9.0497737556600002E-4</v>
      </c>
    </row>
    <row r="345" spans="2:5" ht="14.5" customHeight="1">
      <c r="B345" s="85"/>
      <c r="C345" s="23" t="s">
        <v>218</v>
      </c>
      <c r="D345" s="68">
        <v>3</v>
      </c>
      <c r="E345" s="21">
        <v>5.4298642533899999E-4</v>
      </c>
    </row>
    <row r="346" spans="2:5" ht="14.5" customHeight="1">
      <c r="B346" s="85"/>
      <c r="C346" s="23" t="s">
        <v>187</v>
      </c>
      <c r="D346" s="68">
        <v>14</v>
      </c>
      <c r="E346" s="21">
        <v>2.533936651584E-3</v>
      </c>
    </row>
    <row r="347" spans="2:5" ht="14.5" customHeight="1">
      <c r="B347" s="85"/>
      <c r="C347" s="23" t="s">
        <v>206</v>
      </c>
      <c r="D347" s="68">
        <v>14</v>
      </c>
      <c r="E347" s="21">
        <v>2.533936651584E-3</v>
      </c>
    </row>
    <row r="348" spans="2:5" ht="14.5" customHeight="1">
      <c r="B348" s="85"/>
      <c r="C348" s="23" t="s">
        <v>207</v>
      </c>
      <c r="D348" s="68">
        <v>6</v>
      </c>
      <c r="E348" s="21">
        <v>1.0859728506790001E-3</v>
      </c>
    </row>
    <row r="349" spans="2:5" ht="14.5" customHeight="1">
      <c r="B349" s="85"/>
      <c r="C349" s="23" t="s">
        <v>221</v>
      </c>
      <c r="D349" s="68">
        <v>4</v>
      </c>
      <c r="E349" s="21">
        <v>7.2398190045200002E-4</v>
      </c>
    </row>
    <row r="350" spans="2:5" ht="14.5" customHeight="1">
      <c r="B350" s="85"/>
      <c r="C350" s="23" t="s">
        <v>190</v>
      </c>
      <c r="D350" s="68">
        <v>5</v>
      </c>
      <c r="E350" s="21">
        <v>9.0497737556600002E-4</v>
      </c>
    </row>
    <row r="351" spans="2:5" ht="14.5" customHeight="1">
      <c r="B351" s="85"/>
      <c r="C351" s="23" t="s">
        <v>231</v>
      </c>
      <c r="D351" s="68">
        <v>1</v>
      </c>
      <c r="E351" s="21">
        <v>1.8099547511300001E-4</v>
      </c>
    </row>
    <row r="352" spans="2:5" ht="14.5" customHeight="1">
      <c r="B352" s="85"/>
      <c r="C352" s="23" t="s">
        <v>191</v>
      </c>
      <c r="D352" s="68">
        <v>2</v>
      </c>
      <c r="E352" s="21">
        <v>3.6199095022600001E-4</v>
      </c>
    </row>
    <row r="353" spans="2:5" ht="14.5" customHeight="1">
      <c r="B353" s="85"/>
      <c r="C353" s="23" t="s">
        <v>233</v>
      </c>
      <c r="D353" s="68">
        <v>2</v>
      </c>
      <c r="E353" s="21">
        <v>3.6199095022600001E-4</v>
      </c>
    </row>
    <row r="354" spans="2:5" ht="14.5" customHeight="1">
      <c r="B354" s="85"/>
      <c r="C354" s="23" t="s">
        <v>194</v>
      </c>
      <c r="D354" s="68">
        <v>1</v>
      </c>
      <c r="E354" s="21">
        <v>1.8099547511300001E-4</v>
      </c>
    </row>
    <row r="355" spans="2:5" ht="14.5" customHeight="1">
      <c r="B355" s="85"/>
      <c r="C355" s="23" t="s">
        <v>195</v>
      </c>
      <c r="D355" s="68">
        <v>23</v>
      </c>
      <c r="E355" s="21">
        <v>4.1628959276020002E-3</v>
      </c>
    </row>
    <row r="356" spans="2:5" ht="14.5" customHeight="1">
      <c r="B356" s="85"/>
      <c r="C356" s="23" t="s">
        <v>196</v>
      </c>
      <c r="D356" s="68">
        <v>4</v>
      </c>
      <c r="E356" s="21">
        <v>7.2398190045200002E-4</v>
      </c>
    </row>
    <row r="357" spans="2:5" ht="14.5" customHeight="1">
      <c r="B357" s="85"/>
      <c r="C357" s="23" t="s">
        <v>208</v>
      </c>
      <c r="D357" s="68">
        <v>1</v>
      </c>
      <c r="E357" s="21">
        <v>1.8099547511300001E-4</v>
      </c>
    </row>
    <row r="358" spans="2:5" ht="14.5" customHeight="1">
      <c r="B358" s="85"/>
      <c r="C358" s="23" t="s">
        <v>209</v>
      </c>
      <c r="D358" s="68">
        <v>2</v>
      </c>
      <c r="E358" s="21">
        <v>3.6199095022600001E-4</v>
      </c>
    </row>
    <row r="359" spans="2:5" ht="14.5" customHeight="1">
      <c r="B359" s="85"/>
      <c r="C359" s="23" t="s">
        <v>201</v>
      </c>
      <c r="D359" s="68">
        <v>1</v>
      </c>
      <c r="E359" s="21">
        <v>1.8099547511300001E-4</v>
      </c>
    </row>
    <row r="360" spans="2:5" ht="14.5" customHeight="1">
      <c r="B360" s="85"/>
      <c r="C360" s="23" t="s">
        <v>202</v>
      </c>
      <c r="D360" s="68">
        <v>2</v>
      </c>
      <c r="E360" s="21">
        <v>3.6199095022600001E-4</v>
      </c>
    </row>
    <row r="361" spans="2:5" ht="14.5" customHeight="1">
      <c r="B361" s="85"/>
      <c r="C361" s="23" t="s">
        <v>203</v>
      </c>
      <c r="D361" s="68">
        <v>2</v>
      </c>
      <c r="E361" s="21">
        <v>3.6199095022600001E-4</v>
      </c>
    </row>
    <row r="362" spans="2:5" ht="14.5" customHeight="1">
      <c r="B362" s="85"/>
      <c r="C362" s="23" t="s">
        <v>204</v>
      </c>
      <c r="D362" s="68">
        <v>3</v>
      </c>
      <c r="E362" s="21">
        <v>5.4298642533899999E-4</v>
      </c>
    </row>
    <row r="363" spans="2:5" ht="14.5" customHeight="1">
      <c r="B363" s="86"/>
      <c r="C363" s="69" t="s">
        <v>29</v>
      </c>
      <c r="D363" s="70">
        <v>125</v>
      </c>
      <c r="E363" s="71">
        <v>2.262443438914E-2</v>
      </c>
    </row>
    <row r="364" spans="2:5" ht="14.5" customHeight="1">
      <c r="B364" s="84" t="s">
        <v>60</v>
      </c>
      <c r="C364" s="23" t="s">
        <v>210</v>
      </c>
      <c r="D364" s="68">
        <v>1</v>
      </c>
      <c r="E364" s="21">
        <v>1.8099547511300001E-4</v>
      </c>
    </row>
    <row r="365" spans="2:5" ht="14.5" customHeight="1">
      <c r="B365" s="85"/>
      <c r="C365" s="23" t="s">
        <v>211</v>
      </c>
      <c r="D365" s="68">
        <v>1</v>
      </c>
      <c r="E365" s="21">
        <v>1.8099547511300001E-4</v>
      </c>
    </row>
    <row r="366" spans="2:5" ht="14.5" customHeight="1">
      <c r="B366" s="85"/>
      <c r="C366" s="23" t="s">
        <v>182</v>
      </c>
      <c r="D366" s="68">
        <v>3</v>
      </c>
      <c r="E366" s="21">
        <v>5.4298642533899999E-4</v>
      </c>
    </row>
    <row r="367" spans="2:5" ht="14.5" customHeight="1">
      <c r="B367" s="85"/>
      <c r="C367" s="23" t="s">
        <v>183</v>
      </c>
      <c r="D367" s="68">
        <v>4</v>
      </c>
      <c r="E367" s="21">
        <v>7.2398190045200002E-4</v>
      </c>
    </row>
    <row r="368" spans="2:5" ht="14.5" customHeight="1">
      <c r="B368" s="85"/>
      <c r="C368" s="23" t="s">
        <v>184</v>
      </c>
      <c r="D368" s="68">
        <v>6</v>
      </c>
      <c r="E368" s="21">
        <v>1.0859728506790001E-3</v>
      </c>
    </row>
    <row r="369" spans="2:5" ht="14.5" customHeight="1">
      <c r="B369" s="85"/>
      <c r="C369" s="23" t="s">
        <v>185</v>
      </c>
      <c r="D369" s="68">
        <v>33</v>
      </c>
      <c r="E369" s="21">
        <v>5.9728506787330004E-3</v>
      </c>
    </row>
    <row r="370" spans="2:5" ht="14.5" customHeight="1">
      <c r="B370" s="85"/>
      <c r="C370" s="23" t="s">
        <v>197</v>
      </c>
      <c r="D370" s="68">
        <v>2</v>
      </c>
      <c r="E370" s="21">
        <v>3.6199095022600001E-4</v>
      </c>
    </row>
    <row r="371" spans="2:5" ht="14.5" customHeight="1">
      <c r="B371" s="85"/>
      <c r="C371" s="23" t="s">
        <v>186</v>
      </c>
      <c r="D371" s="68">
        <v>2</v>
      </c>
      <c r="E371" s="21">
        <v>3.6199095022600001E-4</v>
      </c>
    </row>
    <row r="372" spans="2:5" ht="14.5" customHeight="1">
      <c r="B372" s="85"/>
      <c r="C372" s="23" t="s">
        <v>187</v>
      </c>
      <c r="D372" s="68">
        <v>6</v>
      </c>
      <c r="E372" s="21">
        <v>1.0859728506790001E-3</v>
      </c>
    </row>
    <row r="373" spans="2:5" ht="14.5" customHeight="1">
      <c r="B373" s="85"/>
      <c r="C373" s="23" t="s">
        <v>219</v>
      </c>
      <c r="D373" s="68">
        <v>1</v>
      </c>
      <c r="E373" s="21">
        <v>1.8099547511300001E-4</v>
      </c>
    </row>
    <row r="374" spans="2:5" ht="14.5" customHeight="1">
      <c r="B374" s="85"/>
      <c r="C374" s="23" t="s">
        <v>188</v>
      </c>
      <c r="D374" s="68">
        <v>7</v>
      </c>
      <c r="E374" s="21">
        <v>1.266968325792E-3</v>
      </c>
    </row>
    <row r="375" spans="2:5" ht="14.5" customHeight="1">
      <c r="B375" s="85"/>
      <c r="C375" s="23" t="s">
        <v>189</v>
      </c>
      <c r="D375" s="68">
        <v>3</v>
      </c>
      <c r="E375" s="21">
        <v>5.4298642533899999E-4</v>
      </c>
    </row>
    <row r="376" spans="2:5" ht="14.5" customHeight="1">
      <c r="B376" s="85"/>
      <c r="C376" s="23" t="s">
        <v>207</v>
      </c>
      <c r="D376" s="68">
        <v>4</v>
      </c>
      <c r="E376" s="21">
        <v>7.2398190045200002E-4</v>
      </c>
    </row>
    <row r="377" spans="2:5" ht="14.5" customHeight="1">
      <c r="B377" s="85"/>
      <c r="C377" s="23" t="s">
        <v>221</v>
      </c>
      <c r="D377" s="68">
        <v>1</v>
      </c>
      <c r="E377" s="21">
        <v>1.8099547511300001E-4</v>
      </c>
    </row>
    <row r="378" spans="2:5" ht="14.5" customHeight="1">
      <c r="B378" s="85"/>
      <c r="C378" s="23" t="s">
        <v>190</v>
      </c>
      <c r="D378" s="68">
        <v>1</v>
      </c>
      <c r="E378" s="21">
        <v>1.8099547511300001E-4</v>
      </c>
    </row>
    <row r="379" spans="2:5" ht="14.5" customHeight="1">
      <c r="B379" s="85"/>
      <c r="C379" s="23" t="s">
        <v>227</v>
      </c>
      <c r="D379" s="68">
        <v>1</v>
      </c>
      <c r="E379" s="21">
        <v>1.8099547511300001E-4</v>
      </c>
    </row>
    <row r="380" spans="2:5" ht="14.5" customHeight="1">
      <c r="B380" s="85"/>
      <c r="C380" s="23" t="s">
        <v>232</v>
      </c>
      <c r="D380" s="68">
        <v>1</v>
      </c>
      <c r="E380" s="21">
        <v>1.8099547511300001E-4</v>
      </c>
    </row>
    <row r="381" spans="2:5" ht="14.5" customHeight="1">
      <c r="B381" s="85"/>
      <c r="C381" s="23" t="s">
        <v>191</v>
      </c>
      <c r="D381" s="68">
        <v>8</v>
      </c>
      <c r="E381" s="21">
        <v>1.4479638009049999E-3</v>
      </c>
    </row>
    <row r="382" spans="2:5" ht="14.5" customHeight="1">
      <c r="B382" s="85"/>
      <c r="C382" s="23" t="s">
        <v>233</v>
      </c>
      <c r="D382" s="68">
        <v>1</v>
      </c>
      <c r="E382" s="21">
        <v>1.8099547511300001E-4</v>
      </c>
    </row>
    <row r="383" spans="2:5" ht="14.5" customHeight="1">
      <c r="B383" s="85"/>
      <c r="C383" s="23" t="s">
        <v>192</v>
      </c>
      <c r="D383" s="68">
        <v>3</v>
      </c>
      <c r="E383" s="21">
        <v>5.4298642533899999E-4</v>
      </c>
    </row>
    <row r="384" spans="2:5" ht="14.5" customHeight="1">
      <c r="B384" s="85"/>
      <c r="C384" s="23" t="s">
        <v>194</v>
      </c>
      <c r="D384" s="68">
        <v>3</v>
      </c>
      <c r="E384" s="21">
        <v>5.4298642533899999E-4</v>
      </c>
    </row>
    <row r="385" spans="2:5" ht="14.5" customHeight="1">
      <c r="B385" s="85"/>
      <c r="C385" s="23" t="s">
        <v>195</v>
      </c>
      <c r="D385" s="68">
        <v>12</v>
      </c>
      <c r="E385" s="21">
        <v>2.171945701357E-3</v>
      </c>
    </row>
    <row r="386" spans="2:5" ht="14.5" customHeight="1">
      <c r="B386" s="85"/>
      <c r="C386" s="23" t="s">
        <v>196</v>
      </c>
      <c r="D386" s="68">
        <v>1</v>
      </c>
      <c r="E386" s="21">
        <v>1.8099547511300001E-4</v>
      </c>
    </row>
    <row r="387" spans="2:5" ht="14.5" customHeight="1">
      <c r="B387" s="85"/>
      <c r="C387" s="23" t="s">
        <v>235</v>
      </c>
      <c r="D387" s="68">
        <v>1</v>
      </c>
      <c r="E387" s="21">
        <v>1.8099547511300001E-4</v>
      </c>
    </row>
    <row r="388" spans="2:5" ht="14.5" customHeight="1">
      <c r="B388" s="85"/>
      <c r="C388" s="23" t="s">
        <v>202</v>
      </c>
      <c r="D388" s="68">
        <v>1</v>
      </c>
      <c r="E388" s="21">
        <v>1.8099547511300001E-4</v>
      </c>
    </row>
    <row r="389" spans="2:5" ht="14.5" customHeight="1">
      <c r="B389" s="85"/>
      <c r="C389" s="23" t="s">
        <v>204</v>
      </c>
      <c r="D389" s="68">
        <v>1</v>
      </c>
      <c r="E389" s="21">
        <v>1.8099547511300001E-4</v>
      </c>
    </row>
    <row r="390" spans="2:5" ht="14.5" customHeight="1">
      <c r="B390" s="86"/>
      <c r="C390" s="69" t="s">
        <v>29</v>
      </c>
      <c r="D390" s="70">
        <v>108</v>
      </c>
      <c r="E390" s="71">
        <v>1.9547511312216999E-2</v>
      </c>
    </row>
    <row r="391" spans="2:5" ht="14.5" customHeight="1">
      <c r="B391" s="84" t="s">
        <v>88</v>
      </c>
      <c r="C391" s="23" t="s">
        <v>191</v>
      </c>
      <c r="D391" s="68">
        <v>1</v>
      </c>
      <c r="E391" s="21">
        <v>1.8099547511300001E-4</v>
      </c>
    </row>
    <row r="392" spans="2:5" ht="14.5" customHeight="1">
      <c r="B392" s="85"/>
      <c r="C392" s="23" t="s">
        <v>233</v>
      </c>
      <c r="D392" s="68">
        <v>1</v>
      </c>
      <c r="E392" s="21">
        <v>1.8099547511300001E-4</v>
      </c>
    </row>
    <row r="393" spans="2:5" ht="14.5" customHeight="1">
      <c r="B393" s="86"/>
      <c r="C393" s="69" t="s">
        <v>29</v>
      </c>
      <c r="D393" s="70">
        <v>2</v>
      </c>
      <c r="E393" s="71">
        <v>3.6199095022600001E-4</v>
      </c>
    </row>
    <row r="394" spans="2:5" ht="14.5" customHeight="1">
      <c r="B394" s="84" t="s">
        <v>64</v>
      </c>
      <c r="C394" s="23" t="s">
        <v>182</v>
      </c>
      <c r="D394" s="68">
        <v>3</v>
      </c>
      <c r="E394" s="21">
        <v>5.4298642533899999E-4</v>
      </c>
    </row>
    <row r="395" spans="2:5" ht="14.5" customHeight="1">
      <c r="B395" s="85"/>
      <c r="C395" s="23" t="s">
        <v>213</v>
      </c>
      <c r="D395" s="68">
        <v>1</v>
      </c>
      <c r="E395" s="21">
        <v>1.8099547511300001E-4</v>
      </c>
    </row>
    <row r="396" spans="2:5" ht="14.5" customHeight="1">
      <c r="B396" s="85"/>
      <c r="C396" s="23" t="s">
        <v>184</v>
      </c>
      <c r="D396" s="68">
        <v>9</v>
      </c>
      <c r="E396" s="21">
        <v>1.628959276018E-3</v>
      </c>
    </row>
    <row r="397" spans="2:5" ht="14.5" customHeight="1">
      <c r="B397" s="85"/>
      <c r="C397" s="23" t="s">
        <v>185</v>
      </c>
      <c r="D397" s="68">
        <v>5</v>
      </c>
      <c r="E397" s="21">
        <v>9.0497737556600002E-4</v>
      </c>
    </row>
    <row r="398" spans="2:5" ht="14.5" customHeight="1">
      <c r="B398" s="85"/>
      <c r="C398" s="23" t="s">
        <v>197</v>
      </c>
      <c r="D398" s="68">
        <v>2</v>
      </c>
      <c r="E398" s="21">
        <v>3.6199095022600001E-4</v>
      </c>
    </row>
    <row r="399" spans="2:5" ht="14.5" customHeight="1">
      <c r="B399" s="85"/>
      <c r="C399" s="23" t="s">
        <v>198</v>
      </c>
      <c r="D399" s="68">
        <v>1</v>
      </c>
      <c r="E399" s="21">
        <v>1.8099547511300001E-4</v>
      </c>
    </row>
    <row r="400" spans="2:5" ht="14.5" customHeight="1">
      <c r="B400" s="85"/>
      <c r="C400" s="23" t="s">
        <v>186</v>
      </c>
      <c r="D400" s="68">
        <v>2</v>
      </c>
      <c r="E400" s="21">
        <v>3.6199095022600001E-4</v>
      </c>
    </row>
    <row r="401" spans="2:5" ht="14.5" customHeight="1">
      <c r="B401" s="85"/>
      <c r="C401" s="23" t="s">
        <v>218</v>
      </c>
      <c r="D401" s="68">
        <v>1</v>
      </c>
      <c r="E401" s="21">
        <v>1.8099547511300001E-4</v>
      </c>
    </row>
    <row r="402" spans="2:5" ht="14.5" customHeight="1">
      <c r="B402" s="85"/>
      <c r="C402" s="23" t="s">
        <v>187</v>
      </c>
      <c r="D402" s="68">
        <v>2</v>
      </c>
      <c r="E402" s="21">
        <v>3.6199095022600001E-4</v>
      </c>
    </row>
    <row r="403" spans="2:5" ht="14.5" customHeight="1">
      <c r="B403" s="85"/>
      <c r="C403" s="23" t="s">
        <v>219</v>
      </c>
      <c r="D403" s="68">
        <v>1</v>
      </c>
      <c r="E403" s="21">
        <v>1.8099547511300001E-4</v>
      </c>
    </row>
    <row r="404" spans="2:5" ht="14.5" customHeight="1">
      <c r="B404" s="85"/>
      <c r="C404" s="23" t="s">
        <v>189</v>
      </c>
      <c r="D404" s="68">
        <v>4</v>
      </c>
      <c r="E404" s="21">
        <v>7.2398190045200002E-4</v>
      </c>
    </row>
    <row r="405" spans="2:5" ht="14.5" customHeight="1">
      <c r="B405" s="85"/>
      <c r="C405" s="23" t="s">
        <v>206</v>
      </c>
      <c r="D405" s="68">
        <v>5</v>
      </c>
      <c r="E405" s="21">
        <v>9.0497737556600002E-4</v>
      </c>
    </row>
    <row r="406" spans="2:5" ht="28" customHeight="1">
      <c r="B406" s="85"/>
      <c r="C406" s="23" t="s">
        <v>237</v>
      </c>
      <c r="D406" s="68">
        <v>1</v>
      </c>
      <c r="E406" s="21">
        <v>1.8099547511300001E-4</v>
      </c>
    </row>
    <row r="407" spans="2:5" ht="14.5" customHeight="1">
      <c r="B407" s="85"/>
      <c r="C407" s="23" t="s">
        <v>190</v>
      </c>
      <c r="D407" s="68">
        <v>1</v>
      </c>
      <c r="E407" s="21">
        <v>1.8099547511300001E-4</v>
      </c>
    </row>
    <row r="408" spans="2:5" ht="14.5" customHeight="1">
      <c r="B408" s="85"/>
      <c r="C408" s="23" t="s">
        <v>240</v>
      </c>
      <c r="D408" s="68">
        <v>1</v>
      </c>
      <c r="E408" s="21">
        <v>1.8099547511300001E-4</v>
      </c>
    </row>
    <row r="409" spans="2:5" ht="14.5" customHeight="1">
      <c r="B409" s="85"/>
      <c r="C409" s="23" t="s">
        <v>230</v>
      </c>
      <c r="D409" s="68">
        <v>1</v>
      </c>
      <c r="E409" s="21">
        <v>1.8099547511300001E-4</v>
      </c>
    </row>
    <row r="410" spans="2:5" ht="14.5" customHeight="1">
      <c r="B410" s="85"/>
      <c r="C410" s="23" t="s">
        <v>232</v>
      </c>
      <c r="D410" s="68">
        <v>2</v>
      </c>
      <c r="E410" s="21">
        <v>3.6199095022600001E-4</v>
      </c>
    </row>
    <row r="411" spans="2:5" ht="14.5" customHeight="1">
      <c r="B411" s="85"/>
      <c r="C411" s="23" t="s">
        <v>194</v>
      </c>
      <c r="D411" s="68">
        <v>1</v>
      </c>
      <c r="E411" s="21">
        <v>1.8099547511300001E-4</v>
      </c>
    </row>
    <row r="412" spans="2:5" ht="14.5" customHeight="1">
      <c r="B412" s="85"/>
      <c r="C412" s="23" t="s">
        <v>234</v>
      </c>
      <c r="D412" s="68">
        <v>1</v>
      </c>
      <c r="E412" s="21">
        <v>1.8099547511300001E-4</v>
      </c>
    </row>
    <row r="413" spans="2:5" ht="14.5" customHeight="1">
      <c r="B413" s="85"/>
      <c r="C413" s="23" t="s">
        <v>195</v>
      </c>
      <c r="D413" s="68">
        <v>15</v>
      </c>
      <c r="E413" s="21">
        <v>2.7149321266969999E-3</v>
      </c>
    </row>
    <row r="414" spans="2:5" ht="14.5" customHeight="1">
      <c r="B414" s="85"/>
      <c r="C414" s="23" t="s">
        <v>235</v>
      </c>
      <c r="D414" s="68">
        <v>1</v>
      </c>
      <c r="E414" s="21">
        <v>1.8099547511300001E-4</v>
      </c>
    </row>
    <row r="415" spans="2:5" ht="14.5" customHeight="1">
      <c r="B415" s="85"/>
      <c r="C415" s="23" t="s">
        <v>201</v>
      </c>
      <c r="D415" s="68">
        <v>1</v>
      </c>
      <c r="E415" s="21">
        <v>1.8099547511300001E-4</v>
      </c>
    </row>
    <row r="416" spans="2:5" ht="14.5" customHeight="1">
      <c r="B416" s="85"/>
      <c r="C416" s="23" t="s">
        <v>202</v>
      </c>
      <c r="D416" s="68">
        <v>1</v>
      </c>
      <c r="E416" s="21">
        <v>1.8099547511300001E-4</v>
      </c>
    </row>
    <row r="417" spans="2:5" ht="14.5" customHeight="1">
      <c r="B417" s="85"/>
      <c r="C417" s="23" t="s">
        <v>203</v>
      </c>
      <c r="D417" s="68">
        <v>1</v>
      </c>
      <c r="E417" s="21">
        <v>1.8099547511300001E-4</v>
      </c>
    </row>
    <row r="418" spans="2:5" ht="14.5" customHeight="1">
      <c r="B418" s="85"/>
      <c r="C418" s="23" t="s">
        <v>236</v>
      </c>
      <c r="D418" s="68">
        <v>1</v>
      </c>
      <c r="E418" s="21">
        <v>1.8099547511300001E-4</v>
      </c>
    </row>
    <row r="419" spans="2:5" ht="14.5" customHeight="1">
      <c r="B419" s="86"/>
      <c r="C419" s="69" t="s">
        <v>29</v>
      </c>
      <c r="D419" s="70">
        <v>64</v>
      </c>
      <c r="E419" s="71">
        <v>1.1583710407239999E-2</v>
      </c>
    </row>
    <row r="420" spans="2:5" ht="14.5" customHeight="1">
      <c r="B420" s="84" t="s">
        <v>66</v>
      </c>
      <c r="C420" s="23" t="s">
        <v>212</v>
      </c>
      <c r="D420" s="68">
        <v>1</v>
      </c>
      <c r="E420" s="21">
        <v>1.8099547511300001E-4</v>
      </c>
    </row>
    <row r="421" spans="2:5" ht="14.5" customHeight="1">
      <c r="B421" s="85"/>
      <c r="C421" s="23" t="s">
        <v>182</v>
      </c>
      <c r="D421" s="68">
        <v>2</v>
      </c>
      <c r="E421" s="21">
        <v>3.6199095022600001E-4</v>
      </c>
    </row>
    <row r="422" spans="2:5" ht="14.5" customHeight="1">
      <c r="B422" s="85"/>
      <c r="C422" s="23" t="s">
        <v>183</v>
      </c>
      <c r="D422" s="68">
        <v>1</v>
      </c>
      <c r="E422" s="21">
        <v>1.8099547511300001E-4</v>
      </c>
    </row>
    <row r="423" spans="2:5" ht="14.5" customHeight="1">
      <c r="B423" s="85"/>
      <c r="C423" s="23" t="s">
        <v>184</v>
      </c>
      <c r="D423" s="68">
        <v>5</v>
      </c>
      <c r="E423" s="21">
        <v>9.0497737556600002E-4</v>
      </c>
    </row>
    <row r="424" spans="2:5" ht="14.5" customHeight="1">
      <c r="B424" s="85"/>
      <c r="C424" s="23" t="s">
        <v>185</v>
      </c>
      <c r="D424" s="68">
        <v>3</v>
      </c>
      <c r="E424" s="21">
        <v>5.4298642533899999E-4</v>
      </c>
    </row>
    <row r="425" spans="2:5" ht="14.5" customHeight="1">
      <c r="B425" s="85"/>
      <c r="C425" s="23" t="s">
        <v>186</v>
      </c>
      <c r="D425" s="68">
        <v>5</v>
      </c>
      <c r="E425" s="21">
        <v>9.0497737556600002E-4</v>
      </c>
    </row>
    <row r="426" spans="2:5" ht="14.5" customHeight="1">
      <c r="B426" s="85"/>
      <c r="C426" s="23" t="s">
        <v>187</v>
      </c>
      <c r="D426" s="68">
        <v>7</v>
      </c>
      <c r="E426" s="21">
        <v>1.266968325792E-3</v>
      </c>
    </row>
    <row r="427" spans="2:5" ht="14.5" customHeight="1">
      <c r="B427" s="85"/>
      <c r="C427" s="23" t="s">
        <v>189</v>
      </c>
      <c r="D427" s="68">
        <v>1</v>
      </c>
      <c r="E427" s="21">
        <v>1.8099547511300001E-4</v>
      </c>
    </row>
    <row r="428" spans="2:5" ht="14.5" customHeight="1">
      <c r="B428" s="85"/>
      <c r="C428" s="23" t="s">
        <v>206</v>
      </c>
      <c r="D428" s="68">
        <v>1</v>
      </c>
      <c r="E428" s="21">
        <v>1.8099547511300001E-4</v>
      </c>
    </row>
    <row r="429" spans="2:5" ht="14.5" customHeight="1">
      <c r="B429" s="85"/>
      <c r="C429" s="23" t="s">
        <v>207</v>
      </c>
      <c r="D429" s="68">
        <v>3</v>
      </c>
      <c r="E429" s="21">
        <v>5.4298642533899999E-4</v>
      </c>
    </row>
    <row r="430" spans="2:5" ht="14.5" customHeight="1">
      <c r="B430" s="85"/>
      <c r="C430" s="23" t="s">
        <v>221</v>
      </c>
      <c r="D430" s="68">
        <v>1</v>
      </c>
      <c r="E430" s="21">
        <v>1.8099547511300001E-4</v>
      </c>
    </row>
    <row r="431" spans="2:5" ht="14.5" customHeight="1">
      <c r="B431" s="85"/>
      <c r="C431" s="23" t="s">
        <v>190</v>
      </c>
      <c r="D431" s="68">
        <v>1</v>
      </c>
      <c r="E431" s="21">
        <v>1.8099547511300001E-4</v>
      </c>
    </row>
    <row r="432" spans="2:5" ht="14.5" customHeight="1">
      <c r="B432" s="85"/>
      <c r="C432" s="23" t="s">
        <v>195</v>
      </c>
      <c r="D432" s="68">
        <v>9</v>
      </c>
      <c r="E432" s="21">
        <v>1.628959276018E-3</v>
      </c>
    </row>
    <row r="433" spans="2:5" ht="14.5" customHeight="1">
      <c r="B433" s="85"/>
      <c r="C433" s="23" t="s">
        <v>196</v>
      </c>
      <c r="D433" s="68">
        <v>5</v>
      </c>
      <c r="E433" s="21">
        <v>9.0497737556600002E-4</v>
      </c>
    </row>
    <row r="434" spans="2:5" ht="14.5" customHeight="1">
      <c r="B434" s="85"/>
      <c r="C434" s="23" t="s">
        <v>208</v>
      </c>
      <c r="D434" s="68">
        <v>1</v>
      </c>
      <c r="E434" s="21">
        <v>1.8099547511300001E-4</v>
      </c>
    </row>
    <row r="435" spans="2:5" ht="14.5" customHeight="1">
      <c r="B435" s="85"/>
      <c r="C435" s="23" t="s">
        <v>209</v>
      </c>
      <c r="D435" s="68">
        <v>1</v>
      </c>
      <c r="E435" s="21">
        <v>1.8099547511300001E-4</v>
      </c>
    </row>
    <row r="436" spans="2:5" ht="14.5" customHeight="1">
      <c r="B436" s="85"/>
      <c r="C436" s="23" t="s">
        <v>201</v>
      </c>
      <c r="D436" s="68">
        <v>3</v>
      </c>
      <c r="E436" s="21">
        <v>5.4298642533899999E-4</v>
      </c>
    </row>
    <row r="437" spans="2:5" ht="14.5" customHeight="1">
      <c r="B437" s="85"/>
      <c r="C437" s="23" t="s">
        <v>202</v>
      </c>
      <c r="D437" s="68">
        <v>2</v>
      </c>
      <c r="E437" s="21">
        <v>3.6199095022600001E-4</v>
      </c>
    </row>
    <row r="438" spans="2:5" ht="14.5" customHeight="1">
      <c r="B438" s="85"/>
      <c r="C438" s="23" t="s">
        <v>203</v>
      </c>
      <c r="D438" s="68">
        <v>1</v>
      </c>
      <c r="E438" s="21">
        <v>1.8099547511300001E-4</v>
      </c>
    </row>
    <row r="439" spans="2:5" ht="14.5" customHeight="1">
      <c r="B439" s="85"/>
      <c r="C439" s="23" t="s">
        <v>204</v>
      </c>
      <c r="D439" s="68">
        <v>4</v>
      </c>
      <c r="E439" s="21">
        <v>7.2398190045200002E-4</v>
      </c>
    </row>
    <row r="440" spans="2:5" ht="14.5" customHeight="1">
      <c r="B440" s="86"/>
      <c r="C440" s="69" t="s">
        <v>29</v>
      </c>
      <c r="D440" s="70">
        <v>57</v>
      </c>
      <c r="E440" s="71">
        <v>1.0316742081448E-2</v>
      </c>
    </row>
    <row r="441" spans="2:5" ht="14.5" customHeight="1">
      <c r="B441" s="84" t="s">
        <v>48</v>
      </c>
      <c r="C441" s="23" t="s">
        <v>210</v>
      </c>
      <c r="D441" s="68">
        <v>2</v>
      </c>
      <c r="E441" s="21">
        <v>3.6199095022600001E-4</v>
      </c>
    </row>
    <row r="442" spans="2:5" ht="14.5" customHeight="1">
      <c r="B442" s="85"/>
      <c r="C442" s="23" t="s">
        <v>211</v>
      </c>
      <c r="D442" s="68">
        <v>1</v>
      </c>
      <c r="E442" s="21">
        <v>1.8099547511300001E-4</v>
      </c>
    </row>
    <row r="443" spans="2:5" ht="14.5" customHeight="1">
      <c r="B443" s="85"/>
      <c r="C443" s="23" t="s">
        <v>212</v>
      </c>
      <c r="D443" s="68">
        <v>2</v>
      </c>
      <c r="E443" s="21">
        <v>3.6199095022600001E-4</v>
      </c>
    </row>
    <row r="444" spans="2:5" ht="14.5" customHeight="1">
      <c r="B444" s="85"/>
      <c r="C444" s="23" t="s">
        <v>182</v>
      </c>
      <c r="D444" s="68">
        <v>22</v>
      </c>
      <c r="E444" s="21">
        <v>3.9819004524890003E-3</v>
      </c>
    </row>
    <row r="445" spans="2:5" ht="14.5" customHeight="1">
      <c r="B445" s="85"/>
      <c r="C445" s="23" t="s">
        <v>183</v>
      </c>
      <c r="D445" s="68">
        <v>3</v>
      </c>
      <c r="E445" s="21">
        <v>5.4298642533899999E-4</v>
      </c>
    </row>
    <row r="446" spans="2:5" ht="14.5" customHeight="1">
      <c r="B446" s="85"/>
      <c r="C446" s="23" t="s">
        <v>213</v>
      </c>
      <c r="D446" s="68">
        <v>6</v>
      </c>
      <c r="E446" s="21">
        <v>1.0859728506790001E-3</v>
      </c>
    </row>
    <row r="447" spans="2:5" ht="14.5" customHeight="1">
      <c r="B447" s="85"/>
      <c r="C447" s="23" t="s">
        <v>184</v>
      </c>
      <c r="D447" s="68">
        <v>50</v>
      </c>
      <c r="E447" s="21">
        <v>9.0497737556560001E-3</v>
      </c>
    </row>
    <row r="448" spans="2:5" ht="14.5" customHeight="1">
      <c r="B448" s="85"/>
      <c r="C448" s="23" t="s">
        <v>185</v>
      </c>
      <c r="D448" s="68">
        <v>36</v>
      </c>
      <c r="E448" s="21">
        <v>6.5158371040720002E-3</v>
      </c>
    </row>
    <row r="449" spans="2:5" ht="14.5" customHeight="1">
      <c r="B449" s="85"/>
      <c r="C449" s="23" t="s">
        <v>197</v>
      </c>
      <c r="D449" s="68">
        <v>6</v>
      </c>
      <c r="E449" s="21">
        <v>1.0859728506790001E-3</v>
      </c>
    </row>
    <row r="450" spans="2:5" ht="14.5" customHeight="1">
      <c r="B450" s="85"/>
      <c r="C450" s="23" t="s">
        <v>215</v>
      </c>
      <c r="D450" s="68">
        <v>2</v>
      </c>
      <c r="E450" s="21">
        <v>3.6199095022600001E-4</v>
      </c>
    </row>
    <row r="451" spans="2:5" ht="14.5" customHeight="1">
      <c r="B451" s="85"/>
      <c r="C451" s="23" t="s">
        <v>216</v>
      </c>
      <c r="D451" s="68">
        <v>3</v>
      </c>
      <c r="E451" s="21">
        <v>5.4298642533899999E-4</v>
      </c>
    </row>
    <row r="452" spans="2:5" ht="14.5" customHeight="1">
      <c r="B452" s="85"/>
      <c r="C452" s="23" t="s">
        <v>198</v>
      </c>
      <c r="D452" s="68">
        <v>5</v>
      </c>
      <c r="E452" s="21">
        <v>9.0497737556600002E-4</v>
      </c>
    </row>
    <row r="453" spans="2:5" ht="14.5" customHeight="1">
      <c r="B453" s="85"/>
      <c r="C453" s="23" t="s">
        <v>186</v>
      </c>
      <c r="D453" s="68">
        <v>45</v>
      </c>
      <c r="E453" s="21">
        <v>8.1447963800900004E-3</v>
      </c>
    </row>
    <row r="454" spans="2:5" ht="14.5" customHeight="1">
      <c r="B454" s="85"/>
      <c r="C454" s="23" t="s">
        <v>218</v>
      </c>
      <c r="D454" s="68">
        <v>7</v>
      </c>
      <c r="E454" s="21">
        <v>1.266968325792E-3</v>
      </c>
    </row>
    <row r="455" spans="2:5" ht="14.5" customHeight="1">
      <c r="B455" s="85"/>
      <c r="C455" s="23" t="s">
        <v>187</v>
      </c>
      <c r="D455" s="68">
        <v>14</v>
      </c>
      <c r="E455" s="21">
        <v>2.533936651584E-3</v>
      </c>
    </row>
    <row r="456" spans="2:5" ht="14.5" customHeight="1">
      <c r="B456" s="85"/>
      <c r="C456" s="23" t="s">
        <v>219</v>
      </c>
      <c r="D456" s="68">
        <v>4</v>
      </c>
      <c r="E456" s="21">
        <v>7.2398190045200002E-4</v>
      </c>
    </row>
    <row r="457" spans="2:5" ht="14.5" customHeight="1">
      <c r="B457" s="85"/>
      <c r="C457" s="23" t="s">
        <v>199</v>
      </c>
      <c r="D457" s="68">
        <v>2</v>
      </c>
      <c r="E457" s="21">
        <v>3.6199095022600001E-4</v>
      </c>
    </row>
    <row r="458" spans="2:5" ht="28" customHeight="1">
      <c r="B458" s="85"/>
      <c r="C458" s="23" t="s">
        <v>200</v>
      </c>
      <c r="D458" s="68">
        <v>1</v>
      </c>
      <c r="E458" s="21">
        <v>1.8099547511300001E-4</v>
      </c>
    </row>
    <row r="459" spans="2:5" ht="14.5" customHeight="1">
      <c r="B459" s="85"/>
      <c r="C459" s="23" t="s">
        <v>220</v>
      </c>
      <c r="D459" s="68">
        <v>3</v>
      </c>
      <c r="E459" s="21">
        <v>5.4298642533899999E-4</v>
      </c>
    </row>
    <row r="460" spans="2:5" ht="14.5" customHeight="1">
      <c r="B460" s="85"/>
      <c r="C460" s="23" t="s">
        <v>189</v>
      </c>
      <c r="D460" s="68">
        <v>12</v>
      </c>
      <c r="E460" s="21">
        <v>2.171945701357E-3</v>
      </c>
    </row>
    <row r="461" spans="2:5" ht="14.5" customHeight="1">
      <c r="B461" s="85"/>
      <c r="C461" s="23" t="s">
        <v>206</v>
      </c>
      <c r="D461" s="68">
        <v>37</v>
      </c>
      <c r="E461" s="21">
        <v>6.6968325791860002E-3</v>
      </c>
    </row>
    <row r="462" spans="2:5" ht="14.5" customHeight="1">
      <c r="B462" s="85"/>
      <c r="C462" s="23" t="s">
        <v>207</v>
      </c>
      <c r="D462" s="68">
        <v>4</v>
      </c>
      <c r="E462" s="21">
        <v>7.2398190045200002E-4</v>
      </c>
    </row>
    <row r="463" spans="2:5" ht="14.5" customHeight="1">
      <c r="B463" s="85"/>
      <c r="C463" s="23" t="s">
        <v>221</v>
      </c>
      <c r="D463" s="68">
        <v>13</v>
      </c>
      <c r="E463" s="21">
        <v>2.352941176471E-3</v>
      </c>
    </row>
    <row r="464" spans="2:5" ht="14.5" customHeight="1">
      <c r="B464" s="85"/>
      <c r="C464" s="23" t="s">
        <v>222</v>
      </c>
      <c r="D464" s="68">
        <v>1</v>
      </c>
      <c r="E464" s="21">
        <v>1.8099547511300001E-4</v>
      </c>
    </row>
    <row r="465" spans="2:5" ht="14.5" customHeight="1">
      <c r="B465" s="85"/>
      <c r="C465" s="23" t="s">
        <v>223</v>
      </c>
      <c r="D465" s="68">
        <v>1</v>
      </c>
      <c r="E465" s="21">
        <v>1.8099547511300001E-4</v>
      </c>
    </row>
    <row r="466" spans="2:5" ht="14.5" customHeight="1">
      <c r="B466" s="85"/>
      <c r="C466" s="23" t="s">
        <v>224</v>
      </c>
      <c r="D466" s="68">
        <v>4</v>
      </c>
      <c r="E466" s="21">
        <v>7.2398190045200002E-4</v>
      </c>
    </row>
    <row r="467" spans="2:5" ht="14.5" customHeight="1">
      <c r="B467" s="85"/>
      <c r="C467" s="23" t="s">
        <v>225</v>
      </c>
      <c r="D467" s="68">
        <v>1</v>
      </c>
      <c r="E467" s="21">
        <v>1.8099547511300001E-4</v>
      </c>
    </row>
    <row r="468" spans="2:5" ht="14.5" customHeight="1">
      <c r="B468" s="85"/>
      <c r="C468" s="23" t="s">
        <v>226</v>
      </c>
      <c r="D468" s="68">
        <v>1</v>
      </c>
      <c r="E468" s="21">
        <v>1.8099547511300001E-4</v>
      </c>
    </row>
    <row r="469" spans="2:5" ht="14.5" customHeight="1">
      <c r="B469" s="85"/>
      <c r="C469" s="23" t="s">
        <v>190</v>
      </c>
      <c r="D469" s="68">
        <v>7</v>
      </c>
      <c r="E469" s="21">
        <v>1.266968325792E-3</v>
      </c>
    </row>
    <row r="470" spans="2:5" ht="14.5" customHeight="1">
      <c r="B470" s="85"/>
      <c r="C470" s="23" t="s">
        <v>228</v>
      </c>
      <c r="D470" s="68">
        <v>1</v>
      </c>
      <c r="E470" s="21">
        <v>1.8099547511300001E-4</v>
      </c>
    </row>
    <row r="471" spans="2:5" ht="14.5" customHeight="1">
      <c r="B471" s="85"/>
      <c r="C471" s="23" t="s">
        <v>229</v>
      </c>
      <c r="D471" s="68">
        <v>2</v>
      </c>
      <c r="E471" s="21">
        <v>3.6199095022600001E-4</v>
      </c>
    </row>
    <row r="472" spans="2:5" ht="14.5" customHeight="1">
      <c r="B472" s="85"/>
      <c r="C472" s="23" t="s">
        <v>230</v>
      </c>
      <c r="D472" s="68">
        <v>1</v>
      </c>
      <c r="E472" s="21">
        <v>1.8099547511300001E-4</v>
      </c>
    </row>
    <row r="473" spans="2:5" ht="14.5" customHeight="1">
      <c r="B473" s="85"/>
      <c r="C473" s="23" t="s">
        <v>232</v>
      </c>
      <c r="D473" s="68">
        <v>9</v>
      </c>
      <c r="E473" s="21">
        <v>1.628959276018E-3</v>
      </c>
    </row>
    <row r="474" spans="2:5" ht="14.5" customHeight="1">
      <c r="B474" s="85"/>
      <c r="C474" s="23" t="s">
        <v>191</v>
      </c>
      <c r="D474" s="68">
        <v>4</v>
      </c>
      <c r="E474" s="21">
        <v>7.2398190045200002E-4</v>
      </c>
    </row>
    <row r="475" spans="2:5" ht="14.5" customHeight="1">
      <c r="B475" s="85"/>
      <c r="C475" s="23" t="s">
        <v>233</v>
      </c>
      <c r="D475" s="68">
        <v>17</v>
      </c>
      <c r="E475" s="21">
        <v>3.0769230769230002E-3</v>
      </c>
    </row>
    <row r="476" spans="2:5" ht="14.5" customHeight="1">
      <c r="B476" s="85"/>
      <c r="C476" s="23" t="s">
        <v>192</v>
      </c>
      <c r="D476" s="68">
        <v>11</v>
      </c>
      <c r="E476" s="21">
        <v>1.9909502262440001E-3</v>
      </c>
    </row>
    <row r="477" spans="2:5" ht="14.5" customHeight="1">
      <c r="B477" s="85"/>
      <c r="C477" s="23" t="s">
        <v>193</v>
      </c>
      <c r="D477" s="68">
        <v>9</v>
      </c>
      <c r="E477" s="21">
        <v>1.628959276018E-3</v>
      </c>
    </row>
    <row r="478" spans="2:5" ht="14.5" customHeight="1">
      <c r="B478" s="85"/>
      <c r="C478" s="23" t="s">
        <v>194</v>
      </c>
      <c r="D478" s="68">
        <v>5</v>
      </c>
      <c r="E478" s="21">
        <v>9.0497737556600002E-4</v>
      </c>
    </row>
    <row r="479" spans="2:5" ht="14.5" customHeight="1">
      <c r="B479" s="85"/>
      <c r="C479" s="23" t="s">
        <v>234</v>
      </c>
      <c r="D479" s="68">
        <v>4</v>
      </c>
      <c r="E479" s="21">
        <v>7.2398190045200002E-4</v>
      </c>
    </row>
    <row r="480" spans="2:5" ht="14.5" customHeight="1">
      <c r="B480" s="85"/>
      <c r="C480" s="23" t="s">
        <v>195</v>
      </c>
      <c r="D480" s="68">
        <v>60</v>
      </c>
      <c r="E480" s="21">
        <v>1.0859728506787E-2</v>
      </c>
    </row>
    <row r="481" spans="2:5" ht="14.5" customHeight="1">
      <c r="B481" s="85"/>
      <c r="C481" s="23" t="s">
        <v>196</v>
      </c>
      <c r="D481" s="68">
        <v>29</v>
      </c>
      <c r="E481" s="21">
        <v>5.2488687782809998E-3</v>
      </c>
    </row>
    <row r="482" spans="2:5" ht="14.5" customHeight="1">
      <c r="B482" s="85"/>
      <c r="C482" s="23" t="s">
        <v>208</v>
      </c>
      <c r="D482" s="68">
        <v>1</v>
      </c>
      <c r="E482" s="21">
        <v>1.8099547511300001E-4</v>
      </c>
    </row>
    <row r="483" spans="2:5" ht="14.5" customHeight="1">
      <c r="B483" s="85"/>
      <c r="C483" s="23" t="s">
        <v>235</v>
      </c>
      <c r="D483" s="68">
        <v>5</v>
      </c>
      <c r="E483" s="21">
        <v>9.0497737556600002E-4</v>
      </c>
    </row>
    <row r="484" spans="2:5" ht="14.5" customHeight="1">
      <c r="B484" s="85"/>
      <c r="C484" s="23" t="s">
        <v>209</v>
      </c>
      <c r="D484" s="68">
        <v>3</v>
      </c>
      <c r="E484" s="21">
        <v>5.4298642533899999E-4</v>
      </c>
    </row>
    <row r="485" spans="2:5" ht="14.5" customHeight="1">
      <c r="B485" s="85"/>
      <c r="C485" s="23" t="s">
        <v>201</v>
      </c>
      <c r="D485" s="68">
        <v>3</v>
      </c>
      <c r="E485" s="21">
        <v>5.4298642533899999E-4</v>
      </c>
    </row>
    <row r="486" spans="2:5" ht="14.5" customHeight="1">
      <c r="B486" s="85"/>
      <c r="C486" s="23" t="s">
        <v>202</v>
      </c>
      <c r="D486" s="68">
        <v>10</v>
      </c>
      <c r="E486" s="21">
        <v>1.809954751131E-3</v>
      </c>
    </row>
    <row r="487" spans="2:5" ht="14.5" customHeight="1">
      <c r="B487" s="85"/>
      <c r="C487" s="23" t="s">
        <v>203</v>
      </c>
      <c r="D487" s="68">
        <v>3</v>
      </c>
      <c r="E487" s="21">
        <v>5.4298642533899999E-4</v>
      </c>
    </row>
    <row r="488" spans="2:5" ht="14.5" customHeight="1">
      <c r="B488" s="85"/>
      <c r="C488" s="23" t="s">
        <v>236</v>
      </c>
      <c r="D488" s="68">
        <v>1</v>
      </c>
      <c r="E488" s="21">
        <v>1.8099547511300001E-4</v>
      </c>
    </row>
    <row r="489" spans="2:5" ht="14.5" customHeight="1">
      <c r="B489" s="85"/>
      <c r="C489" s="23" t="s">
        <v>204</v>
      </c>
      <c r="D489" s="68">
        <v>39</v>
      </c>
      <c r="E489" s="21">
        <v>7.058823529412E-3</v>
      </c>
    </row>
    <row r="490" spans="2:5" ht="28" customHeight="1">
      <c r="B490" s="85"/>
      <c r="C490" s="23" t="s">
        <v>205</v>
      </c>
      <c r="D490" s="68">
        <v>4</v>
      </c>
      <c r="E490" s="21">
        <v>7.2398190045200002E-4</v>
      </c>
    </row>
    <row r="491" spans="2:5" ht="14.5" customHeight="1">
      <c r="B491" s="86"/>
      <c r="C491" s="69" t="s">
        <v>29</v>
      </c>
      <c r="D491" s="70">
        <v>516</v>
      </c>
      <c r="E491" s="71">
        <v>9.3393665158370998E-2</v>
      </c>
    </row>
    <row r="492" spans="2:5" ht="14.5" customHeight="1">
      <c r="B492" s="84" t="s">
        <v>77</v>
      </c>
      <c r="C492" s="23" t="s">
        <v>182</v>
      </c>
      <c r="D492" s="68">
        <v>5</v>
      </c>
      <c r="E492" s="21">
        <v>9.0497737556600002E-4</v>
      </c>
    </row>
    <row r="493" spans="2:5" ht="14.5" customHeight="1">
      <c r="B493" s="85"/>
      <c r="C493" s="23" t="s">
        <v>184</v>
      </c>
      <c r="D493" s="68">
        <v>4</v>
      </c>
      <c r="E493" s="21">
        <v>7.2398190045200002E-4</v>
      </c>
    </row>
    <row r="494" spans="2:5" ht="14.5" customHeight="1">
      <c r="B494" s="85"/>
      <c r="C494" s="23" t="s">
        <v>185</v>
      </c>
      <c r="D494" s="68">
        <v>3</v>
      </c>
      <c r="E494" s="21">
        <v>5.4298642533899999E-4</v>
      </c>
    </row>
    <row r="495" spans="2:5" ht="14.5" customHeight="1">
      <c r="B495" s="85"/>
      <c r="C495" s="23" t="s">
        <v>197</v>
      </c>
      <c r="D495" s="68">
        <v>2</v>
      </c>
      <c r="E495" s="21">
        <v>3.6199095022600001E-4</v>
      </c>
    </row>
    <row r="496" spans="2:5" ht="14.5" customHeight="1">
      <c r="B496" s="85"/>
      <c r="C496" s="23" t="s">
        <v>215</v>
      </c>
      <c r="D496" s="68">
        <v>1</v>
      </c>
      <c r="E496" s="21">
        <v>1.8099547511300001E-4</v>
      </c>
    </row>
    <row r="497" spans="2:5" ht="14.5" customHeight="1">
      <c r="B497" s="85"/>
      <c r="C497" s="23" t="s">
        <v>198</v>
      </c>
      <c r="D497" s="68">
        <v>1</v>
      </c>
      <c r="E497" s="21">
        <v>1.8099547511300001E-4</v>
      </c>
    </row>
    <row r="498" spans="2:5" ht="14.5" customHeight="1">
      <c r="B498" s="85"/>
      <c r="C498" s="23" t="s">
        <v>186</v>
      </c>
      <c r="D498" s="68">
        <v>2</v>
      </c>
      <c r="E498" s="21">
        <v>3.6199095022600001E-4</v>
      </c>
    </row>
    <row r="499" spans="2:5" ht="14.5" customHeight="1">
      <c r="B499" s="85"/>
      <c r="C499" s="23" t="s">
        <v>187</v>
      </c>
      <c r="D499" s="68">
        <v>1</v>
      </c>
      <c r="E499" s="21">
        <v>1.8099547511300001E-4</v>
      </c>
    </row>
    <row r="500" spans="2:5" ht="14.5" customHeight="1">
      <c r="B500" s="85"/>
      <c r="C500" s="23" t="s">
        <v>219</v>
      </c>
      <c r="D500" s="68">
        <v>1</v>
      </c>
      <c r="E500" s="21">
        <v>1.8099547511300001E-4</v>
      </c>
    </row>
    <row r="501" spans="2:5" ht="14.5" customHeight="1">
      <c r="B501" s="85"/>
      <c r="C501" s="23" t="s">
        <v>221</v>
      </c>
      <c r="D501" s="68">
        <v>1</v>
      </c>
      <c r="E501" s="21">
        <v>1.8099547511300001E-4</v>
      </c>
    </row>
    <row r="502" spans="2:5" ht="14.5" customHeight="1">
      <c r="B502" s="85"/>
      <c r="C502" s="23" t="s">
        <v>233</v>
      </c>
      <c r="D502" s="68">
        <v>1</v>
      </c>
      <c r="E502" s="21">
        <v>1.8099547511300001E-4</v>
      </c>
    </row>
    <row r="503" spans="2:5" ht="14.5" customHeight="1">
      <c r="B503" s="85"/>
      <c r="C503" s="23" t="s">
        <v>193</v>
      </c>
      <c r="D503" s="68">
        <v>1</v>
      </c>
      <c r="E503" s="21">
        <v>1.8099547511300001E-4</v>
      </c>
    </row>
    <row r="504" spans="2:5" ht="14.5" customHeight="1">
      <c r="B504" s="85"/>
      <c r="C504" s="23" t="s">
        <v>195</v>
      </c>
      <c r="D504" s="68">
        <v>6</v>
      </c>
      <c r="E504" s="21">
        <v>1.0859728506790001E-3</v>
      </c>
    </row>
    <row r="505" spans="2:5" ht="14.5" customHeight="1">
      <c r="B505" s="85"/>
      <c r="C505" s="23" t="s">
        <v>196</v>
      </c>
      <c r="D505" s="68">
        <v>1</v>
      </c>
      <c r="E505" s="21">
        <v>1.8099547511300001E-4</v>
      </c>
    </row>
    <row r="506" spans="2:5" ht="14.5" customHeight="1">
      <c r="B506" s="85"/>
      <c r="C506" s="23" t="s">
        <v>203</v>
      </c>
      <c r="D506" s="68">
        <v>1</v>
      </c>
      <c r="E506" s="21">
        <v>1.8099547511300001E-4</v>
      </c>
    </row>
    <row r="507" spans="2:5" ht="14.5" customHeight="1">
      <c r="B507" s="85"/>
      <c r="C507" s="23" t="s">
        <v>236</v>
      </c>
      <c r="D507" s="68">
        <v>1</v>
      </c>
      <c r="E507" s="21">
        <v>1.8099547511300001E-4</v>
      </c>
    </row>
    <row r="508" spans="2:5" ht="14.5" customHeight="1">
      <c r="B508" s="86"/>
      <c r="C508" s="69" t="s">
        <v>29</v>
      </c>
      <c r="D508" s="70">
        <v>32</v>
      </c>
      <c r="E508" s="71">
        <v>5.7918552036199996E-3</v>
      </c>
    </row>
    <row r="509" spans="2:5" ht="14.5" customHeight="1">
      <c r="B509" s="84" t="s">
        <v>74</v>
      </c>
      <c r="C509" s="23" t="s">
        <v>182</v>
      </c>
      <c r="D509" s="68">
        <v>5</v>
      </c>
      <c r="E509" s="21">
        <v>9.0497737556600002E-4</v>
      </c>
    </row>
    <row r="510" spans="2:5" ht="14.5" customHeight="1">
      <c r="B510" s="85"/>
      <c r="C510" s="23" t="s">
        <v>183</v>
      </c>
      <c r="D510" s="68">
        <v>1</v>
      </c>
      <c r="E510" s="21">
        <v>1.8099547511300001E-4</v>
      </c>
    </row>
    <row r="511" spans="2:5" ht="14.5" customHeight="1">
      <c r="B511" s="85"/>
      <c r="C511" s="23" t="s">
        <v>213</v>
      </c>
      <c r="D511" s="68">
        <v>1</v>
      </c>
      <c r="E511" s="21">
        <v>1.8099547511300001E-4</v>
      </c>
    </row>
    <row r="512" spans="2:5" ht="14.5" customHeight="1">
      <c r="B512" s="85"/>
      <c r="C512" s="23" t="s">
        <v>184</v>
      </c>
      <c r="D512" s="68">
        <v>3</v>
      </c>
      <c r="E512" s="21">
        <v>5.4298642533899999E-4</v>
      </c>
    </row>
    <row r="513" spans="2:5" ht="14.5" customHeight="1">
      <c r="B513" s="85"/>
      <c r="C513" s="23" t="s">
        <v>216</v>
      </c>
      <c r="D513" s="68">
        <v>2</v>
      </c>
      <c r="E513" s="21">
        <v>3.6199095022600001E-4</v>
      </c>
    </row>
    <row r="514" spans="2:5" ht="14.5" customHeight="1">
      <c r="B514" s="85"/>
      <c r="C514" s="23" t="s">
        <v>186</v>
      </c>
      <c r="D514" s="68">
        <v>1</v>
      </c>
      <c r="E514" s="21">
        <v>1.8099547511300001E-4</v>
      </c>
    </row>
    <row r="515" spans="2:5" ht="14.5" customHeight="1">
      <c r="B515" s="85"/>
      <c r="C515" s="23" t="s">
        <v>189</v>
      </c>
      <c r="D515" s="68">
        <v>1</v>
      </c>
      <c r="E515" s="21">
        <v>1.8099547511300001E-4</v>
      </c>
    </row>
    <row r="516" spans="2:5" ht="14.5" customHeight="1">
      <c r="B516" s="85"/>
      <c r="C516" s="23" t="s">
        <v>206</v>
      </c>
      <c r="D516" s="68">
        <v>1</v>
      </c>
      <c r="E516" s="21">
        <v>1.8099547511300001E-4</v>
      </c>
    </row>
    <row r="517" spans="2:5" ht="14.5" customHeight="1">
      <c r="B517" s="85"/>
      <c r="C517" s="23" t="s">
        <v>221</v>
      </c>
      <c r="D517" s="68">
        <v>3</v>
      </c>
      <c r="E517" s="21">
        <v>5.4298642533899999E-4</v>
      </c>
    </row>
    <row r="518" spans="2:5" ht="14.5" customHeight="1">
      <c r="B518" s="85"/>
      <c r="C518" s="23" t="s">
        <v>190</v>
      </c>
      <c r="D518" s="68">
        <v>1</v>
      </c>
      <c r="E518" s="21">
        <v>1.8099547511300001E-4</v>
      </c>
    </row>
    <row r="519" spans="2:5" ht="14.5" customHeight="1">
      <c r="B519" s="85"/>
      <c r="C519" s="23" t="s">
        <v>232</v>
      </c>
      <c r="D519" s="68">
        <v>2</v>
      </c>
      <c r="E519" s="21">
        <v>3.6199095022600001E-4</v>
      </c>
    </row>
    <row r="520" spans="2:5" ht="14.5" customHeight="1">
      <c r="B520" s="85"/>
      <c r="C520" s="23" t="s">
        <v>191</v>
      </c>
      <c r="D520" s="68">
        <v>1</v>
      </c>
      <c r="E520" s="21">
        <v>1.8099547511300001E-4</v>
      </c>
    </row>
    <row r="521" spans="2:5" ht="14.5" customHeight="1">
      <c r="B521" s="85"/>
      <c r="C521" s="23" t="s">
        <v>192</v>
      </c>
      <c r="D521" s="68">
        <v>1</v>
      </c>
      <c r="E521" s="21">
        <v>1.8099547511300001E-4</v>
      </c>
    </row>
    <row r="522" spans="2:5" ht="14.5" customHeight="1">
      <c r="B522" s="85"/>
      <c r="C522" s="23" t="s">
        <v>193</v>
      </c>
      <c r="D522" s="68">
        <v>2</v>
      </c>
      <c r="E522" s="21">
        <v>3.6199095022600001E-4</v>
      </c>
    </row>
    <row r="523" spans="2:5" ht="14.5" customHeight="1">
      <c r="B523" s="85"/>
      <c r="C523" s="23" t="s">
        <v>234</v>
      </c>
      <c r="D523" s="68">
        <v>3</v>
      </c>
      <c r="E523" s="21">
        <v>5.4298642533899999E-4</v>
      </c>
    </row>
    <row r="524" spans="2:5" ht="14.5" customHeight="1">
      <c r="B524" s="85"/>
      <c r="C524" s="23" t="s">
        <v>195</v>
      </c>
      <c r="D524" s="68">
        <v>7</v>
      </c>
      <c r="E524" s="21">
        <v>1.266968325792E-3</v>
      </c>
    </row>
    <row r="525" spans="2:5" ht="14.5" customHeight="1">
      <c r="B525" s="85"/>
      <c r="C525" s="23" t="s">
        <v>196</v>
      </c>
      <c r="D525" s="68">
        <v>3</v>
      </c>
      <c r="E525" s="21">
        <v>5.4298642533899999E-4</v>
      </c>
    </row>
    <row r="526" spans="2:5" ht="14.5" customHeight="1">
      <c r="B526" s="85"/>
      <c r="C526" s="23" t="s">
        <v>204</v>
      </c>
      <c r="D526" s="68">
        <v>3</v>
      </c>
      <c r="E526" s="21">
        <v>5.4298642533899999E-4</v>
      </c>
    </row>
    <row r="527" spans="2:5" ht="14.5" customHeight="1">
      <c r="B527" s="86"/>
      <c r="C527" s="69" t="s">
        <v>29</v>
      </c>
      <c r="D527" s="70">
        <v>41</v>
      </c>
      <c r="E527" s="71">
        <v>7.4208144796379999E-3</v>
      </c>
    </row>
    <row r="528" spans="2:5" ht="14.5" customHeight="1">
      <c r="B528" s="84" t="s">
        <v>73</v>
      </c>
      <c r="C528" s="23" t="s">
        <v>210</v>
      </c>
      <c r="D528" s="68">
        <v>4</v>
      </c>
      <c r="E528" s="21">
        <v>7.2398190045200002E-4</v>
      </c>
    </row>
    <row r="529" spans="2:5" ht="14.5" customHeight="1">
      <c r="B529" s="85"/>
      <c r="C529" s="23" t="s">
        <v>182</v>
      </c>
      <c r="D529" s="68">
        <v>4</v>
      </c>
      <c r="E529" s="21">
        <v>7.2398190045200002E-4</v>
      </c>
    </row>
    <row r="530" spans="2:5" ht="14.5" customHeight="1">
      <c r="B530" s="85"/>
      <c r="C530" s="23" t="s">
        <v>184</v>
      </c>
      <c r="D530" s="68">
        <v>4</v>
      </c>
      <c r="E530" s="21">
        <v>7.2398190045200002E-4</v>
      </c>
    </row>
    <row r="531" spans="2:5" ht="14.5" customHeight="1">
      <c r="B531" s="85"/>
      <c r="C531" s="23" t="s">
        <v>185</v>
      </c>
      <c r="D531" s="68">
        <v>3</v>
      </c>
      <c r="E531" s="21">
        <v>5.4298642533899999E-4</v>
      </c>
    </row>
    <row r="532" spans="2:5" ht="14.5" customHeight="1">
      <c r="B532" s="85"/>
      <c r="C532" s="23" t="s">
        <v>198</v>
      </c>
      <c r="D532" s="68">
        <v>1</v>
      </c>
      <c r="E532" s="21">
        <v>1.8099547511300001E-4</v>
      </c>
    </row>
    <row r="533" spans="2:5" ht="14.5" customHeight="1">
      <c r="B533" s="85"/>
      <c r="C533" s="23" t="s">
        <v>186</v>
      </c>
      <c r="D533" s="68">
        <v>5</v>
      </c>
      <c r="E533" s="21">
        <v>9.0497737556600002E-4</v>
      </c>
    </row>
    <row r="534" spans="2:5" ht="14.5" customHeight="1">
      <c r="B534" s="85"/>
      <c r="C534" s="23" t="s">
        <v>221</v>
      </c>
      <c r="D534" s="68">
        <v>4</v>
      </c>
      <c r="E534" s="21">
        <v>7.2398190045200002E-4</v>
      </c>
    </row>
    <row r="535" spans="2:5" ht="14.5" customHeight="1">
      <c r="B535" s="85"/>
      <c r="C535" s="23" t="s">
        <v>228</v>
      </c>
      <c r="D535" s="68">
        <v>1</v>
      </c>
      <c r="E535" s="21">
        <v>1.8099547511300001E-4</v>
      </c>
    </row>
    <row r="536" spans="2:5" ht="14.5" customHeight="1">
      <c r="B536" s="85"/>
      <c r="C536" s="23" t="s">
        <v>192</v>
      </c>
      <c r="D536" s="68">
        <v>1</v>
      </c>
      <c r="E536" s="21">
        <v>1.8099547511300001E-4</v>
      </c>
    </row>
    <row r="537" spans="2:5" ht="14.5" customHeight="1">
      <c r="B537" s="85"/>
      <c r="C537" s="23" t="s">
        <v>234</v>
      </c>
      <c r="D537" s="68">
        <v>1</v>
      </c>
      <c r="E537" s="21">
        <v>1.8099547511300001E-4</v>
      </c>
    </row>
    <row r="538" spans="2:5" ht="14.5" customHeight="1">
      <c r="B538" s="85"/>
      <c r="C538" s="23" t="s">
        <v>195</v>
      </c>
      <c r="D538" s="68">
        <v>6</v>
      </c>
      <c r="E538" s="21">
        <v>1.0859728506790001E-3</v>
      </c>
    </row>
    <row r="539" spans="2:5" ht="14.5" customHeight="1">
      <c r="B539" s="85"/>
      <c r="C539" s="23" t="s">
        <v>196</v>
      </c>
      <c r="D539" s="68">
        <v>1</v>
      </c>
      <c r="E539" s="21">
        <v>1.8099547511300001E-4</v>
      </c>
    </row>
    <row r="540" spans="2:5" ht="14.5" customHeight="1">
      <c r="B540" s="85"/>
      <c r="C540" s="23" t="s">
        <v>202</v>
      </c>
      <c r="D540" s="68">
        <v>1</v>
      </c>
      <c r="E540" s="21">
        <v>1.8099547511300001E-4</v>
      </c>
    </row>
    <row r="541" spans="2:5" ht="14.5" customHeight="1">
      <c r="B541" s="85"/>
      <c r="C541" s="23" t="s">
        <v>236</v>
      </c>
      <c r="D541" s="68">
        <v>3</v>
      </c>
      <c r="E541" s="21">
        <v>5.4298642533899999E-4</v>
      </c>
    </row>
    <row r="542" spans="2:5" ht="14.5" customHeight="1">
      <c r="B542" s="85"/>
      <c r="C542" s="23" t="s">
        <v>204</v>
      </c>
      <c r="D542" s="68">
        <v>4</v>
      </c>
      <c r="E542" s="21">
        <v>7.2398190045200002E-4</v>
      </c>
    </row>
    <row r="543" spans="2:5" ht="14.5" customHeight="1">
      <c r="B543" s="86"/>
      <c r="C543" s="69" t="s">
        <v>29</v>
      </c>
      <c r="D543" s="70">
        <v>43</v>
      </c>
      <c r="E543" s="71">
        <v>7.7828054298639997E-3</v>
      </c>
    </row>
    <row r="544" spans="2:5" ht="14.5" customHeight="1">
      <c r="B544" s="84" t="s">
        <v>80</v>
      </c>
      <c r="C544" s="23" t="s">
        <v>214</v>
      </c>
      <c r="D544" s="68">
        <v>1</v>
      </c>
      <c r="E544" s="21">
        <v>1.8099547511300001E-4</v>
      </c>
    </row>
    <row r="545" spans="2:5" ht="14.5" customHeight="1">
      <c r="B545" s="85"/>
      <c r="C545" s="23" t="s">
        <v>185</v>
      </c>
      <c r="D545" s="68">
        <v>1</v>
      </c>
      <c r="E545" s="21">
        <v>1.8099547511300001E-4</v>
      </c>
    </row>
    <row r="546" spans="2:5" ht="14.5" customHeight="1">
      <c r="B546" s="85"/>
      <c r="C546" s="23" t="s">
        <v>216</v>
      </c>
      <c r="D546" s="68">
        <v>1</v>
      </c>
      <c r="E546" s="21">
        <v>1.8099547511300001E-4</v>
      </c>
    </row>
    <row r="547" spans="2:5" ht="14.5" customHeight="1">
      <c r="B547" s="85"/>
      <c r="C547" s="23" t="s">
        <v>187</v>
      </c>
      <c r="D547" s="68">
        <v>5</v>
      </c>
      <c r="E547" s="21">
        <v>9.0497737556600002E-4</v>
      </c>
    </row>
    <row r="548" spans="2:5" ht="14.5" customHeight="1">
      <c r="B548" s="85"/>
      <c r="C548" s="23" t="s">
        <v>221</v>
      </c>
      <c r="D548" s="68">
        <v>2</v>
      </c>
      <c r="E548" s="21">
        <v>3.6199095022600001E-4</v>
      </c>
    </row>
    <row r="549" spans="2:5" ht="14.5" customHeight="1">
      <c r="B549" s="85"/>
      <c r="C549" s="23" t="s">
        <v>190</v>
      </c>
      <c r="D549" s="68">
        <v>1</v>
      </c>
      <c r="E549" s="21">
        <v>1.8099547511300001E-4</v>
      </c>
    </row>
    <row r="550" spans="2:5" ht="14.5" customHeight="1">
      <c r="B550" s="85"/>
      <c r="C550" s="23" t="s">
        <v>232</v>
      </c>
      <c r="D550" s="68">
        <v>2</v>
      </c>
      <c r="E550" s="21">
        <v>3.6199095022600001E-4</v>
      </c>
    </row>
    <row r="551" spans="2:5" ht="14.5" customHeight="1">
      <c r="B551" s="85"/>
      <c r="C551" s="23" t="s">
        <v>191</v>
      </c>
      <c r="D551" s="68">
        <v>1</v>
      </c>
      <c r="E551" s="21">
        <v>1.8099547511300001E-4</v>
      </c>
    </row>
    <row r="552" spans="2:5" ht="14.5" customHeight="1">
      <c r="B552" s="85"/>
      <c r="C552" s="23" t="s">
        <v>233</v>
      </c>
      <c r="D552" s="68">
        <v>1</v>
      </c>
      <c r="E552" s="21">
        <v>1.8099547511300001E-4</v>
      </c>
    </row>
    <row r="553" spans="2:5" ht="14.5" customHeight="1">
      <c r="B553" s="85"/>
      <c r="C553" s="23" t="s">
        <v>192</v>
      </c>
      <c r="D553" s="68">
        <v>1</v>
      </c>
      <c r="E553" s="21">
        <v>1.8099547511300001E-4</v>
      </c>
    </row>
    <row r="554" spans="2:5" ht="14.5" customHeight="1">
      <c r="B554" s="85"/>
      <c r="C554" s="23" t="s">
        <v>193</v>
      </c>
      <c r="D554" s="68">
        <v>1</v>
      </c>
      <c r="E554" s="21">
        <v>1.8099547511300001E-4</v>
      </c>
    </row>
    <row r="555" spans="2:5" ht="14.5" customHeight="1">
      <c r="B555" s="85"/>
      <c r="C555" s="23" t="s">
        <v>195</v>
      </c>
      <c r="D555" s="68">
        <v>3</v>
      </c>
      <c r="E555" s="21">
        <v>5.4298642533899999E-4</v>
      </c>
    </row>
    <row r="556" spans="2:5" ht="14.5" customHeight="1">
      <c r="B556" s="85"/>
      <c r="C556" s="23" t="s">
        <v>201</v>
      </c>
      <c r="D556" s="68">
        <v>1</v>
      </c>
      <c r="E556" s="21">
        <v>1.8099547511300001E-4</v>
      </c>
    </row>
    <row r="557" spans="2:5" ht="14.5" customHeight="1">
      <c r="B557" s="85"/>
      <c r="C557" s="23" t="s">
        <v>203</v>
      </c>
      <c r="D557" s="68">
        <v>1</v>
      </c>
      <c r="E557" s="21">
        <v>1.8099547511300001E-4</v>
      </c>
    </row>
    <row r="558" spans="2:5" ht="14.5" customHeight="1">
      <c r="B558" s="85"/>
      <c r="C558" s="23" t="s">
        <v>204</v>
      </c>
      <c r="D558" s="68">
        <v>5</v>
      </c>
      <c r="E558" s="21">
        <v>9.0497737556600002E-4</v>
      </c>
    </row>
    <row r="559" spans="2:5" ht="14.5" customHeight="1">
      <c r="B559" s="86"/>
      <c r="C559" s="69" t="s">
        <v>29</v>
      </c>
      <c r="D559" s="70">
        <v>27</v>
      </c>
      <c r="E559" s="71">
        <v>4.8868778280539999E-3</v>
      </c>
    </row>
    <row r="560" spans="2:5" ht="14.5" customHeight="1">
      <c r="B560" s="84" t="s">
        <v>90</v>
      </c>
      <c r="C560" s="23" t="s">
        <v>185</v>
      </c>
      <c r="D560" s="68">
        <v>1</v>
      </c>
      <c r="E560" s="21">
        <v>1.8099547511300001E-4</v>
      </c>
    </row>
    <row r="561" spans="2:5" ht="14.5" customHeight="1">
      <c r="B561" s="86"/>
      <c r="C561" s="69" t="s">
        <v>29</v>
      </c>
      <c r="D561" s="70">
        <v>1</v>
      </c>
      <c r="E561" s="71">
        <v>1.8099547511300001E-4</v>
      </c>
    </row>
    <row r="562" spans="2:5" ht="14.5" customHeight="1">
      <c r="B562" s="84" t="s">
        <v>79</v>
      </c>
      <c r="C562" s="23" t="s">
        <v>182</v>
      </c>
      <c r="D562" s="68">
        <v>1</v>
      </c>
      <c r="E562" s="21">
        <v>1.8099547511300001E-4</v>
      </c>
    </row>
    <row r="563" spans="2:5" ht="14.5" customHeight="1">
      <c r="B563" s="85"/>
      <c r="C563" s="23" t="s">
        <v>183</v>
      </c>
      <c r="D563" s="68">
        <v>1</v>
      </c>
      <c r="E563" s="21">
        <v>1.8099547511300001E-4</v>
      </c>
    </row>
    <row r="564" spans="2:5" ht="14.5" customHeight="1">
      <c r="B564" s="85"/>
      <c r="C564" s="23" t="s">
        <v>217</v>
      </c>
      <c r="D564" s="68">
        <v>1</v>
      </c>
      <c r="E564" s="21">
        <v>1.8099547511300001E-4</v>
      </c>
    </row>
    <row r="565" spans="2:5" ht="14.5" customHeight="1">
      <c r="B565" s="85"/>
      <c r="C565" s="23" t="s">
        <v>186</v>
      </c>
      <c r="D565" s="68">
        <v>10</v>
      </c>
      <c r="E565" s="21">
        <v>1.809954751131E-3</v>
      </c>
    </row>
    <row r="566" spans="2:5" ht="14.5" customHeight="1">
      <c r="B566" s="85"/>
      <c r="C566" s="23" t="s">
        <v>199</v>
      </c>
      <c r="D566" s="68">
        <v>1</v>
      </c>
      <c r="E566" s="21">
        <v>1.8099547511300001E-4</v>
      </c>
    </row>
    <row r="567" spans="2:5" ht="14.5" customHeight="1">
      <c r="B567" s="85"/>
      <c r="C567" s="23" t="s">
        <v>189</v>
      </c>
      <c r="D567" s="68">
        <v>1</v>
      </c>
      <c r="E567" s="21">
        <v>1.8099547511300001E-4</v>
      </c>
    </row>
    <row r="568" spans="2:5" ht="14.5" customHeight="1">
      <c r="B568" s="85"/>
      <c r="C568" s="23" t="s">
        <v>227</v>
      </c>
      <c r="D568" s="68">
        <v>1</v>
      </c>
      <c r="E568" s="21">
        <v>1.8099547511300001E-4</v>
      </c>
    </row>
    <row r="569" spans="2:5" ht="14.5" customHeight="1">
      <c r="B569" s="85"/>
      <c r="C569" s="23" t="s">
        <v>230</v>
      </c>
      <c r="D569" s="68">
        <v>2</v>
      </c>
      <c r="E569" s="21">
        <v>3.6199095022600001E-4</v>
      </c>
    </row>
    <row r="570" spans="2:5" ht="14.5" customHeight="1">
      <c r="B570" s="85"/>
      <c r="C570" s="23" t="s">
        <v>232</v>
      </c>
      <c r="D570" s="68">
        <v>1</v>
      </c>
      <c r="E570" s="21">
        <v>1.8099547511300001E-4</v>
      </c>
    </row>
    <row r="571" spans="2:5" ht="14.5" customHeight="1">
      <c r="B571" s="85"/>
      <c r="C571" s="23" t="s">
        <v>192</v>
      </c>
      <c r="D571" s="68">
        <v>1</v>
      </c>
      <c r="E571" s="21">
        <v>1.8099547511300001E-4</v>
      </c>
    </row>
    <row r="572" spans="2:5" ht="14.5" customHeight="1">
      <c r="B572" s="85"/>
      <c r="C572" s="23" t="s">
        <v>193</v>
      </c>
      <c r="D572" s="68">
        <v>1</v>
      </c>
      <c r="E572" s="21">
        <v>1.8099547511300001E-4</v>
      </c>
    </row>
    <row r="573" spans="2:5" ht="14.5" customHeight="1">
      <c r="B573" s="85"/>
      <c r="C573" s="23" t="s">
        <v>234</v>
      </c>
      <c r="D573" s="68">
        <v>2</v>
      </c>
      <c r="E573" s="21">
        <v>3.6199095022600001E-4</v>
      </c>
    </row>
    <row r="574" spans="2:5" ht="14.5" customHeight="1">
      <c r="B574" s="85"/>
      <c r="C574" s="23" t="s">
        <v>195</v>
      </c>
      <c r="D574" s="68">
        <v>6</v>
      </c>
      <c r="E574" s="21">
        <v>1.0859728506790001E-3</v>
      </c>
    </row>
    <row r="575" spans="2:5" ht="14.5" customHeight="1">
      <c r="B575" s="86"/>
      <c r="C575" s="69" t="s">
        <v>29</v>
      </c>
      <c r="D575" s="70">
        <v>29</v>
      </c>
      <c r="E575" s="71">
        <v>5.2488687782809998E-3</v>
      </c>
    </row>
    <row r="576" spans="2:5" ht="14.5" customHeight="1">
      <c r="B576" s="84" t="s">
        <v>46</v>
      </c>
      <c r="C576" s="23" t="s">
        <v>210</v>
      </c>
      <c r="D576" s="68">
        <v>10</v>
      </c>
      <c r="E576" s="21">
        <v>1.809954751131E-3</v>
      </c>
    </row>
    <row r="577" spans="2:5" ht="14.5" customHeight="1">
      <c r="B577" s="85"/>
      <c r="C577" s="23" t="s">
        <v>211</v>
      </c>
      <c r="D577" s="68">
        <v>3</v>
      </c>
      <c r="E577" s="21">
        <v>5.4298642533899999E-4</v>
      </c>
    </row>
    <row r="578" spans="2:5" ht="14.5" customHeight="1">
      <c r="B578" s="85"/>
      <c r="C578" s="23" t="s">
        <v>212</v>
      </c>
      <c r="D578" s="68">
        <v>3</v>
      </c>
      <c r="E578" s="21">
        <v>5.4298642533899999E-4</v>
      </c>
    </row>
    <row r="579" spans="2:5" ht="14.5" customHeight="1">
      <c r="B579" s="85"/>
      <c r="C579" s="23" t="s">
        <v>182</v>
      </c>
      <c r="D579" s="68">
        <v>14</v>
      </c>
      <c r="E579" s="21">
        <v>2.533936651584E-3</v>
      </c>
    </row>
    <row r="580" spans="2:5" ht="14.5" customHeight="1">
      <c r="B580" s="85"/>
      <c r="C580" s="23" t="s">
        <v>183</v>
      </c>
      <c r="D580" s="68">
        <v>1</v>
      </c>
      <c r="E580" s="21">
        <v>1.8099547511300001E-4</v>
      </c>
    </row>
    <row r="581" spans="2:5" ht="14.5" customHeight="1">
      <c r="B581" s="85"/>
      <c r="C581" s="23" t="s">
        <v>213</v>
      </c>
      <c r="D581" s="68">
        <v>3</v>
      </c>
      <c r="E581" s="21">
        <v>5.4298642533899999E-4</v>
      </c>
    </row>
    <row r="582" spans="2:5" ht="14.5" customHeight="1">
      <c r="B582" s="85"/>
      <c r="C582" s="23" t="s">
        <v>214</v>
      </c>
      <c r="D582" s="68">
        <v>1</v>
      </c>
      <c r="E582" s="21">
        <v>1.8099547511300001E-4</v>
      </c>
    </row>
    <row r="583" spans="2:5" ht="14.5" customHeight="1">
      <c r="B583" s="85"/>
      <c r="C583" s="23" t="s">
        <v>184</v>
      </c>
      <c r="D583" s="68">
        <v>17</v>
      </c>
      <c r="E583" s="21">
        <v>3.0769230769230002E-3</v>
      </c>
    </row>
    <row r="584" spans="2:5" ht="14.5" customHeight="1">
      <c r="B584" s="85"/>
      <c r="C584" s="23" t="s">
        <v>185</v>
      </c>
      <c r="D584" s="68">
        <v>67</v>
      </c>
      <c r="E584" s="21">
        <v>1.2126696832579E-2</v>
      </c>
    </row>
    <row r="585" spans="2:5" ht="14.5" customHeight="1">
      <c r="B585" s="85"/>
      <c r="C585" s="23" t="s">
        <v>197</v>
      </c>
      <c r="D585" s="68">
        <v>14</v>
      </c>
      <c r="E585" s="21">
        <v>2.533936651584E-3</v>
      </c>
    </row>
    <row r="586" spans="2:5" ht="14.5" customHeight="1">
      <c r="B586" s="85"/>
      <c r="C586" s="23" t="s">
        <v>215</v>
      </c>
      <c r="D586" s="68">
        <v>2</v>
      </c>
      <c r="E586" s="21">
        <v>3.6199095022600001E-4</v>
      </c>
    </row>
    <row r="587" spans="2:5" ht="14.5" customHeight="1">
      <c r="B587" s="85"/>
      <c r="C587" s="23" t="s">
        <v>241</v>
      </c>
      <c r="D587" s="68">
        <v>2</v>
      </c>
      <c r="E587" s="21">
        <v>3.6199095022600001E-4</v>
      </c>
    </row>
    <row r="588" spans="2:5" ht="14.5" customHeight="1">
      <c r="B588" s="85"/>
      <c r="C588" s="23" t="s">
        <v>216</v>
      </c>
      <c r="D588" s="68">
        <v>18</v>
      </c>
      <c r="E588" s="21">
        <v>3.2579185520360001E-3</v>
      </c>
    </row>
    <row r="589" spans="2:5" ht="14.5" customHeight="1">
      <c r="B589" s="85"/>
      <c r="C589" s="23" t="s">
        <v>198</v>
      </c>
      <c r="D589" s="68">
        <v>4</v>
      </c>
      <c r="E589" s="21">
        <v>7.2398190045200002E-4</v>
      </c>
    </row>
    <row r="590" spans="2:5" ht="14.5" customHeight="1">
      <c r="B590" s="85"/>
      <c r="C590" s="23" t="s">
        <v>186</v>
      </c>
      <c r="D590" s="68">
        <v>29</v>
      </c>
      <c r="E590" s="21">
        <v>5.2488687782809998E-3</v>
      </c>
    </row>
    <row r="591" spans="2:5" ht="14.5" customHeight="1">
      <c r="B591" s="85"/>
      <c r="C591" s="23" t="s">
        <v>218</v>
      </c>
      <c r="D591" s="68">
        <v>10</v>
      </c>
      <c r="E591" s="21">
        <v>1.809954751131E-3</v>
      </c>
    </row>
    <row r="592" spans="2:5" ht="14.5" customHeight="1">
      <c r="B592" s="85"/>
      <c r="C592" s="23" t="s">
        <v>187</v>
      </c>
      <c r="D592" s="68">
        <v>83</v>
      </c>
      <c r="E592" s="21">
        <v>1.5022624434389001E-2</v>
      </c>
    </row>
    <row r="593" spans="2:5" ht="14.5" customHeight="1">
      <c r="B593" s="85"/>
      <c r="C593" s="23" t="s">
        <v>219</v>
      </c>
      <c r="D593" s="68">
        <v>2</v>
      </c>
      <c r="E593" s="21">
        <v>3.6199095022600001E-4</v>
      </c>
    </row>
    <row r="594" spans="2:5" ht="14.5" customHeight="1">
      <c r="B594" s="85"/>
      <c r="C594" s="23" t="s">
        <v>188</v>
      </c>
      <c r="D594" s="68">
        <v>2</v>
      </c>
      <c r="E594" s="21">
        <v>3.6199095022600001E-4</v>
      </c>
    </row>
    <row r="595" spans="2:5" ht="28" customHeight="1">
      <c r="B595" s="85"/>
      <c r="C595" s="23" t="s">
        <v>200</v>
      </c>
      <c r="D595" s="68">
        <v>8</v>
      </c>
      <c r="E595" s="21">
        <v>1.4479638009049999E-3</v>
      </c>
    </row>
    <row r="596" spans="2:5" ht="14.5" customHeight="1">
      <c r="B596" s="85"/>
      <c r="C596" s="23" t="s">
        <v>220</v>
      </c>
      <c r="D596" s="68">
        <v>1</v>
      </c>
      <c r="E596" s="21">
        <v>1.8099547511300001E-4</v>
      </c>
    </row>
    <row r="597" spans="2:5" ht="14.5" customHeight="1">
      <c r="B597" s="85"/>
      <c r="C597" s="23" t="s">
        <v>189</v>
      </c>
      <c r="D597" s="68">
        <v>5</v>
      </c>
      <c r="E597" s="21">
        <v>9.0497737556600002E-4</v>
      </c>
    </row>
    <row r="598" spans="2:5" ht="14.5" customHeight="1">
      <c r="B598" s="85"/>
      <c r="C598" s="23" t="s">
        <v>206</v>
      </c>
      <c r="D598" s="68">
        <v>47</v>
      </c>
      <c r="E598" s="21">
        <v>8.5067873303169995E-3</v>
      </c>
    </row>
    <row r="599" spans="2:5" ht="14.5" customHeight="1">
      <c r="B599" s="85"/>
      <c r="C599" s="23" t="s">
        <v>207</v>
      </c>
      <c r="D599" s="68">
        <v>8</v>
      </c>
      <c r="E599" s="21">
        <v>1.4479638009049999E-3</v>
      </c>
    </row>
    <row r="600" spans="2:5" ht="14.5" customHeight="1">
      <c r="B600" s="85"/>
      <c r="C600" s="23" t="s">
        <v>221</v>
      </c>
      <c r="D600" s="68">
        <v>44</v>
      </c>
      <c r="E600" s="21">
        <v>7.9638009049769996E-3</v>
      </c>
    </row>
    <row r="601" spans="2:5" ht="14.5" customHeight="1">
      <c r="B601" s="85"/>
      <c r="C601" s="23" t="s">
        <v>222</v>
      </c>
      <c r="D601" s="68">
        <v>4</v>
      </c>
      <c r="E601" s="21">
        <v>7.2398190045200002E-4</v>
      </c>
    </row>
    <row r="602" spans="2:5" ht="14.5" customHeight="1">
      <c r="B602" s="85"/>
      <c r="C602" s="23" t="s">
        <v>223</v>
      </c>
      <c r="D602" s="68">
        <v>2</v>
      </c>
      <c r="E602" s="21">
        <v>3.6199095022600001E-4</v>
      </c>
    </row>
    <row r="603" spans="2:5" ht="14.5" customHeight="1">
      <c r="B603" s="85"/>
      <c r="C603" s="23" t="s">
        <v>224</v>
      </c>
      <c r="D603" s="68">
        <v>2</v>
      </c>
      <c r="E603" s="21">
        <v>3.6199095022600001E-4</v>
      </c>
    </row>
    <row r="604" spans="2:5" ht="14.5" customHeight="1">
      <c r="B604" s="85"/>
      <c r="C604" s="23" t="s">
        <v>190</v>
      </c>
      <c r="D604" s="68">
        <v>51</v>
      </c>
      <c r="E604" s="21">
        <v>9.2307692307689992E-3</v>
      </c>
    </row>
    <row r="605" spans="2:5" ht="14.5" customHeight="1">
      <c r="B605" s="85"/>
      <c r="C605" s="23" t="s">
        <v>240</v>
      </c>
      <c r="D605" s="68">
        <v>2</v>
      </c>
      <c r="E605" s="21">
        <v>3.6199095022600001E-4</v>
      </c>
    </row>
    <row r="606" spans="2:5" ht="14.5" customHeight="1">
      <c r="B606" s="85"/>
      <c r="C606" s="23" t="s">
        <v>228</v>
      </c>
      <c r="D606" s="68">
        <v>7</v>
      </c>
      <c r="E606" s="21">
        <v>1.266968325792E-3</v>
      </c>
    </row>
    <row r="607" spans="2:5" ht="14.5" customHeight="1">
      <c r="B607" s="85"/>
      <c r="C607" s="23" t="s">
        <v>229</v>
      </c>
      <c r="D607" s="68">
        <v>17</v>
      </c>
      <c r="E607" s="21">
        <v>3.0769230769230002E-3</v>
      </c>
    </row>
    <row r="608" spans="2:5" ht="14.5" customHeight="1">
      <c r="B608" s="85"/>
      <c r="C608" s="23" t="s">
        <v>230</v>
      </c>
      <c r="D608" s="68">
        <v>4</v>
      </c>
      <c r="E608" s="21">
        <v>7.2398190045200002E-4</v>
      </c>
    </row>
    <row r="609" spans="2:5" ht="14.5" customHeight="1">
      <c r="B609" s="85"/>
      <c r="C609" s="23" t="s">
        <v>232</v>
      </c>
      <c r="D609" s="68">
        <v>65</v>
      </c>
      <c r="E609" s="21">
        <v>1.1764705882353E-2</v>
      </c>
    </row>
    <row r="610" spans="2:5" ht="14.5" customHeight="1">
      <c r="B610" s="85"/>
      <c r="C610" s="23" t="s">
        <v>191</v>
      </c>
      <c r="D610" s="68">
        <v>42</v>
      </c>
      <c r="E610" s="21">
        <v>7.6018099547509998E-3</v>
      </c>
    </row>
    <row r="611" spans="2:5" ht="14.5" customHeight="1">
      <c r="B611" s="85"/>
      <c r="C611" s="23" t="s">
        <v>233</v>
      </c>
      <c r="D611" s="68">
        <v>3</v>
      </c>
      <c r="E611" s="21">
        <v>5.4298642533899999E-4</v>
      </c>
    </row>
    <row r="612" spans="2:5" ht="14.5" customHeight="1">
      <c r="B612" s="85"/>
      <c r="C612" s="23" t="s">
        <v>192</v>
      </c>
      <c r="D612" s="68">
        <v>26</v>
      </c>
      <c r="E612" s="21">
        <v>4.705882352941E-3</v>
      </c>
    </row>
    <row r="613" spans="2:5" ht="14.5" customHeight="1">
      <c r="B613" s="85"/>
      <c r="C613" s="23" t="s">
        <v>193</v>
      </c>
      <c r="D613" s="68">
        <v>13</v>
      </c>
      <c r="E613" s="21">
        <v>2.352941176471E-3</v>
      </c>
    </row>
    <row r="614" spans="2:5" ht="14.5" customHeight="1">
      <c r="B614" s="85"/>
      <c r="C614" s="23" t="s">
        <v>194</v>
      </c>
      <c r="D614" s="68">
        <v>3</v>
      </c>
      <c r="E614" s="21">
        <v>5.4298642533899999E-4</v>
      </c>
    </row>
    <row r="615" spans="2:5" ht="14.5" customHeight="1">
      <c r="B615" s="85"/>
      <c r="C615" s="23" t="s">
        <v>234</v>
      </c>
      <c r="D615" s="68">
        <v>17</v>
      </c>
      <c r="E615" s="21">
        <v>3.0769230769230002E-3</v>
      </c>
    </row>
    <row r="616" spans="2:5" ht="14.5" customHeight="1">
      <c r="B616" s="85"/>
      <c r="C616" s="23" t="s">
        <v>195</v>
      </c>
      <c r="D616" s="68">
        <v>198</v>
      </c>
      <c r="E616" s="21">
        <v>3.5837104072397999E-2</v>
      </c>
    </row>
    <row r="617" spans="2:5" ht="14.5" customHeight="1">
      <c r="B617" s="85"/>
      <c r="C617" s="23" t="s">
        <v>196</v>
      </c>
      <c r="D617" s="68">
        <v>16</v>
      </c>
      <c r="E617" s="21">
        <v>2.8959276018099998E-3</v>
      </c>
    </row>
    <row r="618" spans="2:5" ht="14.5" customHeight="1">
      <c r="B618" s="85"/>
      <c r="C618" s="23" t="s">
        <v>208</v>
      </c>
      <c r="D618" s="68">
        <v>1</v>
      </c>
      <c r="E618" s="21">
        <v>1.8099547511300001E-4</v>
      </c>
    </row>
    <row r="619" spans="2:5" ht="14.5" customHeight="1">
      <c r="B619" s="85"/>
      <c r="C619" s="23" t="s">
        <v>235</v>
      </c>
      <c r="D619" s="68">
        <v>3</v>
      </c>
      <c r="E619" s="21">
        <v>5.4298642533899999E-4</v>
      </c>
    </row>
    <row r="620" spans="2:5" ht="14.5" customHeight="1">
      <c r="B620" s="85"/>
      <c r="C620" s="23" t="s">
        <v>209</v>
      </c>
      <c r="D620" s="68">
        <v>5</v>
      </c>
      <c r="E620" s="21">
        <v>9.0497737556600002E-4</v>
      </c>
    </row>
    <row r="621" spans="2:5" ht="14.5" customHeight="1">
      <c r="B621" s="85"/>
      <c r="C621" s="23" t="s">
        <v>201</v>
      </c>
      <c r="D621" s="68">
        <v>5</v>
      </c>
      <c r="E621" s="21">
        <v>9.0497737556600002E-4</v>
      </c>
    </row>
    <row r="622" spans="2:5" ht="14.5" customHeight="1">
      <c r="B622" s="85"/>
      <c r="C622" s="23" t="s">
        <v>202</v>
      </c>
      <c r="D622" s="68">
        <v>1</v>
      </c>
      <c r="E622" s="21">
        <v>1.8099547511300001E-4</v>
      </c>
    </row>
    <row r="623" spans="2:5" ht="14.5" customHeight="1">
      <c r="B623" s="85"/>
      <c r="C623" s="23" t="s">
        <v>203</v>
      </c>
      <c r="D623" s="68">
        <v>12</v>
      </c>
      <c r="E623" s="21">
        <v>2.171945701357E-3</v>
      </c>
    </row>
    <row r="624" spans="2:5" ht="14.5" customHeight="1">
      <c r="B624" s="85"/>
      <c r="C624" s="23" t="s">
        <v>236</v>
      </c>
      <c r="D624" s="68">
        <v>3</v>
      </c>
      <c r="E624" s="21">
        <v>5.4298642533899999E-4</v>
      </c>
    </row>
    <row r="625" spans="2:5" ht="14.5" customHeight="1">
      <c r="B625" s="85"/>
      <c r="C625" s="23" t="s">
        <v>204</v>
      </c>
      <c r="D625" s="68">
        <v>137</v>
      </c>
      <c r="E625" s="21">
        <v>2.4796380090498001E-2</v>
      </c>
    </row>
    <row r="626" spans="2:5" ht="28" customHeight="1">
      <c r="B626" s="85"/>
      <c r="C626" s="23" t="s">
        <v>205</v>
      </c>
      <c r="D626" s="68">
        <v>2</v>
      </c>
      <c r="E626" s="21">
        <v>3.6199095022600001E-4</v>
      </c>
    </row>
    <row r="627" spans="2:5" ht="14.5" customHeight="1">
      <c r="B627" s="86"/>
      <c r="C627" s="69" t="s">
        <v>29</v>
      </c>
      <c r="D627" s="70">
        <v>1039</v>
      </c>
      <c r="E627" s="71">
        <v>0.18805429864253401</v>
      </c>
    </row>
    <row r="628" spans="2:5" ht="14.5" customHeight="1">
      <c r="B628" s="84" t="s">
        <v>82</v>
      </c>
      <c r="C628" s="23" t="s">
        <v>212</v>
      </c>
      <c r="D628" s="68">
        <v>1</v>
      </c>
      <c r="E628" s="21">
        <v>1.8099547511300001E-4</v>
      </c>
    </row>
    <row r="629" spans="2:5" ht="14.5" customHeight="1">
      <c r="B629" s="85"/>
      <c r="C629" s="23" t="s">
        <v>182</v>
      </c>
      <c r="D629" s="68">
        <v>1</v>
      </c>
      <c r="E629" s="21">
        <v>1.8099547511300001E-4</v>
      </c>
    </row>
    <row r="630" spans="2:5" ht="14.5" customHeight="1">
      <c r="B630" s="85"/>
      <c r="C630" s="23" t="s">
        <v>214</v>
      </c>
      <c r="D630" s="68">
        <v>1</v>
      </c>
      <c r="E630" s="21">
        <v>1.8099547511300001E-4</v>
      </c>
    </row>
    <row r="631" spans="2:5" ht="14.5" customHeight="1">
      <c r="B631" s="85"/>
      <c r="C631" s="23" t="s">
        <v>185</v>
      </c>
      <c r="D631" s="68">
        <v>2</v>
      </c>
      <c r="E631" s="21">
        <v>3.6199095022600001E-4</v>
      </c>
    </row>
    <row r="632" spans="2:5" ht="14.5" customHeight="1">
      <c r="B632" s="85"/>
      <c r="C632" s="23" t="s">
        <v>187</v>
      </c>
      <c r="D632" s="68">
        <v>3</v>
      </c>
      <c r="E632" s="21">
        <v>5.4298642533899999E-4</v>
      </c>
    </row>
    <row r="633" spans="2:5" ht="14.5" customHeight="1">
      <c r="B633" s="85"/>
      <c r="C633" s="23" t="s">
        <v>189</v>
      </c>
      <c r="D633" s="68">
        <v>1</v>
      </c>
      <c r="E633" s="21">
        <v>1.8099547511300001E-4</v>
      </c>
    </row>
    <row r="634" spans="2:5" ht="28" customHeight="1">
      <c r="B634" s="85"/>
      <c r="C634" s="23" t="s">
        <v>237</v>
      </c>
      <c r="D634" s="68">
        <v>4</v>
      </c>
      <c r="E634" s="21">
        <v>7.2398190045200002E-4</v>
      </c>
    </row>
    <row r="635" spans="2:5" ht="14.5" customHeight="1">
      <c r="B635" s="85"/>
      <c r="C635" s="23" t="s">
        <v>190</v>
      </c>
      <c r="D635" s="68">
        <v>1</v>
      </c>
      <c r="E635" s="21">
        <v>1.8099547511300001E-4</v>
      </c>
    </row>
    <row r="636" spans="2:5" ht="14.5" customHeight="1">
      <c r="B636" s="85"/>
      <c r="C636" s="23" t="s">
        <v>195</v>
      </c>
      <c r="D636" s="68">
        <v>2</v>
      </c>
      <c r="E636" s="21">
        <v>3.6199095022600001E-4</v>
      </c>
    </row>
    <row r="637" spans="2:5" ht="14.5" customHeight="1">
      <c r="B637" s="85"/>
      <c r="C637" s="23" t="s">
        <v>196</v>
      </c>
      <c r="D637" s="68">
        <v>1</v>
      </c>
      <c r="E637" s="21">
        <v>1.8099547511300001E-4</v>
      </c>
    </row>
    <row r="638" spans="2:5" ht="14.5" customHeight="1">
      <c r="B638" s="85"/>
      <c r="C638" s="23" t="s">
        <v>209</v>
      </c>
      <c r="D638" s="68">
        <v>2</v>
      </c>
      <c r="E638" s="21">
        <v>3.6199095022600001E-4</v>
      </c>
    </row>
    <row r="639" spans="2:5" ht="14.5" customHeight="1">
      <c r="B639" s="85"/>
      <c r="C639" s="23" t="s">
        <v>202</v>
      </c>
      <c r="D639" s="68">
        <v>1</v>
      </c>
      <c r="E639" s="21">
        <v>1.8099547511300001E-4</v>
      </c>
    </row>
    <row r="640" spans="2:5" ht="14.5" customHeight="1">
      <c r="B640" s="85"/>
      <c r="C640" s="23" t="s">
        <v>204</v>
      </c>
      <c r="D640" s="68">
        <v>4</v>
      </c>
      <c r="E640" s="21">
        <v>7.2398190045200002E-4</v>
      </c>
    </row>
    <row r="641" spans="2:5" ht="14.5" customHeight="1">
      <c r="B641" s="86"/>
      <c r="C641" s="69" t="s">
        <v>29</v>
      </c>
      <c r="D641" s="70">
        <v>24</v>
      </c>
      <c r="E641" s="71">
        <v>4.3438914027150001E-3</v>
      </c>
    </row>
    <row r="642" spans="2:5" ht="14.5" customHeight="1">
      <c r="B642" s="84" t="s">
        <v>86</v>
      </c>
      <c r="C642" s="23" t="s">
        <v>213</v>
      </c>
      <c r="D642" s="68">
        <v>2</v>
      </c>
      <c r="E642" s="21">
        <v>3.6199095022600001E-4</v>
      </c>
    </row>
    <row r="643" spans="2:5" ht="14.5" customHeight="1">
      <c r="B643" s="85"/>
      <c r="C643" s="23" t="s">
        <v>184</v>
      </c>
      <c r="D643" s="68">
        <v>1</v>
      </c>
      <c r="E643" s="21">
        <v>1.8099547511300001E-4</v>
      </c>
    </row>
    <row r="644" spans="2:5" ht="14.5" customHeight="1">
      <c r="B644" s="85"/>
      <c r="C644" s="23" t="s">
        <v>218</v>
      </c>
      <c r="D644" s="68">
        <v>2</v>
      </c>
      <c r="E644" s="21">
        <v>3.6199095022600001E-4</v>
      </c>
    </row>
    <row r="645" spans="2:5" ht="14.5" customHeight="1">
      <c r="B645" s="85"/>
      <c r="C645" s="23" t="s">
        <v>207</v>
      </c>
      <c r="D645" s="68">
        <v>1</v>
      </c>
      <c r="E645" s="21">
        <v>1.8099547511300001E-4</v>
      </c>
    </row>
    <row r="646" spans="2:5" ht="14.5" customHeight="1">
      <c r="B646" s="85"/>
      <c r="C646" s="23" t="s">
        <v>195</v>
      </c>
      <c r="D646" s="68">
        <v>2</v>
      </c>
      <c r="E646" s="21">
        <v>3.6199095022600001E-4</v>
      </c>
    </row>
    <row r="647" spans="2:5" ht="14.5" customHeight="1">
      <c r="B647" s="85"/>
      <c r="C647" s="23" t="s">
        <v>196</v>
      </c>
      <c r="D647" s="68">
        <v>1</v>
      </c>
      <c r="E647" s="21">
        <v>1.8099547511300001E-4</v>
      </c>
    </row>
    <row r="648" spans="2:5" ht="14.5" customHeight="1">
      <c r="B648" s="85"/>
      <c r="C648" s="23" t="s">
        <v>209</v>
      </c>
      <c r="D648" s="68">
        <v>1</v>
      </c>
      <c r="E648" s="21">
        <v>1.8099547511300001E-4</v>
      </c>
    </row>
    <row r="649" spans="2:5" ht="14.5" customHeight="1">
      <c r="B649" s="86"/>
      <c r="C649" s="69" t="s">
        <v>29</v>
      </c>
      <c r="D649" s="70">
        <v>10</v>
      </c>
      <c r="E649" s="71">
        <v>1.809954751131E-3</v>
      </c>
    </row>
    <row r="650" spans="2:5" ht="14.5" customHeight="1">
      <c r="B650" s="84" t="s">
        <v>78</v>
      </c>
      <c r="C650" s="23" t="s">
        <v>182</v>
      </c>
      <c r="D650" s="68">
        <v>3</v>
      </c>
      <c r="E650" s="21">
        <v>5.4298642533899999E-4</v>
      </c>
    </row>
    <row r="651" spans="2:5" ht="14.5" customHeight="1">
      <c r="B651" s="85"/>
      <c r="C651" s="23" t="s">
        <v>183</v>
      </c>
      <c r="D651" s="68">
        <v>1</v>
      </c>
      <c r="E651" s="21">
        <v>1.8099547511300001E-4</v>
      </c>
    </row>
    <row r="652" spans="2:5" ht="14.5" customHeight="1">
      <c r="B652" s="85"/>
      <c r="C652" s="23" t="s">
        <v>184</v>
      </c>
      <c r="D652" s="68">
        <v>1</v>
      </c>
      <c r="E652" s="21">
        <v>1.8099547511300001E-4</v>
      </c>
    </row>
    <row r="653" spans="2:5" ht="14.5" customHeight="1">
      <c r="B653" s="85"/>
      <c r="C653" s="23" t="s">
        <v>185</v>
      </c>
      <c r="D653" s="68">
        <v>1</v>
      </c>
      <c r="E653" s="21">
        <v>1.8099547511300001E-4</v>
      </c>
    </row>
    <row r="654" spans="2:5" ht="14.5" customHeight="1">
      <c r="B654" s="85"/>
      <c r="C654" s="23" t="s">
        <v>186</v>
      </c>
      <c r="D654" s="68">
        <v>5</v>
      </c>
      <c r="E654" s="21">
        <v>9.0497737556600002E-4</v>
      </c>
    </row>
    <row r="655" spans="2:5" ht="14.5" customHeight="1">
      <c r="B655" s="85"/>
      <c r="C655" s="23" t="s">
        <v>218</v>
      </c>
      <c r="D655" s="68">
        <v>2</v>
      </c>
      <c r="E655" s="21">
        <v>3.6199095022600001E-4</v>
      </c>
    </row>
    <row r="656" spans="2:5" ht="14.5" customHeight="1">
      <c r="B656" s="85"/>
      <c r="C656" s="23" t="s">
        <v>187</v>
      </c>
      <c r="D656" s="68">
        <v>1</v>
      </c>
      <c r="E656" s="21">
        <v>1.8099547511300001E-4</v>
      </c>
    </row>
    <row r="657" spans="2:5" ht="14.5" customHeight="1">
      <c r="B657" s="85"/>
      <c r="C657" s="23" t="s">
        <v>206</v>
      </c>
      <c r="D657" s="68">
        <v>2</v>
      </c>
      <c r="E657" s="21">
        <v>3.6199095022600001E-4</v>
      </c>
    </row>
    <row r="658" spans="2:5" ht="14.5" customHeight="1">
      <c r="B658" s="85"/>
      <c r="C658" s="23" t="s">
        <v>192</v>
      </c>
      <c r="D658" s="68">
        <v>1</v>
      </c>
      <c r="E658" s="21">
        <v>1.8099547511300001E-4</v>
      </c>
    </row>
    <row r="659" spans="2:5" ht="14.5" customHeight="1">
      <c r="B659" s="85"/>
      <c r="C659" s="23" t="s">
        <v>194</v>
      </c>
      <c r="D659" s="68">
        <v>3</v>
      </c>
      <c r="E659" s="21">
        <v>5.4298642533899999E-4</v>
      </c>
    </row>
    <row r="660" spans="2:5" ht="14.5" customHeight="1">
      <c r="B660" s="85"/>
      <c r="C660" s="23" t="s">
        <v>195</v>
      </c>
      <c r="D660" s="68">
        <v>3</v>
      </c>
      <c r="E660" s="21">
        <v>5.4298642533899999E-4</v>
      </c>
    </row>
    <row r="661" spans="2:5" ht="14.5" customHeight="1">
      <c r="B661" s="85"/>
      <c r="C661" s="23" t="s">
        <v>196</v>
      </c>
      <c r="D661" s="68">
        <v>6</v>
      </c>
      <c r="E661" s="21">
        <v>1.0859728506790001E-3</v>
      </c>
    </row>
    <row r="662" spans="2:5" ht="14.5" customHeight="1">
      <c r="B662" s="85"/>
      <c r="C662" s="23" t="s">
        <v>208</v>
      </c>
      <c r="D662" s="68">
        <v>1</v>
      </c>
      <c r="E662" s="21">
        <v>1.8099547511300001E-4</v>
      </c>
    </row>
    <row r="663" spans="2:5" ht="14.5" customHeight="1">
      <c r="B663" s="85"/>
      <c r="C663" s="23" t="s">
        <v>204</v>
      </c>
      <c r="D663" s="68">
        <v>1</v>
      </c>
      <c r="E663" s="21">
        <v>1.8099547511300001E-4</v>
      </c>
    </row>
    <row r="664" spans="2:5" ht="14.5" customHeight="1">
      <c r="B664" s="86"/>
      <c r="C664" s="69" t="s">
        <v>29</v>
      </c>
      <c r="D664" s="70">
        <v>31</v>
      </c>
      <c r="E664" s="71">
        <v>5.6108597285069997E-3</v>
      </c>
    </row>
    <row r="665" spans="2:5" ht="14.5" customHeight="1">
      <c r="B665" s="84" t="s">
        <v>59</v>
      </c>
      <c r="C665" s="23" t="s">
        <v>182</v>
      </c>
      <c r="D665" s="68">
        <v>7</v>
      </c>
      <c r="E665" s="21">
        <v>1.266968325792E-3</v>
      </c>
    </row>
    <row r="666" spans="2:5" ht="14.5" customHeight="1">
      <c r="B666" s="85"/>
      <c r="C666" s="23" t="s">
        <v>183</v>
      </c>
      <c r="D666" s="68">
        <v>1</v>
      </c>
      <c r="E666" s="21">
        <v>1.8099547511300001E-4</v>
      </c>
    </row>
    <row r="667" spans="2:5" ht="14.5" customHeight="1">
      <c r="B667" s="85"/>
      <c r="C667" s="23" t="s">
        <v>184</v>
      </c>
      <c r="D667" s="68">
        <v>1</v>
      </c>
      <c r="E667" s="21">
        <v>1.8099547511300001E-4</v>
      </c>
    </row>
    <row r="668" spans="2:5" ht="14.5" customHeight="1">
      <c r="B668" s="85"/>
      <c r="C668" s="23" t="s">
        <v>185</v>
      </c>
      <c r="D668" s="68">
        <v>53</v>
      </c>
      <c r="E668" s="21">
        <v>9.5927601809950008E-3</v>
      </c>
    </row>
    <row r="669" spans="2:5" ht="14.5" customHeight="1">
      <c r="B669" s="85"/>
      <c r="C669" s="23" t="s">
        <v>197</v>
      </c>
      <c r="D669" s="68">
        <v>5</v>
      </c>
      <c r="E669" s="21">
        <v>9.0497737556600002E-4</v>
      </c>
    </row>
    <row r="670" spans="2:5" ht="14.5" customHeight="1">
      <c r="B670" s="85"/>
      <c r="C670" s="23" t="s">
        <v>216</v>
      </c>
      <c r="D670" s="68">
        <v>3</v>
      </c>
      <c r="E670" s="21">
        <v>5.4298642533899999E-4</v>
      </c>
    </row>
    <row r="671" spans="2:5" ht="14.5" customHeight="1">
      <c r="B671" s="85"/>
      <c r="C671" s="23" t="s">
        <v>186</v>
      </c>
      <c r="D671" s="68">
        <v>9</v>
      </c>
      <c r="E671" s="21">
        <v>1.628959276018E-3</v>
      </c>
    </row>
    <row r="672" spans="2:5" ht="14.5" customHeight="1">
      <c r="B672" s="85"/>
      <c r="C672" s="23" t="s">
        <v>199</v>
      </c>
      <c r="D672" s="68">
        <v>1</v>
      </c>
      <c r="E672" s="21">
        <v>1.8099547511300001E-4</v>
      </c>
    </row>
    <row r="673" spans="2:5" ht="14.5" customHeight="1">
      <c r="B673" s="85"/>
      <c r="C673" s="23" t="s">
        <v>206</v>
      </c>
      <c r="D673" s="68">
        <v>3</v>
      </c>
      <c r="E673" s="21">
        <v>5.4298642533899999E-4</v>
      </c>
    </row>
    <row r="674" spans="2:5" ht="14.5" customHeight="1">
      <c r="B674" s="85"/>
      <c r="C674" s="23" t="s">
        <v>221</v>
      </c>
      <c r="D674" s="68">
        <v>1</v>
      </c>
      <c r="E674" s="21">
        <v>1.8099547511300001E-4</v>
      </c>
    </row>
    <row r="675" spans="2:5" ht="14.5" customHeight="1">
      <c r="B675" s="85"/>
      <c r="C675" s="23" t="s">
        <v>190</v>
      </c>
      <c r="D675" s="68">
        <v>2</v>
      </c>
      <c r="E675" s="21">
        <v>3.6199095022600001E-4</v>
      </c>
    </row>
    <row r="676" spans="2:5" ht="14.5" customHeight="1">
      <c r="B676" s="85"/>
      <c r="C676" s="23" t="s">
        <v>192</v>
      </c>
      <c r="D676" s="68">
        <v>3</v>
      </c>
      <c r="E676" s="21">
        <v>5.4298642533899999E-4</v>
      </c>
    </row>
    <row r="677" spans="2:5" ht="14.5" customHeight="1">
      <c r="B677" s="85"/>
      <c r="C677" s="23" t="s">
        <v>193</v>
      </c>
      <c r="D677" s="68">
        <v>2</v>
      </c>
      <c r="E677" s="21">
        <v>3.6199095022600001E-4</v>
      </c>
    </row>
    <row r="678" spans="2:5" ht="14.5" customHeight="1">
      <c r="B678" s="85"/>
      <c r="C678" s="23" t="s">
        <v>194</v>
      </c>
      <c r="D678" s="68">
        <v>1</v>
      </c>
      <c r="E678" s="21">
        <v>1.8099547511300001E-4</v>
      </c>
    </row>
    <row r="679" spans="2:5" ht="14.5" customHeight="1">
      <c r="B679" s="85"/>
      <c r="C679" s="23" t="s">
        <v>195</v>
      </c>
      <c r="D679" s="68">
        <v>25</v>
      </c>
      <c r="E679" s="21">
        <v>4.5248868778280001E-3</v>
      </c>
    </row>
    <row r="680" spans="2:5" ht="14.5" customHeight="1">
      <c r="B680" s="85"/>
      <c r="C680" s="23" t="s">
        <v>235</v>
      </c>
      <c r="D680" s="68">
        <v>1</v>
      </c>
      <c r="E680" s="21">
        <v>1.8099547511300001E-4</v>
      </c>
    </row>
    <row r="681" spans="2:5" ht="14.5" customHeight="1">
      <c r="B681" s="85"/>
      <c r="C681" s="23" t="s">
        <v>209</v>
      </c>
      <c r="D681" s="68">
        <v>1</v>
      </c>
      <c r="E681" s="21">
        <v>1.8099547511300001E-4</v>
      </c>
    </row>
    <row r="682" spans="2:5" ht="14.5" customHeight="1">
      <c r="B682" s="86"/>
      <c r="C682" s="69" t="s">
        <v>29</v>
      </c>
      <c r="D682" s="70">
        <v>119</v>
      </c>
      <c r="E682" s="71">
        <v>2.1538461538461999E-2</v>
      </c>
    </row>
    <row r="683" spans="2:5" ht="14.5" customHeight="1">
      <c r="B683" s="84" t="s">
        <v>69</v>
      </c>
      <c r="C683" s="23" t="s">
        <v>182</v>
      </c>
      <c r="D683" s="68">
        <v>1</v>
      </c>
      <c r="E683" s="21">
        <v>1.8099547511300001E-4</v>
      </c>
    </row>
    <row r="684" spans="2:5" ht="14.5" customHeight="1">
      <c r="B684" s="85"/>
      <c r="C684" s="23" t="s">
        <v>184</v>
      </c>
      <c r="D684" s="68">
        <v>10</v>
      </c>
      <c r="E684" s="21">
        <v>1.809954751131E-3</v>
      </c>
    </row>
    <row r="685" spans="2:5" ht="14.5" customHeight="1">
      <c r="B685" s="85"/>
      <c r="C685" s="23" t="s">
        <v>185</v>
      </c>
      <c r="D685" s="68">
        <v>5</v>
      </c>
      <c r="E685" s="21">
        <v>9.0497737556600002E-4</v>
      </c>
    </row>
    <row r="686" spans="2:5" ht="14.5" customHeight="1">
      <c r="B686" s="85"/>
      <c r="C686" s="23" t="s">
        <v>197</v>
      </c>
      <c r="D686" s="68">
        <v>1</v>
      </c>
      <c r="E686" s="21">
        <v>1.8099547511300001E-4</v>
      </c>
    </row>
    <row r="687" spans="2:5" ht="14.5" customHeight="1">
      <c r="B687" s="85"/>
      <c r="C687" s="23" t="s">
        <v>198</v>
      </c>
      <c r="D687" s="68">
        <v>1</v>
      </c>
      <c r="E687" s="21">
        <v>1.8099547511300001E-4</v>
      </c>
    </row>
    <row r="688" spans="2:5" ht="14.5" customHeight="1">
      <c r="B688" s="85"/>
      <c r="C688" s="23" t="s">
        <v>186</v>
      </c>
      <c r="D688" s="68">
        <v>4</v>
      </c>
      <c r="E688" s="21">
        <v>7.2398190045200002E-4</v>
      </c>
    </row>
    <row r="689" spans="2:5" ht="14.5" customHeight="1">
      <c r="B689" s="85"/>
      <c r="C689" s="23" t="s">
        <v>199</v>
      </c>
      <c r="D689" s="68">
        <v>1</v>
      </c>
      <c r="E689" s="21">
        <v>1.8099547511300001E-4</v>
      </c>
    </row>
    <row r="690" spans="2:5" ht="28" customHeight="1">
      <c r="B690" s="85"/>
      <c r="C690" s="23" t="s">
        <v>200</v>
      </c>
      <c r="D690" s="68">
        <v>1</v>
      </c>
      <c r="E690" s="21">
        <v>1.8099547511300001E-4</v>
      </c>
    </row>
    <row r="691" spans="2:5" ht="14.5" customHeight="1">
      <c r="B691" s="85"/>
      <c r="C691" s="23" t="s">
        <v>189</v>
      </c>
      <c r="D691" s="68">
        <v>1</v>
      </c>
      <c r="E691" s="21">
        <v>1.8099547511300001E-4</v>
      </c>
    </row>
    <row r="692" spans="2:5" ht="14.5" customHeight="1">
      <c r="B692" s="85"/>
      <c r="C692" s="23" t="s">
        <v>190</v>
      </c>
      <c r="D692" s="68">
        <v>1</v>
      </c>
      <c r="E692" s="21">
        <v>1.8099547511300001E-4</v>
      </c>
    </row>
    <row r="693" spans="2:5" ht="14.5" customHeight="1">
      <c r="B693" s="85"/>
      <c r="C693" s="23" t="s">
        <v>191</v>
      </c>
      <c r="D693" s="68">
        <v>1</v>
      </c>
      <c r="E693" s="21">
        <v>1.8099547511300001E-4</v>
      </c>
    </row>
    <row r="694" spans="2:5" ht="14.5" customHeight="1">
      <c r="B694" s="85"/>
      <c r="C694" s="23" t="s">
        <v>195</v>
      </c>
      <c r="D694" s="68">
        <v>12</v>
      </c>
      <c r="E694" s="21">
        <v>2.171945701357E-3</v>
      </c>
    </row>
    <row r="695" spans="2:5" ht="14.5" customHeight="1">
      <c r="B695" s="85"/>
      <c r="C695" s="23" t="s">
        <v>201</v>
      </c>
      <c r="D695" s="68">
        <v>1</v>
      </c>
      <c r="E695" s="21">
        <v>1.8099547511300001E-4</v>
      </c>
    </row>
    <row r="696" spans="2:5" ht="14.5" customHeight="1">
      <c r="B696" s="85"/>
      <c r="C696" s="23" t="s">
        <v>202</v>
      </c>
      <c r="D696" s="68">
        <v>1</v>
      </c>
      <c r="E696" s="21">
        <v>1.8099547511300001E-4</v>
      </c>
    </row>
    <row r="697" spans="2:5" ht="14.5" customHeight="1">
      <c r="B697" s="85"/>
      <c r="C697" s="23" t="s">
        <v>203</v>
      </c>
      <c r="D697" s="68">
        <v>1</v>
      </c>
      <c r="E697" s="21">
        <v>1.8099547511300001E-4</v>
      </c>
    </row>
    <row r="698" spans="2:5" ht="14.5" customHeight="1">
      <c r="B698" s="85"/>
      <c r="C698" s="23" t="s">
        <v>204</v>
      </c>
      <c r="D698" s="68">
        <v>8</v>
      </c>
      <c r="E698" s="21">
        <v>1.4479638009049999E-3</v>
      </c>
    </row>
    <row r="699" spans="2:5" ht="28" customHeight="1">
      <c r="B699" s="85"/>
      <c r="C699" s="23" t="s">
        <v>205</v>
      </c>
      <c r="D699" s="68">
        <v>1</v>
      </c>
      <c r="E699" s="21">
        <v>1.8099547511300001E-4</v>
      </c>
    </row>
    <row r="700" spans="2:5" ht="14.5" customHeight="1">
      <c r="B700" s="86"/>
      <c r="C700" s="69" t="s">
        <v>29</v>
      </c>
      <c r="D700" s="70">
        <v>51</v>
      </c>
      <c r="E700" s="71">
        <v>9.2307692307689992E-3</v>
      </c>
    </row>
    <row r="701" spans="2:5" ht="14.5" customHeight="1">
      <c r="B701" s="84" t="s">
        <v>71</v>
      </c>
      <c r="C701" s="23" t="s">
        <v>182</v>
      </c>
      <c r="D701" s="68">
        <v>4</v>
      </c>
      <c r="E701" s="21">
        <v>7.2398190045200002E-4</v>
      </c>
    </row>
    <row r="702" spans="2:5" ht="14.5" customHeight="1">
      <c r="B702" s="85"/>
      <c r="C702" s="23" t="s">
        <v>184</v>
      </c>
      <c r="D702" s="68">
        <v>1</v>
      </c>
      <c r="E702" s="21">
        <v>1.8099547511300001E-4</v>
      </c>
    </row>
    <row r="703" spans="2:5" ht="14.5" customHeight="1">
      <c r="B703" s="85"/>
      <c r="C703" s="23" t="s">
        <v>186</v>
      </c>
      <c r="D703" s="68">
        <v>6</v>
      </c>
      <c r="E703" s="21">
        <v>1.0859728506790001E-3</v>
      </c>
    </row>
    <row r="704" spans="2:5" ht="14.5" customHeight="1">
      <c r="B704" s="85"/>
      <c r="C704" s="23" t="s">
        <v>187</v>
      </c>
      <c r="D704" s="68">
        <v>1</v>
      </c>
      <c r="E704" s="21">
        <v>1.8099547511300001E-4</v>
      </c>
    </row>
    <row r="705" spans="2:5" ht="14.5" customHeight="1">
      <c r="B705" s="85"/>
      <c r="C705" s="23" t="s">
        <v>190</v>
      </c>
      <c r="D705" s="68">
        <v>2</v>
      </c>
      <c r="E705" s="21">
        <v>3.6199095022600001E-4</v>
      </c>
    </row>
    <row r="706" spans="2:5" ht="14.5" customHeight="1">
      <c r="B706" s="85"/>
      <c r="C706" s="23" t="s">
        <v>233</v>
      </c>
      <c r="D706" s="68">
        <v>1</v>
      </c>
      <c r="E706" s="21">
        <v>1.8099547511300001E-4</v>
      </c>
    </row>
    <row r="707" spans="2:5" ht="14.5" customHeight="1">
      <c r="B707" s="85"/>
      <c r="C707" s="23" t="s">
        <v>195</v>
      </c>
      <c r="D707" s="68">
        <v>4</v>
      </c>
      <c r="E707" s="21">
        <v>7.2398190045200002E-4</v>
      </c>
    </row>
    <row r="708" spans="2:5" ht="14.5" customHeight="1">
      <c r="B708" s="85"/>
      <c r="C708" s="23" t="s">
        <v>196</v>
      </c>
      <c r="D708" s="68">
        <v>15</v>
      </c>
      <c r="E708" s="21">
        <v>2.7149321266969999E-3</v>
      </c>
    </row>
    <row r="709" spans="2:5" ht="14.5" customHeight="1">
      <c r="B709" s="85"/>
      <c r="C709" s="23" t="s">
        <v>208</v>
      </c>
      <c r="D709" s="68">
        <v>1</v>
      </c>
      <c r="E709" s="21">
        <v>1.8099547511300001E-4</v>
      </c>
    </row>
    <row r="710" spans="2:5" ht="14.5" customHeight="1">
      <c r="B710" s="85"/>
      <c r="C710" s="23" t="s">
        <v>209</v>
      </c>
      <c r="D710" s="68">
        <v>10</v>
      </c>
      <c r="E710" s="21">
        <v>1.809954751131E-3</v>
      </c>
    </row>
    <row r="711" spans="2:5" ht="14.5" customHeight="1">
      <c r="B711" s="85"/>
      <c r="C711" s="23" t="s">
        <v>201</v>
      </c>
      <c r="D711" s="68">
        <v>2</v>
      </c>
      <c r="E711" s="21">
        <v>3.6199095022600001E-4</v>
      </c>
    </row>
    <row r="712" spans="2:5" ht="14.5" customHeight="1">
      <c r="B712" s="85"/>
      <c r="C712" s="23" t="s">
        <v>204</v>
      </c>
      <c r="D712" s="68">
        <v>1</v>
      </c>
      <c r="E712" s="21">
        <v>1.8099547511300001E-4</v>
      </c>
    </row>
    <row r="713" spans="2:5" ht="14.5" customHeight="1">
      <c r="B713" s="86"/>
      <c r="C713" s="69" t="s">
        <v>29</v>
      </c>
      <c r="D713" s="70">
        <v>48</v>
      </c>
      <c r="E713" s="71">
        <v>8.6877828054300003E-3</v>
      </c>
    </row>
    <row r="714" spans="2:5" ht="14.5" customHeight="1">
      <c r="B714" s="84" t="s">
        <v>55</v>
      </c>
      <c r="C714" s="23" t="s">
        <v>212</v>
      </c>
      <c r="D714" s="68">
        <v>1</v>
      </c>
      <c r="E714" s="21">
        <v>1.8099547511300001E-4</v>
      </c>
    </row>
    <row r="715" spans="2:5" ht="14.5" customHeight="1">
      <c r="B715" s="85"/>
      <c r="C715" s="23" t="s">
        <v>182</v>
      </c>
      <c r="D715" s="68">
        <v>7</v>
      </c>
      <c r="E715" s="21">
        <v>1.266968325792E-3</v>
      </c>
    </row>
    <row r="716" spans="2:5" ht="14.5" customHeight="1">
      <c r="B716" s="85"/>
      <c r="C716" s="23" t="s">
        <v>183</v>
      </c>
      <c r="D716" s="68">
        <v>2</v>
      </c>
      <c r="E716" s="21">
        <v>3.6199095022600001E-4</v>
      </c>
    </row>
    <row r="717" spans="2:5" ht="14.5" customHeight="1">
      <c r="B717" s="85"/>
      <c r="C717" s="23" t="s">
        <v>213</v>
      </c>
      <c r="D717" s="68">
        <v>1</v>
      </c>
      <c r="E717" s="21">
        <v>1.8099547511300001E-4</v>
      </c>
    </row>
    <row r="718" spans="2:5" ht="14.5" customHeight="1">
      <c r="B718" s="85"/>
      <c r="C718" s="23" t="s">
        <v>214</v>
      </c>
      <c r="D718" s="68">
        <v>1</v>
      </c>
      <c r="E718" s="21">
        <v>1.8099547511300001E-4</v>
      </c>
    </row>
    <row r="719" spans="2:5" ht="14.5" customHeight="1">
      <c r="B719" s="85"/>
      <c r="C719" s="23" t="s">
        <v>184</v>
      </c>
      <c r="D719" s="68">
        <v>13</v>
      </c>
      <c r="E719" s="21">
        <v>2.352941176471E-3</v>
      </c>
    </row>
    <row r="720" spans="2:5" ht="14.5" customHeight="1">
      <c r="B720" s="85"/>
      <c r="C720" s="23" t="s">
        <v>185</v>
      </c>
      <c r="D720" s="68">
        <v>5</v>
      </c>
      <c r="E720" s="21">
        <v>9.0497737556600002E-4</v>
      </c>
    </row>
    <row r="721" spans="2:5" ht="14.5" customHeight="1">
      <c r="B721" s="85"/>
      <c r="C721" s="23" t="s">
        <v>215</v>
      </c>
      <c r="D721" s="68">
        <v>1</v>
      </c>
      <c r="E721" s="21">
        <v>1.8099547511300001E-4</v>
      </c>
    </row>
    <row r="722" spans="2:5" ht="14.5" customHeight="1">
      <c r="B722" s="85"/>
      <c r="C722" s="23" t="s">
        <v>216</v>
      </c>
      <c r="D722" s="68">
        <v>3</v>
      </c>
      <c r="E722" s="21">
        <v>5.4298642533899999E-4</v>
      </c>
    </row>
    <row r="723" spans="2:5" ht="14.5" customHeight="1">
      <c r="B723" s="85"/>
      <c r="C723" s="23" t="s">
        <v>217</v>
      </c>
      <c r="D723" s="68">
        <v>1</v>
      </c>
      <c r="E723" s="21">
        <v>1.8099547511300001E-4</v>
      </c>
    </row>
    <row r="724" spans="2:5" ht="14.5" customHeight="1">
      <c r="B724" s="85"/>
      <c r="C724" s="23" t="s">
        <v>198</v>
      </c>
      <c r="D724" s="68">
        <v>1</v>
      </c>
      <c r="E724" s="21">
        <v>1.8099547511300001E-4</v>
      </c>
    </row>
    <row r="725" spans="2:5" ht="14.5" customHeight="1">
      <c r="B725" s="85"/>
      <c r="C725" s="23" t="s">
        <v>186</v>
      </c>
      <c r="D725" s="68">
        <v>13</v>
      </c>
      <c r="E725" s="21">
        <v>2.352941176471E-3</v>
      </c>
    </row>
    <row r="726" spans="2:5" ht="14.5" customHeight="1">
      <c r="B726" s="85"/>
      <c r="C726" s="23" t="s">
        <v>218</v>
      </c>
      <c r="D726" s="68">
        <v>3</v>
      </c>
      <c r="E726" s="21">
        <v>5.4298642533899999E-4</v>
      </c>
    </row>
    <row r="727" spans="2:5" ht="14.5" customHeight="1">
      <c r="B727" s="85"/>
      <c r="C727" s="23" t="s">
        <v>187</v>
      </c>
      <c r="D727" s="68">
        <v>4</v>
      </c>
      <c r="E727" s="21">
        <v>7.2398190045200002E-4</v>
      </c>
    </row>
    <row r="728" spans="2:5" ht="14.5" customHeight="1">
      <c r="B728" s="85"/>
      <c r="C728" s="23" t="s">
        <v>219</v>
      </c>
      <c r="D728" s="68">
        <v>3</v>
      </c>
      <c r="E728" s="21">
        <v>5.4298642533899999E-4</v>
      </c>
    </row>
    <row r="729" spans="2:5" ht="14.5" customHeight="1">
      <c r="B729" s="85"/>
      <c r="C729" s="23" t="s">
        <v>220</v>
      </c>
      <c r="D729" s="68">
        <v>1</v>
      </c>
      <c r="E729" s="21">
        <v>1.8099547511300001E-4</v>
      </c>
    </row>
    <row r="730" spans="2:5" ht="14.5" customHeight="1">
      <c r="B730" s="85"/>
      <c r="C730" s="23" t="s">
        <v>189</v>
      </c>
      <c r="D730" s="68">
        <v>10</v>
      </c>
      <c r="E730" s="21">
        <v>1.809954751131E-3</v>
      </c>
    </row>
    <row r="731" spans="2:5" ht="14.5" customHeight="1">
      <c r="B731" s="85"/>
      <c r="C731" s="23" t="s">
        <v>206</v>
      </c>
      <c r="D731" s="68">
        <v>6</v>
      </c>
      <c r="E731" s="21">
        <v>1.0859728506790001E-3</v>
      </c>
    </row>
    <row r="732" spans="2:5" ht="14.5" customHeight="1">
      <c r="B732" s="85"/>
      <c r="C732" s="23" t="s">
        <v>207</v>
      </c>
      <c r="D732" s="68">
        <v>2</v>
      </c>
      <c r="E732" s="21">
        <v>3.6199095022600001E-4</v>
      </c>
    </row>
    <row r="733" spans="2:5" ht="14.5" customHeight="1">
      <c r="B733" s="85"/>
      <c r="C733" s="23" t="s">
        <v>190</v>
      </c>
      <c r="D733" s="68">
        <v>8</v>
      </c>
      <c r="E733" s="21">
        <v>1.4479638009049999E-3</v>
      </c>
    </row>
    <row r="734" spans="2:5" ht="14.5" customHeight="1">
      <c r="B734" s="85"/>
      <c r="C734" s="23" t="s">
        <v>227</v>
      </c>
      <c r="D734" s="68">
        <v>1</v>
      </c>
      <c r="E734" s="21">
        <v>1.8099547511300001E-4</v>
      </c>
    </row>
    <row r="735" spans="2:5" ht="14.5" customHeight="1">
      <c r="B735" s="85"/>
      <c r="C735" s="23" t="s">
        <v>230</v>
      </c>
      <c r="D735" s="68">
        <v>2</v>
      </c>
      <c r="E735" s="21">
        <v>3.6199095022600001E-4</v>
      </c>
    </row>
    <row r="736" spans="2:5" ht="14.5" customHeight="1">
      <c r="B736" s="85"/>
      <c r="C736" s="23" t="s">
        <v>232</v>
      </c>
      <c r="D736" s="68">
        <v>3</v>
      </c>
      <c r="E736" s="21">
        <v>5.4298642533899999E-4</v>
      </c>
    </row>
    <row r="737" spans="2:5" ht="14.5" customHeight="1">
      <c r="B737" s="85"/>
      <c r="C737" s="23" t="s">
        <v>191</v>
      </c>
      <c r="D737" s="68">
        <v>1</v>
      </c>
      <c r="E737" s="21">
        <v>1.8099547511300001E-4</v>
      </c>
    </row>
    <row r="738" spans="2:5" ht="14.5" customHeight="1">
      <c r="B738" s="85"/>
      <c r="C738" s="23" t="s">
        <v>233</v>
      </c>
      <c r="D738" s="68">
        <v>4</v>
      </c>
      <c r="E738" s="21">
        <v>7.2398190045200002E-4</v>
      </c>
    </row>
    <row r="739" spans="2:5" ht="14.5" customHeight="1">
      <c r="B739" s="85"/>
      <c r="C739" s="23" t="s">
        <v>193</v>
      </c>
      <c r="D739" s="68">
        <v>4</v>
      </c>
      <c r="E739" s="21">
        <v>7.2398190045200002E-4</v>
      </c>
    </row>
    <row r="740" spans="2:5" ht="14.5" customHeight="1">
      <c r="B740" s="85"/>
      <c r="C740" s="23" t="s">
        <v>194</v>
      </c>
      <c r="D740" s="68">
        <v>2</v>
      </c>
      <c r="E740" s="21">
        <v>3.6199095022600001E-4</v>
      </c>
    </row>
    <row r="741" spans="2:5" ht="14.5" customHeight="1">
      <c r="B741" s="85"/>
      <c r="C741" s="23" t="s">
        <v>234</v>
      </c>
      <c r="D741" s="68">
        <v>2</v>
      </c>
      <c r="E741" s="21">
        <v>3.6199095022600001E-4</v>
      </c>
    </row>
    <row r="742" spans="2:5" ht="14.5" customHeight="1">
      <c r="B742" s="85"/>
      <c r="C742" s="23" t="s">
        <v>195</v>
      </c>
      <c r="D742" s="68">
        <v>22</v>
      </c>
      <c r="E742" s="21">
        <v>3.9819004524890003E-3</v>
      </c>
    </row>
    <row r="743" spans="2:5" ht="14.5" customHeight="1">
      <c r="B743" s="85"/>
      <c r="C743" s="23" t="s">
        <v>196</v>
      </c>
      <c r="D743" s="68">
        <v>6</v>
      </c>
      <c r="E743" s="21">
        <v>1.0859728506790001E-3</v>
      </c>
    </row>
    <row r="744" spans="2:5" ht="14.5" customHeight="1">
      <c r="B744" s="85"/>
      <c r="C744" s="23" t="s">
        <v>201</v>
      </c>
      <c r="D744" s="68">
        <v>4</v>
      </c>
      <c r="E744" s="21">
        <v>7.2398190045200002E-4</v>
      </c>
    </row>
    <row r="745" spans="2:5" ht="14.5" customHeight="1">
      <c r="B745" s="85"/>
      <c r="C745" s="23" t="s">
        <v>202</v>
      </c>
      <c r="D745" s="68">
        <v>5</v>
      </c>
      <c r="E745" s="21">
        <v>9.0497737556600002E-4</v>
      </c>
    </row>
    <row r="746" spans="2:5" ht="14.5" customHeight="1">
      <c r="B746" s="85"/>
      <c r="C746" s="23" t="s">
        <v>203</v>
      </c>
      <c r="D746" s="68">
        <v>5</v>
      </c>
      <c r="E746" s="21">
        <v>9.0497737556600002E-4</v>
      </c>
    </row>
    <row r="747" spans="2:5" ht="14.5" customHeight="1">
      <c r="B747" s="85"/>
      <c r="C747" s="23" t="s">
        <v>204</v>
      </c>
      <c r="D747" s="68">
        <v>5</v>
      </c>
      <c r="E747" s="21">
        <v>9.0497737556600002E-4</v>
      </c>
    </row>
    <row r="748" spans="2:5" ht="28" customHeight="1">
      <c r="B748" s="85"/>
      <c r="C748" s="23" t="s">
        <v>205</v>
      </c>
      <c r="D748" s="68">
        <v>1</v>
      </c>
      <c r="E748" s="21">
        <v>1.8099547511300001E-4</v>
      </c>
    </row>
    <row r="749" spans="2:5" ht="14.5" customHeight="1">
      <c r="B749" s="86"/>
      <c r="C749" s="69" t="s">
        <v>29</v>
      </c>
      <c r="D749" s="70">
        <v>153</v>
      </c>
      <c r="E749" s="71">
        <v>2.7692307692307998E-2</v>
      </c>
    </row>
    <row r="750" spans="2:5" ht="14.5" customHeight="1">
      <c r="B750" s="84" t="s">
        <v>67</v>
      </c>
      <c r="C750" s="23" t="s">
        <v>182</v>
      </c>
      <c r="D750" s="68">
        <v>5</v>
      </c>
      <c r="E750" s="21">
        <v>9.0497737556600002E-4</v>
      </c>
    </row>
    <row r="751" spans="2:5" ht="14.5" customHeight="1">
      <c r="B751" s="85"/>
      <c r="C751" s="23" t="s">
        <v>214</v>
      </c>
      <c r="D751" s="68">
        <v>1</v>
      </c>
      <c r="E751" s="21">
        <v>1.8099547511300001E-4</v>
      </c>
    </row>
    <row r="752" spans="2:5" ht="14.5" customHeight="1">
      <c r="B752" s="85"/>
      <c r="C752" s="23" t="s">
        <v>184</v>
      </c>
      <c r="D752" s="68">
        <v>3</v>
      </c>
      <c r="E752" s="21">
        <v>5.4298642533899999E-4</v>
      </c>
    </row>
    <row r="753" spans="2:5" ht="14.5" customHeight="1">
      <c r="B753" s="85"/>
      <c r="C753" s="23" t="s">
        <v>185</v>
      </c>
      <c r="D753" s="68">
        <v>6</v>
      </c>
      <c r="E753" s="21">
        <v>1.0859728506790001E-3</v>
      </c>
    </row>
    <row r="754" spans="2:5" ht="14.5" customHeight="1">
      <c r="B754" s="85"/>
      <c r="C754" s="23" t="s">
        <v>197</v>
      </c>
      <c r="D754" s="68">
        <v>3</v>
      </c>
      <c r="E754" s="21">
        <v>5.4298642533899999E-4</v>
      </c>
    </row>
    <row r="755" spans="2:5" ht="14.5" customHeight="1">
      <c r="B755" s="85"/>
      <c r="C755" s="23" t="s">
        <v>186</v>
      </c>
      <c r="D755" s="68">
        <v>7</v>
      </c>
      <c r="E755" s="21">
        <v>1.266968325792E-3</v>
      </c>
    </row>
    <row r="756" spans="2:5" ht="28" customHeight="1">
      <c r="B756" s="85"/>
      <c r="C756" s="23" t="s">
        <v>200</v>
      </c>
      <c r="D756" s="68">
        <v>1</v>
      </c>
      <c r="E756" s="21">
        <v>1.8099547511300001E-4</v>
      </c>
    </row>
    <row r="757" spans="2:5" ht="14.5" customHeight="1">
      <c r="B757" s="85"/>
      <c r="C757" s="23" t="s">
        <v>189</v>
      </c>
      <c r="D757" s="68">
        <v>2</v>
      </c>
      <c r="E757" s="21">
        <v>3.6199095022600001E-4</v>
      </c>
    </row>
    <row r="758" spans="2:5" ht="14.5" customHeight="1">
      <c r="B758" s="85"/>
      <c r="C758" s="23" t="s">
        <v>206</v>
      </c>
      <c r="D758" s="68">
        <v>1</v>
      </c>
      <c r="E758" s="21">
        <v>1.8099547511300001E-4</v>
      </c>
    </row>
    <row r="759" spans="2:5" ht="14.5" customHeight="1">
      <c r="B759" s="85"/>
      <c r="C759" s="23" t="s">
        <v>207</v>
      </c>
      <c r="D759" s="68">
        <v>1</v>
      </c>
      <c r="E759" s="21">
        <v>1.8099547511300001E-4</v>
      </c>
    </row>
    <row r="760" spans="2:5" ht="14.5" customHeight="1">
      <c r="B760" s="85"/>
      <c r="C760" s="23" t="s">
        <v>224</v>
      </c>
      <c r="D760" s="68">
        <v>1</v>
      </c>
      <c r="E760" s="21">
        <v>1.8099547511300001E-4</v>
      </c>
    </row>
    <row r="761" spans="2:5" ht="14.5" customHeight="1">
      <c r="B761" s="85"/>
      <c r="C761" s="23" t="s">
        <v>230</v>
      </c>
      <c r="D761" s="68">
        <v>1</v>
      </c>
      <c r="E761" s="21">
        <v>1.8099547511300001E-4</v>
      </c>
    </row>
    <row r="762" spans="2:5" ht="14.5" customHeight="1">
      <c r="B762" s="85"/>
      <c r="C762" s="23" t="s">
        <v>192</v>
      </c>
      <c r="D762" s="68">
        <v>1</v>
      </c>
      <c r="E762" s="21">
        <v>1.8099547511300001E-4</v>
      </c>
    </row>
    <row r="763" spans="2:5" ht="14.5" customHeight="1">
      <c r="B763" s="85"/>
      <c r="C763" s="23" t="s">
        <v>193</v>
      </c>
      <c r="D763" s="68">
        <v>2</v>
      </c>
      <c r="E763" s="21">
        <v>3.6199095022600001E-4</v>
      </c>
    </row>
    <row r="764" spans="2:5" ht="14.5" customHeight="1">
      <c r="B764" s="85"/>
      <c r="C764" s="23" t="s">
        <v>194</v>
      </c>
      <c r="D764" s="68">
        <v>3</v>
      </c>
      <c r="E764" s="21">
        <v>5.4298642533899999E-4</v>
      </c>
    </row>
    <row r="765" spans="2:5" ht="14.5" customHeight="1">
      <c r="B765" s="85"/>
      <c r="C765" s="23" t="s">
        <v>195</v>
      </c>
      <c r="D765" s="68">
        <v>5</v>
      </c>
      <c r="E765" s="21">
        <v>9.0497737556600002E-4</v>
      </c>
    </row>
    <row r="766" spans="2:5" ht="14.5" customHeight="1">
      <c r="B766" s="85"/>
      <c r="C766" s="23" t="s">
        <v>196</v>
      </c>
      <c r="D766" s="68">
        <v>2</v>
      </c>
      <c r="E766" s="21">
        <v>3.6199095022600001E-4</v>
      </c>
    </row>
    <row r="767" spans="2:5" ht="14.5" customHeight="1">
      <c r="B767" s="85"/>
      <c r="C767" s="23" t="s">
        <v>235</v>
      </c>
      <c r="D767" s="68">
        <v>1</v>
      </c>
      <c r="E767" s="21">
        <v>1.8099547511300001E-4</v>
      </c>
    </row>
    <row r="768" spans="2:5" ht="14.5" customHeight="1">
      <c r="B768" s="85"/>
      <c r="C768" s="23" t="s">
        <v>209</v>
      </c>
      <c r="D768" s="68">
        <v>1</v>
      </c>
      <c r="E768" s="21">
        <v>1.8099547511300001E-4</v>
      </c>
    </row>
    <row r="769" spans="2:5" ht="14.5" customHeight="1">
      <c r="B769" s="85"/>
      <c r="C769" s="23" t="s">
        <v>201</v>
      </c>
      <c r="D769" s="68">
        <v>1</v>
      </c>
      <c r="E769" s="21">
        <v>1.8099547511300001E-4</v>
      </c>
    </row>
    <row r="770" spans="2:5" ht="14.5" customHeight="1">
      <c r="B770" s="85"/>
      <c r="C770" s="23" t="s">
        <v>202</v>
      </c>
      <c r="D770" s="68">
        <v>3</v>
      </c>
      <c r="E770" s="21">
        <v>5.4298642533899999E-4</v>
      </c>
    </row>
    <row r="771" spans="2:5" ht="14.5" customHeight="1">
      <c r="B771" s="85"/>
      <c r="C771" s="23" t="s">
        <v>236</v>
      </c>
      <c r="D771" s="68">
        <v>1</v>
      </c>
      <c r="E771" s="21">
        <v>1.8099547511300001E-4</v>
      </c>
    </row>
    <row r="772" spans="2:5" ht="14.5" customHeight="1">
      <c r="B772" s="85"/>
      <c r="C772" s="23" t="s">
        <v>204</v>
      </c>
      <c r="D772" s="68">
        <v>1</v>
      </c>
      <c r="E772" s="21">
        <v>1.8099547511300001E-4</v>
      </c>
    </row>
    <row r="773" spans="2:5" ht="28" customHeight="1">
      <c r="B773" s="85"/>
      <c r="C773" s="23" t="s">
        <v>205</v>
      </c>
      <c r="D773" s="68">
        <v>1</v>
      </c>
      <c r="E773" s="21">
        <v>1.8099547511300001E-4</v>
      </c>
    </row>
    <row r="774" spans="2:5" ht="14.5" customHeight="1">
      <c r="B774" s="86"/>
      <c r="C774" s="69" t="s">
        <v>29</v>
      </c>
      <c r="D774" s="70">
        <v>54</v>
      </c>
      <c r="E774" s="71">
        <v>9.7737556561090008E-3</v>
      </c>
    </row>
    <row r="775" spans="2:5" ht="14.5" customHeight="1">
      <c r="B775" s="84" t="s">
        <v>65</v>
      </c>
      <c r="C775" s="23" t="s">
        <v>182</v>
      </c>
      <c r="D775" s="68">
        <v>2</v>
      </c>
      <c r="E775" s="21">
        <v>3.6199095022600001E-4</v>
      </c>
    </row>
    <row r="776" spans="2:5" ht="14.5" customHeight="1">
      <c r="B776" s="85"/>
      <c r="C776" s="23" t="s">
        <v>184</v>
      </c>
      <c r="D776" s="68">
        <v>13</v>
      </c>
      <c r="E776" s="21">
        <v>2.352941176471E-3</v>
      </c>
    </row>
    <row r="777" spans="2:5" ht="14.5" customHeight="1">
      <c r="B777" s="85"/>
      <c r="C777" s="23" t="s">
        <v>185</v>
      </c>
      <c r="D777" s="68">
        <v>3</v>
      </c>
      <c r="E777" s="21">
        <v>5.4298642533899999E-4</v>
      </c>
    </row>
    <row r="778" spans="2:5" ht="14.5" customHeight="1">
      <c r="B778" s="85"/>
      <c r="C778" s="23" t="s">
        <v>215</v>
      </c>
      <c r="D778" s="68">
        <v>1</v>
      </c>
      <c r="E778" s="21">
        <v>1.8099547511300001E-4</v>
      </c>
    </row>
    <row r="779" spans="2:5" ht="14.5" customHeight="1">
      <c r="B779" s="85"/>
      <c r="C779" s="23" t="s">
        <v>186</v>
      </c>
      <c r="D779" s="68">
        <v>5</v>
      </c>
      <c r="E779" s="21">
        <v>9.0497737556600002E-4</v>
      </c>
    </row>
    <row r="780" spans="2:5" ht="14.5" customHeight="1">
      <c r="B780" s="85"/>
      <c r="C780" s="23" t="s">
        <v>187</v>
      </c>
      <c r="D780" s="68">
        <v>1</v>
      </c>
      <c r="E780" s="21">
        <v>1.8099547511300001E-4</v>
      </c>
    </row>
    <row r="781" spans="2:5" ht="28" customHeight="1">
      <c r="B781" s="85"/>
      <c r="C781" s="23" t="s">
        <v>200</v>
      </c>
      <c r="D781" s="68">
        <v>2</v>
      </c>
      <c r="E781" s="21">
        <v>3.6199095022600001E-4</v>
      </c>
    </row>
    <row r="782" spans="2:5" ht="14.5" customHeight="1">
      <c r="B782" s="85"/>
      <c r="C782" s="23" t="s">
        <v>189</v>
      </c>
      <c r="D782" s="68">
        <v>2</v>
      </c>
      <c r="E782" s="21">
        <v>3.6199095022600001E-4</v>
      </c>
    </row>
    <row r="783" spans="2:5" ht="14.5" customHeight="1">
      <c r="B783" s="85"/>
      <c r="C783" s="23" t="s">
        <v>221</v>
      </c>
      <c r="D783" s="68">
        <v>3</v>
      </c>
      <c r="E783" s="21">
        <v>5.4298642533899999E-4</v>
      </c>
    </row>
    <row r="784" spans="2:5" ht="14.5" customHeight="1">
      <c r="B784" s="85"/>
      <c r="C784" s="23" t="s">
        <v>190</v>
      </c>
      <c r="D784" s="68">
        <v>6</v>
      </c>
      <c r="E784" s="21">
        <v>1.0859728506790001E-3</v>
      </c>
    </row>
    <row r="785" spans="2:5" ht="14.5" customHeight="1">
      <c r="B785" s="85"/>
      <c r="C785" s="23" t="s">
        <v>191</v>
      </c>
      <c r="D785" s="68">
        <v>2</v>
      </c>
      <c r="E785" s="21">
        <v>3.6199095022600001E-4</v>
      </c>
    </row>
    <row r="786" spans="2:5" ht="14.5" customHeight="1">
      <c r="B786" s="85"/>
      <c r="C786" s="23" t="s">
        <v>233</v>
      </c>
      <c r="D786" s="68">
        <v>1</v>
      </c>
      <c r="E786" s="21">
        <v>1.8099547511300001E-4</v>
      </c>
    </row>
    <row r="787" spans="2:5" ht="14.5" customHeight="1">
      <c r="B787" s="85"/>
      <c r="C787" s="23" t="s">
        <v>193</v>
      </c>
      <c r="D787" s="68">
        <v>1</v>
      </c>
      <c r="E787" s="21">
        <v>1.8099547511300001E-4</v>
      </c>
    </row>
    <row r="788" spans="2:5" ht="14.5" customHeight="1">
      <c r="B788" s="85"/>
      <c r="C788" s="23" t="s">
        <v>195</v>
      </c>
      <c r="D788" s="68">
        <v>9</v>
      </c>
      <c r="E788" s="21">
        <v>1.628959276018E-3</v>
      </c>
    </row>
    <row r="789" spans="2:5" ht="14.5" customHeight="1">
      <c r="B789" s="85"/>
      <c r="C789" s="23" t="s">
        <v>196</v>
      </c>
      <c r="D789" s="68">
        <v>2</v>
      </c>
      <c r="E789" s="21">
        <v>3.6199095022600001E-4</v>
      </c>
    </row>
    <row r="790" spans="2:5" ht="14.5" customHeight="1">
      <c r="B790" s="85"/>
      <c r="C790" s="23" t="s">
        <v>201</v>
      </c>
      <c r="D790" s="68">
        <v>8</v>
      </c>
      <c r="E790" s="21">
        <v>1.4479638009049999E-3</v>
      </c>
    </row>
    <row r="791" spans="2:5" ht="14.5" customHeight="1">
      <c r="B791" s="85"/>
      <c r="C791" s="23" t="s">
        <v>204</v>
      </c>
      <c r="D791" s="68">
        <v>1</v>
      </c>
      <c r="E791" s="21">
        <v>1.8099547511300001E-4</v>
      </c>
    </row>
    <row r="792" spans="2:5" ht="14.5" customHeight="1">
      <c r="B792" s="86"/>
      <c r="C792" s="69" t="s">
        <v>29</v>
      </c>
      <c r="D792" s="70">
        <v>62</v>
      </c>
      <c r="E792" s="71">
        <v>1.1221719457013999E-2</v>
      </c>
    </row>
    <row r="793" spans="2:5" ht="14.5" customHeight="1">
      <c r="B793" s="84" t="s">
        <v>56</v>
      </c>
      <c r="C793" s="23" t="s">
        <v>182</v>
      </c>
      <c r="D793" s="68">
        <v>25</v>
      </c>
      <c r="E793" s="21">
        <v>4.5248868778280001E-3</v>
      </c>
    </row>
    <row r="794" spans="2:5" ht="14.5" customHeight="1">
      <c r="B794" s="85"/>
      <c r="C794" s="23" t="s">
        <v>213</v>
      </c>
      <c r="D794" s="68">
        <v>1</v>
      </c>
      <c r="E794" s="21">
        <v>1.8099547511300001E-4</v>
      </c>
    </row>
    <row r="795" spans="2:5" ht="14.5" customHeight="1">
      <c r="B795" s="85"/>
      <c r="C795" s="23" t="s">
        <v>184</v>
      </c>
      <c r="D795" s="68">
        <v>5</v>
      </c>
      <c r="E795" s="21">
        <v>9.0497737556600002E-4</v>
      </c>
    </row>
    <row r="796" spans="2:5" ht="14.5" customHeight="1">
      <c r="B796" s="85"/>
      <c r="C796" s="23" t="s">
        <v>185</v>
      </c>
      <c r="D796" s="68">
        <v>3</v>
      </c>
      <c r="E796" s="21">
        <v>5.4298642533899999E-4</v>
      </c>
    </row>
    <row r="797" spans="2:5" ht="14.5" customHeight="1">
      <c r="B797" s="85"/>
      <c r="C797" s="23" t="s">
        <v>197</v>
      </c>
      <c r="D797" s="68">
        <v>1</v>
      </c>
      <c r="E797" s="21">
        <v>1.8099547511300001E-4</v>
      </c>
    </row>
    <row r="798" spans="2:5" ht="14.5" customHeight="1">
      <c r="B798" s="85"/>
      <c r="C798" s="23" t="s">
        <v>198</v>
      </c>
      <c r="D798" s="68">
        <v>4</v>
      </c>
      <c r="E798" s="21">
        <v>7.2398190045200002E-4</v>
      </c>
    </row>
    <row r="799" spans="2:5" ht="14.5" customHeight="1">
      <c r="B799" s="85"/>
      <c r="C799" s="23" t="s">
        <v>186</v>
      </c>
      <c r="D799" s="68">
        <v>1</v>
      </c>
      <c r="E799" s="21">
        <v>1.8099547511300001E-4</v>
      </c>
    </row>
    <row r="800" spans="2:5" ht="14.5" customHeight="1">
      <c r="B800" s="85"/>
      <c r="C800" s="23" t="s">
        <v>218</v>
      </c>
      <c r="D800" s="68">
        <v>49</v>
      </c>
      <c r="E800" s="21">
        <v>8.8687782805429993E-3</v>
      </c>
    </row>
    <row r="801" spans="2:5" ht="14.5" customHeight="1">
      <c r="B801" s="85"/>
      <c r="C801" s="23" t="s">
        <v>187</v>
      </c>
      <c r="D801" s="68">
        <v>10</v>
      </c>
      <c r="E801" s="21">
        <v>1.809954751131E-3</v>
      </c>
    </row>
    <row r="802" spans="2:5" ht="14.5" customHeight="1">
      <c r="B802" s="85"/>
      <c r="C802" s="23" t="s">
        <v>199</v>
      </c>
      <c r="D802" s="68">
        <v>1</v>
      </c>
      <c r="E802" s="21">
        <v>1.8099547511300001E-4</v>
      </c>
    </row>
    <row r="803" spans="2:5" ht="28" customHeight="1">
      <c r="B803" s="85"/>
      <c r="C803" s="23" t="s">
        <v>200</v>
      </c>
      <c r="D803" s="68">
        <v>1</v>
      </c>
      <c r="E803" s="21">
        <v>1.8099547511300001E-4</v>
      </c>
    </row>
    <row r="804" spans="2:5" ht="14.5" customHeight="1">
      <c r="B804" s="85"/>
      <c r="C804" s="23" t="s">
        <v>220</v>
      </c>
      <c r="D804" s="68">
        <v>1</v>
      </c>
      <c r="E804" s="21">
        <v>1.8099547511300001E-4</v>
      </c>
    </row>
    <row r="805" spans="2:5" ht="14.5" customHeight="1">
      <c r="B805" s="85"/>
      <c r="C805" s="23" t="s">
        <v>206</v>
      </c>
      <c r="D805" s="68">
        <v>3</v>
      </c>
      <c r="E805" s="21">
        <v>5.4298642533899999E-4</v>
      </c>
    </row>
    <row r="806" spans="2:5" ht="14.5" customHeight="1">
      <c r="B806" s="85"/>
      <c r="C806" s="23" t="s">
        <v>221</v>
      </c>
      <c r="D806" s="68">
        <v>1</v>
      </c>
      <c r="E806" s="21">
        <v>1.8099547511300001E-4</v>
      </c>
    </row>
    <row r="807" spans="2:5" ht="14.5" customHeight="1">
      <c r="B807" s="85"/>
      <c r="C807" s="23" t="s">
        <v>222</v>
      </c>
      <c r="D807" s="68">
        <v>1</v>
      </c>
      <c r="E807" s="21">
        <v>1.8099547511300001E-4</v>
      </c>
    </row>
    <row r="808" spans="2:5" ht="14.5" customHeight="1">
      <c r="B808" s="85"/>
      <c r="C808" s="23" t="s">
        <v>226</v>
      </c>
      <c r="D808" s="68">
        <v>1</v>
      </c>
      <c r="E808" s="21">
        <v>1.8099547511300001E-4</v>
      </c>
    </row>
    <row r="809" spans="2:5" ht="14.5" customHeight="1">
      <c r="B809" s="85"/>
      <c r="C809" s="23" t="s">
        <v>227</v>
      </c>
      <c r="D809" s="68">
        <v>1</v>
      </c>
      <c r="E809" s="21">
        <v>1.8099547511300001E-4</v>
      </c>
    </row>
    <row r="810" spans="2:5" ht="14.5" customHeight="1">
      <c r="B810" s="85"/>
      <c r="C810" s="23" t="s">
        <v>191</v>
      </c>
      <c r="D810" s="68">
        <v>1</v>
      </c>
      <c r="E810" s="21">
        <v>1.8099547511300001E-4</v>
      </c>
    </row>
    <row r="811" spans="2:5" ht="14.5" customHeight="1">
      <c r="B811" s="85"/>
      <c r="C811" s="23" t="s">
        <v>233</v>
      </c>
      <c r="D811" s="68">
        <v>3</v>
      </c>
      <c r="E811" s="21">
        <v>5.4298642533899999E-4</v>
      </c>
    </row>
    <row r="812" spans="2:5" ht="14.5" customHeight="1">
      <c r="B812" s="85"/>
      <c r="C812" s="23" t="s">
        <v>193</v>
      </c>
      <c r="D812" s="68">
        <v>1</v>
      </c>
      <c r="E812" s="21">
        <v>1.8099547511300001E-4</v>
      </c>
    </row>
    <row r="813" spans="2:5" ht="14.5" customHeight="1">
      <c r="B813" s="85"/>
      <c r="C813" s="23" t="s">
        <v>194</v>
      </c>
      <c r="D813" s="68">
        <v>2</v>
      </c>
      <c r="E813" s="21">
        <v>3.6199095022600001E-4</v>
      </c>
    </row>
    <row r="814" spans="2:5" ht="14.5" customHeight="1">
      <c r="B814" s="85"/>
      <c r="C814" s="23" t="s">
        <v>234</v>
      </c>
      <c r="D814" s="68">
        <v>1</v>
      </c>
      <c r="E814" s="21">
        <v>1.8099547511300001E-4</v>
      </c>
    </row>
    <row r="815" spans="2:5" ht="14.5" customHeight="1">
      <c r="B815" s="85"/>
      <c r="C815" s="23" t="s">
        <v>195</v>
      </c>
      <c r="D815" s="68">
        <v>13</v>
      </c>
      <c r="E815" s="21">
        <v>2.352941176471E-3</v>
      </c>
    </row>
    <row r="816" spans="2:5" ht="14.5" customHeight="1">
      <c r="B816" s="85"/>
      <c r="C816" s="23" t="s">
        <v>196</v>
      </c>
      <c r="D816" s="68">
        <v>4</v>
      </c>
      <c r="E816" s="21">
        <v>7.2398190045200002E-4</v>
      </c>
    </row>
    <row r="817" spans="2:5" ht="14.5" customHeight="1">
      <c r="B817" s="85"/>
      <c r="C817" s="23" t="s">
        <v>235</v>
      </c>
      <c r="D817" s="68">
        <v>1</v>
      </c>
      <c r="E817" s="21">
        <v>1.8099547511300001E-4</v>
      </c>
    </row>
    <row r="818" spans="2:5" ht="14.5" customHeight="1">
      <c r="B818" s="85"/>
      <c r="C818" s="23" t="s">
        <v>201</v>
      </c>
      <c r="D818" s="68">
        <v>3</v>
      </c>
      <c r="E818" s="21">
        <v>5.4298642533899999E-4</v>
      </c>
    </row>
    <row r="819" spans="2:5" ht="14.5" customHeight="1">
      <c r="B819" s="85"/>
      <c r="C819" s="23" t="s">
        <v>202</v>
      </c>
      <c r="D819" s="68">
        <v>10</v>
      </c>
      <c r="E819" s="21">
        <v>1.809954751131E-3</v>
      </c>
    </row>
    <row r="820" spans="2:5" ht="14.5" customHeight="1">
      <c r="B820" s="85"/>
      <c r="C820" s="23" t="s">
        <v>236</v>
      </c>
      <c r="D820" s="68">
        <v>1</v>
      </c>
      <c r="E820" s="21">
        <v>1.8099547511300001E-4</v>
      </c>
    </row>
    <row r="821" spans="2:5" ht="14.5" customHeight="1">
      <c r="B821" s="86"/>
      <c r="C821" s="69" t="s">
        <v>29</v>
      </c>
      <c r="D821" s="70">
        <v>149</v>
      </c>
      <c r="E821" s="71">
        <v>2.6968325791855E-2</v>
      </c>
    </row>
    <row r="822" spans="2:5" ht="14.5" customHeight="1">
      <c r="B822" s="84" t="s">
        <v>84</v>
      </c>
      <c r="C822" s="23" t="s">
        <v>182</v>
      </c>
      <c r="D822" s="68">
        <v>2</v>
      </c>
      <c r="E822" s="21">
        <v>3.6199095022600001E-4</v>
      </c>
    </row>
    <row r="823" spans="2:5" ht="14.5" customHeight="1">
      <c r="B823" s="85"/>
      <c r="C823" s="23" t="s">
        <v>184</v>
      </c>
      <c r="D823" s="68">
        <v>7</v>
      </c>
      <c r="E823" s="21">
        <v>1.266968325792E-3</v>
      </c>
    </row>
    <row r="824" spans="2:5" ht="14.5" customHeight="1">
      <c r="B824" s="85"/>
      <c r="C824" s="23" t="s">
        <v>185</v>
      </c>
      <c r="D824" s="68">
        <v>2</v>
      </c>
      <c r="E824" s="21">
        <v>3.6199095022600001E-4</v>
      </c>
    </row>
    <row r="825" spans="2:5" ht="14.5" customHeight="1">
      <c r="B825" s="85"/>
      <c r="C825" s="23" t="s">
        <v>187</v>
      </c>
      <c r="D825" s="68">
        <v>1</v>
      </c>
      <c r="E825" s="21">
        <v>1.8099547511300001E-4</v>
      </c>
    </row>
    <row r="826" spans="2:5" ht="14.5" customHeight="1">
      <c r="B826" s="85"/>
      <c r="C826" s="23" t="s">
        <v>207</v>
      </c>
      <c r="D826" s="68">
        <v>1</v>
      </c>
      <c r="E826" s="21">
        <v>1.8099547511300001E-4</v>
      </c>
    </row>
    <row r="827" spans="2:5" ht="14.5" customHeight="1">
      <c r="B827" s="85"/>
      <c r="C827" s="23" t="s">
        <v>193</v>
      </c>
      <c r="D827" s="68">
        <v>1</v>
      </c>
      <c r="E827" s="21">
        <v>1.8099547511300001E-4</v>
      </c>
    </row>
    <row r="828" spans="2:5" ht="14.5" customHeight="1">
      <c r="B828" s="85"/>
      <c r="C828" s="23" t="s">
        <v>195</v>
      </c>
      <c r="D828" s="68">
        <v>1</v>
      </c>
      <c r="E828" s="21">
        <v>1.8099547511300001E-4</v>
      </c>
    </row>
    <row r="829" spans="2:5" ht="14.5" customHeight="1">
      <c r="B829" s="85"/>
      <c r="C829" s="23" t="s">
        <v>196</v>
      </c>
      <c r="D829" s="68">
        <v>2</v>
      </c>
      <c r="E829" s="21">
        <v>3.6199095022600001E-4</v>
      </c>
    </row>
    <row r="830" spans="2:5" ht="14.5" customHeight="1">
      <c r="B830" s="85"/>
      <c r="C830" s="23" t="s">
        <v>201</v>
      </c>
      <c r="D830" s="68">
        <v>1</v>
      </c>
      <c r="E830" s="21">
        <v>1.8099547511300001E-4</v>
      </c>
    </row>
    <row r="831" spans="2:5" ht="28" customHeight="1">
      <c r="B831" s="85"/>
      <c r="C831" s="23" t="s">
        <v>205</v>
      </c>
      <c r="D831" s="68">
        <v>1</v>
      </c>
      <c r="E831" s="21">
        <v>1.8099547511300001E-4</v>
      </c>
    </row>
    <row r="832" spans="2:5" ht="14.5" customHeight="1">
      <c r="B832" s="86"/>
      <c r="C832" s="69" t="s">
        <v>29</v>
      </c>
      <c r="D832" s="70">
        <v>19</v>
      </c>
      <c r="E832" s="71">
        <v>3.438914027149E-3</v>
      </c>
    </row>
    <row r="833" spans="2:5" ht="14.5" customHeight="1">
      <c r="B833" s="84" t="s">
        <v>63</v>
      </c>
      <c r="C833" s="23" t="s">
        <v>210</v>
      </c>
      <c r="D833" s="68">
        <v>1</v>
      </c>
      <c r="E833" s="21">
        <v>1.8099547511300001E-4</v>
      </c>
    </row>
    <row r="834" spans="2:5" ht="14.5" customHeight="1">
      <c r="B834" s="85"/>
      <c r="C834" s="23" t="s">
        <v>211</v>
      </c>
      <c r="D834" s="68">
        <v>2</v>
      </c>
      <c r="E834" s="21">
        <v>3.6199095022600001E-4</v>
      </c>
    </row>
    <row r="835" spans="2:5" ht="14.5" customHeight="1">
      <c r="B835" s="85"/>
      <c r="C835" s="23" t="s">
        <v>182</v>
      </c>
      <c r="D835" s="68">
        <v>4</v>
      </c>
      <c r="E835" s="21">
        <v>7.2398190045200002E-4</v>
      </c>
    </row>
    <row r="836" spans="2:5" ht="14.5" customHeight="1">
      <c r="B836" s="85"/>
      <c r="C836" s="23" t="s">
        <v>183</v>
      </c>
      <c r="D836" s="68">
        <v>1</v>
      </c>
      <c r="E836" s="21">
        <v>1.8099547511300001E-4</v>
      </c>
    </row>
    <row r="837" spans="2:5" ht="14.5" customHeight="1">
      <c r="B837" s="85"/>
      <c r="C837" s="23" t="s">
        <v>184</v>
      </c>
      <c r="D837" s="68">
        <v>1</v>
      </c>
      <c r="E837" s="21">
        <v>1.8099547511300001E-4</v>
      </c>
    </row>
    <row r="838" spans="2:5" ht="14.5" customHeight="1">
      <c r="B838" s="85"/>
      <c r="C838" s="23" t="s">
        <v>185</v>
      </c>
      <c r="D838" s="68">
        <v>3</v>
      </c>
      <c r="E838" s="21">
        <v>5.4298642533899999E-4</v>
      </c>
    </row>
    <row r="839" spans="2:5" ht="14.5" customHeight="1">
      <c r="B839" s="85"/>
      <c r="C839" s="23" t="s">
        <v>197</v>
      </c>
      <c r="D839" s="68">
        <v>2</v>
      </c>
      <c r="E839" s="21">
        <v>3.6199095022600001E-4</v>
      </c>
    </row>
    <row r="840" spans="2:5" ht="14.5" customHeight="1">
      <c r="B840" s="85"/>
      <c r="C840" s="23" t="s">
        <v>186</v>
      </c>
      <c r="D840" s="68">
        <v>6</v>
      </c>
      <c r="E840" s="21">
        <v>1.0859728506790001E-3</v>
      </c>
    </row>
    <row r="841" spans="2:5" ht="14.5" customHeight="1">
      <c r="B841" s="85"/>
      <c r="C841" s="23" t="s">
        <v>187</v>
      </c>
      <c r="D841" s="68">
        <v>2</v>
      </c>
      <c r="E841" s="21">
        <v>3.6199095022600001E-4</v>
      </c>
    </row>
    <row r="842" spans="2:5" ht="14.5" customHeight="1">
      <c r="B842" s="85"/>
      <c r="C842" s="23" t="s">
        <v>219</v>
      </c>
      <c r="D842" s="68">
        <v>1</v>
      </c>
      <c r="E842" s="21">
        <v>1.8099547511300001E-4</v>
      </c>
    </row>
    <row r="843" spans="2:5" ht="14.5" customHeight="1">
      <c r="B843" s="85"/>
      <c r="C843" s="23" t="s">
        <v>199</v>
      </c>
      <c r="D843" s="68">
        <v>1</v>
      </c>
      <c r="E843" s="21">
        <v>1.8099547511300001E-4</v>
      </c>
    </row>
    <row r="844" spans="2:5" ht="14.5" customHeight="1">
      <c r="B844" s="85"/>
      <c r="C844" s="23" t="s">
        <v>189</v>
      </c>
      <c r="D844" s="68">
        <v>1</v>
      </c>
      <c r="E844" s="21">
        <v>1.8099547511300001E-4</v>
      </c>
    </row>
    <row r="845" spans="2:5" ht="14.5" customHeight="1">
      <c r="B845" s="85"/>
      <c r="C845" s="23" t="s">
        <v>206</v>
      </c>
      <c r="D845" s="68">
        <v>3</v>
      </c>
      <c r="E845" s="21">
        <v>5.4298642533899999E-4</v>
      </c>
    </row>
    <row r="846" spans="2:5" ht="14.5" customHeight="1">
      <c r="B846" s="85"/>
      <c r="C846" s="23" t="s">
        <v>223</v>
      </c>
      <c r="D846" s="68">
        <v>1</v>
      </c>
      <c r="E846" s="21">
        <v>1.8099547511300001E-4</v>
      </c>
    </row>
    <row r="847" spans="2:5" ht="14.5" customHeight="1">
      <c r="B847" s="85"/>
      <c r="C847" s="23" t="s">
        <v>190</v>
      </c>
      <c r="D847" s="68">
        <v>1</v>
      </c>
      <c r="E847" s="21">
        <v>1.8099547511300001E-4</v>
      </c>
    </row>
    <row r="848" spans="2:5" ht="14.5" customHeight="1">
      <c r="B848" s="85"/>
      <c r="C848" s="23" t="s">
        <v>191</v>
      </c>
      <c r="D848" s="68">
        <v>4</v>
      </c>
      <c r="E848" s="21">
        <v>7.2398190045200002E-4</v>
      </c>
    </row>
    <row r="849" spans="2:5" ht="14.5" customHeight="1">
      <c r="B849" s="85"/>
      <c r="C849" s="23" t="s">
        <v>192</v>
      </c>
      <c r="D849" s="68">
        <v>1</v>
      </c>
      <c r="E849" s="21">
        <v>1.8099547511300001E-4</v>
      </c>
    </row>
    <row r="850" spans="2:5" ht="14.5" customHeight="1">
      <c r="B850" s="85"/>
      <c r="C850" s="23" t="s">
        <v>193</v>
      </c>
      <c r="D850" s="68">
        <v>2</v>
      </c>
      <c r="E850" s="21">
        <v>3.6199095022600001E-4</v>
      </c>
    </row>
    <row r="851" spans="2:5" ht="14.5" customHeight="1">
      <c r="B851" s="85"/>
      <c r="C851" s="23" t="s">
        <v>234</v>
      </c>
      <c r="D851" s="68">
        <v>1</v>
      </c>
      <c r="E851" s="21">
        <v>1.8099547511300001E-4</v>
      </c>
    </row>
    <row r="852" spans="2:5" ht="14.5" customHeight="1">
      <c r="B852" s="85"/>
      <c r="C852" s="23" t="s">
        <v>195</v>
      </c>
      <c r="D852" s="68">
        <v>16</v>
      </c>
      <c r="E852" s="21">
        <v>2.8959276018099998E-3</v>
      </c>
    </row>
    <row r="853" spans="2:5" ht="14.5" customHeight="1">
      <c r="B853" s="85"/>
      <c r="C853" s="23" t="s">
        <v>196</v>
      </c>
      <c r="D853" s="68">
        <v>5</v>
      </c>
      <c r="E853" s="21">
        <v>9.0497737556600002E-4</v>
      </c>
    </row>
    <row r="854" spans="2:5" ht="14.5" customHeight="1">
      <c r="B854" s="85"/>
      <c r="C854" s="23" t="s">
        <v>209</v>
      </c>
      <c r="D854" s="68">
        <v>2</v>
      </c>
      <c r="E854" s="21">
        <v>3.6199095022600001E-4</v>
      </c>
    </row>
    <row r="855" spans="2:5" ht="14.5" customHeight="1">
      <c r="B855" s="85"/>
      <c r="C855" s="23" t="s">
        <v>204</v>
      </c>
      <c r="D855" s="68">
        <v>5</v>
      </c>
      <c r="E855" s="21">
        <v>9.0497737556600002E-4</v>
      </c>
    </row>
    <row r="856" spans="2:5" ht="14.5" customHeight="1">
      <c r="B856" s="86"/>
      <c r="C856" s="69" t="s">
        <v>29</v>
      </c>
      <c r="D856" s="70">
        <v>66</v>
      </c>
      <c r="E856" s="71">
        <v>1.1945701357466001E-2</v>
      </c>
    </row>
    <row r="857" spans="2:5" ht="14.5" customHeight="1">
      <c r="B857" s="84" t="s">
        <v>62</v>
      </c>
      <c r="C857" s="23" t="s">
        <v>182</v>
      </c>
      <c r="D857" s="68">
        <v>3</v>
      </c>
      <c r="E857" s="21">
        <v>5.4298642533899999E-4</v>
      </c>
    </row>
    <row r="858" spans="2:5" ht="14.5" customHeight="1">
      <c r="B858" s="85"/>
      <c r="C858" s="23" t="s">
        <v>184</v>
      </c>
      <c r="D858" s="68">
        <v>5</v>
      </c>
      <c r="E858" s="21">
        <v>9.0497737556600002E-4</v>
      </c>
    </row>
    <row r="859" spans="2:5" ht="14.5" customHeight="1">
      <c r="B859" s="85"/>
      <c r="C859" s="23" t="s">
        <v>185</v>
      </c>
      <c r="D859" s="68">
        <v>1</v>
      </c>
      <c r="E859" s="21">
        <v>1.8099547511300001E-4</v>
      </c>
    </row>
    <row r="860" spans="2:5" ht="14.5" customHeight="1">
      <c r="B860" s="85"/>
      <c r="C860" s="23" t="s">
        <v>186</v>
      </c>
      <c r="D860" s="68">
        <v>2</v>
      </c>
      <c r="E860" s="21">
        <v>3.6199095022600001E-4</v>
      </c>
    </row>
    <row r="861" spans="2:5" ht="14.5" customHeight="1">
      <c r="B861" s="85"/>
      <c r="C861" s="23" t="s">
        <v>218</v>
      </c>
      <c r="D861" s="68">
        <v>1</v>
      </c>
      <c r="E861" s="21">
        <v>1.8099547511300001E-4</v>
      </c>
    </row>
    <row r="862" spans="2:5" ht="14.5" customHeight="1">
      <c r="B862" s="85"/>
      <c r="C862" s="23" t="s">
        <v>219</v>
      </c>
      <c r="D862" s="68">
        <v>1</v>
      </c>
      <c r="E862" s="21">
        <v>1.8099547511300001E-4</v>
      </c>
    </row>
    <row r="863" spans="2:5" ht="14.5" customHeight="1">
      <c r="B863" s="85"/>
      <c r="C863" s="23" t="s">
        <v>189</v>
      </c>
      <c r="D863" s="68">
        <v>3</v>
      </c>
      <c r="E863" s="21">
        <v>5.4298642533899999E-4</v>
      </c>
    </row>
    <row r="864" spans="2:5" ht="14.5" customHeight="1">
      <c r="B864" s="85"/>
      <c r="C864" s="23" t="s">
        <v>221</v>
      </c>
      <c r="D864" s="68">
        <v>1</v>
      </c>
      <c r="E864" s="21">
        <v>1.8099547511300001E-4</v>
      </c>
    </row>
    <row r="865" spans="2:5" ht="14.5" customHeight="1">
      <c r="B865" s="85"/>
      <c r="C865" s="23" t="s">
        <v>232</v>
      </c>
      <c r="D865" s="68">
        <v>2</v>
      </c>
      <c r="E865" s="21">
        <v>3.6199095022600001E-4</v>
      </c>
    </row>
    <row r="866" spans="2:5" ht="14.5" customHeight="1">
      <c r="B866" s="85"/>
      <c r="C866" s="23" t="s">
        <v>233</v>
      </c>
      <c r="D866" s="68">
        <v>1</v>
      </c>
      <c r="E866" s="21">
        <v>1.8099547511300001E-4</v>
      </c>
    </row>
    <row r="867" spans="2:5" ht="14.5" customHeight="1">
      <c r="B867" s="85"/>
      <c r="C867" s="23" t="s">
        <v>193</v>
      </c>
      <c r="D867" s="68">
        <v>2</v>
      </c>
      <c r="E867" s="21">
        <v>3.6199095022600001E-4</v>
      </c>
    </row>
    <row r="868" spans="2:5" ht="14.5" customHeight="1">
      <c r="B868" s="85"/>
      <c r="C868" s="23" t="s">
        <v>194</v>
      </c>
      <c r="D868" s="68">
        <v>2</v>
      </c>
      <c r="E868" s="21">
        <v>3.6199095022600001E-4</v>
      </c>
    </row>
    <row r="869" spans="2:5" ht="14.5" customHeight="1">
      <c r="B869" s="85"/>
      <c r="C869" s="23" t="s">
        <v>195</v>
      </c>
      <c r="D869" s="68">
        <v>3</v>
      </c>
      <c r="E869" s="21">
        <v>5.4298642533899999E-4</v>
      </c>
    </row>
    <row r="870" spans="2:5" ht="14.5" customHeight="1">
      <c r="B870" s="85"/>
      <c r="C870" s="23" t="s">
        <v>196</v>
      </c>
      <c r="D870" s="68">
        <v>1</v>
      </c>
      <c r="E870" s="21">
        <v>1.8099547511300001E-4</v>
      </c>
    </row>
    <row r="871" spans="2:5" ht="14.5" customHeight="1">
      <c r="B871" s="85"/>
      <c r="C871" s="23" t="s">
        <v>208</v>
      </c>
      <c r="D871" s="68">
        <v>2</v>
      </c>
      <c r="E871" s="21">
        <v>3.6199095022600001E-4</v>
      </c>
    </row>
    <row r="872" spans="2:5" ht="14.5" customHeight="1">
      <c r="B872" s="85"/>
      <c r="C872" s="23" t="s">
        <v>201</v>
      </c>
      <c r="D872" s="68">
        <v>6</v>
      </c>
      <c r="E872" s="21">
        <v>1.0859728506790001E-3</v>
      </c>
    </row>
    <row r="873" spans="2:5" ht="28" customHeight="1">
      <c r="B873" s="85"/>
      <c r="C873" s="23" t="s">
        <v>205</v>
      </c>
      <c r="D873" s="68">
        <v>35</v>
      </c>
      <c r="E873" s="21">
        <v>6.3348416289590002E-3</v>
      </c>
    </row>
    <row r="874" spans="2:5" ht="14.5" customHeight="1">
      <c r="B874" s="86"/>
      <c r="C874" s="69" t="s">
        <v>29</v>
      </c>
      <c r="D874" s="70">
        <v>71</v>
      </c>
      <c r="E874" s="71">
        <v>1.2850678733032E-2</v>
      </c>
    </row>
    <row r="875" spans="2:5" ht="14.5" customHeight="1">
      <c r="B875" s="84" t="s">
        <v>61</v>
      </c>
      <c r="C875" s="23" t="s">
        <v>212</v>
      </c>
      <c r="D875" s="68">
        <v>1</v>
      </c>
      <c r="E875" s="21">
        <v>1.8099547511300001E-4</v>
      </c>
    </row>
    <row r="876" spans="2:5" ht="14.5" customHeight="1">
      <c r="B876" s="85"/>
      <c r="C876" s="23" t="s">
        <v>182</v>
      </c>
      <c r="D876" s="68">
        <v>6</v>
      </c>
      <c r="E876" s="21">
        <v>1.0859728506790001E-3</v>
      </c>
    </row>
    <row r="877" spans="2:5" ht="14.5" customHeight="1">
      <c r="B877" s="85"/>
      <c r="C877" s="23" t="s">
        <v>184</v>
      </c>
      <c r="D877" s="68">
        <v>3</v>
      </c>
      <c r="E877" s="21">
        <v>5.4298642533899999E-4</v>
      </c>
    </row>
    <row r="878" spans="2:5" ht="14.5" customHeight="1">
      <c r="B878" s="85"/>
      <c r="C878" s="23" t="s">
        <v>185</v>
      </c>
      <c r="D878" s="68">
        <v>8</v>
      </c>
      <c r="E878" s="21">
        <v>1.4479638009049999E-3</v>
      </c>
    </row>
    <row r="879" spans="2:5" ht="14.5" customHeight="1">
      <c r="B879" s="85"/>
      <c r="C879" s="23" t="s">
        <v>197</v>
      </c>
      <c r="D879" s="68">
        <v>2</v>
      </c>
      <c r="E879" s="21">
        <v>3.6199095022600001E-4</v>
      </c>
    </row>
    <row r="880" spans="2:5" ht="14.5" customHeight="1">
      <c r="B880" s="85"/>
      <c r="C880" s="23" t="s">
        <v>217</v>
      </c>
      <c r="D880" s="68">
        <v>1</v>
      </c>
      <c r="E880" s="21">
        <v>1.8099547511300001E-4</v>
      </c>
    </row>
    <row r="881" spans="2:5" ht="14.5" customHeight="1">
      <c r="B881" s="85"/>
      <c r="C881" s="23" t="s">
        <v>186</v>
      </c>
      <c r="D881" s="68">
        <v>4</v>
      </c>
      <c r="E881" s="21">
        <v>7.2398190045200002E-4</v>
      </c>
    </row>
    <row r="882" spans="2:5" ht="14.5" customHeight="1">
      <c r="B882" s="85"/>
      <c r="C882" s="23" t="s">
        <v>187</v>
      </c>
      <c r="D882" s="68">
        <v>5</v>
      </c>
      <c r="E882" s="21">
        <v>9.0497737556600002E-4</v>
      </c>
    </row>
    <row r="883" spans="2:5" ht="14.5" customHeight="1">
      <c r="B883" s="85"/>
      <c r="C883" s="23" t="s">
        <v>188</v>
      </c>
      <c r="D883" s="68">
        <v>1</v>
      </c>
      <c r="E883" s="21">
        <v>1.8099547511300001E-4</v>
      </c>
    </row>
    <row r="884" spans="2:5" ht="28" customHeight="1">
      <c r="B884" s="85"/>
      <c r="C884" s="23" t="s">
        <v>200</v>
      </c>
      <c r="D884" s="68">
        <v>1</v>
      </c>
      <c r="E884" s="21">
        <v>1.8099547511300001E-4</v>
      </c>
    </row>
    <row r="885" spans="2:5" ht="14.5" customHeight="1">
      <c r="B885" s="85"/>
      <c r="C885" s="23" t="s">
        <v>189</v>
      </c>
      <c r="D885" s="68">
        <v>2</v>
      </c>
      <c r="E885" s="21">
        <v>3.6199095022600001E-4</v>
      </c>
    </row>
    <row r="886" spans="2:5" ht="14.5" customHeight="1">
      <c r="B886" s="85"/>
      <c r="C886" s="23" t="s">
        <v>207</v>
      </c>
      <c r="D886" s="68">
        <v>1</v>
      </c>
      <c r="E886" s="21">
        <v>1.8099547511300001E-4</v>
      </c>
    </row>
    <row r="887" spans="2:5" ht="14.5" customHeight="1">
      <c r="B887" s="85"/>
      <c r="C887" s="23" t="s">
        <v>222</v>
      </c>
      <c r="D887" s="68">
        <v>2</v>
      </c>
      <c r="E887" s="21">
        <v>3.6199095022600001E-4</v>
      </c>
    </row>
    <row r="888" spans="2:5" ht="14.5" customHeight="1">
      <c r="B888" s="85"/>
      <c r="C888" s="23" t="s">
        <v>231</v>
      </c>
      <c r="D888" s="68">
        <v>1</v>
      </c>
      <c r="E888" s="21">
        <v>1.8099547511300001E-4</v>
      </c>
    </row>
    <row r="889" spans="2:5" ht="14.5" customHeight="1">
      <c r="B889" s="85"/>
      <c r="C889" s="23" t="s">
        <v>232</v>
      </c>
      <c r="D889" s="68">
        <v>3</v>
      </c>
      <c r="E889" s="21">
        <v>5.4298642533899999E-4</v>
      </c>
    </row>
    <row r="890" spans="2:5" ht="14.5" customHeight="1">
      <c r="B890" s="85"/>
      <c r="C890" s="23" t="s">
        <v>233</v>
      </c>
      <c r="D890" s="68">
        <v>1</v>
      </c>
      <c r="E890" s="21">
        <v>1.8099547511300001E-4</v>
      </c>
    </row>
    <row r="891" spans="2:5" ht="14.5" customHeight="1">
      <c r="B891" s="85"/>
      <c r="C891" s="23" t="s">
        <v>192</v>
      </c>
      <c r="D891" s="68">
        <v>2</v>
      </c>
      <c r="E891" s="21">
        <v>3.6199095022600001E-4</v>
      </c>
    </row>
    <row r="892" spans="2:5" ht="14.5" customHeight="1">
      <c r="B892" s="85"/>
      <c r="C892" s="23" t="s">
        <v>193</v>
      </c>
      <c r="D892" s="68">
        <v>3</v>
      </c>
      <c r="E892" s="21">
        <v>5.4298642533899999E-4</v>
      </c>
    </row>
    <row r="893" spans="2:5" ht="14.5" customHeight="1">
      <c r="B893" s="85"/>
      <c r="C893" s="23" t="s">
        <v>194</v>
      </c>
      <c r="D893" s="68">
        <v>4</v>
      </c>
      <c r="E893" s="21">
        <v>7.2398190045200002E-4</v>
      </c>
    </row>
    <row r="894" spans="2:5" ht="14.5" customHeight="1">
      <c r="B894" s="85"/>
      <c r="C894" s="23" t="s">
        <v>234</v>
      </c>
      <c r="D894" s="68">
        <v>1</v>
      </c>
      <c r="E894" s="21">
        <v>1.8099547511300001E-4</v>
      </c>
    </row>
    <row r="895" spans="2:5" ht="14.5" customHeight="1">
      <c r="B895" s="85"/>
      <c r="C895" s="23" t="s">
        <v>195</v>
      </c>
      <c r="D895" s="68">
        <v>10</v>
      </c>
      <c r="E895" s="21">
        <v>1.809954751131E-3</v>
      </c>
    </row>
    <row r="896" spans="2:5" ht="14.5" customHeight="1">
      <c r="B896" s="85"/>
      <c r="C896" s="23" t="s">
        <v>196</v>
      </c>
      <c r="D896" s="68">
        <v>1</v>
      </c>
      <c r="E896" s="21">
        <v>1.8099547511300001E-4</v>
      </c>
    </row>
    <row r="897" spans="2:5" ht="14.5" customHeight="1">
      <c r="B897" s="85"/>
      <c r="C897" s="23" t="s">
        <v>208</v>
      </c>
      <c r="D897" s="68">
        <v>1</v>
      </c>
      <c r="E897" s="21">
        <v>1.8099547511300001E-4</v>
      </c>
    </row>
    <row r="898" spans="2:5" ht="14.5" customHeight="1">
      <c r="B898" s="85"/>
      <c r="C898" s="23" t="s">
        <v>235</v>
      </c>
      <c r="D898" s="68">
        <v>5</v>
      </c>
      <c r="E898" s="21">
        <v>9.0497737556600002E-4</v>
      </c>
    </row>
    <row r="899" spans="2:5" ht="14.5" customHeight="1">
      <c r="B899" s="85"/>
      <c r="C899" s="23" t="s">
        <v>202</v>
      </c>
      <c r="D899" s="68">
        <v>1</v>
      </c>
      <c r="E899" s="21">
        <v>1.8099547511300001E-4</v>
      </c>
    </row>
    <row r="900" spans="2:5" ht="14.5" customHeight="1">
      <c r="B900" s="85"/>
      <c r="C900" s="23" t="s">
        <v>236</v>
      </c>
      <c r="D900" s="68">
        <v>1</v>
      </c>
      <c r="E900" s="21">
        <v>1.8099547511300001E-4</v>
      </c>
    </row>
    <row r="901" spans="2:5" ht="28" customHeight="1">
      <c r="B901" s="85"/>
      <c r="C901" s="23" t="s">
        <v>205</v>
      </c>
      <c r="D901" s="68">
        <v>1</v>
      </c>
      <c r="E901" s="21">
        <v>1.8099547511300001E-4</v>
      </c>
    </row>
    <row r="902" spans="2:5" ht="14.5" customHeight="1">
      <c r="B902" s="86"/>
      <c r="C902" s="69" t="s">
        <v>29</v>
      </c>
      <c r="D902" s="70">
        <v>72</v>
      </c>
      <c r="E902" s="71">
        <v>1.3031674208145E-2</v>
      </c>
    </row>
    <row r="903" spans="2:5" ht="14.5" customHeight="1">
      <c r="B903" s="84" t="s">
        <v>68</v>
      </c>
      <c r="C903" s="23" t="s">
        <v>182</v>
      </c>
      <c r="D903" s="68">
        <v>8</v>
      </c>
      <c r="E903" s="21">
        <v>1.4479638009049999E-3</v>
      </c>
    </row>
    <row r="904" spans="2:5" ht="14.5" customHeight="1">
      <c r="B904" s="85"/>
      <c r="C904" s="23" t="s">
        <v>183</v>
      </c>
      <c r="D904" s="68">
        <v>1</v>
      </c>
      <c r="E904" s="21">
        <v>1.8099547511300001E-4</v>
      </c>
    </row>
    <row r="905" spans="2:5" ht="14.5" customHeight="1">
      <c r="B905" s="85"/>
      <c r="C905" s="23" t="s">
        <v>184</v>
      </c>
      <c r="D905" s="68">
        <v>3</v>
      </c>
      <c r="E905" s="21">
        <v>5.4298642533899999E-4</v>
      </c>
    </row>
    <row r="906" spans="2:5" ht="14.5" customHeight="1">
      <c r="B906" s="85"/>
      <c r="C906" s="23" t="s">
        <v>185</v>
      </c>
      <c r="D906" s="68">
        <v>5</v>
      </c>
      <c r="E906" s="21">
        <v>9.0497737556600002E-4</v>
      </c>
    </row>
    <row r="907" spans="2:5" ht="14.5" customHeight="1">
      <c r="B907" s="85"/>
      <c r="C907" s="23" t="s">
        <v>216</v>
      </c>
      <c r="D907" s="68">
        <v>1</v>
      </c>
      <c r="E907" s="21">
        <v>1.8099547511300001E-4</v>
      </c>
    </row>
    <row r="908" spans="2:5" ht="14.5" customHeight="1">
      <c r="B908" s="85"/>
      <c r="C908" s="23" t="s">
        <v>217</v>
      </c>
      <c r="D908" s="68">
        <v>1</v>
      </c>
      <c r="E908" s="21">
        <v>1.8099547511300001E-4</v>
      </c>
    </row>
    <row r="909" spans="2:5" ht="14.5" customHeight="1">
      <c r="B909" s="85"/>
      <c r="C909" s="23" t="s">
        <v>186</v>
      </c>
      <c r="D909" s="68">
        <v>1</v>
      </c>
      <c r="E909" s="21">
        <v>1.8099547511300001E-4</v>
      </c>
    </row>
    <row r="910" spans="2:5" ht="14.5" customHeight="1">
      <c r="B910" s="85"/>
      <c r="C910" s="23" t="s">
        <v>187</v>
      </c>
      <c r="D910" s="68">
        <v>2</v>
      </c>
      <c r="E910" s="21">
        <v>3.6199095022600001E-4</v>
      </c>
    </row>
    <row r="911" spans="2:5" ht="14.5" customHeight="1">
      <c r="B911" s="85"/>
      <c r="C911" s="23" t="s">
        <v>206</v>
      </c>
      <c r="D911" s="68">
        <v>1</v>
      </c>
      <c r="E911" s="21">
        <v>1.8099547511300001E-4</v>
      </c>
    </row>
    <row r="912" spans="2:5" ht="14.5" customHeight="1">
      <c r="B912" s="85"/>
      <c r="C912" s="23" t="s">
        <v>190</v>
      </c>
      <c r="D912" s="68">
        <v>3</v>
      </c>
      <c r="E912" s="21">
        <v>5.4298642533899999E-4</v>
      </c>
    </row>
    <row r="913" spans="2:5" ht="14.5" customHeight="1">
      <c r="B913" s="85"/>
      <c r="C913" s="23" t="s">
        <v>230</v>
      </c>
      <c r="D913" s="68">
        <v>1</v>
      </c>
      <c r="E913" s="21">
        <v>1.8099547511300001E-4</v>
      </c>
    </row>
    <row r="914" spans="2:5" ht="14.5" customHeight="1">
      <c r="B914" s="85"/>
      <c r="C914" s="23" t="s">
        <v>232</v>
      </c>
      <c r="D914" s="68">
        <v>1</v>
      </c>
      <c r="E914" s="21">
        <v>1.8099547511300001E-4</v>
      </c>
    </row>
    <row r="915" spans="2:5" ht="14.5" customHeight="1">
      <c r="B915" s="85"/>
      <c r="C915" s="23" t="s">
        <v>193</v>
      </c>
      <c r="D915" s="68">
        <v>4</v>
      </c>
      <c r="E915" s="21">
        <v>7.2398190045200002E-4</v>
      </c>
    </row>
    <row r="916" spans="2:5" ht="14.5" customHeight="1">
      <c r="B916" s="85"/>
      <c r="C916" s="23" t="s">
        <v>195</v>
      </c>
      <c r="D916" s="68">
        <v>10</v>
      </c>
      <c r="E916" s="21">
        <v>1.809954751131E-3</v>
      </c>
    </row>
    <row r="917" spans="2:5" ht="14.5" customHeight="1">
      <c r="B917" s="85"/>
      <c r="C917" s="23" t="s">
        <v>196</v>
      </c>
      <c r="D917" s="68">
        <v>1</v>
      </c>
      <c r="E917" s="21">
        <v>1.8099547511300001E-4</v>
      </c>
    </row>
    <row r="918" spans="2:5" ht="14.5" customHeight="1">
      <c r="B918" s="85"/>
      <c r="C918" s="23" t="s">
        <v>209</v>
      </c>
      <c r="D918" s="68">
        <v>1</v>
      </c>
      <c r="E918" s="21">
        <v>1.8099547511300001E-4</v>
      </c>
    </row>
    <row r="919" spans="2:5" ht="14.5" customHeight="1">
      <c r="B919" s="85"/>
      <c r="C919" s="23" t="s">
        <v>201</v>
      </c>
      <c r="D919" s="68">
        <v>1</v>
      </c>
      <c r="E919" s="21">
        <v>1.8099547511300001E-4</v>
      </c>
    </row>
    <row r="920" spans="2:5" ht="14.5" customHeight="1">
      <c r="B920" s="85"/>
      <c r="C920" s="23" t="s">
        <v>202</v>
      </c>
      <c r="D920" s="68">
        <v>1</v>
      </c>
      <c r="E920" s="21">
        <v>1.8099547511300001E-4</v>
      </c>
    </row>
    <row r="921" spans="2:5" ht="14.5" customHeight="1">
      <c r="B921" s="85"/>
      <c r="C921" s="23" t="s">
        <v>203</v>
      </c>
      <c r="D921" s="68">
        <v>3</v>
      </c>
      <c r="E921" s="21">
        <v>5.4298642533899999E-4</v>
      </c>
    </row>
    <row r="922" spans="2:5" ht="14.5" customHeight="1">
      <c r="B922" s="85"/>
      <c r="C922" s="23" t="s">
        <v>204</v>
      </c>
      <c r="D922" s="68">
        <v>3</v>
      </c>
      <c r="E922" s="21">
        <v>5.4298642533899999E-4</v>
      </c>
    </row>
    <row r="923" spans="2:5" ht="14.5" customHeight="1">
      <c r="B923" s="86"/>
      <c r="C923" s="69" t="s">
        <v>29</v>
      </c>
      <c r="D923" s="70">
        <v>52</v>
      </c>
      <c r="E923" s="71">
        <v>9.411764705882E-3</v>
      </c>
    </row>
    <row r="924" spans="2:5" ht="14.5" customHeight="1">
      <c r="B924" s="84" t="s">
        <v>51</v>
      </c>
      <c r="C924" s="23" t="s">
        <v>211</v>
      </c>
      <c r="D924" s="68">
        <v>1</v>
      </c>
      <c r="E924" s="21">
        <v>1.8099547511300001E-4</v>
      </c>
    </row>
    <row r="925" spans="2:5" ht="14.5" customHeight="1">
      <c r="B925" s="85"/>
      <c r="C925" s="23" t="s">
        <v>212</v>
      </c>
      <c r="D925" s="68">
        <v>3</v>
      </c>
      <c r="E925" s="21">
        <v>5.4298642533899999E-4</v>
      </c>
    </row>
    <row r="926" spans="2:5" ht="14.5" customHeight="1">
      <c r="B926" s="85"/>
      <c r="C926" s="23" t="s">
        <v>182</v>
      </c>
      <c r="D926" s="68">
        <v>11</v>
      </c>
      <c r="E926" s="21">
        <v>1.9909502262440001E-3</v>
      </c>
    </row>
    <row r="927" spans="2:5" ht="14.5" customHeight="1">
      <c r="B927" s="85"/>
      <c r="C927" s="23" t="s">
        <v>213</v>
      </c>
      <c r="D927" s="68">
        <v>1</v>
      </c>
      <c r="E927" s="21">
        <v>1.8099547511300001E-4</v>
      </c>
    </row>
    <row r="928" spans="2:5" ht="14.5" customHeight="1">
      <c r="B928" s="85"/>
      <c r="C928" s="23" t="s">
        <v>214</v>
      </c>
      <c r="D928" s="68">
        <v>1</v>
      </c>
      <c r="E928" s="21">
        <v>1.8099547511300001E-4</v>
      </c>
    </row>
    <row r="929" spans="2:5" ht="14.5" customHeight="1">
      <c r="B929" s="85"/>
      <c r="C929" s="23" t="s">
        <v>184</v>
      </c>
      <c r="D929" s="68">
        <v>22</v>
      </c>
      <c r="E929" s="21">
        <v>3.9819004524890003E-3</v>
      </c>
    </row>
    <row r="930" spans="2:5" ht="14.5" customHeight="1">
      <c r="B930" s="85"/>
      <c r="C930" s="23" t="s">
        <v>185</v>
      </c>
      <c r="D930" s="68">
        <v>60</v>
      </c>
      <c r="E930" s="21">
        <v>1.0859728506787E-2</v>
      </c>
    </row>
    <row r="931" spans="2:5" ht="14.5" customHeight="1">
      <c r="B931" s="85"/>
      <c r="C931" s="23" t="s">
        <v>197</v>
      </c>
      <c r="D931" s="68">
        <v>14</v>
      </c>
      <c r="E931" s="21">
        <v>2.533936651584E-3</v>
      </c>
    </row>
    <row r="932" spans="2:5" ht="14.5" customHeight="1">
      <c r="B932" s="85"/>
      <c r="C932" s="23" t="s">
        <v>216</v>
      </c>
      <c r="D932" s="68">
        <v>2</v>
      </c>
      <c r="E932" s="21">
        <v>3.6199095022600001E-4</v>
      </c>
    </row>
    <row r="933" spans="2:5" ht="14.5" customHeight="1">
      <c r="B933" s="85"/>
      <c r="C933" s="23" t="s">
        <v>198</v>
      </c>
      <c r="D933" s="68">
        <v>4</v>
      </c>
      <c r="E933" s="21">
        <v>7.2398190045200002E-4</v>
      </c>
    </row>
    <row r="934" spans="2:5" ht="14.5" customHeight="1">
      <c r="B934" s="85"/>
      <c r="C934" s="23" t="s">
        <v>186</v>
      </c>
      <c r="D934" s="68">
        <v>18</v>
      </c>
      <c r="E934" s="21">
        <v>3.2579185520360001E-3</v>
      </c>
    </row>
    <row r="935" spans="2:5" ht="14.5" customHeight="1">
      <c r="B935" s="85"/>
      <c r="C935" s="23" t="s">
        <v>218</v>
      </c>
      <c r="D935" s="68">
        <v>1</v>
      </c>
      <c r="E935" s="21">
        <v>1.8099547511300001E-4</v>
      </c>
    </row>
    <row r="936" spans="2:5" ht="14.5" customHeight="1">
      <c r="B936" s="85"/>
      <c r="C936" s="23" t="s">
        <v>187</v>
      </c>
      <c r="D936" s="68">
        <v>2</v>
      </c>
      <c r="E936" s="21">
        <v>3.6199095022600001E-4</v>
      </c>
    </row>
    <row r="937" spans="2:5" ht="14.5" customHeight="1">
      <c r="B937" s="85"/>
      <c r="C937" s="23" t="s">
        <v>219</v>
      </c>
      <c r="D937" s="68">
        <v>5</v>
      </c>
      <c r="E937" s="21">
        <v>9.0497737556600002E-4</v>
      </c>
    </row>
    <row r="938" spans="2:5" ht="14.5" customHeight="1">
      <c r="B938" s="85"/>
      <c r="C938" s="23" t="s">
        <v>206</v>
      </c>
      <c r="D938" s="68">
        <v>4</v>
      </c>
      <c r="E938" s="21">
        <v>7.2398190045200002E-4</v>
      </c>
    </row>
    <row r="939" spans="2:5" ht="14.5" customHeight="1">
      <c r="B939" s="85"/>
      <c r="C939" s="23" t="s">
        <v>207</v>
      </c>
      <c r="D939" s="68">
        <v>3</v>
      </c>
      <c r="E939" s="21">
        <v>5.4298642533899999E-4</v>
      </c>
    </row>
    <row r="940" spans="2:5" ht="14.5" customHeight="1">
      <c r="B940" s="85"/>
      <c r="C940" s="23" t="s">
        <v>221</v>
      </c>
      <c r="D940" s="68">
        <v>4</v>
      </c>
      <c r="E940" s="21">
        <v>7.2398190045200002E-4</v>
      </c>
    </row>
    <row r="941" spans="2:5" ht="14.5" customHeight="1">
      <c r="B941" s="85"/>
      <c r="C941" s="23" t="s">
        <v>190</v>
      </c>
      <c r="D941" s="68">
        <v>1</v>
      </c>
      <c r="E941" s="21">
        <v>1.8099547511300001E-4</v>
      </c>
    </row>
    <row r="942" spans="2:5" ht="14.5" customHeight="1">
      <c r="B942" s="85"/>
      <c r="C942" s="23" t="s">
        <v>227</v>
      </c>
      <c r="D942" s="68">
        <v>1</v>
      </c>
      <c r="E942" s="21">
        <v>1.8099547511300001E-4</v>
      </c>
    </row>
    <row r="943" spans="2:5" ht="14.5" customHeight="1">
      <c r="B943" s="85"/>
      <c r="C943" s="23" t="s">
        <v>230</v>
      </c>
      <c r="D943" s="68">
        <v>2</v>
      </c>
      <c r="E943" s="21">
        <v>3.6199095022600001E-4</v>
      </c>
    </row>
    <row r="944" spans="2:5" ht="14.5" customHeight="1">
      <c r="B944" s="85"/>
      <c r="C944" s="23" t="s">
        <v>231</v>
      </c>
      <c r="D944" s="68">
        <v>2</v>
      </c>
      <c r="E944" s="21">
        <v>3.6199095022600001E-4</v>
      </c>
    </row>
    <row r="945" spans="2:5" ht="14.5" customHeight="1">
      <c r="B945" s="85"/>
      <c r="C945" s="23" t="s">
        <v>232</v>
      </c>
      <c r="D945" s="68">
        <v>4</v>
      </c>
      <c r="E945" s="21">
        <v>7.2398190045200002E-4</v>
      </c>
    </row>
    <row r="946" spans="2:5" ht="14.5" customHeight="1">
      <c r="B946" s="85"/>
      <c r="C946" s="23" t="s">
        <v>191</v>
      </c>
      <c r="D946" s="68">
        <v>4</v>
      </c>
      <c r="E946" s="21">
        <v>7.2398190045200002E-4</v>
      </c>
    </row>
    <row r="947" spans="2:5" ht="14.5" customHeight="1">
      <c r="B947" s="85"/>
      <c r="C947" s="23" t="s">
        <v>233</v>
      </c>
      <c r="D947" s="68">
        <v>5</v>
      </c>
      <c r="E947" s="21">
        <v>9.0497737556600002E-4</v>
      </c>
    </row>
    <row r="948" spans="2:5" ht="14.5" customHeight="1">
      <c r="B948" s="85"/>
      <c r="C948" s="23" t="s">
        <v>192</v>
      </c>
      <c r="D948" s="68">
        <v>3</v>
      </c>
      <c r="E948" s="21">
        <v>5.4298642533899999E-4</v>
      </c>
    </row>
    <row r="949" spans="2:5" ht="14.5" customHeight="1">
      <c r="B949" s="85"/>
      <c r="C949" s="23" t="s">
        <v>193</v>
      </c>
      <c r="D949" s="68">
        <v>1</v>
      </c>
      <c r="E949" s="21">
        <v>1.8099547511300001E-4</v>
      </c>
    </row>
    <row r="950" spans="2:5" ht="14.5" customHeight="1">
      <c r="B950" s="85"/>
      <c r="C950" s="23" t="s">
        <v>194</v>
      </c>
      <c r="D950" s="68">
        <v>1</v>
      </c>
      <c r="E950" s="21">
        <v>1.8099547511300001E-4</v>
      </c>
    </row>
    <row r="951" spans="2:5" ht="14.5" customHeight="1">
      <c r="B951" s="85"/>
      <c r="C951" s="23" t="s">
        <v>234</v>
      </c>
      <c r="D951" s="68">
        <v>6</v>
      </c>
      <c r="E951" s="21">
        <v>1.0859728506790001E-3</v>
      </c>
    </row>
    <row r="952" spans="2:5" ht="14.5" customHeight="1">
      <c r="B952" s="85"/>
      <c r="C952" s="23" t="s">
        <v>195</v>
      </c>
      <c r="D952" s="68">
        <v>70</v>
      </c>
      <c r="E952" s="21">
        <v>1.2669683257919E-2</v>
      </c>
    </row>
    <row r="953" spans="2:5" ht="14.5" customHeight="1">
      <c r="B953" s="85"/>
      <c r="C953" s="23" t="s">
        <v>196</v>
      </c>
      <c r="D953" s="68">
        <v>1</v>
      </c>
      <c r="E953" s="21">
        <v>1.8099547511300001E-4</v>
      </c>
    </row>
    <row r="954" spans="2:5" ht="14.5" customHeight="1">
      <c r="B954" s="85"/>
      <c r="C954" s="23" t="s">
        <v>235</v>
      </c>
      <c r="D954" s="68">
        <v>2</v>
      </c>
      <c r="E954" s="21">
        <v>3.6199095022600001E-4</v>
      </c>
    </row>
    <row r="955" spans="2:5" ht="14.5" customHeight="1">
      <c r="B955" s="85"/>
      <c r="C955" s="23" t="s">
        <v>201</v>
      </c>
      <c r="D955" s="68">
        <v>4</v>
      </c>
      <c r="E955" s="21">
        <v>7.2398190045200002E-4</v>
      </c>
    </row>
    <row r="956" spans="2:5" ht="14.5" customHeight="1">
      <c r="B956" s="85"/>
      <c r="C956" s="23" t="s">
        <v>202</v>
      </c>
      <c r="D956" s="68">
        <v>3</v>
      </c>
      <c r="E956" s="21">
        <v>5.4298642533899999E-4</v>
      </c>
    </row>
    <row r="957" spans="2:5" ht="14.5" customHeight="1">
      <c r="B957" s="85"/>
      <c r="C957" s="23" t="s">
        <v>203</v>
      </c>
      <c r="D957" s="68">
        <v>1</v>
      </c>
      <c r="E957" s="21">
        <v>1.8099547511300001E-4</v>
      </c>
    </row>
    <row r="958" spans="2:5" ht="14.5" customHeight="1">
      <c r="B958" s="85"/>
      <c r="C958" s="23" t="s">
        <v>236</v>
      </c>
      <c r="D958" s="68">
        <v>1</v>
      </c>
      <c r="E958" s="21">
        <v>1.8099547511300001E-4</v>
      </c>
    </row>
    <row r="959" spans="2:5" ht="14.5" customHeight="1">
      <c r="B959" s="85"/>
      <c r="C959" s="23" t="s">
        <v>204</v>
      </c>
      <c r="D959" s="68">
        <v>13</v>
      </c>
      <c r="E959" s="21">
        <v>2.352941176471E-3</v>
      </c>
    </row>
    <row r="960" spans="2:5" ht="28" customHeight="1">
      <c r="B960" s="85"/>
      <c r="C960" s="23" t="s">
        <v>205</v>
      </c>
      <c r="D960" s="68">
        <v>1</v>
      </c>
      <c r="E960" s="21">
        <v>1.8099547511300001E-4</v>
      </c>
    </row>
    <row r="961" spans="2:5" ht="14.5" customHeight="1">
      <c r="B961" s="86"/>
      <c r="C961" s="69" t="s">
        <v>29</v>
      </c>
      <c r="D961" s="70">
        <v>282</v>
      </c>
      <c r="E961" s="71">
        <v>5.1040723981900002E-2</v>
      </c>
    </row>
    <row r="962" spans="2:5" ht="14.5" customHeight="1">
      <c r="B962" s="84" t="s">
        <v>85</v>
      </c>
      <c r="C962" s="23" t="s">
        <v>182</v>
      </c>
      <c r="D962" s="68">
        <v>1</v>
      </c>
      <c r="E962" s="21">
        <v>1.8099547511300001E-4</v>
      </c>
    </row>
    <row r="963" spans="2:5" ht="14.5" customHeight="1">
      <c r="B963" s="85"/>
      <c r="C963" s="23" t="s">
        <v>184</v>
      </c>
      <c r="D963" s="68">
        <v>2</v>
      </c>
      <c r="E963" s="21">
        <v>3.6199095022600001E-4</v>
      </c>
    </row>
    <row r="964" spans="2:5" ht="14.5" customHeight="1">
      <c r="B964" s="85"/>
      <c r="C964" s="23" t="s">
        <v>185</v>
      </c>
      <c r="D964" s="68">
        <v>2</v>
      </c>
      <c r="E964" s="21">
        <v>3.6199095022600001E-4</v>
      </c>
    </row>
    <row r="965" spans="2:5" ht="14.5" customHeight="1">
      <c r="B965" s="85"/>
      <c r="C965" s="23" t="s">
        <v>186</v>
      </c>
      <c r="D965" s="68">
        <v>2</v>
      </c>
      <c r="E965" s="21">
        <v>3.6199095022600001E-4</v>
      </c>
    </row>
    <row r="966" spans="2:5" ht="14.5" customHeight="1">
      <c r="B966" s="85"/>
      <c r="C966" s="23" t="s">
        <v>218</v>
      </c>
      <c r="D966" s="68">
        <v>1</v>
      </c>
      <c r="E966" s="21">
        <v>1.8099547511300001E-4</v>
      </c>
    </row>
    <row r="967" spans="2:5" ht="14.5" customHeight="1">
      <c r="B967" s="85"/>
      <c r="C967" s="23" t="s">
        <v>206</v>
      </c>
      <c r="D967" s="68">
        <v>1</v>
      </c>
      <c r="E967" s="21">
        <v>1.8099547511300001E-4</v>
      </c>
    </row>
    <row r="968" spans="2:5" ht="14.5" customHeight="1">
      <c r="B968" s="85"/>
      <c r="C968" s="23" t="s">
        <v>234</v>
      </c>
      <c r="D968" s="68">
        <v>1</v>
      </c>
      <c r="E968" s="21">
        <v>1.8099547511300001E-4</v>
      </c>
    </row>
    <row r="969" spans="2:5" ht="14.5" customHeight="1">
      <c r="B969" s="85"/>
      <c r="C969" s="23" t="s">
        <v>195</v>
      </c>
      <c r="D969" s="68">
        <v>2</v>
      </c>
      <c r="E969" s="21">
        <v>3.6199095022600001E-4</v>
      </c>
    </row>
    <row r="970" spans="2:5" ht="14.5" customHeight="1">
      <c r="B970" s="85"/>
      <c r="C970" s="23" t="s">
        <v>196</v>
      </c>
      <c r="D970" s="68">
        <v>2</v>
      </c>
      <c r="E970" s="21">
        <v>3.6199095022600001E-4</v>
      </c>
    </row>
    <row r="971" spans="2:5" ht="14.5" customHeight="1">
      <c r="B971" s="85"/>
      <c r="C971" s="23" t="s">
        <v>202</v>
      </c>
      <c r="D971" s="68">
        <v>2</v>
      </c>
      <c r="E971" s="21">
        <v>3.6199095022600001E-4</v>
      </c>
    </row>
    <row r="972" spans="2:5" ht="14.5" customHeight="1">
      <c r="B972" s="86"/>
      <c r="C972" s="69" t="s">
        <v>29</v>
      </c>
      <c r="D972" s="70">
        <v>16</v>
      </c>
      <c r="E972" s="71">
        <v>2.8959276018099998E-3</v>
      </c>
    </row>
    <row r="973" spans="2:5" ht="14.5" customHeight="1">
      <c r="B973" s="84" t="s">
        <v>91</v>
      </c>
      <c r="C973" s="23" t="s">
        <v>187</v>
      </c>
      <c r="D973" s="68">
        <v>1</v>
      </c>
      <c r="E973" s="21">
        <v>1.8099547511300001E-4</v>
      </c>
    </row>
    <row r="974" spans="2:5" ht="14.5" customHeight="1">
      <c r="B974" s="86"/>
      <c r="C974" s="69" t="s">
        <v>29</v>
      </c>
      <c r="D974" s="70">
        <v>1</v>
      </c>
      <c r="E974" s="71">
        <v>1.8099547511300001E-4</v>
      </c>
    </row>
    <row r="975" spans="2:5" ht="14.5" customHeight="1">
      <c r="B975" s="84" t="s">
        <v>70</v>
      </c>
      <c r="C975" s="23" t="s">
        <v>182</v>
      </c>
      <c r="D975" s="68">
        <v>6</v>
      </c>
      <c r="E975" s="21">
        <v>1.0859728506790001E-3</v>
      </c>
    </row>
    <row r="976" spans="2:5" ht="14.5" customHeight="1">
      <c r="B976" s="85"/>
      <c r="C976" s="23" t="s">
        <v>183</v>
      </c>
      <c r="D976" s="68">
        <v>1</v>
      </c>
      <c r="E976" s="21">
        <v>1.8099547511300001E-4</v>
      </c>
    </row>
    <row r="977" spans="2:5" ht="14.5" customHeight="1">
      <c r="B977" s="85"/>
      <c r="C977" s="23" t="s">
        <v>184</v>
      </c>
      <c r="D977" s="68">
        <v>2</v>
      </c>
      <c r="E977" s="21">
        <v>3.6199095022600001E-4</v>
      </c>
    </row>
    <row r="978" spans="2:5" ht="14.5" customHeight="1">
      <c r="B978" s="85"/>
      <c r="C978" s="23" t="s">
        <v>185</v>
      </c>
      <c r="D978" s="68">
        <v>4</v>
      </c>
      <c r="E978" s="21">
        <v>7.2398190045200002E-4</v>
      </c>
    </row>
    <row r="979" spans="2:5" ht="14.5" customHeight="1">
      <c r="B979" s="85"/>
      <c r="C979" s="23" t="s">
        <v>198</v>
      </c>
      <c r="D979" s="68">
        <v>1</v>
      </c>
      <c r="E979" s="21">
        <v>1.8099547511300001E-4</v>
      </c>
    </row>
    <row r="980" spans="2:5" ht="14.5" customHeight="1">
      <c r="B980" s="85"/>
      <c r="C980" s="23" t="s">
        <v>186</v>
      </c>
      <c r="D980" s="68">
        <v>3</v>
      </c>
      <c r="E980" s="21">
        <v>5.4298642533899999E-4</v>
      </c>
    </row>
    <row r="981" spans="2:5" ht="14.5" customHeight="1">
      <c r="B981" s="85"/>
      <c r="C981" s="23" t="s">
        <v>189</v>
      </c>
      <c r="D981" s="68">
        <v>2</v>
      </c>
      <c r="E981" s="21">
        <v>3.6199095022600001E-4</v>
      </c>
    </row>
    <row r="982" spans="2:5" ht="14.5" customHeight="1">
      <c r="B982" s="85"/>
      <c r="C982" s="23" t="s">
        <v>207</v>
      </c>
      <c r="D982" s="68">
        <v>1</v>
      </c>
      <c r="E982" s="21">
        <v>1.8099547511300001E-4</v>
      </c>
    </row>
    <row r="983" spans="2:5" ht="14.5" customHeight="1">
      <c r="B983" s="85"/>
      <c r="C983" s="23" t="s">
        <v>190</v>
      </c>
      <c r="D983" s="68">
        <v>1</v>
      </c>
      <c r="E983" s="21">
        <v>1.8099547511300001E-4</v>
      </c>
    </row>
    <row r="984" spans="2:5" ht="14.5" customHeight="1">
      <c r="B984" s="85"/>
      <c r="C984" s="23" t="s">
        <v>232</v>
      </c>
      <c r="D984" s="68">
        <v>3</v>
      </c>
      <c r="E984" s="21">
        <v>5.4298642533899999E-4</v>
      </c>
    </row>
    <row r="985" spans="2:5" ht="14.5" customHeight="1">
      <c r="B985" s="85"/>
      <c r="C985" s="23" t="s">
        <v>191</v>
      </c>
      <c r="D985" s="68">
        <v>1</v>
      </c>
      <c r="E985" s="21">
        <v>1.8099547511300001E-4</v>
      </c>
    </row>
    <row r="986" spans="2:5" ht="14.5" customHeight="1">
      <c r="B986" s="85"/>
      <c r="C986" s="23" t="s">
        <v>192</v>
      </c>
      <c r="D986" s="68">
        <v>2</v>
      </c>
      <c r="E986" s="21">
        <v>3.6199095022600001E-4</v>
      </c>
    </row>
    <row r="987" spans="2:5" ht="14.5" customHeight="1">
      <c r="B987" s="85"/>
      <c r="C987" s="23" t="s">
        <v>193</v>
      </c>
      <c r="D987" s="68">
        <v>6</v>
      </c>
      <c r="E987" s="21">
        <v>1.0859728506790001E-3</v>
      </c>
    </row>
    <row r="988" spans="2:5" ht="14.5" customHeight="1">
      <c r="B988" s="85"/>
      <c r="C988" s="23" t="s">
        <v>194</v>
      </c>
      <c r="D988" s="68">
        <v>1</v>
      </c>
      <c r="E988" s="21">
        <v>1.8099547511300001E-4</v>
      </c>
    </row>
    <row r="989" spans="2:5" ht="14.5" customHeight="1">
      <c r="B989" s="85"/>
      <c r="C989" s="23" t="s">
        <v>195</v>
      </c>
      <c r="D989" s="68">
        <v>5</v>
      </c>
      <c r="E989" s="21">
        <v>9.0497737556600002E-4</v>
      </c>
    </row>
    <row r="990" spans="2:5" ht="14.5" customHeight="1">
      <c r="B990" s="85"/>
      <c r="C990" s="23" t="s">
        <v>196</v>
      </c>
      <c r="D990" s="68">
        <v>2</v>
      </c>
      <c r="E990" s="21">
        <v>3.6199095022600001E-4</v>
      </c>
    </row>
    <row r="991" spans="2:5" ht="14.5" customHeight="1">
      <c r="B991" s="85"/>
      <c r="C991" s="23" t="s">
        <v>208</v>
      </c>
      <c r="D991" s="68">
        <v>1</v>
      </c>
      <c r="E991" s="21">
        <v>1.8099547511300001E-4</v>
      </c>
    </row>
    <row r="992" spans="2:5" ht="14.5" customHeight="1">
      <c r="B992" s="85"/>
      <c r="C992" s="23" t="s">
        <v>209</v>
      </c>
      <c r="D992" s="68">
        <v>1</v>
      </c>
      <c r="E992" s="21">
        <v>1.8099547511300001E-4</v>
      </c>
    </row>
    <row r="993" spans="2:5" ht="14.5" customHeight="1">
      <c r="B993" s="85"/>
      <c r="C993" s="23" t="s">
        <v>201</v>
      </c>
      <c r="D993" s="68">
        <v>2</v>
      </c>
      <c r="E993" s="21">
        <v>3.6199095022600001E-4</v>
      </c>
    </row>
    <row r="994" spans="2:5" ht="14.5" customHeight="1">
      <c r="B994" s="85"/>
      <c r="C994" s="23" t="s">
        <v>202</v>
      </c>
      <c r="D994" s="68">
        <v>1</v>
      </c>
      <c r="E994" s="21">
        <v>1.8099547511300001E-4</v>
      </c>
    </row>
    <row r="995" spans="2:5" ht="14.5" customHeight="1">
      <c r="B995" s="85"/>
      <c r="C995" s="23" t="s">
        <v>236</v>
      </c>
      <c r="D995" s="68">
        <v>1</v>
      </c>
      <c r="E995" s="21">
        <v>1.8099547511300001E-4</v>
      </c>
    </row>
    <row r="996" spans="2:5" ht="14.5" customHeight="1">
      <c r="B996" s="85"/>
      <c r="C996" s="23" t="s">
        <v>204</v>
      </c>
      <c r="D996" s="68">
        <v>2</v>
      </c>
      <c r="E996" s="21">
        <v>3.6199095022600001E-4</v>
      </c>
    </row>
    <row r="997" spans="2:5" ht="14.5" customHeight="1">
      <c r="B997" s="86"/>
      <c r="C997" s="69" t="s">
        <v>29</v>
      </c>
      <c r="D997" s="70">
        <v>49</v>
      </c>
      <c r="E997" s="71">
        <v>8.8687782805429993E-3</v>
      </c>
    </row>
    <row r="998" spans="2:5" ht="14.5" customHeight="1">
      <c r="B998" s="87" t="s">
        <v>29</v>
      </c>
      <c r="C998" s="88"/>
      <c r="D998" s="72">
        <v>5525</v>
      </c>
      <c r="E998" s="73">
        <v>1</v>
      </c>
    </row>
    <row r="999" spans="2:5" ht="14.5" customHeight="1"/>
    <row r="1000" spans="2:5" ht="14.5" customHeight="1">
      <c r="B1000" s="15" t="s">
        <v>135</v>
      </c>
    </row>
    <row r="1001" spans="2:5" ht="14.5" customHeight="1">
      <c r="B1001" s="17" t="s">
        <v>18</v>
      </c>
    </row>
    <row r="1002" spans="2:5" ht="14.5" customHeight="1">
      <c r="B1002" s="16" t="s">
        <v>136</v>
      </c>
    </row>
    <row r="1003" spans="2:5" ht="14.5" customHeight="1">
      <c r="B1003" s="15" t="s">
        <v>17</v>
      </c>
    </row>
    <row r="1004" spans="2:5" ht="14.5" customHeight="1">
      <c r="B1004" s="15" t="s">
        <v>137</v>
      </c>
    </row>
  </sheetData>
  <mergeCells count="48">
    <mergeCell ref="B7:E8"/>
    <mergeCell ref="B241:B242"/>
    <mergeCell ref="B243:B277"/>
    <mergeCell ref="B278:B292"/>
    <mergeCell ref="B293:B336"/>
    <mergeCell ref="B10:B22"/>
    <mergeCell ref="B23:B53"/>
    <mergeCell ref="B54:B68"/>
    <mergeCell ref="B69:B86"/>
    <mergeCell ref="B87:B117"/>
    <mergeCell ref="B118:B120"/>
    <mergeCell ref="B121:B169"/>
    <mergeCell ref="B170:B200"/>
    <mergeCell ref="B201:B217"/>
    <mergeCell ref="B218:B240"/>
    <mergeCell ref="B337:B363"/>
    <mergeCell ref="B364:B390"/>
    <mergeCell ref="B391:B393"/>
    <mergeCell ref="B394:B419"/>
    <mergeCell ref="B420:B440"/>
    <mergeCell ref="B441:B491"/>
    <mergeCell ref="B492:B508"/>
    <mergeCell ref="B509:B527"/>
    <mergeCell ref="B528:B543"/>
    <mergeCell ref="B544:B559"/>
    <mergeCell ref="B560:B561"/>
    <mergeCell ref="B562:B575"/>
    <mergeCell ref="B576:B627"/>
    <mergeCell ref="B628:B641"/>
    <mergeCell ref="B642:B649"/>
    <mergeCell ref="B650:B664"/>
    <mergeCell ref="B665:B682"/>
    <mergeCell ref="B683:B700"/>
    <mergeCell ref="B701:B713"/>
    <mergeCell ref="B714:B749"/>
    <mergeCell ref="B750:B774"/>
    <mergeCell ref="B775:B792"/>
    <mergeCell ref="B793:B821"/>
    <mergeCell ref="B822:B832"/>
    <mergeCell ref="B833:B856"/>
    <mergeCell ref="B973:B974"/>
    <mergeCell ref="B975:B997"/>
    <mergeCell ref="B998:C998"/>
    <mergeCell ref="B857:B874"/>
    <mergeCell ref="B875:B902"/>
    <mergeCell ref="B903:B923"/>
    <mergeCell ref="B924:B961"/>
    <mergeCell ref="B962:B9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E43"/>
  <sheetViews>
    <sheetView showGridLines="0" view="pageBreakPreview" topLeftCell="A40" zoomScale="115" zoomScaleNormal="100" zoomScaleSheetLayoutView="115" workbookViewId="0">
      <selection activeCell="D41" sqref="D41"/>
    </sheetView>
  </sheetViews>
  <sheetFormatPr baseColWidth="10" defaultColWidth="11.453125" defaultRowHeight="14.5"/>
  <cols>
    <col min="1" max="1" width="9.26953125" style="13" customWidth="1"/>
    <col min="2" max="2" width="41.1796875" style="13" customWidth="1"/>
    <col min="3" max="3" width="17.7265625" style="14" customWidth="1"/>
    <col min="4" max="4" width="17.7265625" style="13" customWidth="1"/>
    <col min="5" max="5" width="8.72656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39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14.5" customHeight="1">
      <c r="B12" s="23" t="s">
        <v>243</v>
      </c>
      <c r="C12" s="22">
        <v>1</v>
      </c>
      <c r="D12" s="21">
        <v>1.8099547511300001E-4</v>
      </c>
    </row>
    <row r="13" spans="2:5" ht="14.5" customHeight="1">
      <c r="B13" s="23" t="s">
        <v>244</v>
      </c>
      <c r="C13" s="22">
        <v>32</v>
      </c>
      <c r="D13" s="21">
        <v>5.7918552036199996E-3</v>
      </c>
    </row>
    <row r="14" spans="2:5" ht="14.5" customHeight="1">
      <c r="B14" s="23" t="s">
        <v>245</v>
      </c>
      <c r="C14" s="22">
        <v>13</v>
      </c>
      <c r="D14" s="21">
        <v>2.352941176471E-3</v>
      </c>
      <c r="E14" s="24"/>
    </row>
    <row r="15" spans="2:5" ht="14.5" customHeight="1">
      <c r="B15" s="23" t="s">
        <v>246</v>
      </c>
      <c r="C15" s="22">
        <v>14</v>
      </c>
      <c r="D15" s="21">
        <v>2.533936651584E-3</v>
      </c>
      <c r="E15" s="24"/>
    </row>
    <row r="16" spans="2:5" ht="14.5" customHeight="1">
      <c r="B16" s="23" t="s">
        <v>247</v>
      </c>
      <c r="C16" s="22">
        <v>37</v>
      </c>
      <c r="D16" s="21">
        <v>6.6968325791860002E-3</v>
      </c>
    </row>
    <row r="17" spans="2:4" ht="14.5" customHeight="1">
      <c r="B17" s="23" t="s">
        <v>248</v>
      </c>
      <c r="C17" s="22">
        <v>24</v>
      </c>
      <c r="D17" s="21">
        <v>4.3438914027150001E-3</v>
      </c>
    </row>
    <row r="18" spans="2:4" ht="14.5" customHeight="1">
      <c r="B18" s="23" t="s">
        <v>249</v>
      </c>
      <c r="C18" s="22">
        <v>26</v>
      </c>
      <c r="D18" s="21">
        <v>4.705882352941E-3</v>
      </c>
    </row>
    <row r="19" spans="2:4" ht="14.5" customHeight="1">
      <c r="B19" s="23" t="s">
        <v>250</v>
      </c>
      <c r="C19" s="22">
        <v>335</v>
      </c>
      <c r="D19" s="21">
        <v>6.0633484162895997E-2</v>
      </c>
    </row>
    <row r="20" spans="2:4" ht="14.5" customHeight="1">
      <c r="B20" s="23" t="s">
        <v>251</v>
      </c>
      <c r="C20" s="22">
        <v>668</v>
      </c>
      <c r="D20" s="21">
        <v>0.12090497737556601</v>
      </c>
    </row>
    <row r="21" spans="2:4" ht="14.5" customHeight="1">
      <c r="B21" s="23" t="s">
        <v>252</v>
      </c>
      <c r="C21" s="22">
        <v>35</v>
      </c>
      <c r="D21" s="21">
        <v>6.3348416289590002E-3</v>
      </c>
    </row>
    <row r="22" spans="2:4" ht="14.5" customHeight="1">
      <c r="B22" s="23" t="s">
        <v>253</v>
      </c>
      <c r="C22" s="22">
        <v>95</v>
      </c>
      <c r="D22" s="21">
        <v>1.7194570135747E-2</v>
      </c>
    </row>
    <row r="23" spans="2:4" ht="14.5" customHeight="1">
      <c r="B23" s="23" t="s">
        <v>254</v>
      </c>
      <c r="C23" s="22">
        <v>215</v>
      </c>
      <c r="D23" s="21">
        <v>3.8914027149320997E-2</v>
      </c>
    </row>
    <row r="24" spans="2:4" ht="14.5" customHeight="1">
      <c r="B24" s="23" t="s">
        <v>255</v>
      </c>
      <c r="C24" s="22">
        <v>2256</v>
      </c>
      <c r="D24" s="21">
        <v>0.40832579185520401</v>
      </c>
    </row>
    <row r="25" spans="2:4" ht="14.5" customHeight="1">
      <c r="B25" s="23" t="s">
        <v>256</v>
      </c>
      <c r="C25" s="22">
        <v>72</v>
      </c>
      <c r="D25" s="21">
        <v>1.3031674208145E-2</v>
      </c>
    </row>
    <row r="26" spans="2:4" ht="14.5" customHeight="1">
      <c r="B26" s="23" t="s">
        <v>257</v>
      </c>
      <c r="C26" s="22">
        <v>242</v>
      </c>
      <c r="D26" s="21">
        <v>4.3800904977376001E-2</v>
      </c>
    </row>
    <row r="27" spans="2:4" ht="14.5" customHeight="1">
      <c r="B27" s="23" t="s">
        <v>258</v>
      </c>
      <c r="C27" s="22">
        <v>1142</v>
      </c>
      <c r="D27" s="21">
        <v>0.206696832579186</v>
      </c>
    </row>
    <row r="28" spans="2:4" ht="14.5" customHeight="1">
      <c r="B28" s="23" t="s">
        <v>259</v>
      </c>
      <c r="C28" s="22">
        <v>16</v>
      </c>
      <c r="D28" s="21">
        <v>2.8959276018099998E-3</v>
      </c>
    </row>
    <row r="29" spans="2:4" ht="14.5" customHeight="1">
      <c r="B29" s="23" t="s">
        <v>260</v>
      </c>
      <c r="C29" s="22">
        <v>29</v>
      </c>
      <c r="D29" s="21">
        <v>5.2488687782809998E-3</v>
      </c>
    </row>
    <row r="30" spans="2:4" ht="14.5" customHeight="1">
      <c r="B30" s="23" t="s">
        <v>261</v>
      </c>
      <c r="C30" s="22">
        <v>5</v>
      </c>
      <c r="D30" s="21">
        <v>9.0497737556600002E-4</v>
      </c>
    </row>
    <row r="31" spans="2:4" ht="14.5" customHeight="1">
      <c r="B31" s="23" t="s">
        <v>262</v>
      </c>
      <c r="C31" s="22">
        <v>9</v>
      </c>
      <c r="D31" s="21">
        <v>1.628959276018E-3</v>
      </c>
    </row>
    <row r="32" spans="2:4" ht="14.5" customHeight="1">
      <c r="B32" s="23" t="s">
        <v>263</v>
      </c>
      <c r="C32" s="22">
        <v>64</v>
      </c>
      <c r="D32" s="21">
        <v>1.1583710407239999E-2</v>
      </c>
    </row>
    <row r="33" spans="2:4" ht="14.5" customHeight="1">
      <c r="B33" s="23" t="s">
        <v>264</v>
      </c>
      <c r="C33" s="22">
        <v>189</v>
      </c>
      <c r="D33" s="21">
        <v>3.4208144796379999E-2</v>
      </c>
    </row>
    <row r="34" spans="2:4" ht="14.5" customHeight="1">
      <c r="B34" s="23" t="s">
        <v>265</v>
      </c>
      <c r="C34" s="22">
        <v>2</v>
      </c>
      <c r="D34" s="21">
        <v>3.6199095022600001E-4</v>
      </c>
    </row>
    <row r="35" spans="2:4" ht="14.5" customHeight="1">
      <c r="B35" s="23" t="s">
        <v>266</v>
      </c>
      <c r="C35" s="22">
        <v>3</v>
      </c>
      <c r="D35" s="21">
        <v>5.4298642533899999E-4</v>
      </c>
    </row>
    <row r="36" spans="2:4" ht="14.5" customHeight="1">
      <c r="B36" s="23" t="s">
        <v>267</v>
      </c>
      <c r="C36" s="22">
        <v>1</v>
      </c>
      <c r="D36" s="21">
        <v>1.8099547511300001E-4</v>
      </c>
    </row>
    <row r="37" spans="2:4" ht="14.5" customHeight="1">
      <c r="B37" s="20" t="s">
        <v>29</v>
      </c>
      <c r="C37" s="19">
        <v>5525</v>
      </c>
      <c r="D37" s="18">
        <v>1</v>
      </c>
    </row>
    <row r="38" spans="2:4" ht="14.5" customHeight="1">
      <c r="B38" s="54"/>
    </row>
    <row r="39" spans="2:4" ht="14.5" customHeight="1">
      <c r="B39" s="15" t="s">
        <v>135</v>
      </c>
    </row>
    <row r="40" spans="2:4" ht="14.5" customHeight="1">
      <c r="B40" s="17" t="s">
        <v>18</v>
      </c>
    </row>
    <row r="41" spans="2:4" ht="14.5" customHeight="1">
      <c r="B41" s="16" t="s">
        <v>136</v>
      </c>
    </row>
    <row r="42" spans="2:4" ht="14.5" customHeight="1">
      <c r="B42" s="15" t="s">
        <v>17</v>
      </c>
    </row>
    <row r="43" spans="2:4" ht="14.5" customHeight="1">
      <c r="B43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63"/>
  <sheetViews>
    <sheetView showGridLines="0" view="pageBreakPreview" topLeftCell="A443" zoomScale="85" zoomScaleNormal="100" zoomScaleSheetLayoutView="85" workbookViewId="0">
      <selection activeCell="D461" sqref="D461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 ht="14.5">
      <c r="B10" s="84" t="s">
        <v>243</v>
      </c>
      <c r="C10" s="63" t="s">
        <v>124</v>
      </c>
      <c r="D10" s="64">
        <v>1</v>
      </c>
      <c r="E10" s="65">
        <v>1.8099547511300001E-4</v>
      </c>
    </row>
    <row r="11" spans="1:5" ht="14.5">
      <c r="B11" s="86"/>
      <c r="C11" s="36" t="s">
        <v>29</v>
      </c>
      <c r="D11" s="35">
        <v>1</v>
      </c>
      <c r="E11" s="34">
        <v>1.8099547511300001E-4</v>
      </c>
    </row>
    <row r="12" spans="1:5" ht="14.5">
      <c r="B12" s="84" t="s">
        <v>244</v>
      </c>
      <c r="C12" s="63" t="s">
        <v>92</v>
      </c>
      <c r="D12" s="64">
        <v>1</v>
      </c>
      <c r="E12" s="65">
        <v>1.8099547511300001E-4</v>
      </c>
    </row>
    <row r="13" spans="1:5" ht="14.5">
      <c r="B13" s="85"/>
      <c r="C13" s="63" t="s">
        <v>95</v>
      </c>
      <c r="D13" s="64">
        <v>7</v>
      </c>
      <c r="E13" s="65">
        <v>1.266968325792E-3</v>
      </c>
    </row>
    <row r="14" spans="1:5" ht="14.5">
      <c r="B14" s="85"/>
      <c r="C14" s="63" t="s">
        <v>97</v>
      </c>
      <c r="D14" s="64">
        <v>1</v>
      </c>
      <c r="E14" s="65">
        <v>1.8099547511300001E-4</v>
      </c>
    </row>
    <row r="15" spans="1:5" ht="14.5">
      <c r="B15" s="85"/>
      <c r="C15" s="63" t="s">
        <v>104</v>
      </c>
      <c r="D15" s="64">
        <v>5</v>
      </c>
      <c r="E15" s="65">
        <v>9.0497737556600002E-4</v>
      </c>
    </row>
    <row r="16" spans="1:5" ht="14.5">
      <c r="B16" s="85"/>
      <c r="C16" s="63" t="s">
        <v>115</v>
      </c>
      <c r="D16" s="64">
        <v>2</v>
      </c>
      <c r="E16" s="65">
        <v>3.6199095022600001E-4</v>
      </c>
    </row>
    <row r="17" spans="2:5" ht="14.5">
      <c r="B17" s="85"/>
      <c r="C17" s="63" t="s">
        <v>118</v>
      </c>
      <c r="D17" s="64">
        <v>1</v>
      </c>
      <c r="E17" s="65">
        <v>1.8099547511300001E-4</v>
      </c>
    </row>
    <row r="18" spans="2:5" ht="14.5">
      <c r="B18" s="85"/>
      <c r="C18" s="63" t="s">
        <v>120</v>
      </c>
      <c r="D18" s="64">
        <v>7</v>
      </c>
      <c r="E18" s="65">
        <v>1.266968325792E-3</v>
      </c>
    </row>
    <row r="19" spans="2:5" ht="14.5">
      <c r="B19" s="85"/>
      <c r="C19" s="63" t="s">
        <v>121</v>
      </c>
      <c r="D19" s="64">
        <v>2</v>
      </c>
      <c r="E19" s="65">
        <v>3.6199095022600001E-4</v>
      </c>
    </row>
    <row r="20" spans="2:5" ht="14.5">
      <c r="B20" s="85"/>
      <c r="C20" s="63" t="s">
        <v>125</v>
      </c>
      <c r="D20" s="64">
        <v>1</v>
      </c>
      <c r="E20" s="65">
        <v>1.8099547511300001E-4</v>
      </c>
    </row>
    <row r="21" spans="2:5" ht="14.5">
      <c r="B21" s="85"/>
      <c r="C21" s="63" t="s">
        <v>126</v>
      </c>
      <c r="D21" s="64">
        <v>1</v>
      </c>
      <c r="E21" s="65">
        <v>1.8099547511300001E-4</v>
      </c>
    </row>
    <row r="22" spans="2:5" ht="14.5">
      <c r="B22" s="85"/>
      <c r="C22" s="63" t="s">
        <v>130</v>
      </c>
      <c r="D22" s="64">
        <v>4</v>
      </c>
      <c r="E22" s="65">
        <v>7.2398190045200002E-4</v>
      </c>
    </row>
    <row r="23" spans="2:5" ht="14.5">
      <c r="B23" s="86"/>
      <c r="C23" s="36" t="s">
        <v>29</v>
      </c>
      <c r="D23" s="35">
        <v>32</v>
      </c>
      <c r="E23" s="34">
        <v>5.7918552036199996E-3</v>
      </c>
    </row>
    <row r="24" spans="2:5" ht="14.5">
      <c r="B24" s="84" t="s">
        <v>245</v>
      </c>
      <c r="C24" s="63" t="s">
        <v>93</v>
      </c>
      <c r="D24" s="64">
        <v>1</v>
      </c>
      <c r="E24" s="65">
        <v>1.8099547511300001E-4</v>
      </c>
    </row>
    <row r="25" spans="2:5" ht="14.5">
      <c r="B25" s="85"/>
      <c r="C25" s="63" t="s">
        <v>95</v>
      </c>
      <c r="D25" s="64">
        <v>4</v>
      </c>
      <c r="E25" s="65">
        <v>7.2398190045200002E-4</v>
      </c>
    </row>
    <row r="26" spans="2:5" ht="14.5">
      <c r="B26" s="85"/>
      <c r="C26" s="63" t="s">
        <v>97</v>
      </c>
      <c r="D26" s="64">
        <v>3</v>
      </c>
      <c r="E26" s="65">
        <v>5.4298642533899999E-4</v>
      </c>
    </row>
    <row r="27" spans="2:5" ht="14.5">
      <c r="B27" s="85"/>
      <c r="C27" s="63" t="s">
        <v>105</v>
      </c>
      <c r="D27" s="64">
        <v>1</v>
      </c>
      <c r="E27" s="65">
        <v>1.8099547511300001E-4</v>
      </c>
    </row>
    <row r="28" spans="2:5" ht="14.5">
      <c r="B28" s="85"/>
      <c r="C28" s="63" t="s">
        <v>120</v>
      </c>
      <c r="D28" s="64">
        <v>1</v>
      </c>
      <c r="E28" s="65">
        <v>1.8099547511300001E-4</v>
      </c>
    </row>
    <row r="29" spans="2:5" ht="14.5">
      <c r="B29" s="85"/>
      <c r="C29" s="63" t="s">
        <v>124</v>
      </c>
      <c r="D29" s="64">
        <v>1</v>
      </c>
      <c r="E29" s="65">
        <v>1.8099547511300001E-4</v>
      </c>
    </row>
    <row r="30" spans="2:5" ht="14.5">
      <c r="B30" s="85"/>
      <c r="C30" s="63" t="s">
        <v>130</v>
      </c>
      <c r="D30" s="64">
        <v>2</v>
      </c>
      <c r="E30" s="65">
        <v>3.6199095022600001E-4</v>
      </c>
    </row>
    <row r="31" spans="2:5" ht="14.5">
      <c r="B31" s="86"/>
      <c r="C31" s="36" t="s">
        <v>29</v>
      </c>
      <c r="D31" s="35">
        <v>13</v>
      </c>
      <c r="E31" s="34">
        <v>2.352941176471E-3</v>
      </c>
    </row>
    <row r="32" spans="2:5" ht="14.5">
      <c r="B32" s="84" t="s">
        <v>246</v>
      </c>
      <c r="C32" s="63" t="s">
        <v>95</v>
      </c>
      <c r="D32" s="64">
        <v>3</v>
      </c>
      <c r="E32" s="65">
        <v>5.4298642533899999E-4</v>
      </c>
    </row>
    <row r="33" spans="2:5" ht="14.5">
      <c r="B33" s="85"/>
      <c r="C33" s="63" t="s">
        <v>99</v>
      </c>
      <c r="D33" s="64">
        <v>1</v>
      </c>
      <c r="E33" s="65">
        <v>1.8099547511300001E-4</v>
      </c>
    </row>
    <row r="34" spans="2:5" ht="14.5">
      <c r="B34" s="85"/>
      <c r="C34" s="63" t="s">
        <v>103</v>
      </c>
      <c r="D34" s="64">
        <v>1</v>
      </c>
      <c r="E34" s="65">
        <v>1.8099547511300001E-4</v>
      </c>
    </row>
    <row r="35" spans="2:5" ht="14.5">
      <c r="B35" s="85"/>
      <c r="C35" s="63" t="s">
        <v>104</v>
      </c>
      <c r="D35" s="64">
        <v>1</v>
      </c>
      <c r="E35" s="65">
        <v>1.8099547511300001E-4</v>
      </c>
    </row>
    <row r="36" spans="2:5" ht="14.5">
      <c r="B36" s="85"/>
      <c r="C36" s="63" t="s">
        <v>120</v>
      </c>
      <c r="D36" s="64">
        <v>3</v>
      </c>
      <c r="E36" s="65">
        <v>5.4298642533899999E-4</v>
      </c>
    </row>
    <row r="37" spans="2:5" ht="14.5">
      <c r="B37" s="85"/>
      <c r="C37" s="63" t="s">
        <v>121</v>
      </c>
      <c r="D37" s="64">
        <v>1</v>
      </c>
      <c r="E37" s="65">
        <v>1.8099547511300001E-4</v>
      </c>
    </row>
    <row r="38" spans="2:5" ht="14.5">
      <c r="B38" s="85"/>
      <c r="C38" s="63" t="s">
        <v>129</v>
      </c>
      <c r="D38" s="64">
        <v>1</v>
      </c>
      <c r="E38" s="65">
        <v>1.8099547511300001E-4</v>
      </c>
    </row>
    <row r="39" spans="2:5" ht="14.5">
      <c r="B39" s="85"/>
      <c r="C39" s="63" t="s">
        <v>130</v>
      </c>
      <c r="D39" s="64">
        <v>3</v>
      </c>
      <c r="E39" s="65">
        <v>5.4298642533899999E-4</v>
      </c>
    </row>
    <row r="40" spans="2:5" ht="14.5">
      <c r="B40" s="86"/>
      <c r="C40" s="36" t="s">
        <v>29</v>
      </c>
      <c r="D40" s="35">
        <v>14</v>
      </c>
      <c r="E40" s="34">
        <v>2.533936651584E-3</v>
      </c>
    </row>
    <row r="41" spans="2:5" ht="14.5">
      <c r="B41" s="84" t="s">
        <v>247</v>
      </c>
      <c r="C41" s="63" t="s">
        <v>94</v>
      </c>
      <c r="D41" s="64">
        <v>2</v>
      </c>
      <c r="E41" s="65">
        <v>3.6199095022600001E-4</v>
      </c>
    </row>
    <row r="42" spans="2:5" ht="14.5">
      <c r="B42" s="85"/>
      <c r="C42" s="63" t="s">
        <v>95</v>
      </c>
      <c r="D42" s="64">
        <v>7</v>
      </c>
      <c r="E42" s="65">
        <v>1.266968325792E-3</v>
      </c>
    </row>
    <row r="43" spans="2:5" ht="14.5">
      <c r="B43" s="85"/>
      <c r="C43" s="63" t="s">
        <v>97</v>
      </c>
      <c r="D43" s="64">
        <v>3</v>
      </c>
      <c r="E43" s="65">
        <v>5.4298642533899999E-4</v>
      </c>
    </row>
    <row r="44" spans="2:5" ht="14.5">
      <c r="B44" s="85"/>
      <c r="C44" s="63" t="s">
        <v>104</v>
      </c>
      <c r="D44" s="64">
        <v>2</v>
      </c>
      <c r="E44" s="65">
        <v>3.6199095022600001E-4</v>
      </c>
    </row>
    <row r="45" spans="2:5" ht="14.5">
      <c r="B45" s="85"/>
      <c r="C45" s="63" t="s">
        <v>115</v>
      </c>
      <c r="D45" s="64">
        <v>3</v>
      </c>
      <c r="E45" s="65">
        <v>5.4298642533899999E-4</v>
      </c>
    </row>
    <row r="46" spans="2:5" ht="14.5">
      <c r="B46" s="85"/>
      <c r="C46" s="63" t="s">
        <v>118</v>
      </c>
      <c r="D46" s="64">
        <v>2</v>
      </c>
      <c r="E46" s="65">
        <v>3.6199095022600001E-4</v>
      </c>
    </row>
    <row r="47" spans="2:5" ht="14.5">
      <c r="B47" s="85"/>
      <c r="C47" s="63" t="s">
        <v>120</v>
      </c>
      <c r="D47" s="64">
        <v>6</v>
      </c>
      <c r="E47" s="65">
        <v>1.0859728506790001E-3</v>
      </c>
    </row>
    <row r="48" spans="2:5" ht="14.5">
      <c r="B48" s="85"/>
      <c r="C48" s="63" t="s">
        <v>121</v>
      </c>
      <c r="D48" s="64">
        <v>2</v>
      </c>
      <c r="E48" s="65">
        <v>3.6199095022600001E-4</v>
      </c>
    </row>
    <row r="49" spans="2:5" ht="14.5">
      <c r="B49" s="85"/>
      <c r="C49" s="63" t="s">
        <v>124</v>
      </c>
      <c r="D49" s="64">
        <v>1</v>
      </c>
      <c r="E49" s="65">
        <v>1.8099547511300001E-4</v>
      </c>
    </row>
    <row r="50" spans="2:5" ht="14.5">
      <c r="B50" s="85"/>
      <c r="C50" s="63" t="s">
        <v>126</v>
      </c>
      <c r="D50" s="64">
        <v>1</v>
      </c>
      <c r="E50" s="65">
        <v>1.8099547511300001E-4</v>
      </c>
    </row>
    <row r="51" spans="2:5" ht="14.5">
      <c r="B51" s="85"/>
      <c r="C51" s="63" t="s">
        <v>130</v>
      </c>
      <c r="D51" s="64">
        <v>7</v>
      </c>
      <c r="E51" s="65">
        <v>1.266968325792E-3</v>
      </c>
    </row>
    <row r="52" spans="2:5" ht="14.5">
      <c r="B52" s="85"/>
      <c r="C52" s="63" t="s">
        <v>131</v>
      </c>
      <c r="D52" s="64">
        <v>1</v>
      </c>
      <c r="E52" s="65">
        <v>1.8099547511300001E-4</v>
      </c>
    </row>
    <row r="53" spans="2:5" ht="14.5">
      <c r="B53" s="86"/>
      <c r="C53" s="36" t="s">
        <v>29</v>
      </c>
      <c r="D53" s="35">
        <v>37</v>
      </c>
      <c r="E53" s="34">
        <v>6.6968325791860002E-3</v>
      </c>
    </row>
    <row r="54" spans="2:5" ht="14.5">
      <c r="B54" s="84" t="s">
        <v>248</v>
      </c>
      <c r="C54" s="63" t="s">
        <v>95</v>
      </c>
      <c r="D54" s="64">
        <v>7</v>
      </c>
      <c r="E54" s="65">
        <v>1.266968325792E-3</v>
      </c>
    </row>
    <row r="55" spans="2:5" ht="14.5">
      <c r="B55" s="85"/>
      <c r="C55" s="63" t="s">
        <v>101</v>
      </c>
      <c r="D55" s="64">
        <v>2</v>
      </c>
      <c r="E55" s="65">
        <v>3.6199095022600001E-4</v>
      </c>
    </row>
    <row r="56" spans="2:5" ht="14.5">
      <c r="B56" s="85"/>
      <c r="C56" s="63" t="s">
        <v>103</v>
      </c>
      <c r="D56" s="64">
        <v>1</v>
      </c>
      <c r="E56" s="65">
        <v>1.8099547511300001E-4</v>
      </c>
    </row>
    <row r="57" spans="2:5" ht="14.5">
      <c r="B57" s="85"/>
      <c r="C57" s="63" t="s">
        <v>104</v>
      </c>
      <c r="D57" s="64">
        <v>2</v>
      </c>
      <c r="E57" s="65">
        <v>3.6199095022600001E-4</v>
      </c>
    </row>
    <row r="58" spans="2:5" ht="14.5">
      <c r="B58" s="85"/>
      <c r="C58" s="63" t="s">
        <v>105</v>
      </c>
      <c r="D58" s="64">
        <v>2</v>
      </c>
      <c r="E58" s="65">
        <v>3.6199095022600001E-4</v>
      </c>
    </row>
    <row r="59" spans="2:5" ht="14.5">
      <c r="B59" s="85"/>
      <c r="C59" s="63" t="s">
        <v>118</v>
      </c>
      <c r="D59" s="64">
        <v>2</v>
      </c>
      <c r="E59" s="65">
        <v>3.6199095022600001E-4</v>
      </c>
    </row>
    <row r="60" spans="2:5" ht="14.5">
      <c r="B60" s="85"/>
      <c r="C60" s="63" t="s">
        <v>119</v>
      </c>
      <c r="D60" s="64">
        <v>1</v>
      </c>
      <c r="E60" s="65">
        <v>1.8099547511300001E-4</v>
      </c>
    </row>
    <row r="61" spans="2:5" ht="14.5">
      <c r="B61" s="85"/>
      <c r="C61" s="63" t="s">
        <v>120</v>
      </c>
      <c r="D61" s="64">
        <v>1</v>
      </c>
      <c r="E61" s="65">
        <v>1.8099547511300001E-4</v>
      </c>
    </row>
    <row r="62" spans="2:5" ht="14.5">
      <c r="B62" s="85"/>
      <c r="C62" s="63" t="s">
        <v>121</v>
      </c>
      <c r="D62" s="64">
        <v>1</v>
      </c>
      <c r="E62" s="65">
        <v>1.8099547511300001E-4</v>
      </c>
    </row>
    <row r="63" spans="2:5" ht="14.5">
      <c r="B63" s="85"/>
      <c r="C63" s="63" t="s">
        <v>126</v>
      </c>
      <c r="D63" s="64">
        <v>2</v>
      </c>
      <c r="E63" s="65">
        <v>3.6199095022600001E-4</v>
      </c>
    </row>
    <row r="64" spans="2:5" ht="14.5">
      <c r="B64" s="85"/>
      <c r="C64" s="63" t="s">
        <v>129</v>
      </c>
      <c r="D64" s="64">
        <v>1</v>
      </c>
      <c r="E64" s="65">
        <v>1.8099547511300001E-4</v>
      </c>
    </row>
    <row r="65" spans="2:5" ht="14.5">
      <c r="B65" s="85"/>
      <c r="C65" s="63" t="s">
        <v>131</v>
      </c>
      <c r="D65" s="64">
        <v>1</v>
      </c>
      <c r="E65" s="65">
        <v>1.8099547511300001E-4</v>
      </c>
    </row>
    <row r="66" spans="2:5" ht="14.5">
      <c r="B66" s="85"/>
      <c r="C66" s="63" t="s">
        <v>134</v>
      </c>
      <c r="D66" s="64">
        <v>1</v>
      </c>
      <c r="E66" s="65">
        <v>1.8099547511300001E-4</v>
      </c>
    </row>
    <row r="67" spans="2:5" ht="14.5">
      <c r="B67" s="86"/>
      <c r="C67" s="36" t="s">
        <v>29</v>
      </c>
      <c r="D67" s="35">
        <v>24</v>
      </c>
      <c r="E67" s="34">
        <v>4.3438914027150001E-3</v>
      </c>
    </row>
    <row r="68" spans="2:5" ht="14.5">
      <c r="B68" s="84" t="s">
        <v>249</v>
      </c>
      <c r="C68" s="63" t="s">
        <v>92</v>
      </c>
      <c r="D68" s="64">
        <v>1</v>
      </c>
      <c r="E68" s="65">
        <v>1.8099547511300001E-4</v>
      </c>
    </row>
    <row r="69" spans="2:5" ht="14.5">
      <c r="B69" s="85"/>
      <c r="C69" s="63" t="s">
        <v>95</v>
      </c>
      <c r="D69" s="64">
        <v>5</v>
      </c>
      <c r="E69" s="65">
        <v>9.0497737556600002E-4</v>
      </c>
    </row>
    <row r="70" spans="2:5" ht="14.5">
      <c r="B70" s="85"/>
      <c r="C70" s="63" t="s">
        <v>97</v>
      </c>
      <c r="D70" s="64">
        <v>1</v>
      </c>
      <c r="E70" s="65">
        <v>1.8099547511300001E-4</v>
      </c>
    </row>
    <row r="71" spans="2:5" ht="14.5">
      <c r="B71" s="85"/>
      <c r="C71" s="63" t="s">
        <v>103</v>
      </c>
      <c r="D71" s="64">
        <v>1</v>
      </c>
      <c r="E71" s="65">
        <v>1.8099547511300001E-4</v>
      </c>
    </row>
    <row r="72" spans="2:5" ht="14.5">
      <c r="B72" s="85"/>
      <c r="C72" s="63" t="s">
        <v>104</v>
      </c>
      <c r="D72" s="64">
        <v>1</v>
      </c>
      <c r="E72" s="65">
        <v>1.8099547511300001E-4</v>
      </c>
    </row>
    <row r="73" spans="2:5" ht="14.5">
      <c r="B73" s="85"/>
      <c r="C73" s="63" t="s">
        <v>110</v>
      </c>
      <c r="D73" s="64">
        <v>1</v>
      </c>
      <c r="E73" s="65">
        <v>1.8099547511300001E-4</v>
      </c>
    </row>
    <row r="74" spans="2:5" ht="14.5">
      <c r="B74" s="85"/>
      <c r="C74" s="63" t="s">
        <v>113</v>
      </c>
      <c r="D74" s="64">
        <v>2</v>
      </c>
      <c r="E74" s="65">
        <v>3.6199095022600001E-4</v>
      </c>
    </row>
    <row r="75" spans="2:5" ht="14.5">
      <c r="B75" s="85"/>
      <c r="C75" s="63" t="s">
        <v>118</v>
      </c>
      <c r="D75" s="64">
        <v>4</v>
      </c>
      <c r="E75" s="65">
        <v>7.2398190045200002E-4</v>
      </c>
    </row>
    <row r="76" spans="2:5" ht="14.5">
      <c r="B76" s="85"/>
      <c r="C76" s="63" t="s">
        <v>120</v>
      </c>
      <c r="D76" s="64">
        <v>6</v>
      </c>
      <c r="E76" s="65">
        <v>1.0859728506790001E-3</v>
      </c>
    </row>
    <row r="77" spans="2:5" ht="14.5">
      <c r="B77" s="85"/>
      <c r="C77" s="63" t="s">
        <v>121</v>
      </c>
      <c r="D77" s="64">
        <v>1</v>
      </c>
      <c r="E77" s="65">
        <v>1.8099547511300001E-4</v>
      </c>
    </row>
    <row r="78" spans="2:5" ht="14.5">
      <c r="B78" s="85"/>
      <c r="C78" s="63" t="s">
        <v>124</v>
      </c>
      <c r="D78" s="64">
        <v>1</v>
      </c>
      <c r="E78" s="65">
        <v>1.8099547511300001E-4</v>
      </c>
    </row>
    <row r="79" spans="2:5" ht="14.5">
      <c r="B79" s="85"/>
      <c r="C79" s="63" t="s">
        <v>125</v>
      </c>
      <c r="D79" s="64">
        <v>1</v>
      </c>
      <c r="E79" s="65">
        <v>1.8099547511300001E-4</v>
      </c>
    </row>
    <row r="80" spans="2:5" ht="14.5">
      <c r="B80" s="85"/>
      <c r="C80" s="63" t="s">
        <v>126</v>
      </c>
      <c r="D80" s="64">
        <v>1</v>
      </c>
      <c r="E80" s="65">
        <v>1.8099547511300001E-4</v>
      </c>
    </row>
    <row r="81" spans="2:5" ht="14.5">
      <c r="B81" s="86"/>
      <c r="C81" s="36" t="s">
        <v>29</v>
      </c>
      <c r="D81" s="35">
        <v>26</v>
      </c>
      <c r="E81" s="34">
        <v>4.705882352941E-3</v>
      </c>
    </row>
    <row r="82" spans="2:5" ht="14.5">
      <c r="B82" s="84" t="s">
        <v>250</v>
      </c>
      <c r="C82" s="63" t="s">
        <v>92</v>
      </c>
      <c r="D82" s="64">
        <v>3</v>
      </c>
      <c r="E82" s="65">
        <v>5.4298642533899999E-4</v>
      </c>
    </row>
    <row r="83" spans="2:5" ht="14.5">
      <c r="B83" s="85"/>
      <c r="C83" s="63" t="s">
        <v>93</v>
      </c>
      <c r="D83" s="64">
        <v>3</v>
      </c>
      <c r="E83" s="65">
        <v>5.4298642533899999E-4</v>
      </c>
    </row>
    <row r="84" spans="2:5" ht="14.5">
      <c r="B84" s="85"/>
      <c r="C84" s="63" t="s">
        <v>95</v>
      </c>
      <c r="D84" s="64">
        <v>88</v>
      </c>
      <c r="E84" s="65">
        <v>1.5927601809954998E-2</v>
      </c>
    </row>
    <row r="85" spans="2:5" ht="14.5">
      <c r="B85" s="85"/>
      <c r="C85" s="63" t="s">
        <v>96</v>
      </c>
      <c r="D85" s="64">
        <v>4</v>
      </c>
      <c r="E85" s="65">
        <v>7.2398190045200002E-4</v>
      </c>
    </row>
    <row r="86" spans="2:5" ht="14.5">
      <c r="B86" s="85"/>
      <c r="C86" s="63" t="s">
        <v>97</v>
      </c>
      <c r="D86" s="64">
        <v>7</v>
      </c>
      <c r="E86" s="65">
        <v>1.266968325792E-3</v>
      </c>
    </row>
    <row r="87" spans="2:5" ht="14.5">
      <c r="B87" s="85"/>
      <c r="C87" s="63" t="s">
        <v>100</v>
      </c>
      <c r="D87" s="64">
        <v>7</v>
      </c>
      <c r="E87" s="65">
        <v>1.266968325792E-3</v>
      </c>
    </row>
    <row r="88" spans="2:5" ht="14.5">
      <c r="B88" s="85"/>
      <c r="C88" s="63" t="s">
        <v>101</v>
      </c>
      <c r="D88" s="64">
        <v>9</v>
      </c>
      <c r="E88" s="65">
        <v>1.628959276018E-3</v>
      </c>
    </row>
    <row r="89" spans="2:5" ht="14.5">
      <c r="B89" s="85"/>
      <c r="C89" s="63" t="s">
        <v>103</v>
      </c>
      <c r="D89" s="64">
        <v>9</v>
      </c>
      <c r="E89" s="65">
        <v>1.628959276018E-3</v>
      </c>
    </row>
    <row r="90" spans="2:5" ht="14.5">
      <c r="B90" s="85"/>
      <c r="C90" s="63" t="s">
        <v>104</v>
      </c>
      <c r="D90" s="64">
        <v>12</v>
      </c>
      <c r="E90" s="65">
        <v>2.171945701357E-3</v>
      </c>
    </row>
    <row r="91" spans="2:5" ht="14.5">
      <c r="B91" s="85"/>
      <c r="C91" s="63" t="s">
        <v>105</v>
      </c>
      <c r="D91" s="64">
        <v>9</v>
      </c>
      <c r="E91" s="65">
        <v>1.628959276018E-3</v>
      </c>
    </row>
    <row r="92" spans="2:5" ht="14.5">
      <c r="B92" s="85"/>
      <c r="C92" s="63" t="s">
        <v>108</v>
      </c>
      <c r="D92" s="64">
        <v>2</v>
      </c>
      <c r="E92" s="65">
        <v>3.6199095022600001E-4</v>
      </c>
    </row>
    <row r="93" spans="2:5" ht="14.5">
      <c r="B93" s="85"/>
      <c r="C93" s="63" t="s">
        <v>110</v>
      </c>
      <c r="D93" s="64">
        <v>1</v>
      </c>
      <c r="E93" s="65">
        <v>1.8099547511300001E-4</v>
      </c>
    </row>
    <row r="94" spans="2:5" ht="14.5">
      <c r="B94" s="85"/>
      <c r="C94" s="63" t="s">
        <v>111</v>
      </c>
      <c r="D94" s="64">
        <v>1</v>
      </c>
      <c r="E94" s="65">
        <v>1.8099547511300001E-4</v>
      </c>
    </row>
    <row r="95" spans="2:5" ht="14.5">
      <c r="B95" s="85"/>
      <c r="C95" s="63" t="s">
        <v>115</v>
      </c>
      <c r="D95" s="64">
        <v>2</v>
      </c>
      <c r="E95" s="65">
        <v>3.6199095022600001E-4</v>
      </c>
    </row>
    <row r="96" spans="2:5" ht="14.5">
      <c r="B96" s="85"/>
      <c r="C96" s="63" t="s">
        <v>117</v>
      </c>
      <c r="D96" s="64">
        <v>7</v>
      </c>
      <c r="E96" s="65">
        <v>1.266968325792E-3</v>
      </c>
    </row>
    <row r="97" spans="2:5" ht="14.5">
      <c r="B97" s="85"/>
      <c r="C97" s="63" t="s">
        <v>118</v>
      </c>
      <c r="D97" s="64">
        <v>27</v>
      </c>
      <c r="E97" s="65">
        <v>4.8868778280539999E-3</v>
      </c>
    </row>
    <row r="98" spans="2:5" ht="14.5">
      <c r="B98" s="85"/>
      <c r="C98" s="63" t="s">
        <v>119</v>
      </c>
      <c r="D98" s="64">
        <v>1</v>
      </c>
      <c r="E98" s="65">
        <v>1.8099547511300001E-4</v>
      </c>
    </row>
    <row r="99" spans="2:5" ht="14.5">
      <c r="B99" s="85"/>
      <c r="C99" s="63" t="s">
        <v>120</v>
      </c>
      <c r="D99" s="64">
        <v>77</v>
      </c>
      <c r="E99" s="65">
        <v>1.393665158371E-2</v>
      </c>
    </row>
    <row r="100" spans="2:5" ht="14.5">
      <c r="B100" s="85"/>
      <c r="C100" s="63" t="s">
        <v>121</v>
      </c>
      <c r="D100" s="64">
        <v>3</v>
      </c>
      <c r="E100" s="65">
        <v>5.4298642533899999E-4</v>
      </c>
    </row>
    <row r="101" spans="2:5" ht="14.5">
      <c r="B101" s="85"/>
      <c r="C101" s="63" t="s">
        <v>125</v>
      </c>
      <c r="D101" s="64">
        <v>2</v>
      </c>
      <c r="E101" s="65">
        <v>3.6199095022600001E-4</v>
      </c>
    </row>
    <row r="102" spans="2:5" ht="14.5">
      <c r="B102" s="85"/>
      <c r="C102" s="63" t="s">
        <v>126</v>
      </c>
      <c r="D102" s="64">
        <v>6</v>
      </c>
      <c r="E102" s="65">
        <v>1.0859728506790001E-3</v>
      </c>
    </row>
    <row r="103" spans="2:5" ht="14.5">
      <c r="B103" s="85"/>
      <c r="C103" s="63" t="s">
        <v>128</v>
      </c>
      <c r="D103" s="64">
        <v>2</v>
      </c>
      <c r="E103" s="65">
        <v>3.6199095022600001E-4</v>
      </c>
    </row>
    <row r="104" spans="2:5" ht="14.5">
      <c r="B104" s="85"/>
      <c r="C104" s="63" t="s">
        <v>129</v>
      </c>
      <c r="D104" s="64">
        <v>2</v>
      </c>
      <c r="E104" s="65">
        <v>3.6199095022600001E-4</v>
      </c>
    </row>
    <row r="105" spans="2:5" ht="14.5">
      <c r="B105" s="85"/>
      <c r="C105" s="63" t="s">
        <v>130</v>
      </c>
      <c r="D105" s="64">
        <v>37</v>
      </c>
      <c r="E105" s="65">
        <v>6.6968325791860002E-3</v>
      </c>
    </row>
    <row r="106" spans="2:5" ht="14.5">
      <c r="B106" s="85"/>
      <c r="C106" s="63" t="s">
        <v>131</v>
      </c>
      <c r="D106" s="64">
        <v>5</v>
      </c>
      <c r="E106" s="65">
        <v>9.0497737556600002E-4</v>
      </c>
    </row>
    <row r="107" spans="2:5" ht="14.5">
      <c r="B107" s="85"/>
      <c r="C107" s="63" t="s">
        <v>132</v>
      </c>
      <c r="D107" s="64">
        <v>1</v>
      </c>
      <c r="E107" s="65">
        <v>1.8099547511300001E-4</v>
      </c>
    </row>
    <row r="108" spans="2:5" ht="14.5">
      <c r="B108" s="85"/>
      <c r="C108" s="63" t="s">
        <v>70</v>
      </c>
      <c r="D108" s="64">
        <v>1</v>
      </c>
      <c r="E108" s="65">
        <v>1.8099547511300001E-4</v>
      </c>
    </row>
    <row r="109" spans="2:5" ht="14.5">
      <c r="B109" s="85"/>
      <c r="C109" s="63" t="s">
        <v>133</v>
      </c>
      <c r="D109" s="64">
        <v>2</v>
      </c>
      <c r="E109" s="65">
        <v>3.6199095022600001E-4</v>
      </c>
    </row>
    <row r="110" spans="2:5" ht="14.5">
      <c r="B110" s="85"/>
      <c r="C110" s="63" t="s">
        <v>134</v>
      </c>
      <c r="D110" s="64">
        <v>5</v>
      </c>
      <c r="E110" s="65">
        <v>9.0497737556600002E-4</v>
      </c>
    </row>
    <row r="111" spans="2:5" ht="14.5">
      <c r="B111" s="86"/>
      <c r="C111" s="36" t="s">
        <v>29</v>
      </c>
      <c r="D111" s="35">
        <v>335</v>
      </c>
      <c r="E111" s="34">
        <v>6.0633484162895997E-2</v>
      </c>
    </row>
    <row r="112" spans="2:5" ht="14.5">
      <c r="B112" s="84" t="s">
        <v>251</v>
      </c>
      <c r="C112" s="63" t="s">
        <v>92</v>
      </c>
      <c r="D112" s="64">
        <v>3</v>
      </c>
      <c r="E112" s="65">
        <v>5.4298642533899999E-4</v>
      </c>
    </row>
    <row r="113" spans="2:5" ht="14.5">
      <c r="B113" s="85"/>
      <c r="C113" s="63" t="s">
        <v>93</v>
      </c>
      <c r="D113" s="64">
        <v>6</v>
      </c>
      <c r="E113" s="65">
        <v>1.0859728506790001E-3</v>
      </c>
    </row>
    <row r="114" spans="2:5" ht="14.5">
      <c r="B114" s="85"/>
      <c r="C114" s="63" t="s">
        <v>94</v>
      </c>
      <c r="D114" s="64">
        <v>5</v>
      </c>
      <c r="E114" s="65">
        <v>9.0497737556600002E-4</v>
      </c>
    </row>
    <row r="115" spans="2:5" ht="14.5">
      <c r="B115" s="85"/>
      <c r="C115" s="63" t="s">
        <v>95</v>
      </c>
      <c r="D115" s="64">
        <v>173</v>
      </c>
      <c r="E115" s="65">
        <v>3.1312217194570002E-2</v>
      </c>
    </row>
    <row r="116" spans="2:5" ht="14.5">
      <c r="B116" s="85"/>
      <c r="C116" s="63" t="s">
        <v>96</v>
      </c>
      <c r="D116" s="64">
        <v>3</v>
      </c>
      <c r="E116" s="65">
        <v>5.4298642533899999E-4</v>
      </c>
    </row>
    <row r="117" spans="2:5" ht="14.5">
      <c r="B117" s="85"/>
      <c r="C117" s="63" t="s">
        <v>97</v>
      </c>
      <c r="D117" s="64">
        <v>22</v>
      </c>
      <c r="E117" s="65">
        <v>3.9819004524890003E-3</v>
      </c>
    </row>
    <row r="118" spans="2:5" ht="14.5">
      <c r="B118" s="85"/>
      <c r="C118" s="63" t="s">
        <v>98</v>
      </c>
      <c r="D118" s="64">
        <v>3</v>
      </c>
      <c r="E118" s="65">
        <v>5.4298642533899999E-4</v>
      </c>
    </row>
    <row r="119" spans="2:5" ht="14.5">
      <c r="B119" s="85"/>
      <c r="C119" s="63" t="s">
        <v>100</v>
      </c>
      <c r="D119" s="64">
        <v>5</v>
      </c>
      <c r="E119" s="65">
        <v>9.0497737556600002E-4</v>
      </c>
    </row>
    <row r="120" spans="2:5" ht="14.5">
      <c r="B120" s="85"/>
      <c r="C120" s="63" t="s">
        <v>101</v>
      </c>
      <c r="D120" s="64">
        <v>12</v>
      </c>
      <c r="E120" s="65">
        <v>2.171945701357E-3</v>
      </c>
    </row>
    <row r="121" spans="2:5" ht="14.5">
      <c r="B121" s="85"/>
      <c r="C121" s="63" t="s">
        <v>103</v>
      </c>
      <c r="D121" s="64">
        <v>15</v>
      </c>
      <c r="E121" s="65">
        <v>2.7149321266969999E-3</v>
      </c>
    </row>
    <row r="122" spans="2:5" ht="14.5">
      <c r="B122" s="85"/>
      <c r="C122" s="63" t="s">
        <v>104</v>
      </c>
      <c r="D122" s="64">
        <v>74</v>
      </c>
      <c r="E122" s="65">
        <v>1.3393665158370999E-2</v>
      </c>
    </row>
    <row r="123" spans="2:5" ht="14.5">
      <c r="B123" s="85"/>
      <c r="C123" s="63" t="s">
        <v>105</v>
      </c>
      <c r="D123" s="64">
        <v>26</v>
      </c>
      <c r="E123" s="65">
        <v>4.705882352941E-3</v>
      </c>
    </row>
    <row r="124" spans="2:5" ht="14.5">
      <c r="B124" s="85"/>
      <c r="C124" s="63" t="s">
        <v>107</v>
      </c>
      <c r="D124" s="64">
        <v>4</v>
      </c>
      <c r="E124" s="65">
        <v>7.2398190045200002E-4</v>
      </c>
    </row>
    <row r="125" spans="2:5" ht="14.5">
      <c r="B125" s="85"/>
      <c r="C125" s="63" t="s">
        <v>108</v>
      </c>
      <c r="D125" s="64">
        <v>3</v>
      </c>
      <c r="E125" s="65">
        <v>5.4298642533899999E-4</v>
      </c>
    </row>
    <row r="126" spans="2:5" ht="14.5">
      <c r="B126" s="85"/>
      <c r="C126" s="63" t="s">
        <v>109</v>
      </c>
      <c r="D126" s="64">
        <v>2</v>
      </c>
      <c r="E126" s="65">
        <v>3.6199095022600001E-4</v>
      </c>
    </row>
    <row r="127" spans="2:5" ht="14.5">
      <c r="B127" s="85"/>
      <c r="C127" s="63" t="s">
        <v>110</v>
      </c>
      <c r="D127" s="64">
        <v>2</v>
      </c>
      <c r="E127" s="65">
        <v>3.6199095022600001E-4</v>
      </c>
    </row>
    <row r="128" spans="2:5" ht="14.5">
      <c r="B128" s="85"/>
      <c r="C128" s="63" t="s">
        <v>111</v>
      </c>
      <c r="D128" s="64">
        <v>1</v>
      </c>
      <c r="E128" s="65">
        <v>1.8099547511300001E-4</v>
      </c>
    </row>
    <row r="129" spans="2:5" ht="14.5">
      <c r="B129" s="85"/>
      <c r="C129" s="63" t="s">
        <v>112</v>
      </c>
      <c r="D129" s="64">
        <v>5</v>
      </c>
      <c r="E129" s="65">
        <v>9.0497737556600002E-4</v>
      </c>
    </row>
    <row r="130" spans="2:5" ht="14.5">
      <c r="B130" s="85"/>
      <c r="C130" s="63" t="s">
        <v>113</v>
      </c>
      <c r="D130" s="64">
        <v>10</v>
      </c>
      <c r="E130" s="65">
        <v>1.809954751131E-3</v>
      </c>
    </row>
    <row r="131" spans="2:5" ht="14.5">
      <c r="B131" s="85"/>
      <c r="C131" s="63" t="s">
        <v>115</v>
      </c>
      <c r="D131" s="64">
        <v>13</v>
      </c>
      <c r="E131" s="65">
        <v>2.352941176471E-3</v>
      </c>
    </row>
    <row r="132" spans="2:5" ht="14.5">
      <c r="B132" s="85"/>
      <c r="C132" s="63" t="s">
        <v>117</v>
      </c>
      <c r="D132" s="64">
        <v>3</v>
      </c>
      <c r="E132" s="65">
        <v>5.4298642533899999E-4</v>
      </c>
    </row>
    <row r="133" spans="2:5" ht="14.5">
      <c r="B133" s="85"/>
      <c r="C133" s="63" t="s">
        <v>118</v>
      </c>
      <c r="D133" s="64">
        <v>46</v>
      </c>
      <c r="E133" s="65">
        <v>8.3257918552040004E-3</v>
      </c>
    </row>
    <row r="134" spans="2:5" ht="14.5">
      <c r="B134" s="85"/>
      <c r="C134" s="63" t="s">
        <v>119</v>
      </c>
      <c r="D134" s="64">
        <v>1</v>
      </c>
      <c r="E134" s="65">
        <v>1.8099547511300001E-4</v>
      </c>
    </row>
    <row r="135" spans="2:5" ht="14.5">
      <c r="B135" s="85"/>
      <c r="C135" s="63" t="s">
        <v>120</v>
      </c>
      <c r="D135" s="64">
        <v>87</v>
      </c>
      <c r="E135" s="65">
        <v>1.5746606334842001E-2</v>
      </c>
    </row>
    <row r="136" spans="2:5" ht="14.5">
      <c r="B136" s="85"/>
      <c r="C136" s="63" t="s">
        <v>121</v>
      </c>
      <c r="D136" s="64">
        <v>13</v>
      </c>
      <c r="E136" s="65">
        <v>2.352941176471E-3</v>
      </c>
    </row>
    <row r="137" spans="2:5" ht="14.5">
      <c r="B137" s="85"/>
      <c r="C137" s="63" t="s">
        <v>123</v>
      </c>
      <c r="D137" s="64">
        <v>3</v>
      </c>
      <c r="E137" s="65">
        <v>5.4298642533899999E-4</v>
      </c>
    </row>
    <row r="138" spans="2:5" ht="14.5">
      <c r="B138" s="85"/>
      <c r="C138" s="63" t="s">
        <v>124</v>
      </c>
      <c r="D138" s="64">
        <v>4</v>
      </c>
      <c r="E138" s="65">
        <v>7.2398190045200002E-4</v>
      </c>
    </row>
    <row r="139" spans="2:5" ht="14.5">
      <c r="B139" s="85"/>
      <c r="C139" s="63" t="s">
        <v>125</v>
      </c>
      <c r="D139" s="64">
        <v>7</v>
      </c>
      <c r="E139" s="65">
        <v>1.266968325792E-3</v>
      </c>
    </row>
    <row r="140" spans="2:5" ht="14.5">
      <c r="B140" s="85"/>
      <c r="C140" s="63" t="s">
        <v>126</v>
      </c>
      <c r="D140" s="64">
        <v>18</v>
      </c>
      <c r="E140" s="65">
        <v>3.2579185520360001E-3</v>
      </c>
    </row>
    <row r="141" spans="2:5" ht="14.5">
      <c r="B141" s="85"/>
      <c r="C141" s="63" t="s">
        <v>127</v>
      </c>
      <c r="D141" s="64">
        <v>1</v>
      </c>
      <c r="E141" s="65">
        <v>1.8099547511300001E-4</v>
      </c>
    </row>
    <row r="142" spans="2:5" ht="14.5">
      <c r="B142" s="85"/>
      <c r="C142" s="63" t="s">
        <v>128</v>
      </c>
      <c r="D142" s="64">
        <v>5</v>
      </c>
      <c r="E142" s="65">
        <v>9.0497737556600002E-4</v>
      </c>
    </row>
    <row r="143" spans="2:5" ht="14.5">
      <c r="B143" s="85"/>
      <c r="C143" s="63" t="s">
        <v>129</v>
      </c>
      <c r="D143" s="64">
        <v>2</v>
      </c>
      <c r="E143" s="65">
        <v>3.6199095022600001E-4</v>
      </c>
    </row>
    <row r="144" spans="2:5" ht="14.5">
      <c r="B144" s="85"/>
      <c r="C144" s="63" t="s">
        <v>130</v>
      </c>
      <c r="D144" s="64">
        <v>52</v>
      </c>
      <c r="E144" s="65">
        <v>9.411764705882E-3</v>
      </c>
    </row>
    <row r="145" spans="2:5" ht="14.5">
      <c r="B145" s="85"/>
      <c r="C145" s="63" t="s">
        <v>131</v>
      </c>
      <c r="D145" s="64">
        <v>6</v>
      </c>
      <c r="E145" s="65">
        <v>1.0859728506790001E-3</v>
      </c>
    </row>
    <row r="146" spans="2:5" ht="14.5">
      <c r="B146" s="85"/>
      <c r="C146" s="63" t="s">
        <v>132</v>
      </c>
      <c r="D146" s="64">
        <v>6</v>
      </c>
      <c r="E146" s="65">
        <v>1.0859728506790001E-3</v>
      </c>
    </row>
    <row r="147" spans="2:5" ht="14.5">
      <c r="B147" s="85"/>
      <c r="C147" s="63" t="s">
        <v>70</v>
      </c>
      <c r="D147" s="64">
        <v>3</v>
      </c>
      <c r="E147" s="65">
        <v>5.4298642533899999E-4</v>
      </c>
    </row>
    <row r="148" spans="2:5" ht="14.5">
      <c r="B148" s="85"/>
      <c r="C148" s="63" t="s">
        <v>133</v>
      </c>
      <c r="D148" s="64">
        <v>4</v>
      </c>
      <c r="E148" s="65">
        <v>7.2398190045200002E-4</v>
      </c>
    </row>
    <row r="149" spans="2:5" ht="14.5">
      <c r="B149" s="85"/>
      <c r="C149" s="63" t="s">
        <v>134</v>
      </c>
      <c r="D149" s="64">
        <v>20</v>
      </c>
      <c r="E149" s="65">
        <v>3.6199095022619999E-3</v>
      </c>
    </row>
    <row r="150" spans="2:5" ht="14.5">
      <c r="B150" s="86"/>
      <c r="C150" s="36" t="s">
        <v>29</v>
      </c>
      <c r="D150" s="35">
        <v>668</v>
      </c>
      <c r="E150" s="34">
        <v>0.12090497737556601</v>
      </c>
    </row>
    <row r="151" spans="2:5" ht="14.5">
      <c r="B151" s="84" t="s">
        <v>252</v>
      </c>
      <c r="C151" s="63" t="s">
        <v>95</v>
      </c>
      <c r="D151" s="64">
        <v>10</v>
      </c>
      <c r="E151" s="65">
        <v>1.809954751131E-3</v>
      </c>
    </row>
    <row r="152" spans="2:5" ht="14.5">
      <c r="B152" s="85"/>
      <c r="C152" s="63" t="s">
        <v>97</v>
      </c>
      <c r="D152" s="64">
        <v>3</v>
      </c>
      <c r="E152" s="65">
        <v>5.4298642533899999E-4</v>
      </c>
    </row>
    <row r="153" spans="2:5" ht="14.5">
      <c r="B153" s="85"/>
      <c r="C153" s="63" t="s">
        <v>101</v>
      </c>
      <c r="D153" s="64">
        <v>4</v>
      </c>
      <c r="E153" s="65">
        <v>7.2398190045200002E-4</v>
      </c>
    </row>
    <row r="154" spans="2:5" ht="14.5">
      <c r="B154" s="85"/>
      <c r="C154" s="63" t="s">
        <v>103</v>
      </c>
      <c r="D154" s="64">
        <v>2</v>
      </c>
      <c r="E154" s="65">
        <v>3.6199095022600001E-4</v>
      </c>
    </row>
    <row r="155" spans="2:5" ht="14.5">
      <c r="B155" s="85"/>
      <c r="C155" s="63" t="s">
        <v>104</v>
      </c>
      <c r="D155" s="64">
        <v>3</v>
      </c>
      <c r="E155" s="65">
        <v>5.4298642533899999E-4</v>
      </c>
    </row>
    <row r="156" spans="2:5" ht="14.5">
      <c r="B156" s="85"/>
      <c r="C156" s="63" t="s">
        <v>105</v>
      </c>
      <c r="D156" s="64">
        <v>1</v>
      </c>
      <c r="E156" s="65">
        <v>1.8099547511300001E-4</v>
      </c>
    </row>
    <row r="157" spans="2:5" ht="14.5">
      <c r="B157" s="85"/>
      <c r="C157" s="63" t="s">
        <v>115</v>
      </c>
      <c r="D157" s="64">
        <v>1</v>
      </c>
      <c r="E157" s="65">
        <v>1.8099547511300001E-4</v>
      </c>
    </row>
    <row r="158" spans="2:5" ht="14.5">
      <c r="B158" s="85"/>
      <c r="C158" s="63" t="s">
        <v>118</v>
      </c>
      <c r="D158" s="64">
        <v>3</v>
      </c>
      <c r="E158" s="65">
        <v>5.4298642533899999E-4</v>
      </c>
    </row>
    <row r="159" spans="2:5" ht="14.5">
      <c r="B159" s="85"/>
      <c r="C159" s="63" t="s">
        <v>120</v>
      </c>
      <c r="D159" s="64">
        <v>2</v>
      </c>
      <c r="E159" s="65">
        <v>3.6199095022600001E-4</v>
      </c>
    </row>
    <row r="160" spans="2:5" ht="14.5">
      <c r="B160" s="85"/>
      <c r="C160" s="63" t="s">
        <v>121</v>
      </c>
      <c r="D160" s="64">
        <v>1</v>
      </c>
      <c r="E160" s="65">
        <v>1.8099547511300001E-4</v>
      </c>
    </row>
    <row r="161" spans="2:5" ht="14.5">
      <c r="B161" s="85"/>
      <c r="C161" s="63" t="s">
        <v>128</v>
      </c>
      <c r="D161" s="64">
        <v>1</v>
      </c>
      <c r="E161" s="65">
        <v>1.8099547511300001E-4</v>
      </c>
    </row>
    <row r="162" spans="2:5" ht="14.5">
      <c r="B162" s="85"/>
      <c r="C162" s="63" t="s">
        <v>130</v>
      </c>
      <c r="D162" s="64">
        <v>3</v>
      </c>
      <c r="E162" s="65">
        <v>5.4298642533899999E-4</v>
      </c>
    </row>
    <row r="163" spans="2:5" ht="14.5">
      <c r="B163" s="85"/>
      <c r="C163" s="63" t="s">
        <v>134</v>
      </c>
      <c r="D163" s="64">
        <v>1</v>
      </c>
      <c r="E163" s="65">
        <v>1.8099547511300001E-4</v>
      </c>
    </row>
    <row r="164" spans="2:5" ht="14.5">
      <c r="B164" s="86"/>
      <c r="C164" s="36" t="s">
        <v>29</v>
      </c>
      <c r="D164" s="35">
        <v>35</v>
      </c>
      <c r="E164" s="34">
        <v>6.3348416289590002E-3</v>
      </c>
    </row>
    <row r="165" spans="2:5" ht="14.5">
      <c r="B165" s="84" t="s">
        <v>253</v>
      </c>
      <c r="C165" s="63" t="s">
        <v>92</v>
      </c>
      <c r="D165" s="64">
        <v>2</v>
      </c>
      <c r="E165" s="65">
        <v>3.6199095022600001E-4</v>
      </c>
    </row>
    <row r="166" spans="2:5" ht="14.5">
      <c r="B166" s="85"/>
      <c r="C166" s="63" t="s">
        <v>93</v>
      </c>
      <c r="D166" s="64">
        <v>1</v>
      </c>
      <c r="E166" s="65">
        <v>1.8099547511300001E-4</v>
      </c>
    </row>
    <row r="167" spans="2:5" ht="14.5">
      <c r="B167" s="85"/>
      <c r="C167" s="63" t="s">
        <v>95</v>
      </c>
      <c r="D167" s="64">
        <v>14</v>
      </c>
      <c r="E167" s="65">
        <v>2.533936651584E-3</v>
      </c>
    </row>
    <row r="168" spans="2:5" ht="14.5">
      <c r="B168" s="85"/>
      <c r="C168" s="63" t="s">
        <v>97</v>
      </c>
      <c r="D168" s="64">
        <v>5</v>
      </c>
      <c r="E168" s="65">
        <v>9.0497737556600002E-4</v>
      </c>
    </row>
    <row r="169" spans="2:5" ht="14.5">
      <c r="B169" s="85"/>
      <c r="C169" s="63" t="s">
        <v>100</v>
      </c>
      <c r="D169" s="64">
        <v>3</v>
      </c>
      <c r="E169" s="65">
        <v>5.4298642533899999E-4</v>
      </c>
    </row>
    <row r="170" spans="2:5" ht="14.5">
      <c r="B170" s="85"/>
      <c r="C170" s="63" t="s">
        <v>101</v>
      </c>
      <c r="D170" s="64">
        <v>2</v>
      </c>
      <c r="E170" s="65">
        <v>3.6199095022600001E-4</v>
      </c>
    </row>
    <row r="171" spans="2:5" ht="14.5">
      <c r="B171" s="85"/>
      <c r="C171" s="63" t="s">
        <v>103</v>
      </c>
      <c r="D171" s="64">
        <v>4</v>
      </c>
      <c r="E171" s="65">
        <v>7.2398190045200002E-4</v>
      </c>
    </row>
    <row r="172" spans="2:5" ht="14.5">
      <c r="B172" s="85"/>
      <c r="C172" s="63" t="s">
        <v>104</v>
      </c>
      <c r="D172" s="64">
        <v>2</v>
      </c>
      <c r="E172" s="65">
        <v>3.6199095022600001E-4</v>
      </c>
    </row>
    <row r="173" spans="2:5" ht="14.5">
      <c r="B173" s="85"/>
      <c r="C173" s="63" t="s">
        <v>105</v>
      </c>
      <c r="D173" s="64">
        <v>3</v>
      </c>
      <c r="E173" s="65">
        <v>5.4298642533899999E-4</v>
      </c>
    </row>
    <row r="174" spans="2:5" ht="14.5">
      <c r="B174" s="85"/>
      <c r="C174" s="63" t="s">
        <v>108</v>
      </c>
      <c r="D174" s="64">
        <v>1</v>
      </c>
      <c r="E174" s="65">
        <v>1.8099547511300001E-4</v>
      </c>
    </row>
    <row r="175" spans="2:5" ht="14.5">
      <c r="B175" s="85"/>
      <c r="C175" s="63" t="s">
        <v>110</v>
      </c>
      <c r="D175" s="64">
        <v>2</v>
      </c>
      <c r="E175" s="65">
        <v>3.6199095022600001E-4</v>
      </c>
    </row>
    <row r="176" spans="2:5" ht="14.5">
      <c r="B176" s="85"/>
      <c r="C176" s="63" t="s">
        <v>115</v>
      </c>
      <c r="D176" s="64">
        <v>3</v>
      </c>
      <c r="E176" s="65">
        <v>5.4298642533899999E-4</v>
      </c>
    </row>
    <row r="177" spans="2:5" ht="14.5">
      <c r="B177" s="85"/>
      <c r="C177" s="63" t="s">
        <v>117</v>
      </c>
      <c r="D177" s="64">
        <v>1</v>
      </c>
      <c r="E177" s="65">
        <v>1.8099547511300001E-4</v>
      </c>
    </row>
    <row r="178" spans="2:5" ht="14.5">
      <c r="B178" s="85"/>
      <c r="C178" s="63" t="s">
        <v>118</v>
      </c>
      <c r="D178" s="64">
        <v>12</v>
      </c>
      <c r="E178" s="65">
        <v>2.171945701357E-3</v>
      </c>
    </row>
    <row r="179" spans="2:5" ht="14.5">
      <c r="B179" s="85"/>
      <c r="C179" s="63" t="s">
        <v>120</v>
      </c>
      <c r="D179" s="64">
        <v>14</v>
      </c>
      <c r="E179" s="65">
        <v>2.533936651584E-3</v>
      </c>
    </row>
    <row r="180" spans="2:5" ht="14.5">
      <c r="B180" s="85"/>
      <c r="C180" s="63" t="s">
        <v>121</v>
      </c>
      <c r="D180" s="64">
        <v>3</v>
      </c>
      <c r="E180" s="65">
        <v>5.4298642533899999E-4</v>
      </c>
    </row>
    <row r="181" spans="2:5" ht="14.5">
      <c r="B181" s="85"/>
      <c r="C181" s="63" t="s">
        <v>123</v>
      </c>
      <c r="D181" s="64">
        <v>1</v>
      </c>
      <c r="E181" s="65">
        <v>1.8099547511300001E-4</v>
      </c>
    </row>
    <row r="182" spans="2:5" ht="14.5">
      <c r="B182" s="85"/>
      <c r="C182" s="63" t="s">
        <v>130</v>
      </c>
      <c r="D182" s="64">
        <v>17</v>
      </c>
      <c r="E182" s="65">
        <v>3.0769230769230002E-3</v>
      </c>
    </row>
    <row r="183" spans="2:5" ht="14.5">
      <c r="B183" s="85"/>
      <c r="C183" s="63" t="s">
        <v>131</v>
      </c>
      <c r="D183" s="64">
        <v>1</v>
      </c>
      <c r="E183" s="65">
        <v>1.8099547511300001E-4</v>
      </c>
    </row>
    <row r="184" spans="2:5" ht="14.5">
      <c r="B184" s="85"/>
      <c r="C184" s="63" t="s">
        <v>133</v>
      </c>
      <c r="D184" s="64">
        <v>3</v>
      </c>
      <c r="E184" s="65">
        <v>5.4298642533899999E-4</v>
      </c>
    </row>
    <row r="185" spans="2:5" ht="14.5">
      <c r="B185" s="85"/>
      <c r="C185" s="63" t="s">
        <v>134</v>
      </c>
      <c r="D185" s="64">
        <v>1</v>
      </c>
      <c r="E185" s="65">
        <v>1.8099547511300001E-4</v>
      </c>
    </row>
    <row r="186" spans="2:5" ht="14.5">
      <c r="B186" s="86"/>
      <c r="C186" s="36" t="s">
        <v>29</v>
      </c>
      <c r="D186" s="35">
        <v>95</v>
      </c>
      <c r="E186" s="34">
        <v>1.7194570135747E-2</v>
      </c>
    </row>
    <row r="187" spans="2:5" ht="14.5">
      <c r="B187" s="84" t="s">
        <v>254</v>
      </c>
      <c r="C187" s="63" t="s">
        <v>93</v>
      </c>
      <c r="D187" s="64">
        <v>4</v>
      </c>
      <c r="E187" s="65">
        <v>7.2398190045200002E-4</v>
      </c>
    </row>
    <row r="188" spans="2:5" ht="14.5">
      <c r="B188" s="85"/>
      <c r="C188" s="63" t="s">
        <v>95</v>
      </c>
      <c r="D188" s="64">
        <v>57</v>
      </c>
      <c r="E188" s="65">
        <v>1.0316742081448E-2</v>
      </c>
    </row>
    <row r="189" spans="2:5" ht="14.5">
      <c r="B189" s="85"/>
      <c r="C189" s="63" t="s">
        <v>96</v>
      </c>
      <c r="D189" s="64">
        <v>2</v>
      </c>
      <c r="E189" s="65">
        <v>3.6199095022600001E-4</v>
      </c>
    </row>
    <row r="190" spans="2:5" ht="14.5">
      <c r="B190" s="85"/>
      <c r="C190" s="63" t="s">
        <v>97</v>
      </c>
      <c r="D190" s="64">
        <v>10</v>
      </c>
      <c r="E190" s="65">
        <v>1.809954751131E-3</v>
      </c>
    </row>
    <row r="191" spans="2:5" ht="14.5">
      <c r="B191" s="85"/>
      <c r="C191" s="63" t="s">
        <v>98</v>
      </c>
      <c r="D191" s="64">
        <v>2</v>
      </c>
      <c r="E191" s="65">
        <v>3.6199095022600001E-4</v>
      </c>
    </row>
    <row r="192" spans="2:5" ht="14.5">
      <c r="B192" s="85"/>
      <c r="C192" s="63" t="s">
        <v>99</v>
      </c>
      <c r="D192" s="64">
        <v>1</v>
      </c>
      <c r="E192" s="65">
        <v>1.8099547511300001E-4</v>
      </c>
    </row>
    <row r="193" spans="2:5" ht="14.5">
      <c r="B193" s="85"/>
      <c r="C193" s="63" t="s">
        <v>100</v>
      </c>
      <c r="D193" s="64">
        <v>2</v>
      </c>
      <c r="E193" s="65">
        <v>3.6199095022600001E-4</v>
      </c>
    </row>
    <row r="194" spans="2:5" ht="14.5">
      <c r="B194" s="85"/>
      <c r="C194" s="63" t="s">
        <v>101</v>
      </c>
      <c r="D194" s="64">
        <v>1</v>
      </c>
      <c r="E194" s="65">
        <v>1.8099547511300001E-4</v>
      </c>
    </row>
    <row r="195" spans="2:5" ht="14.5">
      <c r="B195" s="85"/>
      <c r="C195" s="63" t="s">
        <v>103</v>
      </c>
      <c r="D195" s="64">
        <v>5</v>
      </c>
      <c r="E195" s="65">
        <v>9.0497737556600002E-4</v>
      </c>
    </row>
    <row r="196" spans="2:5" ht="14.5">
      <c r="B196" s="85"/>
      <c r="C196" s="63" t="s">
        <v>104</v>
      </c>
      <c r="D196" s="64">
        <v>16</v>
      </c>
      <c r="E196" s="65">
        <v>2.8959276018099998E-3</v>
      </c>
    </row>
    <row r="197" spans="2:5" ht="14.5">
      <c r="B197" s="85"/>
      <c r="C197" s="63" t="s">
        <v>105</v>
      </c>
      <c r="D197" s="64">
        <v>6</v>
      </c>
      <c r="E197" s="65">
        <v>1.0859728506790001E-3</v>
      </c>
    </row>
    <row r="198" spans="2:5" ht="14.5">
      <c r="B198" s="85"/>
      <c r="C198" s="63" t="s">
        <v>109</v>
      </c>
      <c r="D198" s="64">
        <v>1</v>
      </c>
      <c r="E198" s="65">
        <v>1.8099547511300001E-4</v>
      </c>
    </row>
    <row r="199" spans="2:5" ht="14.5">
      <c r="B199" s="85"/>
      <c r="C199" s="63" t="s">
        <v>110</v>
      </c>
      <c r="D199" s="64">
        <v>1</v>
      </c>
      <c r="E199" s="65">
        <v>1.8099547511300001E-4</v>
      </c>
    </row>
    <row r="200" spans="2:5" ht="14.5">
      <c r="B200" s="85"/>
      <c r="C200" s="63" t="s">
        <v>112</v>
      </c>
      <c r="D200" s="64">
        <v>1</v>
      </c>
      <c r="E200" s="65">
        <v>1.8099547511300001E-4</v>
      </c>
    </row>
    <row r="201" spans="2:5" ht="14.5">
      <c r="B201" s="85"/>
      <c r="C201" s="63" t="s">
        <v>114</v>
      </c>
      <c r="D201" s="64">
        <v>2</v>
      </c>
      <c r="E201" s="65">
        <v>3.6199095022600001E-4</v>
      </c>
    </row>
    <row r="202" spans="2:5" ht="14.5">
      <c r="B202" s="85"/>
      <c r="C202" s="63" t="s">
        <v>115</v>
      </c>
      <c r="D202" s="64">
        <v>5</v>
      </c>
      <c r="E202" s="65">
        <v>9.0497737556600002E-4</v>
      </c>
    </row>
    <row r="203" spans="2:5" ht="14.5">
      <c r="B203" s="85"/>
      <c r="C203" s="63" t="s">
        <v>116</v>
      </c>
      <c r="D203" s="64">
        <v>2</v>
      </c>
      <c r="E203" s="65">
        <v>3.6199095022600001E-4</v>
      </c>
    </row>
    <row r="204" spans="2:5" ht="14.5">
      <c r="B204" s="85"/>
      <c r="C204" s="63" t="s">
        <v>117</v>
      </c>
      <c r="D204" s="64">
        <v>7</v>
      </c>
      <c r="E204" s="65">
        <v>1.266968325792E-3</v>
      </c>
    </row>
    <row r="205" spans="2:5" ht="14.5">
      <c r="B205" s="85"/>
      <c r="C205" s="63" t="s">
        <v>118</v>
      </c>
      <c r="D205" s="64">
        <v>8</v>
      </c>
      <c r="E205" s="65">
        <v>1.4479638009049999E-3</v>
      </c>
    </row>
    <row r="206" spans="2:5" ht="14.5">
      <c r="B206" s="85"/>
      <c r="C206" s="63" t="s">
        <v>120</v>
      </c>
      <c r="D206" s="64">
        <v>22</v>
      </c>
      <c r="E206" s="65">
        <v>3.9819004524890003E-3</v>
      </c>
    </row>
    <row r="207" spans="2:5" ht="14.5">
      <c r="B207" s="85"/>
      <c r="C207" s="63" t="s">
        <v>121</v>
      </c>
      <c r="D207" s="64">
        <v>7</v>
      </c>
      <c r="E207" s="65">
        <v>1.266968325792E-3</v>
      </c>
    </row>
    <row r="208" spans="2:5" ht="14.5">
      <c r="B208" s="85"/>
      <c r="C208" s="63" t="s">
        <v>124</v>
      </c>
      <c r="D208" s="64">
        <v>1</v>
      </c>
      <c r="E208" s="65">
        <v>1.8099547511300001E-4</v>
      </c>
    </row>
    <row r="209" spans="2:5" ht="14.5">
      <c r="B209" s="85"/>
      <c r="C209" s="63" t="s">
        <v>126</v>
      </c>
      <c r="D209" s="64">
        <v>5</v>
      </c>
      <c r="E209" s="65">
        <v>9.0497737556600002E-4</v>
      </c>
    </row>
    <row r="210" spans="2:5" ht="14.5">
      <c r="B210" s="85"/>
      <c r="C210" s="63" t="s">
        <v>128</v>
      </c>
      <c r="D210" s="64">
        <v>4</v>
      </c>
      <c r="E210" s="65">
        <v>7.2398190045200002E-4</v>
      </c>
    </row>
    <row r="211" spans="2:5" ht="14.5">
      <c r="B211" s="85"/>
      <c r="C211" s="63" t="s">
        <v>129</v>
      </c>
      <c r="D211" s="64">
        <v>1</v>
      </c>
      <c r="E211" s="65">
        <v>1.8099547511300001E-4</v>
      </c>
    </row>
    <row r="212" spans="2:5" ht="14.5">
      <c r="B212" s="85"/>
      <c r="C212" s="63" t="s">
        <v>130</v>
      </c>
      <c r="D212" s="64">
        <v>30</v>
      </c>
      <c r="E212" s="65">
        <v>5.4298642533939998E-3</v>
      </c>
    </row>
    <row r="213" spans="2:5" ht="14.5">
      <c r="B213" s="85"/>
      <c r="C213" s="63" t="s">
        <v>131</v>
      </c>
      <c r="D213" s="64">
        <v>2</v>
      </c>
      <c r="E213" s="65">
        <v>3.6199095022600001E-4</v>
      </c>
    </row>
    <row r="214" spans="2:5" ht="14.5">
      <c r="B214" s="85"/>
      <c r="C214" s="63" t="s">
        <v>132</v>
      </c>
      <c r="D214" s="64">
        <v>3</v>
      </c>
      <c r="E214" s="65">
        <v>5.4298642533899999E-4</v>
      </c>
    </row>
    <row r="215" spans="2:5" ht="14.5">
      <c r="B215" s="85"/>
      <c r="C215" s="63" t="s">
        <v>70</v>
      </c>
      <c r="D215" s="64">
        <v>1</v>
      </c>
      <c r="E215" s="65">
        <v>1.8099547511300001E-4</v>
      </c>
    </row>
    <row r="216" spans="2:5" ht="14.5">
      <c r="B216" s="85"/>
      <c r="C216" s="63" t="s">
        <v>133</v>
      </c>
      <c r="D216" s="64">
        <v>1</v>
      </c>
      <c r="E216" s="65">
        <v>1.8099547511300001E-4</v>
      </c>
    </row>
    <row r="217" spans="2:5" ht="14.5">
      <c r="B217" s="85"/>
      <c r="C217" s="63" t="s">
        <v>134</v>
      </c>
      <c r="D217" s="64">
        <v>5</v>
      </c>
      <c r="E217" s="65">
        <v>9.0497737556600002E-4</v>
      </c>
    </row>
    <row r="218" spans="2:5" ht="14.5">
      <c r="B218" s="86"/>
      <c r="C218" s="36" t="s">
        <v>29</v>
      </c>
      <c r="D218" s="35">
        <v>215</v>
      </c>
      <c r="E218" s="34">
        <v>3.8914027149320997E-2</v>
      </c>
    </row>
    <row r="219" spans="2:5" ht="14.5">
      <c r="B219" s="84" t="s">
        <v>255</v>
      </c>
      <c r="C219" s="63" t="s">
        <v>92</v>
      </c>
      <c r="D219" s="64">
        <v>12</v>
      </c>
      <c r="E219" s="65">
        <v>2.171945701357E-3</v>
      </c>
    </row>
    <row r="220" spans="2:5" ht="14.5">
      <c r="B220" s="85"/>
      <c r="C220" s="63" t="s">
        <v>93</v>
      </c>
      <c r="D220" s="64">
        <v>20</v>
      </c>
      <c r="E220" s="65">
        <v>3.6199095022619999E-3</v>
      </c>
    </row>
    <row r="221" spans="2:5" ht="14.5">
      <c r="B221" s="85"/>
      <c r="C221" s="63" t="s">
        <v>94</v>
      </c>
      <c r="D221" s="64">
        <v>11</v>
      </c>
      <c r="E221" s="65">
        <v>1.9909502262440001E-3</v>
      </c>
    </row>
    <row r="222" spans="2:5" ht="14.5">
      <c r="B222" s="85"/>
      <c r="C222" s="63" t="s">
        <v>95</v>
      </c>
      <c r="D222" s="64">
        <v>476</v>
      </c>
      <c r="E222" s="65">
        <v>8.6153846153845998E-2</v>
      </c>
    </row>
    <row r="223" spans="2:5" ht="14.5">
      <c r="B223" s="85"/>
      <c r="C223" s="63" t="s">
        <v>96</v>
      </c>
      <c r="D223" s="64">
        <v>11</v>
      </c>
      <c r="E223" s="65">
        <v>1.9909502262440001E-3</v>
      </c>
    </row>
    <row r="224" spans="2:5" ht="14.5">
      <c r="B224" s="85"/>
      <c r="C224" s="63" t="s">
        <v>97</v>
      </c>
      <c r="D224" s="64">
        <v>131</v>
      </c>
      <c r="E224" s="65">
        <v>2.3710407239819001E-2</v>
      </c>
    </row>
    <row r="225" spans="2:5" ht="14.5">
      <c r="B225" s="85"/>
      <c r="C225" s="63" t="s">
        <v>98</v>
      </c>
      <c r="D225" s="64">
        <v>18</v>
      </c>
      <c r="E225" s="65">
        <v>3.2579185520360001E-3</v>
      </c>
    </row>
    <row r="226" spans="2:5" ht="14.5">
      <c r="B226" s="85"/>
      <c r="C226" s="63" t="s">
        <v>99</v>
      </c>
      <c r="D226" s="64">
        <v>3</v>
      </c>
      <c r="E226" s="65">
        <v>5.4298642533899999E-4</v>
      </c>
    </row>
    <row r="227" spans="2:5" ht="14.5">
      <c r="B227" s="85"/>
      <c r="C227" s="63" t="s">
        <v>100</v>
      </c>
      <c r="D227" s="64">
        <v>36</v>
      </c>
      <c r="E227" s="65">
        <v>6.5158371040720002E-3</v>
      </c>
    </row>
    <row r="228" spans="2:5" ht="14.5">
      <c r="B228" s="85"/>
      <c r="C228" s="63" t="s">
        <v>101</v>
      </c>
      <c r="D228" s="64">
        <v>66</v>
      </c>
      <c r="E228" s="65">
        <v>1.1945701357466001E-2</v>
      </c>
    </row>
    <row r="229" spans="2:5" ht="14.5">
      <c r="B229" s="85"/>
      <c r="C229" s="63" t="s">
        <v>102</v>
      </c>
      <c r="D229" s="64">
        <v>1</v>
      </c>
      <c r="E229" s="65">
        <v>1.8099547511300001E-4</v>
      </c>
    </row>
    <row r="230" spans="2:5" ht="14.5">
      <c r="B230" s="85"/>
      <c r="C230" s="63" t="s">
        <v>103</v>
      </c>
      <c r="D230" s="64">
        <v>37</v>
      </c>
      <c r="E230" s="65">
        <v>6.6968325791860002E-3</v>
      </c>
    </row>
    <row r="231" spans="2:5" ht="14.5">
      <c r="B231" s="85"/>
      <c r="C231" s="63" t="s">
        <v>104</v>
      </c>
      <c r="D231" s="64">
        <v>218</v>
      </c>
      <c r="E231" s="65">
        <v>3.9457013574660998E-2</v>
      </c>
    </row>
    <row r="232" spans="2:5" ht="14.5">
      <c r="B232" s="85"/>
      <c r="C232" s="63" t="s">
        <v>105</v>
      </c>
      <c r="D232" s="64">
        <v>69</v>
      </c>
      <c r="E232" s="65">
        <v>1.2488687782805E-2</v>
      </c>
    </row>
    <row r="233" spans="2:5" ht="14.5">
      <c r="B233" s="85"/>
      <c r="C233" s="63" t="s">
        <v>106</v>
      </c>
      <c r="D233" s="64">
        <v>2</v>
      </c>
      <c r="E233" s="65">
        <v>3.6199095022600001E-4</v>
      </c>
    </row>
    <row r="234" spans="2:5" ht="14.5">
      <c r="B234" s="85"/>
      <c r="C234" s="63" t="s">
        <v>107</v>
      </c>
      <c r="D234" s="64">
        <v>10</v>
      </c>
      <c r="E234" s="65">
        <v>1.809954751131E-3</v>
      </c>
    </row>
    <row r="235" spans="2:5" ht="14.5">
      <c r="B235" s="85"/>
      <c r="C235" s="63" t="s">
        <v>108</v>
      </c>
      <c r="D235" s="64">
        <v>12</v>
      </c>
      <c r="E235" s="65">
        <v>2.171945701357E-3</v>
      </c>
    </row>
    <row r="236" spans="2:5" ht="14.5">
      <c r="B236" s="85"/>
      <c r="C236" s="63" t="s">
        <v>109</v>
      </c>
      <c r="D236" s="64">
        <v>9</v>
      </c>
      <c r="E236" s="65">
        <v>1.628959276018E-3</v>
      </c>
    </row>
    <row r="237" spans="2:5" ht="14.5">
      <c r="B237" s="85"/>
      <c r="C237" s="63" t="s">
        <v>110</v>
      </c>
      <c r="D237" s="64">
        <v>8</v>
      </c>
      <c r="E237" s="65">
        <v>1.4479638009049999E-3</v>
      </c>
    </row>
    <row r="238" spans="2:5" ht="14.5">
      <c r="B238" s="85"/>
      <c r="C238" s="63" t="s">
        <v>111</v>
      </c>
      <c r="D238" s="64">
        <v>4</v>
      </c>
      <c r="E238" s="65">
        <v>7.2398190045200002E-4</v>
      </c>
    </row>
    <row r="239" spans="2:5" ht="14.5">
      <c r="B239" s="85"/>
      <c r="C239" s="63" t="s">
        <v>112</v>
      </c>
      <c r="D239" s="64">
        <v>14</v>
      </c>
      <c r="E239" s="65">
        <v>2.533936651584E-3</v>
      </c>
    </row>
    <row r="240" spans="2:5" ht="14.5">
      <c r="B240" s="85"/>
      <c r="C240" s="63" t="s">
        <v>113</v>
      </c>
      <c r="D240" s="64">
        <v>28</v>
      </c>
      <c r="E240" s="65">
        <v>5.0678733031669998E-3</v>
      </c>
    </row>
    <row r="241" spans="2:5" ht="14.5">
      <c r="B241" s="85"/>
      <c r="C241" s="63" t="s">
        <v>114</v>
      </c>
      <c r="D241" s="64">
        <v>3</v>
      </c>
      <c r="E241" s="65">
        <v>5.4298642533899999E-4</v>
      </c>
    </row>
    <row r="242" spans="2:5" ht="14.5">
      <c r="B242" s="85"/>
      <c r="C242" s="63" t="s">
        <v>115</v>
      </c>
      <c r="D242" s="64">
        <v>51</v>
      </c>
      <c r="E242" s="65">
        <v>9.2307692307689992E-3</v>
      </c>
    </row>
    <row r="243" spans="2:5" ht="14.5">
      <c r="B243" s="85"/>
      <c r="C243" s="63" t="s">
        <v>116</v>
      </c>
      <c r="D243" s="64">
        <v>4</v>
      </c>
      <c r="E243" s="65">
        <v>7.2398190045200002E-4</v>
      </c>
    </row>
    <row r="244" spans="2:5" ht="14.5">
      <c r="B244" s="85"/>
      <c r="C244" s="63" t="s">
        <v>117</v>
      </c>
      <c r="D244" s="64">
        <v>21</v>
      </c>
      <c r="E244" s="65">
        <v>3.8009049773759999E-3</v>
      </c>
    </row>
    <row r="245" spans="2:5" ht="14.5">
      <c r="B245" s="85"/>
      <c r="C245" s="63" t="s">
        <v>118</v>
      </c>
      <c r="D245" s="64">
        <v>137</v>
      </c>
      <c r="E245" s="65">
        <v>2.4796380090498001E-2</v>
      </c>
    </row>
    <row r="246" spans="2:5" ht="14.5">
      <c r="B246" s="85"/>
      <c r="C246" s="63" t="s">
        <v>119</v>
      </c>
      <c r="D246" s="64">
        <v>8</v>
      </c>
      <c r="E246" s="65">
        <v>1.4479638009049999E-3</v>
      </c>
    </row>
    <row r="247" spans="2:5" ht="14.5">
      <c r="B247" s="85"/>
      <c r="C247" s="63" t="s">
        <v>120</v>
      </c>
      <c r="D247" s="64">
        <v>357</v>
      </c>
      <c r="E247" s="65">
        <v>6.4615384615385005E-2</v>
      </c>
    </row>
    <row r="248" spans="2:5" ht="14.5">
      <c r="B248" s="85"/>
      <c r="C248" s="63" t="s">
        <v>121</v>
      </c>
      <c r="D248" s="64">
        <v>37</v>
      </c>
      <c r="E248" s="65">
        <v>6.6968325791860002E-3</v>
      </c>
    </row>
    <row r="249" spans="2:5" ht="14.5">
      <c r="B249" s="85"/>
      <c r="C249" s="63" t="s">
        <v>122</v>
      </c>
      <c r="D249" s="64">
        <v>1</v>
      </c>
      <c r="E249" s="65">
        <v>1.8099547511300001E-4</v>
      </c>
    </row>
    <row r="250" spans="2:5" ht="14.5">
      <c r="B250" s="85"/>
      <c r="C250" s="63" t="s">
        <v>123</v>
      </c>
      <c r="D250" s="64">
        <v>12</v>
      </c>
      <c r="E250" s="65">
        <v>2.171945701357E-3</v>
      </c>
    </row>
    <row r="251" spans="2:5" ht="14.5">
      <c r="B251" s="85"/>
      <c r="C251" s="63" t="s">
        <v>124</v>
      </c>
      <c r="D251" s="64">
        <v>13</v>
      </c>
      <c r="E251" s="65">
        <v>2.352941176471E-3</v>
      </c>
    </row>
    <row r="252" spans="2:5" ht="14.5">
      <c r="B252" s="85"/>
      <c r="C252" s="63" t="s">
        <v>125</v>
      </c>
      <c r="D252" s="64">
        <v>21</v>
      </c>
      <c r="E252" s="65">
        <v>3.8009049773759999E-3</v>
      </c>
    </row>
    <row r="253" spans="2:5" ht="14.5">
      <c r="B253" s="85"/>
      <c r="C253" s="63" t="s">
        <v>126</v>
      </c>
      <c r="D253" s="64">
        <v>65</v>
      </c>
      <c r="E253" s="65">
        <v>1.1764705882353E-2</v>
      </c>
    </row>
    <row r="254" spans="2:5" ht="14.5">
      <c r="B254" s="85"/>
      <c r="C254" s="63" t="s">
        <v>127</v>
      </c>
      <c r="D254" s="64">
        <v>1</v>
      </c>
      <c r="E254" s="65">
        <v>1.8099547511300001E-4</v>
      </c>
    </row>
    <row r="255" spans="2:5" ht="14.5">
      <c r="B255" s="85"/>
      <c r="C255" s="63" t="s">
        <v>128</v>
      </c>
      <c r="D255" s="64">
        <v>18</v>
      </c>
      <c r="E255" s="65">
        <v>3.2579185520360001E-3</v>
      </c>
    </row>
    <row r="256" spans="2:5" ht="14.5">
      <c r="B256" s="85"/>
      <c r="C256" s="63" t="s">
        <v>129</v>
      </c>
      <c r="D256" s="64">
        <v>11</v>
      </c>
      <c r="E256" s="65">
        <v>1.9909502262440001E-3</v>
      </c>
    </row>
    <row r="257" spans="2:5" ht="14.5">
      <c r="B257" s="85"/>
      <c r="C257" s="63" t="s">
        <v>130</v>
      </c>
      <c r="D257" s="64">
        <v>193</v>
      </c>
      <c r="E257" s="65">
        <v>3.4932126696833002E-2</v>
      </c>
    </row>
    <row r="258" spans="2:5" ht="14.5">
      <c r="B258" s="85"/>
      <c r="C258" s="63" t="s">
        <v>131</v>
      </c>
      <c r="D258" s="64">
        <v>15</v>
      </c>
      <c r="E258" s="65">
        <v>2.7149321266969999E-3</v>
      </c>
    </row>
    <row r="259" spans="2:5" ht="14.5">
      <c r="B259" s="85"/>
      <c r="C259" s="63" t="s">
        <v>132</v>
      </c>
      <c r="D259" s="64">
        <v>17</v>
      </c>
      <c r="E259" s="65">
        <v>3.0769230769230002E-3</v>
      </c>
    </row>
    <row r="260" spans="2:5" ht="14.5">
      <c r="B260" s="85"/>
      <c r="C260" s="63" t="s">
        <v>70</v>
      </c>
      <c r="D260" s="64">
        <v>11</v>
      </c>
      <c r="E260" s="65">
        <v>1.9909502262440001E-3</v>
      </c>
    </row>
    <row r="261" spans="2:5" ht="14.5">
      <c r="B261" s="85"/>
      <c r="C261" s="63" t="s">
        <v>133</v>
      </c>
      <c r="D261" s="64">
        <v>17</v>
      </c>
      <c r="E261" s="65">
        <v>3.0769230769230002E-3</v>
      </c>
    </row>
    <row r="262" spans="2:5" ht="14.5">
      <c r="B262" s="85"/>
      <c r="C262" s="63" t="s">
        <v>134</v>
      </c>
      <c r="D262" s="64">
        <v>47</v>
      </c>
      <c r="E262" s="65">
        <v>8.5067873303169995E-3</v>
      </c>
    </row>
    <row r="263" spans="2:5" ht="14.5">
      <c r="B263" s="86"/>
      <c r="C263" s="36" t="s">
        <v>29</v>
      </c>
      <c r="D263" s="35">
        <v>2256</v>
      </c>
      <c r="E263" s="34">
        <v>0.40832579185520401</v>
      </c>
    </row>
    <row r="264" spans="2:5" ht="14.5">
      <c r="B264" s="84" t="s">
        <v>256</v>
      </c>
      <c r="C264" s="63" t="s">
        <v>93</v>
      </c>
      <c r="D264" s="64">
        <v>3</v>
      </c>
      <c r="E264" s="65">
        <v>5.4298642533899999E-4</v>
      </c>
    </row>
    <row r="265" spans="2:5" ht="14.5">
      <c r="B265" s="85"/>
      <c r="C265" s="63" t="s">
        <v>95</v>
      </c>
      <c r="D265" s="64">
        <v>18</v>
      </c>
      <c r="E265" s="65">
        <v>3.2579185520360001E-3</v>
      </c>
    </row>
    <row r="266" spans="2:5" ht="14.5">
      <c r="B266" s="85"/>
      <c r="C266" s="63" t="s">
        <v>97</v>
      </c>
      <c r="D266" s="64">
        <v>4</v>
      </c>
      <c r="E266" s="65">
        <v>7.2398190045200002E-4</v>
      </c>
    </row>
    <row r="267" spans="2:5" ht="14.5">
      <c r="B267" s="85"/>
      <c r="C267" s="63" t="s">
        <v>100</v>
      </c>
      <c r="D267" s="64">
        <v>2</v>
      </c>
      <c r="E267" s="65">
        <v>3.6199095022600001E-4</v>
      </c>
    </row>
    <row r="268" spans="2:5" ht="14.5">
      <c r="B268" s="85"/>
      <c r="C268" s="63" t="s">
        <v>104</v>
      </c>
      <c r="D268" s="64">
        <v>8</v>
      </c>
      <c r="E268" s="65">
        <v>1.4479638009049999E-3</v>
      </c>
    </row>
    <row r="269" spans="2:5" ht="14.5">
      <c r="B269" s="85"/>
      <c r="C269" s="63" t="s">
        <v>105</v>
      </c>
      <c r="D269" s="64">
        <v>2</v>
      </c>
      <c r="E269" s="65">
        <v>3.6199095022600001E-4</v>
      </c>
    </row>
    <row r="270" spans="2:5" ht="14.5">
      <c r="B270" s="85"/>
      <c r="C270" s="63" t="s">
        <v>107</v>
      </c>
      <c r="D270" s="64">
        <v>1</v>
      </c>
      <c r="E270" s="65">
        <v>1.8099547511300001E-4</v>
      </c>
    </row>
    <row r="271" spans="2:5" ht="14.5">
      <c r="B271" s="85"/>
      <c r="C271" s="63" t="s">
        <v>108</v>
      </c>
      <c r="D271" s="64">
        <v>1</v>
      </c>
      <c r="E271" s="65">
        <v>1.8099547511300001E-4</v>
      </c>
    </row>
    <row r="272" spans="2:5" ht="14.5">
      <c r="B272" s="85"/>
      <c r="C272" s="63" t="s">
        <v>109</v>
      </c>
      <c r="D272" s="64">
        <v>1</v>
      </c>
      <c r="E272" s="65">
        <v>1.8099547511300001E-4</v>
      </c>
    </row>
    <row r="273" spans="2:5" ht="14.5">
      <c r="B273" s="85"/>
      <c r="C273" s="63" t="s">
        <v>113</v>
      </c>
      <c r="D273" s="64">
        <v>3</v>
      </c>
      <c r="E273" s="65">
        <v>5.4298642533899999E-4</v>
      </c>
    </row>
    <row r="274" spans="2:5" ht="14.5">
      <c r="B274" s="85"/>
      <c r="C274" s="63" t="s">
        <v>114</v>
      </c>
      <c r="D274" s="64">
        <v>1</v>
      </c>
      <c r="E274" s="65">
        <v>1.8099547511300001E-4</v>
      </c>
    </row>
    <row r="275" spans="2:5" ht="14.5">
      <c r="B275" s="85"/>
      <c r="C275" s="63" t="s">
        <v>115</v>
      </c>
      <c r="D275" s="64">
        <v>2</v>
      </c>
      <c r="E275" s="65">
        <v>3.6199095022600001E-4</v>
      </c>
    </row>
    <row r="276" spans="2:5" ht="14.5">
      <c r="B276" s="85"/>
      <c r="C276" s="63" t="s">
        <v>117</v>
      </c>
      <c r="D276" s="64">
        <v>1</v>
      </c>
      <c r="E276" s="65">
        <v>1.8099547511300001E-4</v>
      </c>
    </row>
    <row r="277" spans="2:5" ht="14.5">
      <c r="B277" s="85"/>
      <c r="C277" s="63" t="s">
        <v>118</v>
      </c>
      <c r="D277" s="64">
        <v>8</v>
      </c>
      <c r="E277" s="65">
        <v>1.4479638009049999E-3</v>
      </c>
    </row>
    <row r="278" spans="2:5" ht="14.5">
      <c r="B278" s="85"/>
      <c r="C278" s="63" t="s">
        <v>120</v>
      </c>
      <c r="D278" s="64">
        <v>8</v>
      </c>
      <c r="E278" s="65">
        <v>1.4479638009049999E-3</v>
      </c>
    </row>
    <row r="279" spans="2:5" ht="14.5">
      <c r="B279" s="85"/>
      <c r="C279" s="63" t="s">
        <v>121</v>
      </c>
      <c r="D279" s="64">
        <v>3</v>
      </c>
      <c r="E279" s="65">
        <v>5.4298642533899999E-4</v>
      </c>
    </row>
    <row r="280" spans="2:5" ht="14.5">
      <c r="B280" s="85"/>
      <c r="C280" s="63" t="s">
        <v>130</v>
      </c>
      <c r="D280" s="64">
        <v>4</v>
      </c>
      <c r="E280" s="65">
        <v>7.2398190045200002E-4</v>
      </c>
    </row>
    <row r="281" spans="2:5" ht="14.5">
      <c r="B281" s="85"/>
      <c r="C281" s="63" t="s">
        <v>131</v>
      </c>
      <c r="D281" s="64">
        <v>2</v>
      </c>
      <c r="E281" s="65">
        <v>3.6199095022600001E-4</v>
      </c>
    </row>
    <row r="282" spans="2:5" ht="14.5">
      <c r="B282" s="86"/>
      <c r="C282" s="36" t="s">
        <v>29</v>
      </c>
      <c r="D282" s="35">
        <v>72</v>
      </c>
      <c r="E282" s="34">
        <v>1.3031674208145E-2</v>
      </c>
    </row>
    <row r="283" spans="2:5" ht="14.5">
      <c r="B283" s="84" t="s">
        <v>257</v>
      </c>
      <c r="C283" s="63" t="s">
        <v>92</v>
      </c>
      <c r="D283" s="64">
        <v>1</v>
      </c>
      <c r="E283" s="65">
        <v>1.8099547511300001E-4</v>
      </c>
    </row>
    <row r="284" spans="2:5" ht="14.5">
      <c r="B284" s="85"/>
      <c r="C284" s="63" t="s">
        <v>93</v>
      </c>
      <c r="D284" s="64">
        <v>2</v>
      </c>
      <c r="E284" s="65">
        <v>3.6199095022600001E-4</v>
      </c>
    </row>
    <row r="285" spans="2:5" ht="14.5">
      <c r="B285" s="85"/>
      <c r="C285" s="63" t="s">
        <v>95</v>
      </c>
      <c r="D285" s="64">
        <v>73</v>
      </c>
      <c r="E285" s="65">
        <v>1.3212669683258E-2</v>
      </c>
    </row>
    <row r="286" spans="2:5" ht="14.5">
      <c r="B286" s="85"/>
      <c r="C286" s="63" t="s">
        <v>97</v>
      </c>
      <c r="D286" s="64">
        <v>12</v>
      </c>
      <c r="E286" s="65">
        <v>2.171945701357E-3</v>
      </c>
    </row>
    <row r="287" spans="2:5" ht="14.5">
      <c r="B287" s="85"/>
      <c r="C287" s="63" t="s">
        <v>98</v>
      </c>
      <c r="D287" s="64">
        <v>1</v>
      </c>
      <c r="E287" s="65">
        <v>1.8099547511300001E-4</v>
      </c>
    </row>
    <row r="288" spans="2:5" ht="14.5">
      <c r="B288" s="85"/>
      <c r="C288" s="63" t="s">
        <v>100</v>
      </c>
      <c r="D288" s="64">
        <v>1</v>
      </c>
      <c r="E288" s="65">
        <v>1.8099547511300001E-4</v>
      </c>
    </row>
    <row r="289" spans="2:5" ht="14.5">
      <c r="B289" s="85"/>
      <c r="C289" s="63" t="s">
        <v>101</v>
      </c>
      <c r="D289" s="64">
        <v>6</v>
      </c>
      <c r="E289" s="65">
        <v>1.0859728506790001E-3</v>
      </c>
    </row>
    <row r="290" spans="2:5" ht="14.5">
      <c r="B290" s="85"/>
      <c r="C290" s="63" t="s">
        <v>103</v>
      </c>
      <c r="D290" s="64">
        <v>7</v>
      </c>
      <c r="E290" s="65">
        <v>1.266968325792E-3</v>
      </c>
    </row>
    <row r="291" spans="2:5" ht="14.5">
      <c r="B291" s="85"/>
      <c r="C291" s="63" t="s">
        <v>104</v>
      </c>
      <c r="D291" s="64">
        <v>14</v>
      </c>
      <c r="E291" s="65">
        <v>2.533936651584E-3</v>
      </c>
    </row>
    <row r="292" spans="2:5" ht="14.5">
      <c r="B292" s="85"/>
      <c r="C292" s="63" t="s">
        <v>105</v>
      </c>
      <c r="D292" s="64">
        <v>8</v>
      </c>
      <c r="E292" s="65">
        <v>1.4479638009049999E-3</v>
      </c>
    </row>
    <row r="293" spans="2:5" ht="14.5">
      <c r="B293" s="85"/>
      <c r="C293" s="63" t="s">
        <v>107</v>
      </c>
      <c r="D293" s="64">
        <v>2</v>
      </c>
      <c r="E293" s="65">
        <v>3.6199095022600001E-4</v>
      </c>
    </row>
    <row r="294" spans="2:5" ht="14.5">
      <c r="B294" s="85"/>
      <c r="C294" s="63" t="s">
        <v>108</v>
      </c>
      <c r="D294" s="64">
        <v>1</v>
      </c>
      <c r="E294" s="65">
        <v>1.8099547511300001E-4</v>
      </c>
    </row>
    <row r="295" spans="2:5" ht="14.5">
      <c r="B295" s="85"/>
      <c r="C295" s="63" t="s">
        <v>109</v>
      </c>
      <c r="D295" s="64">
        <v>1</v>
      </c>
      <c r="E295" s="65">
        <v>1.8099547511300001E-4</v>
      </c>
    </row>
    <row r="296" spans="2:5" ht="14.5">
      <c r="B296" s="85"/>
      <c r="C296" s="63" t="s">
        <v>110</v>
      </c>
      <c r="D296" s="64">
        <v>1</v>
      </c>
      <c r="E296" s="65">
        <v>1.8099547511300001E-4</v>
      </c>
    </row>
    <row r="297" spans="2:5" ht="14.5">
      <c r="B297" s="85"/>
      <c r="C297" s="63" t="s">
        <v>112</v>
      </c>
      <c r="D297" s="64">
        <v>1</v>
      </c>
      <c r="E297" s="65">
        <v>1.8099547511300001E-4</v>
      </c>
    </row>
    <row r="298" spans="2:5" ht="14.5">
      <c r="B298" s="85"/>
      <c r="C298" s="63" t="s">
        <v>113</v>
      </c>
      <c r="D298" s="64">
        <v>1</v>
      </c>
      <c r="E298" s="65">
        <v>1.8099547511300001E-4</v>
      </c>
    </row>
    <row r="299" spans="2:5" ht="14.5">
      <c r="B299" s="85"/>
      <c r="C299" s="63" t="s">
        <v>115</v>
      </c>
      <c r="D299" s="64">
        <v>9</v>
      </c>
      <c r="E299" s="65">
        <v>1.628959276018E-3</v>
      </c>
    </row>
    <row r="300" spans="2:5" ht="14.5">
      <c r="B300" s="85"/>
      <c r="C300" s="63" t="s">
        <v>116</v>
      </c>
      <c r="D300" s="64">
        <v>1</v>
      </c>
      <c r="E300" s="65">
        <v>1.8099547511300001E-4</v>
      </c>
    </row>
    <row r="301" spans="2:5" ht="14.5">
      <c r="B301" s="85"/>
      <c r="C301" s="63" t="s">
        <v>117</v>
      </c>
      <c r="D301" s="64">
        <v>3</v>
      </c>
      <c r="E301" s="65">
        <v>5.4298642533899999E-4</v>
      </c>
    </row>
    <row r="302" spans="2:5" ht="14.5">
      <c r="B302" s="85"/>
      <c r="C302" s="63" t="s">
        <v>118</v>
      </c>
      <c r="D302" s="64">
        <v>9</v>
      </c>
      <c r="E302" s="65">
        <v>1.628959276018E-3</v>
      </c>
    </row>
    <row r="303" spans="2:5" ht="14.5">
      <c r="B303" s="85"/>
      <c r="C303" s="63" t="s">
        <v>119</v>
      </c>
      <c r="D303" s="64">
        <v>2</v>
      </c>
      <c r="E303" s="65">
        <v>3.6199095022600001E-4</v>
      </c>
    </row>
    <row r="304" spans="2:5" ht="14.5">
      <c r="B304" s="85"/>
      <c r="C304" s="63" t="s">
        <v>120</v>
      </c>
      <c r="D304" s="64">
        <v>25</v>
      </c>
      <c r="E304" s="65">
        <v>4.5248868778280001E-3</v>
      </c>
    </row>
    <row r="305" spans="2:5" ht="14.5">
      <c r="B305" s="85"/>
      <c r="C305" s="63" t="s">
        <v>121</v>
      </c>
      <c r="D305" s="64">
        <v>4</v>
      </c>
      <c r="E305" s="65">
        <v>7.2398190045200002E-4</v>
      </c>
    </row>
    <row r="306" spans="2:5" ht="14.5">
      <c r="B306" s="85"/>
      <c r="C306" s="63" t="s">
        <v>123</v>
      </c>
      <c r="D306" s="64">
        <v>1</v>
      </c>
      <c r="E306" s="65">
        <v>1.8099547511300001E-4</v>
      </c>
    </row>
    <row r="307" spans="2:5" ht="14.5">
      <c r="B307" s="85"/>
      <c r="C307" s="63" t="s">
        <v>125</v>
      </c>
      <c r="D307" s="64">
        <v>3</v>
      </c>
      <c r="E307" s="65">
        <v>5.4298642533899999E-4</v>
      </c>
    </row>
    <row r="308" spans="2:5" ht="14.5">
      <c r="B308" s="85"/>
      <c r="C308" s="63" t="s">
        <v>126</v>
      </c>
      <c r="D308" s="64">
        <v>11</v>
      </c>
      <c r="E308" s="65">
        <v>1.9909502262440001E-3</v>
      </c>
    </row>
    <row r="309" spans="2:5" ht="14.5">
      <c r="B309" s="85"/>
      <c r="C309" s="63" t="s">
        <v>127</v>
      </c>
      <c r="D309" s="64">
        <v>1</v>
      </c>
      <c r="E309" s="65">
        <v>1.8099547511300001E-4</v>
      </c>
    </row>
    <row r="310" spans="2:5" ht="14.5">
      <c r="B310" s="85"/>
      <c r="C310" s="63" t="s">
        <v>128</v>
      </c>
      <c r="D310" s="64">
        <v>3</v>
      </c>
      <c r="E310" s="65">
        <v>5.4298642533899999E-4</v>
      </c>
    </row>
    <row r="311" spans="2:5" ht="14.5">
      <c r="B311" s="85"/>
      <c r="C311" s="63" t="s">
        <v>130</v>
      </c>
      <c r="D311" s="64">
        <v>28</v>
      </c>
      <c r="E311" s="65">
        <v>5.0678733031669998E-3</v>
      </c>
    </row>
    <row r="312" spans="2:5" ht="14.5">
      <c r="B312" s="85"/>
      <c r="C312" s="63" t="s">
        <v>131</v>
      </c>
      <c r="D312" s="64">
        <v>4</v>
      </c>
      <c r="E312" s="65">
        <v>7.2398190045200002E-4</v>
      </c>
    </row>
    <row r="313" spans="2:5" ht="14.5">
      <c r="B313" s="85"/>
      <c r="C313" s="63" t="s">
        <v>70</v>
      </c>
      <c r="D313" s="64">
        <v>1</v>
      </c>
      <c r="E313" s="65">
        <v>1.8099547511300001E-4</v>
      </c>
    </row>
    <row r="314" spans="2:5" ht="14.5">
      <c r="B314" s="85"/>
      <c r="C314" s="63" t="s">
        <v>133</v>
      </c>
      <c r="D314" s="64">
        <v>3</v>
      </c>
      <c r="E314" s="65">
        <v>5.4298642533899999E-4</v>
      </c>
    </row>
    <row r="315" spans="2:5" ht="14.5">
      <c r="B315" s="85"/>
      <c r="C315" s="63" t="s">
        <v>134</v>
      </c>
      <c r="D315" s="64">
        <v>2</v>
      </c>
      <c r="E315" s="65">
        <v>3.6199095022600001E-4</v>
      </c>
    </row>
    <row r="316" spans="2:5" ht="14.5">
      <c r="B316" s="86"/>
      <c r="C316" s="36" t="s">
        <v>29</v>
      </c>
      <c r="D316" s="35">
        <v>242</v>
      </c>
      <c r="E316" s="34">
        <v>4.3800904977376001E-2</v>
      </c>
    </row>
    <row r="317" spans="2:5" ht="14.5">
      <c r="B317" s="84" t="s">
        <v>258</v>
      </c>
      <c r="C317" s="63" t="s">
        <v>92</v>
      </c>
      <c r="D317" s="64">
        <v>3</v>
      </c>
      <c r="E317" s="65">
        <v>5.4298642533899999E-4</v>
      </c>
    </row>
    <row r="318" spans="2:5" ht="14.5">
      <c r="B318" s="85"/>
      <c r="C318" s="63" t="s">
        <v>93</v>
      </c>
      <c r="D318" s="64">
        <v>12</v>
      </c>
      <c r="E318" s="65">
        <v>2.171945701357E-3</v>
      </c>
    </row>
    <row r="319" spans="2:5" ht="14.5">
      <c r="B319" s="85"/>
      <c r="C319" s="63" t="s">
        <v>94</v>
      </c>
      <c r="D319" s="64">
        <v>11</v>
      </c>
      <c r="E319" s="65">
        <v>1.9909502262440001E-3</v>
      </c>
    </row>
    <row r="320" spans="2:5" ht="14.5">
      <c r="B320" s="85"/>
      <c r="C320" s="63" t="s">
        <v>95</v>
      </c>
      <c r="D320" s="64">
        <v>256</v>
      </c>
      <c r="E320" s="65">
        <v>4.6334841628958998E-2</v>
      </c>
    </row>
    <row r="321" spans="2:5" ht="14.5">
      <c r="B321" s="85"/>
      <c r="C321" s="63" t="s">
        <v>96</v>
      </c>
      <c r="D321" s="64">
        <v>10</v>
      </c>
      <c r="E321" s="65">
        <v>1.809954751131E-3</v>
      </c>
    </row>
    <row r="322" spans="2:5" ht="14.5">
      <c r="B322" s="85"/>
      <c r="C322" s="63" t="s">
        <v>97</v>
      </c>
      <c r="D322" s="64">
        <v>50</v>
      </c>
      <c r="E322" s="65">
        <v>9.0497737556560001E-3</v>
      </c>
    </row>
    <row r="323" spans="2:5" ht="14.5">
      <c r="B323" s="85"/>
      <c r="C323" s="63" t="s">
        <v>98</v>
      </c>
      <c r="D323" s="64">
        <v>6</v>
      </c>
      <c r="E323" s="65">
        <v>1.0859728506790001E-3</v>
      </c>
    </row>
    <row r="324" spans="2:5" ht="14.5">
      <c r="B324" s="85"/>
      <c r="C324" s="63" t="s">
        <v>99</v>
      </c>
      <c r="D324" s="64">
        <v>1</v>
      </c>
      <c r="E324" s="65">
        <v>1.8099547511300001E-4</v>
      </c>
    </row>
    <row r="325" spans="2:5" ht="14.5">
      <c r="B325" s="85"/>
      <c r="C325" s="63" t="s">
        <v>100</v>
      </c>
      <c r="D325" s="64">
        <v>15</v>
      </c>
      <c r="E325" s="65">
        <v>2.7149321266969999E-3</v>
      </c>
    </row>
    <row r="326" spans="2:5" ht="14.5">
      <c r="B326" s="85"/>
      <c r="C326" s="63" t="s">
        <v>101</v>
      </c>
      <c r="D326" s="64">
        <v>28</v>
      </c>
      <c r="E326" s="65">
        <v>5.0678733031669998E-3</v>
      </c>
    </row>
    <row r="327" spans="2:5" ht="14.5">
      <c r="B327" s="85"/>
      <c r="C327" s="63" t="s">
        <v>103</v>
      </c>
      <c r="D327" s="64">
        <v>31</v>
      </c>
      <c r="E327" s="65">
        <v>5.6108597285069997E-3</v>
      </c>
    </row>
    <row r="328" spans="2:5" ht="14.5">
      <c r="B328" s="85"/>
      <c r="C328" s="63" t="s">
        <v>104</v>
      </c>
      <c r="D328" s="64">
        <v>117</v>
      </c>
      <c r="E328" s="65">
        <v>2.1176470588235002E-2</v>
      </c>
    </row>
    <row r="329" spans="2:5" ht="14.5">
      <c r="B329" s="85"/>
      <c r="C329" s="63" t="s">
        <v>105</v>
      </c>
      <c r="D329" s="64">
        <v>21</v>
      </c>
      <c r="E329" s="65">
        <v>3.8009049773759999E-3</v>
      </c>
    </row>
    <row r="330" spans="2:5" ht="14.5">
      <c r="B330" s="85"/>
      <c r="C330" s="63" t="s">
        <v>106</v>
      </c>
      <c r="D330" s="64">
        <v>2</v>
      </c>
      <c r="E330" s="65">
        <v>3.6199095022600001E-4</v>
      </c>
    </row>
    <row r="331" spans="2:5" ht="14.5">
      <c r="B331" s="85"/>
      <c r="C331" s="63" t="s">
        <v>107</v>
      </c>
      <c r="D331" s="64">
        <v>10</v>
      </c>
      <c r="E331" s="65">
        <v>1.809954751131E-3</v>
      </c>
    </row>
    <row r="332" spans="2:5" ht="14.5">
      <c r="B332" s="85"/>
      <c r="C332" s="63" t="s">
        <v>108</v>
      </c>
      <c r="D332" s="64">
        <v>13</v>
      </c>
      <c r="E332" s="65">
        <v>2.352941176471E-3</v>
      </c>
    </row>
    <row r="333" spans="2:5" ht="14.5">
      <c r="B333" s="85"/>
      <c r="C333" s="63" t="s">
        <v>109</v>
      </c>
      <c r="D333" s="64">
        <v>3</v>
      </c>
      <c r="E333" s="65">
        <v>5.4298642533899999E-4</v>
      </c>
    </row>
    <row r="334" spans="2:5" ht="14.5">
      <c r="B334" s="85"/>
      <c r="C334" s="63" t="s">
        <v>110</v>
      </c>
      <c r="D334" s="64">
        <v>2</v>
      </c>
      <c r="E334" s="65">
        <v>3.6199095022600001E-4</v>
      </c>
    </row>
    <row r="335" spans="2:5" ht="14.5">
      <c r="B335" s="85"/>
      <c r="C335" s="63" t="s">
        <v>111</v>
      </c>
      <c r="D335" s="64">
        <v>2</v>
      </c>
      <c r="E335" s="65">
        <v>3.6199095022600001E-4</v>
      </c>
    </row>
    <row r="336" spans="2:5" ht="14.5">
      <c r="B336" s="85"/>
      <c r="C336" s="63" t="s">
        <v>112</v>
      </c>
      <c r="D336" s="64">
        <v>4</v>
      </c>
      <c r="E336" s="65">
        <v>7.2398190045200002E-4</v>
      </c>
    </row>
    <row r="337" spans="2:5" ht="14.5">
      <c r="B337" s="85"/>
      <c r="C337" s="63" t="s">
        <v>113</v>
      </c>
      <c r="D337" s="64">
        <v>12</v>
      </c>
      <c r="E337" s="65">
        <v>2.171945701357E-3</v>
      </c>
    </row>
    <row r="338" spans="2:5" ht="14.5">
      <c r="B338" s="85"/>
      <c r="C338" s="63" t="s">
        <v>115</v>
      </c>
      <c r="D338" s="64">
        <v>35</v>
      </c>
      <c r="E338" s="65">
        <v>6.3348416289590002E-3</v>
      </c>
    </row>
    <row r="339" spans="2:5" ht="14.5">
      <c r="B339" s="85"/>
      <c r="C339" s="63" t="s">
        <v>117</v>
      </c>
      <c r="D339" s="64">
        <v>17</v>
      </c>
      <c r="E339" s="65">
        <v>3.0769230769230002E-3</v>
      </c>
    </row>
    <row r="340" spans="2:5" ht="14.5">
      <c r="B340" s="85"/>
      <c r="C340" s="63" t="s">
        <v>118</v>
      </c>
      <c r="D340" s="64">
        <v>66</v>
      </c>
      <c r="E340" s="65">
        <v>1.1945701357466001E-2</v>
      </c>
    </row>
    <row r="341" spans="2:5" ht="14.5">
      <c r="B341" s="85"/>
      <c r="C341" s="63" t="s">
        <v>119</v>
      </c>
      <c r="D341" s="64">
        <v>1</v>
      </c>
      <c r="E341" s="65">
        <v>1.8099547511300001E-4</v>
      </c>
    </row>
    <row r="342" spans="2:5" ht="14.5">
      <c r="B342" s="85"/>
      <c r="C342" s="63" t="s">
        <v>120</v>
      </c>
      <c r="D342" s="64">
        <v>152</v>
      </c>
      <c r="E342" s="65">
        <v>2.7511312217195001E-2</v>
      </c>
    </row>
    <row r="343" spans="2:5" ht="14.5">
      <c r="B343" s="85"/>
      <c r="C343" s="63" t="s">
        <v>121</v>
      </c>
      <c r="D343" s="64">
        <v>15</v>
      </c>
      <c r="E343" s="65">
        <v>2.7149321266969999E-3</v>
      </c>
    </row>
    <row r="344" spans="2:5" ht="14.5">
      <c r="B344" s="85"/>
      <c r="C344" s="63" t="s">
        <v>123</v>
      </c>
      <c r="D344" s="64">
        <v>5</v>
      </c>
      <c r="E344" s="65">
        <v>9.0497737556600002E-4</v>
      </c>
    </row>
    <row r="345" spans="2:5" ht="14.5">
      <c r="B345" s="85"/>
      <c r="C345" s="63" t="s">
        <v>124</v>
      </c>
      <c r="D345" s="64">
        <v>8</v>
      </c>
      <c r="E345" s="65">
        <v>1.4479638009049999E-3</v>
      </c>
    </row>
    <row r="346" spans="2:5" ht="14.5">
      <c r="B346" s="85"/>
      <c r="C346" s="63" t="s">
        <v>125</v>
      </c>
      <c r="D346" s="64">
        <v>4</v>
      </c>
      <c r="E346" s="65">
        <v>7.2398190045200002E-4</v>
      </c>
    </row>
    <row r="347" spans="2:5" ht="14.5">
      <c r="B347" s="85"/>
      <c r="C347" s="63" t="s">
        <v>126</v>
      </c>
      <c r="D347" s="64">
        <v>21</v>
      </c>
      <c r="E347" s="65">
        <v>3.8009049773759999E-3</v>
      </c>
    </row>
    <row r="348" spans="2:5" ht="14.5">
      <c r="B348" s="85"/>
      <c r="C348" s="63" t="s">
        <v>127</v>
      </c>
      <c r="D348" s="64">
        <v>3</v>
      </c>
      <c r="E348" s="65">
        <v>5.4298642533899999E-4</v>
      </c>
    </row>
    <row r="349" spans="2:5" ht="14.5">
      <c r="B349" s="85"/>
      <c r="C349" s="63" t="s">
        <v>128</v>
      </c>
      <c r="D349" s="64">
        <v>5</v>
      </c>
      <c r="E349" s="65">
        <v>9.0497737556600002E-4</v>
      </c>
    </row>
    <row r="350" spans="2:5" ht="14.5">
      <c r="B350" s="85"/>
      <c r="C350" s="63" t="s">
        <v>129</v>
      </c>
      <c r="D350" s="64">
        <v>7</v>
      </c>
      <c r="E350" s="65">
        <v>1.266968325792E-3</v>
      </c>
    </row>
    <row r="351" spans="2:5" ht="14.5">
      <c r="B351" s="85"/>
      <c r="C351" s="63" t="s">
        <v>130</v>
      </c>
      <c r="D351" s="64">
        <v>142</v>
      </c>
      <c r="E351" s="65">
        <v>2.5701357466062998E-2</v>
      </c>
    </row>
    <row r="352" spans="2:5" ht="14.5">
      <c r="B352" s="85"/>
      <c r="C352" s="63" t="s">
        <v>131</v>
      </c>
      <c r="D352" s="64">
        <v>4</v>
      </c>
      <c r="E352" s="65">
        <v>7.2398190045200002E-4</v>
      </c>
    </row>
    <row r="353" spans="2:5" ht="14.5">
      <c r="B353" s="85"/>
      <c r="C353" s="63" t="s">
        <v>132</v>
      </c>
      <c r="D353" s="64">
        <v>5</v>
      </c>
      <c r="E353" s="65">
        <v>9.0497737556600002E-4</v>
      </c>
    </row>
    <row r="354" spans="2:5" ht="14.5">
      <c r="B354" s="85"/>
      <c r="C354" s="63" t="s">
        <v>70</v>
      </c>
      <c r="D354" s="64">
        <v>5</v>
      </c>
      <c r="E354" s="65">
        <v>9.0497737556600002E-4</v>
      </c>
    </row>
    <row r="355" spans="2:5" ht="14.5">
      <c r="B355" s="85"/>
      <c r="C355" s="63" t="s">
        <v>133</v>
      </c>
      <c r="D355" s="64">
        <v>12</v>
      </c>
      <c r="E355" s="65">
        <v>2.171945701357E-3</v>
      </c>
    </row>
    <row r="356" spans="2:5" ht="14.5">
      <c r="B356" s="85"/>
      <c r="C356" s="63" t="s">
        <v>134</v>
      </c>
      <c r="D356" s="64">
        <v>26</v>
      </c>
      <c r="E356" s="65">
        <v>4.705882352941E-3</v>
      </c>
    </row>
    <row r="357" spans="2:5" ht="14.5">
      <c r="B357" s="86"/>
      <c r="C357" s="36" t="s">
        <v>29</v>
      </c>
      <c r="D357" s="35">
        <v>1142</v>
      </c>
      <c r="E357" s="34">
        <v>0.206696832579186</v>
      </c>
    </row>
    <row r="358" spans="2:5" ht="14.5">
      <c r="B358" s="84" t="s">
        <v>259</v>
      </c>
      <c r="C358" s="63" t="s">
        <v>95</v>
      </c>
      <c r="D358" s="64">
        <v>4</v>
      </c>
      <c r="E358" s="65">
        <v>7.2398190045200002E-4</v>
      </c>
    </row>
    <row r="359" spans="2:5" ht="14.5">
      <c r="B359" s="85"/>
      <c r="C359" s="63" t="s">
        <v>97</v>
      </c>
      <c r="D359" s="64">
        <v>1</v>
      </c>
      <c r="E359" s="65">
        <v>1.8099547511300001E-4</v>
      </c>
    </row>
    <row r="360" spans="2:5" ht="14.5">
      <c r="B360" s="85"/>
      <c r="C360" s="63" t="s">
        <v>105</v>
      </c>
      <c r="D360" s="64">
        <v>4</v>
      </c>
      <c r="E360" s="65">
        <v>7.2398190045200002E-4</v>
      </c>
    </row>
    <row r="361" spans="2:5" ht="14.5">
      <c r="B361" s="85"/>
      <c r="C361" s="63" t="s">
        <v>115</v>
      </c>
      <c r="D361" s="64">
        <v>1</v>
      </c>
      <c r="E361" s="65">
        <v>1.8099547511300001E-4</v>
      </c>
    </row>
    <row r="362" spans="2:5" ht="14.5">
      <c r="B362" s="85"/>
      <c r="C362" s="63" t="s">
        <v>118</v>
      </c>
      <c r="D362" s="64">
        <v>1</v>
      </c>
      <c r="E362" s="65">
        <v>1.8099547511300001E-4</v>
      </c>
    </row>
    <row r="363" spans="2:5" ht="14.5">
      <c r="B363" s="85"/>
      <c r="C363" s="63" t="s">
        <v>125</v>
      </c>
      <c r="D363" s="64">
        <v>1</v>
      </c>
      <c r="E363" s="65">
        <v>1.8099547511300001E-4</v>
      </c>
    </row>
    <row r="364" spans="2:5" ht="14.5">
      <c r="B364" s="85"/>
      <c r="C364" s="63" t="s">
        <v>126</v>
      </c>
      <c r="D364" s="64">
        <v>2</v>
      </c>
      <c r="E364" s="65">
        <v>3.6199095022600001E-4</v>
      </c>
    </row>
    <row r="365" spans="2:5" ht="14.5">
      <c r="B365" s="85"/>
      <c r="C365" s="63" t="s">
        <v>132</v>
      </c>
      <c r="D365" s="64">
        <v>1</v>
      </c>
      <c r="E365" s="65">
        <v>1.8099547511300001E-4</v>
      </c>
    </row>
    <row r="366" spans="2:5" ht="14.5">
      <c r="B366" s="85"/>
      <c r="C366" s="63" t="s">
        <v>70</v>
      </c>
      <c r="D366" s="64">
        <v>1</v>
      </c>
      <c r="E366" s="65">
        <v>1.8099547511300001E-4</v>
      </c>
    </row>
    <row r="367" spans="2:5" ht="14.5">
      <c r="B367" s="86"/>
      <c r="C367" s="36" t="s">
        <v>29</v>
      </c>
      <c r="D367" s="35">
        <v>16</v>
      </c>
      <c r="E367" s="34">
        <v>2.8959276018099998E-3</v>
      </c>
    </row>
    <row r="368" spans="2:5" ht="14.5">
      <c r="B368" s="84" t="s">
        <v>260</v>
      </c>
      <c r="C368" s="63" t="s">
        <v>95</v>
      </c>
      <c r="D368" s="64">
        <v>12</v>
      </c>
      <c r="E368" s="65">
        <v>2.171945701357E-3</v>
      </c>
    </row>
    <row r="369" spans="2:5" ht="14.5">
      <c r="B369" s="85"/>
      <c r="C369" s="63" t="s">
        <v>97</v>
      </c>
      <c r="D369" s="64">
        <v>1</v>
      </c>
      <c r="E369" s="65">
        <v>1.8099547511300001E-4</v>
      </c>
    </row>
    <row r="370" spans="2:5" ht="14.5">
      <c r="B370" s="85"/>
      <c r="C370" s="63" t="s">
        <v>101</v>
      </c>
      <c r="D370" s="64">
        <v>1</v>
      </c>
      <c r="E370" s="65">
        <v>1.8099547511300001E-4</v>
      </c>
    </row>
    <row r="371" spans="2:5" ht="14.5">
      <c r="B371" s="85"/>
      <c r="C371" s="63" t="s">
        <v>103</v>
      </c>
      <c r="D371" s="64">
        <v>1</v>
      </c>
      <c r="E371" s="65">
        <v>1.8099547511300001E-4</v>
      </c>
    </row>
    <row r="372" spans="2:5" ht="14.5">
      <c r="B372" s="85"/>
      <c r="C372" s="63" t="s">
        <v>104</v>
      </c>
      <c r="D372" s="64">
        <v>1</v>
      </c>
      <c r="E372" s="65">
        <v>1.8099547511300001E-4</v>
      </c>
    </row>
    <row r="373" spans="2:5" ht="14.5">
      <c r="B373" s="85"/>
      <c r="C373" s="63" t="s">
        <v>117</v>
      </c>
      <c r="D373" s="64">
        <v>2</v>
      </c>
      <c r="E373" s="65">
        <v>3.6199095022600001E-4</v>
      </c>
    </row>
    <row r="374" spans="2:5" ht="14.5">
      <c r="B374" s="85"/>
      <c r="C374" s="63" t="s">
        <v>118</v>
      </c>
      <c r="D374" s="64">
        <v>1</v>
      </c>
      <c r="E374" s="65">
        <v>1.8099547511300001E-4</v>
      </c>
    </row>
    <row r="375" spans="2:5" ht="14.5">
      <c r="B375" s="85"/>
      <c r="C375" s="63" t="s">
        <v>119</v>
      </c>
      <c r="D375" s="64">
        <v>1</v>
      </c>
      <c r="E375" s="65">
        <v>1.8099547511300001E-4</v>
      </c>
    </row>
    <row r="376" spans="2:5" ht="14.5">
      <c r="B376" s="85"/>
      <c r="C376" s="63" t="s">
        <v>120</v>
      </c>
      <c r="D376" s="64">
        <v>2</v>
      </c>
      <c r="E376" s="65">
        <v>3.6199095022600001E-4</v>
      </c>
    </row>
    <row r="377" spans="2:5" ht="14.5">
      <c r="B377" s="85"/>
      <c r="C377" s="63" t="s">
        <v>121</v>
      </c>
      <c r="D377" s="64">
        <v>1</v>
      </c>
      <c r="E377" s="65">
        <v>1.8099547511300001E-4</v>
      </c>
    </row>
    <row r="378" spans="2:5" ht="14.5">
      <c r="B378" s="85"/>
      <c r="C378" s="63" t="s">
        <v>124</v>
      </c>
      <c r="D378" s="64">
        <v>1</v>
      </c>
      <c r="E378" s="65">
        <v>1.8099547511300001E-4</v>
      </c>
    </row>
    <row r="379" spans="2:5" ht="14.5">
      <c r="B379" s="85"/>
      <c r="C379" s="63" t="s">
        <v>126</v>
      </c>
      <c r="D379" s="64">
        <v>1</v>
      </c>
      <c r="E379" s="65">
        <v>1.8099547511300001E-4</v>
      </c>
    </row>
    <row r="380" spans="2:5" ht="14.5">
      <c r="B380" s="85"/>
      <c r="C380" s="63" t="s">
        <v>130</v>
      </c>
      <c r="D380" s="64">
        <v>3</v>
      </c>
      <c r="E380" s="65">
        <v>5.4298642533899999E-4</v>
      </c>
    </row>
    <row r="381" spans="2:5" ht="14.5">
      <c r="B381" s="85"/>
      <c r="C381" s="63" t="s">
        <v>131</v>
      </c>
      <c r="D381" s="64">
        <v>1</v>
      </c>
      <c r="E381" s="65">
        <v>1.8099547511300001E-4</v>
      </c>
    </row>
    <row r="382" spans="2:5" ht="14.5">
      <c r="B382" s="86"/>
      <c r="C382" s="36" t="s">
        <v>29</v>
      </c>
      <c r="D382" s="35">
        <v>29</v>
      </c>
      <c r="E382" s="34">
        <v>5.2488687782809998E-3</v>
      </c>
    </row>
    <row r="383" spans="2:5" ht="14.5">
      <c r="B383" s="84" t="s">
        <v>261</v>
      </c>
      <c r="C383" s="63" t="s">
        <v>97</v>
      </c>
      <c r="D383" s="64">
        <v>1</v>
      </c>
      <c r="E383" s="65">
        <v>1.8099547511300001E-4</v>
      </c>
    </row>
    <row r="384" spans="2:5" ht="14.5">
      <c r="B384" s="85"/>
      <c r="C384" s="63" t="s">
        <v>104</v>
      </c>
      <c r="D384" s="64">
        <v>2</v>
      </c>
      <c r="E384" s="65">
        <v>3.6199095022600001E-4</v>
      </c>
    </row>
    <row r="385" spans="2:5" ht="14.5">
      <c r="B385" s="85"/>
      <c r="C385" s="63" t="s">
        <v>126</v>
      </c>
      <c r="D385" s="64">
        <v>2</v>
      </c>
      <c r="E385" s="65">
        <v>3.6199095022600001E-4</v>
      </c>
    </row>
    <row r="386" spans="2:5" ht="14.5">
      <c r="B386" s="86"/>
      <c r="C386" s="36" t="s">
        <v>29</v>
      </c>
      <c r="D386" s="35">
        <v>5</v>
      </c>
      <c r="E386" s="34">
        <v>9.0497737556600002E-4</v>
      </c>
    </row>
    <row r="387" spans="2:5" ht="14.5">
      <c r="B387" s="84" t="s">
        <v>262</v>
      </c>
      <c r="C387" s="63" t="s">
        <v>95</v>
      </c>
      <c r="D387" s="64">
        <v>5</v>
      </c>
      <c r="E387" s="65">
        <v>9.0497737556600002E-4</v>
      </c>
    </row>
    <row r="388" spans="2:5" ht="14.5">
      <c r="B388" s="85"/>
      <c r="C388" s="63" t="s">
        <v>96</v>
      </c>
      <c r="D388" s="64">
        <v>1</v>
      </c>
      <c r="E388" s="65">
        <v>1.8099547511300001E-4</v>
      </c>
    </row>
    <row r="389" spans="2:5" ht="14.5">
      <c r="B389" s="85"/>
      <c r="C389" s="63" t="s">
        <v>100</v>
      </c>
      <c r="D389" s="64">
        <v>1</v>
      </c>
      <c r="E389" s="65">
        <v>1.8099547511300001E-4</v>
      </c>
    </row>
    <row r="390" spans="2:5" ht="14.5">
      <c r="B390" s="85"/>
      <c r="C390" s="63" t="s">
        <v>120</v>
      </c>
      <c r="D390" s="64">
        <v>1</v>
      </c>
      <c r="E390" s="65">
        <v>1.8099547511300001E-4</v>
      </c>
    </row>
    <row r="391" spans="2:5" ht="14.5">
      <c r="B391" s="85"/>
      <c r="C391" s="63" t="s">
        <v>134</v>
      </c>
      <c r="D391" s="64">
        <v>1</v>
      </c>
      <c r="E391" s="65">
        <v>1.8099547511300001E-4</v>
      </c>
    </row>
    <row r="392" spans="2:5" ht="14.5">
      <c r="B392" s="86"/>
      <c r="C392" s="36" t="s">
        <v>29</v>
      </c>
      <c r="D392" s="35">
        <v>9</v>
      </c>
      <c r="E392" s="34">
        <v>1.628959276018E-3</v>
      </c>
    </row>
    <row r="393" spans="2:5" ht="14.5">
      <c r="B393" s="84" t="s">
        <v>263</v>
      </c>
      <c r="C393" s="63" t="s">
        <v>94</v>
      </c>
      <c r="D393" s="64">
        <v>1</v>
      </c>
      <c r="E393" s="65">
        <v>1.8099547511300001E-4</v>
      </c>
    </row>
    <row r="394" spans="2:5" ht="14.5">
      <c r="B394" s="85"/>
      <c r="C394" s="63" t="s">
        <v>95</v>
      </c>
      <c r="D394" s="64">
        <v>12</v>
      </c>
      <c r="E394" s="65">
        <v>2.171945701357E-3</v>
      </c>
    </row>
    <row r="395" spans="2:5" ht="14.5">
      <c r="B395" s="85"/>
      <c r="C395" s="63" t="s">
        <v>96</v>
      </c>
      <c r="D395" s="64">
        <v>1</v>
      </c>
      <c r="E395" s="65">
        <v>1.8099547511300001E-4</v>
      </c>
    </row>
    <row r="396" spans="2:5" ht="14.5">
      <c r="B396" s="85"/>
      <c r="C396" s="63" t="s">
        <v>97</v>
      </c>
      <c r="D396" s="64">
        <v>3</v>
      </c>
      <c r="E396" s="65">
        <v>5.4298642533899999E-4</v>
      </c>
    </row>
    <row r="397" spans="2:5" ht="14.5">
      <c r="B397" s="85"/>
      <c r="C397" s="63" t="s">
        <v>100</v>
      </c>
      <c r="D397" s="64">
        <v>1</v>
      </c>
      <c r="E397" s="65">
        <v>1.8099547511300001E-4</v>
      </c>
    </row>
    <row r="398" spans="2:5" ht="14.5">
      <c r="B398" s="85"/>
      <c r="C398" s="63" t="s">
        <v>101</v>
      </c>
      <c r="D398" s="64">
        <v>1</v>
      </c>
      <c r="E398" s="65">
        <v>1.8099547511300001E-4</v>
      </c>
    </row>
    <row r="399" spans="2:5" ht="14.5">
      <c r="B399" s="85"/>
      <c r="C399" s="63" t="s">
        <v>103</v>
      </c>
      <c r="D399" s="64">
        <v>1</v>
      </c>
      <c r="E399" s="65">
        <v>1.8099547511300001E-4</v>
      </c>
    </row>
    <row r="400" spans="2:5" ht="14.5">
      <c r="B400" s="85"/>
      <c r="C400" s="63" t="s">
        <v>104</v>
      </c>
      <c r="D400" s="64">
        <v>7</v>
      </c>
      <c r="E400" s="65">
        <v>1.266968325792E-3</v>
      </c>
    </row>
    <row r="401" spans="2:5" ht="14.5">
      <c r="B401" s="85"/>
      <c r="C401" s="63" t="s">
        <v>105</v>
      </c>
      <c r="D401" s="64">
        <v>1</v>
      </c>
      <c r="E401" s="65">
        <v>1.8099547511300001E-4</v>
      </c>
    </row>
    <row r="402" spans="2:5" ht="14.5">
      <c r="B402" s="85"/>
      <c r="C402" s="63" t="s">
        <v>107</v>
      </c>
      <c r="D402" s="64">
        <v>1</v>
      </c>
      <c r="E402" s="65">
        <v>1.8099547511300001E-4</v>
      </c>
    </row>
    <row r="403" spans="2:5" ht="14.5">
      <c r="B403" s="85"/>
      <c r="C403" s="63" t="s">
        <v>109</v>
      </c>
      <c r="D403" s="64">
        <v>1</v>
      </c>
      <c r="E403" s="65">
        <v>1.8099547511300001E-4</v>
      </c>
    </row>
    <row r="404" spans="2:5" ht="14.5">
      <c r="B404" s="85"/>
      <c r="C404" s="63" t="s">
        <v>113</v>
      </c>
      <c r="D404" s="64">
        <v>2</v>
      </c>
      <c r="E404" s="65">
        <v>3.6199095022600001E-4</v>
      </c>
    </row>
    <row r="405" spans="2:5" ht="14.5">
      <c r="B405" s="85"/>
      <c r="C405" s="63" t="s">
        <v>117</v>
      </c>
      <c r="D405" s="64">
        <v>1</v>
      </c>
      <c r="E405" s="65">
        <v>1.8099547511300001E-4</v>
      </c>
    </row>
    <row r="406" spans="2:5" ht="14.5">
      <c r="B406" s="85"/>
      <c r="C406" s="63" t="s">
        <v>118</v>
      </c>
      <c r="D406" s="64">
        <v>4</v>
      </c>
      <c r="E406" s="65">
        <v>7.2398190045200002E-4</v>
      </c>
    </row>
    <row r="407" spans="2:5" ht="14.5">
      <c r="B407" s="85"/>
      <c r="C407" s="63" t="s">
        <v>120</v>
      </c>
      <c r="D407" s="64">
        <v>13</v>
      </c>
      <c r="E407" s="65">
        <v>2.352941176471E-3</v>
      </c>
    </row>
    <row r="408" spans="2:5" ht="14.5">
      <c r="B408" s="85"/>
      <c r="C408" s="63" t="s">
        <v>121</v>
      </c>
      <c r="D408" s="64">
        <v>2</v>
      </c>
      <c r="E408" s="65">
        <v>3.6199095022600001E-4</v>
      </c>
    </row>
    <row r="409" spans="2:5" ht="14.5">
      <c r="B409" s="85"/>
      <c r="C409" s="63" t="s">
        <v>124</v>
      </c>
      <c r="D409" s="64">
        <v>1</v>
      </c>
      <c r="E409" s="65">
        <v>1.8099547511300001E-4</v>
      </c>
    </row>
    <row r="410" spans="2:5" ht="14.5">
      <c r="B410" s="85"/>
      <c r="C410" s="63" t="s">
        <v>126</v>
      </c>
      <c r="D410" s="64">
        <v>2</v>
      </c>
      <c r="E410" s="65">
        <v>3.6199095022600001E-4</v>
      </c>
    </row>
    <row r="411" spans="2:5" ht="14.5">
      <c r="B411" s="85"/>
      <c r="C411" s="63" t="s">
        <v>130</v>
      </c>
      <c r="D411" s="64">
        <v>2</v>
      </c>
      <c r="E411" s="65">
        <v>3.6199095022600001E-4</v>
      </c>
    </row>
    <row r="412" spans="2:5" ht="14.5">
      <c r="B412" s="85"/>
      <c r="C412" s="63" t="s">
        <v>132</v>
      </c>
      <c r="D412" s="64">
        <v>1</v>
      </c>
      <c r="E412" s="65">
        <v>1.8099547511300001E-4</v>
      </c>
    </row>
    <row r="413" spans="2:5" ht="14.5">
      <c r="B413" s="85"/>
      <c r="C413" s="63" t="s">
        <v>133</v>
      </c>
      <c r="D413" s="64">
        <v>3</v>
      </c>
      <c r="E413" s="65">
        <v>5.4298642533899999E-4</v>
      </c>
    </row>
    <row r="414" spans="2:5" ht="14.5">
      <c r="B414" s="85"/>
      <c r="C414" s="63" t="s">
        <v>134</v>
      </c>
      <c r="D414" s="64">
        <v>3</v>
      </c>
      <c r="E414" s="65">
        <v>5.4298642533899999E-4</v>
      </c>
    </row>
    <row r="415" spans="2:5" ht="14.5">
      <c r="B415" s="86"/>
      <c r="C415" s="36" t="s">
        <v>29</v>
      </c>
      <c r="D415" s="35">
        <v>64</v>
      </c>
      <c r="E415" s="34">
        <v>1.1583710407239999E-2</v>
      </c>
    </row>
    <row r="416" spans="2:5" ht="14.5">
      <c r="B416" s="84" t="s">
        <v>264</v>
      </c>
      <c r="C416" s="63" t="s">
        <v>93</v>
      </c>
      <c r="D416" s="64">
        <v>1</v>
      </c>
      <c r="E416" s="65">
        <v>1.8099547511300001E-4</v>
      </c>
    </row>
    <row r="417" spans="2:5" ht="14.5">
      <c r="B417" s="85"/>
      <c r="C417" s="63" t="s">
        <v>94</v>
      </c>
      <c r="D417" s="64">
        <v>1</v>
      </c>
      <c r="E417" s="65">
        <v>1.8099547511300001E-4</v>
      </c>
    </row>
    <row r="418" spans="2:5" ht="14.5">
      <c r="B418" s="85"/>
      <c r="C418" s="63" t="s">
        <v>95</v>
      </c>
      <c r="D418" s="64">
        <v>28</v>
      </c>
      <c r="E418" s="65">
        <v>5.0678733031669998E-3</v>
      </c>
    </row>
    <row r="419" spans="2:5" ht="14.5">
      <c r="B419" s="85"/>
      <c r="C419" s="63" t="s">
        <v>96</v>
      </c>
      <c r="D419" s="64">
        <v>3</v>
      </c>
      <c r="E419" s="65">
        <v>5.4298642533899999E-4</v>
      </c>
    </row>
    <row r="420" spans="2:5" ht="14.5">
      <c r="B420" s="85"/>
      <c r="C420" s="63" t="s">
        <v>97</v>
      </c>
      <c r="D420" s="64">
        <v>15</v>
      </c>
      <c r="E420" s="65">
        <v>2.7149321266969999E-3</v>
      </c>
    </row>
    <row r="421" spans="2:5" ht="14.5">
      <c r="B421" s="85"/>
      <c r="C421" s="63" t="s">
        <v>99</v>
      </c>
      <c r="D421" s="64">
        <v>1</v>
      </c>
      <c r="E421" s="65">
        <v>1.8099547511300001E-4</v>
      </c>
    </row>
    <row r="422" spans="2:5" ht="14.5">
      <c r="B422" s="85"/>
      <c r="C422" s="63" t="s">
        <v>101</v>
      </c>
      <c r="D422" s="64">
        <v>3</v>
      </c>
      <c r="E422" s="65">
        <v>5.4298642533899999E-4</v>
      </c>
    </row>
    <row r="423" spans="2:5" ht="14.5">
      <c r="B423" s="85"/>
      <c r="C423" s="63" t="s">
        <v>103</v>
      </c>
      <c r="D423" s="64">
        <v>8</v>
      </c>
      <c r="E423" s="65">
        <v>1.4479638009049999E-3</v>
      </c>
    </row>
    <row r="424" spans="2:5" ht="14.5">
      <c r="B424" s="85"/>
      <c r="C424" s="63" t="s">
        <v>104</v>
      </c>
      <c r="D424" s="64">
        <v>17</v>
      </c>
      <c r="E424" s="65">
        <v>3.0769230769230002E-3</v>
      </c>
    </row>
    <row r="425" spans="2:5" ht="14.5">
      <c r="B425" s="85"/>
      <c r="C425" s="63" t="s">
        <v>105</v>
      </c>
      <c r="D425" s="64">
        <v>9</v>
      </c>
      <c r="E425" s="65">
        <v>1.628959276018E-3</v>
      </c>
    </row>
    <row r="426" spans="2:5" ht="14.5">
      <c r="B426" s="85"/>
      <c r="C426" s="63" t="s">
        <v>107</v>
      </c>
      <c r="D426" s="64">
        <v>2</v>
      </c>
      <c r="E426" s="65">
        <v>3.6199095022600001E-4</v>
      </c>
    </row>
    <row r="427" spans="2:5" ht="14.5">
      <c r="B427" s="85"/>
      <c r="C427" s="63" t="s">
        <v>108</v>
      </c>
      <c r="D427" s="64">
        <v>2</v>
      </c>
      <c r="E427" s="65">
        <v>3.6199095022600001E-4</v>
      </c>
    </row>
    <row r="428" spans="2:5" ht="14.5">
      <c r="B428" s="85"/>
      <c r="C428" s="63" t="s">
        <v>109</v>
      </c>
      <c r="D428" s="64">
        <v>3</v>
      </c>
      <c r="E428" s="65">
        <v>5.4298642533899999E-4</v>
      </c>
    </row>
    <row r="429" spans="2:5" ht="14.5">
      <c r="B429" s="85"/>
      <c r="C429" s="63" t="s">
        <v>110</v>
      </c>
      <c r="D429" s="64">
        <v>1</v>
      </c>
      <c r="E429" s="65">
        <v>1.8099547511300001E-4</v>
      </c>
    </row>
    <row r="430" spans="2:5" ht="14.5">
      <c r="B430" s="85"/>
      <c r="C430" s="63" t="s">
        <v>111</v>
      </c>
      <c r="D430" s="64">
        <v>1</v>
      </c>
      <c r="E430" s="65">
        <v>1.8099547511300001E-4</v>
      </c>
    </row>
    <row r="431" spans="2:5" ht="14.5">
      <c r="B431" s="85"/>
      <c r="C431" s="63" t="s">
        <v>112</v>
      </c>
      <c r="D431" s="64">
        <v>2</v>
      </c>
      <c r="E431" s="65">
        <v>3.6199095022600001E-4</v>
      </c>
    </row>
    <row r="432" spans="2:5" ht="14.5">
      <c r="B432" s="85"/>
      <c r="C432" s="63" t="s">
        <v>113</v>
      </c>
      <c r="D432" s="64">
        <v>2</v>
      </c>
      <c r="E432" s="65">
        <v>3.6199095022600001E-4</v>
      </c>
    </row>
    <row r="433" spans="2:5" ht="14.5">
      <c r="B433" s="85"/>
      <c r="C433" s="63" t="s">
        <v>114</v>
      </c>
      <c r="D433" s="64">
        <v>1</v>
      </c>
      <c r="E433" s="65">
        <v>1.8099547511300001E-4</v>
      </c>
    </row>
    <row r="434" spans="2:5" ht="14.5">
      <c r="B434" s="85"/>
      <c r="C434" s="63" t="s">
        <v>115</v>
      </c>
      <c r="D434" s="64">
        <v>5</v>
      </c>
      <c r="E434" s="65">
        <v>9.0497737556600002E-4</v>
      </c>
    </row>
    <row r="435" spans="2:5" ht="14.5">
      <c r="B435" s="85"/>
      <c r="C435" s="63" t="s">
        <v>117</v>
      </c>
      <c r="D435" s="64">
        <v>7</v>
      </c>
      <c r="E435" s="65">
        <v>1.266968325792E-3</v>
      </c>
    </row>
    <row r="436" spans="2:5" ht="14.5">
      <c r="B436" s="85"/>
      <c r="C436" s="63" t="s">
        <v>118</v>
      </c>
      <c r="D436" s="64">
        <v>6</v>
      </c>
      <c r="E436" s="65">
        <v>1.0859728506790001E-3</v>
      </c>
    </row>
    <row r="437" spans="2:5" ht="14.5">
      <c r="B437" s="85"/>
      <c r="C437" s="63" t="s">
        <v>119</v>
      </c>
      <c r="D437" s="64">
        <v>1</v>
      </c>
      <c r="E437" s="65">
        <v>1.8099547511300001E-4</v>
      </c>
    </row>
    <row r="438" spans="2:5" ht="14.5">
      <c r="B438" s="85"/>
      <c r="C438" s="63" t="s">
        <v>120</v>
      </c>
      <c r="D438" s="64">
        <v>29</v>
      </c>
      <c r="E438" s="65">
        <v>5.2488687782809998E-3</v>
      </c>
    </row>
    <row r="439" spans="2:5" ht="14.5">
      <c r="B439" s="85"/>
      <c r="C439" s="63" t="s">
        <v>121</v>
      </c>
      <c r="D439" s="64">
        <v>1</v>
      </c>
      <c r="E439" s="65">
        <v>1.8099547511300001E-4</v>
      </c>
    </row>
    <row r="440" spans="2:5" ht="14.5">
      <c r="B440" s="85"/>
      <c r="C440" s="63" t="s">
        <v>123</v>
      </c>
      <c r="D440" s="64">
        <v>2</v>
      </c>
      <c r="E440" s="65">
        <v>3.6199095022600001E-4</v>
      </c>
    </row>
    <row r="441" spans="2:5" ht="14.5">
      <c r="B441" s="85"/>
      <c r="C441" s="63" t="s">
        <v>124</v>
      </c>
      <c r="D441" s="64">
        <v>3</v>
      </c>
      <c r="E441" s="65">
        <v>5.4298642533899999E-4</v>
      </c>
    </row>
    <row r="442" spans="2:5" ht="14.5">
      <c r="B442" s="85"/>
      <c r="C442" s="63" t="s">
        <v>125</v>
      </c>
      <c r="D442" s="64">
        <v>2</v>
      </c>
      <c r="E442" s="65">
        <v>3.6199095022600001E-4</v>
      </c>
    </row>
    <row r="443" spans="2:5" ht="14.5">
      <c r="B443" s="85"/>
      <c r="C443" s="63" t="s">
        <v>126</v>
      </c>
      <c r="D443" s="64">
        <v>2</v>
      </c>
      <c r="E443" s="65">
        <v>3.6199095022600001E-4</v>
      </c>
    </row>
    <row r="444" spans="2:5" ht="14.5">
      <c r="B444" s="85"/>
      <c r="C444" s="63" t="s">
        <v>127</v>
      </c>
      <c r="D444" s="64">
        <v>1</v>
      </c>
      <c r="E444" s="65">
        <v>1.8099547511300001E-4</v>
      </c>
    </row>
    <row r="445" spans="2:5" ht="14.5">
      <c r="B445" s="85"/>
      <c r="C445" s="63" t="s">
        <v>130</v>
      </c>
      <c r="D445" s="64">
        <v>21</v>
      </c>
      <c r="E445" s="65">
        <v>3.8009049773759999E-3</v>
      </c>
    </row>
    <row r="446" spans="2:5" ht="14.5">
      <c r="B446" s="85"/>
      <c r="C446" s="63" t="s">
        <v>131</v>
      </c>
      <c r="D446" s="64">
        <v>1</v>
      </c>
      <c r="E446" s="65">
        <v>1.8099547511300001E-4</v>
      </c>
    </row>
    <row r="447" spans="2:5" ht="14.5">
      <c r="B447" s="85"/>
      <c r="C447" s="63" t="s">
        <v>70</v>
      </c>
      <c r="D447" s="64">
        <v>1</v>
      </c>
      <c r="E447" s="65">
        <v>1.8099547511300001E-4</v>
      </c>
    </row>
    <row r="448" spans="2:5" ht="14.5">
      <c r="B448" s="85"/>
      <c r="C448" s="63" t="s">
        <v>134</v>
      </c>
      <c r="D448" s="64">
        <v>7</v>
      </c>
      <c r="E448" s="65">
        <v>1.266968325792E-3</v>
      </c>
    </row>
    <row r="449" spans="2:5" ht="14.5">
      <c r="B449" s="86"/>
      <c r="C449" s="36" t="s">
        <v>29</v>
      </c>
      <c r="D449" s="35">
        <v>189</v>
      </c>
      <c r="E449" s="34">
        <v>3.4208144796379999E-2</v>
      </c>
    </row>
    <row r="450" spans="2:5" ht="14.5">
      <c r="B450" s="84" t="s">
        <v>265</v>
      </c>
      <c r="C450" s="63" t="s">
        <v>95</v>
      </c>
      <c r="D450" s="64">
        <v>2</v>
      </c>
      <c r="E450" s="65">
        <v>3.6199095022600001E-4</v>
      </c>
    </row>
    <row r="451" spans="2:5" ht="14.5">
      <c r="B451" s="86"/>
      <c r="C451" s="36" t="s">
        <v>29</v>
      </c>
      <c r="D451" s="35">
        <v>2</v>
      </c>
      <c r="E451" s="34">
        <v>3.6199095022600001E-4</v>
      </c>
    </row>
    <row r="452" spans="2:5" ht="14.5">
      <c r="B452" s="84" t="s">
        <v>266</v>
      </c>
      <c r="C452" s="63" t="s">
        <v>119</v>
      </c>
      <c r="D452" s="64">
        <v>2</v>
      </c>
      <c r="E452" s="65">
        <v>3.6199095022600001E-4</v>
      </c>
    </row>
    <row r="453" spans="2:5" ht="14.5">
      <c r="B453" s="85"/>
      <c r="C453" s="63" t="s">
        <v>130</v>
      </c>
      <c r="D453" s="64">
        <v>1</v>
      </c>
      <c r="E453" s="65">
        <v>1.8099547511300001E-4</v>
      </c>
    </row>
    <row r="454" spans="2:5" ht="14.5">
      <c r="B454" s="86"/>
      <c r="C454" s="36" t="s">
        <v>29</v>
      </c>
      <c r="D454" s="35">
        <v>3</v>
      </c>
      <c r="E454" s="34">
        <v>5.4298642533899999E-4</v>
      </c>
    </row>
    <row r="455" spans="2:5" ht="14.5">
      <c r="B455" s="84" t="s">
        <v>267</v>
      </c>
      <c r="C455" s="63" t="s">
        <v>128</v>
      </c>
      <c r="D455" s="64">
        <v>1</v>
      </c>
      <c r="E455" s="65">
        <v>1.8099547511300001E-4</v>
      </c>
    </row>
    <row r="456" spans="2:5" ht="14.5">
      <c r="B456" s="86"/>
      <c r="C456" s="36" t="s">
        <v>29</v>
      </c>
      <c r="D456" s="35">
        <v>1</v>
      </c>
      <c r="E456" s="34">
        <v>1.8099547511300001E-4</v>
      </c>
    </row>
    <row r="457" spans="2:5">
      <c r="B457" s="87" t="s">
        <v>29</v>
      </c>
      <c r="C457" s="88"/>
      <c r="D457" s="61">
        <v>5525</v>
      </c>
      <c r="E457" s="62">
        <v>1</v>
      </c>
    </row>
    <row r="458" spans="2:5" ht="15" customHeight="1">
      <c r="B458" s="15"/>
    </row>
    <row r="459" spans="2:5" ht="15" customHeight="1">
      <c r="B459" s="15" t="s">
        <v>135</v>
      </c>
    </row>
    <row r="460" spans="2:5" ht="15" customHeight="1">
      <c r="B460" s="17" t="s">
        <v>18</v>
      </c>
    </row>
    <row r="461" spans="2:5" ht="15" customHeight="1">
      <c r="B461" s="16" t="s">
        <v>136</v>
      </c>
    </row>
    <row r="462" spans="2:5" ht="15" customHeight="1">
      <c r="B462" s="15" t="s">
        <v>17</v>
      </c>
    </row>
    <row r="463" spans="2:5" ht="15" customHeight="1">
      <c r="B463" s="15" t="s">
        <v>137</v>
      </c>
    </row>
  </sheetData>
  <mergeCells count="27">
    <mergeCell ref="B7:E8"/>
    <mergeCell ref="B10:B11"/>
    <mergeCell ref="B358:B367"/>
    <mergeCell ref="B368:B382"/>
    <mergeCell ref="B383:B386"/>
    <mergeCell ref="B12:B23"/>
    <mergeCell ref="B24:B31"/>
    <mergeCell ref="B32:B40"/>
    <mergeCell ref="B41:B53"/>
    <mergeCell ref="B54:B67"/>
    <mergeCell ref="B68:B81"/>
    <mergeCell ref="B82:B111"/>
    <mergeCell ref="B112:B150"/>
    <mergeCell ref="B151:B164"/>
    <mergeCell ref="B165:B186"/>
    <mergeCell ref="B455:B456"/>
    <mergeCell ref="B457:C457"/>
    <mergeCell ref="B187:B218"/>
    <mergeCell ref="B219:B263"/>
    <mergeCell ref="B264:B282"/>
    <mergeCell ref="B283:B316"/>
    <mergeCell ref="B317:B357"/>
    <mergeCell ref="B387:B392"/>
    <mergeCell ref="B393:B415"/>
    <mergeCell ref="B416:B449"/>
    <mergeCell ref="B450:B451"/>
    <mergeCell ref="B452:B4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535"/>
  <sheetViews>
    <sheetView showGridLines="0" view="pageBreakPreview" topLeftCell="A506" zoomScale="85" zoomScaleNormal="93" zoomScaleSheetLayoutView="85" workbookViewId="0">
      <selection activeCell="E535" sqref="B530:E535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41.816406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 ht="14.5">
      <c r="B10" s="84" t="s">
        <v>83</v>
      </c>
      <c r="C10" s="63" t="s">
        <v>248</v>
      </c>
      <c r="D10" s="64">
        <v>1</v>
      </c>
      <c r="E10" s="65">
        <v>1.8099547511300001E-4</v>
      </c>
    </row>
    <row r="11" spans="1:5" ht="14.5">
      <c r="B11" s="85"/>
      <c r="C11" s="63" t="s">
        <v>250</v>
      </c>
      <c r="D11" s="64">
        <v>1</v>
      </c>
      <c r="E11" s="65">
        <v>1.8099547511300001E-4</v>
      </c>
    </row>
    <row r="12" spans="1:5" ht="14.5">
      <c r="B12" s="85"/>
      <c r="C12" s="63" t="s">
        <v>251</v>
      </c>
      <c r="D12" s="64">
        <v>1</v>
      </c>
      <c r="E12" s="65">
        <v>1.8099547511300001E-4</v>
      </c>
    </row>
    <row r="13" spans="1:5" ht="14.5">
      <c r="B13" s="85"/>
      <c r="C13" s="63" t="s">
        <v>255</v>
      </c>
      <c r="D13" s="64">
        <v>8</v>
      </c>
      <c r="E13" s="65">
        <v>1.4479638009049999E-3</v>
      </c>
    </row>
    <row r="14" spans="1:5" ht="14.5">
      <c r="B14" s="85"/>
      <c r="C14" s="63" t="s">
        <v>257</v>
      </c>
      <c r="D14" s="64">
        <v>2</v>
      </c>
      <c r="E14" s="65">
        <v>3.6199095022600001E-4</v>
      </c>
    </row>
    <row r="15" spans="1:5" ht="14.5">
      <c r="B15" s="85"/>
      <c r="C15" s="63" t="s">
        <v>258</v>
      </c>
      <c r="D15" s="64">
        <v>2</v>
      </c>
      <c r="E15" s="65">
        <v>3.6199095022600001E-4</v>
      </c>
    </row>
    <row r="16" spans="1:5" ht="14.5">
      <c r="B16" s="85"/>
      <c r="C16" s="63" t="s">
        <v>260</v>
      </c>
      <c r="D16" s="64">
        <v>1</v>
      </c>
      <c r="E16" s="65">
        <v>1.8099547511300001E-4</v>
      </c>
    </row>
    <row r="17" spans="2:5" ht="14.5">
      <c r="B17" s="85"/>
      <c r="C17" s="63" t="s">
        <v>264</v>
      </c>
      <c r="D17" s="64">
        <v>1</v>
      </c>
      <c r="E17" s="65">
        <v>1.8099547511300001E-4</v>
      </c>
    </row>
    <row r="18" spans="2:5" ht="14.5">
      <c r="B18" s="85"/>
      <c r="C18" s="63" t="s">
        <v>266</v>
      </c>
      <c r="D18" s="64">
        <v>2</v>
      </c>
      <c r="E18" s="65">
        <v>3.6199095022600001E-4</v>
      </c>
    </row>
    <row r="19" spans="2:5" ht="14.5">
      <c r="B19" s="86"/>
      <c r="C19" s="36" t="s">
        <v>29</v>
      </c>
      <c r="D19" s="35">
        <v>19</v>
      </c>
      <c r="E19" s="34">
        <v>3.438914027149E-3</v>
      </c>
    </row>
    <row r="20" spans="2:5" ht="14.5">
      <c r="B20" s="84" t="s">
        <v>53</v>
      </c>
      <c r="C20" s="63" t="s">
        <v>248</v>
      </c>
      <c r="D20" s="64">
        <v>3</v>
      </c>
      <c r="E20" s="65">
        <v>5.4298642533899999E-4</v>
      </c>
    </row>
    <row r="21" spans="2:5" ht="14.5">
      <c r="B21" s="85"/>
      <c r="C21" s="63" t="s">
        <v>249</v>
      </c>
      <c r="D21" s="64">
        <v>1</v>
      </c>
      <c r="E21" s="65">
        <v>1.8099547511300001E-4</v>
      </c>
    </row>
    <row r="22" spans="2:5" ht="14.5">
      <c r="B22" s="85"/>
      <c r="C22" s="63" t="s">
        <v>250</v>
      </c>
      <c r="D22" s="64">
        <v>11</v>
      </c>
      <c r="E22" s="65">
        <v>1.9909502262440001E-3</v>
      </c>
    </row>
    <row r="23" spans="2:5" ht="14.5">
      <c r="B23" s="85"/>
      <c r="C23" s="63" t="s">
        <v>251</v>
      </c>
      <c r="D23" s="64">
        <v>16</v>
      </c>
      <c r="E23" s="65">
        <v>2.8959276018099998E-3</v>
      </c>
    </row>
    <row r="24" spans="2:5" ht="14.5">
      <c r="B24" s="85"/>
      <c r="C24" s="63" t="s">
        <v>252</v>
      </c>
      <c r="D24" s="64">
        <v>3</v>
      </c>
      <c r="E24" s="65">
        <v>5.4298642533899999E-4</v>
      </c>
    </row>
    <row r="25" spans="2:5" ht="14.5">
      <c r="B25" s="85"/>
      <c r="C25" s="63" t="s">
        <v>253</v>
      </c>
      <c r="D25" s="64">
        <v>4</v>
      </c>
      <c r="E25" s="65">
        <v>7.2398190045200002E-4</v>
      </c>
    </row>
    <row r="26" spans="2:5" ht="14.5">
      <c r="B26" s="85"/>
      <c r="C26" s="63" t="s">
        <v>254</v>
      </c>
      <c r="D26" s="64">
        <v>2</v>
      </c>
      <c r="E26" s="65">
        <v>3.6199095022600001E-4</v>
      </c>
    </row>
    <row r="27" spans="2:5" ht="14.5">
      <c r="B27" s="85"/>
      <c r="C27" s="63" t="s">
        <v>255</v>
      </c>
      <c r="D27" s="64">
        <v>84</v>
      </c>
      <c r="E27" s="65">
        <v>1.5203619909502E-2</v>
      </c>
    </row>
    <row r="28" spans="2:5" ht="14.5">
      <c r="B28" s="85"/>
      <c r="C28" s="63" t="s">
        <v>257</v>
      </c>
      <c r="D28" s="64">
        <v>7</v>
      </c>
      <c r="E28" s="65">
        <v>1.266968325792E-3</v>
      </c>
    </row>
    <row r="29" spans="2:5" ht="14.5">
      <c r="B29" s="85"/>
      <c r="C29" s="63" t="s">
        <v>258</v>
      </c>
      <c r="D29" s="64">
        <v>35</v>
      </c>
      <c r="E29" s="65">
        <v>6.3348416289590002E-3</v>
      </c>
    </row>
    <row r="30" spans="2:5" ht="14.5">
      <c r="B30" s="85"/>
      <c r="C30" s="63" t="s">
        <v>263</v>
      </c>
      <c r="D30" s="64">
        <v>1</v>
      </c>
      <c r="E30" s="65">
        <v>1.8099547511300001E-4</v>
      </c>
    </row>
    <row r="31" spans="2:5" ht="14.5">
      <c r="B31" s="85"/>
      <c r="C31" s="63" t="s">
        <v>264</v>
      </c>
      <c r="D31" s="64">
        <v>3</v>
      </c>
      <c r="E31" s="65">
        <v>5.4298642533899999E-4</v>
      </c>
    </row>
    <row r="32" spans="2:5" ht="14.5">
      <c r="B32" s="86"/>
      <c r="C32" s="36" t="s">
        <v>29</v>
      </c>
      <c r="D32" s="35">
        <v>170</v>
      </c>
      <c r="E32" s="34">
        <v>3.0769230769231E-2</v>
      </c>
    </row>
    <row r="33" spans="2:5" ht="14.5">
      <c r="B33" s="84" t="s">
        <v>81</v>
      </c>
      <c r="C33" s="63" t="s">
        <v>244</v>
      </c>
      <c r="D33" s="64">
        <v>1</v>
      </c>
      <c r="E33" s="65">
        <v>1.8099547511300001E-4</v>
      </c>
    </row>
    <row r="34" spans="2:5" ht="14.5">
      <c r="B34" s="85"/>
      <c r="C34" s="63" t="s">
        <v>251</v>
      </c>
      <c r="D34" s="64">
        <v>3</v>
      </c>
      <c r="E34" s="65">
        <v>5.4298642533899999E-4</v>
      </c>
    </row>
    <row r="35" spans="2:5" ht="14.5">
      <c r="B35" s="85"/>
      <c r="C35" s="63" t="s">
        <v>254</v>
      </c>
      <c r="D35" s="64">
        <v>1</v>
      </c>
      <c r="E35" s="65">
        <v>1.8099547511300001E-4</v>
      </c>
    </row>
    <row r="36" spans="2:5" ht="14.5">
      <c r="B36" s="85"/>
      <c r="C36" s="63" t="s">
        <v>255</v>
      </c>
      <c r="D36" s="64">
        <v>8</v>
      </c>
      <c r="E36" s="65">
        <v>1.4479638009049999E-3</v>
      </c>
    </row>
    <row r="37" spans="2:5" ht="14.5">
      <c r="B37" s="85"/>
      <c r="C37" s="63" t="s">
        <v>257</v>
      </c>
      <c r="D37" s="64">
        <v>2</v>
      </c>
      <c r="E37" s="65">
        <v>3.6199095022600001E-4</v>
      </c>
    </row>
    <row r="38" spans="2:5" ht="14.5">
      <c r="B38" s="85"/>
      <c r="C38" s="63" t="s">
        <v>258</v>
      </c>
      <c r="D38" s="64">
        <v>7</v>
      </c>
      <c r="E38" s="65">
        <v>1.266968325792E-3</v>
      </c>
    </row>
    <row r="39" spans="2:5" ht="14.5">
      <c r="B39" s="85"/>
      <c r="C39" s="63" t="s">
        <v>264</v>
      </c>
      <c r="D39" s="64">
        <v>3</v>
      </c>
      <c r="E39" s="65">
        <v>5.4298642533899999E-4</v>
      </c>
    </row>
    <row r="40" spans="2:5" ht="14.5">
      <c r="B40" s="85"/>
      <c r="C40" s="63" t="s">
        <v>266</v>
      </c>
      <c r="D40" s="64">
        <v>1</v>
      </c>
      <c r="E40" s="65">
        <v>1.8099547511300001E-4</v>
      </c>
    </row>
    <row r="41" spans="2:5" ht="14.5">
      <c r="B41" s="86"/>
      <c r="C41" s="36" t="s">
        <v>29</v>
      </c>
      <c r="D41" s="35">
        <v>26</v>
      </c>
      <c r="E41" s="34">
        <v>4.705882352941E-3</v>
      </c>
    </row>
    <row r="42" spans="2:5" ht="14.5">
      <c r="B42" s="84" t="s">
        <v>57</v>
      </c>
      <c r="C42" s="63" t="s">
        <v>246</v>
      </c>
      <c r="D42" s="64">
        <v>1</v>
      </c>
      <c r="E42" s="65">
        <v>1.8099547511300001E-4</v>
      </c>
    </row>
    <row r="43" spans="2:5" ht="14.5">
      <c r="B43" s="85"/>
      <c r="C43" s="63" t="s">
        <v>248</v>
      </c>
      <c r="D43" s="64">
        <v>1</v>
      </c>
      <c r="E43" s="65">
        <v>1.8099547511300001E-4</v>
      </c>
    </row>
    <row r="44" spans="2:5" ht="14.5">
      <c r="B44" s="85"/>
      <c r="C44" s="63" t="s">
        <v>249</v>
      </c>
      <c r="D44" s="64">
        <v>1</v>
      </c>
      <c r="E44" s="65">
        <v>1.8099547511300001E-4</v>
      </c>
    </row>
    <row r="45" spans="2:5" ht="14.5">
      <c r="B45" s="85"/>
      <c r="C45" s="63" t="s">
        <v>250</v>
      </c>
      <c r="D45" s="64">
        <v>8</v>
      </c>
      <c r="E45" s="65">
        <v>1.4479638009049999E-3</v>
      </c>
    </row>
    <row r="46" spans="2:5" ht="14.5">
      <c r="B46" s="85"/>
      <c r="C46" s="63" t="s">
        <v>251</v>
      </c>
      <c r="D46" s="64">
        <v>18</v>
      </c>
      <c r="E46" s="65">
        <v>3.2579185520360001E-3</v>
      </c>
    </row>
    <row r="47" spans="2:5" ht="14.5">
      <c r="B47" s="85"/>
      <c r="C47" s="63" t="s">
        <v>252</v>
      </c>
      <c r="D47" s="64">
        <v>2</v>
      </c>
      <c r="E47" s="65">
        <v>3.6199095022600001E-4</v>
      </c>
    </row>
    <row r="48" spans="2:5" ht="14.5">
      <c r="B48" s="85"/>
      <c r="C48" s="63" t="s">
        <v>253</v>
      </c>
      <c r="D48" s="64">
        <v>4</v>
      </c>
      <c r="E48" s="65">
        <v>7.2398190045200002E-4</v>
      </c>
    </row>
    <row r="49" spans="2:5" ht="14.5">
      <c r="B49" s="85"/>
      <c r="C49" s="63" t="s">
        <v>254</v>
      </c>
      <c r="D49" s="64">
        <v>5</v>
      </c>
      <c r="E49" s="65">
        <v>9.0497737556600002E-4</v>
      </c>
    </row>
    <row r="50" spans="2:5" ht="14.5">
      <c r="B50" s="85"/>
      <c r="C50" s="63" t="s">
        <v>255</v>
      </c>
      <c r="D50" s="64">
        <v>39</v>
      </c>
      <c r="E50" s="65">
        <v>7.058823529412E-3</v>
      </c>
    </row>
    <row r="51" spans="2:5" ht="14.5">
      <c r="B51" s="85"/>
      <c r="C51" s="63" t="s">
        <v>257</v>
      </c>
      <c r="D51" s="64">
        <v>7</v>
      </c>
      <c r="E51" s="65">
        <v>1.266968325792E-3</v>
      </c>
    </row>
    <row r="52" spans="2:5" ht="14.5">
      <c r="B52" s="85"/>
      <c r="C52" s="63" t="s">
        <v>258</v>
      </c>
      <c r="D52" s="64">
        <v>36</v>
      </c>
      <c r="E52" s="65">
        <v>6.5158371040720002E-3</v>
      </c>
    </row>
    <row r="53" spans="2:5" ht="14.5">
      <c r="B53" s="85"/>
      <c r="C53" s="63" t="s">
        <v>260</v>
      </c>
      <c r="D53" s="64">
        <v>1</v>
      </c>
      <c r="E53" s="65">
        <v>1.8099547511300001E-4</v>
      </c>
    </row>
    <row r="54" spans="2:5" ht="14.5">
      <c r="B54" s="85"/>
      <c r="C54" s="63" t="s">
        <v>262</v>
      </c>
      <c r="D54" s="64">
        <v>1</v>
      </c>
      <c r="E54" s="65">
        <v>1.8099547511300001E-4</v>
      </c>
    </row>
    <row r="55" spans="2:5" ht="14.5">
      <c r="B55" s="85"/>
      <c r="C55" s="63" t="s">
        <v>263</v>
      </c>
      <c r="D55" s="64">
        <v>2</v>
      </c>
      <c r="E55" s="65">
        <v>3.6199095022600001E-4</v>
      </c>
    </row>
    <row r="56" spans="2:5" ht="14.5">
      <c r="B56" s="85"/>
      <c r="C56" s="63" t="s">
        <v>264</v>
      </c>
      <c r="D56" s="64">
        <v>9</v>
      </c>
      <c r="E56" s="65">
        <v>1.628959276018E-3</v>
      </c>
    </row>
    <row r="57" spans="2:5" ht="14.5">
      <c r="B57" s="86"/>
      <c r="C57" s="36" t="s">
        <v>29</v>
      </c>
      <c r="D57" s="35">
        <v>135</v>
      </c>
      <c r="E57" s="34">
        <v>2.4434389140271E-2</v>
      </c>
    </row>
    <row r="58" spans="2:5" ht="14.5">
      <c r="B58" s="84" t="s">
        <v>52</v>
      </c>
      <c r="C58" s="63" t="s">
        <v>244</v>
      </c>
      <c r="D58" s="64">
        <v>1</v>
      </c>
      <c r="E58" s="65">
        <v>1.8099547511300001E-4</v>
      </c>
    </row>
    <row r="59" spans="2:5" ht="14.5">
      <c r="B59" s="85"/>
      <c r="C59" s="63" t="s">
        <v>245</v>
      </c>
      <c r="D59" s="64">
        <v>3</v>
      </c>
      <c r="E59" s="65">
        <v>5.4298642533899999E-4</v>
      </c>
    </row>
    <row r="60" spans="2:5" ht="14.5">
      <c r="B60" s="85"/>
      <c r="C60" s="63" t="s">
        <v>247</v>
      </c>
      <c r="D60" s="64">
        <v>3</v>
      </c>
      <c r="E60" s="65">
        <v>5.4298642533899999E-4</v>
      </c>
    </row>
    <row r="61" spans="2:5" ht="14.5">
      <c r="B61" s="85"/>
      <c r="C61" s="63" t="s">
        <v>249</v>
      </c>
      <c r="D61" s="64">
        <v>1</v>
      </c>
      <c r="E61" s="65">
        <v>1.8099547511300001E-4</v>
      </c>
    </row>
    <row r="62" spans="2:5" ht="14.5">
      <c r="B62" s="85"/>
      <c r="C62" s="63" t="s">
        <v>250</v>
      </c>
      <c r="D62" s="64">
        <v>8</v>
      </c>
      <c r="E62" s="65">
        <v>1.4479638009049999E-3</v>
      </c>
    </row>
    <row r="63" spans="2:5" ht="14.5">
      <c r="B63" s="85"/>
      <c r="C63" s="63" t="s">
        <v>251</v>
      </c>
      <c r="D63" s="64">
        <v>22</v>
      </c>
      <c r="E63" s="65">
        <v>3.9819004524890003E-3</v>
      </c>
    </row>
    <row r="64" spans="2:5" ht="14.5">
      <c r="B64" s="85"/>
      <c r="C64" s="63" t="s">
        <v>252</v>
      </c>
      <c r="D64" s="64">
        <v>3</v>
      </c>
      <c r="E64" s="65">
        <v>5.4298642533899999E-4</v>
      </c>
    </row>
    <row r="65" spans="2:5" ht="14.5">
      <c r="B65" s="85"/>
      <c r="C65" s="63" t="s">
        <v>253</v>
      </c>
      <c r="D65" s="64">
        <v>5</v>
      </c>
      <c r="E65" s="65">
        <v>9.0497737556600002E-4</v>
      </c>
    </row>
    <row r="66" spans="2:5" ht="14.5">
      <c r="B66" s="85"/>
      <c r="C66" s="63" t="s">
        <v>254</v>
      </c>
      <c r="D66" s="64">
        <v>10</v>
      </c>
      <c r="E66" s="65">
        <v>1.809954751131E-3</v>
      </c>
    </row>
    <row r="67" spans="2:5" ht="14.5">
      <c r="B67" s="85"/>
      <c r="C67" s="63" t="s">
        <v>255</v>
      </c>
      <c r="D67" s="64">
        <v>118</v>
      </c>
      <c r="E67" s="65">
        <v>2.1357466063347999E-2</v>
      </c>
    </row>
    <row r="68" spans="2:5" ht="14.5">
      <c r="B68" s="85"/>
      <c r="C68" s="63" t="s">
        <v>256</v>
      </c>
      <c r="D68" s="64">
        <v>3</v>
      </c>
      <c r="E68" s="65">
        <v>5.4298642533899999E-4</v>
      </c>
    </row>
    <row r="69" spans="2:5" ht="14.5">
      <c r="B69" s="85"/>
      <c r="C69" s="63" t="s">
        <v>257</v>
      </c>
      <c r="D69" s="64">
        <v>10</v>
      </c>
      <c r="E69" s="65">
        <v>1.809954751131E-3</v>
      </c>
    </row>
    <row r="70" spans="2:5" ht="14.5">
      <c r="B70" s="85"/>
      <c r="C70" s="63" t="s">
        <v>258</v>
      </c>
      <c r="D70" s="64">
        <v>47</v>
      </c>
      <c r="E70" s="65">
        <v>8.5067873303169995E-3</v>
      </c>
    </row>
    <row r="71" spans="2:5" ht="14.5">
      <c r="B71" s="85"/>
      <c r="C71" s="63" t="s">
        <v>259</v>
      </c>
      <c r="D71" s="64">
        <v>1</v>
      </c>
      <c r="E71" s="65">
        <v>1.8099547511300001E-4</v>
      </c>
    </row>
    <row r="72" spans="2:5" ht="14.5">
      <c r="B72" s="85"/>
      <c r="C72" s="63" t="s">
        <v>261</v>
      </c>
      <c r="D72" s="64">
        <v>1</v>
      </c>
      <c r="E72" s="65">
        <v>1.8099547511300001E-4</v>
      </c>
    </row>
    <row r="73" spans="2:5" ht="14.5">
      <c r="B73" s="85"/>
      <c r="C73" s="63" t="s">
        <v>263</v>
      </c>
      <c r="D73" s="64">
        <v>3</v>
      </c>
      <c r="E73" s="65">
        <v>5.4298642533899999E-4</v>
      </c>
    </row>
    <row r="74" spans="2:5" ht="14.5">
      <c r="B74" s="85"/>
      <c r="C74" s="63" t="s">
        <v>264</v>
      </c>
      <c r="D74" s="64">
        <v>15</v>
      </c>
      <c r="E74" s="65">
        <v>2.7149321266969999E-3</v>
      </c>
    </row>
    <row r="75" spans="2:5" ht="14.5">
      <c r="B75" s="86"/>
      <c r="C75" s="36" t="s">
        <v>29</v>
      </c>
      <c r="D75" s="35">
        <v>254</v>
      </c>
      <c r="E75" s="34">
        <v>4.5972850678733003E-2</v>
      </c>
    </row>
    <row r="76" spans="2:5" ht="14.5">
      <c r="B76" s="84" t="s">
        <v>87</v>
      </c>
      <c r="C76" s="63" t="s">
        <v>250</v>
      </c>
      <c r="D76" s="64">
        <v>1</v>
      </c>
      <c r="E76" s="65">
        <v>1.8099547511300001E-4</v>
      </c>
    </row>
    <row r="77" spans="2:5" ht="14.5">
      <c r="B77" s="85"/>
      <c r="C77" s="63" t="s">
        <v>255</v>
      </c>
      <c r="D77" s="64">
        <v>1</v>
      </c>
      <c r="E77" s="65">
        <v>1.8099547511300001E-4</v>
      </c>
    </row>
    <row r="78" spans="2:5" ht="14.5">
      <c r="B78" s="86"/>
      <c r="C78" s="36" t="s">
        <v>29</v>
      </c>
      <c r="D78" s="35">
        <v>2</v>
      </c>
      <c r="E78" s="34">
        <v>3.6199095022600001E-4</v>
      </c>
    </row>
    <row r="79" spans="2:5" ht="14.5">
      <c r="B79" s="84" t="s">
        <v>47</v>
      </c>
      <c r="C79" s="63" t="s">
        <v>244</v>
      </c>
      <c r="D79" s="64">
        <v>6</v>
      </c>
      <c r="E79" s="65">
        <v>1.0859728506790001E-3</v>
      </c>
    </row>
    <row r="80" spans="2:5" ht="14.5">
      <c r="B80" s="85"/>
      <c r="C80" s="63" t="s">
        <v>245</v>
      </c>
      <c r="D80" s="64">
        <v>1</v>
      </c>
      <c r="E80" s="65">
        <v>1.8099547511300001E-4</v>
      </c>
    </row>
    <row r="81" spans="2:5" ht="14.5">
      <c r="B81" s="85"/>
      <c r="C81" s="63" t="s">
        <v>246</v>
      </c>
      <c r="D81" s="64">
        <v>1</v>
      </c>
      <c r="E81" s="65">
        <v>1.8099547511300001E-4</v>
      </c>
    </row>
    <row r="82" spans="2:5" ht="14.5">
      <c r="B82" s="85"/>
      <c r="C82" s="63" t="s">
        <v>247</v>
      </c>
      <c r="D82" s="64">
        <v>3</v>
      </c>
      <c r="E82" s="65">
        <v>5.4298642533899999E-4</v>
      </c>
    </row>
    <row r="83" spans="2:5" ht="14.5">
      <c r="B83" s="85"/>
      <c r="C83" s="63" t="s">
        <v>248</v>
      </c>
      <c r="D83" s="64">
        <v>3</v>
      </c>
      <c r="E83" s="65">
        <v>5.4298642533899999E-4</v>
      </c>
    </row>
    <row r="84" spans="2:5" ht="14.5">
      <c r="B84" s="85"/>
      <c r="C84" s="63" t="s">
        <v>249</v>
      </c>
      <c r="D84" s="64">
        <v>1</v>
      </c>
      <c r="E84" s="65">
        <v>1.8099547511300001E-4</v>
      </c>
    </row>
    <row r="85" spans="2:5" ht="14.5">
      <c r="B85" s="85"/>
      <c r="C85" s="63" t="s">
        <v>250</v>
      </c>
      <c r="D85" s="64">
        <v>18</v>
      </c>
      <c r="E85" s="65">
        <v>3.2579185520360001E-3</v>
      </c>
    </row>
    <row r="86" spans="2:5" ht="14.5">
      <c r="B86" s="85"/>
      <c r="C86" s="63" t="s">
        <v>251</v>
      </c>
      <c r="D86" s="64">
        <v>92</v>
      </c>
      <c r="E86" s="65">
        <v>1.6651583710407002E-2</v>
      </c>
    </row>
    <row r="87" spans="2:5" ht="14.5">
      <c r="B87" s="85"/>
      <c r="C87" s="63" t="s">
        <v>252</v>
      </c>
      <c r="D87" s="64">
        <v>3</v>
      </c>
      <c r="E87" s="65">
        <v>5.4298642533899999E-4</v>
      </c>
    </row>
    <row r="88" spans="2:5" ht="14.5">
      <c r="B88" s="85"/>
      <c r="C88" s="63" t="s">
        <v>253</v>
      </c>
      <c r="D88" s="64">
        <v>4</v>
      </c>
      <c r="E88" s="65">
        <v>7.2398190045200002E-4</v>
      </c>
    </row>
    <row r="89" spans="2:5" ht="14.5">
      <c r="B89" s="85"/>
      <c r="C89" s="63" t="s">
        <v>254</v>
      </c>
      <c r="D89" s="64">
        <v>19</v>
      </c>
      <c r="E89" s="65">
        <v>3.438914027149E-3</v>
      </c>
    </row>
    <row r="90" spans="2:5" ht="14.5">
      <c r="B90" s="85"/>
      <c r="C90" s="63" t="s">
        <v>255</v>
      </c>
      <c r="D90" s="64">
        <v>262</v>
      </c>
      <c r="E90" s="65">
        <v>4.7420814479638002E-2</v>
      </c>
    </row>
    <row r="91" spans="2:5" ht="14.5">
      <c r="B91" s="85"/>
      <c r="C91" s="63" t="s">
        <v>256</v>
      </c>
      <c r="D91" s="64">
        <v>10</v>
      </c>
      <c r="E91" s="65">
        <v>1.809954751131E-3</v>
      </c>
    </row>
    <row r="92" spans="2:5" ht="14.5">
      <c r="B92" s="85"/>
      <c r="C92" s="63" t="s">
        <v>257</v>
      </c>
      <c r="D92" s="64">
        <v>26</v>
      </c>
      <c r="E92" s="65">
        <v>4.705882352941E-3</v>
      </c>
    </row>
    <row r="93" spans="2:5" ht="14.5">
      <c r="B93" s="85"/>
      <c r="C93" s="63" t="s">
        <v>258</v>
      </c>
      <c r="D93" s="64">
        <v>144</v>
      </c>
      <c r="E93" s="65">
        <v>2.6063348416289999E-2</v>
      </c>
    </row>
    <row r="94" spans="2:5" ht="14.5">
      <c r="B94" s="85"/>
      <c r="C94" s="63" t="s">
        <v>259</v>
      </c>
      <c r="D94" s="64">
        <v>3</v>
      </c>
      <c r="E94" s="65">
        <v>5.4298642533899999E-4</v>
      </c>
    </row>
    <row r="95" spans="2:5" ht="14.5">
      <c r="B95" s="85"/>
      <c r="C95" s="63" t="s">
        <v>260</v>
      </c>
      <c r="D95" s="64">
        <v>1</v>
      </c>
      <c r="E95" s="65">
        <v>1.8099547511300001E-4</v>
      </c>
    </row>
    <row r="96" spans="2:5" ht="14.5">
      <c r="B96" s="85"/>
      <c r="C96" s="63" t="s">
        <v>261</v>
      </c>
      <c r="D96" s="64">
        <v>2</v>
      </c>
      <c r="E96" s="65">
        <v>3.6199095022600001E-4</v>
      </c>
    </row>
    <row r="97" spans="2:5" ht="14.5">
      <c r="B97" s="85"/>
      <c r="C97" s="63" t="s">
        <v>263</v>
      </c>
      <c r="D97" s="64">
        <v>9</v>
      </c>
      <c r="E97" s="65">
        <v>1.628959276018E-3</v>
      </c>
    </row>
    <row r="98" spans="2:5" ht="14.5">
      <c r="B98" s="85"/>
      <c r="C98" s="63" t="s">
        <v>264</v>
      </c>
      <c r="D98" s="64">
        <v>25</v>
      </c>
      <c r="E98" s="65">
        <v>4.5248868778280001E-3</v>
      </c>
    </row>
    <row r="99" spans="2:5" ht="14.5">
      <c r="B99" s="86"/>
      <c r="C99" s="36" t="s">
        <v>29</v>
      </c>
      <c r="D99" s="35">
        <v>633</v>
      </c>
      <c r="E99" s="34">
        <v>0.114570135746606</v>
      </c>
    </row>
    <row r="100" spans="2:5" ht="14.5">
      <c r="B100" s="84" t="s">
        <v>54</v>
      </c>
      <c r="C100" s="63" t="s">
        <v>245</v>
      </c>
      <c r="D100" s="64">
        <v>2</v>
      </c>
      <c r="E100" s="65">
        <v>3.6199095022600001E-4</v>
      </c>
    </row>
    <row r="101" spans="2:5" ht="14.5">
      <c r="B101" s="85"/>
      <c r="C101" s="63" t="s">
        <v>247</v>
      </c>
      <c r="D101" s="64">
        <v>1</v>
      </c>
      <c r="E101" s="65">
        <v>1.8099547511300001E-4</v>
      </c>
    </row>
    <row r="102" spans="2:5" ht="14.5">
      <c r="B102" s="85"/>
      <c r="C102" s="63" t="s">
        <v>250</v>
      </c>
      <c r="D102" s="64">
        <v>12</v>
      </c>
      <c r="E102" s="65">
        <v>2.171945701357E-3</v>
      </c>
    </row>
    <row r="103" spans="2:5" ht="14.5">
      <c r="B103" s="85"/>
      <c r="C103" s="63" t="s">
        <v>251</v>
      </c>
      <c r="D103" s="64">
        <v>12</v>
      </c>
      <c r="E103" s="65">
        <v>2.171945701357E-3</v>
      </c>
    </row>
    <row r="104" spans="2:5" ht="14.5">
      <c r="B104" s="85"/>
      <c r="C104" s="63" t="s">
        <v>252</v>
      </c>
      <c r="D104" s="64">
        <v>2</v>
      </c>
      <c r="E104" s="65">
        <v>3.6199095022600001E-4</v>
      </c>
    </row>
    <row r="105" spans="2:5" ht="14.5">
      <c r="B105" s="85"/>
      <c r="C105" s="63" t="s">
        <v>253</v>
      </c>
      <c r="D105" s="64">
        <v>4</v>
      </c>
      <c r="E105" s="65">
        <v>7.2398190045200002E-4</v>
      </c>
    </row>
    <row r="106" spans="2:5" ht="14.5">
      <c r="B106" s="85"/>
      <c r="C106" s="63" t="s">
        <v>254</v>
      </c>
      <c r="D106" s="64">
        <v>9</v>
      </c>
      <c r="E106" s="65">
        <v>1.628959276018E-3</v>
      </c>
    </row>
    <row r="107" spans="2:5" ht="14.5">
      <c r="B107" s="85"/>
      <c r="C107" s="63" t="s">
        <v>255</v>
      </c>
      <c r="D107" s="64">
        <v>63</v>
      </c>
      <c r="E107" s="65">
        <v>1.1402714932127E-2</v>
      </c>
    </row>
    <row r="108" spans="2:5" ht="14.5">
      <c r="B108" s="85"/>
      <c r="C108" s="63" t="s">
        <v>256</v>
      </c>
      <c r="D108" s="64">
        <v>3</v>
      </c>
      <c r="E108" s="65">
        <v>5.4298642533899999E-4</v>
      </c>
    </row>
    <row r="109" spans="2:5" ht="14.5">
      <c r="B109" s="85"/>
      <c r="C109" s="63" t="s">
        <v>257</v>
      </c>
      <c r="D109" s="64">
        <v>7</v>
      </c>
      <c r="E109" s="65">
        <v>1.266968325792E-3</v>
      </c>
    </row>
    <row r="110" spans="2:5" ht="14.5">
      <c r="B110" s="85"/>
      <c r="C110" s="63" t="s">
        <v>258</v>
      </c>
      <c r="D110" s="64">
        <v>43</v>
      </c>
      <c r="E110" s="65">
        <v>7.7828054298639997E-3</v>
      </c>
    </row>
    <row r="111" spans="2:5" ht="14.5">
      <c r="B111" s="85"/>
      <c r="C111" s="63" t="s">
        <v>260</v>
      </c>
      <c r="D111" s="64">
        <v>2</v>
      </c>
      <c r="E111" s="65">
        <v>3.6199095022600001E-4</v>
      </c>
    </row>
    <row r="112" spans="2:5" ht="14.5">
      <c r="B112" s="85"/>
      <c r="C112" s="63" t="s">
        <v>264</v>
      </c>
      <c r="D112" s="64">
        <v>2</v>
      </c>
      <c r="E112" s="65">
        <v>3.6199095022600001E-4</v>
      </c>
    </row>
    <row r="113" spans="2:5" ht="14.5">
      <c r="B113" s="86"/>
      <c r="C113" s="36" t="s">
        <v>29</v>
      </c>
      <c r="D113" s="35">
        <v>162</v>
      </c>
      <c r="E113" s="34">
        <v>2.9321266968326001E-2</v>
      </c>
    </row>
    <row r="114" spans="2:5" ht="14.5">
      <c r="B114" s="84" t="s">
        <v>75</v>
      </c>
      <c r="C114" s="63" t="s">
        <v>250</v>
      </c>
      <c r="D114" s="64">
        <v>4</v>
      </c>
      <c r="E114" s="65">
        <v>7.2398190045200002E-4</v>
      </c>
    </row>
    <row r="115" spans="2:5" ht="14.5">
      <c r="B115" s="85"/>
      <c r="C115" s="63" t="s">
        <v>251</v>
      </c>
      <c r="D115" s="64">
        <v>3</v>
      </c>
      <c r="E115" s="65">
        <v>5.4298642533899999E-4</v>
      </c>
    </row>
    <row r="116" spans="2:5" ht="14.5">
      <c r="B116" s="85"/>
      <c r="C116" s="63" t="s">
        <v>254</v>
      </c>
      <c r="D116" s="64">
        <v>2</v>
      </c>
      <c r="E116" s="65">
        <v>3.6199095022600001E-4</v>
      </c>
    </row>
    <row r="117" spans="2:5" ht="14.5">
      <c r="B117" s="85"/>
      <c r="C117" s="63" t="s">
        <v>255</v>
      </c>
      <c r="D117" s="64">
        <v>11</v>
      </c>
      <c r="E117" s="65">
        <v>1.9909502262440001E-3</v>
      </c>
    </row>
    <row r="118" spans="2:5" ht="14.5">
      <c r="B118" s="85"/>
      <c r="C118" s="63" t="s">
        <v>258</v>
      </c>
      <c r="D118" s="64">
        <v>12</v>
      </c>
      <c r="E118" s="65">
        <v>2.171945701357E-3</v>
      </c>
    </row>
    <row r="119" spans="2:5" ht="14.5">
      <c r="B119" s="85"/>
      <c r="C119" s="63" t="s">
        <v>262</v>
      </c>
      <c r="D119" s="64">
        <v>1</v>
      </c>
      <c r="E119" s="65">
        <v>1.8099547511300001E-4</v>
      </c>
    </row>
    <row r="120" spans="2:5" ht="14.5">
      <c r="B120" s="85"/>
      <c r="C120" s="63" t="s">
        <v>263</v>
      </c>
      <c r="D120" s="64">
        <v>1</v>
      </c>
      <c r="E120" s="65">
        <v>1.8099547511300001E-4</v>
      </c>
    </row>
    <row r="121" spans="2:5" ht="14.5">
      <c r="B121" s="85"/>
      <c r="C121" s="63" t="s">
        <v>264</v>
      </c>
      <c r="D121" s="64">
        <v>3</v>
      </c>
      <c r="E121" s="65">
        <v>5.4298642533899999E-4</v>
      </c>
    </row>
    <row r="122" spans="2:5" ht="14.5">
      <c r="B122" s="86"/>
      <c r="C122" s="36" t="s">
        <v>29</v>
      </c>
      <c r="D122" s="35">
        <v>37</v>
      </c>
      <c r="E122" s="34">
        <v>6.6968325791860002E-3</v>
      </c>
    </row>
    <row r="123" spans="2:5" ht="14.5">
      <c r="B123" s="84" t="s">
        <v>72</v>
      </c>
      <c r="C123" s="63" t="s">
        <v>251</v>
      </c>
      <c r="D123" s="64">
        <v>8</v>
      </c>
      <c r="E123" s="65">
        <v>1.4479638009049999E-3</v>
      </c>
    </row>
    <row r="124" spans="2:5" ht="14.5">
      <c r="B124" s="85"/>
      <c r="C124" s="63" t="s">
        <v>253</v>
      </c>
      <c r="D124" s="64">
        <v>1</v>
      </c>
      <c r="E124" s="65">
        <v>1.8099547511300001E-4</v>
      </c>
    </row>
    <row r="125" spans="2:5" ht="14.5">
      <c r="B125" s="85"/>
      <c r="C125" s="63" t="s">
        <v>254</v>
      </c>
      <c r="D125" s="64">
        <v>1</v>
      </c>
      <c r="E125" s="65">
        <v>1.8099547511300001E-4</v>
      </c>
    </row>
    <row r="126" spans="2:5" ht="14.5">
      <c r="B126" s="85"/>
      <c r="C126" s="63" t="s">
        <v>255</v>
      </c>
      <c r="D126" s="64">
        <v>24</v>
      </c>
      <c r="E126" s="65">
        <v>4.3438914027150001E-3</v>
      </c>
    </row>
    <row r="127" spans="2:5" ht="14.5">
      <c r="B127" s="85"/>
      <c r="C127" s="63" t="s">
        <v>257</v>
      </c>
      <c r="D127" s="64">
        <v>1</v>
      </c>
      <c r="E127" s="65">
        <v>1.8099547511300001E-4</v>
      </c>
    </row>
    <row r="128" spans="2:5" ht="14.5">
      <c r="B128" s="85"/>
      <c r="C128" s="63" t="s">
        <v>258</v>
      </c>
      <c r="D128" s="64">
        <v>8</v>
      </c>
      <c r="E128" s="65">
        <v>1.4479638009049999E-3</v>
      </c>
    </row>
    <row r="129" spans="2:5" ht="14.5">
      <c r="B129" s="85"/>
      <c r="C129" s="63" t="s">
        <v>264</v>
      </c>
      <c r="D129" s="64">
        <v>2</v>
      </c>
      <c r="E129" s="65">
        <v>3.6199095022600001E-4</v>
      </c>
    </row>
    <row r="130" spans="2:5" ht="14.5">
      <c r="B130" s="86"/>
      <c r="C130" s="36" t="s">
        <v>29</v>
      </c>
      <c r="D130" s="35">
        <v>45</v>
      </c>
      <c r="E130" s="34">
        <v>8.1447963800900004E-3</v>
      </c>
    </row>
    <row r="131" spans="2:5" ht="14.5">
      <c r="B131" s="84" t="s">
        <v>89</v>
      </c>
      <c r="C131" s="63" t="s">
        <v>253</v>
      </c>
      <c r="D131" s="64">
        <v>1</v>
      </c>
      <c r="E131" s="65">
        <v>1.8099547511300001E-4</v>
      </c>
    </row>
    <row r="132" spans="2:5" ht="14.5">
      <c r="B132" s="86"/>
      <c r="C132" s="36" t="s">
        <v>29</v>
      </c>
      <c r="D132" s="35">
        <v>1</v>
      </c>
      <c r="E132" s="34">
        <v>1.8099547511300001E-4</v>
      </c>
    </row>
    <row r="133" spans="2:5" ht="14.5">
      <c r="B133" s="84" t="s">
        <v>50</v>
      </c>
      <c r="C133" s="63" t="s">
        <v>244</v>
      </c>
      <c r="D133" s="64">
        <v>1</v>
      </c>
      <c r="E133" s="65">
        <v>1.8099547511300001E-4</v>
      </c>
    </row>
    <row r="134" spans="2:5" ht="14.5">
      <c r="B134" s="85"/>
      <c r="C134" s="63" t="s">
        <v>247</v>
      </c>
      <c r="D134" s="64">
        <v>1</v>
      </c>
      <c r="E134" s="65">
        <v>1.8099547511300001E-4</v>
      </c>
    </row>
    <row r="135" spans="2:5" ht="14.5">
      <c r="B135" s="85"/>
      <c r="C135" s="63" t="s">
        <v>248</v>
      </c>
      <c r="D135" s="64">
        <v>1</v>
      </c>
      <c r="E135" s="65">
        <v>1.8099547511300001E-4</v>
      </c>
    </row>
    <row r="136" spans="2:5" ht="14.5">
      <c r="B136" s="85"/>
      <c r="C136" s="63" t="s">
        <v>249</v>
      </c>
      <c r="D136" s="64">
        <v>1</v>
      </c>
      <c r="E136" s="65">
        <v>1.8099547511300001E-4</v>
      </c>
    </row>
    <row r="137" spans="2:5" ht="14.5">
      <c r="B137" s="85"/>
      <c r="C137" s="63" t="s">
        <v>250</v>
      </c>
      <c r="D137" s="64">
        <v>15</v>
      </c>
      <c r="E137" s="65">
        <v>2.7149321266969999E-3</v>
      </c>
    </row>
    <row r="138" spans="2:5" ht="14.5">
      <c r="B138" s="85"/>
      <c r="C138" s="63" t="s">
        <v>251</v>
      </c>
      <c r="D138" s="64">
        <v>44</v>
      </c>
      <c r="E138" s="65">
        <v>7.9638009049769996E-3</v>
      </c>
    </row>
    <row r="139" spans="2:5" ht="14.5">
      <c r="B139" s="85"/>
      <c r="C139" s="63" t="s">
        <v>253</v>
      </c>
      <c r="D139" s="64">
        <v>4</v>
      </c>
      <c r="E139" s="65">
        <v>7.2398190045200002E-4</v>
      </c>
    </row>
    <row r="140" spans="2:5" ht="14.5">
      <c r="B140" s="85"/>
      <c r="C140" s="63" t="s">
        <v>254</v>
      </c>
      <c r="D140" s="64">
        <v>8</v>
      </c>
      <c r="E140" s="65">
        <v>1.4479638009049999E-3</v>
      </c>
    </row>
    <row r="141" spans="2:5" ht="14.5">
      <c r="B141" s="85"/>
      <c r="C141" s="63" t="s">
        <v>255</v>
      </c>
      <c r="D141" s="64">
        <v>138</v>
      </c>
      <c r="E141" s="65">
        <v>2.4977375565610999E-2</v>
      </c>
    </row>
    <row r="142" spans="2:5" ht="14.5">
      <c r="B142" s="85"/>
      <c r="C142" s="63" t="s">
        <v>256</v>
      </c>
      <c r="D142" s="64">
        <v>4</v>
      </c>
      <c r="E142" s="65">
        <v>7.2398190045200002E-4</v>
      </c>
    </row>
    <row r="143" spans="2:5" ht="14.5">
      <c r="B143" s="85"/>
      <c r="C143" s="63" t="s">
        <v>257</v>
      </c>
      <c r="D143" s="64">
        <v>15</v>
      </c>
      <c r="E143" s="65">
        <v>2.7149321266969999E-3</v>
      </c>
    </row>
    <row r="144" spans="2:5" ht="14.5">
      <c r="B144" s="85"/>
      <c r="C144" s="63" t="s">
        <v>258</v>
      </c>
      <c r="D144" s="64">
        <v>42</v>
      </c>
      <c r="E144" s="65">
        <v>7.6018099547509998E-3</v>
      </c>
    </row>
    <row r="145" spans="2:5" ht="14.5">
      <c r="B145" s="85"/>
      <c r="C145" s="63" t="s">
        <v>259</v>
      </c>
      <c r="D145" s="64">
        <v>2</v>
      </c>
      <c r="E145" s="65">
        <v>3.6199095022600001E-4</v>
      </c>
    </row>
    <row r="146" spans="2:5" ht="14.5">
      <c r="B146" s="85"/>
      <c r="C146" s="63" t="s">
        <v>260</v>
      </c>
      <c r="D146" s="64">
        <v>1</v>
      </c>
      <c r="E146" s="65">
        <v>1.8099547511300001E-4</v>
      </c>
    </row>
    <row r="147" spans="2:5" ht="14.5">
      <c r="B147" s="85"/>
      <c r="C147" s="63" t="s">
        <v>261</v>
      </c>
      <c r="D147" s="64">
        <v>2</v>
      </c>
      <c r="E147" s="65">
        <v>3.6199095022600001E-4</v>
      </c>
    </row>
    <row r="148" spans="2:5" ht="14.5">
      <c r="B148" s="85"/>
      <c r="C148" s="63" t="s">
        <v>263</v>
      </c>
      <c r="D148" s="64">
        <v>3</v>
      </c>
      <c r="E148" s="65">
        <v>5.4298642533899999E-4</v>
      </c>
    </row>
    <row r="149" spans="2:5" ht="14.5">
      <c r="B149" s="85"/>
      <c r="C149" s="63" t="s">
        <v>264</v>
      </c>
      <c r="D149" s="64">
        <v>4</v>
      </c>
      <c r="E149" s="65">
        <v>7.2398190045200002E-4</v>
      </c>
    </row>
    <row r="150" spans="2:5" ht="14.5">
      <c r="B150" s="86"/>
      <c r="C150" s="36" t="s">
        <v>29</v>
      </c>
      <c r="D150" s="35">
        <v>286</v>
      </c>
      <c r="E150" s="34">
        <v>5.1764705882352997E-2</v>
      </c>
    </row>
    <row r="151" spans="2:5" ht="14.5">
      <c r="B151" s="84" t="s">
        <v>76</v>
      </c>
      <c r="C151" s="63" t="s">
        <v>244</v>
      </c>
      <c r="D151" s="64">
        <v>1</v>
      </c>
      <c r="E151" s="65">
        <v>1.8099547511300001E-4</v>
      </c>
    </row>
    <row r="152" spans="2:5" ht="14.5">
      <c r="B152" s="85"/>
      <c r="C152" s="63" t="s">
        <v>248</v>
      </c>
      <c r="D152" s="64">
        <v>1</v>
      </c>
      <c r="E152" s="65">
        <v>1.8099547511300001E-4</v>
      </c>
    </row>
    <row r="153" spans="2:5" ht="14.5">
      <c r="B153" s="85"/>
      <c r="C153" s="63" t="s">
        <v>250</v>
      </c>
      <c r="D153" s="64">
        <v>5</v>
      </c>
      <c r="E153" s="65">
        <v>9.0497737556600002E-4</v>
      </c>
    </row>
    <row r="154" spans="2:5" ht="14.5">
      <c r="B154" s="85"/>
      <c r="C154" s="63" t="s">
        <v>251</v>
      </c>
      <c r="D154" s="64">
        <v>6</v>
      </c>
      <c r="E154" s="65">
        <v>1.0859728506790001E-3</v>
      </c>
    </row>
    <row r="155" spans="2:5" ht="14.5">
      <c r="B155" s="85"/>
      <c r="C155" s="63" t="s">
        <v>253</v>
      </c>
      <c r="D155" s="64">
        <v>2</v>
      </c>
      <c r="E155" s="65">
        <v>3.6199095022600001E-4</v>
      </c>
    </row>
    <row r="156" spans="2:5" ht="14.5">
      <c r="B156" s="85"/>
      <c r="C156" s="63" t="s">
        <v>254</v>
      </c>
      <c r="D156" s="64">
        <v>1</v>
      </c>
      <c r="E156" s="65">
        <v>1.8099547511300001E-4</v>
      </c>
    </row>
    <row r="157" spans="2:5" ht="14.5">
      <c r="B157" s="85"/>
      <c r="C157" s="63" t="s">
        <v>255</v>
      </c>
      <c r="D157" s="64">
        <v>8</v>
      </c>
      <c r="E157" s="65">
        <v>1.4479638009049999E-3</v>
      </c>
    </row>
    <row r="158" spans="2:5" ht="14.5">
      <c r="B158" s="85"/>
      <c r="C158" s="63" t="s">
        <v>257</v>
      </c>
      <c r="D158" s="64">
        <v>3</v>
      </c>
      <c r="E158" s="65">
        <v>5.4298642533899999E-4</v>
      </c>
    </row>
    <row r="159" spans="2:5" ht="14.5">
      <c r="B159" s="85"/>
      <c r="C159" s="63" t="s">
        <v>258</v>
      </c>
      <c r="D159" s="64">
        <v>4</v>
      </c>
      <c r="E159" s="65">
        <v>7.2398190045200002E-4</v>
      </c>
    </row>
    <row r="160" spans="2:5" ht="14.5">
      <c r="B160" s="85"/>
      <c r="C160" s="63" t="s">
        <v>259</v>
      </c>
      <c r="D160" s="64">
        <v>1</v>
      </c>
      <c r="E160" s="65">
        <v>1.8099547511300001E-4</v>
      </c>
    </row>
    <row r="161" spans="2:5" ht="14.5">
      <c r="B161" s="85"/>
      <c r="C161" s="63" t="s">
        <v>260</v>
      </c>
      <c r="D161" s="64">
        <v>1</v>
      </c>
      <c r="E161" s="65">
        <v>1.8099547511300001E-4</v>
      </c>
    </row>
    <row r="162" spans="2:5" ht="14.5">
      <c r="B162" s="85"/>
      <c r="C162" s="63" t="s">
        <v>264</v>
      </c>
      <c r="D162" s="64">
        <v>1</v>
      </c>
      <c r="E162" s="65">
        <v>1.8099547511300001E-4</v>
      </c>
    </row>
    <row r="163" spans="2:5" ht="14.5">
      <c r="B163" s="85"/>
      <c r="C163" s="63" t="s">
        <v>265</v>
      </c>
      <c r="D163" s="64">
        <v>1</v>
      </c>
      <c r="E163" s="65">
        <v>1.8099547511300001E-4</v>
      </c>
    </row>
    <row r="164" spans="2:5" ht="14.5">
      <c r="B164" s="86"/>
      <c r="C164" s="36" t="s">
        <v>29</v>
      </c>
      <c r="D164" s="35">
        <v>35</v>
      </c>
      <c r="E164" s="34">
        <v>6.3348416289590002E-3</v>
      </c>
    </row>
    <row r="165" spans="2:5" ht="14.5">
      <c r="B165" s="84" t="s">
        <v>49</v>
      </c>
      <c r="C165" s="63" t="s">
        <v>244</v>
      </c>
      <c r="D165" s="64">
        <v>3</v>
      </c>
      <c r="E165" s="65">
        <v>5.4298642533899999E-4</v>
      </c>
    </row>
    <row r="166" spans="2:5" ht="14.5">
      <c r="B166" s="85"/>
      <c r="C166" s="63" t="s">
        <v>246</v>
      </c>
      <c r="D166" s="64">
        <v>3</v>
      </c>
      <c r="E166" s="65">
        <v>5.4298642533899999E-4</v>
      </c>
    </row>
    <row r="167" spans="2:5" ht="14.5">
      <c r="B167" s="85"/>
      <c r="C167" s="63" t="s">
        <v>247</v>
      </c>
      <c r="D167" s="64">
        <v>6</v>
      </c>
      <c r="E167" s="65">
        <v>1.0859728506790001E-3</v>
      </c>
    </row>
    <row r="168" spans="2:5" ht="14.5">
      <c r="B168" s="85"/>
      <c r="C168" s="63" t="s">
        <v>250</v>
      </c>
      <c r="D168" s="64">
        <v>23</v>
      </c>
      <c r="E168" s="65">
        <v>4.1628959276020002E-3</v>
      </c>
    </row>
    <row r="169" spans="2:5" ht="14.5">
      <c r="B169" s="85"/>
      <c r="C169" s="63" t="s">
        <v>251</v>
      </c>
      <c r="D169" s="64">
        <v>31</v>
      </c>
      <c r="E169" s="65">
        <v>5.6108597285069997E-3</v>
      </c>
    </row>
    <row r="170" spans="2:5" ht="14.5">
      <c r="B170" s="85"/>
      <c r="C170" s="63" t="s">
        <v>252</v>
      </c>
      <c r="D170" s="64">
        <v>1</v>
      </c>
      <c r="E170" s="65">
        <v>1.8099547511300001E-4</v>
      </c>
    </row>
    <row r="171" spans="2:5" ht="14.5">
      <c r="B171" s="85"/>
      <c r="C171" s="63" t="s">
        <v>253</v>
      </c>
      <c r="D171" s="64">
        <v>10</v>
      </c>
      <c r="E171" s="65">
        <v>1.809954751131E-3</v>
      </c>
    </row>
    <row r="172" spans="2:5" ht="14.5">
      <c r="B172" s="85"/>
      <c r="C172" s="63" t="s">
        <v>254</v>
      </c>
      <c r="D172" s="64">
        <v>18</v>
      </c>
      <c r="E172" s="65">
        <v>3.2579185520360001E-3</v>
      </c>
    </row>
    <row r="173" spans="2:5" ht="14.5">
      <c r="B173" s="85"/>
      <c r="C173" s="63" t="s">
        <v>255</v>
      </c>
      <c r="D173" s="64">
        <v>100</v>
      </c>
      <c r="E173" s="65">
        <v>1.8099547511312E-2</v>
      </c>
    </row>
    <row r="174" spans="2:5" ht="14.5">
      <c r="B174" s="85"/>
      <c r="C174" s="63" t="s">
        <v>256</v>
      </c>
      <c r="D174" s="64">
        <v>1</v>
      </c>
      <c r="E174" s="65">
        <v>1.8099547511300001E-4</v>
      </c>
    </row>
    <row r="175" spans="2:5" ht="14.5">
      <c r="B175" s="85"/>
      <c r="C175" s="63" t="s">
        <v>257</v>
      </c>
      <c r="D175" s="64">
        <v>16</v>
      </c>
      <c r="E175" s="65">
        <v>2.8959276018099998E-3</v>
      </c>
    </row>
    <row r="176" spans="2:5" ht="14.5">
      <c r="B176" s="85"/>
      <c r="C176" s="63" t="s">
        <v>258</v>
      </c>
      <c r="D176" s="64">
        <v>78</v>
      </c>
      <c r="E176" s="65">
        <v>1.4117647058824E-2</v>
      </c>
    </row>
    <row r="177" spans="2:5" ht="14.5">
      <c r="B177" s="85"/>
      <c r="C177" s="63" t="s">
        <v>260</v>
      </c>
      <c r="D177" s="64">
        <v>1</v>
      </c>
      <c r="E177" s="65">
        <v>1.8099547511300001E-4</v>
      </c>
    </row>
    <row r="178" spans="2:5" ht="14.5">
      <c r="B178" s="85"/>
      <c r="C178" s="63" t="s">
        <v>263</v>
      </c>
      <c r="D178" s="64">
        <v>2</v>
      </c>
      <c r="E178" s="65">
        <v>3.6199095022600001E-4</v>
      </c>
    </row>
    <row r="179" spans="2:5" ht="14.5">
      <c r="B179" s="85"/>
      <c r="C179" s="63" t="s">
        <v>264</v>
      </c>
      <c r="D179" s="64">
        <v>14</v>
      </c>
      <c r="E179" s="65">
        <v>2.533936651584E-3</v>
      </c>
    </row>
    <row r="180" spans="2:5" ht="14.5">
      <c r="B180" s="86"/>
      <c r="C180" s="36" t="s">
        <v>29</v>
      </c>
      <c r="D180" s="35">
        <v>307</v>
      </c>
      <c r="E180" s="34">
        <v>5.5565610859728998E-2</v>
      </c>
    </row>
    <row r="181" spans="2:5" ht="14.5">
      <c r="B181" s="84" t="s">
        <v>58</v>
      </c>
      <c r="C181" s="63" t="s">
        <v>248</v>
      </c>
      <c r="D181" s="64">
        <v>1</v>
      </c>
      <c r="E181" s="65">
        <v>1.8099547511300001E-4</v>
      </c>
    </row>
    <row r="182" spans="2:5" ht="14.5">
      <c r="B182" s="85"/>
      <c r="C182" s="63" t="s">
        <v>250</v>
      </c>
      <c r="D182" s="64">
        <v>6</v>
      </c>
      <c r="E182" s="65">
        <v>1.0859728506790001E-3</v>
      </c>
    </row>
    <row r="183" spans="2:5" ht="14.5">
      <c r="B183" s="85"/>
      <c r="C183" s="63" t="s">
        <v>251</v>
      </c>
      <c r="D183" s="64">
        <v>18</v>
      </c>
      <c r="E183" s="65">
        <v>3.2579185520360001E-3</v>
      </c>
    </row>
    <row r="184" spans="2:5" ht="14.5">
      <c r="B184" s="85"/>
      <c r="C184" s="63" t="s">
        <v>252</v>
      </c>
      <c r="D184" s="64">
        <v>1</v>
      </c>
      <c r="E184" s="65">
        <v>1.8099547511300001E-4</v>
      </c>
    </row>
    <row r="185" spans="2:5" ht="14.5">
      <c r="B185" s="85"/>
      <c r="C185" s="63" t="s">
        <v>253</v>
      </c>
      <c r="D185" s="64">
        <v>4</v>
      </c>
      <c r="E185" s="65">
        <v>7.2398190045200002E-4</v>
      </c>
    </row>
    <row r="186" spans="2:5" ht="14.5">
      <c r="B186" s="85"/>
      <c r="C186" s="63" t="s">
        <v>254</v>
      </c>
      <c r="D186" s="64">
        <v>5</v>
      </c>
      <c r="E186" s="65">
        <v>9.0497737556600002E-4</v>
      </c>
    </row>
    <row r="187" spans="2:5" ht="14.5">
      <c r="B187" s="85"/>
      <c r="C187" s="63" t="s">
        <v>255</v>
      </c>
      <c r="D187" s="64">
        <v>57</v>
      </c>
      <c r="E187" s="65">
        <v>1.0316742081448E-2</v>
      </c>
    </row>
    <row r="188" spans="2:5" ht="14.5">
      <c r="B188" s="85"/>
      <c r="C188" s="63" t="s">
        <v>256</v>
      </c>
      <c r="D188" s="64">
        <v>2</v>
      </c>
      <c r="E188" s="65">
        <v>3.6199095022600001E-4</v>
      </c>
    </row>
    <row r="189" spans="2:5" ht="14.5">
      <c r="B189" s="85"/>
      <c r="C189" s="63" t="s">
        <v>257</v>
      </c>
      <c r="D189" s="64">
        <v>2</v>
      </c>
      <c r="E189" s="65">
        <v>3.6199095022600001E-4</v>
      </c>
    </row>
    <row r="190" spans="2:5" ht="14.5">
      <c r="B190" s="85"/>
      <c r="C190" s="63" t="s">
        <v>258</v>
      </c>
      <c r="D190" s="64">
        <v>20</v>
      </c>
      <c r="E190" s="65">
        <v>3.6199095022619999E-3</v>
      </c>
    </row>
    <row r="191" spans="2:5" ht="14.5">
      <c r="B191" s="85"/>
      <c r="C191" s="63" t="s">
        <v>259</v>
      </c>
      <c r="D191" s="64">
        <v>1</v>
      </c>
      <c r="E191" s="65">
        <v>1.8099547511300001E-4</v>
      </c>
    </row>
    <row r="192" spans="2:5" ht="14.5">
      <c r="B192" s="85"/>
      <c r="C192" s="63" t="s">
        <v>264</v>
      </c>
      <c r="D192" s="64">
        <v>8</v>
      </c>
      <c r="E192" s="65">
        <v>1.4479638009049999E-3</v>
      </c>
    </row>
    <row r="193" spans="2:5" ht="14.5">
      <c r="B193" s="86"/>
      <c r="C193" s="36" t="s">
        <v>29</v>
      </c>
      <c r="D193" s="35">
        <v>125</v>
      </c>
      <c r="E193" s="34">
        <v>2.262443438914E-2</v>
      </c>
    </row>
    <row r="194" spans="2:5" ht="14.5">
      <c r="B194" s="84" t="s">
        <v>60</v>
      </c>
      <c r="C194" s="63" t="s">
        <v>244</v>
      </c>
      <c r="D194" s="64">
        <v>1</v>
      </c>
      <c r="E194" s="65">
        <v>1.8099547511300001E-4</v>
      </c>
    </row>
    <row r="195" spans="2:5" ht="14.5">
      <c r="B195" s="85"/>
      <c r="C195" s="63" t="s">
        <v>247</v>
      </c>
      <c r="D195" s="64">
        <v>2</v>
      </c>
      <c r="E195" s="65">
        <v>3.6199095022600001E-4</v>
      </c>
    </row>
    <row r="196" spans="2:5" ht="14.5">
      <c r="B196" s="85"/>
      <c r="C196" s="63" t="s">
        <v>250</v>
      </c>
      <c r="D196" s="64">
        <v>1</v>
      </c>
      <c r="E196" s="65">
        <v>1.8099547511300001E-4</v>
      </c>
    </row>
    <row r="197" spans="2:5" ht="14.5">
      <c r="B197" s="85"/>
      <c r="C197" s="63" t="s">
        <v>251</v>
      </c>
      <c r="D197" s="64">
        <v>10</v>
      </c>
      <c r="E197" s="65">
        <v>1.809954751131E-3</v>
      </c>
    </row>
    <row r="198" spans="2:5" ht="14.5">
      <c r="B198" s="85"/>
      <c r="C198" s="63" t="s">
        <v>252</v>
      </c>
      <c r="D198" s="64">
        <v>1</v>
      </c>
      <c r="E198" s="65">
        <v>1.8099547511300001E-4</v>
      </c>
    </row>
    <row r="199" spans="2:5" ht="14.5">
      <c r="B199" s="85"/>
      <c r="C199" s="63" t="s">
        <v>253</v>
      </c>
      <c r="D199" s="64">
        <v>1</v>
      </c>
      <c r="E199" s="65">
        <v>1.8099547511300001E-4</v>
      </c>
    </row>
    <row r="200" spans="2:5" ht="14.5">
      <c r="B200" s="85"/>
      <c r="C200" s="63" t="s">
        <v>254</v>
      </c>
      <c r="D200" s="64">
        <v>3</v>
      </c>
      <c r="E200" s="65">
        <v>5.4298642533899999E-4</v>
      </c>
    </row>
    <row r="201" spans="2:5" ht="14.5">
      <c r="B201" s="85"/>
      <c r="C201" s="63" t="s">
        <v>255</v>
      </c>
      <c r="D201" s="64">
        <v>39</v>
      </c>
      <c r="E201" s="65">
        <v>7.058823529412E-3</v>
      </c>
    </row>
    <row r="202" spans="2:5" ht="14.5">
      <c r="B202" s="85"/>
      <c r="C202" s="63" t="s">
        <v>256</v>
      </c>
      <c r="D202" s="64">
        <v>2</v>
      </c>
      <c r="E202" s="65">
        <v>3.6199095022600001E-4</v>
      </c>
    </row>
    <row r="203" spans="2:5" ht="14.5">
      <c r="B203" s="85"/>
      <c r="C203" s="63" t="s">
        <v>257</v>
      </c>
      <c r="D203" s="64">
        <v>7</v>
      </c>
      <c r="E203" s="65">
        <v>1.266968325792E-3</v>
      </c>
    </row>
    <row r="204" spans="2:5" ht="14.5">
      <c r="B204" s="85"/>
      <c r="C204" s="63" t="s">
        <v>258</v>
      </c>
      <c r="D204" s="64">
        <v>35</v>
      </c>
      <c r="E204" s="65">
        <v>6.3348416289590002E-3</v>
      </c>
    </row>
    <row r="205" spans="2:5" ht="14.5">
      <c r="B205" s="85"/>
      <c r="C205" s="63" t="s">
        <v>259</v>
      </c>
      <c r="D205" s="64">
        <v>1</v>
      </c>
      <c r="E205" s="65">
        <v>1.8099547511300001E-4</v>
      </c>
    </row>
    <row r="206" spans="2:5" ht="14.5">
      <c r="B206" s="85"/>
      <c r="C206" s="63" t="s">
        <v>263</v>
      </c>
      <c r="D206" s="64">
        <v>1</v>
      </c>
      <c r="E206" s="65">
        <v>1.8099547511300001E-4</v>
      </c>
    </row>
    <row r="207" spans="2:5" ht="14.5">
      <c r="B207" s="85"/>
      <c r="C207" s="63" t="s">
        <v>264</v>
      </c>
      <c r="D207" s="64">
        <v>4</v>
      </c>
      <c r="E207" s="65">
        <v>7.2398190045200002E-4</v>
      </c>
    </row>
    <row r="208" spans="2:5" ht="14.5">
      <c r="B208" s="86"/>
      <c r="C208" s="36" t="s">
        <v>29</v>
      </c>
      <c r="D208" s="35">
        <v>108</v>
      </c>
      <c r="E208" s="34">
        <v>1.9547511312216999E-2</v>
      </c>
    </row>
    <row r="209" spans="2:5" ht="14.5">
      <c r="B209" s="84" t="s">
        <v>88</v>
      </c>
      <c r="C209" s="63" t="s">
        <v>255</v>
      </c>
      <c r="D209" s="64">
        <v>1</v>
      </c>
      <c r="E209" s="65">
        <v>1.8099547511300001E-4</v>
      </c>
    </row>
    <row r="210" spans="2:5" ht="14.5">
      <c r="B210" s="85"/>
      <c r="C210" s="63" t="s">
        <v>258</v>
      </c>
      <c r="D210" s="64">
        <v>1</v>
      </c>
      <c r="E210" s="65">
        <v>1.8099547511300001E-4</v>
      </c>
    </row>
    <row r="211" spans="2:5" ht="14.5">
      <c r="B211" s="86"/>
      <c r="C211" s="36" t="s">
        <v>29</v>
      </c>
      <c r="D211" s="35">
        <v>2</v>
      </c>
      <c r="E211" s="34">
        <v>3.6199095022600001E-4</v>
      </c>
    </row>
    <row r="212" spans="2:5" ht="14.5">
      <c r="B212" s="84" t="s">
        <v>64</v>
      </c>
      <c r="C212" s="63" t="s">
        <v>250</v>
      </c>
      <c r="D212" s="64">
        <v>6</v>
      </c>
      <c r="E212" s="65">
        <v>1.0859728506790001E-3</v>
      </c>
    </row>
    <row r="213" spans="2:5" ht="14.5">
      <c r="B213" s="85"/>
      <c r="C213" s="63" t="s">
        <v>251</v>
      </c>
      <c r="D213" s="64">
        <v>3</v>
      </c>
      <c r="E213" s="65">
        <v>5.4298642533899999E-4</v>
      </c>
    </row>
    <row r="214" spans="2:5" ht="14.5">
      <c r="B214" s="85"/>
      <c r="C214" s="63" t="s">
        <v>253</v>
      </c>
      <c r="D214" s="64">
        <v>1</v>
      </c>
      <c r="E214" s="65">
        <v>1.8099547511300001E-4</v>
      </c>
    </row>
    <row r="215" spans="2:5" ht="14.5">
      <c r="B215" s="85"/>
      <c r="C215" s="63" t="s">
        <v>254</v>
      </c>
      <c r="D215" s="64">
        <v>6</v>
      </c>
      <c r="E215" s="65">
        <v>1.0859728506790001E-3</v>
      </c>
    </row>
    <row r="216" spans="2:5" ht="14.5">
      <c r="B216" s="85"/>
      <c r="C216" s="63" t="s">
        <v>255</v>
      </c>
      <c r="D216" s="64">
        <v>20</v>
      </c>
      <c r="E216" s="65">
        <v>3.6199095022619999E-3</v>
      </c>
    </row>
    <row r="217" spans="2:5" ht="14.5">
      <c r="B217" s="85"/>
      <c r="C217" s="63" t="s">
        <v>256</v>
      </c>
      <c r="D217" s="64">
        <v>1</v>
      </c>
      <c r="E217" s="65">
        <v>1.8099547511300001E-4</v>
      </c>
    </row>
    <row r="218" spans="2:5" ht="14.5">
      <c r="B218" s="85"/>
      <c r="C218" s="63" t="s">
        <v>257</v>
      </c>
      <c r="D218" s="64">
        <v>3</v>
      </c>
      <c r="E218" s="65">
        <v>5.4298642533899999E-4</v>
      </c>
    </row>
    <row r="219" spans="2:5" ht="14.5">
      <c r="B219" s="85"/>
      <c r="C219" s="63" t="s">
        <v>258</v>
      </c>
      <c r="D219" s="64">
        <v>14</v>
      </c>
      <c r="E219" s="65">
        <v>2.533936651584E-3</v>
      </c>
    </row>
    <row r="220" spans="2:5" ht="14.5">
      <c r="B220" s="85"/>
      <c r="C220" s="63" t="s">
        <v>260</v>
      </c>
      <c r="D220" s="64">
        <v>2</v>
      </c>
      <c r="E220" s="65">
        <v>3.6199095022600001E-4</v>
      </c>
    </row>
    <row r="221" spans="2:5" ht="14.5">
      <c r="B221" s="85"/>
      <c r="C221" s="63" t="s">
        <v>263</v>
      </c>
      <c r="D221" s="64">
        <v>1</v>
      </c>
      <c r="E221" s="65">
        <v>1.8099547511300001E-4</v>
      </c>
    </row>
    <row r="222" spans="2:5" ht="14.5">
      <c r="B222" s="85"/>
      <c r="C222" s="63" t="s">
        <v>264</v>
      </c>
      <c r="D222" s="64">
        <v>7</v>
      </c>
      <c r="E222" s="65">
        <v>1.266968325792E-3</v>
      </c>
    </row>
    <row r="223" spans="2:5" ht="14.5">
      <c r="B223" s="86"/>
      <c r="C223" s="36" t="s">
        <v>29</v>
      </c>
      <c r="D223" s="35">
        <v>64</v>
      </c>
      <c r="E223" s="34">
        <v>1.1583710407239999E-2</v>
      </c>
    </row>
    <row r="224" spans="2:5" ht="14.5">
      <c r="B224" s="84" t="s">
        <v>66</v>
      </c>
      <c r="C224" s="63" t="s">
        <v>246</v>
      </c>
      <c r="D224" s="64">
        <v>1</v>
      </c>
      <c r="E224" s="65">
        <v>1.8099547511300001E-4</v>
      </c>
    </row>
    <row r="225" spans="2:5" ht="14.5">
      <c r="B225" s="85"/>
      <c r="C225" s="63" t="s">
        <v>247</v>
      </c>
      <c r="D225" s="64">
        <v>3</v>
      </c>
      <c r="E225" s="65">
        <v>5.4298642533899999E-4</v>
      </c>
    </row>
    <row r="226" spans="2:5" ht="14.5">
      <c r="B226" s="85"/>
      <c r="C226" s="63" t="s">
        <v>250</v>
      </c>
      <c r="D226" s="64">
        <v>2</v>
      </c>
      <c r="E226" s="65">
        <v>3.6199095022600001E-4</v>
      </c>
    </row>
    <row r="227" spans="2:5" ht="14.5">
      <c r="B227" s="85"/>
      <c r="C227" s="63" t="s">
        <v>251</v>
      </c>
      <c r="D227" s="64">
        <v>7</v>
      </c>
      <c r="E227" s="65">
        <v>1.266968325792E-3</v>
      </c>
    </row>
    <row r="228" spans="2:5" ht="14.5">
      <c r="B228" s="85"/>
      <c r="C228" s="63" t="s">
        <v>254</v>
      </c>
      <c r="D228" s="64">
        <v>3</v>
      </c>
      <c r="E228" s="65">
        <v>5.4298642533899999E-4</v>
      </c>
    </row>
    <row r="229" spans="2:5" ht="14.5">
      <c r="B229" s="85"/>
      <c r="C229" s="63" t="s">
        <v>255</v>
      </c>
      <c r="D229" s="64">
        <v>21</v>
      </c>
      <c r="E229" s="65">
        <v>3.8009049773759999E-3</v>
      </c>
    </row>
    <row r="230" spans="2:5" ht="14.5">
      <c r="B230" s="85"/>
      <c r="C230" s="63" t="s">
        <v>258</v>
      </c>
      <c r="D230" s="64">
        <v>17</v>
      </c>
      <c r="E230" s="65">
        <v>3.0769230769230002E-3</v>
      </c>
    </row>
    <row r="231" spans="2:5" ht="14.5">
      <c r="B231" s="85"/>
      <c r="C231" s="63" t="s">
        <v>263</v>
      </c>
      <c r="D231" s="64">
        <v>1</v>
      </c>
      <c r="E231" s="65">
        <v>1.8099547511300001E-4</v>
      </c>
    </row>
    <row r="232" spans="2:5" ht="14.5">
      <c r="B232" s="85"/>
      <c r="C232" s="63" t="s">
        <v>264</v>
      </c>
      <c r="D232" s="64">
        <v>2</v>
      </c>
      <c r="E232" s="65">
        <v>3.6199095022600001E-4</v>
      </c>
    </row>
    <row r="233" spans="2:5" ht="14.5">
      <c r="B233" s="86"/>
      <c r="C233" s="36" t="s">
        <v>29</v>
      </c>
      <c r="D233" s="35">
        <v>57</v>
      </c>
      <c r="E233" s="34">
        <v>1.0316742081448E-2</v>
      </c>
    </row>
    <row r="234" spans="2:5" ht="14.5">
      <c r="B234" s="84" t="s">
        <v>48</v>
      </c>
      <c r="C234" s="63" t="s">
        <v>244</v>
      </c>
      <c r="D234" s="64">
        <v>3</v>
      </c>
      <c r="E234" s="65">
        <v>5.4298642533899999E-4</v>
      </c>
    </row>
    <row r="235" spans="2:5" ht="14.5">
      <c r="B235" s="85"/>
      <c r="C235" s="63" t="s">
        <v>246</v>
      </c>
      <c r="D235" s="64">
        <v>1</v>
      </c>
      <c r="E235" s="65">
        <v>1.8099547511300001E-4</v>
      </c>
    </row>
    <row r="236" spans="2:5" ht="14.5">
      <c r="B236" s="85"/>
      <c r="C236" s="63" t="s">
        <v>247</v>
      </c>
      <c r="D236" s="64">
        <v>4</v>
      </c>
      <c r="E236" s="65">
        <v>7.2398190045200002E-4</v>
      </c>
    </row>
    <row r="237" spans="2:5" ht="14.5">
      <c r="B237" s="85"/>
      <c r="C237" s="63" t="s">
        <v>248</v>
      </c>
      <c r="D237" s="64">
        <v>2</v>
      </c>
      <c r="E237" s="65">
        <v>3.6199095022600001E-4</v>
      </c>
    </row>
    <row r="238" spans="2:5" ht="14.5">
      <c r="B238" s="85"/>
      <c r="C238" s="63" t="s">
        <v>250</v>
      </c>
      <c r="D238" s="64">
        <v>29</v>
      </c>
      <c r="E238" s="65">
        <v>5.2488687782809998E-3</v>
      </c>
    </row>
    <row r="239" spans="2:5" ht="14.5">
      <c r="B239" s="85"/>
      <c r="C239" s="63" t="s">
        <v>251</v>
      </c>
      <c r="D239" s="64">
        <v>83</v>
      </c>
      <c r="E239" s="65">
        <v>1.5022624434389001E-2</v>
      </c>
    </row>
    <row r="240" spans="2:5" ht="14.5">
      <c r="B240" s="85"/>
      <c r="C240" s="63" t="s">
        <v>252</v>
      </c>
      <c r="D240" s="64">
        <v>7</v>
      </c>
      <c r="E240" s="65">
        <v>1.266968325792E-3</v>
      </c>
    </row>
    <row r="241" spans="2:5" ht="14.5">
      <c r="B241" s="85"/>
      <c r="C241" s="63" t="s">
        <v>253</v>
      </c>
      <c r="D241" s="64">
        <v>6</v>
      </c>
      <c r="E241" s="65">
        <v>1.0859728506790001E-3</v>
      </c>
    </row>
    <row r="242" spans="2:5" ht="14.5">
      <c r="B242" s="85"/>
      <c r="C242" s="63" t="s">
        <v>254</v>
      </c>
      <c r="D242" s="64">
        <v>24</v>
      </c>
      <c r="E242" s="65">
        <v>4.3438914027150001E-3</v>
      </c>
    </row>
    <row r="243" spans="2:5" ht="14.5">
      <c r="B243" s="85"/>
      <c r="C243" s="63" t="s">
        <v>255</v>
      </c>
      <c r="D243" s="64">
        <v>187</v>
      </c>
      <c r="E243" s="65">
        <v>3.3846153846153998E-2</v>
      </c>
    </row>
    <row r="244" spans="2:5" ht="14.5">
      <c r="B244" s="85"/>
      <c r="C244" s="63" t="s">
        <v>256</v>
      </c>
      <c r="D244" s="64">
        <v>7</v>
      </c>
      <c r="E244" s="65">
        <v>1.266968325792E-3</v>
      </c>
    </row>
    <row r="245" spans="2:5" ht="14.5">
      <c r="B245" s="85"/>
      <c r="C245" s="63" t="s">
        <v>257</v>
      </c>
      <c r="D245" s="64">
        <v>29</v>
      </c>
      <c r="E245" s="65">
        <v>5.2488687782809998E-3</v>
      </c>
    </row>
    <row r="246" spans="2:5" ht="14.5">
      <c r="B246" s="85"/>
      <c r="C246" s="63" t="s">
        <v>258</v>
      </c>
      <c r="D246" s="64">
        <v>110</v>
      </c>
      <c r="E246" s="65">
        <v>1.9909502262443E-2</v>
      </c>
    </row>
    <row r="247" spans="2:5" ht="14.5">
      <c r="B247" s="85"/>
      <c r="C247" s="63" t="s">
        <v>259</v>
      </c>
      <c r="D247" s="64">
        <v>1</v>
      </c>
      <c r="E247" s="65">
        <v>1.8099547511300001E-4</v>
      </c>
    </row>
    <row r="248" spans="2:5" ht="14.5">
      <c r="B248" s="85"/>
      <c r="C248" s="63" t="s">
        <v>260</v>
      </c>
      <c r="D248" s="64">
        <v>2</v>
      </c>
      <c r="E248" s="65">
        <v>3.6199095022600001E-4</v>
      </c>
    </row>
    <row r="249" spans="2:5" ht="14.5">
      <c r="B249" s="85"/>
      <c r="C249" s="63" t="s">
        <v>262</v>
      </c>
      <c r="D249" s="64">
        <v>1</v>
      </c>
      <c r="E249" s="65">
        <v>1.8099547511300001E-4</v>
      </c>
    </row>
    <row r="250" spans="2:5" ht="14.5">
      <c r="B250" s="85"/>
      <c r="C250" s="63" t="s">
        <v>263</v>
      </c>
      <c r="D250" s="64">
        <v>5</v>
      </c>
      <c r="E250" s="65">
        <v>9.0497737556600002E-4</v>
      </c>
    </row>
    <row r="251" spans="2:5" ht="14.5">
      <c r="B251" s="85"/>
      <c r="C251" s="63" t="s">
        <v>264</v>
      </c>
      <c r="D251" s="64">
        <v>14</v>
      </c>
      <c r="E251" s="65">
        <v>2.533936651584E-3</v>
      </c>
    </row>
    <row r="252" spans="2:5" ht="14.5">
      <c r="B252" s="85"/>
      <c r="C252" s="63" t="s">
        <v>265</v>
      </c>
      <c r="D252" s="64">
        <v>1</v>
      </c>
      <c r="E252" s="65">
        <v>1.8099547511300001E-4</v>
      </c>
    </row>
    <row r="253" spans="2:5" ht="14.5">
      <c r="B253" s="86"/>
      <c r="C253" s="36" t="s">
        <v>29</v>
      </c>
      <c r="D253" s="35">
        <v>516</v>
      </c>
      <c r="E253" s="34">
        <v>9.3393665158370998E-2</v>
      </c>
    </row>
    <row r="254" spans="2:5" ht="14.5">
      <c r="B254" s="84" t="s">
        <v>77</v>
      </c>
      <c r="C254" s="63" t="s">
        <v>244</v>
      </c>
      <c r="D254" s="64">
        <v>1</v>
      </c>
      <c r="E254" s="65">
        <v>1.8099547511300001E-4</v>
      </c>
    </row>
    <row r="255" spans="2:5" ht="14.5">
      <c r="B255" s="85"/>
      <c r="C255" s="63" t="s">
        <v>251</v>
      </c>
      <c r="D255" s="64">
        <v>1</v>
      </c>
      <c r="E255" s="65">
        <v>1.8099547511300001E-4</v>
      </c>
    </row>
    <row r="256" spans="2:5" ht="14.5">
      <c r="B256" s="85"/>
      <c r="C256" s="63" t="s">
        <v>254</v>
      </c>
      <c r="D256" s="64">
        <v>1</v>
      </c>
      <c r="E256" s="65">
        <v>1.8099547511300001E-4</v>
      </c>
    </row>
    <row r="257" spans="2:5" ht="14.5">
      <c r="B257" s="85"/>
      <c r="C257" s="63" t="s">
        <v>255</v>
      </c>
      <c r="D257" s="64">
        <v>17</v>
      </c>
      <c r="E257" s="65">
        <v>3.0769230769230002E-3</v>
      </c>
    </row>
    <row r="258" spans="2:5" ht="14.5">
      <c r="B258" s="85"/>
      <c r="C258" s="63" t="s">
        <v>257</v>
      </c>
      <c r="D258" s="64">
        <v>3</v>
      </c>
      <c r="E258" s="65">
        <v>5.4298642533899999E-4</v>
      </c>
    </row>
    <row r="259" spans="2:5" ht="14.5">
      <c r="B259" s="85"/>
      <c r="C259" s="63" t="s">
        <v>258</v>
      </c>
      <c r="D259" s="64">
        <v>8</v>
      </c>
      <c r="E259" s="65">
        <v>1.4479638009049999E-3</v>
      </c>
    </row>
    <row r="260" spans="2:5" ht="14.5">
      <c r="B260" s="85"/>
      <c r="C260" s="63" t="s">
        <v>264</v>
      </c>
      <c r="D260" s="64">
        <v>1</v>
      </c>
      <c r="E260" s="65">
        <v>1.8099547511300001E-4</v>
      </c>
    </row>
    <row r="261" spans="2:5" ht="14.5">
      <c r="B261" s="86"/>
      <c r="C261" s="36" t="s">
        <v>29</v>
      </c>
      <c r="D261" s="35">
        <v>32</v>
      </c>
      <c r="E261" s="34">
        <v>5.7918552036199996E-3</v>
      </c>
    </row>
    <row r="262" spans="2:5" ht="14.5">
      <c r="B262" s="84" t="s">
        <v>74</v>
      </c>
      <c r="C262" s="63" t="s">
        <v>250</v>
      </c>
      <c r="D262" s="64">
        <v>3</v>
      </c>
      <c r="E262" s="65">
        <v>5.4298642533899999E-4</v>
      </c>
    </row>
    <row r="263" spans="2:5" ht="14.5">
      <c r="B263" s="85"/>
      <c r="C263" s="63" t="s">
        <v>251</v>
      </c>
      <c r="D263" s="64">
        <v>2</v>
      </c>
      <c r="E263" s="65">
        <v>3.6199095022600001E-4</v>
      </c>
    </row>
    <row r="264" spans="2:5" ht="14.5">
      <c r="B264" s="85"/>
      <c r="C264" s="63" t="s">
        <v>253</v>
      </c>
      <c r="D264" s="64">
        <v>3</v>
      </c>
      <c r="E264" s="65">
        <v>5.4298642533899999E-4</v>
      </c>
    </row>
    <row r="265" spans="2:5" ht="14.5">
      <c r="B265" s="85"/>
      <c r="C265" s="63" t="s">
        <v>254</v>
      </c>
      <c r="D265" s="64">
        <v>2</v>
      </c>
      <c r="E265" s="65">
        <v>3.6199095022600001E-4</v>
      </c>
    </row>
    <row r="266" spans="2:5" ht="14.5">
      <c r="B266" s="85"/>
      <c r="C266" s="63" t="s">
        <v>255</v>
      </c>
      <c r="D266" s="64">
        <v>22</v>
      </c>
      <c r="E266" s="65">
        <v>3.9819004524890003E-3</v>
      </c>
    </row>
    <row r="267" spans="2:5" ht="14.5">
      <c r="B267" s="85"/>
      <c r="C267" s="63" t="s">
        <v>256</v>
      </c>
      <c r="D267" s="64">
        <v>2</v>
      </c>
      <c r="E267" s="65">
        <v>3.6199095022600001E-4</v>
      </c>
    </row>
    <row r="268" spans="2:5" ht="14.5">
      <c r="B268" s="85"/>
      <c r="C268" s="63" t="s">
        <v>258</v>
      </c>
      <c r="D268" s="64">
        <v>7</v>
      </c>
      <c r="E268" s="65">
        <v>1.266968325792E-3</v>
      </c>
    </row>
    <row r="269" spans="2:5" ht="14.5">
      <c r="B269" s="86"/>
      <c r="C269" s="36" t="s">
        <v>29</v>
      </c>
      <c r="D269" s="35">
        <v>41</v>
      </c>
      <c r="E269" s="34">
        <v>7.4208144796379999E-3</v>
      </c>
    </row>
    <row r="270" spans="2:5" ht="14.5">
      <c r="B270" s="84" t="s">
        <v>73</v>
      </c>
      <c r="C270" s="63" t="s">
        <v>250</v>
      </c>
      <c r="D270" s="64">
        <v>2</v>
      </c>
      <c r="E270" s="65">
        <v>3.6199095022600001E-4</v>
      </c>
    </row>
    <row r="271" spans="2:5" ht="14.5">
      <c r="B271" s="85"/>
      <c r="C271" s="63" t="s">
        <v>251</v>
      </c>
      <c r="D271" s="64">
        <v>3</v>
      </c>
      <c r="E271" s="65">
        <v>5.4298642533899999E-4</v>
      </c>
    </row>
    <row r="272" spans="2:5" ht="14.5">
      <c r="B272" s="85"/>
      <c r="C272" s="63" t="s">
        <v>253</v>
      </c>
      <c r="D272" s="64">
        <v>3</v>
      </c>
      <c r="E272" s="65">
        <v>5.4298642533899999E-4</v>
      </c>
    </row>
    <row r="273" spans="2:5" ht="14.5">
      <c r="B273" s="85"/>
      <c r="C273" s="63" t="s">
        <v>254</v>
      </c>
      <c r="D273" s="64">
        <v>1</v>
      </c>
      <c r="E273" s="65">
        <v>1.8099547511300001E-4</v>
      </c>
    </row>
    <row r="274" spans="2:5" ht="14.5">
      <c r="B274" s="85"/>
      <c r="C274" s="63" t="s">
        <v>255</v>
      </c>
      <c r="D274" s="64">
        <v>17</v>
      </c>
      <c r="E274" s="65">
        <v>3.0769230769230002E-3</v>
      </c>
    </row>
    <row r="275" spans="2:5" ht="14.5">
      <c r="B275" s="85"/>
      <c r="C275" s="63" t="s">
        <v>257</v>
      </c>
      <c r="D275" s="64">
        <v>2</v>
      </c>
      <c r="E275" s="65">
        <v>3.6199095022600001E-4</v>
      </c>
    </row>
    <row r="276" spans="2:5" ht="14.5">
      <c r="B276" s="85"/>
      <c r="C276" s="63" t="s">
        <v>258</v>
      </c>
      <c r="D276" s="64">
        <v>12</v>
      </c>
      <c r="E276" s="65">
        <v>2.171945701357E-3</v>
      </c>
    </row>
    <row r="277" spans="2:5" ht="14.5">
      <c r="B277" s="85"/>
      <c r="C277" s="63" t="s">
        <v>263</v>
      </c>
      <c r="D277" s="64">
        <v>3</v>
      </c>
      <c r="E277" s="65">
        <v>5.4298642533899999E-4</v>
      </c>
    </row>
    <row r="278" spans="2:5" ht="14.5">
      <c r="B278" s="86"/>
      <c r="C278" s="36" t="s">
        <v>29</v>
      </c>
      <c r="D278" s="35">
        <v>43</v>
      </c>
      <c r="E278" s="34">
        <v>7.7828054298639997E-3</v>
      </c>
    </row>
    <row r="279" spans="2:5" ht="14.5">
      <c r="B279" s="84" t="s">
        <v>80</v>
      </c>
      <c r="C279" s="63" t="s">
        <v>244</v>
      </c>
      <c r="D279" s="64">
        <v>1</v>
      </c>
      <c r="E279" s="65">
        <v>1.8099547511300001E-4</v>
      </c>
    </row>
    <row r="280" spans="2:5" ht="14.5">
      <c r="B280" s="85"/>
      <c r="C280" s="63" t="s">
        <v>250</v>
      </c>
      <c r="D280" s="64">
        <v>1</v>
      </c>
      <c r="E280" s="65">
        <v>1.8099547511300001E-4</v>
      </c>
    </row>
    <row r="281" spans="2:5" ht="14.5">
      <c r="B281" s="85"/>
      <c r="C281" s="63" t="s">
        <v>251</v>
      </c>
      <c r="D281" s="64">
        <v>2</v>
      </c>
      <c r="E281" s="65">
        <v>3.6199095022600001E-4</v>
      </c>
    </row>
    <row r="282" spans="2:5" ht="14.5">
      <c r="B282" s="85"/>
      <c r="C282" s="63" t="s">
        <v>254</v>
      </c>
      <c r="D282" s="64">
        <v>2</v>
      </c>
      <c r="E282" s="65">
        <v>3.6199095022600001E-4</v>
      </c>
    </row>
    <row r="283" spans="2:5" ht="14.5">
      <c r="B283" s="85"/>
      <c r="C283" s="63" t="s">
        <v>255</v>
      </c>
      <c r="D283" s="64">
        <v>11</v>
      </c>
      <c r="E283" s="65">
        <v>1.9909502262440001E-3</v>
      </c>
    </row>
    <row r="284" spans="2:5" ht="14.5">
      <c r="B284" s="85"/>
      <c r="C284" s="63" t="s">
        <v>256</v>
      </c>
      <c r="D284" s="64">
        <v>1</v>
      </c>
      <c r="E284" s="65">
        <v>1.8099547511300001E-4</v>
      </c>
    </row>
    <row r="285" spans="2:5" ht="14.5">
      <c r="B285" s="85"/>
      <c r="C285" s="63" t="s">
        <v>258</v>
      </c>
      <c r="D285" s="64">
        <v>8</v>
      </c>
      <c r="E285" s="65">
        <v>1.4479638009049999E-3</v>
      </c>
    </row>
    <row r="286" spans="2:5" ht="14.5">
      <c r="B286" s="85"/>
      <c r="C286" s="63" t="s">
        <v>263</v>
      </c>
      <c r="D286" s="64">
        <v>1</v>
      </c>
      <c r="E286" s="65">
        <v>1.8099547511300001E-4</v>
      </c>
    </row>
    <row r="287" spans="2:5" ht="14.5">
      <c r="B287" s="86"/>
      <c r="C287" s="36" t="s">
        <v>29</v>
      </c>
      <c r="D287" s="35">
        <v>27</v>
      </c>
      <c r="E287" s="34">
        <v>4.8868778280539999E-3</v>
      </c>
    </row>
    <row r="288" spans="2:5" ht="14.5">
      <c r="B288" s="84" t="s">
        <v>90</v>
      </c>
      <c r="C288" s="63" t="s">
        <v>256</v>
      </c>
      <c r="D288" s="64">
        <v>1</v>
      </c>
      <c r="E288" s="65">
        <v>1.8099547511300001E-4</v>
      </c>
    </row>
    <row r="289" spans="2:5" ht="14.5">
      <c r="B289" s="86"/>
      <c r="C289" s="36" t="s">
        <v>29</v>
      </c>
      <c r="D289" s="35">
        <v>1</v>
      </c>
      <c r="E289" s="34">
        <v>1.8099547511300001E-4</v>
      </c>
    </row>
    <row r="290" spans="2:5" ht="14.5">
      <c r="B290" s="84" t="s">
        <v>79</v>
      </c>
      <c r="C290" s="63" t="s">
        <v>251</v>
      </c>
      <c r="D290" s="64">
        <v>2</v>
      </c>
      <c r="E290" s="65">
        <v>3.6199095022600001E-4</v>
      </c>
    </row>
    <row r="291" spans="2:5" ht="14.5">
      <c r="B291" s="85"/>
      <c r="C291" s="63" t="s">
        <v>254</v>
      </c>
      <c r="D291" s="64">
        <v>3</v>
      </c>
      <c r="E291" s="65">
        <v>5.4298642533899999E-4</v>
      </c>
    </row>
    <row r="292" spans="2:5" ht="14.5">
      <c r="B292" s="85"/>
      <c r="C292" s="63" t="s">
        <v>255</v>
      </c>
      <c r="D292" s="64">
        <v>14</v>
      </c>
      <c r="E292" s="65">
        <v>2.533936651584E-3</v>
      </c>
    </row>
    <row r="293" spans="2:5" ht="14.5">
      <c r="B293" s="85"/>
      <c r="C293" s="63" t="s">
        <v>256</v>
      </c>
      <c r="D293" s="64">
        <v>2</v>
      </c>
      <c r="E293" s="65">
        <v>3.6199095022600001E-4</v>
      </c>
    </row>
    <row r="294" spans="2:5" ht="14.5">
      <c r="B294" s="85"/>
      <c r="C294" s="63" t="s">
        <v>257</v>
      </c>
      <c r="D294" s="64">
        <v>1</v>
      </c>
      <c r="E294" s="65">
        <v>1.8099547511300001E-4</v>
      </c>
    </row>
    <row r="295" spans="2:5" ht="14.5">
      <c r="B295" s="85"/>
      <c r="C295" s="63" t="s">
        <v>258</v>
      </c>
      <c r="D295" s="64">
        <v>3</v>
      </c>
      <c r="E295" s="65">
        <v>5.4298642533899999E-4</v>
      </c>
    </row>
    <row r="296" spans="2:5" ht="14.5">
      <c r="B296" s="85"/>
      <c r="C296" s="63" t="s">
        <v>263</v>
      </c>
      <c r="D296" s="64">
        <v>1</v>
      </c>
      <c r="E296" s="65">
        <v>1.8099547511300001E-4</v>
      </c>
    </row>
    <row r="297" spans="2:5" ht="14.5">
      <c r="B297" s="85"/>
      <c r="C297" s="63" t="s">
        <v>264</v>
      </c>
      <c r="D297" s="64">
        <v>3</v>
      </c>
      <c r="E297" s="65">
        <v>5.4298642533899999E-4</v>
      </c>
    </row>
    <row r="298" spans="2:5" ht="14.5">
      <c r="B298" s="86"/>
      <c r="C298" s="36" t="s">
        <v>29</v>
      </c>
      <c r="D298" s="35">
        <v>29</v>
      </c>
      <c r="E298" s="34">
        <v>5.2488687782809998E-3</v>
      </c>
    </row>
    <row r="299" spans="2:5" ht="14.5">
      <c r="B299" s="84" t="s">
        <v>46</v>
      </c>
      <c r="C299" s="63" t="s">
        <v>244</v>
      </c>
      <c r="D299" s="64">
        <v>7</v>
      </c>
      <c r="E299" s="65">
        <v>1.266968325792E-3</v>
      </c>
    </row>
    <row r="300" spans="2:5" ht="14.5">
      <c r="B300" s="85"/>
      <c r="C300" s="63" t="s">
        <v>245</v>
      </c>
      <c r="D300" s="64">
        <v>1</v>
      </c>
      <c r="E300" s="65">
        <v>1.8099547511300001E-4</v>
      </c>
    </row>
    <row r="301" spans="2:5" ht="14.5">
      <c r="B301" s="85"/>
      <c r="C301" s="63" t="s">
        <v>246</v>
      </c>
      <c r="D301" s="64">
        <v>3</v>
      </c>
      <c r="E301" s="65">
        <v>5.4298642533899999E-4</v>
      </c>
    </row>
    <row r="302" spans="2:5" ht="14.5">
      <c r="B302" s="85"/>
      <c r="C302" s="63" t="s">
        <v>247</v>
      </c>
      <c r="D302" s="64">
        <v>8</v>
      </c>
      <c r="E302" s="65">
        <v>1.4479638009049999E-3</v>
      </c>
    </row>
    <row r="303" spans="2:5" ht="14.5">
      <c r="B303" s="85"/>
      <c r="C303" s="63" t="s">
        <v>248</v>
      </c>
      <c r="D303" s="64">
        <v>4</v>
      </c>
      <c r="E303" s="65">
        <v>7.2398190045200002E-4</v>
      </c>
    </row>
    <row r="304" spans="2:5" ht="14.5">
      <c r="B304" s="85"/>
      <c r="C304" s="63" t="s">
        <v>249</v>
      </c>
      <c r="D304" s="64">
        <v>10</v>
      </c>
      <c r="E304" s="65">
        <v>1.809954751131E-3</v>
      </c>
    </row>
    <row r="305" spans="2:5" ht="14.5">
      <c r="B305" s="85"/>
      <c r="C305" s="63" t="s">
        <v>250</v>
      </c>
      <c r="D305" s="64">
        <v>94</v>
      </c>
      <c r="E305" s="65">
        <v>1.7013574660633E-2</v>
      </c>
    </row>
    <row r="306" spans="2:5" ht="14.5">
      <c r="B306" s="85"/>
      <c r="C306" s="63" t="s">
        <v>251</v>
      </c>
      <c r="D306" s="64">
        <v>110</v>
      </c>
      <c r="E306" s="65">
        <v>1.9909502262443E-2</v>
      </c>
    </row>
    <row r="307" spans="2:5" ht="14.5">
      <c r="B307" s="85"/>
      <c r="C307" s="63" t="s">
        <v>252</v>
      </c>
      <c r="D307" s="64">
        <v>5</v>
      </c>
      <c r="E307" s="65">
        <v>9.0497737556600002E-4</v>
      </c>
    </row>
    <row r="308" spans="2:5" ht="14.5">
      <c r="B308" s="85"/>
      <c r="C308" s="63" t="s">
        <v>253</v>
      </c>
      <c r="D308" s="64">
        <v>22</v>
      </c>
      <c r="E308" s="65">
        <v>3.9819004524890003E-3</v>
      </c>
    </row>
    <row r="309" spans="2:5" ht="14.5">
      <c r="B309" s="85"/>
      <c r="C309" s="63" t="s">
        <v>254</v>
      </c>
      <c r="D309" s="64">
        <v>26</v>
      </c>
      <c r="E309" s="65">
        <v>4.705882352941E-3</v>
      </c>
    </row>
    <row r="310" spans="2:5" ht="14.5">
      <c r="B310" s="85"/>
      <c r="C310" s="63" t="s">
        <v>255</v>
      </c>
      <c r="D310" s="64">
        <v>446</v>
      </c>
      <c r="E310" s="65">
        <v>8.0723981900452005E-2</v>
      </c>
    </row>
    <row r="311" spans="2:5" ht="14.5">
      <c r="B311" s="85"/>
      <c r="C311" s="63" t="s">
        <v>256</v>
      </c>
      <c r="D311" s="64">
        <v>12</v>
      </c>
      <c r="E311" s="65">
        <v>2.171945701357E-3</v>
      </c>
    </row>
    <row r="312" spans="2:5" ht="14.5">
      <c r="B312" s="85"/>
      <c r="C312" s="63" t="s">
        <v>257</v>
      </c>
      <c r="D312" s="64">
        <v>34</v>
      </c>
      <c r="E312" s="65">
        <v>6.1538461538460003E-3</v>
      </c>
    </row>
    <row r="313" spans="2:5" ht="14.5">
      <c r="B313" s="85"/>
      <c r="C313" s="63" t="s">
        <v>258</v>
      </c>
      <c r="D313" s="64">
        <v>200</v>
      </c>
      <c r="E313" s="65">
        <v>3.6199095022624E-2</v>
      </c>
    </row>
    <row r="314" spans="2:5" ht="14.5">
      <c r="B314" s="85"/>
      <c r="C314" s="63" t="s">
        <v>259</v>
      </c>
      <c r="D314" s="64">
        <v>1</v>
      </c>
      <c r="E314" s="65">
        <v>1.8099547511300001E-4</v>
      </c>
    </row>
    <row r="315" spans="2:5" ht="14.5">
      <c r="B315" s="85"/>
      <c r="C315" s="63" t="s">
        <v>260</v>
      </c>
      <c r="D315" s="64">
        <v>4</v>
      </c>
      <c r="E315" s="65">
        <v>7.2398190045200002E-4</v>
      </c>
    </row>
    <row r="316" spans="2:5" ht="14.5">
      <c r="B316" s="85"/>
      <c r="C316" s="63" t="s">
        <v>262</v>
      </c>
      <c r="D316" s="64">
        <v>1</v>
      </c>
      <c r="E316" s="65">
        <v>1.8099547511300001E-4</v>
      </c>
    </row>
    <row r="317" spans="2:5" ht="14.5">
      <c r="B317" s="85"/>
      <c r="C317" s="63" t="s">
        <v>263</v>
      </c>
      <c r="D317" s="64">
        <v>15</v>
      </c>
      <c r="E317" s="65">
        <v>2.7149321266969999E-3</v>
      </c>
    </row>
    <row r="318" spans="2:5" ht="14.5">
      <c r="B318" s="85"/>
      <c r="C318" s="63" t="s">
        <v>264</v>
      </c>
      <c r="D318" s="64">
        <v>36</v>
      </c>
      <c r="E318" s="65">
        <v>6.5158371040720002E-3</v>
      </c>
    </row>
    <row r="319" spans="2:5" ht="14.5">
      <c r="B319" s="86"/>
      <c r="C319" s="36" t="s">
        <v>29</v>
      </c>
      <c r="D319" s="35">
        <v>1039</v>
      </c>
      <c r="E319" s="34">
        <v>0.18805429864253401</v>
      </c>
    </row>
    <row r="320" spans="2:5" ht="14.5">
      <c r="B320" s="84" t="s">
        <v>82</v>
      </c>
      <c r="C320" s="63" t="s">
        <v>243</v>
      </c>
      <c r="D320" s="64">
        <v>1</v>
      </c>
      <c r="E320" s="65">
        <v>1.8099547511300001E-4</v>
      </c>
    </row>
    <row r="321" spans="2:5" ht="14.5">
      <c r="B321" s="85"/>
      <c r="C321" s="63" t="s">
        <v>245</v>
      </c>
      <c r="D321" s="64">
        <v>1</v>
      </c>
      <c r="E321" s="65">
        <v>1.8099547511300001E-4</v>
      </c>
    </row>
    <row r="322" spans="2:5" ht="14.5">
      <c r="B322" s="85"/>
      <c r="C322" s="63" t="s">
        <v>249</v>
      </c>
      <c r="D322" s="64">
        <v>1</v>
      </c>
      <c r="E322" s="65">
        <v>1.8099547511300001E-4</v>
      </c>
    </row>
    <row r="323" spans="2:5" ht="14.5">
      <c r="B323" s="85"/>
      <c r="C323" s="63" t="s">
        <v>251</v>
      </c>
      <c r="D323" s="64">
        <v>3</v>
      </c>
      <c r="E323" s="65">
        <v>5.4298642533899999E-4</v>
      </c>
    </row>
    <row r="324" spans="2:5" ht="14.5">
      <c r="B324" s="85"/>
      <c r="C324" s="63" t="s">
        <v>255</v>
      </c>
      <c r="D324" s="64">
        <v>8</v>
      </c>
      <c r="E324" s="65">
        <v>1.4479638009049999E-3</v>
      </c>
    </row>
    <row r="325" spans="2:5" ht="14.5">
      <c r="B325" s="85"/>
      <c r="C325" s="63" t="s">
        <v>258</v>
      </c>
      <c r="D325" s="64">
        <v>5</v>
      </c>
      <c r="E325" s="65">
        <v>9.0497737556600002E-4</v>
      </c>
    </row>
    <row r="326" spans="2:5" ht="14.5">
      <c r="B326" s="85"/>
      <c r="C326" s="63" t="s">
        <v>260</v>
      </c>
      <c r="D326" s="64">
        <v>1</v>
      </c>
      <c r="E326" s="65">
        <v>1.8099547511300001E-4</v>
      </c>
    </row>
    <row r="327" spans="2:5" ht="14.5">
      <c r="B327" s="85"/>
      <c r="C327" s="63" t="s">
        <v>263</v>
      </c>
      <c r="D327" s="64">
        <v>1</v>
      </c>
      <c r="E327" s="65">
        <v>1.8099547511300001E-4</v>
      </c>
    </row>
    <row r="328" spans="2:5" ht="14.5">
      <c r="B328" s="85"/>
      <c r="C328" s="63" t="s">
        <v>264</v>
      </c>
      <c r="D328" s="64">
        <v>3</v>
      </c>
      <c r="E328" s="65">
        <v>5.4298642533899999E-4</v>
      </c>
    </row>
    <row r="329" spans="2:5" ht="14.5">
      <c r="B329" s="86"/>
      <c r="C329" s="36" t="s">
        <v>29</v>
      </c>
      <c r="D329" s="35">
        <v>24</v>
      </c>
      <c r="E329" s="34">
        <v>4.3438914027150001E-3</v>
      </c>
    </row>
    <row r="330" spans="2:5" ht="14.5">
      <c r="B330" s="84" t="s">
        <v>86</v>
      </c>
      <c r="C330" s="63" t="s">
        <v>254</v>
      </c>
      <c r="D330" s="64">
        <v>2</v>
      </c>
      <c r="E330" s="65">
        <v>3.6199095022600001E-4</v>
      </c>
    </row>
    <row r="331" spans="2:5" ht="14.5">
      <c r="B331" s="85"/>
      <c r="C331" s="63" t="s">
        <v>255</v>
      </c>
      <c r="D331" s="64">
        <v>6</v>
      </c>
      <c r="E331" s="65">
        <v>1.0859728506790001E-3</v>
      </c>
    </row>
    <row r="332" spans="2:5" ht="14.5">
      <c r="B332" s="85"/>
      <c r="C332" s="63" t="s">
        <v>257</v>
      </c>
      <c r="D332" s="64">
        <v>1</v>
      </c>
      <c r="E332" s="65">
        <v>1.8099547511300001E-4</v>
      </c>
    </row>
    <row r="333" spans="2:5" ht="14.5">
      <c r="B333" s="85"/>
      <c r="C333" s="63" t="s">
        <v>258</v>
      </c>
      <c r="D333" s="64">
        <v>1</v>
      </c>
      <c r="E333" s="65">
        <v>1.8099547511300001E-4</v>
      </c>
    </row>
    <row r="334" spans="2:5" ht="14.5">
      <c r="B334" s="86"/>
      <c r="C334" s="36" t="s">
        <v>29</v>
      </c>
      <c r="D334" s="35">
        <v>10</v>
      </c>
      <c r="E334" s="34">
        <v>1.809954751131E-3</v>
      </c>
    </row>
    <row r="335" spans="2:5" ht="14.5">
      <c r="B335" s="84" t="s">
        <v>78</v>
      </c>
      <c r="C335" s="63" t="s">
        <v>250</v>
      </c>
      <c r="D335" s="64">
        <v>3</v>
      </c>
      <c r="E335" s="65">
        <v>5.4298642533899999E-4</v>
      </c>
    </row>
    <row r="336" spans="2:5" ht="14.5">
      <c r="B336" s="85"/>
      <c r="C336" s="63" t="s">
        <v>251</v>
      </c>
      <c r="D336" s="64">
        <v>3</v>
      </c>
      <c r="E336" s="65">
        <v>5.4298642533899999E-4</v>
      </c>
    </row>
    <row r="337" spans="2:5" ht="14.5">
      <c r="B337" s="85"/>
      <c r="C337" s="63" t="s">
        <v>252</v>
      </c>
      <c r="D337" s="64">
        <v>1</v>
      </c>
      <c r="E337" s="65">
        <v>1.8099547511300001E-4</v>
      </c>
    </row>
    <row r="338" spans="2:5" ht="14.5">
      <c r="B338" s="85"/>
      <c r="C338" s="63" t="s">
        <v>255</v>
      </c>
      <c r="D338" s="64">
        <v>14</v>
      </c>
      <c r="E338" s="65">
        <v>2.533936651584E-3</v>
      </c>
    </row>
    <row r="339" spans="2:5" ht="14.5">
      <c r="B339" s="85"/>
      <c r="C339" s="63" t="s">
        <v>257</v>
      </c>
      <c r="D339" s="64">
        <v>1</v>
      </c>
      <c r="E339" s="65">
        <v>1.8099547511300001E-4</v>
      </c>
    </row>
    <row r="340" spans="2:5" ht="14.5">
      <c r="B340" s="85"/>
      <c r="C340" s="63" t="s">
        <v>258</v>
      </c>
      <c r="D340" s="64">
        <v>8</v>
      </c>
      <c r="E340" s="65">
        <v>1.4479638009049999E-3</v>
      </c>
    </row>
    <row r="341" spans="2:5" ht="14.5">
      <c r="B341" s="85"/>
      <c r="C341" s="63" t="s">
        <v>262</v>
      </c>
      <c r="D341" s="64">
        <v>1</v>
      </c>
      <c r="E341" s="65">
        <v>1.8099547511300001E-4</v>
      </c>
    </row>
    <row r="342" spans="2:5" ht="14.5">
      <c r="B342" s="86"/>
      <c r="C342" s="36" t="s">
        <v>29</v>
      </c>
      <c r="D342" s="35">
        <v>31</v>
      </c>
      <c r="E342" s="34">
        <v>5.6108597285069997E-3</v>
      </c>
    </row>
    <row r="343" spans="2:5" ht="14.5">
      <c r="B343" s="84" t="s">
        <v>59</v>
      </c>
      <c r="C343" s="63" t="s">
        <v>249</v>
      </c>
      <c r="D343" s="64">
        <v>2</v>
      </c>
      <c r="E343" s="65">
        <v>3.6199095022600001E-4</v>
      </c>
    </row>
    <row r="344" spans="2:5" ht="14.5">
      <c r="B344" s="85"/>
      <c r="C344" s="63" t="s">
        <v>250</v>
      </c>
      <c r="D344" s="64">
        <v>12</v>
      </c>
      <c r="E344" s="65">
        <v>2.171945701357E-3</v>
      </c>
    </row>
    <row r="345" spans="2:5" ht="14.5">
      <c r="B345" s="85"/>
      <c r="C345" s="63" t="s">
        <v>251</v>
      </c>
      <c r="D345" s="64">
        <v>16</v>
      </c>
      <c r="E345" s="65">
        <v>2.8959276018099998E-3</v>
      </c>
    </row>
    <row r="346" spans="2:5" ht="14.5">
      <c r="B346" s="85"/>
      <c r="C346" s="63" t="s">
        <v>254</v>
      </c>
      <c r="D346" s="64">
        <v>6</v>
      </c>
      <c r="E346" s="65">
        <v>1.0859728506790001E-3</v>
      </c>
    </row>
    <row r="347" spans="2:5" ht="14.5">
      <c r="B347" s="85"/>
      <c r="C347" s="63" t="s">
        <v>255</v>
      </c>
      <c r="D347" s="64">
        <v>46</v>
      </c>
      <c r="E347" s="65">
        <v>8.3257918552040004E-3</v>
      </c>
    </row>
    <row r="348" spans="2:5" ht="14.5">
      <c r="B348" s="85"/>
      <c r="C348" s="63" t="s">
        <v>256</v>
      </c>
      <c r="D348" s="64">
        <v>2</v>
      </c>
      <c r="E348" s="65">
        <v>3.6199095022600001E-4</v>
      </c>
    </row>
    <row r="349" spans="2:5" ht="14.5">
      <c r="B349" s="85"/>
      <c r="C349" s="63" t="s">
        <v>257</v>
      </c>
      <c r="D349" s="64">
        <v>10</v>
      </c>
      <c r="E349" s="65">
        <v>1.809954751131E-3</v>
      </c>
    </row>
    <row r="350" spans="2:5" ht="14.5">
      <c r="B350" s="85"/>
      <c r="C350" s="63" t="s">
        <v>258</v>
      </c>
      <c r="D350" s="64">
        <v>20</v>
      </c>
      <c r="E350" s="65">
        <v>3.6199095022619999E-3</v>
      </c>
    </row>
    <row r="351" spans="2:5" ht="14.5">
      <c r="B351" s="85"/>
      <c r="C351" s="63" t="s">
        <v>260</v>
      </c>
      <c r="D351" s="64">
        <v>2</v>
      </c>
      <c r="E351" s="65">
        <v>3.6199095022600001E-4</v>
      </c>
    </row>
    <row r="352" spans="2:5" ht="14.5">
      <c r="B352" s="85"/>
      <c r="C352" s="63" t="s">
        <v>263</v>
      </c>
      <c r="D352" s="64">
        <v>1</v>
      </c>
      <c r="E352" s="65">
        <v>1.8099547511300001E-4</v>
      </c>
    </row>
    <row r="353" spans="2:5" ht="14.5">
      <c r="B353" s="85"/>
      <c r="C353" s="63" t="s">
        <v>264</v>
      </c>
      <c r="D353" s="64">
        <v>2</v>
      </c>
      <c r="E353" s="65">
        <v>3.6199095022600001E-4</v>
      </c>
    </row>
    <row r="354" spans="2:5" ht="14.5">
      <c r="B354" s="86"/>
      <c r="C354" s="36" t="s">
        <v>29</v>
      </c>
      <c r="D354" s="35">
        <v>119</v>
      </c>
      <c r="E354" s="34">
        <v>2.1538461538461999E-2</v>
      </c>
    </row>
    <row r="355" spans="2:5" ht="14.5">
      <c r="B355" s="84" t="s">
        <v>69</v>
      </c>
      <c r="C355" s="63" t="s">
        <v>245</v>
      </c>
      <c r="D355" s="64">
        <v>1</v>
      </c>
      <c r="E355" s="65">
        <v>1.8099547511300001E-4</v>
      </c>
    </row>
    <row r="356" spans="2:5" ht="14.5">
      <c r="B356" s="85"/>
      <c r="C356" s="63" t="s">
        <v>250</v>
      </c>
      <c r="D356" s="64">
        <v>3</v>
      </c>
      <c r="E356" s="65">
        <v>5.4298642533899999E-4</v>
      </c>
    </row>
    <row r="357" spans="2:5" ht="14.5">
      <c r="B357" s="85"/>
      <c r="C357" s="63" t="s">
        <v>251</v>
      </c>
      <c r="D357" s="64">
        <v>6</v>
      </c>
      <c r="E357" s="65">
        <v>1.0859728506790001E-3</v>
      </c>
    </row>
    <row r="358" spans="2:5" ht="14.5">
      <c r="B358" s="85"/>
      <c r="C358" s="63" t="s">
        <v>253</v>
      </c>
      <c r="D358" s="64">
        <v>1</v>
      </c>
      <c r="E358" s="65">
        <v>1.8099547511300001E-4</v>
      </c>
    </row>
    <row r="359" spans="2:5" ht="14.5">
      <c r="B359" s="85"/>
      <c r="C359" s="63" t="s">
        <v>254</v>
      </c>
      <c r="D359" s="64">
        <v>4</v>
      </c>
      <c r="E359" s="65">
        <v>7.2398190045200002E-4</v>
      </c>
    </row>
    <row r="360" spans="2:5" ht="14.5">
      <c r="B360" s="85"/>
      <c r="C360" s="63" t="s">
        <v>255</v>
      </c>
      <c r="D360" s="64">
        <v>19</v>
      </c>
      <c r="E360" s="65">
        <v>3.438914027149E-3</v>
      </c>
    </row>
    <row r="361" spans="2:5" ht="14.5">
      <c r="B361" s="85"/>
      <c r="C361" s="63" t="s">
        <v>256</v>
      </c>
      <c r="D361" s="64">
        <v>1</v>
      </c>
      <c r="E361" s="65">
        <v>1.8099547511300001E-4</v>
      </c>
    </row>
    <row r="362" spans="2:5" ht="14.5">
      <c r="B362" s="85"/>
      <c r="C362" s="63" t="s">
        <v>257</v>
      </c>
      <c r="D362" s="64">
        <v>2</v>
      </c>
      <c r="E362" s="65">
        <v>3.6199095022600001E-4</v>
      </c>
    </row>
    <row r="363" spans="2:5" ht="14.5">
      <c r="B363" s="85"/>
      <c r="C363" s="63" t="s">
        <v>258</v>
      </c>
      <c r="D363" s="64">
        <v>13</v>
      </c>
      <c r="E363" s="65">
        <v>2.352941176471E-3</v>
      </c>
    </row>
    <row r="364" spans="2:5" ht="14.5">
      <c r="B364" s="85"/>
      <c r="C364" s="63" t="s">
        <v>264</v>
      </c>
      <c r="D364" s="64">
        <v>1</v>
      </c>
      <c r="E364" s="65">
        <v>1.8099547511300001E-4</v>
      </c>
    </row>
    <row r="365" spans="2:5" ht="14.5">
      <c r="B365" s="86"/>
      <c r="C365" s="36" t="s">
        <v>29</v>
      </c>
      <c r="D365" s="35">
        <v>51</v>
      </c>
      <c r="E365" s="34">
        <v>9.2307692307689992E-3</v>
      </c>
    </row>
    <row r="366" spans="2:5" ht="14.5">
      <c r="B366" s="84" t="s">
        <v>71</v>
      </c>
      <c r="C366" s="63" t="s">
        <v>244</v>
      </c>
      <c r="D366" s="64">
        <v>1</v>
      </c>
      <c r="E366" s="65">
        <v>1.8099547511300001E-4</v>
      </c>
    </row>
    <row r="367" spans="2:5" ht="14.5">
      <c r="B367" s="85"/>
      <c r="C367" s="63" t="s">
        <v>249</v>
      </c>
      <c r="D367" s="64">
        <v>1</v>
      </c>
      <c r="E367" s="65">
        <v>1.8099547511300001E-4</v>
      </c>
    </row>
    <row r="368" spans="2:5" ht="14.5">
      <c r="B368" s="85"/>
      <c r="C368" s="63" t="s">
        <v>250</v>
      </c>
      <c r="D368" s="64">
        <v>3</v>
      </c>
      <c r="E368" s="65">
        <v>5.4298642533899999E-4</v>
      </c>
    </row>
    <row r="369" spans="2:5" ht="14.5">
      <c r="B369" s="85"/>
      <c r="C369" s="63" t="s">
        <v>251</v>
      </c>
      <c r="D369" s="64">
        <v>8</v>
      </c>
      <c r="E369" s="65">
        <v>1.4479638009049999E-3</v>
      </c>
    </row>
    <row r="370" spans="2:5" ht="14.5">
      <c r="B370" s="85"/>
      <c r="C370" s="63" t="s">
        <v>254</v>
      </c>
      <c r="D370" s="64">
        <v>1</v>
      </c>
      <c r="E370" s="65">
        <v>1.8099547511300001E-4</v>
      </c>
    </row>
    <row r="371" spans="2:5" ht="14.5">
      <c r="B371" s="85"/>
      <c r="C371" s="63" t="s">
        <v>255</v>
      </c>
      <c r="D371" s="64">
        <v>23</v>
      </c>
      <c r="E371" s="65">
        <v>4.1628959276020002E-3</v>
      </c>
    </row>
    <row r="372" spans="2:5" ht="14.5">
      <c r="B372" s="85"/>
      <c r="C372" s="63" t="s">
        <v>257</v>
      </c>
      <c r="D372" s="64">
        <v>3</v>
      </c>
      <c r="E372" s="65">
        <v>5.4298642533899999E-4</v>
      </c>
    </row>
    <row r="373" spans="2:5" ht="14.5">
      <c r="B373" s="85"/>
      <c r="C373" s="63" t="s">
        <v>258</v>
      </c>
      <c r="D373" s="64">
        <v>5</v>
      </c>
      <c r="E373" s="65">
        <v>9.0497737556600002E-4</v>
      </c>
    </row>
    <row r="374" spans="2:5" ht="14.5">
      <c r="B374" s="85"/>
      <c r="C374" s="63" t="s">
        <v>259</v>
      </c>
      <c r="D374" s="64">
        <v>1</v>
      </c>
      <c r="E374" s="65">
        <v>1.8099547511300001E-4</v>
      </c>
    </row>
    <row r="375" spans="2:5" ht="14.5">
      <c r="B375" s="85"/>
      <c r="C375" s="63" t="s">
        <v>264</v>
      </c>
      <c r="D375" s="64">
        <v>2</v>
      </c>
      <c r="E375" s="65">
        <v>3.6199095022600001E-4</v>
      </c>
    </row>
    <row r="376" spans="2:5" ht="14.5">
      <c r="B376" s="86"/>
      <c r="C376" s="36" t="s">
        <v>29</v>
      </c>
      <c r="D376" s="35">
        <v>48</v>
      </c>
      <c r="E376" s="34">
        <v>8.6877828054300003E-3</v>
      </c>
    </row>
    <row r="377" spans="2:5" ht="14.5">
      <c r="B377" s="84" t="s">
        <v>55</v>
      </c>
      <c r="C377" s="63" t="s">
        <v>244</v>
      </c>
      <c r="D377" s="64">
        <v>2</v>
      </c>
      <c r="E377" s="65">
        <v>3.6199095022600001E-4</v>
      </c>
    </row>
    <row r="378" spans="2:5" ht="14.5">
      <c r="B378" s="85"/>
      <c r="C378" s="63" t="s">
        <v>246</v>
      </c>
      <c r="D378" s="64">
        <v>1</v>
      </c>
      <c r="E378" s="65">
        <v>1.8099547511300001E-4</v>
      </c>
    </row>
    <row r="379" spans="2:5" ht="14.5">
      <c r="B379" s="85"/>
      <c r="C379" s="63" t="s">
        <v>247</v>
      </c>
      <c r="D379" s="64">
        <v>2</v>
      </c>
      <c r="E379" s="65">
        <v>3.6199095022600001E-4</v>
      </c>
    </row>
    <row r="380" spans="2:5" ht="14.5">
      <c r="B380" s="85"/>
      <c r="C380" s="63" t="s">
        <v>248</v>
      </c>
      <c r="D380" s="64">
        <v>1</v>
      </c>
      <c r="E380" s="65">
        <v>1.8099547511300001E-4</v>
      </c>
    </row>
    <row r="381" spans="2:5" ht="14.5">
      <c r="B381" s="85"/>
      <c r="C381" s="63" t="s">
        <v>249</v>
      </c>
      <c r="D381" s="64">
        <v>1</v>
      </c>
      <c r="E381" s="65">
        <v>1.8099547511300001E-4</v>
      </c>
    </row>
    <row r="382" spans="2:5" ht="14.5">
      <c r="B382" s="85"/>
      <c r="C382" s="63" t="s">
        <v>250</v>
      </c>
      <c r="D382" s="64">
        <v>7</v>
      </c>
      <c r="E382" s="65">
        <v>1.266968325792E-3</v>
      </c>
    </row>
    <row r="383" spans="2:5" ht="14.5">
      <c r="B383" s="85"/>
      <c r="C383" s="63" t="s">
        <v>251</v>
      </c>
      <c r="D383" s="64">
        <v>22</v>
      </c>
      <c r="E383" s="65">
        <v>3.9819004524890003E-3</v>
      </c>
    </row>
    <row r="384" spans="2:5" ht="14.5">
      <c r="B384" s="85"/>
      <c r="C384" s="63" t="s">
        <v>252</v>
      </c>
      <c r="D384" s="64">
        <v>2</v>
      </c>
      <c r="E384" s="65">
        <v>3.6199095022600001E-4</v>
      </c>
    </row>
    <row r="385" spans="2:5" ht="14.5">
      <c r="B385" s="85"/>
      <c r="C385" s="63" t="s">
        <v>253</v>
      </c>
      <c r="D385" s="64">
        <v>3</v>
      </c>
      <c r="E385" s="65">
        <v>5.4298642533899999E-4</v>
      </c>
    </row>
    <row r="386" spans="2:5" ht="14.5">
      <c r="B386" s="85"/>
      <c r="C386" s="63" t="s">
        <v>254</v>
      </c>
      <c r="D386" s="64">
        <v>11</v>
      </c>
      <c r="E386" s="65">
        <v>1.9909502262440001E-3</v>
      </c>
    </row>
    <row r="387" spans="2:5" ht="14.5">
      <c r="B387" s="85"/>
      <c r="C387" s="63" t="s">
        <v>255</v>
      </c>
      <c r="D387" s="64">
        <v>60</v>
      </c>
      <c r="E387" s="65">
        <v>1.0859728506787E-2</v>
      </c>
    </row>
    <row r="388" spans="2:5" ht="14.5">
      <c r="B388" s="85"/>
      <c r="C388" s="63" t="s">
        <v>256</v>
      </c>
      <c r="D388" s="64">
        <v>3</v>
      </c>
      <c r="E388" s="65">
        <v>5.4298642533899999E-4</v>
      </c>
    </row>
    <row r="389" spans="2:5" ht="14.5">
      <c r="B389" s="85"/>
      <c r="C389" s="63" t="s">
        <v>257</v>
      </c>
      <c r="D389" s="64">
        <v>7</v>
      </c>
      <c r="E389" s="65">
        <v>1.266968325792E-3</v>
      </c>
    </row>
    <row r="390" spans="2:5" ht="14.5">
      <c r="B390" s="85"/>
      <c r="C390" s="63" t="s">
        <v>258</v>
      </c>
      <c r="D390" s="64">
        <v>24</v>
      </c>
      <c r="E390" s="65">
        <v>4.3438914027150001E-3</v>
      </c>
    </row>
    <row r="391" spans="2:5" ht="14.5">
      <c r="B391" s="85"/>
      <c r="C391" s="63" t="s">
        <v>259</v>
      </c>
      <c r="D391" s="64">
        <v>1</v>
      </c>
      <c r="E391" s="65">
        <v>1.8099547511300001E-4</v>
      </c>
    </row>
    <row r="392" spans="2:5" ht="14.5">
      <c r="B392" s="85"/>
      <c r="C392" s="63" t="s">
        <v>260</v>
      </c>
      <c r="D392" s="64">
        <v>2</v>
      </c>
      <c r="E392" s="65">
        <v>3.6199095022600001E-4</v>
      </c>
    </row>
    <row r="393" spans="2:5" ht="14.5">
      <c r="B393" s="85"/>
      <c r="C393" s="63" t="s">
        <v>263</v>
      </c>
      <c r="D393" s="64">
        <v>2</v>
      </c>
      <c r="E393" s="65">
        <v>3.6199095022600001E-4</v>
      </c>
    </row>
    <row r="394" spans="2:5" ht="14.5">
      <c r="B394" s="85"/>
      <c r="C394" s="63" t="s">
        <v>264</v>
      </c>
      <c r="D394" s="64">
        <v>1</v>
      </c>
      <c r="E394" s="65">
        <v>1.8099547511300001E-4</v>
      </c>
    </row>
    <row r="395" spans="2:5" ht="14.5">
      <c r="B395" s="85"/>
      <c r="C395" s="63" t="s">
        <v>267</v>
      </c>
      <c r="D395" s="64">
        <v>1</v>
      </c>
      <c r="E395" s="65">
        <v>1.8099547511300001E-4</v>
      </c>
    </row>
    <row r="396" spans="2:5" ht="14.5">
      <c r="B396" s="86"/>
      <c r="C396" s="36" t="s">
        <v>29</v>
      </c>
      <c r="D396" s="35">
        <v>153</v>
      </c>
      <c r="E396" s="34">
        <v>2.7692307692307998E-2</v>
      </c>
    </row>
    <row r="397" spans="2:5" ht="14.5">
      <c r="B397" s="84" t="s">
        <v>67</v>
      </c>
      <c r="C397" s="63" t="s">
        <v>245</v>
      </c>
      <c r="D397" s="64">
        <v>1</v>
      </c>
      <c r="E397" s="65">
        <v>1.8099547511300001E-4</v>
      </c>
    </row>
    <row r="398" spans="2:5" ht="14.5">
      <c r="B398" s="85"/>
      <c r="C398" s="63" t="s">
        <v>247</v>
      </c>
      <c r="D398" s="64">
        <v>2</v>
      </c>
      <c r="E398" s="65">
        <v>3.6199095022600001E-4</v>
      </c>
    </row>
    <row r="399" spans="2:5" ht="14.5">
      <c r="B399" s="85"/>
      <c r="C399" s="63" t="s">
        <v>250</v>
      </c>
      <c r="D399" s="64">
        <v>3</v>
      </c>
      <c r="E399" s="65">
        <v>5.4298642533899999E-4</v>
      </c>
    </row>
    <row r="400" spans="2:5" ht="14.5">
      <c r="B400" s="85"/>
      <c r="C400" s="63" t="s">
        <v>251</v>
      </c>
      <c r="D400" s="64">
        <v>9</v>
      </c>
      <c r="E400" s="65">
        <v>1.628959276018E-3</v>
      </c>
    </row>
    <row r="401" spans="2:5" ht="14.5">
      <c r="B401" s="85"/>
      <c r="C401" s="63" t="s">
        <v>254</v>
      </c>
      <c r="D401" s="64">
        <v>3</v>
      </c>
      <c r="E401" s="65">
        <v>5.4298642533899999E-4</v>
      </c>
    </row>
    <row r="402" spans="2:5" ht="14.5">
      <c r="B402" s="85"/>
      <c r="C402" s="63" t="s">
        <v>255</v>
      </c>
      <c r="D402" s="64">
        <v>20</v>
      </c>
      <c r="E402" s="65">
        <v>3.6199095022619999E-3</v>
      </c>
    </row>
    <row r="403" spans="2:5" ht="14.5">
      <c r="B403" s="85"/>
      <c r="C403" s="63" t="s">
        <v>256</v>
      </c>
      <c r="D403" s="64">
        <v>1</v>
      </c>
      <c r="E403" s="65">
        <v>1.8099547511300001E-4</v>
      </c>
    </row>
    <row r="404" spans="2:5" ht="14.5">
      <c r="B404" s="85"/>
      <c r="C404" s="63" t="s">
        <v>257</v>
      </c>
      <c r="D404" s="64">
        <v>1</v>
      </c>
      <c r="E404" s="65">
        <v>1.8099547511300001E-4</v>
      </c>
    </row>
    <row r="405" spans="2:5" ht="14.5">
      <c r="B405" s="85"/>
      <c r="C405" s="63" t="s">
        <v>258</v>
      </c>
      <c r="D405" s="64">
        <v>12</v>
      </c>
      <c r="E405" s="65">
        <v>2.171945701357E-3</v>
      </c>
    </row>
    <row r="406" spans="2:5" ht="14.5">
      <c r="B406" s="85"/>
      <c r="C406" s="63" t="s">
        <v>264</v>
      </c>
      <c r="D406" s="64">
        <v>2</v>
      </c>
      <c r="E406" s="65">
        <v>3.6199095022600001E-4</v>
      </c>
    </row>
    <row r="407" spans="2:5" ht="14.5">
      <c r="B407" s="86"/>
      <c r="C407" s="36" t="s">
        <v>29</v>
      </c>
      <c r="D407" s="35">
        <v>54</v>
      </c>
      <c r="E407" s="34">
        <v>9.7737556561090008E-3</v>
      </c>
    </row>
    <row r="408" spans="2:5" ht="14.5">
      <c r="B408" s="84" t="s">
        <v>65</v>
      </c>
      <c r="C408" s="63" t="s">
        <v>249</v>
      </c>
      <c r="D408" s="64">
        <v>2</v>
      </c>
      <c r="E408" s="65">
        <v>3.6199095022600001E-4</v>
      </c>
    </row>
    <row r="409" spans="2:5" ht="14.5">
      <c r="B409" s="85"/>
      <c r="C409" s="63" t="s">
        <v>251</v>
      </c>
      <c r="D409" s="64">
        <v>11</v>
      </c>
      <c r="E409" s="65">
        <v>1.9909502262440001E-3</v>
      </c>
    </row>
    <row r="410" spans="2:5" ht="14.5">
      <c r="B410" s="85"/>
      <c r="C410" s="63" t="s">
        <v>255</v>
      </c>
      <c r="D410" s="64">
        <v>29</v>
      </c>
      <c r="E410" s="65">
        <v>5.2488687782809998E-3</v>
      </c>
    </row>
    <row r="411" spans="2:5" ht="14.5">
      <c r="B411" s="85"/>
      <c r="C411" s="63" t="s">
        <v>256</v>
      </c>
      <c r="D411" s="64">
        <v>3</v>
      </c>
      <c r="E411" s="65">
        <v>5.4298642533899999E-4</v>
      </c>
    </row>
    <row r="412" spans="2:5" ht="14.5">
      <c r="B412" s="85"/>
      <c r="C412" s="63" t="s">
        <v>257</v>
      </c>
      <c r="D412" s="64">
        <v>1</v>
      </c>
      <c r="E412" s="65">
        <v>1.8099547511300001E-4</v>
      </c>
    </row>
    <row r="413" spans="2:5" ht="14.5">
      <c r="B413" s="85"/>
      <c r="C413" s="63" t="s">
        <v>258</v>
      </c>
      <c r="D413" s="64">
        <v>12</v>
      </c>
      <c r="E413" s="65">
        <v>2.171945701357E-3</v>
      </c>
    </row>
    <row r="414" spans="2:5" ht="14.5">
      <c r="B414" s="85"/>
      <c r="C414" s="63" t="s">
        <v>263</v>
      </c>
      <c r="D414" s="64">
        <v>2</v>
      </c>
      <c r="E414" s="65">
        <v>3.6199095022600001E-4</v>
      </c>
    </row>
    <row r="415" spans="2:5" ht="14.5">
      <c r="B415" s="85"/>
      <c r="C415" s="63" t="s">
        <v>264</v>
      </c>
      <c r="D415" s="64">
        <v>2</v>
      </c>
      <c r="E415" s="65">
        <v>3.6199095022600001E-4</v>
      </c>
    </row>
    <row r="416" spans="2:5" ht="14.5">
      <c r="B416" s="86"/>
      <c r="C416" s="36" t="s">
        <v>29</v>
      </c>
      <c r="D416" s="35">
        <v>62</v>
      </c>
      <c r="E416" s="34">
        <v>1.1221719457013999E-2</v>
      </c>
    </row>
    <row r="417" spans="2:5" ht="14.5">
      <c r="B417" s="84" t="s">
        <v>56</v>
      </c>
      <c r="C417" s="63" t="s">
        <v>247</v>
      </c>
      <c r="D417" s="64">
        <v>1</v>
      </c>
      <c r="E417" s="65">
        <v>1.8099547511300001E-4</v>
      </c>
    </row>
    <row r="418" spans="2:5" ht="14.5">
      <c r="B418" s="85"/>
      <c r="C418" s="63" t="s">
        <v>248</v>
      </c>
      <c r="D418" s="64">
        <v>2</v>
      </c>
      <c r="E418" s="65">
        <v>3.6199095022600001E-4</v>
      </c>
    </row>
    <row r="419" spans="2:5" ht="14.5">
      <c r="B419" s="85"/>
      <c r="C419" s="63" t="s">
        <v>250</v>
      </c>
      <c r="D419" s="64">
        <v>11</v>
      </c>
      <c r="E419" s="65">
        <v>1.9909502262440001E-3</v>
      </c>
    </row>
    <row r="420" spans="2:5" ht="14.5">
      <c r="B420" s="85"/>
      <c r="C420" s="63" t="s">
        <v>251</v>
      </c>
      <c r="D420" s="64">
        <v>23</v>
      </c>
      <c r="E420" s="65">
        <v>4.1628959276020002E-3</v>
      </c>
    </row>
    <row r="421" spans="2:5" ht="14.5">
      <c r="B421" s="85"/>
      <c r="C421" s="63" t="s">
        <v>252</v>
      </c>
      <c r="D421" s="64">
        <v>1</v>
      </c>
      <c r="E421" s="65">
        <v>1.8099547511300001E-4</v>
      </c>
    </row>
    <row r="422" spans="2:5" ht="14.5">
      <c r="B422" s="85"/>
      <c r="C422" s="63" t="s">
        <v>253</v>
      </c>
      <c r="D422" s="64">
        <v>2</v>
      </c>
      <c r="E422" s="65">
        <v>3.6199095022600001E-4</v>
      </c>
    </row>
    <row r="423" spans="2:5" ht="14.5">
      <c r="B423" s="85"/>
      <c r="C423" s="63" t="s">
        <v>254</v>
      </c>
      <c r="D423" s="64">
        <v>7</v>
      </c>
      <c r="E423" s="65">
        <v>1.266968325792E-3</v>
      </c>
    </row>
    <row r="424" spans="2:5" ht="14.5">
      <c r="B424" s="85"/>
      <c r="C424" s="63" t="s">
        <v>255</v>
      </c>
      <c r="D424" s="64">
        <v>60</v>
      </c>
      <c r="E424" s="65">
        <v>1.0859728506787E-2</v>
      </c>
    </row>
    <row r="425" spans="2:5" ht="14.5">
      <c r="B425" s="85"/>
      <c r="C425" s="63" t="s">
        <v>256</v>
      </c>
      <c r="D425" s="64">
        <v>2</v>
      </c>
      <c r="E425" s="65">
        <v>3.6199095022600001E-4</v>
      </c>
    </row>
    <row r="426" spans="2:5" ht="14.5">
      <c r="B426" s="85"/>
      <c r="C426" s="63" t="s">
        <v>257</v>
      </c>
      <c r="D426" s="64">
        <v>7</v>
      </c>
      <c r="E426" s="65">
        <v>1.266968325792E-3</v>
      </c>
    </row>
    <row r="427" spans="2:5" ht="14.5">
      <c r="B427" s="85"/>
      <c r="C427" s="63" t="s">
        <v>258</v>
      </c>
      <c r="D427" s="64">
        <v>23</v>
      </c>
      <c r="E427" s="65">
        <v>4.1628959276020002E-3</v>
      </c>
    </row>
    <row r="428" spans="2:5" ht="14.5">
      <c r="B428" s="85"/>
      <c r="C428" s="63" t="s">
        <v>260</v>
      </c>
      <c r="D428" s="64">
        <v>1</v>
      </c>
      <c r="E428" s="65">
        <v>1.8099547511300001E-4</v>
      </c>
    </row>
    <row r="429" spans="2:5" ht="14.5">
      <c r="B429" s="85"/>
      <c r="C429" s="63" t="s">
        <v>263</v>
      </c>
      <c r="D429" s="64">
        <v>2</v>
      </c>
      <c r="E429" s="65">
        <v>3.6199095022600001E-4</v>
      </c>
    </row>
    <row r="430" spans="2:5" ht="14.5">
      <c r="B430" s="85"/>
      <c r="C430" s="63" t="s">
        <v>264</v>
      </c>
      <c r="D430" s="64">
        <v>7</v>
      </c>
      <c r="E430" s="65">
        <v>1.266968325792E-3</v>
      </c>
    </row>
    <row r="431" spans="2:5" ht="14.5">
      <c r="B431" s="86"/>
      <c r="C431" s="36" t="s">
        <v>29</v>
      </c>
      <c r="D431" s="35">
        <v>149</v>
      </c>
      <c r="E431" s="34">
        <v>2.6968325791855E-2</v>
      </c>
    </row>
    <row r="432" spans="2:5" ht="14.5">
      <c r="B432" s="84" t="s">
        <v>84</v>
      </c>
      <c r="C432" s="63" t="s">
        <v>250</v>
      </c>
      <c r="D432" s="64">
        <v>2</v>
      </c>
      <c r="E432" s="65">
        <v>3.6199095022600001E-4</v>
      </c>
    </row>
    <row r="433" spans="2:5" ht="14.5">
      <c r="B433" s="85"/>
      <c r="C433" s="63" t="s">
        <v>251</v>
      </c>
      <c r="D433" s="64">
        <v>5</v>
      </c>
      <c r="E433" s="65">
        <v>9.0497737556600002E-4</v>
      </c>
    </row>
    <row r="434" spans="2:5" ht="14.5">
      <c r="B434" s="85"/>
      <c r="C434" s="63" t="s">
        <v>253</v>
      </c>
      <c r="D434" s="64">
        <v>2</v>
      </c>
      <c r="E434" s="65">
        <v>3.6199095022600001E-4</v>
      </c>
    </row>
    <row r="435" spans="2:5" ht="14.5">
      <c r="B435" s="85"/>
      <c r="C435" s="63" t="s">
        <v>254</v>
      </c>
      <c r="D435" s="64">
        <v>1</v>
      </c>
      <c r="E435" s="65">
        <v>1.8099547511300001E-4</v>
      </c>
    </row>
    <row r="436" spans="2:5" ht="14.5">
      <c r="B436" s="85"/>
      <c r="C436" s="63" t="s">
        <v>255</v>
      </c>
      <c r="D436" s="64">
        <v>3</v>
      </c>
      <c r="E436" s="65">
        <v>5.4298642533899999E-4</v>
      </c>
    </row>
    <row r="437" spans="2:5" ht="14.5">
      <c r="B437" s="85"/>
      <c r="C437" s="63" t="s">
        <v>258</v>
      </c>
      <c r="D437" s="64">
        <v>5</v>
      </c>
      <c r="E437" s="65">
        <v>9.0497737556600002E-4</v>
      </c>
    </row>
    <row r="438" spans="2:5" ht="14.5">
      <c r="B438" s="85"/>
      <c r="C438" s="63" t="s">
        <v>264</v>
      </c>
      <c r="D438" s="64">
        <v>1</v>
      </c>
      <c r="E438" s="65">
        <v>1.8099547511300001E-4</v>
      </c>
    </row>
    <row r="439" spans="2:5" ht="14.5">
      <c r="B439" s="86"/>
      <c r="C439" s="36" t="s">
        <v>29</v>
      </c>
      <c r="D439" s="35">
        <v>19</v>
      </c>
      <c r="E439" s="34">
        <v>3.438914027149E-3</v>
      </c>
    </row>
    <row r="440" spans="2:5" ht="14.5">
      <c r="B440" s="84" t="s">
        <v>63</v>
      </c>
      <c r="C440" s="63" t="s">
        <v>248</v>
      </c>
      <c r="D440" s="64">
        <v>1</v>
      </c>
      <c r="E440" s="65">
        <v>1.8099547511300001E-4</v>
      </c>
    </row>
    <row r="441" spans="2:5" ht="14.5">
      <c r="B441" s="85"/>
      <c r="C441" s="63" t="s">
        <v>249</v>
      </c>
      <c r="D441" s="64">
        <v>1</v>
      </c>
      <c r="E441" s="65">
        <v>1.8099547511300001E-4</v>
      </c>
    </row>
    <row r="442" spans="2:5" ht="14.5">
      <c r="B442" s="85"/>
      <c r="C442" s="63" t="s">
        <v>250</v>
      </c>
      <c r="D442" s="64">
        <v>3</v>
      </c>
      <c r="E442" s="65">
        <v>5.4298642533899999E-4</v>
      </c>
    </row>
    <row r="443" spans="2:5" ht="14.5">
      <c r="B443" s="85"/>
      <c r="C443" s="63" t="s">
        <v>251</v>
      </c>
      <c r="D443" s="64">
        <v>5</v>
      </c>
      <c r="E443" s="65">
        <v>9.0497737556600002E-4</v>
      </c>
    </row>
    <row r="444" spans="2:5" ht="14.5">
      <c r="B444" s="85"/>
      <c r="C444" s="63" t="s">
        <v>253</v>
      </c>
      <c r="D444" s="64">
        <v>1</v>
      </c>
      <c r="E444" s="65">
        <v>1.8099547511300001E-4</v>
      </c>
    </row>
    <row r="445" spans="2:5" ht="14.5">
      <c r="B445" s="85"/>
      <c r="C445" s="63" t="s">
        <v>254</v>
      </c>
      <c r="D445" s="64">
        <v>5</v>
      </c>
      <c r="E445" s="65">
        <v>9.0497737556600002E-4</v>
      </c>
    </row>
    <row r="446" spans="2:5" ht="14.5">
      <c r="B446" s="85"/>
      <c r="C446" s="63" t="s">
        <v>255</v>
      </c>
      <c r="D446" s="64">
        <v>21</v>
      </c>
      <c r="E446" s="65">
        <v>3.8009049773759999E-3</v>
      </c>
    </row>
    <row r="447" spans="2:5" ht="14.5">
      <c r="B447" s="85"/>
      <c r="C447" s="63" t="s">
        <v>256</v>
      </c>
      <c r="D447" s="64">
        <v>1</v>
      </c>
      <c r="E447" s="65">
        <v>1.8099547511300001E-4</v>
      </c>
    </row>
    <row r="448" spans="2:5" ht="14.5">
      <c r="B448" s="85"/>
      <c r="C448" s="63" t="s">
        <v>257</v>
      </c>
      <c r="D448" s="64">
        <v>6</v>
      </c>
      <c r="E448" s="65">
        <v>1.0859728506790001E-3</v>
      </c>
    </row>
    <row r="449" spans="2:5" ht="14.5">
      <c r="B449" s="85"/>
      <c r="C449" s="63" t="s">
        <v>258</v>
      </c>
      <c r="D449" s="64">
        <v>20</v>
      </c>
      <c r="E449" s="65">
        <v>3.6199095022619999E-3</v>
      </c>
    </row>
    <row r="450" spans="2:5" ht="14.5">
      <c r="B450" s="85"/>
      <c r="C450" s="63" t="s">
        <v>259</v>
      </c>
      <c r="D450" s="64">
        <v>1</v>
      </c>
      <c r="E450" s="65">
        <v>1.8099547511300001E-4</v>
      </c>
    </row>
    <row r="451" spans="2:5" ht="14.5">
      <c r="B451" s="85"/>
      <c r="C451" s="63" t="s">
        <v>262</v>
      </c>
      <c r="D451" s="64">
        <v>1</v>
      </c>
      <c r="E451" s="65">
        <v>1.8099547511300001E-4</v>
      </c>
    </row>
    <row r="452" spans="2:5" ht="14.5">
      <c r="B452" s="86"/>
      <c r="C452" s="36" t="s">
        <v>29</v>
      </c>
      <c r="D452" s="35">
        <v>66</v>
      </c>
      <c r="E452" s="34">
        <v>1.1945701357466001E-2</v>
      </c>
    </row>
    <row r="453" spans="2:5" ht="14.5">
      <c r="B453" s="84" t="s">
        <v>62</v>
      </c>
      <c r="C453" s="63" t="s">
        <v>244</v>
      </c>
      <c r="D453" s="64">
        <v>3</v>
      </c>
      <c r="E453" s="65">
        <v>5.4298642533899999E-4</v>
      </c>
    </row>
    <row r="454" spans="2:5" ht="14.5">
      <c r="B454" s="85"/>
      <c r="C454" s="63" t="s">
        <v>245</v>
      </c>
      <c r="D454" s="64">
        <v>1</v>
      </c>
      <c r="E454" s="65">
        <v>1.8099547511300001E-4</v>
      </c>
    </row>
    <row r="455" spans="2:5" ht="14.5">
      <c r="B455" s="85"/>
      <c r="C455" s="63" t="s">
        <v>246</v>
      </c>
      <c r="D455" s="64">
        <v>1</v>
      </c>
      <c r="E455" s="65">
        <v>1.8099547511300001E-4</v>
      </c>
    </row>
    <row r="456" spans="2:5" ht="14.5">
      <c r="B456" s="85"/>
      <c r="C456" s="63" t="s">
        <v>247</v>
      </c>
      <c r="D456" s="64">
        <v>1</v>
      </c>
      <c r="E456" s="65">
        <v>1.8099547511300001E-4</v>
      </c>
    </row>
    <row r="457" spans="2:5" ht="14.5">
      <c r="B457" s="85"/>
      <c r="C457" s="63" t="s">
        <v>250</v>
      </c>
      <c r="D457" s="64">
        <v>4</v>
      </c>
      <c r="E457" s="65">
        <v>7.2398190045200002E-4</v>
      </c>
    </row>
    <row r="458" spans="2:5" ht="14.5">
      <c r="B458" s="85"/>
      <c r="C458" s="63" t="s">
        <v>251</v>
      </c>
      <c r="D458" s="64">
        <v>11</v>
      </c>
      <c r="E458" s="65">
        <v>1.9909502262440001E-3</v>
      </c>
    </row>
    <row r="459" spans="2:5" ht="14.5">
      <c r="B459" s="85"/>
      <c r="C459" s="63" t="s">
        <v>254</v>
      </c>
      <c r="D459" s="64">
        <v>3</v>
      </c>
      <c r="E459" s="65">
        <v>5.4298642533899999E-4</v>
      </c>
    </row>
    <row r="460" spans="2:5" ht="14.5">
      <c r="B460" s="85"/>
      <c r="C460" s="63" t="s">
        <v>255</v>
      </c>
      <c r="D460" s="64">
        <v>25</v>
      </c>
      <c r="E460" s="65">
        <v>4.5248868778280001E-3</v>
      </c>
    </row>
    <row r="461" spans="2:5" ht="14.5">
      <c r="B461" s="85"/>
      <c r="C461" s="63" t="s">
        <v>256</v>
      </c>
      <c r="D461" s="64">
        <v>1</v>
      </c>
      <c r="E461" s="65">
        <v>1.8099547511300001E-4</v>
      </c>
    </row>
    <row r="462" spans="2:5" ht="14.5">
      <c r="B462" s="85"/>
      <c r="C462" s="63" t="s">
        <v>257</v>
      </c>
      <c r="D462" s="64">
        <v>2</v>
      </c>
      <c r="E462" s="65">
        <v>3.6199095022600001E-4</v>
      </c>
    </row>
    <row r="463" spans="2:5" ht="14.5">
      <c r="B463" s="85"/>
      <c r="C463" s="63" t="s">
        <v>258</v>
      </c>
      <c r="D463" s="64">
        <v>15</v>
      </c>
      <c r="E463" s="65">
        <v>2.7149321266969999E-3</v>
      </c>
    </row>
    <row r="464" spans="2:5" ht="14.5">
      <c r="B464" s="85"/>
      <c r="C464" s="63" t="s">
        <v>262</v>
      </c>
      <c r="D464" s="64">
        <v>1</v>
      </c>
      <c r="E464" s="65">
        <v>1.8099547511300001E-4</v>
      </c>
    </row>
    <row r="465" spans="2:5" ht="14.5">
      <c r="B465" s="85"/>
      <c r="C465" s="63" t="s">
        <v>263</v>
      </c>
      <c r="D465" s="64">
        <v>1</v>
      </c>
      <c r="E465" s="65">
        <v>1.8099547511300001E-4</v>
      </c>
    </row>
    <row r="466" spans="2:5" ht="14.5">
      <c r="B466" s="85"/>
      <c r="C466" s="63" t="s">
        <v>264</v>
      </c>
      <c r="D466" s="64">
        <v>2</v>
      </c>
      <c r="E466" s="65">
        <v>3.6199095022600001E-4</v>
      </c>
    </row>
    <row r="467" spans="2:5" ht="14.5">
      <c r="B467" s="86"/>
      <c r="C467" s="36" t="s">
        <v>29</v>
      </c>
      <c r="D467" s="35">
        <v>71</v>
      </c>
      <c r="E467" s="34">
        <v>1.2850678733032E-2</v>
      </c>
    </row>
    <row r="468" spans="2:5" ht="14.5">
      <c r="B468" s="84" t="s">
        <v>61</v>
      </c>
      <c r="C468" s="63" t="s">
        <v>245</v>
      </c>
      <c r="D468" s="64">
        <v>1</v>
      </c>
      <c r="E468" s="65">
        <v>1.8099547511300001E-4</v>
      </c>
    </row>
    <row r="469" spans="2:5" ht="14.5">
      <c r="B469" s="85"/>
      <c r="C469" s="63" t="s">
        <v>248</v>
      </c>
      <c r="D469" s="64">
        <v>1</v>
      </c>
      <c r="E469" s="65">
        <v>1.8099547511300001E-4</v>
      </c>
    </row>
    <row r="470" spans="2:5" ht="14.5">
      <c r="B470" s="85"/>
      <c r="C470" s="63" t="s">
        <v>250</v>
      </c>
      <c r="D470" s="64">
        <v>8</v>
      </c>
      <c r="E470" s="65">
        <v>1.4479638009049999E-3</v>
      </c>
    </row>
    <row r="471" spans="2:5" ht="14.5">
      <c r="B471" s="85"/>
      <c r="C471" s="63" t="s">
        <v>251</v>
      </c>
      <c r="D471" s="64">
        <v>11</v>
      </c>
      <c r="E471" s="65">
        <v>1.9909502262440001E-3</v>
      </c>
    </row>
    <row r="472" spans="2:5" ht="14.5">
      <c r="B472" s="85"/>
      <c r="C472" s="63" t="s">
        <v>253</v>
      </c>
      <c r="D472" s="64">
        <v>1</v>
      </c>
      <c r="E472" s="65">
        <v>1.8099547511300001E-4</v>
      </c>
    </row>
    <row r="473" spans="2:5" ht="14.5">
      <c r="B473" s="85"/>
      <c r="C473" s="63" t="s">
        <v>254</v>
      </c>
      <c r="D473" s="64">
        <v>5</v>
      </c>
      <c r="E473" s="65">
        <v>9.0497737556600002E-4</v>
      </c>
    </row>
    <row r="474" spans="2:5" ht="14.5">
      <c r="B474" s="85"/>
      <c r="C474" s="63" t="s">
        <v>255</v>
      </c>
      <c r="D474" s="64">
        <v>20</v>
      </c>
      <c r="E474" s="65">
        <v>3.6199095022619999E-3</v>
      </c>
    </row>
    <row r="475" spans="2:5" ht="14.5">
      <c r="B475" s="85"/>
      <c r="C475" s="63" t="s">
        <v>256</v>
      </c>
      <c r="D475" s="64">
        <v>1</v>
      </c>
      <c r="E475" s="65">
        <v>1.8099547511300001E-4</v>
      </c>
    </row>
    <row r="476" spans="2:5" ht="14.5">
      <c r="B476" s="85"/>
      <c r="C476" s="63" t="s">
        <v>257</v>
      </c>
      <c r="D476" s="64">
        <v>4</v>
      </c>
      <c r="E476" s="65">
        <v>7.2398190045200002E-4</v>
      </c>
    </row>
    <row r="477" spans="2:5" ht="14.5">
      <c r="B477" s="85"/>
      <c r="C477" s="63" t="s">
        <v>258</v>
      </c>
      <c r="D477" s="64">
        <v>18</v>
      </c>
      <c r="E477" s="65">
        <v>3.2579185520360001E-3</v>
      </c>
    </row>
    <row r="478" spans="2:5" ht="14.5">
      <c r="B478" s="85"/>
      <c r="C478" s="63" t="s">
        <v>260</v>
      </c>
      <c r="D478" s="64">
        <v>2</v>
      </c>
      <c r="E478" s="65">
        <v>3.6199095022600001E-4</v>
      </c>
    </row>
    <row r="479" spans="2:5" ht="14.5">
      <c r="B479" s="86"/>
      <c r="C479" s="36" t="s">
        <v>29</v>
      </c>
      <c r="D479" s="35">
        <v>72</v>
      </c>
      <c r="E479" s="34">
        <v>1.3031674208145E-2</v>
      </c>
    </row>
    <row r="480" spans="2:5" ht="14.5">
      <c r="B480" s="84" t="s">
        <v>68</v>
      </c>
      <c r="C480" s="63" t="s">
        <v>250</v>
      </c>
      <c r="D480" s="64">
        <v>6</v>
      </c>
      <c r="E480" s="65">
        <v>1.0859728506790001E-3</v>
      </c>
    </row>
    <row r="481" spans="2:5" ht="14.5">
      <c r="B481" s="85"/>
      <c r="C481" s="63" t="s">
        <v>251</v>
      </c>
      <c r="D481" s="64">
        <v>4</v>
      </c>
      <c r="E481" s="65">
        <v>7.2398190045200002E-4</v>
      </c>
    </row>
    <row r="482" spans="2:5" ht="14.5">
      <c r="B482" s="85"/>
      <c r="C482" s="63" t="s">
        <v>253</v>
      </c>
      <c r="D482" s="64">
        <v>1</v>
      </c>
      <c r="E482" s="65">
        <v>1.8099547511300001E-4</v>
      </c>
    </row>
    <row r="483" spans="2:5" ht="14.5">
      <c r="B483" s="85"/>
      <c r="C483" s="63" t="s">
        <v>254</v>
      </c>
      <c r="D483" s="64">
        <v>3</v>
      </c>
      <c r="E483" s="65">
        <v>5.4298642533899999E-4</v>
      </c>
    </row>
    <row r="484" spans="2:5" ht="14.5">
      <c r="B484" s="85"/>
      <c r="C484" s="63" t="s">
        <v>255</v>
      </c>
      <c r="D484" s="64">
        <v>28</v>
      </c>
      <c r="E484" s="65">
        <v>5.0678733031669998E-3</v>
      </c>
    </row>
    <row r="485" spans="2:5" ht="14.5">
      <c r="B485" s="85"/>
      <c r="C485" s="63" t="s">
        <v>257</v>
      </c>
      <c r="D485" s="64">
        <v>2</v>
      </c>
      <c r="E485" s="65">
        <v>3.6199095022600001E-4</v>
      </c>
    </row>
    <row r="486" spans="2:5" ht="14.5">
      <c r="B486" s="85"/>
      <c r="C486" s="63" t="s">
        <v>258</v>
      </c>
      <c r="D486" s="64">
        <v>7</v>
      </c>
      <c r="E486" s="65">
        <v>1.266968325792E-3</v>
      </c>
    </row>
    <row r="487" spans="2:5" ht="14.5">
      <c r="B487" s="85"/>
      <c r="C487" s="63" t="s">
        <v>260</v>
      </c>
      <c r="D487" s="64">
        <v>1</v>
      </c>
      <c r="E487" s="65">
        <v>1.8099547511300001E-4</v>
      </c>
    </row>
    <row r="488" spans="2:5" ht="14.5">
      <c r="B488" s="86"/>
      <c r="C488" s="36" t="s">
        <v>29</v>
      </c>
      <c r="D488" s="35">
        <v>52</v>
      </c>
      <c r="E488" s="34">
        <v>9.411764705882E-3</v>
      </c>
    </row>
    <row r="489" spans="2:5" ht="14.5">
      <c r="B489" s="84" t="s">
        <v>51</v>
      </c>
      <c r="C489" s="63" t="s">
        <v>245</v>
      </c>
      <c r="D489" s="64">
        <v>1</v>
      </c>
      <c r="E489" s="65">
        <v>1.8099547511300001E-4</v>
      </c>
    </row>
    <row r="490" spans="2:5" ht="14.5">
      <c r="B490" s="85"/>
      <c r="C490" s="63" t="s">
        <v>246</v>
      </c>
      <c r="D490" s="64">
        <v>1</v>
      </c>
      <c r="E490" s="65">
        <v>1.8099547511300001E-4</v>
      </c>
    </row>
    <row r="491" spans="2:5" ht="14.5">
      <c r="B491" s="85"/>
      <c r="C491" s="63" t="s">
        <v>248</v>
      </c>
      <c r="D491" s="64">
        <v>2</v>
      </c>
      <c r="E491" s="65">
        <v>3.6199095022600001E-4</v>
      </c>
    </row>
    <row r="492" spans="2:5" ht="14.5">
      <c r="B492" s="85"/>
      <c r="C492" s="63" t="s">
        <v>249</v>
      </c>
      <c r="D492" s="64">
        <v>2</v>
      </c>
      <c r="E492" s="65">
        <v>3.6199095022600001E-4</v>
      </c>
    </row>
    <row r="493" spans="2:5" ht="14.5">
      <c r="B493" s="85"/>
      <c r="C493" s="63" t="s">
        <v>250</v>
      </c>
      <c r="D493" s="64">
        <v>19</v>
      </c>
      <c r="E493" s="65">
        <v>3.438914027149E-3</v>
      </c>
    </row>
    <row r="494" spans="2:5" ht="14.5">
      <c r="B494" s="85"/>
      <c r="C494" s="63" t="s">
        <v>251</v>
      </c>
      <c r="D494" s="64">
        <v>29</v>
      </c>
      <c r="E494" s="65">
        <v>5.2488687782809998E-3</v>
      </c>
    </row>
    <row r="495" spans="2:5" ht="14.5">
      <c r="B495" s="85"/>
      <c r="C495" s="63" t="s">
        <v>252</v>
      </c>
      <c r="D495" s="64">
        <v>3</v>
      </c>
      <c r="E495" s="65">
        <v>5.4298642533899999E-4</v>
      </c>
    </row>
    <row r="496" spans="2:5" ht="14.5">
      <c r="B496" s="85"/>
      <c r="C496" s="63" t="s">
        <v>253</v>
      </c>
      <c r="D496" s="64">
        <v>3</v>
      </c>
      <c r="E496" s="65">
        <v>5.4298642533899999E-4</v>
      </c>
    </row>
    <row r="497" spans="2:5" ht="14.5">
      <c r="B497" s="85"/>
      <c r="C497" s="63" t="s">
        <v>254</v>
      </c>
      <c r="D497" s="64">
        <v>7</v>
      </c>
      <c r="E497" s="65">
        <v>1.266968325792E-3</v>
      </c>
    </row>
    <row r="498" spans="2:5" ht="14.5">
      <c r="B498" s="85"/>
      <c r="C498" s="63" t="s">
        <v>255</v>
      </c>
      <c r="D498" s="64">
        <v>123</v>
      </c>
      <c r="E498" s="65">
        <v>2.2262443438913999E-2</v>
      </c>
    </row>
    <row r="499" spans="2:5" ht="14.5">
      <c r="B499" s="85"/>
      <c r="C499" s="63" t="s">
        <v>256</v>
      </c>
      <c r="D499" s="64">
        <v>6</v>
      </c>
      <c r="E499" s="65">
        <v>1.0859728506790001E-3</v>
      </c>
    </row>
    <row r="500" spans="2:5" ht="14.5">
      <c r="B500" s="85"/>
      <c r="C500" s="63" t="s">
        <v>257</v>
      </c>
      <c r="D500" s="64">
        <v>16</v>
      </c>
      <c r="E500" s="65">
        <v>2.8959276018099998E-3</v>
      </c>
    </row>
    <row r="501" spans="2:5" ht="14.5">
      <c r="B501" s="85"/>
      <c r="C501" s="63" t="s">
        <v>258</v>
      </c>
      <c r="D501" s="64">
        <v>51</v>
      </c>
      <c r="E501" s="65">
        <v>9.2307692307689992E-3</v>
      </c>
    </row>
    <row r="502" spans="2:5" ht="14.5">
      <c r="B502" s="85"/>
      <c r="C502" s="63" t="s">
        <v>259</v>
      </c>
      <c r="D502" s="64">
        <v>1</v>
      </c>
      <c r="E502" s="65">
        <v>1.8099547511300001E-4</v>
      </c>
    </row>
    <row r="503" spans="2:5" ht="14.5">
      <c r="B503" s="85"/>
      <c r="C503" s="63" t="s">
        <v>260</v>
      </c>
      <c r="D503" s="64">
        <v>4</v>
      </c>
      <c r="E503" s="65">
        <v>7.2398190045200002E-4</v>
      </c>
    </row>
    <row r="504" spans="2:5" ht="14.5">
      <c r="B504" s="85"/>
      <c r="C504" s="63" t="s">
        <v>262</v>
      </c>
      <c r="D504" s="64">
        <v>2</v>
      </c>
      <c r="E504" s="65">
        <v>3.6199095022600001E-4</v>
      </c>
    </row>
    <row r="505" spans="2:5" ht="14.5">
      <c r="B505" s="85"/>
      <c r="C505" s="63" t="s">
        <v>263</v>
      </c>
      <c r="D505" s="64">
        <v>5</v>
      </c>
      <c r="E505" s="65">
        <v>9.0497737556600002E-4</v>
      </c>
    </row>
    <row r="506" spans="2:5" ht="14.5">
      <c r="B506" s="85"/>
      <c r="C506" s="63" t="s">
        <v>264</v>
      </c>
      <c r="D506" s="64">
        <v>7</v>
      </c>
      <c r="E506" s="65">
        <v>1.266968325792E-3</v>
      </c>
    </row>
    <row r="507" spans="2:5" ht="14.5">
      <c r="B507" s="86"/>
      <c r="C507" s="36" t="s">
        <v>29</v>
      </c>
      <c r="D507" s="35">
        <v>282</v>
      </c>
      <c r="E507" s="34">
        <v>5.1040723981900002E-2</v>
      </c>
    </row>
    <row r="508" spans="2:5" ht="14.5">
      <c r="B508" s="84" t="s">
        <v>85</v>
      </c>
      <c r="C508" s="63" t="s">
        <v>251</v>
      </c>
      <c r="D508" s="64">
        <v>1</v>
      </c>
      <c r="E508" s="65">
        <v>1.8099547511300001E-4</v>
      </c>
    </row>
    <row r="509" spans="2:5" ht="14.5">
      <c r="B509" s="85"/>
      <c r="C509" s="63" t="s">
        <v>255</v>
      </c>
      <c r="D509" s="64">
        <v>8</v>
      </c>
      <c r="E509" s="65">
        <v>1.4479638009049999E-3</v>
      </c>
    </row>
    <row r="510" spans="2:5" ht="14.5">
      <c r="B510" s="85"/>
      <c r="C510" s="63" t="s">
        <v>257</v>
      </c>
      <c r="D510" s="64">
        <v>1</v>
      </c>
      <c r="E510" s="65">
        <v>1.8099547511300001E-4</v>
      </c>
    </row>
    <row r="511" spans="2:5" ht="14.5">
      <c r="B511" s="85"/>
      <c r="C511" s="63" t="s">
        <v>258</v>
      </c>
      <c r="D511" s="64">
        <v>4</v>
      </c>
      <c r="E511" s="65">
        <v>7.2398190045200002E-4</v>
      </c>
    </row>
    <row r="512" spans="2:5" ht="14.5">
      <c r="B512" s="85"/>
      <c r="C512" s="63" t="s">
        <v>259</v>
      </c>
      <c r="D512" s="64">
        <v>1</v>
      </c>
      <c r="E512" s="65">
        <v>1.8099547511300001E-4</v>
      </c>
    </row>
    <row r="513" spans="2:5" ht="14.5">
      <c r="B513" s="85"/>
      <c r="C513" s="63" t="s">
        <v>264</v>
      </c>
      <c r="D513" s="64">
        <v>1</v>
      </c>
      <c r="E513" s="65">
        <v>1.8099547511300001E-4</v>
      </c>
    </row>
    <row r="514" spans="2:5" ht="14.5">
      <c r="B514" s="86"/>
      <c r="C514" s="36" t="s">
        <v>29</v>
      </c>
      <c r="D514" s="35">
        <v>16</v>
      </c>
      <c r="E514" s="34">
        <v>2.8959276018099998E-3</v>
      </c>
    </row>
    <row r="515" spans="2:5" ht="14.5">
      <c r="B515" s="84" t="s">
        <v>91</v>
      </c>
      <c r="C515" s="63" t="s">
        <v>255</v>
      </c>
      <c r="D515" s="64">
        <v>1</v>
      </c>
      <c r="E515" s="65">
        <v>1.8099547511300001E-4</v>
      </c>
    </row>
    <row r="516" spans="2:5" ht="14.5">
      <c r="B516" s="86"/>
      <c r="C516" s="36" t="s">
        <v>29</v>
      </c>
      <c r="D516" s="35">
        <v>1</v>
      </c>
      <c r="E516" s="34">
        <v>1.8099547511300001E-4</v>
      </c>
    </row>
    <row r="517" spans="2:5" ht="14.5">
      <c r="B517" s="84" t="s">
        <v>70</v>
      </c>
      <c r="C517" s="63" t="s">
        <v>246</v>
      </c>
      <c r="D517" s="64">
        <v>1</v>
      </c>
      <c r="E517" s="65">
        <v>1.8099547511300001E-4</v>
      </c>
    </row>
    <row r="518" spans="2:5" ht="14.5">
      <c r="B518" s="85"/>
      <c r="C518" s="63" t="s">
        <v>249</v>
      </c>
      <c r="D518" s="64">
        <v>1</v>
      </c>
      <c r="E518" s="65">
        <v>1.8099547511300001E-4</v>
      </c>
    </row>
    <row r="519" spans="2:5" ht="14.5">
      <c r="B519" s="85"/>
      <c r="C519" s="63" t="s">
        <v>250</v>
      </c>
      <c r="D519" s="64">
        <v>1</v>
      </c>
      <c r="E519" s="65">
        <v>1.8099547511300001E-4</v>
      </c>
    </row>
    <row r="520" spans="2:5" ht="14.5">
      <c r="B520" s="85"/>
      <c r="C520" s="63" t="s">
        <v>251</v>
      </c>
      <c r="D520" s="64">
        <v>4</v>
      </c>
      <c r="E520" s="65">
        <v>7.2398190045200002E-4</v>
      </c>
    </row>
    <row r="521" spans="2:5" ht="14.5">
      <c r="B521" s="85"/>
      <c r="C521" s="63" t="s">
        <v>253</v>
      </c>
      <c r="D521" s="64">
        <v>2</v>
      </c>
      <c r="E521" s="65">
        <v>3.6199095022600001E-4</v>
      </c>
    </row>
    <row r="522" spans="2:5" ht="14.5">
      <c r="B522" s="85"/>
      <c r="C522" s="63" t="s">
        <v>254</v>
      </c>
      <c r="D522" s="64">
        <v>5</v>
      </c>
      <c r="E522" s="65">
        <v>9.0497737556600002E-4</v>
      </c>
    </row>
    <row r="523" spans="2:5" ht="14.5">
      <c r="B523" s="85"/>
      <c r="C523" s="63" t="s">
        <v>255</v>
      </c>
      <c r="D523" s="64">
        <v>26</v>
      </c>
      <c r="E523" s="65">
        <v>4.705882352941E-3</v>
      </c>
    </row>
    <row r="524" spans="2:5" ht="14.5">
      <c r="B524" s="85"/>
      <c r="C524" s="63" t="s">
        <v>257</v>
      </c>
      <c r="D524" s="64">
        <v>1</v>
      </c>
      <c r="E524" s="65">
        <v>1.8099547511300001E-4</v>
      </c>
    </row>
    <row r="525" spans="2:5" ht="14.5">
      <c r="B525" s="85"/>
      <c r="C525" s="63" t="s">
        <v>258</v>
      </c>
      <c r="D525" s="64">
        <v>6</v>
      </c>
      <c r="E525" s="65">
        <v>1.0859728506790001E-3</v>
      </c>
    </row>
    <row r="526" spans="2:5" ht="14.5">
      <c r="B526" s="85"/>
      <c r="C526" s="63" t="s">
        <v>263</v>
      </c>
      <c r="D526" s="64">
        <v>1</v>
      </c>
      <c r="E526" s="65">
        <v>1.8099547511300001E-4</v>
      </c>
    </row>
    <row r="527" spans="2:5" ht="14.5">
      <c r="B527" s="85"/>
      <c r="C527" s="63" t="s">
        <v>264</v>
      </c>
      <c r="D527" s="64">
        <v>1</v>
      </c>
      <c r="E527" s="65">
        <v>1.8099547511300001E-4</v>
      </c>
    </row>
    <row r="528" spans="2:5" ht="14.5">
      <c r="B528" s="86"/>
      <c r="C528" s="36" t="s">
        <v>29</v>
      </c>
      <c r="D528" s="35">
        <v>49</v>
      </c>
      <c r="E528" s="34">
        <v>8.8687782805429993E-3</v>
      </c>
    </row>
    <row r="529" spans="2:5">
      <c r="B529" s="87" t="s">
        <v>29</v>
      </c>
      <c r="C529" s="88"/>
      <c r="D529" s="61">
        <v>5525</v>
      </c>
      <c r="E529" s="62">
        <v>1</v>
      </c>
    </row>
    <row r="531" spans="2:5" ht="15" customHeight="1">
      <c r="B531" s="15" t="s">
        <v>135</v>
      </c>
    </row>
    <row r="532" spans="2:5" ht="15" customHeight="1">
      <c r="B532" s="17" t="s">
        <v>18</v>
      </c>
    </row>
    <row r="533" spans="2:5" ht="15" customHeight="1">
      <c r="B533" s="16" t="s">
        <v>136</v>
      </c>
    </row>
    <row r="534" spans="2:5" ht="15" customHeight="1">
      <c r="B534" s="15" t="s">
        <v>17</v>
      </c>
    </row>
    <row r="535" spans="2:5" ht="15" customHeight="1">
      <c r="B535" s="15" t="s">
        <v>137</v>
      </c>
    </row>
  </sheetData>
  <mergeCells count="48">
    <mergeCell ref="B7:E8"/>
    <mergeCell ref="B194:B208"/>
    <mergeCell ref="B209:B211"/>
    <mergeCell ref="B212:B223"/>
    <mergeCell ref="B224:B233"/>
    <mergeCell ref="B10:B19"/>
    <mergeCell ref="B20:B32"/>
    <mergeCell ref="B33:B41"/>
    <mergeCell ref="B42:B57"/>
    <mergeCell ref="B58:B75"/>
    <mergeCell ref="B76:B78"/>
    <mergeCell ref="B79:B99"/>
    <mergeCell ref="B100:B113"/>
    <mergeCell ref="B114:B122"/>
    <mergeCell ref="B123:B130"/>
    <mergeCell ref="B131:B132"/>
    <mergeCell ref="B133:B150"/>
    <mergeCell ref="B151:B164"/>
    <mergeCell ref="B165:B180"/>
    <mergeCell ref="B181:B193"/>
    <mergeCell ref="B234:B253"/>
    <mergeCell ref="B254:B261"/>
    <mergeCell ref="B262:B269"/>
    <mergeCell ref="B270:B278"/>
    <mergeCell ref="B279:B287"/>
    <mergeCell ref="B288:B289"/>
    <mergeCell ref="B290:B298"/>
    <mergeCell ref="B299:B319"/>
    <mergeCell ref="B320:B329"/>
    <mergeCell ref="B330:B334"/>
    <mergeCell ref="B335:B342"/>
    <mergeCell ref="B343:B354"/>
    <mergeCell ref="B355:B365"/>
    <mergeCell ref="B366:B376"/>
    <mergeCell ref="B377:B396"/>
    <mergeCell ref="B397:B407"/>
    <mergeCell ref="B408:B416"/>
    <mergeCell ref="B417:B431"/>
    <mergeCell ref="B432:B439"/>
    <mergeCell ref="B440:B452"/>
    <mergeCell ref="B515:B516"/>
    <mergeCell ref="B517:B528"/>
    <mergeCell ref="B529:C529"/>
    <mergeCell ref="B453:B467"/>
    <mergeCell ref="B468:B479"/>
    <mergeCell ref="B480:B488"/>
    <mergeCell ref="B489:B507"/>
    <mergeCell ref="B508:B5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zoomScale="115" zoomScaleNormal="100" zoomScaleSheetLayoutView="115" workbookViewId="0">
      <selection activeCell="A20" sqref="A12:XFD20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38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 ht="14.5" customHeight="1">
      <c r="B12" s="23" t="s">
        <v>138</v>
      </c>
      <c r="C12" s="22">
        <v>1834</v>
      </c>
      <c r="D12" s="21">
        <v>0.33194570135746598</v>
      </c>
    </row>
    <row r="13" spans="2:5" ht="14.5" customHeight="1">
      <c r="B13" s="23" t="s">
        <v>139</v>
      </c>
      <c r="C13" s="22">
        <v>3691</v>
      </c>
      <c r="D13" s="21">
        <v>0.66805429864253396</v>
      </c>
    </row>
    <row r="14" spans="2:5" ht="14.5" customHeight="1">
      <c r="B14" s="20" t="s">
        <v>29</v>
      </c>
      <c r="C14" s="19">
        <v>5525</v>
      </c>
      <c r="D14" s="18">
        <v>1</v>
      </c>
    </row>
    <row r="15" spans="2:5" ht="14.5" customHeight="1">
      <c r="B15" s="24"/>
      <c r="C15" s="48"/>
      <c r="D15" s="48"/>
      <c r="E15" s="24"/>
    </row>
    <row r="16" spans="2:5" ht="14.5" customHeight="1">
      <c r="B16" s="15" t="s">
        <v>135</v>
      </c>
      <c r="C16" s="48"/>
      <c r="D16" s="48"/>
      <c r="E16" s="24"/>
    </row>
    <row r="17" spans="2:4" ht="14.5" customHeight="1">
      <c r="B17" s="17" t="s">
        <v>18</v>
      </c>
      <c r="C17" s="47"/>
      <c r="D17" s="47"/>
    </row>
    <row r="18" spans="2:4" ht="14.5" customHeight="1">
      <c r="B18" s="16" t="s">
        <v>136</v>
      </c>
      <c r="C18" s="46"/>
      <c r="D18" s="46"/>
    </row>
    <row r="19" spans="2:4" ht="14.5" customHeight="1">
      <c r="B19" s="15" t="s">
        <v>17</v>
      </c>
    </row>
    <row r="20" spans="2:4" ht="14.5" customHeight="1">
      <c r="B20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55"/>
  <sheetViews>
    <sheetView showGridLines="0" view="pageBreakPreview" topLeftCell="A135" zoomScaleNormal="100" zoomScaleSheetLayoutView="100" workbookViewId="0">
      <selection activeCell="F12" sqref="F12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5.72656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83" t="s">
        <v>357</v>
      </c>
      <c r="C8" s="83"/>
      <c r="D8" s="83"/>
      <c r="E8" s="83"/>
    </row>
    <row r="9" spans="2:6" s="13" customFormat="1" ht="15" customHeight="1">
      <c r="B9" s="83"/>
      <c r="C9" s="83"/>
      <c r="D9" s="83"/>
      <c r="E9" s="83"/>
      <c r="F9" s="49"/>
    </row>
    <row r="10" spans="2:6" s="13" customFormat="1" ht="15" customHeight="1">
      <c r="B10" s="83"/>
      <c r="C10" s="83"/>
      <c r="D10" s="83"/>
      <c r="E10" s="83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ht="14">
      <c r="B13" s="84" t="s">
        <v>83</v>
      </c>
      <c r="C13" s="63" t="s">
        <v>138</v>
      </c>
      <c r="D13" s="64">
        <v>4</v>
      </c>
      <c r="E13" s="65">
        <v>7.2398190045200002E-4</v>
      </c>
    </row>
    <row r="14" spans="2:6" ht="14">
      <c r="B14" s="85"/>
      <c r="C14" s="63" t="s">
        <v>139</v>
      </c>
      <c r="D14" s="64">
        <v>15</v>
      </c>
      <c r="E14" s="65">
        <v>2.7149321266969999E-3</v>
      </c>
    </row>
    <row r="15" spans="2:6" ht="14">
      <c r="B15" s="86"/>
      <c r="C15" s="58" t="s">
        <v>29</v>
      </c>
      <c r="D15" s="59">
        <v>19</v>
      </c>
      <c r="E15" s="60">
        <v>3.438914027149E-3</v>
      </c>
    </row>
    <row r="16" spans="2:6" ht="14">
      <c r="B16" s="84" t="s">
        <v>53</v>
      </c>
      <c r="C16" s="63" t="s">
        <v>138</v>
      </c>
      <c r="D16" s="64">
        <v>62</v>
      </c>
      <c r="E16" s="65">
        <v>1.1221719457013999E-2</v>
      </c>
    </row>
    <row r="17" spans="2:5" ht="14">
      <c r="B17" s="85"/>
      <c r="C17" s="63" t="s">
        <v>139</v>
      </c>
      <c r="D17" s="64">
        <v>108</v>
      </c>
      <c r="E17" s="65">
        <v>1.9547511312216999E-2</v>
      </c>
    </row>
    <row r="18" spans="2:5" ht="14">
      <c r="B18" s="86" t="s">
        <v>314</v>
      </c>
      <c r="C18" s="58" t="s">
        <v>29</v>
      </c>
      <c r="D18" s="59">
        <v>170</v>
      </c>
      <c r="E18" s="60">
        <v>3.0769230769231E-2</v>
      </c>
    </row>
    <row r="19" spans="2:5" ht="14">
      <c r="B19" s="84" t="s">
        <v>81</v>
      </c>
      <c r="C19" s="63" t="s">
        <v>138</v>
      </c>
      <c r="D19" s="64">
        <v>10</v>
      </c>
      <c r="E19" s="65">
        <v>1.809954751131E-3</v>
      </c>
    </row>
    <row r="20" spans="2:5" ht="14">
      <c r="B20" s="85"/>
      <c r="C20" s="63" t="s">
        <v>139</v>
      </c>
      <c r="D20" s="64">
        <v>16</v>
      </c>
      <c r="E20" s="65">
        <v>2.8959276018099998E-3</v>
      </c>
    </row>
    <row r="21" spans="2:5" ht="14">
      <c r="B21" s="86" t="s">
        <v>315</v>
      </c>
      <c r="C21" s="58" t="s">
        <v>29</v>
      </c>
      <c r="D21" s="59">
        <v>26</v>
      </c>
      <c r="E21" s="60">
        <v>4.705882352941E-3</v>
      </c>
    </row>
    <row r="22" spans="2:5" ht="14">
      <c r="B22" s="84" t="s">
        <v>57</v>
      </c>
      <c r="C22" s="63" t="s">
        <v>138</v>
      </c>
      <c r="D22" s="64">
        <v>38</v>
      </c>
      <c r="E22" s="65">
        <v>6.8778280542990001E-3</v>
      </c>
    </row>
    <row r="23" spans="2:5" ht="14">
      <c r="B23" s="85"/>
      <c r="C23" s="63" t="s">
        <v>139</v>
      </c>
      <c r="D23" s="64">
        <v>97</v>
      </c>
      <c r="E23" s="65">
        <v>1.7556561085973001E-2</v>
      </c>
    </row>
    <row r="24" spans="2:5" ht="14">
      <c r="B24" s="86" t="s">
        <v>316</v>
      </c>
      <c r="C24" s="58" t="s">
        <v>29</v>
      </c>
      <c r="D24" s="59">
        <v>135</v>
      </c>
      <c r="E24" s="60">
        <v>2.4434389140271E-2</v>
      </c>
    </row>
    <row r="25" spans="2:5" ht="14">
      <c r="B25" s="84" t="s">
        <v>52</v>
      </c>
      <c r="C25" s="63" t="s">
        <v>138</v>
      </c>
      <c r="D25" s="64">
        <v>81</v>
      </c>
      <c r="E25" s="65">
        <v>1.4660633484163001E-2</v>
      </c>
    </row>
    <row r="26" spans="2:5" ht="14">
      <c r="B26" s="85"/>
      <c r="C26" s="63" t="s">
        <v>139</v>
      </c>
      <c r="D26" s="64">
        <v>173</v>
      </c>
      <c r="E26" s="65">
        <v>3.1312217194570002E-2</v>
      </c>
    </row>
    <row r="27" spans="2:5" ht="14">
      <c r="B27" s="86" t="s">
        <v>317</v>
      </c>
      <c r="C27" s="58" t="s">
        <v>29</v>
      </c>
      <c r="D27" s="59">
        <v>254</v>
      </c>
      <c r="E27" s="60">
        <v>4.5972850678733003E-2</v>
      </c>
    </row>
    <row r="28" spans="2:5" ht="14">
      <c r="B28" s="84" t="s">
        <v>87</v>
      </c>
      <c r="C28" s="63" t="s">
        <v>138</v>
      </c>
      <c r="D28" s="64">
        <v>1</v>
      </c>
      <c r="E28" s="65">
        <v>1.8099547511300001E-4</v>
      </c>
    </row>
    <row r="29" spans="2:5" ht="14">
      <c r="B29" s="85"/>
      <c r="C29" s="63" t="s">
        <v>139</v>
      </c>
      <c r="D29" s="64">
        <v>1</v>
      </c>
      <c r="E29" s="65">
        <v>1.8099547511300001E-4</v>
      </c>
    </row>
    <row r="30" spans="2:5" ht="14">
      <c r="B30" s="86" t="s">
        <v>318</v>
      </c>
      <c r="C30" s="58" t="s">
        <v>29</v>
      </c>
      <c r="D30" s="59">
        <v>2</v>
      </c>
      <c r="E30" s="60">
        <v>3.6199095022600001E-4</v>
      </c>
    </row>
    <row r="31" spans="2:5" ht="14">
      <c r="B31" s="84" t="s">
        <v>47</v>
      </c>
      <c r="C31" s="63" t="s">
        <v>138</v>
      </c>
      <c r="D31" s="64">
        <v>238</v>
      </c>
      <c r="E31" s="65">
        <v>4.3076923076922999E-2</v>
      </c>
    </row>
    <row r="32" spans="2:5" ht="14">
      <c r="B32" s="85"/>
      <c r="C32" s="63" t="s">
        <v>139</v>
      </c>
      <c r="D32" s="64">
        <v>395</v>
      </c>
      <c r="E32" s="65">
        <v>7.1493212669683004E-2</v>
      </c>
    </row>
    <row r="33" spans="2:5" ht="14">
      <c r="B33" s="86" t="s">
        <v>319</v>
      </c>
      <c r="C33" s="58" t="s">
        <v>29</v>
      </c>
      <c r="D33" s="59">
        <v>633</v>
      </c>
      <c r="E33" s="60">
        <v>0.114570135746606</v>
      </c>
    </row>
    <row r="34" spans="2:5" ht="14">
      <c r="B34" s="84" t="s">
        <v>54</v>
      </c>
      <c r="C34" s="63" t="s">
        <v>138</v>
      </c>
      <c r="D34" s="64">
        <v>45</v>
      </c>
      <c r="E34" s="65">
        <v>8.1447963800900004E-3</v>
      </c>
    </row>
    <row r="35" spans="2:5" ht="14">
      <c r="B35" s="85"/>
      <c r="C35" s="63" t="s">
        <v>139</v>
      </c>
      <c r="D35" s="64">
        <v>117</v>
      </c>
      <c r="E35" s="65">
        <v>2.1176470588235002E-2</v>
      </c>
    </row>
    <row r="36" spans="2:5" ht="14">
      <c r="B36" s="86" t="s">
        <v>320</v>
      </c>
      <c r="C36" s="58" t="s">
        <v>29</v>
      </c>
      <c r="D36" s="59">
        <v>162</v>
      </c>
      <c r="E36" s="60">
        <v>2.9321266968326001E-2</v>
      </c>
    </row>
    <row r="37" spans="2:5" ht="14">
      <c r="B37" s="84" t="s">
        <v>75</v>
      </c>
      <c r="C37" s="63" t="s">
        <v>138</v>
      </c>
      <c r="D37" s="64">
        <v>10</v>
      </c>
      <c r="E37" s="65">
        <v>1.809954751131E-3</v>
      </c>
    </row>
    <row r="38" spans="2:5" ht="14">
      <c r="B38" s="85"/>
      <c r="C38" s="63" t="s">
        <v>139</v>
      </c>
      <c r="D38" s="64">
        <v>27</v>
      </c>
      <c r="E38" s="65">
        <v>4.8868778280539999E-3</v>
      </c>
    </row>
    <row r="39" spans="2:5" ht="14">
      <c r="B39" s="86" t="s">
        <v>321</v>
      </c>
      <c r="C39" s="58" t="s">
        <v>29</v>
      </c>
      <c r="D39" s="59">
        <v>37</v>
      </c>
      <c r="E39" s="60">
        <v>6.6968325791860002E-3</v>
      </c>
    </row>
    <row r="40" spans="2:5" ht="14">
      <c r="B40" s="84" t="s">
        <v>72</v>
      </c>
      <c r="C40" s="63" t="s">
        <v>138</v>
      </c>
      <c r="D40" s="64">
        <v>20</v>
      </c>
      <c r="E40" s="65">
        <v>3.6199095022619999E-3</v>
      </c>
    </row>
    <row r="41" spans="2:5" ht="14">
      <c r="B41" s="85"/>
      <c r="C41" s="63" t="s">
        <v>139</v>
      </c>
      <c r="D41" s="64">
        <v>25</v>
      </c>
      <c r="E41" s="65">
        <v>4.5248868778280001E-3</v>
      </c>
    </row>
    <row r="42" spans="2:5" ht="14">
      <c r="B42" s="86" t="s">
        <v>322</v>
      </c>
      <c r="C42" s="58" t="s">
        <v>29</v>
      </c>
      <c r="D42" s="59">
        <v>45</v>
      </c>
      <c r="E42" s="60">
        <v>8.1447963800900004E-3</v>
      </c>
    </row>
    <row r="43" spans="2:5" ht="14">
      <c r="B43" s="84" t="s">
        <v>89</v>
      </c>
      <c r="C43" s="63" t="s">
        <v>139</v>
      </c>
      <c r="D43" s="64">
        <v>1</v>
      </c>
      <c r="E43" s="65">
        <v>1.8099547511300001E-4</v>
      </c>
    </row>
    <row r="44" spans="2:5" ht="14">
      <c r="B44" s="86" t="s">
        <v>323</v>
      </c>
      <c r="C44" s="58" t="s">
        <v>29</v>
      </c>
      <c r="D44" s="59">
        <v>1</v>
      </c>
      <c r="E44" s="60">
        <v>1.8099547511300001E-4</v>
      </c>
    </row>
    <row r="45" spans="2:5" ht="14">
      <c r="B45" s="84" t="s">
        <v>50</v>
      </c>
      <c r="C45" s="63" t="s">
        <v>138</v>
      </c>
      <c r="D45" s="64">
        <v>85</v>
      </c>
      <c r="E45" s="65">
        <v>1.5384615384615E-2</v>
      </c>
    </row>
    <row r="46" spans="2:5" ht="14">
      <c r="B46" s="85"/>
      <c r="C46" s="63" t="s">
        <v>139</v>
      </c>
      <c r="D46" s="64">
        <v>201</v>
      </c>
      <c r="E46" s="65">
        <v>3.6380090497738E-2</v>
      </c>
    </row>
    <row r="47" spans="2:5" ht="14">
      <c r="B47" s="86" t="s">
        <v>324</v>
      </c>
      <c r="C47" s="58" t="s">
        <v>29</v>
      </c>
      <c r="D47" s="59">
        <v>286</v>
      </c>
      <c r="E47" s="60">
        <v>5.1764705882352997E-2</v>
      </c>
    </row>
    <row r="48" spans="2:5" ht="14">
      <c r="B48" s="84" t="s">
        <v>76</v>
      </c>
      <c r="C48" s="63" t="s">
        <v>138</v>
      </c>
      <c r="D48" s="64">
        <v>15</v>
      </c>
      <c r="E48" s="65">
        <v>2.7149321266969999E-3</v>
      </c>
    </row>
    <row r="49" spans="2:5" ht="14">
      <c r="B49" s="85"/>
      <c r="C49" s="63" t="s">
        <v>139</v>
      </c>
      <c r="D49" s="64">
        <v>20</v>
      </c>
      <c r="E49" s="65">
        <v>3.6199095022619999E-3</v>
      </c>
    </row>
    <row r="50" spans="2:5" ht="14">
      <c r="B50" s="86" t="s">
        <v>325</v>
      </c>
      <c r="C50" s="58" t="s">
        <v>29</v>
      </c>
      <c r="D50" s="59">
        <v>35</v>
      </c>
      <c r="E50" s="60">
        <v>6.3348416289590002E-3</v>
      </c>
    </row>
    <row r="51" spans="2:5" ht="14">
      <c r="B51" s="84" t="s">
        <v>49</v>
      </c>
      <c r="C51" s="63" t="s">
        <v>138</v>
      </c>
      <c r="D51" s="64">
        <v>97</v>
      </c>
      <c r="E51" s="65">
        <v>1.7556561085973001E-2</v>
      </c>
    </row>
    <row r="52" spans="2:5" ht="14">
      <c r="B52" s="85"/>
      <c r="C52" s="63" t="s">
        <v>139</v>
      </c>
      <c r="D52" s="64">
        <v>210</v>
      </c>
      <c r="E52" s="65">
        <v>3.8009049773756E-2</v>
      </c>
    </row>
    <row r="53" spans="2:5" ht="14">
      <c r="B53" s="86" t="s">
        <v>326</v>
      </c>
      <c r="C53" s="58" t="s">
        <v>29</v>
      </c>
      <c r="D53" s="59">
        <v>307</v>
      </c>
      <c r="E53" s="60">
        <v>5.5565610859728998E-2</v>
      </c>
    </row>
    <row r="54" spans="2:5" ht="14">
      <c r="B54" s="84" t="s">
        <v>58</v>
      </c>
      <c r="C54" s="63" t="s">
        <v>138</v>
      </c>
      <c r="D54" s="64">
        <v>42</v>
      </c>
      <c r="E54" s="65">
        <v>7.6018099547509998E-3</v>
      </c>
    </row>
    <row r="55" spans="2:5" ht="14">
      <c r="B55" s="85"/>
      <c r="C55" s="63" t="s">
        <v>139</v>
      </c>
      <c r="D55" s="64">
        <v>83</v>
      </c>
      <c r="E55" s="65">
        <v>1.5022624434389001E-2</v>
      </c>
    </row>
    <row r="56" spans="2:5" ht="14">
      <c r="B56" s="86" t="s">
        <v>327</v>
      </c>
      <c r="C56" s="58" t="s">
        <v>29</v>
      </c>
      <c r="D56" s="59">
        <v>125</v>
      </c>
      <c r="E56" s="60">
        <v>2.262443438914E-2</v>
      </c>
    </row>
    <row r="57" spans="2:5" ht="14">
      <c r="B57" s="84" t="s">
        <v>60</v>
      </c>
      <c r="C57" s="63" t="s">
        <v>138</v>
      </c>
      <c r="D57" s="64">
        <v>36</v>
      </c>
      <c r="E57" s="65">
        <v>6.5158371040720002E-3</v>
      </c>
    </row>
    <row r="58" spans="2:5" ht="14">
      <c r="B58" s="85"/>
      <c r="C58" s="63" t="s">
        <v>139</v>
      </c>
      <c r="D58" s="64">
        <v>72</v>
      </c>
      <c r="E58" s="65">
        <v>1.3031674208145E-2</v>
      </c>
    </row>
    <row r="59" spans="2:5" ht="14">
      <c r="B59" s="86" t="s">
        <v>328</v>
      </c>
      <c r="C59" s="58" t="s">
        <v>29</v>
      </c>
      <c r="D59" s="59">
        <v>108</v>
      </c>
      <c r="E59" s="60">
        <v>1.9547511312216999E-2</v>
      </c>
    </row>
    <row r="60" spans="2:5" ht="14">
      <c r="B60" s="84" t="s">
        <v>88</v>
      </c>
      <c r="C60" s="63" t="s">
        <v>139</v>
      </c>
      <c r="D60" s="64">
        <v>2</v>
      </c>
      <c r="E60" s="65">
        <v>3.6199095022600001E-4</v>
      </c>
    </row>
    <row r="61" spans="2:5" ht="14">
      <c r="B61" s="86" t="s">
        <v>329</v>
      </c>
      <c r="C61" s="58" t="s">
        <v>29</v>
      </c>
      <c r="D61" s="59">
        <v>2</v>
      </c>
      <c r="E61" s="60">
        <v>3.6199095022600001E-4</v>
      </c>
    </row>
    <row r="62" spans="2:5" ht="14">
      <c r="B62" s="84" t="s">
        <v>64</v>
      </c>
      <c r="C62" s="63" t="s">
        <v>138</v>
      </c>
      <c r="D62" s="64">
        <v>22</v>
      </c>
      <c r="E62" s="65">
        <v>3.9819004524890003E-3</v>
      </c>
    </row>
    <row r="63" spans="2:5" ht="14">
      <c r="B63" s="85"/>
      <c r="C63" s="63" t="s">
        <v>139</v>
      </c>
      <c r="D63" s="64">
        <v>42</v>
      </c>
      <c r="E63" s="65">
        <v>7.6018099547509998E-3</v>
      </c>
    </row>
    <row r="64" spans="2:5" ht="14">
      <c r="B64" s="86" t="s">
        <v>330</v>
      </c>
      <c r="C64" s="58" t="s">
        <v>29</v>
      </c>
      <c r="D64" s="59">
        <v>64</v>
      </c>
      <c r="E64" s="60">
        <v>1.1583710407239999E-2</v>
      </c>
    </row>
    <row r="65" spans="2:5" ht="14">
      <c r="B65" s="84" t="s">
        <v>66</v>
      </c>
      <c r="C65" s="63" t="s">
        <v>138</v>
      </c>
      <c r="D65" s="64">
        <v>21</v>
      </c>
      <c r="E65" s="65">
        <v>3.8009049773759999E-3</v>
      </c>
    </row>
    <row r="66" spans="2:5" ht="14">
      <c r="B66" s="85"/>
      <c r="C66" s="63" t="s">
        <v>139</v>
      </c>
      <c r="D66" s="64">
        <v>36</v>
      </c>
      <c r="E66" s="65">
        <v>6.5158371040720002E-3</v>
      </c>
    </row>
    <row r="67" spans="2:5" ht="14">
      <c r="B67" s="86" t="s">
        <v>331</v>
      </c>
      <c r="C67" s="58" t="s">
        <v>29</v>
      </c>
      <c r="D67" s="59">
        <v>57</v>
      </c>
      <c r="E67" s="60">
        <v>1.0316742081448E-2</v>
      </c>
    </row>
    <row r="68" spans="2:5" ht="14">
      <c r="B68" s="84" t="s">
        <v>48</v>
      </c>
      <c r="C68" s="63" t="s">
        <v>138</v>
      </c>
      <c r="D68" s="64">
        <v>211</v>
      </c>
      <c r="E68" s="65">
        <v>3.8190045248869001E-2</v>
      </c>
    </row>
    <row r="69" spans="2:5" ht="14">
      <c r="B69" s="85"/>
      <c r="C69" s="63" t="s">
        <v>139</v>
      </c>
      <c r="D69" s="64">
        <v>305</v>
      </c>
      <c r="E69" s="65">
        <v>5.5203619909501997E-2</v>
      </c>
    </row>
    <row r="70" spans="2:5" ht="14">
      <c r="B70" s="86" t="s">
        <v>332</v>
      </c>
      <c r="C70" s="58" t="s">
        <v>29</v>
      </c>
      <c r="D70" s="59">
        <v>516</v>
      </c>
      <c r="E70" s="60">
        <v>9.3393665158370998E-2</v>
      </c>
    </row>
    <row r="71" spans="2:5" ht="14">
      <c r="B71" s="84" t="s">
        <v>77</v>
      </c>
      <c r="C71" s="63" t="s">
        <v>138</v>
      </c>
      <c r="D71" s="64">
        <v>19</v>
      </c>
      <c r="E71" s="65">
        <v>3.438914027149E-3</v>
      </c>
    </row>
    <row r="72" spans="2:5" ht="14">
      <c r="B72" s="85"/>
      <c r="C72" s="63" t="s">
        <v>139</v>
      </c>
      <c r="D72" s="64">
        <v>13</v>
      </c>
      <c r="E72" s="65">
        <v>2.352941176471E-3</v>
      </c>
    </row>
    <row r="73" spans="2:5" ht="14">
      <c r="B73" s="86" t="s">
        <v>333</v>
      </c>
      <c r="C73" s="58" t="s">
        <v>29</v>
      </c>
      <c r="D73" s="59">
        <v>32</v>
      </c>
      <c r="E73" s="60">
        <v>5.7918552036199996E-3</v>
      </c>
    </row>
    <row r="74" spans="2:5" ht="14">
      <c r="B74" s="84" t="s">
        <v>74</v>
      </c>
      <c r="C74" s="63" t="s">
        <v>138</v>
      </c>
      <c r="D74" s="64">
        <v>11</v>
      </c>
      <c r="E74" s="65">
        <v>1.9909502262440001E-3</v>
      </c>
    </row>
    <row r="75" spans="2:5" ht="14">
      <c r="B75" s="85"/>
      <c r="C75" s="63" t="s">
        <v>139</v>
      </c>
      <c r="D75" s="64">
        <v>30</v>
      </c>
      <c r="E75" s="65">
        <v>5.4298642533939998E-3</v>
      </c>
    </row>
    <row r="76" spans="2:5" ht="14">
      <c r="B76" s="86" t="s">
        <v>334</v>
      </c>
      <c r="C76" s="58" t="s">
        <v>29</v>
      </c>
      <c r="D76" s="59">
        <v>41</v>
      </c>
      <c r="E76" s="60">
        <v>7.4208144796379999E-3</v>
      </c>
    </row>
    <row r="77" spans="2:5" ht="14">
      <c r="B77" s="84" t="s">
        <v>73</v>
      </c>
      <c r="C77" s="63" t="s">
        <v>138</v>
      </c>
      <c r="D77" s="64">
        <v>13</v>
      </c>
      <c r="E77" s="65">
        <v>2.352941176471E-3</v>
      </c>
    </row>
    <row r="78" spans="2:5" ht="14">
      <c r="B78" s="85"/>
      <c r="C78" s="63" t="s">
        <v>139</v>
      </c>
      <c r="D78" s="64">
        <v>30</v>
      </c>
      <c r="E78" s="65">
        <v>5.4298642533939998E-3</v>
      </c>
    </row>
    <row r="79" spans="2:5" ht="14">
      <c r="B79" s="86" t="s">
        <v>335</v>
      </c>
      <c r="C79" s="58" t="s">
        <v>29</v>
      </c>
      <c r="D79" s="59">
        <v>43</v>
      </c>
      <c r="E79" s="60">
        <v>7.7828054298639997E-3</v>
      </c>
    </row>
    <row r="80" spans="2:5" ht="14">
      <c r="B80" s="84" t="s">
        <v>80</v>
      </c>
      <c r="C80" s="63" t="s">
        <v>138</v>
      </c>
      <c r="D80" s="64">
        <v>4</v>
      </c>
      <c r="E80" s="65">
        <v>7.2398190045200002E-4</v>
      </c>
    </row>
    <row r="81" spans="2:5" ht="14">
      <c r="B81" s="85"/>
      <c r="C81" s="63" t="s">
        <v>139</v>
      </c>
      <c r="D81" s="64">
        <v>23</v>
      </c>
      <c r="E81" s="65">
        <v>4.1628959276020002E-3</v>
      </c>
    </row>
    <row r="82" spans="2:5" ht="14">
      <c r="B82" s="86" t="s">
        <v>336</v>
      </c>
      <c r="C82" s="58" t="s">
        <v>29</v>
      </c>
      <c r="D82" s="59">
        <v>27</v>
      </c>
      <c r="E82" s="60">
        <v>4.8868778280539999E-3</v>
      </c>
    </row>
    <row r="83" spans="2:5" ht="14">
      <c r="B83" s="84" t="s">
        <v>90</v>
      </c>
      <c r="C83" s="63" t="s">
        <v>138</v>
      </c>
      <c r="D83" s="64">
        <v>1</v>
      </c>
      <c r="E83" s="65">
        <v>1.8099547511300001E-4</v>
      </c>
    </row>
    <row r="84" spans="2:5" ht="14">
      <c r="B84" s="86" t="s">
        <v>337</v>
      </c>
      <c r="C84" s="58" t="s">
        <v>29</v>
      </c>
      <c r="D84" s="59">
        <v>1</v>
      </c>
      <c r="E84" s="60">
        <v>1.8099547511300001E-4</v>
      </c>
    </row>
    <row r="85" spans="2:5" ht="14">
      <c r="B85" s="84" t="s">
        <v>79</v>
      </c>
      <c r="C85" s="63" t="s">
        <v>138</v>
      </c>
      <c r="D85" s="64">
        <v>7</v>
      </c>
      <c r="E85" s="65">
        <v>1.266968325792E-3</v>
      </c>
    </row>
    <row r="86" spans="2:5" ht="14">
      <c r="B86" s="85"/>
      <c r="C86" s="63" t="s">
        <v>139</v>
      </c>
      <c r="D86" s="64">
        <v>22</v>
      </c>
      <c r="E86" s="65">
        <v>3.9819004524890003E-3</v>
      </c>
    </row>
    <row r="87" spans="2:5" ht="14">
      <c r="B87" s="86" t="s">
        <v>338</v>
      </c>
      <c r="C87" s="58" t="s">
        <v>29</v>
      </c>
      <c r="D87" s="59">
        <v>29</v>
      </c>
      <c r="E87" s="60">
        <v>5.2488687782809998E-3</v>
      </c>
    </row>
    <row r="88" spans="2:5" ht="14">
      <c r="B88" s="84" t="s">
        <v>46</v>
      </c>
      <c r="C88" s="63" t="s">
        <v>138</v>
      </c>
      <c r="D88" s="64">
        <v>316</v>
      </c>
      <c r="E88" s="65">
        <v>5.7194570135746997E-2</v>
      </c>
    </row>
    <row r="89" spans="2:5" ht="14">
      <c r="B89" s="85"/>
      <c r="C89" s="63" t="s">
        <v>139</v>
      </c>
      <c r="D89" s="64">
        <v>723</v>
      </c>
      <c r="E89" s="65">
        <v>0.13085972850678701</v>
      </c>
    </row>
    <row r="90" spans="2:5" ht="14">
      <c r="B90" s="86" t="s">
        <v>339</v>
      </c>
      <c r="C90" s="58" t="s">
        <v>29</v>
      </c>
      <c r="D90" s="59">
        <v>1039</v>
      </c>
      <c r="E90" s="60">
        <v>0.18805429864253401</v>
      </c>
    </row>
    <row r="91" spans="2:5" ht="14">
      <c r="B91" s="84" t="s">
        <v>82</v>
      </c>
      <c r="C91" s="63" t="s">
        <v>138</v>
      </c>
      <c r="D91" s="64">
        <v>7</v>
      </c>
      <c r="E91" s="65">
        <v>1.266968325792E-3</v>
      </c>
    </row>
    <row r="92" spans="2:5" ht="14">
      <c r="B92" s="85"/>
      <c r="C92" s="63" t="s">
        <v>139</v>
      </c>
      <c r="D92" s="64">
        <v>17</v>
      </c>
      <c r="E92" s="65">
        <v>3.0769230769230002E-3</v>
      </c>
    </row>
    <row r="93" spans="2:5" ht="14">
      <c r="B93" s="86" t="s">
        <v>340</v>
      </c>
      <c r="C93" s="58" t="s">
        <v>29</v>
      </c>
      <c r="D93" s="59">
        <v>24</v>
      </c>
      <c r="E93" s="60">
        <v>4.3438914027150001E-3</v>
      </c>
    </row>
    <row r="94" spans="2:5" ht="14">
      <c r="B94" s="84" t="s">
        <v>86</v>
      </c>
      <c r="C94" s="63" t="s">
        <v>138</v>
      </c>
      <c r="D94" s="64">
        <v>1</v>
      </c>
      <c r="E94" s="65">
        <v>1.8099547511300001E-4</v>
      </c>
    </row>
    <row r="95" spans="2:5" ht="14">
      <c r="B95" s="85"/>
      <c r="C95" s="63" t="s">
        <v>139</v>
      </c>
      <c r="D95" s="64">
        <v>9</v>
      </c>
      <c r="E95" s="65">
        <v>1.628959276018E-3</v>
      </c>
    </row>
    <row r="96" spans="2:5" ht="14">
      <c r="B96" s="86" t="s">
        <v>341</v>
      </c>
      <c r="C96" s="58" t="s">
        <v>29</v>
      </c>
      <c r="D96" s="59">
        <v>10</v>
      </c>
      <c r="E96" s="60">
        <v>1.809954751131E-3</v>
      </c>
    </row>
    <row r="97" spans="2:5" ht="14">
      <c r="B97" s="84" t="s">
        <v>78</v>
      </c>
      <c r="C97" s="63" t="s">
        <v>138</v>
      </c>
      <c r="D97" s="64">
        <v>5</v>
      </c>
      <c r="E97" s="65">
        <v>9.0497737556600002E-4</v>
      </c>
    </row>
    <row r="98" spans="2:5" ht="14">
      <c r="B98" s="85"/>
      <c r="C98" s="63" t="s">
        <v>139</v>
      </c>
      <c r="D98" s="64">
        <v>26</v>
      </c>
      <c r="E98" s="65">
        <v>4.705882352941E-3</v>
      </c>
    </row>
    <row r="99" spans="2:5" ht="14">
      <c r="B99" s="86" t="s">
        <v>342</v>
      </c>
      <c r="C99" s="58" t="s">
        <v>29</v>
      </c>
      <c r="D99" s="59">
        <v>31</v>
      </c>
      <c r="E99" s="60">
        <v>5.6108597285069997E-3</v>
      </c>
    </row>
    <row r="100" spans="2:5" ht="14">
      <c r="B100" s="84" t="s">
        <v>59</v>
      </c>
      <c r="C100" s="63" t="s">
        <v>138</v>
      </c>
      <c r="D100" s="64">
        <v>34</v>
      </c>
      <c r="E100" s="65">
        <v>6.1538461538460003E-3</v>
      </c>
    </row>
    <row r="101" spans="2:5" ht="14">
      <c r="B101" s="85"/>
      <c r="C101" s="63" t="s">
        <v>139</v>
      </c>
      <c r="D101" s="64">
        <v>85</v>
      </c>
      <c r="E101" s="65">
        <v>1.5384615384615E-2</v>
      </c>
    </row>
    <row r="102" spans="2:5" ht="14">
      <c r="B102" s="86" t="s">
        <v>343</v>
      </c>
      <c r="C102" s="58" t="s">
        <v>29</v>
      </c>
      <c r="D102" s="59">
        <v>119</v>
      </c>
      <c r="E102" s="60">
        <v>2.1538461538461999E-2</v>
      </c>
    </row>
    <row r="103" spans="2:5" ht="14">
      <c r="B103" s="84" t="s">
        <v>69</v>
      </c>
      <c r="C103" s="63" t="s">
        <v>138</v>
      </c>
      <c r="D103" s="64">
        <v>15</v>
      </c>
      <c r="E103" s="65">
        <v>2.7149321266969999E-3</v>
      </c>
    </row>
    <row r="104" spans="2:5" ht="14">
      <c r="B104" s="85"/>
      <c r="C104" s="63" t="s">
        <v>139</v>
      </c>
      <c r="D104" s="64">
        <v>36</v>
      </c>
      <c r="E104" s="65">
        <v>6.5158371040720002E-3</v>
      </c>
    </row>
    <row r="105" spans="2:5" ht="14">
      <c r="B105" s="86" t="s">
        <v>344</v>
      </c>
      <c r="C105" s="58" t="s">
        <v>29</v>
      </c>
      <c r="D105" s="59">
        <v>51</v>
      </c>
      <c r="E105" s="60">
        <v>9.2307692307689992E-3</v>
      </c>
    </row>
    <row r="106" spans="2:5" ht="14">
      <c r="B106" s="84" t="s">
        <v>71</v>
      </c>
      <c r="C106" s="63" t="s">
        <v>138</v>
      </c>
      <c r="D106" s="64">
        <v>11</v>
      </c>
      <c r="E106" s="65">
        <v>1.9909502262440001E-3</v>
      </c>
    </row>
    <row r="107" spans="2:5" ht="14">
      <c r="B107" s="85"/>
      <c r="C107" s="63" t="s">
        <v>139</v>
      </c>
      <c r="D107" s="64">
        <v>37</v>
      </c>
      <c r="E107" s="65">
        <v>6.6968325791860002E-3</v>
      </c>
    </row>
    <row r="108" spans="2:5" ht="14">
      <c r="B108" s="86" t="s">
        <v>345</v>
      </c>
      <c r="C108" s="58" t="s">
        <v>29</v>
      </c>
      <c r="D108" s="59">
        <v>48</v>
      </c>
      <c r="E108" s="60">
        <v>8.6877828054300003E-3</v>
      </c>
    </row>
    <row r="109" spans="2:5" ht="14">
      <c r="B109" s="84" t="s">
        <v>55</v>
      </c>
      <c r="C109" s="63" t="s">
        <v>138</v>
      </c>
      <c r="D109" s="64">
        <v>37</v>
      </c>
      <c r="E109" s="65">
        <v>6.6968325791860002E-3</v>
      </c>
    </row>
    <row r="110" spans="2:5" ht="14">
      <c r="B110" s="85"/>
      <c r="C110" s="63" t="s">
        <v>139</v>
      </c>
      <c r="D110" s="64">
        <v>116</v>
      </c>
      <c r="E110" s="65">
        <v>2.0995475113122001E-2</v>
      </c>
    </row>
    <row r="111" spans="2:5" ht="14">
      <c r="B111" s="86" t="s">
        <v>346</v>
      </c>
      <c r="C111" s="58" t="s">
        <v>29</v>
      </c>
      <c r="D111" s="59">
        <v>153</v>
      </c>
      <c r="E111" s="60">
        <v>2.7692307692307998E-2</v>
      </c>
    </row>
    <row r="112" spans="2:5" ht="14">
      <c r="B112" s="84" t="s">
        <v>67</v>
      </c>
      <c r="C112" s="63" t="s">
        <v>138</v>
      </c>
      <c r="D112" s="64">
        <v>22</v>
      </c>
      <c r="E112" s="65">
        <v>3.9819004524890003E-3</v>
      </c>
    </row>
    <row r="113" spans="2:5" ht="14">
      <c r="B113" s="85"/>
      <c r="C113" s="63" t="s">
        <v>139</v>
      </c>
      <c r="D113" s="64">
        <v>32</v>
      </c>
      <c r="E113" s="65">
        <v>5.7918552036199996E-3</v>
      </c>
    </row>
    <row r="114" spans="2:5" ht="14">
      <c r="B114" s="86" t="s">
        <v>347</v>
      </c>
      <c r="C114" s="58" t="s">
        <v>29</v>
      </c>
      <c r="D114" s="59">
        <v>54</v>
      </c>
      <c r="E114" s="60">
        <v>9.7737556561090008E-3</v>
      </c>
    </row>
    <row r="115" spans="2:5" ht="14">
      <c r="B115" s="84" t="s">
        <v>65</v>
      </c>
      <c r="C115" s="63" t="s">
        <v>138</v>
      </c>
      <c r="D115" s="64">
        <v>18</v>
      </c>
      <c r="E115" s="65">
        <v>3.2579185520360001E-3</v>
      </c>
    </row>
    <row r="116" spans="2:5" ht="14">
      <c r="B116" s="85"/>
      <c r="C116" s="63" t="s">
        <v>139</v>
      </c>
      <c r="D116" s="64">
        <v>44</v>
      </c>
      <c r="E116" s="65">
        <v>7.9638009049769996E-3</v>
      </c>
    </row>
    <row r="117" spans="2:5" ht="14">
      <c r="B117" s="86" t="s">
        <v>348</v>
      </c>
      <c r="C117" s="58" t="s">
        <v>29</v>
      </c>
      <c r="D117" s="59">
        <v>62</v>
      </c>
      <c r="E117" s="60">
        <v>1.1221719457013999E-2</v>
      </c>
    </row>
    <row r="118" spans="2:5" ht="14">
      <c r="B118" s="84" t="s">
        <v>56</v>
      </c>
      <c r="C118" s="63" t="s">
        <v>138</v>
      </c>
      <c r="D118" s="64">
        <v>47</v>
      </c>
      <c r="E118" s="65">
        <v>8.5067873303169995E-3</v>
      </c>
    </row>
    <row r="119" spans="2:5" ht="14">
      <c r="B119" s="85"/>
      <c r="C119" s="63" t="s">
        <v>139</v>
      </c>
      <c r="D119" s="64">
        <v>102</v>
      </c>
      <c r="E119" s="65">
        <v>1.8461538461537998E-2</v>
      </c>
    </row>
    <row r="120" spans="2:5" ht="14">
      <c r="B120" s="86" t="s">
        <v>349</v>
      </c>
      <c r="C120" s="58" t="s">
        <v>29</v>
      </c>
      <c r="D120" s="59">
        <v>149</v>
      </c>
      <c r="E120" s="60">
        <v>2.6968325791855E-2</v>
      </c>
    </row>
    <row r="121" spans="2:5" ht="14">
      <c r="B121" s="84" t="s">
        <v>84</v>
      </c>
      <c r="C121" s="63" t="s">
        <v>138</v>
      </c>
      <c r="D121" s="64">
        <v>1</v>
      </c>
      <c r="E121" s="65">
        <v>1.8099547511300001E-4</v>
      </c>
    </row>
    <row r="122" spans="2:5" ht="14">
      <c r="B122" s="85"/>
      <c r="C122" s="63" t="s">
        <v>139</v>
      </c>
      <c r="D122" s="64">
        <v>18</v>
      </c>
      <c r="E122" s="65">
        <v>3.2579185520360001E-3</v>
      </c>
    </row>
    <row r="123" spans="2:5" ht="14">
      <c r="B123" s="86" t="s">
        <v>350</v>
      </c>
      <c r="C123" s="58" t="s">
        <v>29</v>
      </c>
      <c r="D123" s="59">
        <v>19</v>
      </c>
      <c r="E123" s="60">
        <v>3.438914027149E-3</v>
      </c>
    </row>
    <row r="124" spans="2:5" ht="14">
      <c r="B124" s="84" t="s">
        <v>63</v>
      </c>
      <c r="C124" s="63" t="s">
        <v>138</v>
      </c>
      <c r="D124" s="64">
        <v>33</v>
      </c>
      <c r="E124" s="65">
        <v>5.9728506787330004E-3</v>
      </c>
    </row>
    <row r="125" spans="2:5" ht="14">
      <c r="B125" s="85"/>
      <c r="C125" s="63" t="s">
        <v>139</v>
      </c>
      <c r="D125" s="64">
        <v>33</v>
      </c>
      <c r="E125" s="65">
        <v>5.9728506787330004E-3</v>
      </c>
    </row>
    <row r="126" spans="2:5" ht="14">
      <c r="B126" s="86" t="s">
        <v>351</v>
      </c>
      <c r="C126" s="58" t="s">
        <v>29</v>
      </c>
      <c r="D126" s="59">
        <v>66</v>
      </c>
      <c r="E126" s="60">
        <v>1.1945701357466001E-2</v>
      </c>
    </row>
    <row r="127" spans="2:5" ht="14">
      <c r="B127" s="84" t="s">
        <v>62</v>
      </c>
      <c r="C127" s="63" t="s">
        <v>138</v>
      </c>
      <c r="D127" s="64">
        <v>29</v>
      </c>
      <c r="E127" s="65">
        <v>5.2488687782809998E-3</v>
      </c>
    </row>
    <row r="128" spans="2:5" ht="14">
      <c r="B128" s="85"/>
      <c r="C128" s="63" t="s">
        <v>139</v>
      </c>
      <c r="D128" s="64">
        <v>42</v>
      </c>
      <c r="E128" s="65">
        <v>7.6018099547509998E-3</v>
      </c>
    </row>
    <row r="129" spans="2:5" ht="14">
      <c r="B129" s="86" t="s">
        <v>352</v>
      </c>
      <c r="C129" s="58" t="s">
        <v>29</v>
      </c>
      <c r="D129" s="59">
        <v>71</v>
      </c>
      <c r="E129" s="60">
        <v>1.2850678733032E-2</v>
      </c>
    </row>
    <row r="130" spans="2:5" ht="14">
      <c r="B130" s="84" t="s">
        <v>61</v>
      </c>
      <c r="C130" s="63" t="s">
        <v>138</v>
      </c>
      <c r="D130" s="64">
        <v>26</v>
      </c>
      <c r="E130" s="65">
        <v>4.705882352941E-3</v>
      </c>
    </row>
    <row r="131" spans="2:5" ht="14">
      <c r="B131" s="85"/>
      <c r="C131" s="63" t="s">
        <v>139</v>
      </c>
      <c r="D131" s="64">
        <v>46</v>
      </c>
      <c r="E131" s="65">
        <v>8.3257918552040004E-3</v>
      </c>
    </row>
    <row r="132" spans="2:5" ht="14">
      <c r="B132" s="86" t="s">
        <v>353</v>
      </c>
      <c r="C132" s="58" t="s">
        <v>29</v>
      </c>
      <c r="D132" s="59">
        <v>72</v>
      </c>
      <c r="E132" s="60">
        <v>1.3031674208145E-2</v>
      </c>
    </row>
    <row r="133" spans="2:5" ht="14">
      <c r="B133" s="84" t="s">
        <v>68</v>
      </c>
      <c r="C133" s="63" t="s">
        <v>138</v>
      </c>
      <c r="D133" s="64">
        <v>18</v>
      </c>
      <c r="E133" s="65">
        <v>3.2579185520360001E-3</v>
      </c>
    </row>
    <row r="134" spans="2:5" ht="14">
      <c r="B134" s="85"/>
      <c r="C134" s="63" t="s">
        <v>139</v>
      </c>
      <c r="D134" s="64">
        <v>34</v>
      </c>
      <c r="E134" s="65">
        <v>6.1538461538460003E-3</v>
      </c>
    </row>
    <row r="135" spans="2:5" ht="14">
      <c r="B135" s="86" t="s">
        <v>354</v>
      </c>
      <c r="C135" s="58" t="s">
        <v>29</v>
      </c>
      <c r="D135" s="59">
        <v>52</v>
      </c>
      <c r="E135" s="60">
        <v>9.411764705882E-3</v>
      </c>
    </row>
    <row r="136" spans="2:5" ht="14">
      <c r="B136" s="84" t="s">
        <v>51</v>
      </c>
      <c r="C136" s="63" t="s">
        <v>138</v>
      </c>
      <c r="D136" s="64">
        <v>104</v>
      </c>
      <c r="E136" s="65">
        <v>1.8823529411764999E-2</v>
      </c>
    </row>
    <row r="137" spans="2:5" ht="14">
      <c r="B137" s="85"/>
      <c r="C137" s="63" t="s">
        <v>139</v>
      </c>
      <c r="D137" s="64">
        <v>178</v>
      </c>
      <c r="E137" s="65">
        <v>3.2217194570135999E-2</v>
      </c>
    </row>
    <row r="138" spans="2:5" ht="14">
      <c r="B138" s="86" t="s">
        <v>355</v>
      </c>
      <c r="C138" s="58" t="s">
        <v>29</v>
      </c>
      <c r="D138" s="59">
        <v>282</v>
      </c>
      <c r="E138" s="60">
        <v>5.1040723981900002E-2</v>
      </c>
    </row>
    <row r="139" spans="2:5" ht="14">
      <c r="B139" s="84" t="s">
        <v>85</v>
      </c>
      <c r="C139" s="63" t="s">
        <v>138</v>
      </c>
      <c r="D139" s="64">
        <v>5</v>
      </c>
      <c r="E139" s="65">
        <v>9.0497737556600002E-4</v>
      </c>
    </row>
    <row r="140" spans="2:5" ht="14">
      <c r="B140" s="85"/>
      <c r="C140" s="63" t="s">
        <v>139</v>
      </c>
      <c r="D140" s="64">
        <v>11</v>
      </c>
      <c r="E140" s="65">
        <v>1.9909502262440001E-3</v>
      </c>
    </row>
    <row r="141" spans="2:5" ht="14">
      <c r="B141" s="86" t="s">
        <v>356</v>
      </c>
      <c r="C141" s="58" t="s">
        <v>29</v>
      </c>
      <c r="D141" s="59">
        <v>16</v>
      </c>
      <c r="E141" s="60">
        <v>2.8959276018099998E-3</v>
      </c>
    </row>
    <row r="142" spans="2:5" ht="14">
      <c r="B142" s="84" t="s">
        <v>91</v>
      </c>
      <c r="C142" s="63" t="s">
        <v>138</v>
      </c>
      <c r="D142" s="64">
        <v>1</v>
      </c>
      <c r="E142" s="65">
        <v>1.8099547511300001E-4</v>
      </c>
    </row>
    <row r="143" spans="2:5" ht="14">
      <c r="B143" s="86"/>
      <c r="C143" s="58" t="s">
        <v>29</v>
      </c>
      <c r="D143" s="59">
        <v>1</v>
      </c>
      <c r="E143" s="60">
        <v>1.8099547511300001E-4</v>
      </c>
    </row>
    <row r="144" spans="2:5" ht="14.5" customHeight="1">
      <c r="B144" s="84" t="s">
        <v>70</v>
      </c>
      <c r="C144" s="63" t="s">
        <v>138</v>
      </c>
      <c r="D144" s="64">
        <v>11</v>
      </c>
      <c r="E144" s="65">
        <v>1.9909502262440001E-3</v>
      </c>
    </row>
    <row r="145" spans="2:5" ht="14.5" customHeight="1">
      <c r="B145" s="85"/>
      <c r="C145" s="63" t="s">
        <v>139</v>
      </c>
      <c r="D145" s="64">
        <v>38</v>
      </c>
      <c r="E145" s="65">
        <v>6.8778280542990001E-3</v>
      </c>
    </row>
    <row r="146" spans="2:5" ht="14.5" customHeight="1">
      <c r="B146" s="86" t="s">
        <v>179</v>
      </c>
      <c r="C146" s="58" t="s">
        <v>29</v>
      </c>
      <c r="D146" s="59">
        <v>49</v>
      </c>
      <c r="E146" s="60">
        <v>8.8687782805429993E-3</v>
      </c>
    </row>
    <row r="147" spans="2:5" ht="14.5" customHeight="1">
      <c r="B147" s="90" t="s">
        <v>29</v>
      </c>
      <c r="C147" s="91"/>
      <c r="D147" s="56">
        <v>5525</v>
      </c>
      <c r="E147" s="57">
        <v>1</v>
      </c>
    </row>
    <row r="148" spans="2:5" ht="14.5" customHeight="1"/>
    <row r="149" spans="2:5" ht="14.5" customHeight="1">
      <c r="B149" s="15" t="s">
        <v>135</v>
      </c>
    </row>
    <row r="150" spans="2:5" ht="14.5" customHeight="1">
      <c r="B150" s="17" t="s">
        <v>18</v>
      </c>
    </row>
    <row r="151" spans="2:5" ht="14.5" customHeight="1">
      <c r="B151" s="16" t="s">
        <v>136</v>
      </c>
    </row>
    <row r="152" spans="2:5" ht="14.5" customHeight="1">
      <c r="B152" s="15" t="s">
        <v>17</v>
      </c>
    </row>
    <row r="153" spans="2:5" ht="14.5" customHeight="1">
      <c r="B153" s="15" t="s">
        <v>137</v>
      </c>
    </row>
    <row r="154" spans="2:5" ht="14.5" customHeight="1"/>
    <row r="155" spans="2:5" ht="14.5" customHeight="1"/>
  </sheetData>
  <mergeCells count="48">
    <mergeCell ref="B136:B138"/>
    <mergeCell ref="B121:B123"/>
    <mergeCell ref="B124:B126"/>
    <mergeCell ref="B127:B129"/>
    <mergeCell ref="B130:B132"/>
    <mergeCell ref="B133:B135"/>
    <mergeCell ref="B106:B108"/>
    <mergeCell ref="B109:B111"/>
    <mergeCell ref="B112:B114"/>
    <mergeCell ref="B115:B117"/>
    <mergeCell ref="B118:B120"/>
    <mergeCell ref="B91:B93"/>
    <mergeCell ref="B94:B96"/>
    <mergeCell ref="B97:B99"/>
    <mergeCell ref="B100:B102"/>
    <mergeCell ref="B103:B105"/>
    <mergeCell ref="B77:B79"/>
    <mergeCell ref="B80:B82"/>
    <mergeCell ref="B83:B84"/>
    <mergeCell ref="B85:B87"/>
    <mergeCell ref="B88:B90"/>
    <mergeCell ref="B8:E10"/>
    <mergeCell ref="B31:B33"/>
    <mergeCell ref="B34:B36"/>
    <mergeCell ref="B37:B39"/>
    <mergeCell ref="B40:B42"/>
    <mergeCell ref="B13:B15"/>
    <mergeCell ref="B16:B18"/>
    <mergeCell ref="B19:B21"/>
    <mergeCell ref="B22:B24"/>
    <mergeCell ref="B28:B30"/>
    <mergeCell ref="B25:B27"/>
    <mergeCell ref="B139:B141"/>
    <mergeCell ref="B142:B143"/>
    <mergeCell ref="B144:B146"/>
    <mergeCell ref="B147:C147"/>
    <mergeCell ref="B43:B44"/>
    <mergeCell ref="B45:B47"/>
    <mergeCell ref="B48:B50"/>
    <mergeCell ref="B51:B53"/>
    <mergeCell ref="B54:B56"/>
    <mergeCell ref="B57:B59"/>
    <mergeCell ref="B60:B61"/>
    <mergeCell ref="B62:B64"/>
    <mergeCell ref="B65:B67"/>
    <mergeCell ref="B68:B70"/>
    <mergeCell ref="B71:B73"/>
    <mergeCell ref="B74:B76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3"/>
  <sheetViews>
    <sheetView showGridLines="0" view="pageBreakPreview" topLeftCell="A132" zoomScaleNormal="93" zoomScaleSheetLayoutView="100" workbookViewId="0">
      <selection activeCell="C145" sqref="C145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5.726562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83" t="s">
        <v>358</v>
      </c>
      <c r="C8" s="83"/>
      <c r="D8" s="83"/>
      <c r="E8" s="83"/>
    </row>
    <row r="9" spans="2:6" s="13" customFormat="1" ht="15" customHeight="1">
      <c r="B9" s="83"/>
      <c r="C9" s="83"/>
      <c r="D9" s="83"/>
      <c r="E9" s="83"/>
      <c r="F9" s="49"/>
    </row>
    <row r="10" spans="2:6" s="13" customFormat="1" ht="15" customHeight="1">
      <c r="B10" s="83"/>
      <c r="C10" s="83"/>
      <c r="D10" s="83"/>
      <c r="E10" s="83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84" t="s">
        <v>92</v>
      </c>
      <c r="C13" s="63" t="s">
        <v>138</v>
      </c>
      <c r="D13" s="64">
        <v>9</v>
      </c>
      <c r="E13" s="65">
        <v>1.628959276018E-3</v>
      </c>
    </row>
    <row r="14" spans="2:6" ht="14.5" customHeight="1">
      <c r="B14" s="85"/>
      <c r="C14" s="63" t="s">
        <v>139</v>
      </c>
      <c r="D14" s="64">
        <v>17</v>
      </c>
      <c r="E14" s="65">
        <v>3.0769230769230002E-3</v>
      </c>
    </row>
    <row r="15" spans="2:6" ht="14.5" customHeight="1">
      <c r="B15" s="86"/>
      <c r="C15" s="58" t="s">
        <v>29</v>
      </c>
      <c r="D15" s="59">
        <v>26</v>
      </c>
      <c r="E15" s="60">
        <v>4.705882352941E-3</v>
      </c>
    </row>
    <row r="16" spans="2:6" ht="14.5" customHeight="1">
      <c r="B16" s="84" t="s">
        <v>93</v>
      </c>
      <c r="C16" s="63" t="s">
        <v>138</v>
      </c>
      <c r="D16" s="64">
        <v>16</v>
      </c>
      <c r="E16" s="65">
        <v>2.8959276018099998E-3</v>
      </c>
    </row>
    <row r="17" spans="2:5" ht="14.5" customHeight="1">
      <c r="B17" s="85"/>
      <c r="C17" s="63" t="s">
        <v>139</v>
      </c>
      <c r="D17" s="64">
        <v>37</v>
      </c>
      <c r="E17" s="65">
        <v>6.6968325791860002E-3</v>
      </c>
    </row>
    <row r="18" spans="2:5" ht="14.5" customHeight="1">
      <c r="B18" s="86" t="s">
        <v>140</v>
      </c>
      <c r="C18" s="58" t="s">
        <v>29</v>
      </c>
      <c r="D18" s="59">
        <v>53</v>
      </c>
      <c r="E18" s="60">
        <v>9.5927601809950008E-3</v>
      </c>
    </row>
    <row r="19" spans="2:5" ht="14.5" customHeight="1">
      <c r="B19" s="84" t="s">
        <v>94</v>
      </c>
      <c r="C19" s="63" t="s">
        <v>138</v>
      </c>
      <c r="D19" s="64">
        <v>12</v>
      </c>
      <c r="E19" s="65">
        <v>2.171945701357E-3</v>
      </c>
    </row>
    <row r="20" spans="2:5" ht="14.5" customHeight="1">
      <c r="B20" s="85"/>
      <c r="C20" s="63" t="s">
        <v>139</v>
      </c>
      <c r="D20" s="64">
        <v>19</v>
      </c>
      <c r="E20" s="65">
        <v>3.438914027149E-3</v>
      </c>
    </row>
    <row r="21" spans="2:5" ht="14.5" customHeight="1">
      <c r="B21" s="86" t="s">
        <v>141</v>
      </c>
      <c r="C21" s="58" t="s">
        <v>29</v>
      </c>
      <c r="D21" s="59">
        <v>31</v>
      </c>
      <c r="E21" s="60">
        <v>5.6108597285069997E-3</v>
      </c>
    </row>
    <row r="22" spans="2:5" ht="14.5" customHeight="1">
      <c r="B22" s="84" t="s">
        <v>95</v>
      </c>
      <c r="C22" s="63" t="s">
        <v>138</v>
      </c>
      <c r="D22" s="64">
        <v>490</v>
      </c>
      <c r="E22" s="65">
        <v>8.8687782805429993E-2</v>
      </c>
    </row>
    <row r="23" spans="2:5" ht="14.5" customHeight="1">
      <c r="B23" s="85"/>
      <c r="C23" s="63" t="s">
        <v>139</v>
      </c>
      <c r="D23" s="64">
        <v>771</v>
      </c>
      <c r="E23" s="65">
        <v>0.13954751131221699</v>
      </c>
    </row>
    <row r="24" spans="2:5" ht="14.5" customHeight="1">
      <c r="B24" s="86" t="s">
        <v>142</v>
      </c>
      <c r="C24" s="58" t="s">
        <v>29</v>
      </c>
      <c r="D24" s="59">
        <v>1261</v>
      </c>
      <c r="E24" s="60">
        <v>0.22823529411764701</v>
      </c>
    </row>
    <row r="25" spans="2:5" ht="14.5" customHeight="1">
      <c r="B25" s="84" t="s">
        <v>96</v>
      </c>
      <c r="C25" s="63" t="s">
        <v>138</v>
      </c>
      <c r="D25" s="64">
        <v>9</v>
      </c>
      <c r="E25" s="65">
        <v>1.628959276018E-3</v>
      </c>
    </row>
    <row r="26" spans="2:5" ht="14.5" customHeight="1">
      <c r="B26" s="85"/>
      <c r="C26" s="63" t="s">
        <v>139</v>
      </c>
      <c r="D26" s="64">
        <v>26</v>
      </c>
      <c r="E26" s="65">
        <v>4.705882352941E-3</v>
      </c>
    </row>
    <row r="27" spans="2:5" ht="14.5" customHeight="1">
      <c r="B27" s="86" t="s">
        <v>143</v>
      </c>
      <c r="C27" s="58" t="s">
        <v>29</v>
      </c>
      <c r="D27" s="59">
        <v>35</v>
      </c>
      <c r="E27" s="60">
        <v>6.3348416289590002E-3</v>
      </c>
    </row>
    <row r="28" spans="2:5" ht="14.5" customHeight="1">
      <c r="B28" s="84" t="s">
        <v>97</v>
      </c>
      <c r="C28" s="63" t="s">
        <v>138</v>
      </c>
      <c r="D28" s="64">
        <v>90</v>
      </c>
      <c r="E28" s="65">
        <v>1.6289592760181E-2</v>
      </c>
    </row>
    <row r="29" spans="2:5" ht="14.5" customHeight="1">
      <c r="B29" s="85"/>
      <c r="C29" s="63" t="s">
        <v>139</v>
      </c>
      <c r="D29" s="64">
        <v>183</v>
      </c>
      <c r="E29" s="65">
        <v>3.3122171945701002E-2</v>
      </c>
    </row>
    <row r="30" spans="2:5" ht="14.5" customHeight="1">
      <c r="B30" s="86" t="s">
        <v>144</v>
      </c>
      <c r="C30" s="58" t="s">
        <v>29</v>
      </c>
      <c r="D30" s="59">
        <v>273</v>
      </c>
      <c r="E30" s="60">
        <v>4.9411764705882003E-2</v>
      </c>
    </row>
    <row r="31" spans="2:5" ht="14.5" customHeight="1">
      <c r="B31" s="84" t="s">
        <v>98</v>
      </c>
      <c r="C31" s="63" t="s">
        <v>138</v>
      </c>
      <c r="D31" s="64">
        <v>6</v>
      </c>
      <c r="E31" s="65">
        <v>1.0859728506790001E-3</v>
      </c>
    </row>
    <row r="32" spans="2:5" ht="14.5" customHeight="1">
      <c r="B32" s="85"/>
      <c r="C32" s="63" t="s">
        <v>139</v>
      </c>
      <c r="D32" s="64">
        <v>24</v>
      </c>
      <c r="E32" s="65">
        <v>4.3438914027150001E-3</v>
      </c>
    </row>
    <row r="33" spans="2:5" ht="14.5" customHeight="1">
      <c r="B33" s="86" t="s">
        <v>145</v>
      </c>
      <c r="C33" s="58" t="s">
        <v>29</v>
      </c>
      <c r="D33" s="59">
        <v>30</v>
      </c>
      <c r="E33" s="60">
        <v>5.4298642533939998E-3</v>
      </c>
    </row>
    <row r="34" spans="2:5" ht="14.5" customHeight="1">
      <c r="B34" s="84" t="s">
        <v>99</v>
      </c>
      <c r="C34" s="63" t="s">
        <v>138</v>
      </c>
      <c r="D34" s="64">
        <v>1</v>
      </c>
      <c r="E34" s="65">
        <v>1.8099547511300001E-4</v>
      </c>
    </row>
    <row r="35" spans="2:5" ht="14.5" customHeight="1">
      <c r="B35" s="85"/>
      <c r="C35" s="63" t="s">
        <v>139</v>
      </c>
      <c r="D35" s="64">
        <v>6</v>
      </c>
      <c r="E35" s="65">
        <v>1.0859728506790001E-3</v>
      </c>
    </row>
    <row r="36" spans="2:5" ht="14.5" customHeight="1">
      <c r="B36" s="86" t="s">
        <v>146</v>
      </c>
      <c r="C36" s="58" t="s">
        <v>29</v>
      </c>
      <c r="D36" s="59">
        <v>7</v>
      </c>
      <c r="E36" s="60">
        <v>1.266968325792E-3</v>
      </c>
    </row>
    <row r="37" spans="2:5" ht="14.5" customHeight="1">
      <c r="B37" s="84" t="s">
        <v>100</v>
      </c>
      <c r="C37" s="63" t="s">
        <v>138</v>
      </c>
      <c r="D37" s="64">
        <v>16</v>
      </c>
      <c r="E37" s="65">
        <v>2.8959276018099998E-3</v>
      </c>
    </row>
    <row r="38" spans="2:5" ht="14.5" customHeight="1">
      <c r="B38" s="85"/>
      <c r="C38" s="63" t="s">
        <v>139</v>
      </c>
      <c r="D38" s="64">
        <v>57</v>
      </c>
      <c r="E38" s="65">
        <v>1.0316742081448E-2</v>
      </c>
    </row>
    <row r="39" spans="2:5" ht="14.5" customHeight="1">
      <c r="B39" s="86" t="s">
        <v>147</v>
      </c>
      <c r="C39" s="58" t="s">
        <v>29</v>
      </c>
      <c r="D39" s="59">
        <v>73</v>
      </c>
      <c r="E39" s="60">
        <v>1.3212669683258E-2</v>
      </c>
    </row>
    <row r="40" spans="2:5" ht="14.5" customHeight="1">
      <c r="B40" s="84" t="s">
        <v>101</v>
      </c>
      <c r="C40" s="63" t="s">
        <v>138</v>
      </c>
      <c r="D40" s="64">
        <v>53</v>
      </c>
      <c r="E40" s="65">
        <v>9.5927601809950008E-3</v>
      </c>
    </row>
    <row r="41" spans="2:5" ht="14.5" customHeight="1">
      <c r="B41" s="85"/>
      <c r="C41" s="63" t="s">
        <v>139</v>
      </c>
      <c r="D41" s="64">
        <v>82</v>
      </c>
      <c r="E41" s="65">
        <v>1.4841628959276E-2</v>
      </c>
    </row>
    <row r="42" spans="2:5" ht="14.5" customHeight="1">
      <c r="B42" s="86" t="s">
        <v>148</v>
      </c>
      <c r="C42" s="58" t="s">
        <v>29</v>
      </c>
      <c r="D42" s="59">
        <v>135</v>
      </c>
      <c r="E42" s="60">
        <v>2.4434389140271E-2</v>
      </c>
    </row>
    <row r="43" spans="2:5" ht="14.5" customHeight="1">
      <c r="B43" s="84" t="s">
        <v>102</v>
      </c>
      <c r="C43" s="63" t="s">
        <v>139</v>
      </c>
      <c r="D43" s="64">
        <v>1</v>
      </c>
      <c r="E43" s="65">
        <v>1.8099547511300001E-4</v>
      </c>
    </row>
    <row r="44" spans="2:5" ht="14.5" customHeight="1">
      <c r="B44" s="86" t="s">
        <v>149</v>
      </c>
      <c r="C44" s="58" t="s">
        <v>29</v>
      </c>
      <c r="D44" s="59">
        <v>1</v>
      </c>
      <c r="E44" s="60">
        <v>1.8099547511300001E-4</v>
      </c>
    </row>
    <row r="45" spans="2:5" ht="14.5" customHeight="1">
      <c r="B45" s="84" t="s">
        <v>103</v>
      </c>
      <c r="C45" s="63" t="s">
        <v>138</v>
      </c>
      <c r="D45" s="64">
        <v>38</v>
      </c>
      <c r="E45" s="65">
        <v>6.8778280542990001E-3</v>
      </c>
    </row>
    <row r="46" spans="2:5" ht="14.5" customHeight="1">
      <c r="B46" s="85"/>
      <c r="C46" s="63" t="s">
        <v>139</v>
      </c>
      <c r="D46" s="64">
        <v>85</v>
      </c>
      <c r="E46" s="65">
        <v>1.5384615384615E-2</v>
      </c>
    </row>
    <row r="47" spans="2:5" ht="14.5" customHeight="1">
      <c r="B47" s="86" t="s">
        <v>150</v>
      </c>
      <c r="C47" s="58" t="s">
        <v>29</v>
      </c>
      <c r="D47" s="59">
        <v>123</v>
      </c>
      <c r="E47" s="60">
        <v>2.2262443438913999E-2</v>
      </c>
    </row>
    <row r="48" spans="2:5" ht="14.5" customHeight="1">
      <c r="B48" s="84" t="s">
        <v>104</v>
      </c>
      <c r="C48" s="63" t="s">
        <v>138</v>
      </c>
      <c r="D48" s="64">
        <v>181</v>
      </c>
      <c r="E48" s="65">
        <v>3.2760180995475001E-2</v>
      </c>
    </row>
    <row r="49" spans="2:5" ht="14.5" customHeight="1">
      <c r="B49" s="85"/>
      <c r="C49" s="63" t="s">
        <v>139</v>
      </c>
      <c r="D49" s="64">
        <v>321</v>
      </c>
      <c r="E49" s="65">
        <v>5.8099547511312001E-2</v>
      </c>
    </row>
    <row r="50" spans="2:5" ht="14.5" customHeight="1">
      <c r="B50" s="86" t="s">
        <v>151</v>
      </c>
      <c r="C50" s="58" t="s">
        <v>29</v>
      </c>
      <c r="D50" s="59">
        <v>502</v>
      </c>
      <c r="E50" s="60">
        <v>9.0859728506787002E-2</v>
      </c>
    </row>
    <row r="51" spans="2:5" ht="14.5" customHeight="1">
      <c r="B51" s="84" t="s">
        <v>105</v>
      </c>
      <c r="C51" s="63" t="s">
        <v>138</v>
      </c>
      <c r="D51" s="64">
        <v>57</v>
      </c>
      <c r="E51" s="65">
        <v>1.0316742081448E-2</v>
      </c>
    </row>
    <row r="52" spans="2:5" ht="14.5" customHeight="1">
      <c r="B52" s="85"/>
      <c r="C52" s="63" t="s">
        <v>139</v>
      </c>
      <c r="D52" s="64">
        <v>105</v>
      </c>
      <c r="E52" s="65">
        <v>1.9004524886878E-2</v>
      </c>
    </row>
    <row r="53" spans="2:5" ht="14.5" customHeight="1">
      <c r="B53" s="86" t="s">
        <v>152</v>
      </c>
      <c r="C53" s="58" t="s">
        <v>29</v>
      </c>
      <c r="D53" s="59">
        <v>162</v>
      </c>
      <c r="E53" s="60">
        <v>2.9321266968326001E-2</v>
      </c>
    </row>
    <row r="54" spans="2:5" ht="14.5" customHeight="1">
      <c r="B54" s="84" t="s">
        <v>106</v>
      </c>
      <c r="C54" s="63" t="s">
        <v>138</v>
      </c>
      <c r="D54" s="64">
        <v>1</v>
      </c>
      <c r="E54" s="65">
        <v>1.8099547511300001E-4</v>
      </c>
    </row>
    <row r="55" spans="2:5" ht="14.5" customHeight="1">
      <c r="B55" s="85"/>
      <c r="C55" s="63" t="s">
        <v>139</v>
      </c>
      <c r="D55" s="64">
        <v>3</v>
      </c>
      <c r="E55" s="65">
        <v>5.4298642533899999E-4</v>
      </c>
    </row>
    <row r="56" spans="2:5" ht="14.5" customHeight="1">
      <c r="B56" s="86" t="s">
        <v>153</v>
      </c>
      <c r="C56" s="58" t="s">
        <v>29</v>
      </c>
      <c r="D56" s="59">
        <v>4</v>
      </c>
      <c r="E56" s="60">
        <v>7.2398190045200002E-4</v>
      </c>
    </row>
    <row r="57" spans="2:5" ht="14.5" customHeight="1">
      <c r="B57" s="84" t="s">
        <v>107</v>
      </c>
      <c r="C57" s="63" t="s">
        <v>138</v>
      </c>
      <c r="D57" s="64">
        <v>10</v>
      </c>
      <c r="E57" s="65">
        <v>1.809954751131E-3</v>
      </c>
    </row>
    <row r="58" spans="2:5" ht="14.5" customHeight="1">
      <c r="B58" s="85"/>
      <c r="C58" s="63" t="s">
        <v>139</v>
      </c>
      <c r="D58" s="64">
        <v>20</v>
      </c>
      <c r="E58" s="65">
        <v>3.6199095022619999E-3</v>
      </c>
    </row>
    <row r="59" spans="2:5" ht="14.5" customHeight="1">
      <c r="B59" s="86" t="s">
        <v>154</v>
      </c>
      <c r="C59" s="58" t="s">
        <v>29</v>
      </c>
      <c r="D59" s="59">
        <v>30</v>
      </c>
      <c r="E59" s="60">
        <v>5.4298642533939998E-3</v>
      </c>
    </row>
    <row r="60" spans="2:5" ht="14.5" customHeight="1">
      <c r="B60" s="84" t="s">
        <v>108</v>
      </c>
      <c r="C60" s="63" t="s">
        <v>138</v>
      </c>
      <c r="D60" s="64">
        <v>14</v>
      </c>
      <c r="E60" s="65">
        <v>2.533936651584E-3</v>
      </c>
    </row>
    <row r="61" spans="2:5" ht="14.5" customHeight="1">
      <c r="B61" s="85"/>
      <c r="C61" s="63" t="s">
        <v>139</v>
      </c>
      <c r="D61" s="64">
        <v>21</v>
      </c>
      <c r="E61" s="65">
        <v>3.8009049773759999E-3</v>
      </c>
    </row>
    <row r="62" spans="2:5" ht="14.5" customHeight="1">
      <c r="B62" s="86" t="s">
        <v>155</v>
      </c>
      <c r="C62" s="58" t="s">
        <v>29</v>
      </c>
      <c r="D62" s="59">
        <v>35</v>
      </c>
      <c r="E62" s="60">
        <v>6.3348416289590002E-3</v>
      </c>
    </row>
    <row r="63" spans="2:5" ht="14.5" customHeight="1">
      <c r="B63" s="84" t="s">
        <v>109</v>
      </c>
      <c r="C63" s="63" t="s">
        <v>138</v>
      </c>
      <c r="D63" s="64">
        <v>3</v>
      </c>
      <c r="E63" s="65">
        <v>5.4298642533899999E-4</v>
      </c>
    </row>
    <row r="64" spans="2:5" ht="14.5" customHeight="1">
      <c r="B64" s="85"/>
      <c r="C64" s="63" t="s">
        <v>139</v>
      </c>
      <c r="D64" s="64">
        <v>18</v>
      </c>
      <c r="E64" s="65">
        <v>3.2579185520360001E-3</v>
      </c>
    </row>
    <row r="65" spans="2:5" ht="14.5" customHeight="1">
      <c r="B65" s="86" t="s">
        <v>156</v>
      </c>
      <c r="C65" s="58" t="s">
        <v>29</v>
      </c>
      <c r="D65" s="59">
        <v>21</v>
      </c>
      <c r="E65" s="60">
        <v>3.8009049773759999E-3</v>
      </c>
    </row>
    <row r="66" spans="2:5" ht="14.5" customHeight="1">
      <c r="B66" s="84" t="s">
        <v>110</v>
      </c>
      <c r="C66" s="63" t="s">
        <v>138</v>
      </c>
      <c r="D66" s="64">
        <v>4</v>
      </c>
      <c r="E66" s="65">
        <v>7.2398190045200002E-4</v>
      </c>
    </row>
    <row r="67" spans="2:5" ht="14.5" customHeight="1">
      <c r="B67" s="85"/>
      <c r="C67" s="63" t="s">
        <v>139</v>
      </c>
      <c r="D67" s="64">
        <v>15</v>
      </c>
      <c r="E67" s="65">
        <v>2.7149321266969999E-3</v>
      </c>
    </row>
    <row r="68" spans="2:5" ht="14.5" customHeight="1">
      <c r="B68" s="86" t="s">
        <v>157</v>
      </c>
      <c r="C68" s="58" t="s">
        <v>29</v>
      </c>
      <c r="D68" s="59">
        <v>19</v>
      </c>
      <c r="E68" s="60">
        <v>3.438914027149E-3</v>
      </c>
    </row>
    <row r="69" spans="2:5" ht="14.5" customHeight="1">
      <c r="B69" s="84" t="s">
        <v>111</v>
      </c>
      <c r="C69" s="63" t="s">
        <v>138</v>
      </c>
      <c r="D69" s="64">
        <v>1</v>
      </c>
      <c r="E69" s="65">
        <v>1.8099547511300001E-4</v>
      </c>
    </row>
    <row r="70" spans="2:5" ht="14.5" customHeight="1">
      <c r="B70" s="85"/>
      <c r="C70" s="63" t="s">
        <v>139</v>
      </c>
      <c r="D70" s="64">
        <v>8</v>
      </c>
      <c r="E70" s="65">
        <v>1.4479638009049999E-3</v>
      </c>
    </row>
    <row r="71" spans="2:5" ht="14.5" customHeight="1">
      <c r="B71" s="86" t="s">
        <v>158</v>
      </c>
      <c r="C71" s="58" t="s">
        <v>29</v>
      </c>
      <c r="D71" s="59">
        <v>9</v>
      </c>
      <c r="E71" s="60">
        <v>1.628959276018E-3</v>
      </c>
    </row>
    <row r="72" spans="2:5" ht="14.5" customHeight="1">
      <c r="B72" s="84" t="s">
        <v>112</v>
      </c>
      <c r="C72" s="63" t="s">
        <v>138</v>
      </c>
      <c r="D72" s="64">
        <v>14</v>
      </c>
      <c r="E72" s="65">
        <v>2.533936651584E-3</v>
      </c>
    </row>
    <row r="73" spans="2:5" ht="14.5" customHeight="1">
      <c r="B73" s="85"/>
      <c r="C73" s="63" t="s">
        <v>139</v>
      </c>
      <c r="D73" s="64">
        <v>13</v>
      </c>
      <c r="E73" s="65">
        <v>2.352941176471E-3</v>
      </c>
    </row>
    <row r="74" spans="2:5" ht="14.5" customHeight="1">
      <c r="B74" s="86" t="s">
        <v>159</v>
      </c>
      <c r="C74" s="58" t="s">
        <v>29</v>
      </c>
      <c r="D74" s="59">
        <v>27</v>
      </c>
      <c r="E74" s="60">
        <v>4.8868778280539999E-3</v>
      </c>
    </row>
    <row r="75" spans="2:5" ht="14.5" customHeight="1">
      <c r="B75" s="84" t="s">
        <v>113</v>
      </c>
      <c r="C75" s="63" t="s">
        <v>138</v>
      </c>
      <c r="D75" s="64">
        <v>18</v>
      </c>
      <c r="E75" s="65">
        <v>3.2579185520360001E-3</v>
      </c>
    </row>
    <row r="76" spans="2:5" ht="14.5" customHeight="1">
      <c r="B76" s="85"/>
      <c r="C76" s="63" t="s">
        <v>139</v>
      </c>
      <c r="D76" s="64">
        <v>42</v>
      </c>
      <c r="E76" s="65">
        <v>7.6018099547509998E-3</v>
      </c>
    </row>
    <row r="77" spans="2:5" ht="14.5" customHeight="1">
      <c r="B77" s="86" t="s">
        <v>160</v>
      </c>
      <c r="C77" s="58" t="s">
        <v>29</v>
      </c>
      <c r="D77" s="59">
        <v>60</v>
      </c>
      <c r="E77" s="60">
        <v>1.0859728506787E-2</v>
      </c>
    </row>
    <row r="78" spans="2:5" ht="14.5" customHeight="1">
      <c r="B78" s="84" t="s">
        <v>114</v>
      </c>
      <c r="C78" s="63" t="s">
        <v>138</v>
      </c>
      <c r="D78" s="64">
        <v>4</v>
      </c>
      <c r="E78" s="65">
        <v>7.2398190045200002E-4</v>
      </c>
    </row>
    <row r="79" spans="2:5" ht="14.5" customHeight="1">
      <c r="B79" s="85"/>
      <c r="C79" s="63" t="s">
        <v>139</v>
      </c>
      <c r="D79" s="64">
        <v>3</v>
      </c>
      <c r="E79" s="65">
        <v>5.4298642533899999E-4</v>
      </c>
    </row>
    <row r="80" spans="2:5" ht="14.5" customHeight="1">
      <c r="B80" s="86" t="s">
        <v>161</v>
      </c>
      <c r="C80" s="58" t="s">
        <v>29</v>
      </c>
      <c r="D80" s="59">
        <v>7</v>
      </c>
      <c r="E80" s="60">
        <v>1.266968325792E-3</v>
      </c>
    </row>
    <row r="81" spans="2:5" ht="14.5" customHeight="1">
      <c r="B81" s="84" t="s">
        <v>115</v>
      </c>
      <c r="C81" s="63" t="s">
        <v>138</v>
      </c>
      <c r="D81" s="64">
        <v>50</v>
      </c>
      <c r="E81" s="65">
        <v>9.0497737556560001E-3</v>
      </c>
    </row>
    <row r="82" spans="2:5" ht="14.5" customHeight="1">
      <c r="B82" s="85"/>
      <c r="C82" s="63" t="s">
        <v>139</v>
      </c>
      <c r="D82" s="64">
        <v>82</v>
      </c>
      <c r="E82" s="65">
        <v>1.4841628959276E-2</v>
      </c>
    </row>
    <row r="83" spans="2:5" ht="14.5" customHeight="1">
      <c r="B83" s="86" t="s">
        <v>162</v>
      </c>
      <c r="C83" s="58" t="s">
        <v>29</v>
      </c>
      <c r="D83" s="59">
        <v>132</v>
      </c>
      <c r="E83" s="60">
        <v>2.3891402714932002E-2</v>
      </c>
    </row>
    <row r="84" spans="2:5" ht="14.5" customHeight="1">
      <c r="B84" s="84" t="s">
        <v>116</v>
      </c>
      <c r="C84" s="63" t="s">
        <v>138</v>
      </c>
      <c r="D84" s="64">
        <v>1</v>
      </c>
      <c r="E84" s="65">
        <v>1.8099547511300001E-4</v>
      </c>
    </row>
    <row r="85" spans="2:5" ht="14.5" customHeight="1">
      <c r="B85" s="85"/>
      <c r="C85" s="63" t="s">
        <v>139</v>
      </c>
      <c r="D85" s="64">
        <v>6</v>
      </c>
      <c r="E85" s="65">
        <v>1.0859728506790001E-3</v>
      </c>
    </row>
    <row r="86" spans="2:5" ht="14.5" customHeight="1">
      <c r="B86" s="86" t="s">
        <v>163</v>
      </c>
      <c r="C86" s="58" t="s">
        <v>29</v>
      </c>
      <c r="D86" s="59">
        <v>7</v>
      </c>
      <c r="E86" s="60">
        <v>1.266968325792E-3</v>
      </c>
    </row>
    <row r="87" spans="2:5" ht="14.5" customHeight="1">
      <c r="B87" s="84" t="s">
        <v>117</v>
      </c>
      <c r="C87" s="63" t="s">
        <v>138</v>
      </c>
      <c r="D87" s="64">
        <v>25</v>
      </c>
      <c r="E87" s="65">
        <v>4.5248868778280001E-3</v>
      </c>
    </row>
    <row r="88" spans="2:5" ht="14.5" customHeight="1">
      <c r="B88" s="85"/>
      <c r="C88" s="63" t="s">
        <v>139</v>
      </c>
      <c r="D88" s="64">
        <v>45</v>
      </c>
      <c r="E88" s="65">
        <v>8.1447963800900004E-3</v>
      </c>
    </row>
    <row r="89" spans="2:5" ht="14.5" customHeight="1">
      <c r="B89" s="86" t="s">
        <v>164</v>
      </c>
      <c r="C89" s="58" t="s">
        <v>29</v>
      </c>
      <c r="D89" s="59">
        <v>70</v>
      </c>
      <c r="E89" s="60">
        <v>1.2669683257919E-2</v>
      </c>
    </row>
    <row r="90" spans="2:5" ht="14.5" customHeight="1">
      <c r="B90" s="84" t="s">
        <v>118</v>
      </c>
      <c r="C90" s="63" t="s">
        <v>138</v>
      </c>
      <c r="D90" s="64">
        <v>97</v>
      </c>
      <c r="E90" s="65">
        <v>1.7556561085973001E-2</v>
      </c>
    </row>
    <row r="91" spans="2:5" ht="14.5" customHeight="1">
      <c r="B91" s="85"/>
      <c r="C91" s="63" t="s">
        <v>139</v>
      </c>
      <c r="D91" s="64">
        <v>240</v>
      </c>
      <c r="E91" s="65">
        <v>4.3438914027149E-2</v>
      </c>
    </row>
    <row r="92" spans="2:5" ht="14.5" customHeight="1">
      <c r="B92" s="86" t="s">
        <v>165</v>
      </c>
      <c r="C92" s="58" t="s">
        <v>29</v>
      </c>
      <c r="D92" s="59">
        <v>337</v>
      </c>
      <c r="E92" s="60">
        <v>6.0995475113121998E-2</v>
      </c>
    </row>
    <row r="93" spans="2:5" ht="14.5" customHeight="1">
      <c r="B93" s="84" t="s">
        <v>119</v>
      </c>
      <c r="C93" s="63" t="s">
        <v>138</v>
      </c>
      <c r="D93" s="64">
        <v>4</v>
      </c>
      <c r="E93" s="65">
        <v>7.2398190045200002E-4</v>
      </c>
    </row>
    <row r="94" spans="2:5" ht="14.5" customHeight="1">
      <c r="B94" s="85"/>
      <c r="C94" s="63" t="s">
        <v>139</v>
      </c>
      <c r="D94" s="64">
        <v>14</v>
      </c>
      <c r="E94" s="65">
        <v>2.533936651584E-3</v>
      </c>
    </row>
    <row r="95" spans="2:5" ht="14.5" customHeight="1">
      <c r="B95" s="86" t="s">
        <v>166</v>
      </c>
      <c r="C95" s="58" t="s">
        <v>29</v>
      </c>
      <c r="D95" s="59">
        <v>18</v>
      </c>
      <c r="E95" s="60">
        <v>3.2579185520360001E-3</v>
      </c>
    </row>
    <row r="96" spans="2:5" ht="14.5" customHeight="1">
      <c r="B96" s="84" t="s">
        <v>120</v>
      </c>
      <c r="C96" s="63" t="s">
        <v>138</v>
      </c>
      <c r="D96" s="64">
        <v>241</v>
      </c>
      <c r="E96" s="65">
        <v>4.3619909502262001E-2</v>
      </c>
    </row>
    <row r="97" spans="2:5" ht="14.5" customHeight="1">
      <c r="B97" s="85"/>
      <c r="C97" s="63" t="s">
        <v>139</v>
      </c>
      <c r="D97" s="64">
        <v>572</v>
      </c>
      <c r="E97" s="65">
        <v>0.10352941176470599</v>
      </c>
    </row>
    <row r="98" spans="2:5" ht="14.5" customHeight="1">
      <c r="B98" s="86" t="s">
        <v>167</v>
      </c>
      <c r="C98" s="58" t="s">
        <v>29</v>
      </c>
      <c r="D98" s="59">
        <v>813</v>
      </c>
      <c r="E98" s="60">
        <v>0.147149321266968</v>
      </c>
    </row>
    <row r="99" spans="2:5" ht="14.5" customHeight="1">
      <c r="B99" s="84" t="s">
        <v>121</v>
      </c>
      <c r="C99" s="63" t="s">
        <v>138</v>
      </c>
      <c r="D99" s="64">
        <v>23</v>
      </c>
      <c r="E99" s="65">
        <v>4.1628959276020002E-3</v>
      </c>
    </row>
    <row r="100" spans="2:5" ht="14.5" customHeight="1">
      <c r="B100" s="85"/>
      <c r="C100" s="63" t="s">
        <v>139</v>
      </c>
      <c r="D100" s="64">
        <v>74</v>
      </c>
      <c r="E100" s="65">
        <v>1.3393665158370999E-2</v>
      </c>
    </row>
    <row r="101" spans="2:5" ht="14.5" customHeight="1">
      <c r="B101" s="86" t="s">
        <v>168</v>
      </c>
      <c r="C101" s="58" t="s">
        <v>29</v>
      </c>
      <c r="D101" s="59">
        <v>97</v>
      </c>
      <c r="E101" s="60">
        <v>1.7556561085973001E-2</v>
      </c>
    </row>
    <row r="102" spans="2:5" ht="14.5" customHeight="1">
      <c r="B102" s="84" t="s">
        <v>122</v>
      </c>
      <c r="C102" s="63" t="s">
        <v>139</v>
      </c>
      <c r="D102" s="64">
        <v>1</v>
      </c>
      <c r="E102" s="65">
        <v>1.8099547511300001E-4</v>
      </c>
    </row>
    <row r="103" spans="2:5" ht="14.5" customHeight="1">
      <c r="B103" s="86"/>
      <c r="C103" s="58" t="s">
        <v>29</v>
      </c>
      <c r="D103" s="59">
        <v>1</v>
      </c>
      <c r="E103" s="60">
        <v>1.8099547511300001E-4</v>
      </c>
    </row>
    <row r="104" spans="2:5" ht="14.5" customHeight="1">
      <c r="B104" s="84" t="s">
        <v>123</v>
      </c>
      <c r="C104" s="63" t="s">
        <v>138</v>
      </c>
      <c r="D104" s="64">
        <v>8</v>
      </c>
      <c r="E104" s="65">
        <v>1.4479638009049999E-3</v>
      </c>
    </row>
    <row r="105" spans="2:5" ht="14.5" customHeight="1">
      <c r="B105" s="85"/>
      <c r="C105" s="63" t="s">
        <v>139</v>
      </c>
      <c r="D105" s="64">
        <v>16</v>
      </c>
      <c r="E105" s="65">
        <v>2.8959276018099998E-3</v>
      </c>
    </row>
    <row r="106" spans="2:5" ht="14.5" customHeight="1">
      <c r="B106" s="86" t="s">
        <v>169</v>
      </c>
      <c r="C106" s="58" t="s">
        <v>29</v>
      </c>
      <c r="D106" s="59">
        <v>24</v>
      </c>
      <c r="E106" s="60">
        <v>4.3438914027150001E-3</v>
      </c>
    </row>
    <row r="107" spans="2:5" ht="14.5" customHeight="1">
      <c r="B107" s="84" t="s">
        <v>124</v>
      </c>
      <c r="C107" s="63" t="s">
        <v>138</v>
      </c>
      <c r="D107" s="64">
        <v>11</v>
      </c>
      <c r="E107" s="65">
        <v>1.9909502262440001E-3</v>
      </c>
    </row>
    <row r="108" spans="2:5" ht="14.5" customHeight="1">
      <c r="B108" s="85"/>
      <c r="C108" s="63" t="s">
        <v>139</v>
      </c>
      <c r="D108" s="64">
        <v>24</v>
      </c>
      <c r="E108" s="65">
        <v>4.3438914027150001E-3</v>
      </c>
    </row>
    <row r="109" spans="2:5" ht="14.5" customHeight="1">
      <c r="B109" s="86" t="s">
        <v>170</v>
      </c>
      <c r="C109" s="58" t="s">
        <v>29</v>
      </c>
      <c r="D109" s="59">
        <v>35</v>
      </c>
      <c r="E109" s="60">
        <v>6.3348416289590002E-3</v>
      </c>
    </row>
    <row r="110" spans="2:5" ht="14.5" customHeight="1">
      <c r="B110" s="84" t="s">
        <v>125</v>
      </c>
      <c r="C110" s="63" t="s">
        <v>138</v>
      </c>
      <c r="D110" s="64">
        <v>10</v>
      </c>
      <c r="E110" s="65">
        <v>1.809954751131E-3</v>
      </c>
    </row>
    <row r="111" spans="2:5" ht="14.5" customHeight="1">
      <c r="B111" s="85"/>
      <c r="C111" s="63" t="s">
        <v>139</v>
      </c>
      <c r="D111" s="64">
        <v>32</v>
      </c>
      <c r="E111" s="65">
        <v>5.7918552036199996E-3</v>
      </c>
    </row>
    <row r="112" spans="2:5" ht="14.5" customHeight="1">
      <c r="B112" s="86" t="s">
        <v>171</v>
      </c>
      <c r="C112" s="58" t="s">
        <v>29</v>
      </c>
      <c r="D112" s="59">
        <v>42</v>
      </c>
      <c r="E112" s="60">
        <v>7.6018099547509998E-3</v>
      </c>
    </row>
    <row r="113" spans="2:5" ht="14.5" customHeight="1">
      <c r="B113" s="84" t="s">
        <v>126</v>
      </c>
      <c r="C113" s="63" t="s">
        <v>138</v>
      </c>
      <c r="D113" s="64">
        <v>51</v>
      </c>
      <c r="E113" s="65">
        <v>9.2307692307689992E-3</v>
      </c>
    </row>
    <row r="114" spans="2:5" ht="14.5" customHeight="1">
      <c r="B114" s="85"/>
      <c r="C114" s="63" t="s">
        <v>139</v>
      </c>
      <c r="D114" s="64">
        <v>89</v>
      </c>
      <c r="E114" s="65">
        <v>1.6108597285067999E-2</v>
      </c>
    </row>
    <row r="115" spans="2:5" ht="14.5" customHeight="1">
      <c r="B115" s="86" t="s">
        <v>172</v>
      </c>
      <c r="C115" s="58" t="s">
        <v>29</v>
      </c>
      <c r="D115" s="59">
        <v>140</v>
      </c>
      <c r="E115" s="60">
        <v>2.5339366515837E-2</v>
      </c>
    </row>
    <row r="116" spans="2:5" ht="14.5" customHeight="1">
      <c r="B116" s="84" t="s">
        <v>127</v>
      </c>
      <c r="C116" s="63" t="s">
        <v>138</v>
      </c>
      <c r="D116" s="64">
        <v>2</v>
      </c>
      <c r="E116" s="65">
        <v>3.6199095022600001E-4</v>
      </c>
    </row>
    <row r="117" spans="2:5" ht="14.5" customHeight="1">
      <c r="B117" s="85"/>
      <c r="C117" s="63" t="s">
        <v>139</v>
      </c>
      <c r="D117" s="64">
        <v>5</v>
      </c>
      <c r="E117" s="65">
        <v>9.0497737556600002E-4</v>
      </c>
    </row>
    <row r="118" spans="2:5" ht="14.5" customHeight="1">
      <c r="B118" s="86" t="s">
        <v>173</v>
      </c>
      <c r="C118" s="58" t="s">
        <v>29</v>
      </c>
      <c r="D118" s="59">
        <v>7</v>
      </c>
      <c r="E118" s="60">
        <v>1.266968325792E-3</v>
      </c>
    </row>
    <row r="119" spans="2:5" ht="14.5" customHeight="1">
      <c r="B119" s="84" t="s">
        <v>128</v>
      </c>
      <c r="C119" s="63" t="s">
        <v>138</v>
      </c>
      <c r="D119" s="64">
        <v>9</v>
      </c>
      <c r="E119" s="65">
        <v>1.628959276018E-3</v>
      </c>
    </row>
    <row r="120" spans="2:5" ht="14.5" customHeight="1">
      <c r="B120" s="85"/>
      <c r="C120" s="63" t="s">
        <v>139</v>
      </c>
      <c r="D120" s="64">
        <v>30</v>
      </c>
      <c r="E120" s="65">
        <v>5.4298642533939998E-3</v>
      </c>
    </row>
    <row r="121" spans="2:5" ht="14.5" customHeight="1">
      <c r="B121" s="86" t="s">
        <v>174</v>
      </c>
      <c r="C121" s="58" t="s">
        <v>29</v>
      </c>
      <c r="D121" s="59">
        <v>39</v>
      </c>
      <c r="E121" s="60">
        <v>7.058823529412E-3</v>
      </c>
    </row>
    <row r="122" spans="2:5" ht="14.5" customHeight="1">
      <c r="B122" s="84" t="s">
        <v>129</v>
      </c>
      <c r="C122" s="63" t="s">
        <v>138</v>
      </c>
      <c r="D122" s="64">
        <v>6</v>
      </c>
      <c r="E122" s="65">
        <v>1.0859728506790001E-3</v>
      </c>
    </row>
    <row r="123" spans="2:5" ht="14.5" customHeight="1">
      <c r="B123" s="85"/>
      <c r="C123" s="63" t="s">
        <v>139</v>
      </c>
      <c r="D123" s="64">
        <v>19</v>
      </c>
      <c r="E123" s="65">
        <v>3.438914027149E-3</v>
      </c>
    </row>
    <row r="124" spans="2:5" ht="14.5" customHeight="1">
      <c r="B124" s="86" t="s">
        <v>175</v>
      </c>
      <c r="C124" s="58" t="s">
        <v>29</v>
      </c>
      <c r="D124" s="59">
        <v>25</v>
      </c>
      <c r="E124" s="60">
        <v>4.5248868778280001E-3</v>
      </c>
    </row>
    <row r="125" spans="2:5" ht="14.5" customHeight="1">
      <c r="B125" s="84" t="s">
        <v>130</v>
      </c>
      <c r="C125" s="63" t="s">
        <v>138</v>
      </c>
      <c r="D125" s="64">
        <v>172</v>
      </c>
      <c r="E125" s="65">
        <v>3.1131221719457002E-2</v>
      </c>
    </row>
    <row r="126" spans="2:5" ht="14.5" customHeight="1">
      <c r="B126" s="85"/>
      <c r="C126" s="63" t="s">
        <v>139</v>
      </c>
      <c r="D126" s="64">
        <v>377</v>
      </c>
      <c r="E126" s="65">
        <v>6.8235294117647005E-2</v>
      </c>
    </row>
    <row r="127" spans="2:5" ht="14.5" customHeight="1">
      <c r="B127" s="86" t="s">
        <v>176</v>
      </c>
      <c r="C127" s="58" t="s">
        <v>29</v>
      </c>
      <c r="D127" s="59">
        <v>549</v>
      </c>
      <c r="E127" s="60">
        <v>9.9366515837104E-2</v>
      </c>
    </row>
    <row r="128" spans="2:5" ht="14.5" customHeight="1">
      <c r="B128" s="84" t="s">
        <v>131</v>
      </c>
      <c r="C128" s="63" t="s">
        <v>138</v>
      </c>
      <c r="D128" s="64">
        <v>13</v>
      </c>
      <c r="E128" s="65">
        <v>2.352941176471E-3</v>
      </c>
    </row>
    <row r="129" spans="2:5" ht="14.5" customHeight="1">
      <c r="B129" s="85"/>
      <c r="C129" s="63" t="s">
        <v>139</v>
      </c>
      <c r="D129" s="64">
        <v>30</v>
      </c>
      <c r="E129" s="65">
        <v>5.4298642533939998E-3</v>
      </c>
    </row>
    <row r="130" spans="2:5" ht="14.5" customHeight="1">
      <c r="B130" s="86" t="s">
        <v>177</v>
      </c>
      <c r="C130" s="58" t="s">
        <v>29</v>
      </c>
      <c r="D130" s="59">
        <v>43</v>
      </c>
      <c r="E130" s="60">
        <v>7.7828054298639997E-3</v>
      </c>
    </row>
    <row r="131" spans="2:5" ht="14.5" customHeight="1">
      <c r="B131" s="84" t="s">
        <v>132</v>
      </c>
      <c r="C131" s="63" t="s">
        <v>138</v>
      </c>
      <c r="D131" s="64">
        <v>8</v>
      </c>
      <c r="E131" s="65">
        <v>1.4479638009049999E-3</v>
      </c>
    </row>
    <row r="132" spans="2:5" ht="14.5" customHeight="1">
      <c r="B132" s="85"/>
      <c r="C132" s="63" t="s">
        <v>139</v>
      </c>
      <c r="D132" s="64">
        <v>26</v>
      </c>
      <c r="E132" s="65">
        <v>4.705882352941E-3</v>
      </c>
    </row>
    <row r="133" spans="2:5" ht="14.5" customHeight="1">
      <c r="B133" s="86" t="s">
        <v>178</v>
      </c>
      <c r="C133" s="58" t="s">
        <v>29</v>
      </c>
      <c r="D133" s="59">
        <v>34</v>
      </c>
      <c r="E133" s="60">
        <v>6.1538461538460003E-3</v>
      </c>
    </row>
    <row r="134" spans="2:5" ht="14.5" customHeight="1">
      <c r="B134" s="84" t="s">
        <v>70</v>
      </c>
      <c r="C134" s="63" t="s">
        <v>138</v>
      </c>
      <c r="D134" s="64">
        <v>7</v>
      </c>
      <c r="E134" s="65">
        <v>1.266968325792E-3</v>
      </c>
    </row>
    <row r="135" spans="2:5" ht="14.5" customHeight="1">
      <c r="B135" s="85"/>
      <c r="C135" s="63" t="s">
        <v>139</v>
      </c>
      <c r="D135" s="64">
        <v>17</v>
      </c>
      <c r="E135" s="65">
        <v>3.0769230769230002E-3</v>
      </c>
    </row>
    <row r="136" spans="2:5" ht="14.5" customHeight="1">
      <c r="B136" s="86" t="s">
        <v>179</v>
      </c>
      <c r="C136" s="58" t="s">
        <v>29</v>
      </c>
      <c r="D136" s="59">
        <v>24</v>
      </c>
      <c r="E136" s="60">
        <v>4.3438914027150001E-3</v>
      </c>
    </row>
    <row r="137" spans="2:5" ht="14.5" customHeight="1">
      <c r="B137" s="84" t="s">
        <v>133</v>
      </c>
      <c r="C137" s="63" t="s">
        <v>138</v>
      </c>
      <c r="D137" s="64">
        <v>14</v>
      </c>
      <c r="E137" s="65">
        <v>2.533936651584E-3</v>
      </c>
    </row>
    <row r="138" spans="2:5" ht="14.5" customHeight="1">
      <c r="B138" s="85"/>
      <c r="C138" s="63" t="s">
        <v>139</v>
      </c>
      <c r="D138" s="64">
        <v>31</v>
      </c>
      <c r="E138" s="65">
        <v>5.6108597285069997E-3</v>
      </c>
    </row>
    <row r="139" spans="2:5" ht="14.5" customHeight="1">
      <c r="B139" s="86" t="s">
        <v>180</v>
      </c>
      <c r="C139" s="58" t="s">
        <v>29</v>
      </c>
      <c r="D139" s="59">
        <v>45</v>
      </c>
      <c r="E139" s="60">
        <v>8.1447963800900004E-3</v>
      </c>
    </row>
    <row r="140" spans="2:5" ht="14.5" customHeight="1">
      <c r="B140" s="84" t="s">
        <v>134</v>
      </c>
      <c r="C140" s="63" t="s">
        <v>138</v>
      </c>
      <c r="D140" s="64">
        <v>35</v>
      </c>
      <c r="E140" s="65">
        <v>6.3348416289590002E-3</v>
      </c>
    </row>
    <row r="141" spans="2:5" ht="14.5" customHeight="1">
      <c r="B141" s="85"/>
      <c r="C141" s="63" t="s">
        <v>139</v>
      </c>
      <c r="D141" s="64">
        <v>84</v>
      </c>
      <c r="E141" s="65">
        <v>1.5203619909502E-2</v>
      </c>
    </row>
    <row r="142" spans="2:5" ht="14.5" customHeight="1">
      <c r="B142" s="86" t="s">
        <v>181</v>
      </c>
      <c r="C142" s="58" t="s">
        <v>29</v>
      </c>
      <c r="D142" s="59">
        <v>119</v>
      </c>
      <c r="E142" s="60">
        <v>2.1538461538461999E-2</v>
      </c>
    </row>
    <row r="143" spans="2:5" ht="14.5" customHeight="1">
      <c r="B143" s="90" t="s">
        <v>29</v>
      </c>
      <c r="C143" s="91"/>
      <c r="D143" s="56">
        <v>5525</v>
      </c>
      <c r="E143" s="57">
        <v>1</v>
      </c>
    </row>
    <row r="144" spans="2:5" ht="14.5" customHeight="1">
      <c r="B144" s="15"/>
      <c r="C144" s="15"/>
      <c r="D144" s="15"/>
      <c r="E144" s="15"/>
    </row>
    <row r="145" spans="2:5" ht="14.5" customHeight="1">
      <c r="B145" s="15" t="s">
        <v>135</v>
      </c>
      <c r="C145" s="15"/>
      <c r="D145" s="15"/>
      <c r="E145" s="15"/>
    </row>
    <row r="146" spans="2:5" ht="14.5" customHeight="1">
      <c r="B146" s="17" t="s">
        <v>18</v>
      </c>
      <c r="C146" s="15"/>
      <c r="D146" s="15"/>
      <c r="E146" s="15"/>
    </row>
    <row r="147" spans="2:5" ht="14.5" customHeight="1">
      <c r="B147" s="16" t="s">
        <v>136</v>
      </c>
      <c r="C147" s="15"/>
      <c r="D147" s="15"/>
      <c r="E147" s="15"/>
    </row>
    <row r="148" spans="2:5" ht="14.5" customHeight="1">
      <c r="B148" s="15" t="s">
        <v>17</v>
      </c>
    </row>
    <row r="149" spans="2:5" ht="14.5" customHeight="1">
      <c r="B149" s="15" t="s">
        <v>137</v>
      </c>
    </row>
    <row r="150" spans="2:5" ht="11.5">
      <c r="B150" s="17"/>
    </row>
    <row r="151" spans="2:5" ht="11.5">
      <c r="B151" s="16"/>
    </row>
    <row r="152" spans="2:5" ht="11.5">
      <c r="B152" s="15"/>
    </row>
    <row r="153" spans="2:5" ht="11.5">
      <c r="B153" s="15"/>
    </row>
  </sheetData>
  <mergeCells count="46">
    <mergeCell ref="B84:B86"/>
    <mergeCell ref="B87:B89"/>
    <mergeCell ref="B45:B47"/>
    <mergeCell ref="B72:B74"/>
    <mergeCell ref="B75:B77"/>
    <mergeCell ref="B78:B80"/>
    <mergeCell ref="B81:B83"/>
    <mergeCell ref="B66:B68"/>
    <mergeCell ref="B69:B71"/>
    <mergeCell ref="B57:B59"/>
    <mergeCell ref="B48:B50"/>
    <mergeCell ref="B51:B53"/>
    <mergeCell ref="B54:B56"/>
    <mergeCell ref="B60:B62"/>
    <mergeCell ref="B63:B65"/>
    <mergeCell ref="B31:B33"/>
    <mergeCell ref="B34:B36"/>
    <mergeCell ref="B37:B39"/>
    <mergeCell ref="B40:B42"/>
    <mergeCell ref="B43:B44"/>
    <mergeCell ref="B28:B30"/>
    <mergeCell ref="B8:E10"/>
    <mergeCell ref="B13:B15"/>
    <mergeCell ref="B16:B18"/>
    <mergeCell ref="B19:B21"/>
    <mergeCell ref="B22:B24"/>
    <mergeCell ref="B25:B27"/>
    <mergeCell ref="B90:B92"/>
    <mergeCell ref="B93:B95"/>
    <mergeCell ref="B96:B98"/>
    <mergeCell ref="B99:B101"/>
    <mergeCell ref="B102:B103"/>
    <mergeCell ref="B104:B106"/>
    <mergeCell ref="B107:B109"/>
    <mergeCell ref="B110:B112"/>
    <mergeCell ref="B113:B115"/>
    <mergeCell ref="B116:B118"/>
    <mergeCell ref="B143:C143"/>
    <mergeCell ref="B134:B136"/>
    <mergeCell ref="B137:B139"/>
    <mergeCell ref="B140:B142"/>
    <mergeCell ref="B119:B121"/>
    <mergeCell ref="B122:B124"/>
    <mergeCell ref="B125:B127"/>
    <mergeCell ref="B128:B130"/>
    <mergeCell ref="B131:B133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G35"/>
  <sheetViews>
    <sheetView showGridLines="0" view="pageBreakPreview" topLeftCell="A22" zoomScaleNormal="100" zoomScaleSheetLayoutView="100" workbookViewId="0">
      <selection activeCell="B29" sqref="B29:C29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8.269531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5.363281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83" t="s">
        <v>34</v>
      </c>
      <c r="C8" s="83"/>
      <c r="D8" s="83"/>
      <c r="E8" s="83"/>
      <c r="F8" s="83"/>
    </row>
    <row r="9" spans="2:7" s="13" customFormat="1" ht="15" customHeight="1">
      <c r="B9" s="83"/>
      <c r="C9" s="83"/>
      <c r="D9" s="83"/>
      <c r="E9" s="83"/>
      <c r="F9" s="83"/>
      <c r="G9" s="49"/>
    </row>
    <row r="10" spans="2:7" s="13" customFormat="1" ht="15" customHeight="1">
      <c r="B10" s="83"/>
      <c r="C10" s="83"/>
      <c r="D10" s="83"/>
      <c r="E10" s="83"/>
      <c r="F10" s="83"/>
    </row>
    <row r="11" spans="2:7" s="13" customFormat="1" ht="25.5" customHeight="1">
      <c r="B11" s="52"/>
      <c r="C11" s="52"/>
      <c r="D11" s="52"/>
      <c r="E11" s="52"/>
      <c r="F11" s="52"/>
    </row>
    <row r="12" spans="2:7" s="13" customFormat="1" ht="37" customHeight="1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5" customHeight="1">
      <c r="B13" s="84" t="s">
        <v>138</v>
      </c>
      <c r="C13" s="63" t="s">
        <v>268</v>
      </c>
      <c r="D13" s="64">
        <v>2</v>
      </c>
      <c r="E13" s="65">
        <v>1.090512540894E-3</v>
      </c>
      <c r="F13" s="65">
        <v>3.6199095022600001E-4</v>
      </c>
    </row>
    <row r="14" spans="2:7" ht="14.5" customHeight="1">
      <c r="B14" s="85"/>
      <c r="C14" s="63" t="s">
        <v>269</v>
      </c>
      <c r="D14" s="64">
        <v>302</v>
      </c>
      <c r="E14" s="65">
        <v>0.164667393675027</v>
      </c>
      <c r="F14" s="65">
        <v>5.4660633484163001E-2</v>
      </c>
    </row>
    <row r="15" spans="2:7" ht="14.5" customHeight="1">
      <c r="B15" s="85"/>
      <c r="C15" s="63" t="s">
        <v>270</v>
      </c>
      <c r="D15" s="64">
        <v>498</v>
      </c>
      <c r="E15" s="65">
        <v>0.27153762268266102</v>
      </c>
      <c r="F15" s="65">
        <v>9.0135746606334999E-2</v>
      </c>
    </row>
    <row r="16" spans="2:7" ht="14.5" customHeight="1">
      <c r="B16" s="85"/>
      <c r="C16" s="63" t="s">
        <v>271</v>
      </c>
      <c r="D16" s="64">
        <v>593</v>
      </c>
      <c r="E16" s="65">
        <v>0.32333696837513598</v>
      </c>
      <c r="F16" s="65">
        <v>0.107330316742081</v>
      </c>
    </row>
    <row r="17" spans="2:6" ht="14.5" customHeight="1">
      <c r="B17" s="85"/>
      <c r="C17" s="63" t="s">
        <v>272</v>
      </c>
      <c r="D17" s="64">
        <v>402</v>
      </c>
      <c r="E17" s="65">
        <v>0.21919302071973801</v>
      </c>
      <c r="F17" s="65">
        <v>7.2760180995475002E-2</v>
      </c>
    </row>
    <row r="18" spans="2:6" ht="14.5" customHeight="1">
      <c r="B18" s="85"/>
      <c r="C18" s="63" t="s">
        <v>273</v>
      </c>
      <c r="D18" s="64">
        <v>29</v>
      </c>
      <c r="E18" s="65">
        <v>1.5812431842966001E-2</v>
      </c>
      <c r="F18" s="65">
        <v>5.2488687782809998E-3</v>
      </c>
    </row>
    <row r="19" spans="2:6" ht="14.5" customHeight="1">
      <c r="B19" s="85"/>
      <c r="C19" s="63" t="s">
        <v>274</v>
      </c>
      <c r="D19" s="64">
        <v>2</v>
      </c>
      <c r="E19" s="65">
        <v>1.090512540894E-3</v>
      </c>
      <c r="F19" s="65">
        <v>3.6199095022600001E-4</v>
      </c>
    </row>
    <row r="20" spans="2:6" ht="14.5" customHeight="1">
      <c r="B20" s="86"/>
      <c r="C20" s="63" t="s">
        <v>275</v>
      </c>
      <c r="D20" s="64">
        <v>6</v>
      </c>
      <c r="E20" s="65">
        <v>3.2715376226829999E-3</v>
      </c>
      <c r="F20" s="65">
        <v>1.0859728506790001E-3</v>
      </c>
    </row>
    <row r="21" spans="2:6" ht="14.5" customHeight="1">
      <c r="B21" s="84" t="s">
        <v>139</v>
      </c>
      <c r="C21" s="63" t="s">
        <v>268</v>
      </c>
      <c r="D21" s="64">
        <v>4</v>
      </c>
      <c r="E21" s="65">
        <v>1.0837171498240001E-3</v>
      </c>
      <c r="F21" s="65">
        <v>7.2398190045200002E-4</v>
      </c>
    </row>
    <row r="22" spans="2:6" ht="14.5" customHeight="1">
      <c r="B22" s="85"/>
      <c r="C22" s="63" t="s">
        <v>269</v>
      </c>
      <c r="D22" s="64">
        <v>653</v>
      </c>
      <c r="E22" s="65">
        <v>0.176916824708751</v>
      </c>
      <c r="F22" s="65">
        <v>0.118190045248869</v>
      </c>
    </row>
    <row r="23" spans="2:6" ht="14.5" customHeight="1">
      <c r="B23" s="85"/>
      <c r="C23" s="63" t="s">
        <v>270</v>
      </c>
      <c r="D23" s="64">
        <v>1180</v>
      </c>
      <c r="E23" s="65">
        <v>0.31969655919804901</v>
      </c>
      <c r="F23" s="65">
        <v>0.21357466063348399</v>
      </c>
    </row>
    <row r="24" spans="2:6" ht="14.5" customHeight="1">
      <c r="B24" s="85"/>
      <c r="C24" s="63" t="s">
        <v>271</v>
      </c>
      <c r="D24" s="64">
        <v>1140</v>
      </c>
      <c r="E24" s="65">
        <v>0.30885938769980997</v>
      </c>
      <c r="F24" s="65">
        <v>0.20633484162895899</v>
      </c>
    </row>
    <row r="25" spans="2:6" ht="14.5" customHeight="1">
      <c r="B25" s="85"/>
      <c r="C25" s="63" t="s">
        <v>272</v>
      </c>
      <c r="D25" s="64">
        <v>657</v>
      </c>
      <c r="E25" s="65">
        <v>0.178000541858575</v>
      </c>
      <c r="F25" s="65">
        <v>0.11891402714932101</v>
      </c>
    </row>
    <row r="26" spans="2:6" ht="14.5" customHeight="1">
      <c r="B26" s="85"/>
      <c r="C26" s="63" t="s">
        <v>273</v>
      </c>
      <c r="D26" s="64">
        <v>52</v>
      </c>
      <c r="E26" s="65">
        <v>1.4088322947711E-2</v>
      </c>
      <c r="F26" s="65">
        <v>9.411764705882E-3</v>
      </c>
    </row>
    <row r="27" spans="2:6" ht="14.5" customHeight="1">
      <c r="B27" s="85"/>
      <c r="C27" s="63" t="s">
        <v>274</v>
      </c>
      <c r="D27" s="64">
        <v>2</v>
      </c>
      <c r="E27" s="65">
        <v>5.4185857491200005E-4</v>
      </c>
      <c r="F27" s="65">
        <v>3.6199095022600001E-4</v>
      </c>
    </row>
    <row r="28" spans="2:6" ht="14.5" customHeight="1">
      <c r="B28" s="86"/>
      <c r="C28" s="63" t="s">
        <v>275</v>
      </c>
      <c r="D28" s="64">
        <v>3</v>
      </c>
      <c r="E28" s="65">
        <v>8.1278786236799996E-4</v>
      </c>
      <c r="F28" s="65">
        <v>5.4298642533899999E-4</v>
      </c>
    </row>
    <row r="29" spans="2:6" ht="14.5" customHeight="1">
      <c r="B29" s="90" t="s">
        <v>29</v>
      </c>
      <c r="C29" s="91"/>
      <c r="D29" s="56">
        <v>5525</v>
      </c>
      <c r="E29" s="57">
        <v>1</v>
      </c>
      <c r="F29" s="57">
        <v>1</v>
      </c>
    </row>
    <row r="30" spans="2:6" ht="14.5" customHeight="1"/>
    <row r="31" spans="2:6" ht="14.5" customHeight="1">
      <c r="B31" s="15" t="s">
        <v>135</v>
      </c>
    </row>
    <row r="32" spans="2:6" ht="14.5" customHeight="1">
      <c r="B32" s="17" t="s">
        <v>18</v>
      </c>
    </row>
    <row r="33" spans="2:2" ht="14.5" customHeight="1">
      <c r="B33" s="16" t="s">
        <v>136</v>
      </c>
    </row>
    <row r="34" spans="2:2" ht="14.5" customHeight="1">
      <c r="B34" s="15" t="s">
        <v>17</v>
      </c>
    </row>
    <row r="35" spans="2:2" ht="14.5" customHeight="1">
      <c r="B35" s="15" t="s">
        <v>137</v>
      </c>
    </row>
  </sheetData>
  <mergeCells count="4">
    <mergeCell ref="B8:F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E56"/>
  <sheetViews>
    <sheetView showGridLines="0" tabSelected="1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41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3" t="s">
        <v>359</v>
      </c>
      <c r="C7" s="83"/>
      <c r="D7" s="83"/>
    </row>
    <row r="8" spans="2:5" s="25" customFormat="1" ht="15" customHeight="1">
      <c r="B8" s="83"/>
      <c r="C8" s="83"/>
      <c r="D8" s="83"/>
    </row>
    <row r="9" spans="2:5" s="25" customFormat="1" ht="33" customHeight="1">
      <c r="B9" s="83"/>
      <c r="C9" s="83"/>
      <c r="D9" s="83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35</v>
      </c>
      <c r="C11" s="27" t="s">
        <v>20</v>
      </c>
      <c r="D11" s="26" t="s">
        <v>19</v>
      </c>
    </row>
    <row r="12" spans="2:5">
      <c r="B12" s="23" t="s">
        <v>276</v>
      </c>
      <c r="C12" s="22">
        <v>3842</v>
      </c>
      <c r="D12" s="21">
        <v>0.69538461538461505</v>
      </c>
    </row>
    <row r="13" spans="2:5">
      <c r="B13" s="23" t="s">
        <v>277</v>
      </c>
      <c r="C13" s="22">
        <v>712</v>
      </c>
      <c r="D13" s="21">
        <v>0.12886877828054299</v>
      </c>
    </row>
    <row r="14" spans="2:5" ht="28">
      <c r="B14" s="23" t="s">
        <v>278</v>
      </c>
      <c r="C14" s="22">
        <v>191</v>
      </c>
      <c r="D14" s="21">
        <v>3.4570135746606001E-2</v>
      </c>
      <c r="E14" s="24"/>
    </row>
    <row r="15" spans="2:5" ht="14.5" customHeight="1">
      <c r="B15" s="23" t="s">
        <v>279</v>
      </c>
      <c r="C15" s="22">
        <v>167</v>
      </c>
      <c r="D15" s="21">
        <v>3.0226244343890998E-2</v>
      </c>
      <c r="E15" s="24"/>
    </row>
    <row r="16" spans="2:5" ht="14.5" customHeight="1">
      <c r="B16" s="23" t="s">
        <v>280</v>
      </c>
      <c r="C16" s="22">
        <v>159</v>
      </c>
      <c r="D16" s="21">
        <v>2.8778280542986E-2</v>
      </c>
    </row>
    <row r="17" spans="2:4" ht="14.5" customHeight="1">
      <c r="B17" s="23" t="s">
        <v>281</v>
      </c>
      <c r="C17" s="22">
        <v>115</v>
      </c>
      <c r="D17" s="21">
        <v>2.0814479638009E-2</v>
      </c>
    </row>
    <row r="18" spans="2:4" ht="14.5" customHeight="1">
      <c r="B18" s="23" t="s">
        <v>282</v>
      </c>
      <c r="C18" s="22">
        <v>66</v>
      </c>
      <c r="D18" s="21">
        <v>1.1945701357466001E-2</v>
      </c>
    </row>
    <row r="19" spans="2:4" ht="14.5" customHeight="1">
      <c r="B19" s="23" t="s">
        <v>283</v>
      </c>
      <c r="C19" s="22">
        <v>48</v>
      </c>
      <c r="D19" s="21">
        <v>8.6877828054300003E-3</v>
      </c>
    </row>
    <row r="20" spans="2:4" ht="14.5" customHeight="1">
      <c r="B20" s="23" t="s">
        <v>284</v>
      </c>
      <c r="C20" s="22">
        <v>43</v>
      </c>
      <c r="D20" s="21">
        <v>7.7828054298639997E-3</v>
      </c>
    </row>
    <row r="21" spans="2:4" ht="14.5" customHeight="1">
      <c r="B21" s="23" t="s">
        <v>285</v>
      </c>
      <c r="C21" s="22">
        <v>28</v>
      </c>
      <c r="D21" s="21">
        <v>5.0678733031669998E-3</v>
      </c>
    </row>
    <row r="22" spans="2:4" ht="14.5" customHeight="1">
      <c r="B22" s="23" t="s">
        <v>286</v>
      </c>
      <c r="C22" s="22">
        <v>17</v>
      </c>
      <c r="D22" s="21">
        <v>3.0769230769230002E-3</v>
      </c>
    </row>
    <row r="23" spans="2:4" ht="14.5" customHeight="1">
      <c r="B23" s="23" t="s">
        <v>287</v>
      </c>
      <c r="C23" s="22">
        <v>14</v>
      </c>
      <c r="D23" s="21">
        <v>2.533936651584E-3</v>
      </c>
    </row>
    <row r="24" spans="2:4" ht="14.5" customHeight="1">
      <c r="B24" s="23" t="s">
        <v>288</v>
      </c>
      <c r="C24" s="22">
        <v>13</v>
      </c>
      <c r="D24" s="21">
        <v>2.352941176471E-3</v>
      </c>
    </row>
    <row r="25" spans="2:4" ht="14.5" customHeight="1">
      <c r="B25" s="23" t="s">
        <v>289</v>
      </c>
      <c r="C25" s="22">
        <v>12</v>
      </c>
      <c r="D25" s="21">
        <v>2.171945701357E-3</v>
      </c>
    </row>
    <row r="26" spans="2:4" ht="14.5" customHeight="1">
      <c r="B26" s="23" t="s">
        <v>290</v>
      </c>
      <c r="C26" s="22">
        <v>11</v>
      </c>
      <c r="D26" s="21">
        <v>1.9909502262440001E-3</v>
      </c>
    </row>
    <row r="27" spans="2:4" ht="14.5" customHeight="1">
      <c r="B27" s="23" t="s">
        <v>291</v>
      </c>
      <c r="C27" s="22">
        <v>10</v>
      </c>
      <c r="D27" s="21">
        <v>1.809954751131E-3</v>
      </c>
    </row>
    <row r="28" spans="2:4" ht="14.5" customHeight="1">
      <c r="B28" s="23" t="s">
        <v>292</v>
      </c>
      <c r="C28" s="22">
        <v>9</v>
      </c>
      <c r="D28" s="21">
        <v>1.628959276018E-3</v>
      </c>
    </row>
    <row r="29" spans="2:4" ht="14.5" customHeight="1">
      <c r="B29" s="23" t="s">
        <v>293</v>
      </c>
      <c r="C29" s="22">
        <v>9</v>
      </c>
      <c r="D29" s="21">
        <v>1.628959276018E-3</v>
      </c>
    </row>
    <row r="30" spans="2:4" ht="14.5" customHeight="1">
      <c r="B30" s="23" t="s">
        <v>294</v>
      </c>
      <c r="C30" s="22">
        <v>8</v>
      </c>
      <c r="D30" s="21">
        <v>1.4479638009049999E-3</v>
      </c>
    </row>
    <row r="31" spans="2:4" ht="14.5" customHeight="1">
      <c r="B31" s="23" t="s">
        <v>295</v>
      </c>
      <c r="C31" s="22">
        <v>8</v>
      </c>
      <c r="D31" s="21">
        <v>1.4479638009049999E-3</v>
      </c>
    </row>
    <row r="32" spans="2:4" ht="14.5" customHeight="1">
      <c r="B32" s="23" t="s">
        <v>296</v>
      </c>
      <c r="C32" s="22">
        <v>7</v>
      </c>
      <c r="D32" s="21">
        <v>1.266968325792E-3</v>
      </c>
    </row>
    <row r="33" spans="2:4" ht="14.5" customHeight="1">
      <c r="B33" s="23" t="s">
        <v>297</v>
      </c>
      <c r="C33" s="22">
        <v>6</v>
      </c>
      <c r="D33" s="21">
        <v>1.0859728506790001E-3</v>
      </c>
    </row>
    <row r="34" spans="2:4" ht="14.5" customHeight="1">
      <c r="B34" s="23" t="s">
        <v>298</v>
      </c>
      <c r="C34" s="22">
        <v>5</v>
      </c>
      <c r="D34" s="21">
        <v>9.0497737556600002E-4</v>
      </c>
    </row>
    <row r="35" spans="2:4" ht="14.5" customHeight="1">
      <c r="B35" s="23" t="s">
        <v>299</v>
      </c>
      <c r="C35" s="22">
        <v>4</v>
      </c>
      <c r="D35" s="21">
        <v>7.2398190045200002E-4</v>
      </c>
    </row>
    <row r="36" spans="2:4" ht="14.5" customHeight="1">
      <c r="B36" s="23" t="s">
        <v>300</v>
      </c>
      <c r="C36" s="22">
        <v>3</v>
      </c>
      <c r="D36" s="21">
        <v>5.4298642533899999E-4</v>
      </c>
    </row>
    <row r="37" spans="2:4" ht="14.5" customHeight="1">
      <c r="B37" s="23" t="s">
        <v>301</v>
      </c>
      <c r="C37" s="22">
        <v>2</v>
      </c>
      <c r="D37" s="21">
        <v>3.6199095022600001E-4</v>
      </c>
    </row>
    <row r="38" spans="2:4" ht="14.5" customHeight="1">
      <c r="B38" s="23" t="s">
        <v>302</v>
      </c>
      <c r="C38" s="22">
        <v>2</v>
      </c>
      <c r="D38" s="21">
        <v>3.6199095022600001E-4</v>
      </c>
    </row>
    <row r="39" spans="2:4" ht="14.5" customHeight="1">
      <c r="B39" s="23" t="s">
        <v>303</v>
      </c>
      <c r="C39" s="22">
        <v>2</v>
      </c>
      <c r="D39" s="21">
        <v>3.6199095022600001E-4</v>
      </c>
    </row>
    <row r="40" spans="2:4" ht="14.5" customHeight="1">
      <c r="B40" s="23" t="s">
        <v>304</v>
      </c>
      <c r="C40" s="22">
        <v>2</v>
      </c>
      <c r="D40" s="21">
        <v>3.6199095022600001E-4</v>
      </c>
    </row>
    <row r="41" spans="2:4" ht="14.5" customHeight="1">
      <c r="B41" s="23" t="s">
        <v>305</v>
      </c>
      <c r="C41" s="22">
        <v>2</v>
      </c>
      <c r="D41" s="21">
        <v>3.6199095022600001E-4</v>
      </c>
    </row>
    <row r="42" spans="2:4" ht="14.5" customHeight="1">
      <c r="B42" s="23" t="s">
        <v>306</v>
      </c>
      <c r="C42" s="22">
        <v>1</v>
      </c>
      <c r="D42" s="21">
        <v>1.8099547511300001E-4</v>
      </c>
    </row>
    <row r="43" spans="2:4" ht="14.5" customHeight="1">
      <c r="B43" s="23" t="s">
        <v>307</v>
      </c>
      <c r="C43" s="22">
        <v>1</v>
      </c>
      <c r="D43" s="21">
        <v>1.8099547511300001E-4</v>
      </c>
    </row>
    <row r="44" spans="2:4" ht="14.5" customHeight="1">
      <c r="B44" s="23" t="s">
        <v>308</v>
      </c>
      <c r="C44" s="22">
        <v>1</v>
      </c>
      <c r="D44" s="21">
        <v>1.8099547511300001E-4</v>
      </c>
    </row>
    <row r="45" spans="2:4" ht="14.5" customHeight="1">
      <c r="B45" s="23" t="s">
        <v>309</v>
      </c>
      <c r="C45" s="22">
        <v>1</v>
      </c>
      <c r="D45" s="21">
        <v>1.8099547511300001E-4</v>
      </c>
    </row>
    <row r="46" spans="2:4" ht="14.5" customHeight="1">
      <c r="B46" s="23" t="s">
        <v>310</v>
      </c>
      <c r="C46" s="22">
        <v>1</v>
      </c>
      <c r="D46" s="21">
        <v>1.8099547511300001E-4</v>
      </c>
    </row>
    <row r="47" spans="2:4" ht="14.5" customHeight="1">
      <c r="B47" s="23" t="s">
        <v>311</v>
      </c>
      <c r="C47" s="22">
        <v>1</v>
      </c>
      <c r="D47" s="21">
        <v>1.8099547511300001E-4</v>
      </c>
    </row>
    <row r="48" spans="2:4" ht="14.5" customHeight="1">
      <c r="B48" s="23" t="s">
        <v>312</v>
      </c>
      <c r="C48" s="22">
        <v>1</v>
      </c>
      <c r="D48" s="21">
        <v>1.8099547511300001E-4</v>
      </c>
    </row>
    <row r="49" spans="2:4" ht="14.5" customHeight="1">
      <c r="B49" s="23" t="s">
        <v>313</v>
      </c>
      <c r="C49" s="22">
        <v>1</v>
      </c>
      <c r="D49" s="21">
        <v>1.8099547511300001E-4</v>
      </c>
    </row>
    <row r="50" spans="2:4" ht="14.5" customHeight="1">
      <c r="B50" s="20" t="s">
        <v>29</v>
      </c>
      <c r="C50" s="19">
        <v>5525</v>
      </c>
      <c r="D50" s="18">
        <v>1</v>
      </c>
    </row>
    <row r="51" spans="2:4" ht="14.5" customHeight="1"/>
    <row r="52" spans="2:4" ht="14.5" customHeight="1">
      <c r="B52" s="15" t="s">
        <v>135</v>
      </c>
    </row>
    <row r="53" spans="2:4" ht="14.5" customHeight="1">
      <c r="B53" s="17" t="s">
        <v>18</v>
      </c>
    </row>
    <row r="54" spans="2:4" ht="14.5" customHeight="1">
      <c r="B54" s="16" t="s">
        <v>136</v>
      </c>
    </row>
    <row r="55" spans="2:4" ht="14.5" customHeight="1">
      <c r="B55" s="15" t="s">
        <v>17</v>
      </c>
    </row>
    <row r="56" spans="2:4" ht="14.5" customHeight="1">
      <c r="B56" s="15" t="s">
        <v>137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Tlaxcala_EdoUsa</vt:lpstr>
      <vt:lpstr>Tlaxcala_Cons</vt:lpstr>
      <vt:lpstr>TlaxcalaXCons</vt:lpstr>
      <vt:lpstr>Tlaxcala_EdoMun</vt:lpstr>
      <vt:lpstr>Tlaxcala_USAMuni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Tlaxcala_GENERO_EUA</vt:lpstr>
      <vt:lpstr>Tlaxcala_Gen_Edad</vt:lpstr>
      <vt:lpstr>Tlaxcala_ocup_gral</vt:lpstr>
      <vt:lpstr>Tlaxcala_EducCons!Área_de_impresión</vt:lpstr>
      <vt:lpstr>Tlaxcala_GENERO!Área_de_impresión</vt:lpstr>
      <vt:lpstr>Tlaxcala_GENERO_EUA!Área_de_impresión</vt:lpstr>
      <vt:lpstr>Tlaxcala_MUNICIPIO!Área_de_impresión</vt:lpstr>
      <vt:lpstr>Tlaxcala_NivelE_Cons!Área_de_impresión</vt:lpstr>
      <vt:lpstr>Tlaxcala_USAMuni!Área_de_impresión</vt:lpstr>
      <vt:lpstr>Tlaxcala_Cons!Títulos_a_imprimir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Tlaxcala_GENERO_EUA!Títulos_a_imprimir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Tlaxcala_USAMuni!Títulos_a_imprimir</vt:lpstr>
      <vt:lpstr>TlaxcalaXCons!Títulos_a_imprimir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2020-06-05T01:37:38Z</dcterms:created>
  <dcterms:modified xsi:type="dcterms:W3CDTF">2024-12-23T17:43:52Z</dcterms:modified>
</cp:coreProperties>
</file>