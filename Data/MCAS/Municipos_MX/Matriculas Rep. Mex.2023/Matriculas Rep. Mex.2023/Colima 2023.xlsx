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3\República Mexicana\Finales_RM\"/>
    </mc:Choice>
  </mc:AlternateContent>
  <xr:revisionPtr revIDLastSave="0" documentId="13_ncr:1_{0525022A-189D-436B-AA40-8E5269EDE9EE}" xr6:coauthVersionLast="47" xr6:coauthVersionMax="47" xr10:uidLastSave="{00000000-0000-0000-0000-000000000000}"/>
  <bookViews>
    <workbookView xWindow="-110" yWindow="-110" windowWidth="19420" windowHeight="10420" tabRatio="841" xr2:uid="{00000000-000D-0000-FFFF-FFFF00000000}"/>
  </bookViews>
  <sheets>
    <sheet name="Índice" sheetId="1" r:id="rId1"/>
    <sheet name="Colima_EdoUsa" sheetId="2" r:id="rId2"/>
    <sheet name="Colima_Cons" sheetId="15" r:id="rId3"/>
    <sheet name="ColimaXCons" sheetId="16" r:id="rId4"/>
    <sheet name="Colima_EdoMun" sheetId="5" r:id="rId5"/>
    <sheet name="Colima_USAMuni" sheetId="6" r:id="rId6"/>
    <sheet name="Colima_MUNICIPIO" sheetId="7" r:id="rId7"/>
    <sheet name="Colima_educ_gral" sheetId="8" r:id="rId8"/>
    <sheet name="Colima_NivelE_Cons" sheetId="9" r:id="rId9"/>
    <sheet name="Colima_EducCons" sheetId="10" r:id="rId10"/>
    <sheet name="Colima_GenGral" sheetId="11" r:id="rId11"/>
    <sheet name="Colima_GENERO" sheetId="12" r:id="rId12"/>
    <sheet name="Colima_GENERO_EUA" sheetId="17" r:id="rId13"/>
    <sheet name="Colima_Gen_Edad" sheetId="13" r:id="rId14"/>
    <sheet name="Colima_ocup_gral" sheetId="14" r:id="rId15"/>
  </sheets>
  <definedNames>
    <definedName name="_xlnm._FilterDatabase" localSheetId="2" hidden="1">Colima_Cons!$B$11:$D$11</definedName>
    <definedName name="_xlnm._FilterDatabase" localSheetId="4" hidden="1">Colima_EdoMun!$B$11:$D$11</definedName>
    <definedName name="_xlnm._FilterDatabase" localSheetId="1" hidden="1">Colima_EdoUsa!$B$11:$D$11</definedName>
    <definedName name="_xlnm._FilterDatabase" localSheetId="7" hidden="1">Colima_educ_gral!$B$11:$D$11</definedName>
    <definedName name="_xlnm._FilterDatabase" localSheetId="9" hidden="1">Colima_EducCons!$B$9:$E$9</definedName>
    <definedName name="_xlnm._FilterDatabase" localSheetId="11" hidden="1">Colima_GENERO!$B$12:$E$12</definedName>
    <definedName name="_xlnm._FilterDatabase" localSheetId="12" hidden="1">Colima_GENERO_EUA!$B$12:$E$12</definedName>
    <definedName name="_xlnm._FilterDatabase" localSheetId="10" hidden="1">Colima_GenGral!$B$11:$D$11</definedName>
    <definedName name="_xlnm._FilterDatabase" localSheetId="6" hidden="1">Colima_MUNICIPIO!$B$9:$E$9</definedName>
    <definedName name="_xlnm._FilterDatabase" localSheetId="8" hidden="1">Colima_NivelE_Cons!$B$9:$E$9</definedName>
    <definedName name="_xlnm._FilterDatabase" localSheetId="14" hidden="1">Colima_ocup_gral!$B$11:$D$11</definedName>
    <definedName name="_xlnm._FilterDatabase" localSheetId="5" hidden="1">Colima_USAMuni!$B$9:$E$9</definedName>
    <definedName name="_xlnm._FilterDatabase" localSheetId="3" hidden="1">ColimaXCons!$B$11:$D$12</definedName>
    <definedName name="_xlnm.Print_Area" localSheetId="7">Colima_educ_gral!$A$1:$F$41</definedName>
    <definedName name="_xlnm.Print_Area" localSheetId="9">Colima_EducCons!$A$1:$E$520</definedName>
    <definedName name="_xlnm.Print_Area" localSheetId="10">Colima_GenGral!$A$1:$F$20</definedName>
    <definedName name="_xlnm.Print_Area" localSheetId="6">Colima_MUNICIPIO!$A$1:$E$356</definedName>
    <definedName name="_xlnm.Print_Area" localSheetId="8">Colima_NivelE_Cons!$A$1:$E$339</definedName>
    <definedName name="_xlnm.Print_Area" localSheetId="5">Colima_USAMuni!$A$1:$E$263</definedName>
    <definedName name="_xlnm.Print_Titles" localSheetId="2">Colima_Cons!$1:$11</definedName>
    <definedName name="_xlnm.Print_Titles" localSheetId="4">Colima_EdoMun!$1:$11</definedName>
    <definedName name="_xlnm.Print_Titles" localSheetId="1">Colima_EdoUsa!$1:$11</definedName>
    <definedName name="_xlnm.Print_Titles" localSheetId="7">Colima_educ_gral!$1:$11</definedName>
    <definedName name="_xlnm.Print_Titles" localSheetId="9">Colima_EducCons!$1:$9</definedName>
    <definedName name="_xlnm.Print_Titles" localSheetId="13">Colima_Gen_Edad!$1:$12</definedName>
    <definedName name="_xlnm.Print_Titles" localSheetId="11">Colima_GENERO!$1:$12</definedName>
    <definedName name="_xlnm.Print_Titles" localSheetId="12">Colima_GENERO_EUA!$1:$12</definedName>
    <definedName name="_xlnm.Print_Titles" localSheetId="10">Colima_GenGral!$1:$11</definedName>
    <definedName name="_xlnm.Print_Titles" localSheetId="6">Colima_MUNICIPIO!$1:$9</definedName>
    <definedName name="_xlnm.Print_Titles" localSheetId="8">Colima_NivelE_Cons!$1:$9</definedName>
    <definedName name="_xlnm.Print_Titles" localSheetId="14">Colima_ocup_gral!$1:$11</definedName>
    <definedName name="_xlnm.Print_Titles" localSheetId="5">Colima_USAMuni!$1:$9</definedName>
    <definedName name="_xlnm.Print_Titles" localSheetId="3">ColimaXCons!$1:$11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16" l="1"/>
  <c r="D19" i="16" s="1"/>
  <c r="D22" i="16" l="1"/>
  <c r="D12" i="16"/>
  <c r="D13" i="16"/>
  <c r="D14" i="16"/>
  <c r="D15" i="16"/>
  <c r="D20" i="16"/>
  <c r="D21" i="16"/>
  <c r="D16" i="16"/>
  <c r="D17" i="16"/>
  <c r="D18" i="16"/>
</calcChain>
</file>

<file path=xl/sharedStrings.xml><?xml version="1.0" encoding="utf-8"?>
<sst xmlns="http://schemas.openxmlformats.org/spreadsheetml/2006/main" count="2365" uniqueCount="313">
  <si>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</si>
  <si>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</si>
  <si>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</si>
  <si>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</si>
  <si>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</si>
  <si>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</si>
  <si>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</si>
  <si>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</si>
  <si>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</si>
  <si>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</si>
  <si>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</si>
  <si>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</si>
  <si>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</si>
  <si>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</si>
  <si>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</si>
  <si>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</si>
  <si>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</si>
  <si>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</si>
  <si>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</si>
  <si>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</si>
  <si>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</si>
  <si>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</si>
  <si>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</si>
  <si>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</si>
  <si>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</si>
  <si>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</si>
  <si>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</si>
  <si>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</si>
  <si>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</si>
  <si>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Género</t>
  </si>
  <si>
    <t>Porcentaje con respecto al total de Matrículas</t>
  </si>
  <si>
    <t>Porcentaje con respecto al Género</t>
  </si>
  <si>
    <t>Edad Cumplida</t>
  </si>
  <si>
    <t>Ocupación</t>
  </si>
  <si>
    <t>5.2 Por Circunscripción Consular</t>
  </si>
  <si>
    <t>5.3 Por Estados de la Unión Americana</t>
  </si>
  <si>
    <t>MATRÍCULAS CONSULARES DE ALTA SEGURIDAD EXPEDIDAS A ORIGINARIOS DE COLIMA EN LOS CONSULADOS DE MÉXICO EN EE.UU.</t>
  </si>
  <si>
    <t>MATRÍCULAS CONSULARES EXPEDIDAS A ORIGINARIOS DE COLIMA POR GÉNERO EN EE.UU</t>
  </si>
  <si>
    <t>MATRÍCULAS CONSULARES EXPEDIDAS EN EE.UU. A ORIGINARIOS DE COLIMA POR NIVEL DE EDUCACIÓN</t>
  </si>
  <si>
    <t>MATRÍCULAS CONSULARES EXPEDIDAS A ORIGINARIOS DE COLIMA POR GÉNERO Y CONSULADO</t>
  </si>
  <si>
    <t>MATRÍCULAS CONSULARES EXPEDIDAS A ORIGINARIOS DE COLIMA POR GÉNERO Y POR ESTADO DE LA UNIÓN AMERICANA</t>
  </si>
  <si>
    <t>MATRÍCULAS CONSULARES DE ALTA SEGURIDAD EXPEDIDAS POR MUNICIPIO A ORIGINARIOS DEL ESTADO DE COLIMA EN LOS CONSULADOS DE MÉXICO EN EE.UU.</t>
  </si>
  <si>
    <t>MATRÍCULAS CONSULARES DE ALTA SEGURIDAD EXPEDIDAS A ORIGINARIOS DE COLIMA POR ESTADO DE LA UNIÓN AMERICANA</t>
  </si>
  <si>
    <t>LOS 10 CONSULADOS  DE MÉXICO EN EE.UU., CON MAYOR NÚMERO DE EXPEDICIÓN DE  MATRÍCULAS CONSULARES DE ALTA SEGURIDAD A ORIGINARIOS DE COLIMA</t>
  </si>
  <si>
    <t>TOTAL TOP 10</t>
  </si>
  <si>
    <t>TOTAL GENERAL</t>
  </si>
  <si>
    <t>Matrículas consulares expedidas a originarios de Colima en el 2023</t>
  </si>
  <si>
    <t>Tamaño de la muestra: 789,030</t>
  </si>
  <si>
    <t>Elaborado por: Análisis de Información, Instituto de Mexicanas y Mexicanos en el Exterior</t>
  </si>
  <si>
    <t>Noviembre de 2024</t>
  </si>
  <si>
    <t>LOS ANGELES</t>
  </si>
  <si>
    <t>FRESNO</t>
  </si>
  <si>
    <t>SAN BERNARDINO</t>
  </si>
  <si>
    <t>SACRAMENTO</t>
  </si>
  <si>
    <t>LAS VEGAS</t>
  </si>
  <si>
    <t>CHICAGO</t>
  </si>
  <si>
    <t>SAN JOSE</t>
  </si>
  <si>
    <t>SANTA ANA</t>
  </si>
  <si>
    <t>DALLAS</t>
  </si>
  <si>
    <t>BOISE</t>
  </si>
  <si>
    <t>HOUSTON</t>
  </si>
  <si>
    <t>PHOENIX</t>
  </si>
  <si>
    <t>PORTLAND</t>
  </si>
  <si>
    <t>SAN DIEGO</t>
  </si>
  <si>
    <t>OXNARD</t>
  </si>
  <si>
    <t>SAN FRANCISCO</t>
  </si>
  <si>
    <t>RALEIGH</t>
  </si>
  <si>
    <t>DENVER</t>
  </si>
  <si>
    <t>KANSAS CITY</t>
  </si>
  <si>
    <t>SEATTLE</t>
  </si>
  <si>
    <t>ATLANTA</t>
  </si>
  <si>
    <t>LITTLE ROCK</t>
  </si>
  <si>
    <t>SALT LAKE CITY</t>
  </si>
  <si>
    <t>AUSTIN</t>
  </si>
  <si>
    <t>MIAMI</t>
  </si>
  <si>
    <t>ORLANDO</t>
  </si>
  <si>
    <t>OKLAHOMA CITY</t>
  </si>
  <si>
    <t>SAN ANTONIO</t>
  </si>
  <si>
    <t>INDIANAPOLIS</t>
  </si>
  <si>
    <t>OMAHA</t>
  </si>
  <si>
    <t>DETROIT</t>
  </si>
  <si>
    <t>MCALLEN</t>
  </si>
  <si>
    <t>SAINT PAUL</t>
  </si>
  <si>
    <t>BOSTON</t>
  </si>
  <si>
    <t>WASHINGTON</t>
  </si>
  <si>
    <t>FILADELFIA</t>
  </si>
  <si>
    <t>MILWAUKEE</t>
  </si>
  <si>
    <t>LAREDO</t>
  </si>
  <si>
    <t>TUCSON</t>
  </si>
  <si>
    <t>EL PASO</t>
  </si>
  <si>
    <t>NUEVA YORK</t>
  </si>
  <si>
    <t>NUEVA ORLEANS</t>
  </si>
  <si>
    <t>YUMA</t>
  </si>
  <si>
    <t>BROWNSVILLE</t>
  </si>
  <si>
    <t>CALEXICO</t>
  </si>
  <si>
    <t>ALBUQUERQUE</t>
  </si>
  <si>
    <t>NEW BRUNSWICK</t>
  </si>
  <si>
    <t>PRESIDIO</t>
  </si>
  <si>
    <t>ALABAMA</t>
  </si>
  <si>
    <t>ALASKA</t>
  </si>
  <si>
    <t>ARIZONA</t>
  </si>
  <si>
    <t>ARKANSAS</t>
  </si>
  <si>
    <t>CALIFORNIA</t>
  </si>
  <si>
    <t>COLORADO</t>
  </si>
  <si>
    <t>FLORIDA</t>
  </si>
  <si>
    <t>GEORGIA</t>
  </si>
  <si>
    <t>IDAHO</t>
  </si>
  <si>
    <t>ILLINOIS</t>
  </si>
  <si>
    <t>INDIANA</t>
  </si>
  <si>
    <t>IOWA</t>
  </si>
  <si>
    <t>KANSAS</t>
  </si>
  <si>
    <t>KENTUCKY</t>
  </si>
  <si>
    <t>LOUISIANA</t>
  </si>
  <si>
    <t>MARYLAND</t>
  </si>
  <si>
    <t>MICHIGAN</t>
  </si>
  <si>
    <t>MINNESOTA</t>
  </si>
  <si>
    <t>MISSISSIPPI</t>
  </si>
  <si>
    <t>MISSOURI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</si>
  <si>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</si>
  <si>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</si>
  <si>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</si>
  <si>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</si>
  <si>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</si>
  <si>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</si>
  <si>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</si>
  <si>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</si>
  <si>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</si>
  <si>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</si>
  <si>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</si>
  <si>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RHODE ISLAND</t>
  </si>
  <si>
    <t>SOUTH CAROLINA</t>
  </si>
  <si>
    <t>TENNESSEE</t>
  </si>
  <si>
    <t>TEXAS</t>
  </si>
  <si>
    <t>UTAH</t>
  </si>
  <si>
    <t>VIRGINIA</t>
  </si>
  <si>
    <t>WEST VIRGINIA</t>
  </si>
  <si>
    <t>WISCONSIN</t>
  </si>
  <si>
    <t>WYOMING</t>
  </si>
  <si>
    <t>FEMENINO</t>
  </si>
  <si>
    <t>MASCULINO</t>
  </si>
  <si>
    <t>ARIZONA Total</t>
  </si>
  <si>
    <t>ARKANSAS Total</t>
  </si>
  <si>
    <t>CALIFORNIA Total</t>
  </si>
  <si>
    <t>COLORADO Total</t>
  </si>
  <si>
    <t>FLORIDA Total</t>
  </si>
  <si>
    <t>GEORGIA Total</t>
  </si>
  <si>
    <t>IDAHO Total</t>
  </si>
  <si>
    <t>ILLINOIS Total</t>
  </si>
  <si>
    <t>INDIANA Total</t>
  </si>
  <si>
    <t>IOWA Total</t>
  </si>
  <si>
    <t>KANSAS Total</t>
  </si>
  <si>
    <t>KENTUCKY Total</t>
  </si>
  <si>
    <t>LOUISIANA Total</t>
  </si>
  <si>
    <t>MARYLAND Total</t>
  </si>
  <si>
    <t>MICHIGAN Total</t>
  </si>
  <si>
    <t>MINNESOTA Total</t>
  </si>
  <si>
    <t>MISSISSIPPI Total</t>
  </si>
  <si>
    <t>MISSOURI Total</t>
  </si>
  <si>
    <t>NEBRASKA Total</t>
  </si>
  <si>
    <t>NEVADA Total</t>
  </si>
  <si>
    <t>NEW HAMPSHIRE Total</t>
  </si>
  <si>
    <t>NEW JERSEY Total</t>
  </si>
  <si>
    <t>NEW MEXICO Total</t>
  </si>
  <si>
    <t>NEW YORK Total</t>
  </si>
  <si>
    <t>NORTH CAROLINA Total</t>
  </si>
  <si>
    <t>OHIO Total</t>
  </si>
  <si>
    <t>OKLAHOMA Total</t>
  </si>
  <si>
    <t>OREGON Total</t>
  </si>
  <si>
    <t>PENNSYLVANIA Total</t>
  </si>
  <si>
    <t>RHODE ISLAND Total</t>
  </si>
  <si>
    <t>SOUTH CAROLINA Total</t>
  </si>
  <si>
    <t>TENNESSEE Total</t>
  </si>
  <si>
    <t>TEXAS Total</t>
  </si>
  <si>
    <t>UTAH Total</t>
  </si>
  <si>
    <t>VIRGINIA Total</t>
  </si>
  <si>
    <t>WASHINGTON Total</t>
  </si>
  <si>
    <t>WEST VIRGINIA Total</t>
  </si>
  <si>
    <t>WISCONSIN Total</t>
  </si>
  <si>
    <t>WYOMING Total</t>
  </si>
  <si>
    <t>ARMERÍA</t>
  </si>
  <si>
    <t>COLIMA</t>
  </si>
  <si>
    <t>MANZANILLO</t>
  </si>
  <si>
    <t>TECOMÁN</t>
  </si>
  <si>
    <t>VILLA DE ÁLVAREZ</t>
  </si>
  <si>
    <t>COQUIMATLÁN</t>
  </si>
  <si>
    <t>CUAUHTÉMOC</t>
  </si>
  <si>
    <t>NO SE REGISTRÓ EL MUNICIPIO/CONDADO/ALCALDÍA DE NACIMIENTO</t>
  </si>
  <si>
    <t>COMALA</t>
  </si>
  <si>
    <t>AGUILILLA</t>
  </si>
  <si>
    <t>IXTLAHUACÁN</t>
  </si>
  <si>
    <t>MINATITLÁN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</si>
  <si>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</si>
  <si>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</si>
  <si>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</si>
  <si>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</si>
  <si>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</si>
  <si>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</si>
  <si>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</si>
  <si>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</si>
  <si>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</si>
  <si>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</si>
  <si>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</si>
  <si>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</si>
  <si>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</si>
  <si>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</si>
  <si>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</si>
  <si>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</si>
  <si>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</si>
  <si>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</si>
  <si>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</si>
  <si>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</si>
  <si>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</si>
  <si>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</si>
  <si>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</si>
  <si>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</si>
  <si>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</si>
  <si>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</si>
  <si>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</si>
  <si>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</si>
  <si>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</si>
  <si>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HASTA 10 AÑOS</t>
  </si>
  <si>
    <t>MAS DE 75 AÑOS</t>
  </si>
  <si>
    <t>EMPLEADO(A)</t>
  </si>
  <si>
    <t>HOGAR</t>
  </si>
  <si>
    <t>AGROPECUARIA, TRAB. DE LA INDUSTRIA</t>
  </si>
  <si>
    <t>ESTUDIANTE</t>
  </si>
  <si>
    <t>CONSTRUCCIÓN, TRAB. DE LA IND. DE LA</t>
  </si>
  <si>
    <t>OBRERO(A)</t>
  </si>
  <si>
    <t>JARDINERO(A)</t>
  </si>
  <si>
    <t>ALIMENTOS Y BEBIDAS, ESP. EN PREPARACIÓN DE</t>
  </si>
  <si>
    <t>PINTOR(A)</t>
  </si>
  <si>
    <t>JUBILADO(A)/PENSIONADO(A)</t>
  </si>
  <si>
    <t>VENDEDOR(A)</t>
  </si>
  <si>
    <t>LIMPIEZA, EMPLEADO DE</t>
  </si>
  <si>
    <t>CHOFER</t>
  </si>
  <si>
    <t>OPERARIO(A)</t>
  </si>
  <si>
    <t>PROFESIONISTA</t>
  </si>
  <si>
    <t>EMPRESARIO(A)</t>
  </si>
  <si>
    <t>SIN ESPECIFICAR</t>
  </si>
  <si>
    <t>DESEMPLEADO</t>
  </si>
  <si>
    <t>MECÁNICO(A)</t>
  </si>
  <si>
    <t>CAJERO(A)/COBRADOR(A)</t>
  </si>
  <si>
    <t>MESERO(A)</t>
  </si>
  <si>
    <t>CARPINTERO/TAPICERO</t>
  </si>
  <si>
    <t>TÉCNICO(A) EN MANTENIMIENTO</t>
  </si>
  <si>
    <t>DISCAPACITADO</t>
  </si>
  <si>
    <t>BELLEZA, PROFESIONAL DE SERVICIOS DE</t>
  </si>
  <si>
    <t>SOLDADOR</t>
  </si>
  <si>
    <t>AEROCOMERCIAL, TRAB. DE LA INDUSTRIA</t>
  </si>
  <si>
    <t>AUXILIARES ADMINISTRATIVOS Y DE OFICINA</t>
  </si>
  <si>
    <t>CARNICERO(A)</t>
  </si>
  <si>
    <t>ENFERMERO(A)/TRAB. DE APOYO EN SALUD</t>
  </si>
  <si>
    <t>GERENTE/DIRECTOR(A)</t>
  </si>
  <si>
    <t>MENORES DE EDAD</t>
  </si>
  <si>
    <t>PROFESIONAL TÉCNICO</t>
  </si>
  <si>
    <t>SUPERVISOR(A)</t>
  </si>
  <si>
    <t>ABOGADO(A)</t>
  </si>
  <si>
    <t>ARTISTA INTERPRETATIVO(A)</t>
  </si>
  <si>
    <t>ARTISTA PLÁSTICO/PINTOR(A)</t>
  </si>
  <si>
    <t>COMERCIANTE</t>
  </si>
  <si>
    <t>INGENIERO(A)</t>
  </si>
  <si>
    <t>MINISTRO(A) RELIGIOSO(A)</t>
  </si>
  <si>
    <t>POLICÍA/ SERV. SEGURIDAD Y PROTECCIÓN</t>
  </si>
  <si>
    <t>PROFESOR(A)</t>
  </si>
  <si>
    <t>TRABAJADOR(A) DOMÉSTICO(A)</t>
  </si>
  <si>
    <t>ALBUQUERQUE Total</t>
  </si>
  <si>
    <t>ATLANTA Total</t>
  </si>
  <si>
    <t>AUSTIN Total</t>
  </si>
  <si>
    <t>BOISE Total</t>
  </si>
  <si>
    <t>BOSTON Total</t>
  </si>
  <si>
    <t>BROWNSVILLE Total</t>
  </si>
  <si>
    <t>CALEXICO Total</t>
  </si>
  <si>
    <t>CHICAGO Total</t>
  </si>
  <si>
    <t>DALLAS Total</t>
  </si>
  <si>
    <t>DENVER Total</t>
  </si>
  <si>
    <t>DETROIT Total</t>
  </si>
  <si>
    <t>EL PASO Total</t>
  </si>
  <si>
    <t>FILADELFIA Total</t>
  </si>
  <si>
    <t>FRESNO Total</t>
  </si>
  <si>
    <t>HOUSTON Total</t>
  </si>
  <si>
    <t>INDIANAPOLIS Total</t>
  </si>
  <si>
    <t>KANSAS CITY Total</t>
  </si>
  <si>
    <t>LAREDO Total</t>
  </si>
  <si>
    <t>LAS VEGAS Total</t>
  </si>
  <si>
    <t>LITTLE ROCK Total</t>
  </si>
  <si>
    <t>LOS ANGELES Total</t>
  </si>
  <si>
    <t>MCALLEN Total</t>
  </si>
  <si>
    <t>MIAMI Total</t>
  </si>
  <si>
    <t>MILWAUKEE Total</t>
  </si>
  <si>
    <t>NEW BRUNSWICK Total</t>
  </si>
  <si>
    <t>NUEVA ORLEANS Total</t>
  </si>
  <si>
    <t>NUEVA YORK Total</t>
  </si>
  <si>
    <t>OKLAHOMA CITY Total</t>
  </si>
  <si>
    <t>OMAHA Total</t>
  </si>
  <si>
    <t>ORLANDO Total</t>
  </si>
  <si>
    <t>OXNARD Total</t>
  </si>
  <si>
    <t>PHOENIX Total</t>
  </si>
  <si>
    <t>PORTLAND Total</t>
  </si>
  <si>
    <t>RALEIGH Total</t>
  </si>
  <si>
    <t>SACRAMENTO Total</t>
  </si>
  <si>
    <t>SAINT PAUL Total</t>
  </si>
  <si>
    <t>SALT LAKE CITY Total</t>
  </si>
  <si>
    <t>SAN ANTONIO Total</t>
  </si>
  <si>
    <t>SAN BERNARDINO Total</t>
  </si>
  <si>
    <t>SAN DIEGO Total</t>
  </si>
  <si>
    <t>SAN FRANCISCO Total</t>
  </si>
  <si>
    <t>SAN JOSE Total</t>
  </si>
  <si>
    <t>SANTA ANA Total</t>
  </si>
  <si>
    <t>SEATTLE Total</t>
  </si>
  <si>
    <t>TUCSON Total</t>
  </si>
  <si>
    <t>YUMA Total</t>
  </si>
  <si>
    <t>MATRÍCULAS CONSULARES EXPEDIDAS A ORIGINARIOS DE COLIMA POR GÉNERO Y EDAD                     EN EE.UU.</t>
  </si>
  <si>
    <t>MATRÍCULAS CONSULARES EXPEDIDAS EN EE.UU. ORIGINARIOS DE COLIMA POR PERFIL OCUPACIONAL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</si>
</sst>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7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b/>
      <sz val="9"/>
      <color rgb="FFFFFFFF"/>
      <name val="Montserrat"/>
    </font>
    <font>
      <sz val="9"/>
      <name val="Montserrat"/>
    </font>
  </fonts>
  <fills count="11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1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0" fontId="15" fillId="3" borderId="0" xfId="0" applyFont="1" applyFill="1"/>
    <xf numFmtId="0" fontId="16" fillId="2" borderId="10" xfId="3" applyFont="1" applyFill="1" applyBorder="1" applyAlignment="1">
      <alignment horizontal="center" vertical="center" wrapText="1"/>
    </xf>
    <xf numFmtId="1" fontId="16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7" fillId="3" borderId="0" xfId="0" applyFont="1" applyFill="1"/>
    <xf numFmtId="0" fontId="15" fillId="3" borderId="0" xfId="0" applyFont="1" applyFill="1" applyAlignment="1">
      <alignment vertical="center"/>
    </xf>
    <xf numFmtId="3" fontId="10" fillId="3" borderId="0" xfId="0" applyNumberFormat="1" applyFont="1" applyFill="1"/>
    <xf numFmtId="1" fontId="10" fillId="3" borderId="0" xfId="0" applyNumberFormat="1" applyFont="1" applyFill="1"/>
    <xf numFmtId="0" fontId="18" fillId="3" borderId="0" xfId="0" applyFont="1" applyFill="1"/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0" fontId="3" fillId="3" borderId="0" xfId="0" applyFont="1" applyFill="1"/>
    <xf numFmtId="0" fontId="10" fillId="3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21" fillId="3" borderId="16" xfId="0" applyFont="1" applyFill="1" applyBorder="1" applyAlignment="1">
      <alignment horizontal="center" vertical="distributed"/>
    </xf>
    <xf numFmtId="0" fontId="23" fillId="0" borderId="4" xfId="0" applyFont="1" applyBorder="1"/>
    <xf numFmtId="0" fontId="25" fillId="6" borderId="9" xfId="3" applyFont="1" applyFill="1" applyBorder="1" applyAlignment="1">
      <alignment horizontal="center" vertical="center" wrapText="1"/>
    </xf>
    <xf numFmtId="49" fontId="7" fillId="7" borderId="9" xfId="0" applyNumberFormat="1" applyFont="1" applyFill="1" applyBorder="1" applyAlignment="1">
      <alignment horizontal="left" vertical="center" wrapText="1"/>
    </xf>
    <xf numFmtId="3" fontId="7" fillId="7" borderId="9" xfId="0" applyNumberFormat="1" applyFont="1" applyFill="1" applyBorder="1" applyAlignment="1">
      <alignment horizontal="right" vertical="center" wrapText="1"/>
    </xf>
    <xf numFmtId="164" fontId="7" fillId="7" borderId="9" xfId="0" applyNumberFormat="1" applyFont="1" applyFill="1" applyBorder="1" applyAlignment="1">
      <alignment horizontal="right" vertical="center" wrapText="1"/>
    </xf>
    <xf numFmtId="3" fontId="25" fillId="8" borderId="9" xfId="0" applyNumberFormat="1" applyFont="1" applyFill="1" applyBorder="1" applyAlignment="1">
      <alignment horizontal="right" vertical="center" wrapText="1"/>
    </xf>
    <xf numFmtId="164" fontId="25" fillId="8" borderId="9" xfId="0" applyNumberFormat="1" applyFont="1" applyFill="1" applyBorder="1" applyAlignment="1">
      <alignment horizontal="right" vertical="center" wrapText="1"/>
    </xf>
    <xf numFmtId="49" fontId="25" fillId="9" borderId="12" xfId="0" applyNumberFormat="1" applyFont="1" applyFill="1" applyBorder="1" applyAlignment="1">
      <alignment vertical="center" wrapText="1"/>
    </xf>
    <xf numFmtId="3" fontId="25" fillId="9" borderId="9" xfId="0" applyNumberFormat="1" applyFont="1" applyFill="1" applyBorder="1" applyAlignment="1">
      <alignment horizontal="right" vertical="center" wrapText="1"/>
    </xf>
    <xf numFmtId="164" fontId="25" fillId="9" borderId="9" xfId="0" applyNumberFormat="1" applyFont="1" applyFill="1" applyBorder="1" applyAlignment="1">
      <alignment horizontal="right" vertical="center" wrapText="1"/>
    </xf>
    <xf numFmtId="3" fontId="6" fillId="10" borderId="9" xfId="0" applyNumberFormat="1" applyFont="1" applyFill="1" applyBorder="1" applyAlignment="1">
      <alignment horizontal="right" wrapText="1"/>
    </xf>
    <xf numFmtId="164" fontId="6" fillId="10" borderId="9" xfId="0" applyNumberFormat="1" applyFont="1" applyFill="1" applyBorder="1" applyAlignment="1">
      <alignment horizontal="right" wrapText="1"/>
    </xf>
    <xf numFmtId="49" fontId="8" fillId="3" borderId="9" xfId="0" applyNumberFormat="1" applyFont="1" applyFill="1" applyBorder="1" applyAlignment="1">
      <alignment vertical="top" wrapText="1"/>
    </xf>
    <xf numFmtId="165" fontId="7" fillId="3" borderId="9" xfId="0" applyNumberFormat="1" applyFont="1" applyFill="1" applyBorder="1" applyAlignment="1">
      <alignment horizontal="right" vertical="top" wrapText="1"/>
    </xf>
    <xf numFmtId="164" fontId="7" fillId="3" borderId="9" xfId="0" applyNumberFormat="1" applyFont="1" applyFill="1" applyBorder="1" applyAlignment="1">
      <alignment horizontal="right" vertical="top" wrapText="1"/>
    </xf>
    <xf numFmtId="0" fontId="25" fillId="6" borderId="10" xfId="3" applyFont="1" applyFill="1" applyBorder="1" applyAlignment="1">
      <alignment horizontal="center" vertical="center" wrapText="1"/>
    </xf>
    <xf numFmtId="165" fontId="6" fillId="4" borderId="9" xfId="0" applyNumberFormat="1" applyFont="1" applyFill="1" applyBorder="1" applyAlignment="1">
      <alignment horizontal="right" vertical="top" wrapText="1"/>
    </xf>
    <xf numFmtId="164" fontId="6" fillId="4" borderId="9" xfId="0" applyNumberFormat="1" applyFont="1" applyFill="1" applyBorder="1" applyAlignment="1">
      <alignment horizontal="right" vertical="top" wrapText="1"/>
    </xf>
    <xf numFmtId="3" fontId="7" fillId="3" borderId="9" xfId="0" applyNumberFormat="1" applyFont="1" applyFill="1" applyBorder="1" applyAlignment="1">
      <alignment horizontal="right" vertical="top" wrapText="1"/>
    </xf>
    <xf numFmtId="0" fontId="26" fillId="3" borderId="0" xfId="0" applyFont="1" applyFill="1"/>
    <xf numFmtId="0" fontId="8" fillId="0" borderId="0" xfId="0" applyFont="1"/>
    <xf numFmtId="0" fontId="6" fillId="2" borderId="9" xfId="0" applyFont="1" applyFill="1" applyBorder="1" applyAlignment="1">
      <alignment horizontal="center" vertical="center" wrapText="1"/>
    </xf>
    <xf numFmtId="1" fontId="6" fillId="2" borderId="9" xfId="0" applyNumberFormat="1" applyFont="1" applyFill="1" applyBorder="1" applyAlignment="1">
      <alignment horizontal="center" vertical="center" wrapText="1"/>
    </xf>
    <xf numFmtId="0" fontId="24" fillId="0" borderId="4" xfId="1" applyFont="1" applyBorder="1" applyAlignment="1">
      <alignment horizontal="left"/>
    </xf>
    <xf numFmtId="0" fontId="24" fillId="0" borderId="0" xfId="1" applyFont="1" applyBorder="1" applyAlignment="1">
      <alignment horizontal="left"/>
    </xf>
    <xf numFmtId="0" fontId="22" fillId="2" borderId="1" xfId="0" applyFont="1" applyFill="1" applyBorder="1" applyAlignment="1">
      <alignment horizontal="center" wrapText="1"/>
    </xf>
    <xf numFmtId="0" fontId="22" fillId="2" borderId="2" xfId="0" applyFont="1" applyFill="1" applyBorder="1" applyAlignment="1">
      <alignment horizontal="center" wrapText="1"/>
    </xf>
    <xf numFmtId="0" fontId="22" fillId="2" borderId="3" xfId="0" applyFont="1" applyFill="1" applyBorder="1" applyAlignment="1">
      <alignment horizontal="center" wrapText="1"/>
    </xf>
    <xf numFmtId="0" fontId="23" fillId="0" borderId="4" xfId="0" applyFont="1" applyBorder="1" applyAlignment="1">
      <alignment horizontal="left" wrapText="1"/>
    </xf>
    <xf numFmtId="0" fontId="23" fillId="0" borderId="0" xfId="0" applyFont="1" applyAlignment="1">
      <alignment horizontal="left" wrapText="1"/>
    </xf>
    <xf numFmtId="0" fontId="23" fillId="0" borderId="5" xfId="0" applyFont="1" applyBorder="1" applyAlignment="1">
      <alignment horizontal="left" wrapText="1"/>
    </xf>
    <xf numFmtId="0" fontId="24" fillId="0" borderId="5" xfId="1" applyFont="1" applyBorder="1" applyAlignment="1">
      <alignment horizontal="left"/>
    </xf>
    <xf numFmtId="0" fontId="12" fillId="0" borderId="0" xfId="0" applyFont="1" applyAlignment="1">
      <alignment horizontal="center" vertical="center" wrapText="1"/>
    </xf>
    <xf numFmtId="49" fontId="6" fillId="10" borderId="13" xfId="0" applyNumberFormat="1" applyFont="1" applyFill="1" applyBorder="1" applyAlignment="1">
      <alignment horizontal="center" vertical="center" wrapText="1"/>
    </xf>
    <xf numFmtId="49" fontId="6" fillId="10" borderId="12" xfId="0" applyNumberFormat="1" applyFont="1" applyFill="1" applyBorder="1" applyAlignment="1">
      <alignment horizontal="center" vertic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20" fillId="0" borderId="0" xfId="0" applyFont="1" applyAlignment="1">
      <alignment horizontal="center" vertical="center" wrapText="1"/>
    </xf>
    <xf numFmtId="49" fontId="25" fillId="8" borderId="13" xfId="0" applyNumberFormat="1" applyFont="1" applyFill="1" applyBorder="1" applyAlignment="1">
      <alignment horizontal="center" vertical="center" wrapText="1"/>
    </xf>
    <xf numFmtId="49" fontId="25" fillId="8" borderId="12" xfId="0" applyNumberFormat="1" applyFont="1" applyFill="1" applyBorder="1" applyAlignment="1">
      <alignment horizontal="center" vertical="center" wrapText="1"/>
    </xf>
    <xf numFmtId="49" fontId="7" fillId="7" borderId="10" xfId="0" applyNumberFormat="1" applyFont="1" applyFill="1" applyBorder="1" applyAlignment="1">
      <alignment horizontal="center" vertical="center" wrapText="1"/>
    </xf>
    <xf numFmtId="49" fontId="7" fillId="7" borderId="15" xfId="0" applyNumberFormat="1" applyFont="1" applyFill="1" applyBorder="1" applyAlignment="1">
      <alignment horizontal="center" vertical="center" wrapText="1"/>
    </xf>
    <xf numFmtId="49" fontId="7" fillId="7" borderId="14" xfId="0" applyNumberFormat="1" applyFont="1" applyFill="1" applyBorder="1" applyAlignment="1">
      <alignment horizontal="center" vertical="center" wrapText="1"/>
    </xf>
    <xf numFmtId="49" fontId="6" fillId="4" borderId="13" xfId="0" applyNumberFormat="1" applyFont="1" applyFill="1" applyBorder="1" applyAlignment="1">
      <alignment horizontal="center" vertical="top" wrapText="1"/>
    </xf>
    <xf numFmtId="49" fontId="6" fillId="4" borderId="12" xfId="0" applyNumberFormat="1" applyFont="1" applyFill="1" applyBorder="1" applyAlignment="1">
      <alignment horizontal="center" vertical="top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336549</xdr:colOff>
      <xdr:row>1</xdr:row>
      <xdr:rowOff>184046</xdr:rowOff>
    </xdr:from>
    <xdr:to>
      <xdr:col>3</xdr:col>
      <xdr:colOff>848646</xdr:colOff>
      <xdr:row>2</xdr:row>
      <xdr:rowOff>184047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22699" y="717446"/>
          <a:ext cx="512097" cy="2095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176696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3261"/>
          <a:ext cx="5403849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1034636</xdr:colOff>
      <xdr:row>1</xdr:row>
      <xdr:rowOff>146879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36027" y="34014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152400</xdr:rowOff>
    </xdr:from>
    <xdr:to>
      <xdr:col>5</xdr:col>
      <xdr:colOff>150147</xdr:colOff>
      <xdr:row>8</xdr:row>
      <xdr:rowOff>146255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686300" y="16764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104775</xdr:colOff>
      <xdr:row>1</xdr:row>
      <xdr:rowOff>0</xdr:rowOff>
    </xdr:from>
    <xdr:to>
      <xdr:col>1</xdr:col>
      <xdr:colOff>410134</xdr:colOff>
      <xdr:row>3</xdr:row>
      <xdr:rowOff>333374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953E7B7-7174-4ADA-8F9C-C0E4F27EB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90500"/>
          <a:ext cx="924484" cy="7143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204305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3261"/>
          <a:ext cx="5431458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46577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152400</xdr:colOff>
      <xdr:row>1</xdr:row>
      <xdr:rowOff>19050</xdr:rowOff>
    </xdr:from>
    <xdr:to>
      <xdr:col>1</xdr:col>
      <xdr:colOff>457759</xdr:colOff>
      <xdr:row>3</xdr:row>
      <xdr:rowOff>352424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11A445D5-26F3-4FBE-A03F-009B3E1DE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09550"/>
          <a:ext cx="924484" cy="714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193261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3261"/>
          <a:ext cx="5420414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1045680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47071" y="345661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46577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133350</xdr:colOff>
      <xdr:row>1</xdr:row>
      <xdr:rowOff>47625</xdr:rowOff>
    </xdr:from>
    <xdr:to>
      <xdr:col>1</xdr:col>
      <xdr:colOff>438709</xdr:colOff>
      <xdr:row>3</xdr:row>
      <xdr:rowOff>380999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65EF3405-9846-482C-B14C-28D77959E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38125"/>
          <a:ext cx="924484" cy="7143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149088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2" y="193261"/>
          <a:ext cx="5757240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995984</xdr:colOff>
      <xdr:row>1</xdr:row>
      <xdr:rowOff>135835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78375" y="329096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171450</xdr:rowOff>
    </xdr:from>
    <xdr:to>
      <xdr:col>5</xdr:col>
      <xdr:colOff>83472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619625" y="16954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181941</xdr:colOff>
      <xdr:row>1</xdr:row>
      <xdr:rowOff>15875</xdr:rowOff>
    </xdr:from>
    <xdr:to>
      <xdr:col>1</xdr:col>
      <xdr:colOff>487300</xdr:colOff>
      <xdr:row>3</xdr:row>
      <xdr:rowOff>352010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CB763F4-14C2-4B72-8F04-5A9996F978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941" y="209136"/>
          <a:ext cx="951402" cy="72265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COLIMA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433551</xdr:colOff>
      <xdr:row>7</xdr:row>
      <xdr:rowOff>78827</xdr:rowOff>
    </xdr:from>
    <xdr:to>
      <xdr:col>4</xdr:col>
      <xdr:colOff>945648</xdr:colOff>
      <xdr:row>7</xdr:row>
      <xdr:rowOff>263182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071241" y="1819603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76200</xdr:colOff>
      <xdr:row>0</xdr:row>
      <xdr:rowOff>133350</xdr:rowOff>
    </xdr:from>
    <xdr:to>
      <xdr:col>1</xdr:col>
      <xdr:colOff>1000684</xdr:colOff>
      <xdr:row>3</xdr:row>
      <xdr:rowOff>314324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0A130A0-5412-46E5-AE60-471B38A43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133350"/>
          <a:ext cx="924484" cy="71437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COLIMA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499241</xdr:colOff>
      <xdr:row>7</xdr:row>
      <xdr:rowOff>131379</xdr:rowOff>
    </xdr:from>
    <xdr:to>
      <xdr:col>4</xdr:col>
      <xdr:colOff>1011338</xdr:colOff>
      <xdr:row>7</xdr:row>
      <xdr:rowOff>315734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136931" y="187215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57150</xdr:colOff>
      <xdr:row>0</xdr:row>
      <xdr:rowOff>85725</xdr:rowOff>
    </xdr:from>
    <xdr:to>
      <xdr:col>1</xdr:col>
      <xdr:colOff>981634</xdr:colOff>
      <xdr:row>3</xdr:row>
      <xdr:rowOff>266699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B0D47BF-E426-4EF2-8ACD-67AB03DFE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85725"/>
          <a:ext cx="924484" cy="71437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93869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3261"/>
          <a:ext cx="6226588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990463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97420" y="345661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142875</xdr:colOff>
      <xdr:row>0</xdr:row>
      <xdr:rowOff>171450</xdr:rowOff>
    </xdr:from>
    <xdr:to>
      <xdr:col>1</xdr:col>
      <xdr:colOff>448234</xdr:colOff>
      <xdr:row>3</xdr:row>
      <xdr:rowOff>314324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C7115725-0589-45BC-A246-2D11B3128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171450"/>
          <a:ext cx="924484" cy="71437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COLIMA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575235</xdr:colOff>
      <xdr:row>7</xdr:row>
      <xdr:rowOff>59765</xdr:rowOff>
    </xdr:from>
    <xdr:to>
      <xdr:col>4</xdr:col>
      <xdr:colOff>1087332</xdr:colOff>
      <xdr:row>7</xdr:row>
      <xdr:rowOff>244120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423647" y="1807883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85725</xdr:colOff>
      <xdr:row>1</xdr:row>
      <xdr:rowOff>47625</xdr:rowOff>
    </xdr:from>
    <xdr:to>
      <xdr:col>1</xdr:col>
      <xdr:colOff>1010209</xdr:colOff>
      <xdr:row>3</xdr:row>
      <xdr:rowOff>380999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44EB592-F35D-41F8-8CE0-0567484865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00025"/>
          <a:ext cx="924484" cy="71437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COLIMA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440121</xdr:colOff>
      <xdr:row>7</xdr:row>
      <xdr:rowOff>151086</xdr:rowOff>
    </xdr:from>
    <xdr:to>
      <xdr:col>4</xdr:col>
      <xdr:colOff>952218</xdr:colOff>
      <xdr:row>7</xdr:row>
      <xdr:rowOff>335441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077811" y="189186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19050</xdr:colOff>
      <xdr:row>0</xdr:row>
      <xdr:rowOff>104775</xdr:rowOff>
    </xdr:from>
    <xdr:to>
      <xdr:col>1</xdr:col>
      <xdr:colOff>943534</xdr:colOff>
      <xdr:row>3</xdr:row>
      <xdr:rowOff>285749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F00D2D4-DA68-425D-AEEC-4571DE88B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04775"/>
          <a:ext cx="924484" cy="71437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193262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2" y="193261"/>
          <a:ext cx="5420414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8</xdr:row>
      <xdr:rowOff>123825</xdr:rowOff>
    </xdr:from>
    <xdr:to>
      <xdr:col>5</xdr:col>
      <xdr:colOff>112047</xdr:colOff>
      <xdr:row>8</xdr:row>
      <xdr:rowOff>308180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648200" y="18383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114300</xdr:colOff>
      <xdr:row>1</xdr:row>
      <xdr:rowOff>28575</xdr:rowOff>
    </xdr:from>
    <xdr:to>
      <xdr:col>1</xdr:col>
      <xdr:colOff>419659</xdr:colOff>
      <xdr:row>3</xdr:row>
      <xdr:rowOff>361949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B0F75407-65AF-438D-B890-C5E7265ADC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219075"/>
          <a:ext cx="924484" cy="71437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123712</xdr:colOff>
      <xdr:row>8</xdr:row>
      <xdr:rowOff>151946</xdr:rowOff>
    </xdr:from>
    <xdr:to>
      <xdr:col>6</xdr:col>
      <xdr:colOff>254167</xdr:colOff>
      <xdr:row>9</xdr:row>
      <xdr:rowOff>151946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997462" y="1675946"/>
          <a:ext cx="53050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133350</xdr:colOff>
      <xdr:row>0</xdr:row>
      <xdr:rowOff>85725</xdr:rowOff>
    </xdr:from>
    <xdr:to>
      <xdr:col>1</xdr:col>
      <xdr:colOff>1057834</xdr:colOff>
      <xdr:row>3</xdr:row>
      <xdr:rowOff>276224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1792D1C-534E-406D-84FE-F1111EDFF7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4350" y="85725"/>
          <a:ext cx="924484" cy="71437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130062</xdr:colOff>
      <xdr:row>9</xdr:row>
      <xdr:rowOff>31296</xdr:rowOff>
    </xdr:from>
    <xdr:to>
      <xdr:col>6</xdr:col>
      <xdr:colOff>260517</xdr:colOff>
      <xdr:row>10</xdr:row>
      <xdr:rowOff>31296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340237" y="1793421"/>
          <a:ext cx="51145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76200</xdr:colOff>
      <xdr:row>0</xdr:row>
      <xdr:rowOff>114300</xdr:rowOff>
    </xdr:from>
    <xdr:to>
      <xdr:col>1</xdr:col>
      <xdr:colOff>1000684</xdr:colOff>
      <xdr:row>3</xdr:row>
      <xdr:rowOff>304799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66405CD-645F-4B08-B28D-54846A284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14300"/>
          <a:ext cx="924484" cy="71437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680931</xdr:colOff>
      <xdr:row>9</xdr:row>
      <xdr:rowOff>2920</xdr:rowOff>
    </xdr:from>
    <xdr:to>
      <xdr:col>6</xdr:col>
      <xdr:colOff>226066</xdr:colOff>
      <xdr:row>10</xdr:row>
      <xdr:rowOff>45427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294331" y="1717420"/>
          <a:ext cx="643685" cy="23300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44824</xdr:colOff>
      <xdr:row>0</xdr:row>
      <xdr:rowOff>89647</xdr:rowOff>
    </xdr:from>
    <xdr:to>
      <xdr:col>1</xdr:col>
      <xdr:colOff>969308</xdr:colOff>
      <xdr:row>3</xdr:row>
      <xdr:rowOff>277345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A7DAB71-9057-4BBA-B6F9-DB0F1BAE5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5824" y="89647"/>
          <a:ext cx="924484" cy="71437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4</xdr:col>
      <xdr:colOff>590827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2" y="193261"/>
          <a:ext cx="6690414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868984</xdr:colOff>
      <xdr:row>1</xdr:row>
      <xdr:rowOff>168965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88854" y="362226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1202082</xdr:colOff>
      <xdr:row>8</xdr:row>
      <xdr:rowOff>49696</xdr:rowOff>
    </xdr:from>
    <xdr:to>
      <xdr:col>4</xdr:col>
      <xdr:colOff>504229</xdr:colOff>
      <xdr:row>8</xdr:row>
      <xdr:rowOff>234051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6121952" y="1783522"/>
          <a:ext cx="539016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112059</xdr:colOff>
      <xdr:row>0</xdr:row>
      <xdr:rowOff>179294</xdr:rowOff>
    </xdr:from>
    <xdr:to>
      <xdr:col>1</xdr:col>
      <xdr:colOff>420219</xdr:colOff>
      <xdr:row>3</xdr:row>
      <xdr:rowOff>322168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CB7F9EA8-BDCD-4A60-B8C8-AE815D04A4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059" y="179294"/>
          <a:ext cx="924484" cy="7143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D29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79" t="s">
        <v>46</v>
      </c>
      <c r="B1" s="80"/>
      <c r="C1" s="80"/>
      <c r="D1" s="81"/>
    </row>
    <row r="2" spans="1:4">
      <c r="A2" s="2"/>
      <c r="B2" s="3"/>
      <c r="C2" s="3"/>
      <c r="D2" s="4"/>
    </row>
    <row r="3" spans="1:4">
      <c r="A3" s="82" t="s">
        <v>0</v>
      </c>
      <c r="B3" s="83"/>
      <c r="C3" s="83"/>
      <c r="D3" s="84"/>
    </row>
    <row r="4" spans="1:4">
      <c r="A4" s="82"/>
      <c r="B4" s="83"/>
      <c r="C4" s="83"/>
      <c r="D4" s="84"/>
    </row>
    <row r="5" spans="1:4">
      <c r="A5" s="5"/>
      <c r="B5" s="6"/>
      <c r="C5" s="6"/>
      <c r="D5" s="7"/>
    </row>
    <row r="6" spans="1:4" ht="18.5">
      <c r="A6" s="77" t="s">
        <v>1</v>
      </c>
      <c r="B6" s="78"/>
      <c r="C6" s="78"/>
      <c r="D6" s="85"/>
    </row>
    <row r="7" spans="1:4">
      <c r="A7" s="8"/>
      <c r="D7" s="9"/>
    </row>
    <row r="8" spans="1:4" ht="18.5">
      <c r="A8" s="77" t="s">
        <v>2</v>
      </c>
      <c r="B8" s="78"/>
      <c r="C8" s="78"/>
      <c r="D8" s="85"/>
    </row>
    <row r="9" spans="1:4" ht="18.5">
      <c r="A9" s="8"/>
      <c r="B9" s="77" t="s">
        <v>3</v>
      </c>
      <c r="C9" s="78"/>
      <c r="D9" s="78"/>
    </row>
    <row r="10" spans="1:4">
      <c r="A10" s="8"/>
      <c r="D10" s="9"/>
    </row>
    <row r="11" spans="1:4" ht="18.5">
      <c r="A11" s="54" t="s">
        <v>4</v>
      </c>
      <c r="D11" s="9"/>
    </row>
    <row r="12" spans="1:4" ht="18.5">
      <c r="A12" s="8"/>
      <c r="B12" s="77" t="s">
        <v>5</v>
      </c>
      <c r="C12" s="78"/>
      <c r="D12" s="78"/>
    </row>
    <row r="13" spans="1:4" ht="18.5">
      <c r="A13" s="8"/>
      <c r="B13" s="77" t="s">
        <v>6</v>
      </c>
      <c r="C13" s="78"/>
      <c r="D13" s="78"/>
    </row>
    <row r="14" spans="1:4" ht="18.5">
      <c r="A14" s="8"/>
      <c r="B14" s="77" t="s">
        <v>7</v>
      </c>
      <c r="C14" s="78"/>
      <c r="D14" s="78"/>
    </row>
    <row r="15" spans="1:4">
      <c r="A15" s="8"/>
      <c r="D15" s="9"/>
    </row>
    <row r="16" spans="1:4" ht="18.5">
      <c r="A16" s="54" t="s">
        <v>8</v>
      </c>
      <c r="D16" s="9"/>
    </row>
    <row r="17" spans="1:4" ht="18.5">
      <c r="A17" s="8"/>
      <c r="B17" s="77" t="s">
        <v>9</v>
      </c>
      <c r="C17" s="78"/>
      <c r="D17" s="78"/>
    </row>
    <row r="18" spans="1:4" ht="18.5">
      <c r="A18" s="8"/>
      <c r="B18" s="77" t="s">
        <v>10</v>
      </c>
      <c r="C18" s="78"/>
      <c r="D18" s="78"/>
    </row>
    <row r="19" spans="1:4" ht="18.5">
      <c r="A19" s="8"/>
      <c r="B19" s="77" t="s">
        <v>11</v>
      </c>
      <c r="C19" s="78"/>
      <c r="D19" s="78"/>
    </row>
    <row r="20" spans="1:4">
      <c r="A20" s="8"/>
      <c r="D20" s="9"/>
    </row>
    <row r="21" spans="1:4" ht="18.5">
      <c r="A21" s="54" t="s">
        <v>12</v>
      </c>
      <c r="D21" s="9"/>
    </row>
    <row r="22" spans="1:4" ht="18.5">
      <c r="A22" s="8"/>
      <c r="B22" s="77" t="s">
        <v>13</v>
      </c>
      <c r="C22" s="78"/>
      <c r="D22" s="78"/>
    </row>
    <row r="23" spans="1:4" ht="18.5">
      <c r="A23" s="8"/>
      <c r="B23" s="77" t="s">
        <v>34</v>
      </c>
      <c r="C23" s="78"/>
      <c r="D23" s="78"/>
    </row>
    <row r="24" spans="1:4" ht="18.5">
      <c r="A24" s="8"/>
      <c r="B24" s="77" t="s">
        <v>35</v>
      </c>
      <c r="C24" s="78"/>
      <c r="D24" s="78"/>
    </row>
    <row r="25" spans="1:4">
      <c r="A25" s="8"/>
      <c r="D25" s="9"/>
    </row>
    <row r="26" spans="1:4" ht="18.5">
      <c r="A26" s="77" t="s">
        <v>14</v>
      </c>
      <c r="B26" s="78"/>
      <c r="C26" s="78"/>
      <c r="D26" s="85"/>
    </row>
    <row r="27" spans="1:4">
      <c r="A27" s="8"/>
      <c r="D27" s="9"/>
    </row>
    <row r="28" spans="1:4" ht="18.5">
      <c r="A28" s="77" t="s">
        <v>15</v>
      </c>
      <c r="B28" s="78"/>
      <c r="C28" s="78"/>
      <c r="D28" s="85"/>
    </row>
    <row r="29" spans="1:4" ht="17" thickBot="1">
      <c r="A29" s="10"/>
      <c r="B29" s="11"/>
      <c r="C29" s="11"/>
      <c r="D29" s="12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Colima_USAMuni!A1" display="3.2 Por Estado de USA" xr:uid="{00000000-0004-0000-0000-00000D000000}"/>
    <hyperlink ref="A8:D8" location="Colima_Cons!A1" display="2. Por Circunscripción Consular" xr:uid="{00000000-0004-0000-0000-00000E000000}"/>
    <hyperlink ref="B9:D9" location="ColimaXCons!A1" display="2.1 Top ten por circunscripción consular" xr:uid="{00000000-0004-0000-0000-00000F000000}"/>
    <hyperlink ref="A6:D6" location="Colima_EdoUsa!A1" display="1. Por Estados de USA" xr:uid="{00000000-0004-0000-0000-000010000000}"/>
    <hyperlink ref="B12:D12" location="Colima_EdoMun!A1" display="3.1 Municipio general" xr:uid="{00000000-0004-0000-0000-000011000000}"/>
    <hyperlink ref="B14:D14" location="Colima_MUNICIPIO!A1" display="3.3 Por Circunscripción Consular" xr:uid="{00000000-0004-0000-0000-000012000000}"/>
    <hyperlink ref="B17:D17" location="Colima_educ_gral!A1" display="4.1 Educación general" xr:uid="{00000000-0004-0000-0000-000013000000}"/>
    <hyperlink ref="B18:D18" location="Colima_NivelE_Cons!A1" display="4.2 Por Estado de USA" xr:uid="{00000000-0004-0000-0000-000014000000}"/>
    <hyperlink ref="B19:D19" location="Colima_EducCons!A1" display="4.3 Por Circunscripción Consular" xr:uid="{00000000-0004-0000-0000-000015000000}"/>
    <hyperlink ref="B22:D22" location="Colima_GenGral!A1" display="5.1 Género General" xr:uid="{00000000-0004-0000-0000-000016000000}"/>
    <hyperlink ref="B23:D23" location="Colima_GENERO!A1" display="5.2 Por Circunscripción Consular" xr:uid="{00000000-0004-0000-0000-000017000000}"/>
    <hyperlink ref="A26:D26" location="Colima_Gen_Edad!A1" display="6. Por estructura de Edad" xr:uid="{00000000-0004-0000-0000-000018000000}"/>
    <hyperlink ref="A28:D28" location="Colima_ocup_gral!A1" display="7. Por Ocupación" xr:uid="{00000000-0004-0000-0000-000019000000}"/>
    <hyperlink ref="B24" location="Colima_GENERO_EUA!A1" display="5.3 Por Estados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FF0000"/>
  </sheetPr>
  <dimension ref="B1:D59"/>
  <sheetViews>
    <sheetView showGridLines="0" view="pageBreakPreview" topLeftCell="A50" zoomScale="115" zoomScaleNormal="100" zoomScaleSheetLayoutView="115" workbookViewId="0">
      <selection activeCell="B12" sqref="B12:D53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3.4531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6" t="s">
        <v>42</v>
      </c>
      <c r="C7" s="86"/>
      <c r="D7" s="86"/>
    </row>
    <row r="8" spans="2:4" s="25" customFormat="1" ht="15" customHeight="1">
      <c r="B8" s="86"/>
      <c r="C8" s="86"/>
      <c r="D8" s="86"/>
    </row>
    <row r="9" spans="2:4" s="25" customFormat="1" ht="33" customHeight="1">
      <c r="B9" s="86"/>
      <c r="C9" s="86"/>
      <c r="D9" s="86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20</v>
      </c>
      <c r="C11" s="27" t="s">
        <v>19</v>
      </c>
      <c r="D11" s="26" t="s">
        <v>18</v>
      </c>
    </row>
    <row r="12" spans="2:4" ht="14.5" customHeight="1">
      <c r="B12" s="23" t="s">
        <v>98</v>
      </c>
      <c r="C12" s="22">
        <v>8</v>
      </c>
      <c r="D12" s="21">
        <v>2.2327658386830001E-3</v>
      </c>
    </row>
    <row r="13" spans="2:4" ht="14.5" customHeight="1">
      <c r="B13" s="23" t="s">
        <v>99</v>
      </c>
      <c r="C13" s="22">
        <v>1</v>
      </c>
      <c r="D13" s="21">
        <v>2.7909572983499998E-4</v>
      </c>
    </row>
    <row r="14" spans="2:4" ht="14.5" customHeight="1">
      <c r="B14" s="23" t="s">
        <v>100</v>
      </c>
      <c r="C14" s="22">
        <v>84</v>
      </c>
      <c r="D14" s="21">
        <v>2.3444041306167999E-2</v>
      </c>
    </row>
    <row r="15" spans="2:4" ht="14.5" customHeight="1">
      <c r="B15" s="23" t="s">
        <v>101</v>
      </c>
      <c r="C15" s="22">
        <v>10</v>
      </c>
      <c r="D15" s="21">
        <v>2.790957298353E-3</v>
      </c>
    </row>
    <row r="16" spans="2:4" ht="14.5" customHeight="1">
      <c r="B16" s="23" t="s">
        <v>102</v>
      </c>
      <c r="C16" s="22">
        <v>2282</v>
      </c>
      <c r="D16" s="21">
        <v>0.63689645548423102</v>
      </c>
    </row>
    <row r="17" spans="2:4" ht="14.5" customHeight="1">
      <c r="B17" s="23" t="s">
        <v>103</v>
      </c>
      <c r="C17" s="22">
        <v>41</v>
      </c>
      <c r="D17" s="21">
        <v>1.1442924923249E-2</v>
      </c>
    </row>
    <row r="18" spans="2:4" ht="14.5" customHeight="1">
      <c r="B18" s="23" t="s">
        <v>104</v>
      </c>
      <c r="C18" s="22">
        <v>44</v>
      </c>
      <c r="D18" s="21">
        <v>1.2280212112755E-2</v>
      </c>
    </row>
    <row r="19" spans="2:4" ht="14.5" customHeight="1">
      <c r="B19" s="23" t="s">
        <v>105</v>
      </c>
      <c r="C19" s="22">
        <v>31</v>
      </c>
      <c r="D19" s="21">
        <v>8.6519676248950003E-3</v>
      </c>
    </row>
    <row r="20" spans="2:4" ht="14.5" customHeight="1">
      <c r="B20" s="23" t="s">
        <v>106</v>
      </c>
      <c r="C20" s="22">
        <v>46</v>
      </c>
      <c r="D20" s="21">
        <v>1.2838403572425E-2</v>
      </c>
    </row>
    <row r="21" spans="2:4" ht="14.5" customHeight="1">
      <c r="B21" s="23" t="s">
        <v>107</v>
      </c>
      <c r="C21" s="22">
        <v>144</v>
      </c>
      <c r="D21" s="21">
        <v>4.0189785096287997E-2</v>
      </c>
    </row>
    <row r="22" spans="2:4" ht="14.5" customHeight="1">
      <c r="B22" s="23" t="s">
        <v>108</v>
      </c>
      <c r="C22" s="22">
        <v>27</v>
      </c>
      <c r="D22" s="21">
        <v>7.5355847055540003E-3</v>
      </c>
    </row>
    <row r="23" spans="2:4" ht="14.5" customHeight="1">
      <c r="B23" s="23" t="s">
        <v>109</v>
      </c>
      <c r="C23" s="22">
        <v>6</v>
      </c>
      <c r="D23" s="21">
        <v>1.674574379012E-3</v>
      </c>
    </row>
    <row r="24" spans="2:4" ht="14.5" customHeight="1">
      <c r="B24" s="23" t="s">
        <v>110</v>
      </c>
      <c r="C24" s="22">
        <v>16</v>
      </c>
      <c r="D24" s="21">
        <v>4.465531677365E-3</v>
      </c>
    </row>
    <row r="25" spans="2:4" ht="14.5" customHeight="1">
      <c r="B25" s="23" t="s">
        <v>111</v>
      </c>
      <c r="C25" s="22">
        <v>7</v>
      </c>
      <c r="D25" s="21">
        <v>1.9536701088469998E-3</v>
      </c>
    </row>
    <row r="26" spans="2:4" ht="14.5" customHeight="1">
      <c r="B26" s="23" t="s">
        <v>112</v>
      </c>
      <c r="C26" s="22">
        <v>3</v>
      </c>
      <c r="D26" s="21">
        <v>8.3728718950600001E-4</v>
      </c>
    </row>
    <row r="27" spans="2:4" ht="14.5" customHeight="1">
      <c r="B27" s="23" t="s">
        <v>113</v>
      </c>
      <c r="C27" s="22">
        <v>1</v>
      </c>
      <c r="D27" s="21">
        <v>2.7909572983499998E-4</v>
      </c>
    </row>
    <row r="28" spans="2:4" ht="14.5" customHeight="1">
      <c r="B28" s="23" t="s">
        <v>114</v>
      </c>
      <c r="C28" s="22">
        <v>10</v>
      </c>
      <c r="D28" s="21">
        <v>2.790957298353E-3</v>
      </c>
    </row>
    <row r="29" spans="2:4" ht="14.5" customHeight="1">
      <c r="B29" s="23" t="s">
        <v>115</v>
      </c>
      <c r="C29" s="22">
        <v>12</v>
      </c>
      <c r="D29" s="21">
        <v>3.349148758024E-3</v>
      </c>
    </row>
    <row r="30" spans="2:4" ht="14.5" customHeight="1">
      <c r="B30" s="23" t="s">
        <v>116</v>
      </c>
      <c r="C30" s="22">
        <v>1</v>
      </c>
      <c r="D30" s="21">
        <v>2.7909572983499998E-4</v>
      </c>
    </row>
    <row r="31" spans="2:4" ht="14.5" customHeight="1">
      <c r="B31" s="23" t="s">
        <v>117</v>
      </c>
      <c r="C31" s="22">
        <v>28</v>
      </c>
      <c r="D31" s="21">
        <v>7.8146804353890001E-3</v>
      </c>
    </row>
    <row r="32" spans="2:4" ht="14.5" customHeight="1">
      <c r="B32" s="23" t="s">
        <v>118</v>
      </c>
      <c r="C32" s="22">
        <v>8</v>
      </c>
      <c r="D32" s="21">
        <v>2.2327658386830001E-3</v>
      </c>
    </row>
    <row r="33" spans="2:4" ht="14.5" customHeight="1">
      <c r="B33" s="23" t="s">
        <v>119</v>
      </c>
      <c r="C33" s="22">
        <v>197</v>
      </c>
      <c r="D33" s="21">
        <v>5.4981858777561003E-2</v>
      </c>
    </row>
    <row r="34" spans="2:4" ht="14.5" customHeight="1">
      <c r="B34" s="23" t="s">
        <v>120</v>
      </c>
      <c r="C34" s="22">
        <v>7</v>
      </c>
      <c r="D34" s="21">
        <v>1.9536701088469998E-3</v>
      </c>
    </row>
    <row r="35" spans="2:4" ht="14.5" customHeight="1">
      <c r="B35" s="23" t="s">
        <v>121</v>
      </c>
      <c r="C35" s="22">
        <v>7</v>
      </c>
      <c r="D35" s="21">
        <v>1.9536701088469998E-3</v>
      </c>
    </row>
    <row r="36" spans="2:4" ht="14.5" customHeight="1">
      <c r="B36" s="23" t="s">
        <v>122</v>
      </c>
      <c r="C36" s="22">
        <v>2</v>
      </c>
      <c r="D36" s="21">
        <v>5.5819145967100003E-4</v>
      </c>
    </row>
    <row r="37" spans="2:4" ht="14.5" customHeight="1">
      <c r="B37" s="23" t="s">
        <v>123</v>
      </c>
      <c r="C37" s="22">
        <v>5</v>
      </c>
      <c r="D37" s="21">
        <v>1.395478649177E-3</v>
      </c>
    </row>
    <row r="38" spans="2:4" ht="14.5" customHeight="1">
      <c r="B38" s="23" t="s">
        <v>124</v>
      </c>
      <c r="C38" s="22">
        <v>29</v>
      </c>
      <c r="D38" s="21">
        <v>8.0937761652250008E-3</v>
      </c>
    </row>
    <row r="39" spans="2:4" ht="14.5" customHeight="1">
      <c r="B39" s="23" t="s">
        <v>125</v>
      </c>
      <c r="C39" s="22">
        <v>8</v>
      </c>
      <c r="D39" s="21">
        <v>2.2327658386830001E-3</v>
      </c>
    </row>
    <row r="40" spans="2:4" ht="14.5" customHeight="1">
      <c r="B40" s="23" t="s">
        <v>126</v>
      </c>
      <c r="C40" s="22">
        <v>21</v>
      </c>
      <c r="D40" s="21">
        <v>5.8610103265419999E-3</v>
      </c>
    </row>
    <row r="41" spans="2:4" ht="14.5" customHeight="1">
      <c r="B41" s="23" t="s">
        <v>127</v>
      </c>
      <c r="C41" s="22">
        <v>43</v>
      </c>
      <c r="D41" s="21">
        <v>1.2001116382919E-2</v>
      </c>
    </row>
    <row r="42" spans="2:4" ht="14.5" customHeight="1">
      <c r="B42" s="23" t="s">
        <v>128</v>
      </c>
      <c r="C42" s="22">
        <v>1</v>
      </c>
      <c r="D42" s="21">
        <v>2.7909572983499998E-4</v>
      </c>
    </row>
    <row r="43" spans="2:4" ht="14.5" customHeight="1">
      <c r="B43" s="23" t="s">
        <v>129</v>
      </c>
      <c r="C43" s="22">
        <v>1</v>
      </c>
      <c r="D43" s="21">
        <v>2.7909572983499998E-4</v>
      </c>
    </row>
    <row r="44" spans="2:4" ht="14.5" customHeight="1">
      <c r="B44" s="23" t="s">
        <v>130</v>
      </c>
      <c r="C44" s="22">
        <v>15</v>
      </c>
      <c r="D44" s="21">
        <v>4.1864359475300003E-3</v>
      </c>
    </row>
    <row r="45" spans="2:4" ht="14.5" customHeight="1">
      <c r="B45" s="23" t="s">
        <v>131</v>
      </c>
      <c r="C45" s="22">
        <v>19</v>
      </c>
      <c r="D45" s="21">
        <v>5.3028188668710003E-3</v>
      </c>
    </row>
    <row r="46" spans="2:4" ht="14.5" customHeight="1">
      <c r="B46" s="23" t="s">
        <v>132</v>
      </c>
      <c r="C46" s="22">
        <v>273</v>
      </c>
      <c r="D46" s="21">
        <v>7.6193134245045993E-2</v>
      </c>
    </row>
    <row r="47" spans="2:4" ht="14.5" customHeight="1">
      <c r="B47" s="23" t="s">
        <v>133</v>
      </c>
      <c r="C47" s="22">
        <v>26</v>
      </c>
      <c r="D47" s="21">
        <v>7.2564889757189997E-3</v>
      </c>
    </row>
    <row r="48" spans="2:4" ht="14.5" customHeight="1">
      <c r="B48" s="23" t="s">
        <v>134</v>
      </c>
      <c r="C48" s="22">
        <v>7</v>
      </c>
      <c r="D48" s="21">
        <v>1.9536701088469998E-3</v>
      </c>
    </row>
    <row r="49" spans="2:4" ht="14.5" customHeight="1">
      <c r="B49" s="23" t="s">
        <v>84</v>
      </c>
      <c r="C49" s="22">
        <v>95</v>
      </c>
      <c r="D49" s="21">
        <v>2.6514094334356999E-2</v>
      </c>
    </row>
    <row r="50" spans="2:4" ht="14.5" customHeight="1">
      <c r="B50" s="23" t="s">
        <v>135</v>
      </c>
      <c r="C50" s="22">
        <v>1</v>
      </c>
      <c r="D50" s="21">
        <v>2.7909572983499998E-4</v>
      </c>
    </row>
    <row r="51" spans="2:4" ht="14.5" customHeight="1">
      <c r="B51" s="23" t="s">
        <v>136</v>
      </c>
      <c r="C51" s="22">
        <v>13</v>
      </c>
      <c r="D51" s="21">
        <v>3.6282444878589998E-3</v>
      </c>
    </row>
    <row r="52" spans="2:4" ht="14.5" customHeight="1">
      <c r="B52" s="23" t="s">
        <v>137</v>
      </c>
      <c r="C52" s="22">
        <v>3</v>
      </c>
      <c r="D52" s="21">
        <v>8.3728718950600001E-4</v>
      </c>
    </row>
    <row r="53" spans="2:4" ht="14.5" customHeight="1">
      <c r="B53" s="20" t="s">
        <v>28</v>
      </c>
      <c r="C53" s="19">
        <v>3583</v>
      </c>
      <c r="D53" s="18">
        <v>1</v>
      </c>
    </row>
    <row r="54" spans="2:4" ht="14.5" customHeight="1"/>
    <row r="55" spans="2:4" ht="14.5" customHeight="1">
      <c r="B55" s="15" t="s">
        <v>47</v>
      </c>
    </row>
    <row r="56" spans="2:4" ht="14.5" customHeight="1">
      <c r="B56" s="17" t="s">
        <v>17</v>
      </c>
    </row>
    <row r="57" spans="2:4" ht="14.5" customHeight="1">
      <c r="B57" s="16" t="s">
        <v>48</v>
      </c>
    </row>
    <row r="58" spans="2:4" ht="14.5" customHeight="1">
      <c r="B58" s="15" t="s">
        <v>16</v>
      </c>
    </row>
    <row r="59" spans="2:4" ht="14.5" customHeight="1">
      <c r="B59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FFC000"/>
  </sheetPr>
  <dimension ref="B1:D66"/>
  <sheetViews>
    <sheetView showGridLines="0" view="pageBreakPreview" topLeftCell="A51" zoomScale="115" zoomScaleNormal="100" zoomScaleSheetLayoutView="115" workbookViewId="0">
      <selection activeCell="A12" sqref="A12:XFD66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4.0898437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6" t="s">
        <v>36</v>
      </c>
      <c r="C7" s="86"/>
      <c r="D7" s="86"/>
    </row>
    <row r="8" spans="2:4" s="25" customFormat="1" ht="15" customHeight="1">
      <c r="B8" s="86"/>
      <c r="C8" s="86"/>
      <c r="D8" s="86"/>
    </row>
    <row r="9" spans="2:4" s="25" customFormat="1" ht="33" customHeight="1">
      <c r="B9" s="86"/>
      <c r="C9" s="86"/>
      <c r="D9" s="86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21</v>
      </c>
      <c r="C11" s="27" t="s">
        <v>19</v>
      </c>
      <c r="D11" s="26" t="s">
        <v>18</v>
      </c>
    </row>
    <row r="12" spans="2:4" ht="14.5" customHeight="1">
      <c r="B12" s="23" t="s">
        <v>50</v>
      </c>
      <c r="C12" s="22">
        <v>906</v>
      </c>
      <c r="D12" s="21">
        <v>0.25286073123081199</v>
      </c>
    </row>
    <row r="13" spans="2:4" ht="14.5" customHeight="1">
      <c r="B13" s="23" t="s">
        <v>51</v>
      </c>
      <c r="C13" s="22">
        <v>533</v>
      </c>
      <c r="D13" s="21">
        <v>0.14875802400223301</v>
      </c>
    </row>
    <row r="14" spans="2:4" ht="14.5" customHeight="1">
      <c r="B14" s="23" t="s">
        <v>52</v>
      </c>
      <c r="C14" s="22">
        <v>223</v>
      </c>
      <c r="D14" s="21">
        <v>6.2238347753279001E-2</v>
      </c>
    </row>
    <row r="15" spans="2:4" ht="14.5" customHeight="1">
      <c r="B15" s="23" t="s">
        <v>53</v>
      </c>
      <c r="C15" s="22">
        <v>201</v>
      </c>
      <c r="D15" s="21">
        <v>5.6098241696902001E-2</v>
      </c>
    </row>
    <row r="16" spans="2:4" ht="14.5" customHeight="1">
      <c r="B16" s="23" t="s">
        <v>54</v>
      </c>
      <c r="C16" s="22">
        <v>181</v>
      </c>
      <c r="D16" s="21">
        <v>5.0516327100194998E-2</v>
      </c>
    </row>
    <row r="17" spans="2:4" ht="14.5" customHeight="1">
      <c r="B17" s="23" t="s">
        <v>55</v>
      </c>
      <c r="C17" s="22">
        <v>172</v>
      </c>
      <c r="D17" s="21">
        <v>4.8004465531676997E-2</v>
      </c>
    </row>
    <row r="18" spans="2:4" ht="14.5" customHeight="1">
      <c r="B18" s="23" t="s">
        <v>56</v>
      </c>
      <c r="C18" s="22">
        <v>142</v>
      </c>
      <c r="D18" s="21">
        <v>3.9631593636617002E-2</v>
      </c>
    </row>
    <row r="19" spans="2:4" ht="14.5" customHeight="1">
      <c r="B19" s="23" t="s">
        <v>57</v>
      </c>
      <c r="C19" s="22">
        <v>131</v>
      </c>
      <c r="D19" s="21">
        <v>3.6561540608428998E-2</v>
      </c>
    </row>
    <row r="20" spans="2:4" ht="14.5" customHeight="1">
      <c r="B20" s="23" t="s">
        <v>58</v>
      </c>
      <c r="C20" s="22">
        <v>122</v>
      </c>
      <c r="D20" s="21">
        <v>3.4049679039910997E-2</v>
      </c>
    </row>
    <row r="21" spans="2:4" ht="14.5" customHeight="1">
      <c r="B21" s="23" t="s">
        <v>59</v>
      </c>
      <c r="C21" s="22">
        <v>88</v>
      </c>
      <c r="D21" s="21">
        <v>2.4560424225509001E-2</v>
      </c>
    </row>
    <row r="22" spans="2:4" ht="14.5" customHeight="1">
      <c r="B22" s="23" t="s">
        <v>60</v>
      </c>
      <c r="C22" s="22">
        <v>81</v>
      </c>
      <c r="D22" s="21">
        <v>2.2606754116661999E-2</v>
      </c>
    </row>
    <row r="23" spans="2:4" ht="14.5" customHeight="1">
      <c r="B23" s="23" t="s">
        <v>61</v>
      </c>
      <c r="C23" s="22">
        <v>74</v>
      </c>
      <c r="D23" s="21">
        <v>2.0653084007815001E-2</v>
      </c>
    </row>
    <row r="24" spans="2:4" ht="14.5" customHeight="1">
      <c r="B24" s="23" t="s">
        <v>62</v>
      </c>
      <c r="C24" s="22">
        <v>58</v>
      </c>
      <c r="D24" s="21">
        <v>1.6187552330448999E-2</v>
      </c>
    </row>
    <row r="25" spans="2:4" ht="14.5" customHeight="1">
      <c r="B25" s="23" t="s">
        <v>63</v>
      </c>
      <c r="C25" s="22">
        <v>56</v>
      </c>
      <c r="D25" s="21">
        <v>1.5629360870778999E-2</v>
      </c>
    </row>
    <row r="26" spans="2:4" ht="14.5" customHeight="1">
      <c r="B26" s="23" t="s">
        <v>64</v>
      </c>
      <c r="C26" s="22">
        <v>47</v>
      </c>
      <c r="D26" s="21">
        <v>1.3117499302261E-2</v>
      </c>
    </row>
    <row r="27" spans="2:4" ht="14.5" customHeight="1">
      <c r="B27" s="23" t="s">
        <v>65</v>
      </c>
      <c r="C27" s="22">
        <v>46</v>
      </c>
      <c r="D27" s="21">
        <v>1.2838403572425E-2</v>
      </c>
    </row>
    <row r="28" spans="2:4" ht="14.5" customHeight="1">
      <c r="B28" s="23" t="s">
        <v>66</v>
      </c>
      <c r="C28" s="22">
        <v>45</v>
      </c>
      <c r="D28" s="21">
        <v>1.255930784259E-2</v>
      </c>
    </row>
    <row r="29" spans="2:4" ht="14.5" customHeight="1">
      <c r="B29" s="23" t="s">
        <v>67</v>
      </c>
      <c r="C29" s="22">
        <v>42</v>
      </c>
      <c r="D29" s="21">
        <v>1.1722020653084E-2</v>
      </c>
    </row>
    <row r="30" spans="2:4" ht="14.5" customHeight="1">
      <c r="B30" s="23" t="s">
        <v>68</v>
      </c>
      <c r="C30" s="22">
        <v>42</v>
      </c>
      <c r="D30" s="21">
        <v>1.1722020653084E-2</v>
      </c>
    </row>
    <row r="31" spans="2:4" ht="14.5" customHeight="1">
      <c r="B31" s="23" t="s">
        <v>69</v>
      </c>
      <c r="C31" s="22">
        <v>42</v>
      </c>
      <c r="D31" s="21">
        <v>1.1722020653084E-2</v>
      </c>
    </row>
    <row r="32" spans="2:4" ht="14.5" customHeight="1">
      <c r="B32" s="23" t="s">
        <v>70</v>
      </c>
      <c r="C32" s="22">
        <v>40</v>
      </c>
      <c r="D32" s="21">
        <v>1.1163829193412999E-2</v>
      </c>
    </row>
    <row r="33" spans="2:4" ht="14.5" customHeight="1">
      <c r="B33" s="23" t="s">
        <v>71</v>
      </c>
      <c r="C33" s="22">
        <v>30</v>
      </c>
      <c r="D33" s="21">
        <v>8.3728718950600006E-3</v>
      </c>
    </row>
    <row r="34" spans="2:4" ht="14.5" customHeight="1">
      <c r="B34" s="23" t="s">
        <v>72</v>
      </c>
      <c r="C34" s="22">
        <v>30</v>
      </c>
      <c r="D34" s="21">
        <v>8.3728718950600006E-3</v>
      </c>
    </row>
    <row r="35" spans="2:4" ht="14.5" customHeight="1">
      <c r="B35" s="23" t="s">
        <v>73</v>
      </c>
      <c r="C35" s="22">
        <v>23</v>
      </c>
      <c r="D35" s="21">
        <v>6.4192017862130003E-3</v>
      </c>
    </row>
    <row r="36" spans="2:4" ht="14.5" customHeight="1">
      <c r="B36" s="23" t="s">
        <v>74</v>
      </c>
      <c r="C36" s="22">
        <v>22</v>
      </c>
      <c r="D36" s="21">
        <v>6.1401060563769996E-3</v>
      </c>
    </row>
    <row r="37" spans="2:4" ht="14.5" customHeight="1">
      <c r="B37" s="23" t="s">
        <v>75</v>
      </c>
      <c r="C37" s="22">
        <v>22</v>
      </c>
      <c r="D37" s="21">
        <v>6.1401060563769996E-3</v>
      </c>
    </row>
    <row r="38" spans="2:4" ht="14.5" customHeight="1">
      <c r="B38" s="23" t="s">
        <v>76</v>
      </c>
      <c r="C38" s="22">
        <v>21</v>
      </c>
      <c r="D38" s="21">
        <v>5.8610103265419999E-3</v>
      </c>
    </row>
    <row r="39" spans="2:4" ht="14.5" customHeight="1">
      <c r="B39" s="23" t="s">
        <v>77</v>
      </c>
      <c r="C39" s="22">
        <v>17</v>
      </c>
      <c r="D39" s="21">
        <v>4.7446274072009999E-3</v>
      </c>
    </row>
    <row r="40" spans="2:4" ht="14.5" customHeight="1">
      <c r="B40" s="23" t="s">
        <v>78</v>
      </c>
      <c r="C40" s="22">
        <v>16</v>
      </c>
      <c r="D40" s="21">
        <v>4.465531677365E-3</v>
      </c>
    </row>
    <row r="41" spans="2:4" ht="14.5" customHeight="1">
      <c r="B41" s="23" t="s">
        <v>79</v>
      </c>
      <c r="C41" s="22">
        <v>16</v>
      </c>
      <c r="D41" s="21">
        <v>4.465531677365E-3</v>
      </c>
    </row>
    <row r="42" spans="2:4" ht="14.5" customHeight="1">
      <c r="B42" s="23" t="s">
        <v>80</v>
      </c>
      <c r="C42" s="22">
        <v>14</v>
      </c>
      <c r="D42" s="21">
        <v>3.9073402176949996E-3</v>
      </c>
    </row>
    <row r="43" spans="2:4" ht="14.5" customHeight="1">
      <c r="B43" s="23" t="s">
        <v>81</v>
      </c>
      <c r="C43" s="22">
        <v>12</v>
      </c>
      <c r="D43" s="21">
        <v>3.349148758024E-3</v>
      </c>
    </row>
    <row r="44" spans="2:4" ht="14.5" customHeight="1">
      <c r="B44" s="23" t="s">
        <v>82</v>
      </c>
      <c r="C44" s="22">
        <v>12</v>
      </c>
      <c r="D44" s="21">
        <v>3.349148758024E-3</v>
      </c>
    </row>
    <row r="45" spans="2:4" ht="14.5" customHeight="1">
      <c r="B45" s="23" t="s">
        <v>83</v>
      </c>
      <c r="C45" s="22">
        <v>9</v>
      </c>
      <c r="D45" s="21">
        <v>2.5118615685179998E-3</v>
      </c>
    </row>
    <row r="46" spans="2:4" ht="14.5" customHeight="1">
      <c r="B46" s="23" t="s">
        <v>84</v>
      </c>
      <c r="C46" s="22">
        <v>9</v>
      </c>
      <c r="D46" s="21">
        <v>2.5118615685179998E-3</v>
      </c>
    </row>
    <row r="47" spans="2:4" ht="14.5" customHeight="1">
      <c r="B47" s="23" t="s">
        <v>85</v>
      </c>
      <c r="C47" s="22">
        <v>8</v>
      </c>
      <c r="D47" s="21">
        <v>2.2327658386830001E-3</v>
      </c>
    </row>
    <row r="48" spans="2:4" ht="14.5" customHeight="1">
      <c r="B48" s="23" t="s">
        <v>86</v>
      </c>
      <c r="C48" s="22">
        <v>8</v>
      </c>
      <c r="D48" s="21">
        <v>2.2327658386830001E-3</v>
      </c>
    </row>
    <row r="49" spans="2:4" ht="14.5" customHeight="1">
      <c r="B49" s="23" t="s">
        <v>87</v>
      </c>
      <c r="C49" s="22">
        <v>7</v>
      </c>
      <c r="D49" s="21">
        <v>1.9536701088469998E-3</v>
      </c>
    </row>
    <row r="50" spans="2:4" ht="14.5" customHeight="1">
      <c r="B50" s="23" t="s">
        <v>88</v>
      </c>
      <c r="C50" s="22">
        <v>7</v>
      </c>
      <c r="D50" s="21">
        <v>1.9536701088469998E-3</v>
      </c>
    </row>
    <row r="51" spans="2:4" ht="14.5" customHeight="1">
      <c r="B51" s="23" t="s">
        <v>89</v>
      </c>
      <c r="C51" s="22">
        <v>5</v>
      </c>
      <c r="D51" s="21">
        <v>1.395478649177E-3</v>
      </c>
    </row>
    <row r="52" spans="2:4" ht="14.5" customHeight="1">
      <c r="B52" s="23" t="s">
        <v>90</v>
      </c>
      <c r="C52" s="22">
        <v>5</v>
      </c>
      <c r="D52" s="21">
        <v>1.395478649177E-3</v>
      </c>
    </row>
    <row r="53" spans="2:4" ht="14.5" customHeight="1">
      <c r="B53" s="23" t="s">
        <v>91</v>
      </c>
      <c r="C53" s="22">
        <v>4</v>
      </c>
      <c r="D53" s="21">
        <v>1.116382919341E-3</v>
      </c>
    </row>
    <row r="54" spans="2:4" ht="14.5" customHeight="1">
      <c r="B54" s="23" t="s">
        <v>92</v>
      </c>
      <c r="C54" s="22">
        <v>4</v>
      </c>
      <c r="D54" s="21">
        <v>1.116382919341E-3</v>
      </c>
    </row>
    <row r="55" spans="2:4" ht="14.5" customHeight="1">
      <c r="B55" s="23" t="s">
        <v>93</v>
      </c>
      <c r="C55" s="22">
        <v>3</v>
      </c>
      <c r="D55" s="21">
        <v>8.3728718950600001E-4</v>
      </c>
    </row>
    <row r="56" spans="2:4" ht="14.5" customHeight="1">
      <c r="B56" s="23" t="s">
        <v>94</v>
      </c>
      <c r="C56" s="22">
        <v>3</v>
      </c>
      <c r="D56" s="21">
        <v>8.3728718950600001E-4</v>
      </c>
    </row>
    <row r="57" spans="2:4" ht="14.5" customHeight="1">
      <c r="B57" s="23" t="s">
        <v>95</v>
      </c>
      <c r="C57" s="22">
        <v>2</v>
      </c>
      <c r="D57" s="21">
        <v>5.5819145967100003E-4</v>
      </c>
    </row>
    <row r="58" spans="2:4" ht="14.5" customHeight="1">
      <c r="B58" s="23" t="s">
        <v>96</v>
      </c>
      <c r="C58" s="22">
        <v>1</v>
      </c>
      <c r="D58" s="21">
        <v>2.7909572983499998E-4</v>
      </c>
    </row>
    <row r="59" spans="2:4" ht="14.5" customHeight="1">
      <c r="B59" s="23" t="s">
        <v>97</v>
      </c>
      <c r="C59" s="22">
        <v>1</v>
      </c>
      <c r="D59" s="21">
        <v>2.7909572983499998E-4</v>
      </c>
    </row>
    <row r="60" spans="2:4" ht="14.5" customHeight="1">
      <c r="B60" s="20" t="s">
        <v>28</v>
      </c>
      <c r="C60" s="19">
        <v>3583</v>
      </c>
      <c r="D60" s="18">
        <v>1</v>
      </c>
    </row>
    <row r="61" spans="2:4" ht="14.5" customHeight="1">
      <c r="B61" s="17"/>
    </row>
    <row r="62" spans="2:4" ht="14.5" customHeight="1">
      <c r="B62" s="15" t="s">
        <v>47</v>
      </c>
    </row>
    <row r="63" spans="2:4" ht="14.5" customHeight="1">
      <c r="B63" s="17" t="s">
        <v>17</v>
      </c>
    </row>
    <row r="64" spans="2:4" ht="14.5" customHeight="1">
      <c r="B64" s="16" t="s">
        <v>48</v>
      </c>
    </row>
    <row r="65" spans="2:2" ht="14.5" customHeight="1">
      <c r="B65" s="15" t="s">
        <v>16</v>
      </c>
    </row>
    <row r="66" spans="2:2" ht="14.5" customHeight="1">
      <c r="B66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C000"/>
  </sheetPr>
  <dimension ref="A1:D29"/>
  <sheetViews>
    <sheetView showGridLines="0" view="pageBreakPreview" topLeftCell="A11" zoomScale="115" zoomScaleNormal="100" zoomScaleSheetLayoutView="115" workbookViewId="0">
      <selection activeCell="B11" sqref="B11:D22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4.1796875" style="13" customWidth="1"/>
    <col min="7" max="16384" width="11.453125" style="13"/>
  </cols>
  <sheetData>
    <row r="1" spans="1:4" s="25" customFormat="1" ht="15" customHeight="1">
      <c r="C1" s="31"/>
    </row>
    <row r="2" spans="1:4" s="25" customFormat="1" ht="15" customHeight="1">
      <c r="C2" s="31"/>
    </row>
    <row r="3" spans="1:4" s="25" customFormat="1" ht="15" customHeight="1">
      <c r="C3" s="31"/>
    </row>
    <row r="4" spans="1:4" s="25" customFormat="1" ht="30" customHeight="1">
      <c r="C4" s="31"/>
      <c r="D4" s="30"/>
    </row>
    <row r="5" spans="1:4" s="25" customFormat="1" ht="15" customHeight="1">
      <c r="C5" s="31"/>
      <c r="D5" s="30"/>
    </row>
    <row r="6" spans="1:4" s="25" customFormat="1" ht="15" customHeight="1">
      <c r="C6" s="31"/>
      <c r="D6" s="30"/>
    </row>
    <row r="7" spans="1:4" s="25" customFormat="1" ht="15" customHeight="1">
      <c r="B7" s="86" t="s">
        <v>43</v>
      </c>
      <c r="C7" s="86"/>
      <c r="D7" s="86"/>
    </row>
    <row r="8" spans="1:4" s="25" customFormat="1" ht="15" customHeight="1">
      <c r="B8" s="86"/>
      <c r="C8" s="86"/>
      <c r="D8" s="86"/>
    </row>
    <row r="9" spans="1:4" s="25" customFormat="1" ht="33" customHeight="1">
      <c r="B9" s="86"/>
      <c r="C9" s="86"/>
      <c r="D9" s="86"/>
    </row>
    <row r="10" spans="1:4" s="25" customFormat="1" ht="4.5" customHeight="1">
      <c r="B10" s="29"/>
      <c r="C10" s="29"/>
      <c r="D10" s="29"/>
    </row>
    <row r="11" spans="1:4" s="25" customFormat="1" ht="33" customHeight="1">
      <c r="B11" s="75" t="s">
        <v>21</v>
      </c>
      <c r="C11" s="76" t="s">
        <v>19</v>
      </c>
      <c r="D11" s="75" t="s">
        <v>18</v>
      </c>
    </row>
    <row r="12" spans="1:4" ht="14.5" customHeight="1">
      <c r="B12" s="23" t="s">
        <v>50</v>
      </c>
      <c r="C12" s="22">
        <v>906</v>
      </c>
      <c r="D12" s="21">
        <f t="shared" ref="D12:D22" si="0">C12/$C$22</f>
        <v>0.33567988143756949</v>
      </c>
    </row>
    <row r="13" spans="1:4" ht="14.5" customHeight="1">
      <c r="B13" s="23" t="s">
        <v>51</v>
      </c>
      <c r="C13" s="22">
        <v>533</v>
      </c>
      <c r="D13" s="21">
        <f t="shared" si="0"/>
        <v>0.19748054835124121</v>
      </c>
    </row>
    <row r="14" spans="1:4" s="24" customFormat="1" ht="14.5" customHeight="1">
      <c r="A14" s="13"/>
      <c r="B14" s="23" t="s">
        <v>52</v>
      </c>
      <c r="C14" s="22">
        <v>223</v>
      </c>
      <c r="D14" s="21">
        <f t="shared" si="0"/>
        <v>8.2623193775472392E-2</v>
      </c>
    </row>
    <row r="15" spans="1:4" s="24" customFormat="1" ht="14.5" customHeight="1">
      <c r="A15" s="13"/>
      <c r="B15" s="23" t="s">
        <v>53</v>
      </c>
      <c r="C15" s="22">
        <v>201</v>
      </c>
      <c r="D15" s="21">
        <f t="shared" si="0"/>
        <v>7.4472026676546871E-2</v>
      </c>
    </row>
    <row r="16" spans="1:4" ht="14.5" customHeight="1">
      <c r="B16" s="23" t="s">
        <v>54</v>
      </c>
      <c r="C16" s="22">
        <v>181</v>
      </c>
      <c r="D16" s="21">
        <f t="shared" si="0"/>
        <v>6.7061874768432755E-2</v>
      </c>
    </row>
    <row r="17" spans="2:4" ht="14.5" customHeight="1">
      <c r="B17" s="23" t="s">
        <v>55</v>
      </c>
      <c r="C17" s="22">
        <v>172</v>
      </c>
      <c r="D17" s="21">
        <f t="shared" si="0"/>
        <v>6.3727306409781401E-2</v>
      </c>
    </row>
    <row r="18" spans="2:4" ht="14.5" customHeight="1">
      <c r="B18" s="23" t="s">
        <v>56</v>
      </c>
      <c r="C18" s="22">
        <v>142</v>
      </c>
      <c r="D18" s="21">
        <f t="shared" si="0"/>
        <v>5.2612078547610228E-2</v>
      </c>
    </row>
    <row r="19" spans="2:4" ht="14.5" customHeight="1">
      <c r="B19" s="23" t="s">
        <v>57</v>
      </c>
      <c r="C19" s="22">
        <v>131</v>
      </c>
      <c r="D19" s="21">
        <f t="shared" si="0"/>
        <v>4.853649499814746E-2</v>
      </c>
    </row>
    <row r="20" spans="2:4" ht="14.5" customHeight="1">
      <c r="B20" s="23" t="s">
        <v>58</v>
      </c>
      <c r="C20" s="22">
        <v>122</v>
      </c>
      <c r="D20" s="21">
        <f t="shared" si="0"/>
        <v>4.5201926639496112E-2</v>
      </c>
    </row>
    <row r="21" spans="2:4" ht="14.5" customHeight="1">
      <c r="B21" s="23" t="s">
        <v>59</v>
      </c>
      <c r="C21" s="22">
        <v>88</v>
      </c>
      <c r="D21" s="21">
        <f t="shared" si="0"/>
        <v>3.2604668395702113E-2</v>
      </c>
    </row>
    <row r="22" spans="2:4" ht="14.5" customHeight="1">
      <c r="B22" s="20" t="s">
        <v>44</v>
      </c>
      <c r="C22" s="19">
        <f>SUM(C12:C21)</f>
        <v>2699</v>
      </c>
      <c r="D22" s="18">
        <f t="shared" si="0"/>
        <v>1</v>
      </c>
    </row>
    <row r="23" spans="2:4" ht="14.5" customHeight="1">
      <c r="B23" s="20" t="s">
        <v>45</v>
      </c>
      <c r="C23" s="19">
        <v>3583</v>
      </c>
    </row>
    <row r="24" spans="2:4">
      <c r="B24" s="15"/>
      <c r="C24" s="13"/>
    </row>
    <row r="25" spans="2:4">
      <c r="B25" s="15" t="s">
        <v>47</v>
      </c>
      <c r="C25" s="13"/>
    </row>
    <row r="26" spans="2:4">
      <c r="B26" s="17" t="s">
        <v>17</v>
      </c>
      <c r="C26" s="13"/>
    </row>
    <row r="27" spans="2:4">
      <c r="B27" s="16" t="s">
        <v>48</v>
      </c>
      <c r="C27" s="13"/>
    </row>
    <row r="28" spans="2:4">
      <c r="B28" s="15" t="s">
        <v>16</v>
      </c>
      <c r="C28" s="13"/>
    </row>
    <row r="29" spans="2:4">
      <c r="B29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rgb="FFFFFF00"/>
  </sheetPr>
  <dimension ref="B1:D30"/>
  <sheetViews>
    <sheetView showGridLines="0" view="pageBreakPreview" zoomScale="115" zoomScaleNormal="100" zoomScaleSheetLayoutView="115" workbookViewId="0">
      <selection activeCell="A25" sqref="A25:XFD25"/>
    </sheetView>
  </sheetViews>
  <sheetFormatPr baseColWidth="10" defaultColWidth="11.453125" defaultRowHeight="14.5"/>
  <cols>
    <col min="1" max="1" width="9.26953125" style="13" customWidth="1"/>
    <col min="2" max="2" width="27.179687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3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6" t="s">
        <v>41</v>
      </c>
      <c r="C7" s="86"/>
      <c r="D7" s="86"/>
    </row>
    <row r="8" spans="2:4" s="25" customFormat="1" ht="15" customHeight="1">
      <c r="B8" s="86"/>
      <c r="C8" s="86"/>
      <c r="D8" s="86"/>
    </row>
    <row r="9" spans="2:4" s="25" customFormat="1" ht="33" customHeight="1">
      <c r="B9" s="86"/>
      <c r="C9" s="86"/>
      <c r="D9" s="86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22</v>
      </c>
      <c r="C11" s="27" t="s">
        <v>19</v>
      </c>
      <c r="D11" s="26" t="s">
        <v>18</v>
      </c>
    </row>
    <row r="12" spans="2:4" ht="14.5" customHeight="1">
      <c r="B12" s="23" t="s">
        <v>180</v>
      </c>
      <c r="C12" s="22">
        <v>1037</v>
      </c>
      <c r="D12" s="21">
        <v>0.28942227183924102</v>
      </c>
    </row>
    <row r="13" spans="2:4" ht="14.5" customHeight="1">
      <c r="B13" s="23" t="s">
        <v>182</v>
      </c>
      <c r="C13" s="22">
        <v>928</v>
      </c>
      <c r="D13" s="21">
        <v>0.25900083728718998</v>
      </c>
    </row>
    <row r="14" spans="2:4" ht="14.5" customHeight="1">
      <c r="B14" s="23" t="s">
        <v>181</v>
      </c>
      <c r="C14" s="22">
        <v>678</v>
      </c>
      <c r="D14" s="21">
        <v>0.189226904828356</v>
      </c>
    </row>
    <row r="15" spans="2:4" ht="14.5" customHeight="1">
      <c r="B15" s="23" t="s">
        <v>183</v>
      </c>
      <c r="C15" s="22">
        <v>196</v>
      </c>
      <c r="D15" s="21">
        <v>5.4702763047724999E-2</v>
      </c>
    </row>
    <row r="16" spans="2:4" ht="14.5" customHeight="1">
      <c r="B16" s="23" t="s">
        <v>179</v>
      </c>
      <c r="C16" s="22">
        <v>191</v>
      </c>
      <c r="D16" s="21">
        <v>5.3307284398549003E-2</v>
      </c>
    </row>
    <row r="17" spans="2:4" ht="14.5" customHeight="1">
      <c r="B17" s="23" t="s">
        <v>184</v>
      </c>
      <c r="C17" s="22">
        <v>154</v>
      </c>
      <c r="D17" s="21">
        <v>4.2980742394641003E-2</v>
      </c>
    </row>
    <row r="18" spans="2:4" ht="14.5" customHeight="1">
      <c r="B18" s="23" t="s">
        <v>185</v>
      </c>
      <c r="C18" s="22">
        <v>126</v>
      </c>
      <c r="D18" s="21">
        <v>3.5166061959252003E-2</v>
      </c>
    </row>
    <row r="19" spans="2:4" ht="14.5" customHeight="1">
      <c r="B19" s="23" t="s">
        <v>187</v>
      </c>
      <c r="C19" s="22">
        <v>120</v>
      </c>
      <c r="D19" s="21">
        <v>3.3491487580240002E-2</v>
      </c>
    </row>
    <row r="20" spans="2:4" ht="14.5" customHeight="1">
      <c r="B20" s="23" t="s">
        <v>190</v>
      </c>
      <c r="C20" s="22">
        <v>88</v>
      </c>
      <c r="D20" s="21">
        <v>2.4560424225509001E-2</v>
      </c>
    </row>
    <row r="21" spans="2:4" ht="14.5" customHeight="1">
      <c r="B21" s="23" t="s">
        <v>189</v>
      </c>
      <c r="C21" s="22">
        <v>63</v>
      </c>
      <c r="D21" s="21">
        <v>1.7583030979626001E-2</v>
      </c>
    </row>
    <row r="22" spans="2:4" ht="14.5" customHeight="1">
      <c r="B22" s="23" t="s">
        <v>188</v>
      </c>
      <c r="C22" s="22">
        <v>1</v>
      </c>
      <c r="D22" s="21">
        <v>2.7909572983499998E-4</v>
      </c>
    </row>
    <row r="23" spans="2:4" ht="42">
      <c r="B23" s="23" t="s">
        <v>186</v>
      </c>
      <c r="C23" s="72">
        <v>1</v>
      </c>
      <c r="D23" s="68">
        <v>2.7909572983499998E-4</v>
      </c>
    </row>
    <row r="24" spans="2:4">
      <c r="B24" s="20" t="s">
        <v>28</v>
      </c>
      <c r="C24" s="19">
        <v>3583</v>
      </c>
      <c r="D24" s="18">
        <v>1</v>
      </c>
    </row>
    <row r="25" spans="2:4">
      <c r="B25" s="17"/>
    </row>
    <row r="26" spans="2:4">
      <c r="B26" s="15" t="s">
        <v>47</v>
      </c>
    </row>
    <row r="27" spans="2:4">
      <c r="B27" s="17" t="s">
        <v>17</v>
      </c>
    </row>
    <row r="28" spans="2:4">
      <c r="B28" s="16" t="s">
        <v>48</v>
      </c>
    </row>
    <row r="29" spans="2:4">
      <c r="B29" s="15" t="s">
        <v>16</v>
      </c>
      <c r="C29" s="13"/>
    </row>
    <row r="30" spans="2:4">
      <c r="B30" s="15" t="s">
        <v>49</v>
      </c>
      <c r="C30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>
    <tabColor rgb="FFFFFF00"/>
  </sheetPr>
  <dimension ref="A1:E263"/>
  <sheetViews>
    <sheetView showGridLines="0" view="pageBreakPreview" zoomScale="85" zoomScaleNormal="100" zoomScaleSheetLayoutView="85" workbookViewId="0">
      <selection activeCell="E257" sqref="A9:E257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1.4531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92"/>
      <c r="C7" s="92"/>
      <c r="D7" s="92"/>
      <c r="E7" s="92"/>
    </row>
    <row r="8" spans="1:5" s="41" customFormat="1" ht="33" customHeight="1">
      <c r="A8" s="42"/>
      <c r="B8" s="92"/>
      <c r="C8" s="92"/>
      <c r="D8" s="92"/>
      <c r="E8" s="92"/>
    </row>
    <row r="9" spans="1:5" s="25" customFormat="1" ht="40.5" customHeight="1">
      <c r="A9" s="74"/>
      <c r="B9" s="38" t="s">
        <v>24</v>
      </c>
      <c r="C9" s="40" t="s">
        <v>23</v>
      </c>
      <c r="D9" s="39" t="s">
        <v>19</v>
      </c>
      <c r="E9" s="38" t="s">
        <v>18</v>
      </c>
    </row>
    <row r="10" spans="1:5" ht="15" customHeight="1">
      <c r="A10" s="73"/>
      <c r="B10" s="89" t="s">
        <v>98</v>
      </c>
      <c r="C10" s="66" t="s">
        <v>179</v>
      </c>
      <c r="D10" s="67">
        <v>1</v>
      </c>
      <c r="E10" s="68">
        <v>2.7909572983499998E-4</v>
      </c>
    </row>
    <row r="11" spans="1:5" ht="15" customHeight="1">
      <c r="A11" s="73"/>
      <c r="B11" s="90"/>
      <c r="C11" s="66" t="s">
        <v>180</v>
      </c>
      <c r="D11" s="67">
        <v>1</v>
      </c>
      <c r="E11" s="68">
        <v>2.7909572983499998E-4</v>
      </c>
    </row>
    <row r="12" spans="1:5" ht="15" customHeight="1">
      <c r="A12" s="73"/>
      <c r="B12" s="90"/>
      <c r="C12" s="66" t="s">
        <v>181</v>
      </c>
      <c r="D12" s="67">
        <v>4</v>
      </c>
      <c r="E12" s="68">
        <v>1.116382919341E-3</v>
      </c>
    </row>
    <row r="13" spans="1:5" ht="15" customHeight="1">
      <c r="A13" s="73"/>
      <c r="B13" s="90"/>
      <c r="C13" s="66" t="s">
        <v>182</v>
      </c>
      <c r="D13" s="67">
        <v>1</v>
      </c>
      <c r="E13" s="68">
        <v>2.7909572983499998E-4</v>
      </c>
    </row>
    <row r="14" spans="1:5" ht="15" customHeight="1">
      <c r="A14" s="73"/>
      <c r="B14" s="90"/>
      <c r="C14" s="66" t="s">
        <v>183</v>
      </c>
      <c r="D14" s="67">
        <v>1</v>
      </c>
      <c r="E14" s="68">
        <v>2.7909572983499998E-4</v>
      </c>
    </row>
    <row r="15" spans="1:5" ht="15" customHeight="1">
      <c r="A15" s="73"/>
      <c r="B15" s="91"/>
      <c r="C15" s="36" t="s">
        <v>28</v>
      </c>
      <c r="D15" s="35">
        <v>8</v>
      </c>
      <c r="E15" s="34">
        <v>2.2327658386830001E-3</v>
      </c>
    </row>
    <row r="16" spans="1:5" ht="15" customHeight="1">
      <c r="A16" s="73"/>
      <c r="B16" s="89" t="s">
        <v>99</v>
      </c>
      <c r="C16" s="66" t="s">
        <v>180</v>
      </c>
      <c r="D16" s="67">
        <v>1</v>
      </c>
      <c r="E16" s="68">
        <v>2.7909572983499998E-4</v>
      </c>
    </row>
    <row r="17" spans="1:5" ht="15" customHeight="1">
      <c r="A17" s="73"/>
      <c r="B17" s="91"/>
      <c r="C17" s="36" t="s">
        <v>28</v>
      </c>
      <c r="D17" s="35">
        <v>1</v>
      </c>
      <c r="E17" s="34">
        <v>2.7909572983499998E-4</v>
      </c>
    </row>
    <row r="18" spans="1:5" ht="15" customHeight="1">
      <c r="A18" s="73"/>
      <c r="B18" s="89" t="s">
        <v>100</v>
      </c>
      <c r="C18" s="66" t="s">
        <v>179</v>
      </c>
      <c r="D18" s="67">
        <v>7</v>
      </c>
      <c r="E18" s="68">
        <v>1.9536701088469998E-3</v>
      </c>
    </row>
    <row r="19" spans="1:5" ht="15" customHeight="1">
      <c r="A19" s="73"/>
      <c r="B19" s="90"/>
      <c r="C19" s="66" t="s">
        <v>180</v>
      </c>
      <c r="D19" s="67">
        <v>33</v>
      </c>
      <c r="E19" s="68">
        <v>9.2101590845660008E-3</v>
      </c>
    </row>
    <row r="20" spans="1:5" ht="15" customHeight="1">
      <c r="A20" s="73"/>
      <c r="B20" s="90"/>
      <c r="C20" s="66" t="s">
        <v>184</v>
      </c>
      <c r="D20" s="67">
        <v>1</v>
      </c>
      <c r="E20" s="68">
        <v>2.7909572983499998E-4</v>
      </c>
    </row>
    <row r="21" spans="1:5" ht="15" customHeight="1">
      <c r="A21" s="73"/>
      <c r="B21" s="90"/>
      <c r="C21" s="66" t="s">
        <v>185</v>
      </c>
      <c r="D21" s="67">
        <v>2</v>
      </c>
      <c r="E21" s="68">
        <v>5.5819145967100003E-4</v>
      </c>
    </row>
    <row r="22" spans="1:5" ht="15" customHeight="1">
      <c r="A22" s="73"/>
      <c r="B22" s="90"/>
      <c r="C22" s="66" t="s">
        <v>181</v>
      </c>
      <c r="D22" s="67">
        <v>21</v>
      </c>
      <c r="E22" s="68">
        <v>5.8610103265419999E-3</v>
      </c>
    </row>
    <row r="23" spans="1:5" ht="15" customHeight="1">
      <c r="A23" s="73"/>
      <c r="B23" s="90"/>
      <c r="C23" s="66" t="s">
        <v>186</v>
      </c>
      <c r="D23" s="67">
        <v>1</v>
      </c>
      <c r="E23" s="68">
        <v>2.7909572983499998E-4</v>
      </c>
    </row>
    <row r="24" spans="1:5" ht="15" customHeight="1">
      <c r="A24" s="73"/>
      <c r="B24" s="90"/>
      <c r="C24" s="66" t="s">
        <v>182</v>
      </c>
      <c r="D24" s="67">
        <v>17</v>
      </c>
      <c r="E24" s="68">
        <v>4.7446274072009999E-3</v>
      </c>
    </row>
    <row r="25" spans="1:5" ht="15" customHeight="1">
      <c r="A25" s="73"/>
      <c r="B25" s="90"/>
      <c r="C25" s="66" t="s">
        <v>183</v>
      </c>
      <c r="D25" s="67">
        <v>2</v>
      </c>
      <c r="E25" s="68">
        <v>5.5819145967100003E-4</v>
      </c>
    </row>
    <row r="26" spans="1:5" ht="15" customHeight="1">
      <c r="A26" s="73"/>
      <c r="B26" s="91"/>
      <c r="C26" s="36" t="s">
        <v>28</v>
      </c>
      <c r="D26" s="35">
        <v>84</v>
      </c>
      <c r="E26" s="34">
        <v>2.3444041306167999E-2</v>
      </c>
    </row>
    <row r="27" spans="1:5" ht="15" customHeight="1">
      <c r="A27" s="73"/>
      <c r="B27" s="89" t="s">
        <v>101</v>
      </c>
      <c r="C27" s="66" t="s">
        <v>180</v>
      </c>
      <c r="D27" s="67">
        <v>3</v>
      </c>
      <c r="E27" s="68">
        <v>8.3728718950600001E-4</v>
      </c>
    </row>
    <row r="28" spans="1:5" ht="15" customHeight="1">
      <c r="A28" s="73"/>
      <c r="B28" s="90"/>
      <c r="C28" s="66" t="s">
        <v>187</v>
      </c>
      <c r="D28" s="67">
        <v>1</v>
      </c>
      <c r="E28" s="68">
        <v>2.7909572983499998E-4</v>
      </c>
    </row>
    <row r="29" spans="1:5" ht="15" customHeight="1">
      <c r="A29" s="73"/>
      <c r="B29" s="90"/>
      <c r="C29" s="66" t="s">
        <v>185</v>
      </c>
      <c r="D29" s="67">
        <v>1</v>
      </c>
      <c r="E29" s="68">
        <v>2.7909572983499998E-4</v>
      </c>
    </row>
    <row r="30" spans="1:5" ht="15" customHeight="1">
      <c r="A30" s="73"/>
      <c r="B30" s="90"/>
      <c r="C30" s="66" t="s">
        <v>181</v>
      </c>
      <c r="D30" s="67">
        <v>2</v>
      </c>
      <c r="E30" s="68">
        <v>5.5819145967100003E-4</v>
      </c>
    </row>
    <row r="31" spans="1:5" ht="15" customHeight="1">
      <c r="A31" s="73"/>
      <c r="B31" s="90"/>
      <c r="C31" s="66" t="s">
        <v>182</v>
      </c>
      <c r="D31" s="67">
        <v>3</v>
      </c>
      <c r="E31" s="68">
        <v>8.3728718950600001E-4</v>
      </c>
    </row>
    <row r="32" spans="1:5" ht="15" customHeight="1">
      <c r="A32" s="73"/>
      <c r="B32" s="91"/>
      <c r="C32" s="36" t="s">
        <v>28</v>
      </c>
      <c r="D32" s="35">
        <v>10</v>
      </c>
      <c r="E32" s="34">
        <v>2.790957298353E-3</v>
      </c>
    </row>
    <row r="33" spans="1:5" ht="15" customHeight="1">
      <c r="A33" s="73"/>
      <c r="B33" s="89" t="s">
        <v>102</v>
      </c>
      <c r="C33" s="66" t="s">
        <v>188</v>
      </c>
      <c r="D33" s="67">
        <v>1</v>
      </c>
      <c r="E33" s="68">
        <v>2.7909572983499998E-4</v>
      </c>
    </row>
    <row r="34" spans="1:5" ht="15" customHeight="1">
      <c r="A34" s="73"/>
      <c r="B34" s="90"/>
      <c r="C34" s="66" t="s">
        <v>179</v>
      </c>
      <c r="D34" s="67">
        <v>140</v>
      </c>
      <c r="E34" s="68">
        <v>3.9073402176946999E-2</v>
      </c>
    </row>
    <row r="35" spans="1:5" ht="15" customHeight="1">
      <c r="A35" s="73"/>
      <c r="B35" s="90"/>
      <c r="C35" s="66" t="s">
        <v>180</v>
      </c>
      <c r="D35" s="67">
        <v>658</v>
      </c>
      <c r="E35" s="68">
        <v>0.18364499023164901</v>
      </c>
    </row>
    <row r="36" spans="1:5" ht="15" customHeight="1">
      <c r="A36" s="73"/>
      <c r="B36" s="90"/>
      <c r="C36" s="66" t="s">
        <v>187</v>
      </c>
      <c r="D36" s="67">
        <v>89</v>
      </c>
      <c r="E36" s="68">
        <v>2.4839519955344998E-2</v>
      </c>
    </row>
    <row r="37" spans="1:5" ht="15" customHeight="1">
      <c r="A37" s="73"/>
      <c r="B37" s="90"/>
      <c r="C37" s="66" t="s">
        <v>184</v>
      </c>
      <c r="D37" s="67">
        <v>128</v>
      </c>
      <c r="E37" s="68">
        <v>3.5724253418922998E-2</v>
      </c>
    </row>
    <row r="38" spans="1:5" ht="15" customHeight="1">
      <c r="A38" s="73"/>
      <c r="B38" s="90"/>
      <c r="C38" s="66" t="s">
        <v>185</v>
      </c>
      <c r="D38" s="67">
        <v>82</v>
      </c>
      <c r="E38" s="68">
        <v>2.2885849846497001E-2</v>
      </c>
    </row>
    <row r="39" spans="1:5" ht="15" customHeight="1">
      <c r="A39" s="73"/>
      <c r="B39" s="90"/>
      <c r="C39" s="66" t="s">
        <v>189</v>
      </c>
      <c r="D39" s="67">
        <v>40</v>
      </c>
      <c r="E39" s="68">
        <v>1.1163829193412999E-2</v>
      </c>
    </row>
    <row r="40" spans="1:5" ht="15" customHeight="1">
      <c r="A40" s="73"/>
      <c r="B40" s="90"/>
      <c r="C40" s="66" t="s">
        <v>181</v>
      </c>
      <c r="D40" s="67">
        <v>378</v>
      </c>
      <c r="E40" s="68">
        <v>0.105498185877756</v>
      </c>
    </row>
    <row r="41" spans="1:5" ht="15" customHeight="1">
      <c r="A41" s="73"/>
      <c r="B41" s="90"/>
      <c r="C41" s="66" t="s">
        <v>190</v>
      </c>
      <c r="D41" s="67">
        <v>44</v>
      </c>
      <c r="E41" s="68">
        <v>1.2280212112755E-2</v>
      </c>
    </row>
    <row r="42" spans="1:5" ht="15" customHeight="1">
      <c r="A42" s="73"/>
      <c r="B42" s="90"/>
      <c r="C42" s="66" t="s">
        <v>182</v>
      </c>
      <c r="D42" s="67">
        <v>599</v>
      </c>
      <c r="E42" s="68">
        <v>0.16717834217136501</v>
      </c>
    </row>
    <row r="43" spans="1:5" ht="15" customHeight="1">
      <c r="A43" s="73"/>
      <c r="B43" s="90"/>
      <c r="C43" s="66" t="s">
        <v>183</v>
      </c>
      <c r="D43" s="67">
        <v>123</v>
      </c>
      <c r="E43" s="68">
        <v>3.4328774769746002E-2</v>
      </c>
    </row>
    <row r="44" spans="1:5" ht="15" customHeight="1">
      <c r="A44" s="73"/>
      <c r="B44" s="91"/>
      <c r="C44" s="36" t="s">
        <v>28</v>
      </c>
      <c r="D44" s="35">
        <v>2282</v>
      </c>
      <c r="E44" s="34">
        <v>0.63689645548423102</v>
      </c>
    </row>
    <row r="45" spans="1:5" ht="15" customHeight="1">
      <c r="A45" s="73"/>
      <c r="B45" s="89" t="s">
        <v>103</v>
      </c>
      <c r="C45" s="66" t="s">
        <v>179</v>
      </c>
      <c r="D45" s="67">
        <v>2</v>
      </c>
      <c r="E45" s="68">
        <v>5.5819145967100003E-4</v>
      </c>
    </row>
    <row r="46" spans="1:5" ht="15" customHeight="1">
      <c r="A46" s="73"/>
      <c r="B46" s="90"/>
      <c r="C46" s="66" t="s">
        <v>180</v>
      </c>
      <c r="D46" s="67">
        <v>16</v>
      </c>
      <c r="E46" s="68">
        <v>4.465531677365E-3</v>
      </c>
    </row>
    <row r="47" spans="1:5" ht="15" customHeight="1">
      <c r="A47" s="73"/>
      <c r="B47" s="90"/>
      <c r="C47" s="66" t="s">
        <v>189</v>
      </c>
      <c r="D47" s="67">
        <v>1</v>
      </c>
      <c r="E47" s="68">
        <v>2.7909572983499998E-4</v>
      </c>
    </row>
    <row r="48" spans="1:5" ht="15" customHeight="1">
      <c r="A48" s="73"/>
      <c r="B48" s="90"/>
      <c r="C48" s="66" t="s">
        <v>181</v>
      </c>
      <c r="D48" s="67">
        <v>7</v>
      </c>
      <c r="E48" s="68">
        <v>1.9536701088469998E-3</v>
      </c>
    </row>
    <row r="49" spans="1:5" ht="15" customHeight="1">
      <c r="A49" s="73"/>
      <c r="B49" s="90"/>
      <c r="C49" s="66" t="s">
        <v>182</v>
      </c>
      <c r="D49" s="67">
        <v>14</v>
      </c>
      <c r="E49" s="68">
        <v>3.9073402176949996E-3</v>
      </c>
    </row>
    <row r="50" spans="1:5" ht="15" customHeight="1">
      <c r="A50" s="73"/>
      <c r="B50" s="90"/>
      <c r="C50" s="66" t="s">
        <v>183</v>
      </c>
      <c r="D50" s="67">
        <v>1</v>
      </c>
      <c r="E50" s="68">
        <v>2.7909572983499998E-4</v>
      </c>
    </row>
    <row r="51" spans="1:5" ht="15" customHeight="1">
      <c r="A51" s="73"/>
      <c r="B51" s="91"/>
      <c r="C51" s="36" t="s">
        <v>28</v>
      </c>
      <c r="D51" s="35">
        <v>41</v>
      </c>
      <c r="E51" s="34">
        <v>1.1442924923249E-2</v>
      </c>
    </row>
    <row r="52" spans="1:5" ht="15" customHeight="1">
      <c r="A52" s="73"/>
      <c r="B52" s="89" t="s">
        <v>104</v>
      </c>
      <c r="C52" s="66" t="s">
        <v>179</v>
      </c>
      <c r="D52" s="67">
        <v>2</v>
      </c>
      <c r="E52" s="68">
        <v>5.5819145967100003E-4</v>
      </c>
    </row>
    <row r="53" spans="1:5" ht="15" customHeight="1">
      <c r="A53" s="73"/>
      <c r="B53" s="90"/>
      <c r="C53" s="66" t="s">
        <v>180</v>
      </c>
      <c r="D53" s="67">
        <v>14</v>
      </c>
      <c r="E53" s="68">
        <v>3.9073402176949996E-3</v>
      </c>
    </row>
    <row r="54" spans="1:5" ht="15" customHeight="1">
      <c r="A54" s="73"/>
      <c r="B54" s="90"/>
      <c r="C54" s="66" t="s">
        <v>189</v>
      </c>
      <c r="D54" s="67">
        <v>3</v>
      </c>
      <c r="E54" s="68">
        <v>8.3728718950600001E-4</v>
      </c>
    </row>
    <row r="55" spans="1:5" ht="15" customHeight="1">
      <c r="A55" s="73"/>
      <c r="B55" s="90"/>
      <c r="C55" s="66" t="s">
        <v>181</v>
      </c>
      <c r="D55" s="67">
        <v>14</v>
      </c>
      <c r="E55" s="68">
        <v>3.9073402176949996E-3</v>
      </c>
    </row>
    <row r="56" spans="1:5" ht="15" customHeight="1">
      <c r="A56" s="73"/>
      <c r="B56" s="90"/>
      <c r="C56" s="66" t="s">
        <v>182</v>
      </c>
      <c r="D56" s="67">
        <v>10</v>
      </c>
      <c r="E56" s="68">
        <v>2.790957298353E-3</v>
      </c>
    </row>
    <row r="57" spans="1:5" ht="15" customHeight="1">
      <c r="A57" s="73"/>
      <c r="B57" s="90"/>
      <c r="C57" s="66" t="s">
        <v>183</v>
      </c>
      <c r="D57" s="67">
        <v>1</v>
      </c>
      <c r="E57" s="68">
        <v>2.7909572983499998E-4</v>
      </c>
    </row>
    <row r="58" spans="1:5" ht="15" customHeight="1">
      <c r="A58" s="73"/>
      <c r="B58" s="91"/>
      <c r="C58" s="36" t="s">
        <v>28</v>
      </c>
      <c r="D58" s="35">
        <v>44</v>
      </c>
      <c r="E58" s="34">
        <v>1.2280212112755E-2</v>
      </c>
    </row>
    <row r="59" spans="1:5" ht="15" customHeight="1">
      <c r="A59" s="73"/>
      <c r="B59" s="89" t="s">
        <v>105</v>
      </c>
      <c r="C59" s="66" t="s">
        <v>179</v>
      </c>
      <c r="D59" s="67">
        <v>2</v>
      </c>
      <c r="E59" s="68">
        <v>5.5819145967100003E-4</v>
      </c>
    </row>
    <row r="60" spans="1:5" ht="15" customHeight="1">
      <c r="A60" s="73"/>
      <c r="B60" s="90"/>
      <c r="C60" s="66" t="s">
        <v>180</v>
      </c>
      <c r="D60" s="67">
        <v>11</v>
      </c>
      <c r="E60" s="68">
        <v>3.0700530281889999E-3</v>
      </c>
    </row>
    <row r="61" spans="1:5" ht="15" customHeight="1">
      <c r="A61" s="73"/>
      <c r="B61" s="90"/>
      <c r="C61" s="66" t="s">
        <v>184</v>
      </c>
      <c r="D61" s="67">
        <v>2</v>
      </c>
      <c r="E61" s="68">
        <v>5.5819145967100003E-4</v>
      </c>
    </row>
    <row r="62" spans="1:5" ht="15" customHeight="1">
      <c r="A62" s="73"/>
      <c r="B62" s="90"/>
      <c r="C62" s="66" t="s">
        <v>181</v>
      </c>
      <c r="D62" s="67">
        <v>7</v>
      </c>
      <c r="E62" s="68">
        <v>1.9536701088469998E-3</v>
      </c>
    </row>
    <row r="63" spans="1:5" ht="15" customHeight="1">
      <c r="A63" s="73"/>
      <c r="B63" s="90"/>
      <c r="C63" s="66" t="s">
        <v>182</v>
      </c>
      <c r="D63" s="67">
        <v>7</v>
      </c>
      <c r="E63" s="68">
        <v>1.9536701088469998E-3</v>
      </c>
    </row>
    <row r="64" spans="1:5" ht="15" customHeight="1">
      <c r="A64" s="73"/>
      <c r="B64" s="90"/>
      <c r="C64" s="66" t="s">
        <v>183</v>
      </c>
      <c r="D64" s="67">
        <v>2</v>
      </c>
      <c r="E64" s="68">
        <v>5.5819145967100003E-4</v>
      </c>
    </row>
    <row r="65" spans="1:5" ht="15" customHeight="1">
      <c r="A65" s="73"/>
      <c r="B65" s="91"/>
      <c r="C65" s="36" t="s">
        <v>28</v>
      </c>
      <c r="D65" s="35">
        <v>31</v>
      </c>
      <c r="E65" s="34">
        <v>8.6519676248950003E-3</v>
      </c>
    </row>
    <row r="66" spans="1:5" ht="15" customHeight="1">
      <c r="A66" s="73"/>
      <c r="B66" s="89" t="s">
        <v>106</v>
      </c>
      <c r="C66" s="66" t="s">
        <v>179</v>
      </c>
      <c r="D66" s="67">
        <v>1</v>
      </c>
      <c r="E66" s="68">
        <v>2.7909572983499998E-4</v>
      </c>
    </row>
    <row r="67" spans="1:5" ht="15" customHeight="1">
      <c r="A67" s="73"/>
      <c r="B67" s="90"/>
      <c r="C67" s="66" t="s">
        <v>180</v>
      </c>
      <c r="D67" s="67">
        <v>15</v>
      </c>
      <c r="E67" s="68">
        <v>4.1864359475300003E-3</v>
      </c>
    </row>
    <row r="68" spans="1:5" ht="15" customHeight="1">
      <c r="A68" s="73"/>
      <c r="B68" s="90"/>
      <c r="C68" s="66" t="s">
        <v>187</v>
      </c>
      <c r="D68" s="67">
        <v>1</v>
      </c>
      <c r="E68" s="68">
        <v>2.7909572983499998E-4</v>
      </c>
    </row>
    <row r="69" spans="1:5" ht="15" customHeight="1">
      <c r="A69" s="73"/>
      <c r="B69" s="90"/>
      <c r="C69" s="66" t="s">
        <v>184</v>
      </c>
      <c r="D69" s="67">
        <v>1</v>
      </c>
      <c r="E69" s="68">
        <v>2.7909572983499998E-4</v>
      </c>
    </row>
    <row r="70" spans="1:5" ht="15" customHeight="1">
      <c r="A70" s="73"/>
      <c r="B70" s="90"/>
      <c r="C70" s="66" t="s">
        <v>189</v>
      </c>
      <c r="D70" s="67">
        <v>2</v>
      </c>
      <c r="E70" s="68">
        <v>5.5819145967100003E-4</v>
      </c>
    </row>
    <row r="71" spans="1:5" ht="15" customHeight="1">
      <c r="A71" s="73"/>
      <c r="B71" s="90"/>
      <c r="C71" s="66" t="s">
        <v>181</v>
      </c>
      <c r="D71" s="67">
        <v>6</v>
      </c>
      <c r="E71" s="68">
        <v>1.674574379012E-3</v>
      </c>
    </row>
    <row r="72" spans="1:5" ht="15" customHeight="1">
      <c r="A72" s="73"/>
      <c r="B72" s="90"/>
      <c r="C72" s="66" t="s">
        <v>190</v>
      </c>
      <c r="D72" s="67">
        <v>5</v>
      </c>
      <c r="E72" s="68">
        <v>1.395478649177E-3</v>
      </c>
    </row>
    <row r="73" spans="1:5" ht="15" customHeight="1">
      <c r="A73" s="73"/>
      <c r="B73" s="90"/>
      <c r="C73" s="66" t="s">
        <v>182</v>
      </c>
      <c r="D73" s="67">
        <v>11</v>
      </c>
      <c r="E73" s="68">
        <v>3.0700530281889999E-3</v>
      </c>
    </row>
    <row r="74" spans="1:5" ht="15" customHeight="1">
      <c r="A74" s="73"/>
      <c r="B74" s="90"/>
      <c r="C74" s="66" t="s">
        <v>183</v>
      </c>
      <c r="D74" s="67">
        <v>4</v>
      </c>
      <c r="E74" s="68">
        <v>1.116382919341E-3</v>
      </c>
    </row>
    <row r="75" spans="1:5" ht="15" customHeight="1">
      <c r="A75" s="73"/>
      <c r="B75" s="91"/>
      <c r="C75" s="36" t="s">
        <v>28</v>
      </c>
      <c r="D75" s="35">
        <v>46</v>
      </c>
      <c r="E75" s="34">
        <v>1.2838403572425E-2</v>
      </c>
    </row>
    <row r="76" spans="1:5" ht="15" customHeight="1">
      <c r="A76" s="73"/>
      <c r="B76" s="89" t="s">
        <v>107</v>
      </c>
      <c r="C76" s="66" t="s">
        <v>179</v>
      </c>
      <c r="D76" s="67">
        <v>4</v>
      </c>
      <c r="E76" s="68">
        <v>1.116382919341E-3</v>
      </c>
    </row>
    <row r="77" spans="1:5" ht="15" customHeight="1">
      <c r="A77" s="73"/>
      <c r="B77" s="90"/>
      <c r="C77" s="66" t="s">
        <v>180</v>
      </c>
      <c r="D77" s="67">
        <v>32</v>
      </c>
      <c r="E77" s="68">
        <v>8.9310633547309993E-3</v>
      </c>
    </row>
    <row r="78" spans="1:5" ht="15" customHeight="1">
      <c r="A78" s="73"/>
      <c r="B78" s="90"/>
      <c r="C78" s="66" t="s">
        <v>187</v>
      </c>
      <c r="D78" s="67">
        <v>4</v>
      </c>
      <c r="E78" s="68">
        <v>1.116382919341E-3</v>
      </c>
    </row>
    <row r="79" spans="1:5" ht="15" customHeight="1">
      <c r="A79" s="73"/>
      <c r="B79" s="90"/>
      <c r="C79" s="66" t="s">
        <v>184</v>
      </c>
      <c r="D79" s="67">
        <v>1</v>
      </c>
      <c r="E79" s="68">
        <v>2.7909572983499998E-4</v>
      </c>
    </row>
    <row r="80" spans="1:5" ht="15" customHeight="1">
      <c r="A80" s="73"/>
      <c r="B80" s="90"/>
      <c r="C80" s="66" t="s">
        <v>185</v>
      </c>
      <c r="D80" s="67">
        <v>1</v>
      </c>
      <c r="E80" s="68">
        <v>2.7909572983499998E-4</v>
      </c>
    </row>
    <row r="81" spans="1:5" ht="15" customHeight="1">
      <c r="A81" s="73"/>
      <c r="B81" s="90"/>
      <c r="C81" s="66" t="s">
        <v>181</v>
      </c>
      <c r="D81" s="67">
        <v>45</v>
      </c>
      <c r="E81" s="68">
        <v>1.255930784259E-2</v>
      </c>
    </row>
    <row r="82" spans="1:5" ht="15" customHeight="1">
      <c r="A82" s="73"/>
      <c r="B82" s="90"/>
      <c r="C82" s="66" t="s">
        <v>190</v>
      </c>
      <c r="D82" s="67">
        <v>4</v>
      </c>
      <c r="E82" s="68">
        <v>1.116382919341E-3</v>
      </c>
    </row>
    <row r="83" spans="1:5" ht="15" customHeight="1">
      <c r="A83" s="73"/>
      <c r="B83" s="90"/>
      <c r="C83" s="66" t="s">
        <v>182</v>
      </c>
      <c r="D83" s="67">
        <v>49</v>
      </c>
      <c r="E83" s="68">
        <v>1.3675690761931E-2</v>
      </c>
    </row>
    <row r="84" spans="1:5" ht="15" customHeight="1">
      <c r="A84" s="73"/>
      <c r="B84" s="90"/>
      <c r="C84" s="66" t="s">
        <v>183</v>
      </c>
      <c r="D84" s="67">
        <v>4</v>
      </c>
      <c r="E84" s="68">
        <v>1.116382919341E-3</v>
      </c>
    </row>
    <row r="85" spans="1:5" ht="15" customHeight="1">
      <c r="A85" s="73"/>
      <c r="B85" s="91"/>
      <c r="C85" s="36" t="s">
        <v>28</v>
      </c>
      <c r="D85" s="35">
        <v>144</v>
      </c>
      <c r="E85" s="34">
        <v>4.0189785096287997E-2</v>
      </c>
    </row>
    <row r="86" spans="1:5" ht="15" customHeight="1">
      <c r="A86" s="73"/>
      <c r="B86" s="89" t="s">
        <v>108</v>
      </c>
      <c r="C86" s="66" t="s">
        <v>180</v>
      </c>
      <c r="D86" s="67">
        <v>6</v>
      </c>
      <c r="E86" s="68">
        <v>1.674574379012E-3</v>
      </c>
    </row>
    <row r="87" spans="1:5" ht="15" customHeight="1">
      <c r="A87" s="73"/>
      <c r="B87" s="90"/>
      <c r="C87" s="66" t="s">
        <v>187</v>
      </c>
      <c r="D87" s="67">
        <v>1</v>
      </c>
      <c r="E87" s="68">
        <v>2.7909572983499998E-4</v>
      </c>
    </row>
    <row r="88" spans="1:5" ht="15" customHeight="1">
      <c r="A88" s="73"/>
      <c r="B88" s="90"/>
      <c r="C88" s="66" t="s">
        <v>184</v>
      </c>
      <c r="D88" s="67">
        <v>2</v>
      </c>
      <c r="E88" s="68">
        <v>5.5819145967100003E-4</v>
      </c>
    </row>
    <row r="89" spans="1:5" ht="15" customHeight="1">
      <c r="A89" s="73"/>
      <c r="B89" s="90"/>
      <c r="C89" s="66" t="s">
        <v>181</v>
      </c>
      <c r="D89" s="67">
        <v>5</v>
      </c>
      <c r="E89" s="68">
        <v>1.395478649177E-3</v>
      </c>
    </row>
    <row r="90" spans="1:5" ht="15" customHeight="1">
      <c r="A90" s="73"/>
      <c r="B90" s="90"/>
      <c r="C90" s="66" t="s">
        <v>190</v>
      </c>
      <c r="D90" s="67">
        <v>6</v>
      </c>
      <c r="E90" s="68">
        <v>1.674574379012E-3</v>
      </c>
    </row>
    <row r="91" spans="1:5" ht="15" customHeight="1">
      <c r="A91" s="73"/>
      <c r="B91" s="90"/>
      <c r="C91" s="66" t="s">
        <v>182</v>
      </c>
      <c r="D91" s="67">
        <v>5</v>
      </c>
      <c r="E91" s="68">
        <v>1.395478649177E-3</v>
      </c>
    </row>
    <row r="92" spans="1:5" ht="15" customHeight="1">
      <c r="A92" s="73"/>
      <c r="B92" s="90"/>
      <c r="C92" s="66" t="s">
        <v>183</v>
      </c>
      <c r="D92" s="67">
        <v>2</v>
      </c>
      <c r="E92" s="68">
        <v>5.5819145967100003E-4</v>
      </c>
    </row>
    <row r="93" spans="1:5" ht="15" customHeight="1">
      <c r="A93" s="73"/>
      <c r="B93" s="91"/>
      <c r="C93" s="36" t="s">
        <v>28</v>
      </c>
      <c r="D93" s="35">
        <v>27</v>
      </c>
      <c r="E93" s="34">
        <v>7.5355847055540003E-3</v>
      </c>
    </row>
    <row r="94" spans="1:5" ht="15" customHeight="1">
      <c r="A94" s="73"/>
      <c r="B94" s="89" t="s">
        <v>109</v>
      </c>
      <c r="C94" s="66" t="s">
        <v>179</v>
      </c>
      <c r="D94" s="67">
        <v>1</v>
      </c>
      <c r="E94" s="68">
        <v>2.7909572983499998E-4</v>
      </c>
    </row>
    <row r="95" spans="1:5" ht="15" customHeight="1">
      <c r="A95" s="73"/>
      <c r="B95" s="90"/>
      <c r="C95" s="66" t="s">
        <v>180</v>
      </c>
      <c r="D95" s="67">
        <v>1</v>
      </c>
      <c r="E95" s="68">
        <v>2.7909572983499998E-4</v>
      </c>
    </row>
    <row r="96" spans="1:5" ht="15" customHeight="1">
      <c r="A96" s="73"/>
      <c r="B96" s="90"/>
      <c r="C96" s="66" t="s">
        <v>184</v>
      </c>
      <c r="D96" s="67">
        <v>1</v>
      </c>
      <c r="E96" s="68">
        <v>2.7909572983499998E-4</v>
      </c>
    </row>
    <row r="97" spans="1:5" ht="15" customHeight="1">
      <c r="A97" s="73"/>
      <c r="B97" s="90"/>
      <c r="C97" s="66" t="s">
        <v>181</v>
      </c>
      <c r="D97" s="67">
        <v>1</v>
      </c>
      <c r="E97" s="68">
        <v>2.7909572983499998E-4</v>
      </c>
    </row>
    <row r="98" spans="1:5" ht="15" customHeight="1">
      <c r="A98" s="73"/>
      <c r="B98" s="90"/>
      <c r="C98" s="66" t="s">
        <v>182</v>
      </c>
      <c r="D98" s="67">
        <v>1</v>
      </c>
      <c r="E98" s="68">
        <v>2.7909572983499998E-4</v>
      </c>
    </row>
    <row r="99" spans="1:5" ht="15" customHeight="1">
      <c r="A99" s="73"/>
      <c r="B99" s="90"/>
      <c r="C99" s="66" t="s">
        <v>183</v>
      </c>
      <c r="D99" s="67">
        <v>1</v>
      </c>
      <c r="E99" s="68">
        <v>2.7909572983499998E-4</v>
      </c>
    </row>
    <row r="100" spans="1:5" ht="15" customHeight="1">
      <c r="A100" s="73"/>
      <c r="B100" s="91"/>
      <c r="C100" s="36" t="s">
        <v>28</v>
      </c>
      <c r="D100" s="35">
        <v>6</v>
      </c>
      <c r="E100" s="34">
        <v>1.674574379012E-3</v>
      </c>
    </row>
    <row r="101" spans="1:5" ht="15" customHeight="1">
      <c r="A101" s="73"/>
      <c r="B101" s="89" t="s">
        <v>110</v>
      </c>
      <c r="C101" s="66" t="s">
        <v>179</v>
      </c>
      <c r="D101" s="67">
        <v>1</v>
      </c>
      <c r="E101" s="68">
        <v>2.7909572983499998E-4</v>
      </c>
    </row>
    <row r="102" spans="1:5" ht="15" customHeight="1">
      <c r="A102" s="73"/>
      <c r="B102" s="90"/>
      <c r="C102" s="66" t="s">
        <v>180</v>
      </c>
      <c r="D102" s="67">
        <v>7</v>
      </c>
      <c r="E102" s="68">
        <v>1.9536701088469998E-3</v>
      </c>
    </row>
    <row r="103" spans="1:5" ht="15" customHeight="1">
      <c r="A103" s="73"/>
      <c r="B103" s="90"/>
      <c r="C103" s="66" t="s">
        <v>184</v>
      </c>
      <c r="D103" s="67">
        <v>2</v>
      </c>
      <c r="E103" s="68">
        <v>5.5819145967100003E-4</v>
      </c>
    </row>
    <row r="104" spans="1:5" ht="15" customHeight="1">
      <c r="A104" s="73"/>
      <c r="B104" s="90"/>
      <c r="C104" s="66" t="s">
        <v>181</v>
      </c>
      <c r="D104" s="67">
        <v>2</v>
      </c>
      <c r="E104" s="68">
        <v>5.5819145967100003E-4</v>
      </c>
    </row>
    <row r="105" spans="1:5" ht="15" customHeight="1">
      <c r="A105" s="73"/>
      <c r="B105" s="90"/>
      <c r="C105" s="66" t="s">
        <v>182</v>
      </c>
      <c r="D105" s="67">
        <v>2</v>
      </c>
      <c r="E105" s="68">
        <v>5.5819145967100003E-4</v>
      </c>
    </row>
    <row r="106" spans="1:5" ht="15" customHeight="1">
      <c r="A106" s="73"/>
      <c r="B106" s="90"/>
      <c r="C106" s="66" t="s">
        <v>183</v>
      </c>
      <c r="D106" s="67">
        <v>2</v>
      </c>
      <c r="E106" s="68">
        <v>5.5819145967100003E-4</v>
      </c>
    </row>
    <row r="107" spans="1:5" ht="15" customHeight="1">
      <c r="A107" s="73"/>
      <c r="B107" s="91"/>
      <c r="C107" s="36" t="s">
        <v>28</v>
      </c>
      <c r="D107" s="35">
        <v>16</v>
      </c>
      <c r="E107" s="34">
        <v>4.465531677365E-3</v>
      </c>
    </row>
    <row r="108" spans="1:5" ht="15" customHeight="1">
      <c r="A108" s="73"/>
      <c r="B108" s="89" t="s">
        <v>111</v>
      </c>
      <c r="C108" s="66" t="s">
        <v>180</v>
      </c>
      <c r="D108" s="67">
        <v>4</v>
      </c>
      <c r="E108" s="68">
        <v>1.116382919341E-3</v>
      </c>
    </row>
    <row r="109" spans="1:5" ht="15" customHeight="1">
      <c r="A109" s="73"/>
      <c r="B109" s="90"/>
      <c r="C109" s="66" t="s">
        <v>181</v>
      </c>
      <c r="D109" s="67">
        <v>2</v>
      </c>
      <c r="E109" s="68">
        <v>5.5819145967100003E-4</v>
      </c>
    </row>
    <row r="110" spans="1:5" ht="15" customHeight="1">
      <c r="A110" s="73"/>
      <c r="B110" s="90"/>
      <c r="C110" s="66" t="s">
        <v>182</v>
      </c>
      <c r="D110" s="67">
        <v>1</v>
      </c>
      <c r="E110" s="68">
        <v>2.7909572983499998E-4</v>
      </c>
    </row>
    <row r="111" spans="1:5" ht="15" customHeight="1">
      <c r="A111" s="73"/>
      <c r="B111" s="91"/>
      <c r="C111" s="36" t="s">
        <v>28</v>
      </c>
      <c r="D111" s="35">
        <v>7</v>
      </c>
      <c r="E111" s="34">
        <v>1.9536701088469998E-3</v>
      </c>
    </row>
    <row r="112" spans="1:5" ht="15" customHeight="1">
      <c r="A112" s="73"/>
      <c r="B112" s="89" t="s">
        <v>112</v>
      </c>
      <c r="C112" s="66" t="s">
        <v>180</v>
      </c>
      <c r="D112" s="67">
        <v>1</v>
      </c>
      <c r="E112" s="68">
        <v>2.7909572983499998E-4</v>
      </c>
    </row>
    <row r="113" spans="1:5" ht="15" customHeight="1">
      <c r="A113" s="73"/>
      <c r="B113" s="90"/>
      <c r="C113" s="66" t="s">
        <v>184</v>
      </c>
      <c r="D113" s="67">
        <v>1</v>
      </c>
      <c r="E113" s="68">
        <v>2.7909572983499998E-4</v>
      </c>
    </row>
    <row r="114" spans="1:5" ht="15" customHeight="1">
      <c r="A114" s="73"/>
      <c r="B114" s="90"/>
      <c r="C114" s="66" t="s">
        <v>182</v>
      </c>
      <c r="D114" s="67">
        <v>1</v>
      </c>
      <c r="E114" s="68">
        <v>2.7909572983499998E-4</v>
      </c>
    </row>
    <row r="115" spans="1:5" ht="15" customHeight="1">
      <c r="A115" s="73"/>
      <c r="B115" s="91"/>
      <c r="C115" s="36" t="s">
        <v>28</v>
      </c>
      <c r="D115" s="35">
        <v>3</v>
      </c>
      <c r="E115" s="34">
        <v>8.3728718950600001E-4</v>
      </c>
    </row>
    <row r="116" spans="1:5" ht="15" customHeight="1">
      <c r="A116" s="73"/>
      <c r="B116" s="89" t="s">
        <v>113</v>
      </c>
      <c r="C116" s="66" t="s">
        <v>180</v>
      </c>
      <c r="D116" s="67">
        <v>1</v>
      </c>
      <c r="E116" s="68">
        <v>2.7909572983499998E-4</v>
      </c>
    </row>
    <row r="117" spans="1:5" ht="15" customHeight="1">
      <c r="A117" s="73"/>
      <c r="B117" s="91"/>
      <c r="C117" s="36" t="s">
        <v>28</v>
      </c>
      <c r="D117" s="35">
        <v>1</v>
      </c>
      <c r="E117" s="34">
        <v>2.7909572983499998E-4</v>
      </c>
    </row>
    <row r="118" spans="1:5" ht="15" customHeight="1">
      <c r="A118" s="73"/>
      <c r="B118" s="89" t="s">
        <v>114</v>
      </c>
      <c r="C118" s="66" t="s">
        <v>180</v>
      </c>
      <c r="D118" s="67">
        <v>1</v>
      </c>
      <c r="E118" s="68">
        <v>2.7909572983499998E-4</v>
      </c>
    </row>
    <row r="119" spans="1:5" ht="15" customHeight="1">
      <c r="A119" s="73"/>
      <c r="B119" s="90"/>
      <c r="C119" s="66" t="s">
        <v>185</v>
      </c>
      <c r="D119" s="67">
        <v>1</v>
      </c>
      <c r="E119" s="68">
        <v>2.7909572983499998E-4</v>
      </c>
    </row>
    <row r="120" spans="1:5" ht="15" customHeight="1">
      <c r="A120" s="73"/>
      <c r="B120" s="90"/>
      <c r="C120" s="66" t="s">
        <v>181</v>
      </c>
      <c r="D120" s="67">
        <v>1</v>
      </c>
      <c r="E120" s="68">
        <v>2.7909572983499998E-4</v>
      </c>
    </row>
    <row r="121" spans="1:5" ht="15" customHeight="1">
      <c r="A121" s="73"/>
      <c r="B121" s="90"/>
      <c r="C121" s="66" t="s">
        <v>182</v>
      </c>
      <c r="D121" s="67">
        <v>5</v>
      </c>
      <c r="E121" s="68">
        <v>1.395478649177E-3</v>
      </c>
    </row>
    <row r="122" spans="1:5" ht="15" customHeight="1">
      <c r="A122" s="73"/>
      <c r="B122" s="90"/>
      <c r="C122" s="66" t="s">
        <v>183</v>
      </c>
      <c r="D122" s="67">
        <v>2</v>
      </c>
      <c r="E122" s="68">
        <v>5.5819145967100003E-4</v>
      </c>
    </row>
    <row r="123" spans="1:5" ht="15" customHeight="1">
      <c r="A123" s="73"/>
      <c r="B123" s="91"/>
      <c r="C123" s="36" t="s">
        <v>28</v>
      </c>
      <c r="D123" s="35">
        <v>10</v>
      </c>
      <c r="E123" s="34">
        <v>2.790957298353E-3</v>
      </c>
    </row>
    <row r="124" spans="1:5" ht="15" customHeight="1">
      <c r="A124" s="73"/>
      <c r="B124" s="89" t="s">
        <v>115</v>
      </c>
      <c r="C124" s="66" t="s">
        <v>180</v>
      </c>
      <c r="D124" s="67">
        <v>2</v>
      </c>
      <c r="E124" s="68">
        <v>5.5819145967100003E-4</v>
      </c>
    </row>
    <row r="125" spans="1:5" ht="15" customHeight="1">
      <c r="A125" s="73"/>
      <c r="B125" s="90"/>
      <c r="C125" s="66" t="s">
        <v>189</v>
      </c>
      <c r="D125" s="67">
        <v>1</v>
      </c>
      <c r="E125" s="68">
        <v>2.7909572983499998E-4</v>
      </c>
    </row>
    <row r="126" spans="1:5" ht="15" customHeight="1">
      <c r="A126" s="73"/>
      <c r="B126" s="90"/>
      <c r="C126" s="66" t="s">
        <v>181</v>
      </c>
      <c r="D126" s="67">
        <v>4</v>
      </c>
      <c r="E126" s="68">
        <v>1.116382919341E-3</v>
      </c>
    </row>
    <row r="127" spans="1:5" ht="15" customHeight="1">
      <c r="A127" s="73"/>
      <c r="B127" s="90"/>
      <c r="C127" s="66" t="s">
        <v>182</v>
      </c>
      <c r="D127" s="67">
        <v>3</v>
      </c>
      <c r="E127" s="68">
        <v>8.3728718950600001E-4</v>
      </c>
    </row>
    <row r="128" spans="1:5" ht="15" customHeight="1">
      <c r="A128" s="73"/>
      <c r="B128" s="90"/>
      <c r="C128" s="66" t="s">
        <v>183</v>
      </c>
      <c r="D128" s="67">
        <v>2</v>
      </c>
      <c r="E128" s="68">
        <v>5.5819145967100003E-4</v>
      </c>
    </row>
    <row r="129" spans="1:5" ht="15" customHeight="1">
      <c r="A129" s="73"/>
      <c r="B129" s="91"/>
      <c r="C129" s="36" t="s">
        <v>28</v>
      </c>
      <c r="D129" s="35">
        <v>12</v>
      </c>
      <c r="E129" s="34">
        <v>3.349148758024E-3</v>
      </c>
    </row>
    <row r="130" spans="1:5" ht="15" customHeight="1">
      <c r="A130" s="73"/>
      <c r="B130" s="89" t="s">
        <v>116</v>
      </c>
      <c r="C130" s="66" t="s">
        <v>182</v>
      </c>
      <c r="D130" s="67">
        <v>1</v>
      </c>
      <c r="E130" s="68">
        <v>2.7909572983499998E-4</v>
      </c>
    </row>
    <row r="131" spans="1:5" ht="15" customHeight="1">
      <c r="A131" s="73"/>
      <c r="B131" s="91"/>
      <c r="C131" s="36" t="s">
        <v>28</v>
      </c>
      <c r="D131" s="35">
        <v>1</v>
      </c>
      <c r="E131" s="34">
        <v>2.7909572983499998E-4</v>
      </c>
    </row>
    <row r="132" spans="1:5" ht="15" customHeight="1">
      <c r="A132" s="73"/>
      <c r="B132" s="89" t="s">
        <v>117</v>
      </c>
      <c r="C132" s="66" t="s">
        <v>179</v>
      </c>
      <c r="D132" s="67">
        <v>8</v>
      </c>
      <c r="E132" s="68">
        <v>2.2327658386830001E-3</v>
      </c>
    </row>
    <row r="133" spans="1:5" ht="15" customHeight="1">
      <c r="A133" s="73"/>
      <c r="B133" s="90"/>
      <c r="C133" s="66" t="s">
        <v>180</v>
      </c>
      <c r="D133" s="67">
        <v>7</v>
      </c>
      <c r="E133" s="68">
        <v>1.9536701088469998E-3</v>
      </c>
    </row>
    <row r="134" spans="1:5" ht="15" customHeight="1">
      <c r="A134" s="73"/>
      <c r="B134" s="90"/>
      <c r="C134" s="66" t="s">
        <v>187</v>
      </c>
      <c r="D134" s="67">
        <v>1</v>
      </c>
      <c r="E134" s="68">
        <v>2.7909572983499998E-4</v>
      </c>
    </row>
    <row r="135" spans="1:5" ht="15" customHeight="1">
      <c r="A135" s="73"/>
      <c r="B135" s="90"/>
      <c r="C135" s="66" t="s">
        <v>185</v>
      </c>
      <c r="D135" s="67">
        <v>1</v>
      </c>
      <c r="E135" s="68">
        <v>2.7909572983499998E-4</v>
      </c>
    </row>
    <row r="136" spans="1:5" ht="15" customHeight="1">
      <c r="A136" s="73"/>
      <c r="B136" s="90"/>
      <c r="C136" s="66" t="s">
        <v>182</v>
      </c>
      <c r="D136" s="67">
        <v>11</v>
      </c>
      <c r="E136" s="68">
        <v>3.0700530281889999E-3</v>
      </c>
    </row>
    <row r="137" spans="1:5" ht="15" customHeight="1">
      <c r="A137" s="73"/>
      <c r="B137" s="91"/>
      <c r="C137" s="36" t="s">
        <v>28</v>
      </c>
      <c r="D137" s="35">
        <v>28</v>
      </c>
      <c r="E137" s="34">
        <v>7.8146804353890001E-3</v>
      </c>
    </row>
    <row r="138" spans="1:5" ht="15" customHeight="1">
      <c r="A138" s="73"/>
      <c r="B138" s="89" t="s">
        <v>118</v>
      </c>
      <c r="C138" s="66" t="s">
        <v>180</v>
      </c>
      <c r="D138" s="67">
        <v>4</v>
      </c>
      <c r="E138" s="68">
        <v>1.116382919341E-3</v>
      </c>
    </row>
    <row r="139" spans="1:5" ht="15" customHeight="1">
      <c r="A139" s="73"/>
      <c r="B139" s="90"/>
      <c r="C139" s="66" t="s">
        <v>181</v>
      </c>
      <c r="D139" s="67">
        <v>1</v>
      </c>
      <c r="E139" s="68">
        <v>2.7909572983499998E-4</v>
      </c>
    </row>
    <row r="140" spans="1:5" ht="15" customHeight="1">
      <c r="A140" s="73"/>
      <c r="B140" s="90"/>
      <c r="C140" s="66" t="s">
        <v>182</v>
      </c>
      <c r="D140" s="67">
        <v>3</v>
      </c>
      <c r="E140" s="68">
        <v>8.3728718950600001E-4</v>
      </c>
    </row>
    <row r="141" spans="1:5" ht="15" customHeight="1">
      <c r="A141" s="73"/>
      <c r="B141" s="91"/>
      <c r="C141" s="36" t="s">
        <v>28</v>
      </c>
      <c r="D141" s="35">
        <v>8</v>
      </c>
      <c r="E141" s="34">
        <v>2.2327658386830001E-3</v>
      </c>
    </row>
    <row r="142" spans="1:5" ht="15" customHeight="1">
      <c r="A142" s="73"/>
      <c r="B142" s="89" t="s">
        <v>119</v>
      </c>
      <c r="C142" s="66" t="s">
        <v>179</v>
      </c>
      <c r="D142" s="67">
        <v>5</v>
      </c>
      <c r="E142" s="68">
        <v>1.395478649177E-3</v>
      </c>
    </row>
    <row r="143" spans="1:5" ht="15" customHeight="1">
      <c r="A143" s="73"/>
      <c r="B143" s="90"/>
      <c r="C143" s="66" t="s">
        <v>180</v>
      </c>
      <c r="D143" s="67">
        <v>57</v>
      </c>
      <c r="E143" s="68">
        <v>1.5908456600614001E-2</v>
      </c>
    </row>
    <row r="144" spans="1:5" ht="15" customHeight="1">
      <c r="A144" s="73"/>
      <c r="B144" s="90"/>
      <c r="C144" s="66" t="s">
        <v>187</v>
      </c>
      <c r="D144" s="67">
        <v>6</v>
      </c>
      <c r="E144" s="68">
        <v>1.674574379012E-3</v>
      </c>
    </row>
    <row r="145" spans="1:5" ht="15" customHeight="1">
      <c r="A145" s="73"/>
      <c r="B145" s="90"/>
      <c r="C145" s="66" t="s">
        <v>184</v>
      </c>
      <c r="D145" s="67">
        <v>3</v>
      </c>
      <c r="E145" s="68">
        <v>8.3728718950600001E-4</v>
      </c>
    </row>
    <row r="146" spans="1:5" ht="15" customHeight="1">
      <c r="A146" s="73"/>
      <c r="B146" s="90"/>
      <c r="C146" s="66" t="s">
        <v>185</v>
      </c>
      <c r="D146" s="67">
        <v>15</v>
      </c>
      <c r="E146" s="68">
        <v>4.1864359475300003E-3</v>
      </c>
    </row>
    <row r="147" spans="1:5" ht="15" customHeight="1">
      <c r="A147" s="73"/>
      <c r="B147" s="90"/>
      <c r="C147" s="66" t="s">
        <v>189</v>
      </c>
      <c r="D147" s="67">
        <v>3</v>
      </c>
      <c r="E147" s="68">
        <v>8.3728718950600001E-4</v>
      </c>
    </row>
    <row r="148" spans="1:5" ht="15" customHeight="1">
      <c r="A148" s="73"/>
      <c r="B148" s="90"/>
      <c r="C148" s="66" t="s">
        <v>181</v>
      </c>
      <c r="D148" s="67">
        <v>37</v>
      </c>
      <c r="E148" s="68">
        <v>1.0326542003907001E-2</v>
      </c>
    </row>
    <row r="149" spans="1:5" ht="15" customHeight="1">
      <c r="A149" s="73"/>
      <c r="B149" s="90"/>
      <c r="C149" s="66" t="s">
        <v>190</v>
      </c>
      <c r="D149" s="67">
        <v>19</v>
      </c>
      <c r="E149" s="68">
        <v>5.3028188668710003E-3</v>
      </c>
    </row>
    <row r="150" spans="1:5" ht="15" customHeight="1">
      <c r="A150" s="73"/>
      <c r="B150" s="90"/>
      <c r="C150" s="66" t="s">
        <v>182</v>
      </c>
      <c r="D150" s="67">
        <v>31</v>
      </c>
      <c r="E150" s="68">
        <v>8.6519676248950003E-3</v>
      </c>
    </row>
    <row r="151" spans="1:5" ht="15" customHeight="1">
      <c r="A151" s="73"/>
      <c r="B151" s="90"/>
      <c r="C151" s="66" t="s">
        <v>183</v>
      </c>
      <c r="D151" s="67">
        <v>21</v>
      </c>
      <c r="E151" s="68">
        <v>5.8610103265419999E-3</v>
      </c>
    </row>
    <row r="152" spans="1:5" ht="15" customHeight="1">
      <c r="A152" s="73"/>
      <c r="B152" s="91"/>
      <c r="C152" s="36" t="s">
        <v>28</v>
      </c>
      <c r="D152" s="35">
        <v>197</v>
      </c>
      <c r="E152" s="34">
        <v>5.4981858777561003E-2</v>
      </c>
    </row>
    <row r="153" spans="1:5" ht="15" customHeight="1">
      <c r="A153" s="73"/>
      <c r="B153" s="89" t="s">
        <v>120</v>
      </c>
      <c r="C153" s="66" t="s">
        <v>181</v>
      </c>
      <c r="D153" s="67">
        <v>6</v>
      </c>
      <c r="E153" s="68">
        <v>1.674574379012E-3</v>
      </c>
    </row>
    <row r="154" spans="1:5" ht="15" customHeight="1">
      <c r="A154" s="73"/>
      <c r="B154" s="90"/>
      <c r="C154" s="66" t="s">
        <v>183</v>
      </c>
      <c r="D154" s="67">
        <v>1</v>
      </c>
      <c r="E154" s="68">
        <v>2.7909572983499998E-4</v>
      </c>
    </row>
    <row r="155" spans="1:5" ht="15" customHeight="1">
      <c r="A155" s="73"/>
      <c r="B155" s="91"/>
      <c r="C155" s="36" t="s">
        <v>28</v>
      </c>
      <c r="D155" s="35">
        <v>7</v>
      </c>
      <c r="E155" s="34">
        <v>1.9536701088469998E-3</v>
      </c>
    </row>
    <row r="156" spans="1:5" ht="15" customHeight="1">
      <c r="A156" s="73"/>
      <c r="B156" s="89" t="s">
        <v>121</v>
      </c>
      <c r="C156" s="66" t="s">
        <v>179</v>
      </c>
      <c r="D156" s="67">
        <v>3</v>
      </c>
      <c r="E156" s="68">
        <v>8.3728718950600001E-4</v>
      </c>
    </row>
    <row r="157" spans="1:5" ht="15" customHeight="1">
      <c r="A157" s="73"/>
      <c r="B157" s="90"/>
      <c r="C157" s="66" t="s">
        <v>180</v>
      </c>
      <c r="D157" s="67">
        <v>3</v>
      </c>
      <c r="E157" s="68">
        <v>8.3728718950600001E-4</v>
      </c>
    </row>
    <row r="158" spans="1:5" ht="15" customHeight="1">
      <c r="A158" s="73"/>
      <c r="B158" s="90"/>
      <c r="C158" s="66" t="s">
        <v>181</v>
      </c>
      <c r="D158" s="67">
        <v>1</v>
      </c>
      <c r="E158" s="68">
        <v>2.7909572983499998E-4</v>
      </c>
    </row>
    <row r="159" spans="1:5" ht="15" customHeight="1">
      <c r="A159" s="73"/>
      <c r="B159" s="91"/>
      <c r="C159" s="36" t="s">
        <v>28</v>
      </c>
      <c r="D159" s="35">
        <v>7</v>
      </c>
      <c r="E159" s="34">
        <v>1.9536701088469998E-3</v>
      </c>
    </row>
    <row r="160" spans="1:5" ht="15" customHeight="1">
      <c r="A160" s="73"/>
      <c r="B160" s="89" t="s">
        <v>122</v>
      </c>
      <c r="C160" s="66" t="s">
        <v>180</v>
      </c>
      <c r="D160" s="67">
        <v>1</v>
      </c>
      <c r="E160" s="68">
        <v>2.7909572983499998E-4</v>
      </c>
    </row>
    <row r="161" spans="1:5" ht="15" customHeight="1">
      <c r="A161" s="73"/>
      <c r="B161" s="90"/>
      <c r="C161" s="66" t="s">
        <v>189</v>
      </c>
      <c r="D161" s="67">
        <v>1</v>
      </c>
      <c r="E161" s="68">
        <v>2.7909572983499998E-4</v>
      </c>
    </row>
    <row r="162" spans="1:5" ht="15" customHeight="1">
      <c r="A162" s="73"/>
      <c r="B162" s="91"/>
      <c r="C162" s="36" t="s">
        <v>28</v>
      </c>
      <c r="D162" s="35">
        <v>2</v>
      </c>
      <c r="E162" s="34">
        <v>5.5819145967100003E-4</v>
      </c>
    </row>
    <row r="163" spans="1:5" ht="15" customHeight="1">
      <c r="A163" s="73"/>
      <c r="B163" s="89" t="s">
        <v>123</v>
      </c>
      <c r="C163" s="66" t="s">
        <v>181</v>
      </c>
      <c r="D163" s="67">
        <v>2</v>
      </c>
      <c r="E163" s="68">
        <v>5.5819145967100003E-4</v>
      </c>
    </row>
    <row r="164" spans="1:5" ht="15" customHeight="1">
      <c r="A164" s="73"/>
      <c r="B164" s="90"/>
      <c r="C164" s="66" t="s">
        <v>182</v>
      </c>
      <c r="D164" s="67">
        <v>2</v>
      </c>
      <c r="E164" s="68">
        <v>5.5819145967100003E-4</v>
      </c>
    </row>
    <row r="165" spans="1:5" ht="15" customHeight="1">
      <c r="A165" s="73"/>
      <c r="B165" s="90"/>
      <c r="C165" s="66" t="s">
        <v>183</v>
      </c>
      <c r="D165" s="67">
        <v>1</v>
      </c>
      <c r="E165" s="68">
        <v>2.7909572983499998E-4</v>
      </c>
    </row>
    <row r="166" spans="1:5" ht="15" customHeight="1">
      <c r="A166" s="73"/>
      <c r="B166" s="91"/>
      <c r="C166" s="36" t="s">
        <v>28</v>
      </c>
      <c r="D166" s="35">
        <v>5</v>
      </c>
      <c r="E166" s="34">
        <v>1.395478649177E-3</v>
      </c>
    </row>
    <row r="167" spans="1:5" ht="15" customHeight="1">
      <c r="A167" s="73"/>
      <c r="B167" s="89" t="s">
        <v>124</v>
      </c>
      <c r="C167" s="66" t="s">
        <v>179</v>
      </c>
      <c r="D167" s="67">
        <v>2</v>
      </c>
      <c r="E167" s="68">
        <v>5.5819145967100003E-4</v>
      </c>
    </row>
    <row r="168" spans="1:5" ht="15" customHeight="1">
      <c r="A168" s="73"/>
      <c r="B168" s="90"/>
      <c r="C168" s="66" t="s">
        <v>180</v>
      </c>
      <c r="D168" s="67">
        <v>10</v>
      </c>
      <c r="E168" s="68">
        <v>2.790957298353E-3</v>
      </c>
    </row>
    <row r="169" spans="1:5" ht="15" customHeight="1">
      <c r="A169" s="73"/>
      <c r="B169" s="90"/>
      <c r="C169" s="66" t="s">
        <v>184</v>
      </c>
      <c r="D169" s="67">
        <v>1</v>
      </c>
      <c r="E169" s="68">
        <v>2.7909572983499998E-4</v>
      </c>
    </row>
    <row r="170" spans="1:5" ht="15" customHeight="1">
      <c r="A170" s="73"/>
      <c r="B170" s="90"/>
      <c r="C170" s="66" t="s">
        <v>185</v>
      </c>
      <c r="D170" s="67">
        <v>3</v>
      </c>
      <c r="E170" s="68">
        <v>8.3728718950600001E-4</v>
      </c>
    </row>
    <row r="171" spans="1:5" ht="15" customHeight="1">
      <c r="A171" s="73"/>
      <c r="B171" s="90"/>
      <c r="C171" s="66" t="s">
        <v>189</v>
      </c>
      <c r="D171" s="67">
        <v>2</v>
      </c>
      <c r="E171" s="68">
        <v>5.5819145967100003E-4</v>
      </c>
    </row>
    <row r="172" spans="1:5" ht="15" customHeight="1">
      <c r="A172" s="73"/>
      <c r="B172" s="90"/>
      <c r="C172" s="66" t="s">
        <v>181</v>
      </c>
      <c r="D172" s="67">
        <v>4</v>
      </c>
      <c r="E172" s="68">
        <v>1.116382919341E-3</v>
      </c>
    </row>
    <row r="173" spans="1:5" ht="15" customHeight="1">
      <c r="A173" s="73"/>
      <c r="B173" s="90"/>
      <c r="C173" s="66" t="s">
        <v>190</v>
      </c>
      <c r="D173" s="67">
        <v>1</v>
      </c>
      <c r="E173" s="68">
        <v>2.7909572983499998E-4</v>
      </c>
    </row>
    <row r="174" spans="1:5" ht="15" customHeight="1">
      <c r="A174" s="73"/>
      <c r="B174" s="90"/>
      <c r="C174" s="66" t="s">
        <v>182</v>
      </c>
      <c r="D174" s="67">
        <v>6</v>
      </c>
      <c r="E174" s="68">
        <v>1.674574379012E-3</v>
      </c>
    </row>
    <row r="175" spans="1:5" ht="15" customHeight="1">
      <c r="A175" s="73"/>
      <c r="B175" s="91"/>
      <c r="C175" s="36" t="s">
        <v>28</v>
      </c>
      <c r="D175" s="35">
        <v>29</v>
      </c>
      <c r="E175" s="34">
        <v>8.0937761652250008E-3</v>
      </c>
    </row>
    <row r="176" spans="1:5" ht="15" customHeight="1">
      <c r="A176" s="73"/>
      <c r="B176" s="89" t="s">
        <v>125</v>
      </c>
      <c r="C176" s="66" t="s">
        <v>180</v>
      </c>
      <c r="D176" s="67">
        <v>1</v>
      </c>
      <c r="E176" s="68">
        <v>2.7909572983499998E-4</v>
      </c>
    </row>
    <row r="177" spans="1:5" ht="15" customHeight="1">
      <c r="A177" s="73"/>
      <c r="B177" s="90"/>
      <c r="C177" s="66" t="s">
        <v>181</v>
      </c>
      <c r="D177" s="67">
        <v>2</v>
      </c>
      <c r="E177" s="68">
        <v>5.5819145967100003E-4</v>
      </c>
    </row>
    <row r="178" spans="1:5" ht="15" customHeight="1">
      <c r="A178" s="73"/>
      <c r="B178" s="90"/>
      <c r="C178" s="66" t="s">
        <v>182</v>
      </c>
      <c r="D178" s="67">
        <v>3</v>
      </c>
      <c r="E178" s="68">
        <v>8.3728718950600001E-4</v>
      </c>
    </row>
    <row r="179" spans="1:5" ht="15" customHeight="1">
      <c r="A179" s="73"/>
      <c r="B179" s="90"/>
      <c r="C179" s="66" t="s">
        <v>183</v>
      </c>
      <c r="D179" s="67">
        <v>2</v>
      </c>
      <c r="E179" s="68">
        <v>5.5819145967100003E-4</v>
      </c>
    </row>
    <row r="180" spans="1:5" ht="15" customHeight="1">
      <c r="A180" s="73"/>
      <c r="B180" s="91"/>
      <c r="C180" s="36" t="s">
        <v>28</v>
      </c>
      <c r="D180" s="35">
        <v>8</v>
      </c>
      <c r="E180" s="34">
        <v>2.2327658386830001E-3</v>
      </c>
    </row>
    <row r="181" spans="1:5" ht="15" customHeight="1">
      <c r="A181" s="73"/>
      <c r="B181" s="89" t="s">
        <v>126</v>
      </c>
      <c r="C181" s="66" t="s">
        <v>180</v>
      </c>
      <c r="D181" s="67">
        <v>12</v>
      </c>
      <c r="E181" s="68">
        <v>3.349148758024E-3</v>
      </c>
    </row>
    <row r="182" spans="1:5" ht="15" customHeight="1">
      <c r="A182" s="73"/>
      <c r="B182" s="90"/>
      <c r="C182" s="66" t="s">
        <v>181</v>
      </c>
      <c r="D182" s="67">
        <v>2</v>
      </c>
      <c r="E182" s="68">
        <v>5.5819145967100003E-4</v>
      </c>
    </row>
    <row r="183" spans="1:5" ht="15" customHeight="1">
      <c r="A183" s="73"/>
      <c r="B183" s="90"/>
      <c r="C183" s="66" t="s">
        <v>182</v>
      </c>
      <c r="D183" s="67">
        <v>6</v>
      </c>
      <c r="E183" s="68">
        <v>1.674574379012E-3</v>
      </c>
    </row>
    <row r="184" spans="1:5" ht="15" customHeight="1">
      <c r="A184" s="73"/>
      <c r="B184" s="90"/>
      <c r="C184" s="66" t="s">
        <v>183</v>
      </c>
      <c r="D184" s="67">
        <v>1</v>
      </c>
      <c r="E184" s="68">
        <v>2.7909572983499998E-4</v>
      </c>
    </row>
    <row r="185" spans="1:5" ht="15" customHeight="1">
      <c r="A185" s="73"/>
      <c r="B185" s="91"/>
      <c r="C185" s="36" t="s">
        <v>28</v>
      </c>
      <c r="D185" s="35">
        <v>21</v>
      </c>
      <c r="E185" s="34">
        <v>5.8610103265419999E-3</v>
      </c>
    </row>
    <row r="186" spans="1:5" ht="15" customHeight="1">
      <c r="A186" s="73"/>
      <c r="B186" s="89" t="s">
        <v>127</v>
      </c>
      <c r="C186" s="66" t="s">
        <v>179</v>
      </c>
      <c r="D186" s="67">
        <v>2</v>
      </c>
      <c r="E186" s="68">
        <v>5.5819145967100003E-4</v>
      </c>
    </row>
    <row r="187" spans="1:5" ht="15" customHeight="1">
      <c r="A187" s="73"/>
      <c r="B187" s="90"/>
      <c r="C187" s="66" t="s">
        <v>180</v>
      </c>
      <c r="D187" s="67">
        <v>4</v>
      </c>
      <c r="E187" s="68">
        <v>1.116382919341E-3</v>
      </c>
    </row>
    <row r="188" spans="1:5" ht="15" customHeight="1">
      <c r="A188" s="73"/>
      <c r="B188" s="90"/>
      <c r="C188" s="66" t="s">
        <v>187</v>
      </c>
      <c r="D188" s="67">
        <v>3</v>
      </c>
      <c r="E188" s="68">
        <v>8.3728718950600001E-4</v>
      </c>
    </row>
    <row r="189" spans="1:5" ht="15" customHeight="1">
      <c r="A189" s="73"/>
      <c r="B189" s="90"/>
      <c r="C189" s="66" t="s">
        <v>185</v>
      </c>
      <c r="D189" s="67">
        <v>3</v>
      </c>
      <c r="E189" s="68">
        <v>8.3728718950600001E-4</v>
      </c>
    </row>
    <row r="190" spans="1:5" ht="15" customHeight="1">
      <c r="A190" s="73"/>
      <c r="B190" s="90"/>
      <c r="C190" s="66" t="s">
        <v>181</v>
      </c>
      <c r="D190" s="67">
        <v>4</v>
      </c>
      <c r="E190" s="68">
        <v>1.116382919341E-3</v>
      </c>
    </row>
    <row r="191" spans="1:5" ht="15" customHeight="1">
      <c r="A191" s="73"/>
      <c r="B191" s="90"/>
      <c r="C191" s="66" t="s">
        <v>182</v>
      </c>
      <c r="D191" s="67">
        <v>23</v>
      </c>
      <c r="E191" s="68">
        <v>6.4192017862130003E-3</v>
      </c>
    </row>
    <row r="192" spans="1:5" ht="15" customHeight="1">
      <c r="A192" s="73"/>
      <c r="B192" s="90"/>
      <c r="C192" s="66" t="s">
        <v>183</v>
      </c>
      <c r="D192" s="67">
        <v>4</v>
      </c>
      <c r="E192" s="68">
        <v>1.116382919341E-3</v>
      </c>
    </row>
    <row r="193" spans="1:5" ht="15" customHeight="1">
      <c r="A193" s="73"/>
      <c r="B193" s="91"/>
      <c r="C193" s="36" t="s">
        <v>28</v>
      </c>
      <c r="D193" s="35">
        <v>43</v>
      </c>
      <c r="E193" s="34">
        <v>1.2001116382919E-2</v>
      </c>
    </row>
    <row r="194" spans="1:5" ht="15" customHeight="1">
      <c r="A194" s="73"/>
      <c r="B194" s="89" t="s">
        <v>128</v>
      </c>
      <c r="C194" s="66" t="s">
        <v>181</v>
      </c>
      <c r="D194" s="67">
        <v>1</v>
      </c>
      <c r="E194" s="68">
        <v>2.7909572983499998E-4</v>
      </c>
    </row>
    <row r="195" spans="1:5" ht="15" customHeight="1">
      <c r="A195" s="73"/>
      <c r="B195" s="91"/>
      <c r="C195" s="36" t="s">
        <v>28</v>
      </c>
      <c r="D195" s="35">
        <v>1</v>
      </c>
      <c r="E195" s="34">
        <v>2.7909572983499998E-4</v>
      </c>
    </row>
    <row r="196" spans="1:5" ht="15" customHeight="1">
      <c r="A196" s="73"/>
      <c r="B196" s="89" t="s">
        <v>129</v>
      </c>
      <c r="C196" s="66" t="s">
        <v>190</v>
      </c>
      <c r="D196" s="67">
        <v>1</v>
      </c>
      <c r="E196" s="68">
        <v>2.7909572983499998E-4</v>
      </c>
    </row>
    <row r="197" spans="1:5" ht="15" customHeight="1">
      <c r="A197" s="73"/>
      <c r="B197" s="91"/>
      <c r="C197" s="36" t="s">
        <v>28</v>
      </c>
      <c r="D197" s="35">
        <v>1</v>
      </c>
      <c r="E197" s="34">
        <v>2.7909572983499998E-4</v>
      </c>
    </row>
    <row r="198" spans="1:5" ht="15" customHeight="1">
      <c r="A198" s="73"/>
      <c r="B198" s="89" t="s">
        <v>130</v>
      </c>
      <c r="C198" s="66" t="s">
        <v>180</v>
      </c>
      <c r="D198" s="67">
        <v>6</v>
      </c>
      <c r="E198" s="68">
        <v>1.674574379012E-3</v>
      </c>
    </row>
    <row r="199" spans="1:5" ht="15" customHeight="1">
      <c r="A199" s="73"/>
      <c r="B199" s="90"/>
      <c r="C199" s="66" t="s">
        <v>184</v>
      </c>
      <c r="D199" s="67">
        <v>1</v>
      </c>
      <c r="E199" s="68">
        <v>2.7909572983499998E-4</v>
      </c>
    </row>
    <row r="200" spans="1:5" ht="15" customHeight="1">
      <c r="A200" s="73"/>
      <c r="B200" s="90"/>
      <c r="C200" s="66" t="s">
        <v>189</v>
      </c>
      <c r="D200" s="67">
        <v>1</v>
      </c>
      <c r="E200" s="68">
        <v>2.7909572983499998E-4</v>
      </c>
    </row>
    <row r="201" spans="1:5" ht="15" customHeight="1">
      <c r="A201" s="73"/>
      <c r="B201" s="90"/>
      <c r="C201" s="66" t="s">
        <v>181</v>
      </c>
      <c r="D201" s="67">
        <v>2</v>
      </c>
      <c r="E201" s="68">
        <v>5.5819145967100003E-4</v>
      </c>
    </row>
    <row r="202" spans="1:5" ht="15" customHeight="1">
      <c r="A202" s="73"/>
      <c r="B202" s="90"/>
      <c r="C202" s="66" t="s">
        <v>182</v>
      </c>
      <c r="D202" s="67">
        <v>4</v>
      </c>
      <c r="E202" s="68">
        <v>1.116382919341E-3</v>
      </c>
    </row>
    <row r="203" spans="1:5" ht="15" customHeight="1">
      <c r="A203" s="73"/>
      <c r="B203" s="90"/>
      <c r="C203" s="66" t="s">
        <v>183</v>
      </c>
      <c r="D203" s="67">
        <v>1</v>
      </c>
      <c r="E203" s="68">
        <v>2.7909572983499998E-4</v>
      </c>
    </row>
    <row r="204" spans="1:5" ht="15" customHeight="1">
      <c r="A204" s="73"/>
      <c r="B204" s="91"/>
      <c r="C204" s="36" t="s">
        <v>28</v>
      </c>
      <c r="D204" s="35">
        <v>15</v>
      </c>
      <c r="E204" s="34">
        <v>4.1864359475300003E-3</v>
      </c>
    </row>
    <row r="205" spans="1:5" ht="15" customHeight="1">
      <c r="A205" s="73"/>
      <c r="B205" s="89" t="s">
        <v>131</v>
      </c>
      <c r="C205" s="66" t="s">
        <v>180</v>
      </c>
      <c r="D205" s="67">
        <v>4</v>
      </c>
      <c r="E205" s="68">
        <v>1.116382919341E-3</v>
      </c>
    </row>
    <row r="206" spans="1:5" ht="15" customHeight="1">
      <c r="A206" s="73"/>
      <c r="B206" s="90"/>
      <c r="C206" s="66" t="s">
        <v>187</v>
      </c>
      <c r="D206" s="67">
        <v>2</v>
      </c>
      <c r="E206" s="68">
        <v>5.5819145967100003E-4</v>
      </c>
    </row>
    <row r="207" spans="1:5" ht="15" customHeight="1">
      <c r="A207" s="73"/>
      <c r="B207" s="90"/>
      <c r="C207" s="66" t="s">
        <v>184</v>
      </c>
      <c r="D207" s="67">
        <v>2</v>
      </c>
      <c r="E207" s="68">
        <v>5.5819145967100003E-4</v>
      </c>
    </row>
    <row r="208" spans="1:5" ht="15" customHeight="1">
      <c r="A208" s="73"/>
      <c r="B208" s="90"/>
      <c r="C208" s="66" t="s">
        <v>189</v>
      </c>
      <c r="D208" s="67">
        <v>1</v>
      </c>
      <c r="E208" s="68">
        <v>2.7909572983499998E-4</v>
      </c>
    </row>
    <row r="209" spans="1:5" ht="15" customHeight="1">
      <c r="A209" s="73"/>
      <c r="B209" s="90"/>
      <c r="C209" s="66" t="s">
        <v>181</v>
      </c>
      <c r="D209" s="67">
        <v>2</v>
      </c>
      <c r="E209" s="68">
        <v>5.5819145967100003E-4</v>
      </c>
    </row>
    <row r="210" spans="1:5" ht="15" customHeight="1">
      <c r="A210" s="73"/>
      <c r="B210" s="90"/>
      <c r="C210" s="66" t="s">
        <v>182</v>
      </c>
      <c r="D210" s="67">
        <v>5</v>
      </c>
      <c r="E210" s="68">
        <v>1.395478649177E-3</v>
      </c>
    </row>
    <row r="211" spans="1:5" ht="15" customHeight="1">
      <c r="A211" s="73"/>
      <c r="B211" s="90"/>
      <c r="C211" s="66" t="s">
        <v>183</v>
      </c>
      <c r="D211" s="67">
        <v>3</v>
      </c>
      <c r="E211" s="68">
        <v>8.3728718950600001E-4</v>
      </c>
    </row>
    <row r="212" spans="1:5" ht="15" customHeight="1">
      <c r="A212" s="73"/>
      <c r="B212" s="91"/>
      <c r="C212" s="36" t="s">
        <v>28</v>
      </c>
      <c r="D212" s="35">
        <v>19</v>
      </c>
      <c r="E212" s="34">
        <v>5.3028188668710003E-3</v>
      </c>
    </row>
    <row r="213" spans="1:5" ht="15" customHeight="1">
      <c r="A213" s="73"/>
      <c r="B213" s="89" t="s">
        <v>132</v>
      </c>
      <c r="C213" s="66" t="s">
        <v>179</v>
      </c>
      <c r="D213" s="67">
        <v>5</v>
      </c>
      <c r="E213" s="68">
        <v>1.395478649177E-3</v>
      </c>
    </row>
    <row r="214" spans="1:5" ht="15" customHeight="1">
      <c r="A214" s="73"/>
      <c r="B214" s="90"/>
      <c r="C214" s="66" t="s">
        <v>180</v>
      </c>
      <c r="D214" s="67">
        <v>77</v>
      </c>
      <c r="E214" s="68">
        <v>2.1490371197321001E-2</v>
      </c>
    </row>
    <row r="215" spans="1:5" ht="15" customHeight="1">
      <c r="A215" s="73"/>
      <c r="B215" s="90"/>
      <c r="C215" s="66" t="s">
        <v>187</v>
      </c>
      <c r="D215" s="67">
        <v>7</v>
      </c>
      <c r="E215" s="68">
        <v>1.9536701088469998E-3</v>
      </c>
    </row>
    <row r="216" spans="1:5" ht="15" customHeight="1">
      <c r="A216" s="73"/>
      <c r="B216" s="90"/>
      <c r="C216" s="66" t="s">
        <v>184</v>
      </c>
      <c r="D216" s="67">
        <v>5</v>
      </c>
      <c r="E216" s="68">
        <v>1.395478649177E-3</v>
      </c>
    </row>
    <row r="217" spans="1:5" ht="15" customHeight="1">
      <c r="A217" s="73"/>
      <c r="B217" s="90"/>
      <c r="C217" s="66" t="s">
        <v>185</v>
      </c>
      <c r="D217" s="67">
        <v>15</v>
      </c>
      <c r="E217" s="68">
        <v>4.1864359475300003E-3</v>
      </c>
    </row>
    <row r="218" spans="1:5" ht="15" customHeight="1">
      <c r="A218" s="73"/>
      <c r="B218" s="90"/>
      <c r="C218" s="66" t="s">
        <v>189</v>
      </c>
      <c r="D218" s="67">
        <v>4</v>
      </c>
      <c r="E218" s="68">
        <v>1.116382919341E-3</v>
      </c>
    </row>
    <row r="219" spans="1:5" ht="15" customHeight="1">
      <c r="A219" s="73"/>
      <c r="B219" s="90"/>
      <c r="C219" s="66" t="s">
        <v>181</v>
      </c>
      <c r="D219" s="67">
        <v>83</v>
      </c>
      <c r="E219" s="68">
        <v>2.3164945576333001E-2</v>
      </c>
    </row>
    <row r="220" spans="1:5" ht="15" customHeight="1">
      <c r="A220" s="73"/>
      <c r="B220" s="90"/>
      <c r="C220" s="66" t="s">
        <v>190</v>
      </c>
      <c r="D220" s="67">
        <v>4</v>
      </c>
      <c r="E220" s="68">
        <v>1.116382919341E-3</v>
      </c>
    </row>
    <row r="221" spans="1:5" ht="15" customHeight="1">
      <c r="A221" s="73"/>
      <c r="B221" s="90"/>
      <c r="C221" s="66" t="s">
        <v>182</v>
      </c>
      <c r="D221" s="67">
        <v>66</v>
      </c>
      <c r="E221" s="68">
        <v>1.8420318169132002E-2</v>
      </c>
    </row>
    <row r="222" spans="1:5" ht="15" customHeight="1">
      <c r="A222" s="73"/>
      <c r="B222" s="90"/>
      <c r="C222" s="66" t="s">
        <v>183</v>
      </c>
      <c r="D222" s="67">
        <v>7</v>
      </c>
      <c r="E222" s="68">
        <v>1.9536701088469998E-3</v>
      </c>
    </row>
    <row r="223" spans="1:5" ht="15" customHeight="1">
      <c r="A223" s="73"/>
      <c r="B223" s="91"/>
      <c r="C223" s="36" t="s">
        <v>28</v>
      </c>
      <c r="D223" s="35">
        <v>273</v>
      </c>
      <c r="E223" s="34">
        <v>7.6193134245045993E-2</v>
      </c>
    </row>
    <row r="224" spans="1:5" ht="15" customHeight="1">
      <c r="A224" s="73"/>
      <c r="B224" s="89" t="s">
        <v>133</v>
      </c>
      <c r="C224" s="66" t="s">
        <v>179</v>
      </c>
      <c r="D224" s="67">
        <v>1</v>
      </c>
      <c r="E224" s="68">
        <v>2.7909572983499998E-4</v>
      </c>
    </row>
    <row r="225" spans="1:5" ht="15" customHeight="1">
      <c r="A225" s="73"/>
      <c r="B225" s="90"/>
      <c r="C225" s="66" t="s">
        <v>180</v>
      </c>
      <c r="D225" s="67">
        <v>5</v>
      </c>
      <c r="E225" s="68">
        <v>1.395478649177E-3</v>
      </c>
    </row>
    <row r="226" spans="1:5" ht="15" customHeight="1">
      <c r="A226" s="73"/>
      <c r="B226" s="90"/>
      <c r="C226" s="66" t="s">
        <v>187</v>
      </c>
      <c r="D226" s="67">
        <v>1</v>
      </c>
      <c r="E226" s="68">
        <v>2.7909572983499998E-4</v>
      </c>
    </row>
    <row r="227" spans="1:5" ht="15" customHeight="1">
      <c r="A227" s="73"/>
      <c r="B227" s="90"/>
      <c r="C227" s="66" t="s">
        <v>184</v>
      </c>
      <c r="D227" s="67">
        <v>1</v>
      </c>
      <c r="E227" s="68">
        <v>2.7909572983499998E-4</v>
      </c>
    </row>
    <row r="228" spans="1:5" ht="15" customHeight="1">
      <c r="A228" s="73"/>
      <c r="B228" s="90"/>
      <c r="C228" s="66" t="s">
        <v>189</v>
      </c>
      <c r="D228" s="67">
        <v>1</v>
      </c>
      <c r="E228" s="68">
        <v>2.7909572983499998E-4</v>
      </c>
    </row>
    <row r="229" spans="1:5" ht="15" customHeight="1">
      <c r="A229" s="73"/>
      <c r="B229" s="90"/>
      <c r="C229" s="66" t="s">
        <v>181</v>
      </c>
      <c r="D229" s="67">
        <v>11</v>
      </c>
      <c r="E229" s="68">
        <v>3.0700530281889999E-3</v>
      </c>
    </row>
    <row r="230" spans="1:5" ht="15" customHeight="1">
      <c r="A230" s="73"/>
      <c r="B230" s="90"/>
      <c r="C230" s="66" t="s">
        <v>182</v>
      </c>
      <c r="D230" s="67">
        <v>5</v>
      </c>
      <c r="E230" s="68">
        <v>1.395478649177E-3</v>
      </c>
    </row>
    <row r="231" spans="1:5" ht="15" customHeight="1">
      <c r="A231" s="73"/>
      <c r="B231" s="90"/>
      <c r="C231" s="66" t="s">
        <v>183</v>
      </c>
      <c r="D231" s="67">
        <v>1</v>
      </c>
      <c r="E231" s="68">
        <v>2.7909572983499998E-4</v>
      </c>
    </row>
    <row r="232" spans="1:5" ht="15" customHeight="1">
      <c r="A232" s="73"/>
      <c r="B232" s="91"/>
      <c r="C232" s="36" t="s">
        <v>28</v>
      </c>
      <c r="D232" s="35">
        <v>26</v>
      </c>
      <c r="E232" s="34">
        <v>7.2564889757189997E-3</v>
      </c>
    </row>
    <row r="233" spans="1:5" ht="15" customHeight="1">
      <c r="A233" s="73"/>
      <c r="B233" s="89" t="s">
        <v>134</v>
      </c>
      <c r="C233" s="66" t="s">
        <v>180</v>
      </c>
      <c r="D233" s="67">
        <v>5</v>
      </c>
      <c r="E233" s="68">
        <v>1.395478649177E-3</v>
      </c>
    </row>
    <row r="234" spans="1:5" ht="15" customHeight="1">
      <c r="A234" s="73"/>
      <c r="B234" s="90"/>
      <c r="C234" s="66" t="s">
        <v>181</v>
      </c>
      <c r="D234" s="67">
        <v>1</v>
      </c>
      <c r="E234" s="68">
        <v>2.7909572983499998E-4</v>
      </c>
    </row>
    <row r="235" spans="1:5" ht="15" customHeight="1">
      <c r="A235" s="73"/>
      <c r="B235" s="90"/>
      <c r="C235" s="66" t="s">
        <v>182</v>
      </c>
      <c r="D235" s="67">
        <v>1</v>
      </c>
      <c r="E235" s="68">
        <v>2.7909572983499998E-4</v>
      </c>
    </row>
    <row r="236" spans="1:5" ht="15" customHeight="1">
      <c r="A236" s="73"/>
      <c r="B236" s="91"/>
      <c r="C236" s="36" t="s">
        <v>28</v>
      </c>
      <c r="D236" s="35">
        <v>7</v>
      </c>
      <c r="E236" s="34">
        <v>1.9536701088469998E-3</v>
      </c>
    </row>
    <row r="237" spans="1:5" ht="15" customHeight="1">
      <c r="A237" s="73"/>
      <c r="B237" s="89" t="s">
        <v>84</v>
      </c>
      <c r="C237" s="66" t="s">
        <v>179</v>
      </c>
      <c r="D237" s="67">
        <v>4</v>
      </c>
      <c r="E237" s="68">
        <v>1.116382919341E-3</v>
      </c>
    </row>
    <row r="238" spans="1:5" ht="15" customHeight="1">
      <c r="A238" s="73"/>
      <c r="B238" s="90"/>
      <c r="C238" s="66" t="s">
        <v>180</v>
      </c>
      <c r="D238" s="67">
        <v>25</v>
      </c>
      <c r="E238" s="68">
        <v>6.9773932458829999E-3</v>
      </c>
    </row>
    <row r="239" spans="1:5" ht="15" customHeight="1">
      <c r="A239" s="73"/>
      <c r="B239" s="90"/>
      <c r="C239" s="66" t="s">
        <v>187</v>
      </c>
      <c r="D239" s="67">
        <v>4</v>
      </c>
      <c r="E239" s="68">
        <v>1.116382919341E-3</v>
      </c>
    </row>
    <row r="240" spans="1:5" ht="15" customHeight="1">
      <c r="A240" s="73"/>
      <c r="B240" s="90"/>
      <c r="C240" s="66" t="s">
        <v>184</v>
      </c>
      <c r="D240" s="67">
        <v>2</v>
      </c>
      <c r="E240" s="68">
        <v>5.5819145967100003E-4</v>
      </c>
    </row>
    <row r="241" spans="1:5" ht="15" customHeight="1">
      <c r="A241" s="73"/>
      <c r="B241" s="90"/>
      <c r="C241" s="66" t="s">
        <v>185</v>
      </c>
      <c r="D241" s="67">
        <v>2</v>
      </c>
      <c r="E241" s="68">
        <v>5.5819145967100003E-4</v>
      </c>
    </row>
    <row r="242" spans="1:5" ht="15" customHeight="1">
      <c r="A242" s="73"/>
      <c r="B242" s="90"/>
      <c r="C242" s="66" t="s">
        <v>189</v>
      </c>
      <c r="D242" s="67">
        <v>2</v>
      </c>
      <c r="E242" s="68">
        <v>5.5819145967100003E-4</v>
      </c>
    </row>
    <row r="243" spans="1:5" ht="15" customHeight="1">
      <c r="A243" s="73"/>
      <c r="B243" s="90"/>
      <c r="C243" s="66" t="s">
        <v>181</v>
      </c>
      <c r="D243" s="67">
        <v>15</v>
      </c>
      <c r="E243" s="68">
        <v>4.1864359475300003E-3</v>
      </c>
    </row>
    <row r="244" spans="1:5" ht="15" customHeight="1">
      <c r="A244" s="73"/>
      <c r="B244" s="90"/>
      <c r="C244" s="66" t="s">
        <v>190</v>
      </c>
      <c r="D244" s="67">
        <v>3</v>
      </c>
      <c r="E244" s="68">
        <v>8.3728718950600001E-4</v>
      </c>
    </row>
    <row r="245" spans="1:5" ht="15" customHeight="1">
      <c r="A245" s="73"/>
      <c r="B245" s="90"/>
      <c r="C245" s="66" t="s">
        <v>182</v>
      </c>
      <c r="D245" s="67">
        <v>31</v>
      </c>
      <c r="E245" s="68">
        <v>8.6519676248950003E-3</v>
      </c>
    </row>
    <row r="246" spans="1:5" ht="15" customHeight="1">
      <c r="A246" s="73"/>
      <c r="B246" s="90"/>
      <c r="C246" s="66" t="s">
        <v>183</v>
      </c>
      <c r="D246" s="67">
        <v>7</v>
      </c>
      <c r="E246" s="68">
        <v>1.9536701088469998E-3</v>
      </c>
    </row>
    <row r="247" spans="1:5" ht="15" customHeight="1">
      <c r="A247" s="73"/>
      <c r="B247" s="91"/>
      <c r="C247" s="36" t="s">
        <v>28</v>
      </c>
      <c r="D247" s="35">
        <v>95</v>
      </c>
      <c r="E247" s="34">
        <v>2.6514094334356999E-2</v>
      </c>
    </row>
    <row r="248" spans="1:5" ht="15" customHeight="1">
      <c r="A248" s="73"/>
      <c r="B248" s="89" t="s">
        <v>135</v>
      </c>
      <c r="C248" s="66" t="s">
        <v>189</v>
      </c>
      <c r="D248" s="67">
        <v>1</v>
      </c>
      <c r="E248" s="68">
        <v>2.7909572983499998E-4</v>
      </c>
    </row>
    <row r="249" spans="1:5" ht="15" customHeight="1">
      <c r="A249" s="73"/>
      <c r="B249" s="91"/>
      <c r="C249" s="36" t="s">
        <v>28</v>
      </c>
      <c r="D249" s="35">
        <v>1</v>
      </c>
      <c r="E249" s="34">
        <v>2.7909572983499998E-4</v>
      </c>
    </row>
    <row r="250" spans="1:5" ht="15" customHeight="1">
      <c r="A250" s="73"/>
      <c r="B250" s="89" t="s">
        <v>136</v>
      </c>
      <c r="C250" s="66" t="s">
        <v>180</v>
      </c>
      <c r="D250" s="67">
        <v>6</v>
      </c>
      <c r="E250" s="68">
        <v>1.674574379012E-3</v>
      </c>
    </row>
    <row r="251" spans="1:5" ht="15" customHeight="1">
      <c r="A251" s="73"/>
      <c r="B251" s="90"/>
      <c r="C251" s="66" t="s">
        <v>181</v>
      </c>
      <c r="D251" s="67">
        <v>5</v>
      </c>
      <c r="E251" s="68">
        <v>1.395478649177E-3</v>
      </c>
    </row>
    <row r="252" spans="1:5" ht="15" customHeight="1">
      <c r="A252" s="73"/>
      <c r="B252" s="90"/>
      <c r="C252" s="66" t="s">
        <v>190</v>
      </c>
      <c r="D252" s="67">
        <v>1</v>
      </c>
      <c r="E252" s="68">
        <v>2.7909572983499998E-4</v>
      </c>
    </row>
    <row r="253" spans="1:5" ht="15" customHeight="1">
      <c r="A253" s="73"/>
      <c r="B253" s="90"/>
      <c r="C253" s="66" t="s">
        <v>182</v>
      </c>
      <c r="D253" s="67">
        <v>1</v>
      </c>
      <c r="E253" s="68">
        <v>2.7909572983499998E-4</v>
      </c>
    </row>
    <row r="254" spans="1:5" ht="15" customHeight="1">
      <c r="A254" s="73"/>
      <c r="B254" s="91"/>
      <c r="C254" s="36" t="s">
        <v>28</v>
      </c>
      <c r="D254" s="35">
        <v>13</v>
      </c>
      <c r="E254" s="34">
        <v>3.6282444878589998E-3</v>
      </c>
    </row>
    <row r="255" spans="1:5" ht="15" customHeight="1">
      <c r="A255" s="73"/>
      <c r="B255" s="89" t="s">
        <v>137</v>
      </c>
      <c r="C255" s="66" t="s">
        <v>180</v>
      </c>
      <c r="D255" s="67">
        <v>3</v>
      </c>
      <c r="E255" s="68">
        <v>8.3728718950600001E-4</v>
      </c>
    </row>
    <row r="256" spans="1:5" ht="15" customHeight="1">
      <c r="A256" s="73"/>
      <c r="B256" s="91"/>
      <c r="C256" s="36" t="s">
        <v>28</v>
      </c>
      <c r="D256" s="35">
        <v>3</v>
      </c>
      <c r="E256" s="34">
        <v>8.3728718950600001E-4</v>
      </c>
    </row>
    <row r="257" spans="1:5" ht="15" customHeight="1">
      <c r="A257" s="73"/>
      <c r="B257" s="87" t="s">
        <v>28</v>
      </c>
      <c r="C257" s="88"/>
      <c r="D257" s="64">
        <v>3583</v>
      </c>
      <c r="E257" s="65">
        <v>1</v>
      </c>
    </row>
    <row r="259" spans="1:5" ht="15" customHeight="1">
      <c r="B259" s="15" t="s">
        <v>47</v>
      </c>
    </row>
    <row r="260" spans="1:5" ht="15" customHeight="1">
      <c r="B260" s="17" t="s">
        <v>17</v>
      </c>
    </row>
    <row r="261" spans="1:5" ht="15" customHeight="1">
      <c r="B261" s="16" t="s">
        <v>48</v>
      </c>
    </row>
    <row r="262" spans="1:5" ht="15" customHeight="1">
      <c r="B262" s="15" t="s">
        <v>16</v>
      </c>
    </row>
    <row r="263" spans="1:5" ht="15" customHeight="1">
      <c r="B263" s="15" t="s">
        <v>49</v>
      </c>
    </row>
  </sheetData>
  <mergeCells count="43">
    <mergeCell ref="B7:E8"/>
    <mergeCell ref="B116:B117"/>
    <mergeCell ref="B118:B123"/>
    <mergeCell ref="B132:B137"/>
    <mergeCell ref="B156:B159"/>
    <mergeCell ref="B10:B15"/>
    <mergeCell ref="B16:B17"/>
    <mergeCell ref="B18:B26"/>
    <mergeCell ref="B27:B32"/>
    <mergeCell ref="B33:B44"/>
    <mergeCell ref="B45:B51"/>
    <mergeCell ref="B52:B58"/>
    <mergeCell ref="B59:B65"/>
    <mergeCell ref="B66:B75"/>
    <mergeCell ref="B76:B85"/>
    <mergeCell ref="B86:B93"/>
    <mergeCell ref="B94:B100"/>
    <mergeCell ref="B101:B107"/>
    <mergeCell ref="B108:B111"/>
    <mergeCell ref="B112:B115"/>
    <mergeCell ref="B124:B129"/>
    <mergeCell ref="B130:B131"/>
    <mergeCell ref="B138:B141"/>
    <mergeCell ref="B142:B152"/>
    <mergeCell ref="B153:B155"/>
    <mergeCell ref="B255:B256"/>
    <mergeCell ref="B160:B162"/>
    <mergeCell ref="B163:B166"/>
    <mergeCell ref="B167:B175"/>
    <mergeCell ref="B176:B180"/>
    <mergeCell ref="B181:B185"/>
    <mergeCell ref="B213:B223"/>
    <mergeCell ref="B186:B193"/>
    <mergeCell ref="B194:B195"/>
    <mergeCell ref="B196:B197"/>
    <mergeCell ref="B198:B204"/>
    <mergeCell ref="B205:B212"/>
    <mergeCell ref="B257:C257"/>
    <mergeCell ref="B224:B232"/>
    <mergeCell ref="B233:B236"/>
    <mergeCell ref="B237:B247"/>
    <mergeCell ref="B248:B249"/>
    <mergeCell ref="B250:B25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>
    <tabColor rgb="FFFFFF00"/>
  </sheetPr>
  <dimension ref="A1:E356"/>
  <sheetViews>
    <sheetView showGridLines="0" view="pageBreakPreview" zoomScale="85" zoomScaleNormal="100" zoomScaleSheetLayoutView="85" workbookViewId="0">
      <selection activeCell="B347" sqref="B347:E350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1.4531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92"/>
      <c r="C7" s="92"/>
      <c r="D7" s="92"/>
      <c r="E7" s="92"/>
    </row>
    <row r="8" spans="1:5" s="41" customFormat="1" ht="33" customHeight="1">
      <c r="A8" s="42"/>
      <c r="B8" s="92"/>
      <c r="C8" s="92"/>
      <c r="D8" s="92"/>
      <c r="E8" s="92"/>
    </row>
    <row r="9" spans="1:5" s="25" customFormat="1" ht="40.5" customHeight="1">
      <c r="B9" s="38" t="s">
        <v>21</v>
      </c>
      <c r="C9" s="40" t="s">
        <v>23</v>
      </c>
      <c r="D9" s="39" t="s">
        <v>19</v>
      </c>
      <c r="E9" s="38" t="s">
        <v>18</v>
      </c>
    </row>
    <row r="10" spans="1:5" s="73" customFormat="1" ht="14">
      <c r="B10" s="89" t="s">
        <v>95</v>
      </c>
      <c r="C10" s="66" t="s">
        <v>180</v>
      </c>
      <c r="D10" s="67">
        <v>1</v>
      </c>
      <c r="E10" s="68">
        <v>2.7909572983499998E-4</v>
      </c>
    </row>
    <row r="11" spans="1:5" s="73" customFormat="1" ht="14">
      <c r="B11" s="90"/>
      <c r="C11" s="66" t="s">
        <v>182</v>
      </c>
      <c r="D11" s="67">
        <v>1</v>
      </c>
      <c r="E11" s="68">
        <v>2.7909572983499998E-4</v>
      </c>
    </row>
    <row r="12" spans="1:5" s="73" customFormat="1" ht="14">
      <c r="B12" s="91"/>
      <c r="C12" s="36" t="s">
        <v>28</v>
      </c>
      <c r="D12" s="35">
        <v>2</v>
      </c>
      <c r="E12" s="34">
        <v>5.5819145967100003E-4</v>
      </c>
    </row>
    <row r="13" spans="1:5" s="73" customFormat="1" ht="14">
      <c r="B13" s="89" t="s">
        <v>70</v>
      </c>
      <c r="C13" s="66" t="s">
        <v>179</v>
      </c>
      <c r="D13" s="67">
        <v>3</v>
      </c>
      <c r="E13" s="68">
        <v>8.3728718950600001E-4</v>
      </c>
    </row>
    <row r="14" spans="1:5" s="73" customFormat="1" ht="14">
      <c r="B14" s="90"/>
      <c r="C14" s="66" t="s">
        <v>180</v>
      </c>
      <c r="D14" s="67">
        <v>12</v>
      </c>
      <c r="E14" s="68">
        <v>3.349148758024E-3</v>
      </c>
    </row>
    <row r="15" spans="1:5" s="73" customFormat="1" ht="14">
      <c r="B15" s="90"/>
      <c r="C15" s="66" t="s">
        <v>184</v>
      </c>
      <c r="D15" s="67">
        <v>3</v>
      </c>
      <c r="E15" s="68">
        <v>8.3728718950600001E-4</v>
      </c>
    </row>
    <row r="16" spans="1:5" s="73" customFormat="1" ht="14">
      <c r="B16" s="90"/>
      <c r="C16" s="66" t="s">
        <v>181</v>
      </c>
      <c r="D16" s="67">
        <v>11</v>
      </c>
      <c r="E16" s="68">
        <v>3.0700530281889999E-3</v>
      </c>
    </row>
    <row r="17" spans="2:5" s="73" customFormat="1" ht="14">
      <c r="B17" s="90"/>
      <c r="C17" s="66" t="s">
        <v>182</v>
      </c>
      <c r="D17" s="67">
        <v>8</v>
      </c>
      <c r="E17" s="68">
        <v>2.2327658386830001E-3</v>
      </c>
    </row>
    <row r="18" spans="2:5" s="73" customFormat="1" ht="14">
      <c r="B18" s="90"/>
      <c r="C18" s="66" t="s">
        <v>183</v>
      </c>
      <c r="D18" s="67">
        <v>3</v>
      </c>
      <c r="E18" s="68">
        <v>8.3728718950600001E-4</v>
      </c>
    </row>
    <row r="19" spans="2:5" s="73" customFormat="1" ht="14">
      <c r="B19" s="91"/>
      <c r="C19" s="36" t="s">
        <v>28</v>
      </c>
      <c r="D19" s="35">
        <v>40</v>
      </c>
      <c r="E19" s="34">
        <v>1.1163829193412999E-2</v>
      </c>
    </row>
    <row r="20" spans="2:5" s="73" customFormat="1" ht="14">
      <c r="B20" s="89" t="s">
        <v>73</v>
      </c>
      <c r="C20" s="66" t="s">
        <v>180</v>
      </c>
      <c r="D20" s="67">
        <v>4</v>
      </c>
      <c r="E20" s="68">
        <v>1.116382919341E-3</v>
      </c>
    </row>
    <row r="21" spans="2:5" s="73" customFormat="1" ht="14">
      <c r="B21" s="90"/>
      <c r="C21" s="66" t="s">
        <v>187</v>
      </c>
      <c r="D21" s="67">
        <v>1</v>
      </c>
      <c r="E21" s="68">
        <v>2.7909572983499998E-4</v>
      </c>
    </row>
    <row r="22" spans="2:5" s="73" customFormat="1" ht="14">
      <c r="B22" s="90"/>
      <c r="C22" s="66" t="s">
        <v>189</v>
      </c>
      <c r="D22" s="67">
        <v>1</v>
      </c>
      <c r="E22" s="68">
        <v>2.7909572983499998E-4</v>
      </c>
    </row>
    <row r="23" spans="2:5" s="73" customFormat="1" ht="14">
      <c r="B23" s="90"/>
      <c r="C23" s="66" t="s">
        <v>181</v>
      </c>
      <c r="D23" s="67">
        <v>10</v>
      </c>
      <c r="E23" s="68">
        <v>2.790957298353E-3</v>
      </c>
    </row>
    <row r="24" spans="2:5" s="73" customFormat="1" ht="14">
      <c r="B24" s="90"/>
      <c r="C24" s="66" t="s">
        <v>182</v>
      </c>
      <c r="D24" s="67">
        <v>7</v>
      </c>
      <c r="E24" s="68">
        <v>1.9536701088469998E-3</v>
      </c>
    </row>
    <row r="25" spans="2:5" s="73" customFormat="1" ht="14">
      <c r="B25" s="91"/>
      <c r="C25" s="36" t="s">
        <v>28</v>
      </c>
      <c r="D25" s="35">
        <v>23</v>
      </c>
      <c r="E25" s="34">
        <v>6.4192017862130003E-3</v>
      </c>
    </row>
    <row r="26" spans="2:5" s="73" customFormat="1" ht="14">
      <c r="B26" s="89" t="s">
        <v>59</v>
      </c>
      <c r="C26" s="66" t="s">
        <v>179</v>
      </c>
      <c r="D26" s="67">
        <v>2</v>
      </c>
      <c r="E26" s="68">
        <v>5.5819145967100003E-4</v>
      </c>
    </row>
    <row r="27" spans="2:5" s="73" customFormat="1" ht="14">
      <c r="B27" s="90"/>
      <c r="C27" s="66" t="s">
        <v>180</v>
      </c>
      <c r="D27" s="67">
        <v>23</v>
      </c>
      <c r="E27" s="68">
        <v>6.4192017862130003E-3</v>
      </c>
    </row>
    <row r="28" spans="2:5" s="73" customFormat="1" ht="14">
      <c r="B28" s="90"/>
      <c r="C28" s="66" t="s">
        <v>187</v>
      </c>
      <c r="D28" s="67">
        <v>1</v>
      </c>
      <c r="E28" s="68">
        <v>2.7909572983499998E-4</v>
      </c>
    </row>
    <row r="29" spans="2:5" s="73" customFormat="1" ht="14">
      <c r="B29" s="90"/>
      <c r="C29" s="66" t="s">
        <v>184</v>
      </c>
      <c r="D29" s="67">
        <v>3</v>
      </c>
      <c r="E29" s="68">
        <v>8.3728718950600001E-4</v>
      </c>
    </row>
    <row r="30" spans="2:5" s="73" customFormat="1" ht="14">
      <c r="B30" s="90"/>
      <c r="C30" s="66" t="s">
        <v>185</v>
      </c>
      <c r="D30" s="67">
        <v>2</v>
      </c>
      <c r="E30" s="68">
        <v>5.5819145967100003E-4</v>
      </c>
    </row>
    <row r="31" spans="2:5" s="73" customFormat="1" ht="14">
      <c r="B31" s="90"/>
      <c r="C31" s="66" t="s">
        <v>189</v>
      </c>
      <c r="D31" s="67">
        <v>2</v>
      </c>
      <c r="E31" s="68">
        <v>5.5819145967100003E-4</v>
      </c>
    </row>
    <row r="32" spans="2:5" s="73" customFormat="1" ht="14">
      <c r="B32" s="90"/>
      <c r="C32" s="66" t="s">
        <v>181</v>
      </c>
      <c r="D32" s="67">
        <v>15</v>
      </c>
      <c r="E32" s="68">
        <v>4.1864359475300003E-3</v>
      </c>
    </row>
    <row r="33" spans="2:5" s="73" customFormat="1" ht="14">
      <c r="B33" s="90"/>
      <c r="C33" s="66" t="s">
        <v>190</v>
      </c>
      <c r="D33" s="67">
        <v>6</v>
      </c>
      <c r="E33" s="68">
        <v>1.674574379012E-3</v>
      </c>
    </row>
    <row r="34" spans="2:5" s="73" customFormat="1" ht="14">
      <c r="B34" s="90"/>
      <c r="C34" s="66" t="s">
        <v>182</v>
      </c>
      <c r="D34" s="67">
        <v>28</v>
      </c>
      <c r="E34" s="68">
        <v>7.8146804353890001E-3</v>
      </c>
    </row>
    <row r="35" spans="2:5" s="73" customFormat="1" ht="14">
      <c r="B35" s="90"/>
      <c r="C35" s="66" t="s">
        <v>183</v>
      </c>
      <c r="D35" s="67">
        <v>6</v>
      </c>
      <c r="E35" s="68">
        <v>1.674574379012E-3</v>
      </c>
    </row>
    <row r="36" spans="2:5" s="73" customFormat="1" ht="14">
      <c r="B36" s="91"/>
      <c r="C36" s="36" t="s">
        <v>28</v>
      </c>
      <c r="D36" s="35">
        <v>88</v>
      </c>
      <c r="E36" s="34">
        <v>2.4560424225509001E-2</v>
      </c>
    </row>
    <row r="37" spans="2:5" s="73" customFormat="1" ht="14">
      <c r="B37" s="89" t="s">
        <v>83</v>
      </c>
      <c r="C37" s="66" t="s">
        <v>185</v>
      </c>
      <c r="D37" s="67">
        <v>1</v>
      </c>
      <c r="E37" s="68">
        <v>2.7909572983499998E-4</v>
      </c>
    </row>
    <row r="38" spans="2:5" s="73" customFormat="1" ht="14">
      <c r="B38" s="90"/>
      <c r="C38" s="66" t="s">
        <v>181</v>
      </c>
      <c r="D38" s="67">
        <v>6</v>
      </c>
      <c r="E38" s="68">
        <v>1.674574379012E-3</v>
      </c>
    </row>
    <row r="39" spans="2:5" s="73" customFormat="1" ht="14">
      <c r="B39" s="90"/>
      <c r="C39" s="66" t="s">
        <v>190</v>
      </c>
      <c r="D39" s="67">
        <v>1</v>
      </c>
      <c r="E39" s="68">
        <v>2.7909572983499998E-4</v>
      </c>
    </row>
    <row r="40" spans="2:5" s="73" customFormat="1" ht="14">
      <c r="B40" s="90"/>
      <c r="C40" s="66" t="s">
        <v>183</v>
      </c>
      <c r="D40" s="67">
        <v>1</v>
      </c>
      <c r="E40" s="68">
        <v>2.7909572983499998E-4</v>
      </c>
    </row>
    <row r="41" spans="2:5" s="73" customFormat="1" ht="14">
      <c r="B41" s="91"/>
      <c r="C41" s="36" t="s">
        <v>28</v>
      </c>
      <c r="D41" s="35">
        <v>9</v>
      </c>
      <c r="E41" s="34">
        <v>2.5118615685179998E-3</v>
      </c>
    </row>
    <row r="42" spans="2:5" s="73" customFormat="1" ht="14">
      <c r="B42" s="89" t="s">
        <v>93</v>
      </c>
      <c r="C42" s="66" t="s">
        <v>180</v>
      </c>
      <c r="D42" s="67">
        <v>1</v>
      </c>
      <c r="E42" s="68">
        <v>2.7909572983499998E-4</v>
      </c>
    </row>
    <row r="43" spans="2:5" s="73" customFormat="1" ht="14">
      <c r="B43" s="90"/>
      <c r="C43" s="66" t="s">
        <v>187</v>
      </c>
      <c r="D43" s="67">
        <v>1</v>
      </c>
      <c r="E43" s="68">
        <v>2.7909572983499998E-4</v>
      </c>
    </row>
    <row r="44" spans="2:5" s="73" customFormat="1" ht="14">
      <c r="B44" s="90"/>
      <c r="C44" s="66" t="s">
        <v>185</v>
      </c>
      <c r="D44" s="67">
        <v>1</v>
      </c>
      <c r="E44" s="68">
        <v>2.7909572983499998E-4</v>
      </c>
    </row>
    <row r="45" spans="2:5" s="73" customFormat="1" ht="14">
      <c r="B45" s="91"/>
      <c r="C45" s="36" t="s">
        <v>28</v>
      </c>
      <c r="D45" s="35">
        <v>3</v>
      </c>
      <c r="E45" s="34">
        <v>8.3728718950600001E-4</v>
      </c>
    </row>
    <row r="46" spans="2:5" s="73" customFormat="1" ht="14">
      <c r="B46" s="89" t="s">
        <v>94</v>
      </c>
      <c r="C46" s="66" t="s">
        <v>180</v>
      </c>
      <c r="D46" s="67">
        <v>1</v>
      </c>
      <c r="E46" s="68">
        <v>2.7909572983499998E-4</v>
      </c>
    </row>
    <row r="47" spans="2:5" s="73" customFormat="1" ht="14">
      <c r="B47" s="90"/>
      <c r="C47" s="66" t="s">
        <v>182</v>
      </c>
      <c r="D47" s="67">
        <v>2</v>
      </c>
      <c r="E47" s="68">
        <v>5.5819145967100003E-4</v>
      </c>
    </row>
    <row r="48" spans="2:5" s="73" customFormat="1" ht="14">
      <c r="B48" s="91"/>
      <c r="C48" s="36" t="s">
        <v>28</v>
      </c>
      <c r="D48" s="35">
        <v>3</v>
      </c>
      <c r="E48" s="34">
        <v>8.3728718950600001E-4</v>
      </c>
    </row>
    <row r="49" spans="2:5" s="73" customFormat="1" ht="14">
      <c r="B49" s="89" t="s">
        <v>55</v>
      </c>
      <c r="C49" s="66" t="s">
        <v>179</v>
      </c>
      <c r="D49" s="67">
        <v>4</v>
      </c>
      <c r="E49" s="68">
        <v>1.116382919341E-3</v>
      </c>
    </row>
    <row r="50" spans="2:5" s="73" customFormat="1" ht="14">
      <c r="B50" s="90"/>
      <c r="C50" s="66" t="s">
        <v>180</v>
      </c>
      <c r="D50" s="67">
        <v>37</v>
      </c>
      <c r="E50" s="68">
        <v>1.0326542003907001E-2</v>
      </c>
    </row>
    <row r="51" spans="2:5" s="73" customFormat="1" ht="14">
      <c r="B51" s="90"/>
      <c r="C51" s="66" t="s">
        <v>187</v>
      </c>
      <c r="D51" s="67">
        <v>5</v>
      </c>
      <c r="E51" s="68">
        <v>1.395478649177E-3</v>
      </c>
    </row>
    <row r="52" spans="2:5" s="73" customFormat="1" ht="14">
      <c r="B52" s="90"/>
      <c r="C52" s="66" t="s">
        <v>184</v>
      </c>
      <c r="D52" s="67">
        <v>2</v>
      </c>
      <c r="E52" s="68">
        <v>5.5819145967100003E-4</v>
      </c>
    </row>
    <row r="53" spans="2:5" s="73" customFormat="1" ht="14">
      <c r="B53" s="90"/>
      <c r="C53" s="66" t="s">
        <v>185</v>
      </c>
      <c r="D53" s="67">
        <v>1</v>
      </c>
      <c r="E53" s="68">
        <v>2.7909572983499998E-4</v>
      </c>
    </row>
    <row r="54" spans="2:5" s="73" customFormat="1" ht="14">
      <c r="B54" s="90"/>
      <c r="C54" s="66" t="s">
        <v>181</v>
      </c>
      <c r="D54" s="67">
        <v>50</v>
      </c>
      <c r="E54" s="68">
        <v>1.3954786491767001E-2</v>
      </c>
    </row>
    <row r="55" spans="2:5" s="73" customFormat="1" ht="14">
      <c r="B55" s="90"/>
      <c r="C55" s="66" t="s">
        <v>190</v>
      </c>
      <c r="D55" s="67">
        <v>11</v>
      </c>
      <c r="E55" s="68">
        <v>3.0700530281889999E-3</v>
      </c>
    </row>
    <row r="56" spans="2:5" s="73" customFormat="1" ht="14">
      <c r="B56" s="90"/>
      <c r="C56" s="66" t="s">
        <v>182</v>
      </c>
      <c r="D56" s="67">
        <v>56</v>
      </c>
      <c r="E56" s="68">
        <v>1.5629360870778999E-2</v>
      </c>
    </row>
    <row r="57" spans="2:5" s="73" customFormat="1" ht="14">
      <c r="B57" s="90"/>
      <c r="C57" s="66" t="s">
        <v>183</v>
      </c>
      <c r="D57" s="67">
        <v>6</v>
      </c>
      <c r="E57" s="68">
        <v>1.674574379012E-3</v>
      </c>
    </row>
    <row r="58" spans="2:5" s="73" customFormat="1" ht="14">
      <c r="B58" s="91"/>
      <c r="C58" s="36" t="s">
        <v>28</v>
      </c>
      <c r="D58" s="35">
        <v>172</v>
      </c>
      <c r="E58" s="34">
        <v>4.8004465531676997E-2</v>
      </c>
    </row>
    <row r="59" spans="2:5" s="73" customFormat="1" ht="14">
      <c r="B59" s="89" t="s">
        <v>58</v>
      </c>
      <c r="C59" s="66" t="s">
        <v>179</v>
      </c>
      <c r="D59" s="67">
        <v>1</v>
      </c>
      <c r="E59" s="68">
        <v>2.7909572983499998E-4</v>
      </c>
    </row>
    <row r="60" spans="2:5" s="73" customFormat="1" ht="14">
      <c r="B60" s="90"/>
      <c r="C60" s="66" t="s">
        <v>180</v>
      </c>
      <c r="D60" s="67">
        <v>27</v>
      </c>
      <c r="E60" s="68">
        <v>7.5355847055540003E-3</v>
      </c>
    </row>
    <row r="61" spans="2:5" s="73" customFormat="1" ht="14">
      <c r="B61" s="90"/>
      <c r="C61" s="66" t="s">
        <v>187</v>
      </c>
      <c r="D61" s="67">
        <v>5</v>
      </c>
      <c r="E61" s="68">
        <v>1.395478649177E-3</v>
      </c>
    </row>
    <row r="62" spans="2:5" s="73" customFormat="1" ht="14">
      <c r="B62" s="90"/>
      <c r="C62" s="66" t="s">
        <v>184</v>
      </c>
      <c r="D62" s="67">
        <v>2</v>
      </c>
      <c r="E62" s="68">
        <v>5.5819145967100003E-4</v>
      </c>
    </row>
    <row r="63" spans="2:5" s="73" customFormat="1" ht="14">
      <c r="B63" s="90"/>
      <c r="C63" s="66" t="s">
        <v>185</v>
      </c>
      <c r="D63" s="67">
        <v>10</v>
      </c>
      <c r="E63" s="68">
        <v>2.790957298353E-3</v>
      </c>
    </row>
    <row r="64" spans="2:5" s="73" customFormat="1" ht="14">
      <c r="B64" s="90"/>
      <c r="C64" s="66" t="s">
        <v>181</v>
      </c>
      <c r="D64" s="67">
        <v>44</v>
      </c>
      <c r="E64" s="68">
        <v>1.2280212112755E-2</v>
      </c>
    </row>
    <row r="65" spans="2:5" s="73" customFormat="1" ht="14">
      <c r="B65" s="90"/>
      <c r="C65" s="66" t="s">
        <v>190</v>
      </c>
      <c r="D65" s="67">
        <v>3</v>
      </c>
      <c r="E65" s="68">
        <v>8.3728718950600001E-4</v>
      </c>
    </row>
    <row r="66" spans="2:5" s="73" customFormat="1" ht="14">
      <c r="B66" s="90"/>
      <c r="C66" s="66" t="s">
        <v>182</v>
      </c>
      <c r="D66" s="67">
        <v>27</v>
      </c>
      <c r="E66" s="68">
        <v>7.5355847055540003E-3</v>
      </c>
    </row>
    <row r="67" spans="2:5" s="73" customFormat="1" ht="14">
      <c r="B67" s="90"/>
      <c r="C67" s="66" t="s">
        <v>183</v>
      </c>
      <c r="D67" s="67">
        <v>3</v>
      </c>
      <c r="E67" s="68">
        <v>8.3728718950600001E-4</v>
      </c>
    </row>
    <row r="68" spans="2:5" s="73" customFormat="1" ht="14">
      <c r="B68" s="91"/>
      <c r="C68" s="36" t="s">
        <v>28</v>
      </c>
      <c r="D68" s="35">
        <v>122</v>
      </c>
      <c r="E68" s="34">
        <v>3.4049679039910997E-2</v>
      </c>
    </row>
    <row r="69" spans="2:5" s="73" customFormat="1" ht="14">
      <c r="B69" s="89" t="s">
        <v>67</v>
      </c>
      <c r="C69" s="66" t="s">
        <v>179</v>
      </c>
      <c r="D69" s="67">
        <v>2</v>
      </c>
      <c r="E69" s="68">
        <v>5.5819145967100003E-4</v>
      </c>
    </row>
    <row r="70" spans="2:5" s="73" customFormat="1" ht="14">
      <c r="B70" s="90"/>
      <c r="C70" s="66" t="s">
        <v>180</v>
      </c>
      <c r="D70" s="67">
        <v>18</v>
      </c>
      <c r="E70" s="68">
        <v>5.0237231370359996E-3</v>
      </c>
    </row>
    <row r="71" spans="2:5" s="73" customFormat="1" ht="14">
      <c r="B71" s="90"/>
      <c r="C71" s="66" t="s">
        <v>189</v>
      </c>
      <c r="D71" s="67">
        <v>1</v>
      </c>
      <c r="E71" s="68">
        <v>2.7909572983499998E-4</v>
      </c>
    </row>
    <row r="72" spans="2:5" s="73" customFormat="1" ht="14">
      <c r="B72" s="90"/>
      <c r="C72" s="66" t="s">
        <v>181</v>
      </c>
      <c r="D72" s="67">
        <v>6</v>
      </c>
      <c r="E72" s="68">
        <v>1.674574379012E-3</v>
      </c>
    </row>
    <row r="73" spans="2:5" s="73" customFormat="1" ht="14">
      <c r="B73" s="90"/>
      <c r="C73" s="66" t="s">
        <v>182</v>
      </c>
      <c r="D73" s="67">
        <v>14</v>
      </c>
      <c r="E73" s="68">
        <v>3.9073402176949996E-3</v>
      </c>
    </row>
    <row r="74" spans="2:5" s="73" customFormat="1" ht="14">
      <c r="B74" s="90"/>
      <c r="C74" s="66" t="s">
        <v>183</v>
      </c>
      <c r="D74" s="67">
        <v>1</v>
      </c>
      <c r="E74" s="68">
        <v>2.7909572983499998E-4</v>
      </c>
    </row>
    <row r="75" spans="2:5" s="73" customFormat="1" ht="14">
      <c r="B75" s="91"/>
      <c r="C75" s="36" t="s">
        <v>28</v>
      </c>
      <c r="D75" s="35">
        <v>42</v>
      </c>
      <c r="E75" s="34">
        <v>1.1722020653084E-2</v>
      </c>
    </row>
    <row r="76" spans="2:5" s="73" customFormat="1" ht="14">
      <c r="B76" s="89" t="s">
        <v>80</v>
      </c>
      <c r="C76" s="66" t="s">
        <v>180</v>
      </c>
      <c r="D76" s="67">
        <v>2</v>
      </c>
      <c r="E76" s="68">
        <v>5.5819145967100003E-4</v>
      </c>
    </row>
    <row r="77" spans="2:5" s="73" customFormat="1" ht="14">
      <c r="B77" s="90"/>
      <c r="C77" s="66" t="s">
        <v>185</v>
      </c>
      <c r="D77" s="67">
        <v>1</v>
      </c>
      <c r="E77" s="68">
        <v>2.7909572983499998E-4</v>
      </c>
    </row>
    <row r="78" spans="2:5" s="73" customFormat="1" ht="14">
      <c r="B78" s="90"/>
      <c r="C78" s="66" t="s">
        <v>181</v>
      </c>
      <c r="D78" s="67">
        <v>2</v>
      </c>
      <c r="E78" s="68">
        <v>5.5819145967100003E-4</v>
      </c>
    </row>
    <row r="79" spans="2:5" s="73" customFormat="1" ht="14">
      <c r="B79" s="90"/>
      <c r="C79" s="66" t="s">
        <v>182</v>
      </c>
      <c r="D79" s="67">
        <v>7</v>
      </c>
      <c r="E79" s="68">
        <v>1.9536701088469998E-3</v>
      </c>
    </row>
    <row r="80" spans="2:5" s="73" customFormat="1" ht="14">
      <c r="B80" s="90"/>
      <c r="C80" s="66" t="s">
        <v>183</v>
      </c>
      <c r="D80" s="67">
        <v>2</v>
      </c>
      <c r="E80" s="68">
        <v>5.5819145967100003E-4</v>
      </c>
    </row>
    <row r="81" spans="2:5" s="73" customFormat="1" ht="14">
      <c r="B81" s="91"/>
      <c r="C81" s="36" t="s">
        <v>28</v>
      </c>
      <c r="D81" s="35">
        <v>14</v>
      </c>
      <c r="E81" s="34">
        <v>3.9073402176949996E-3</v>
      </c>
    </row>
    <row r="82" spans="2:5" s="73" customFormat="1" ht="14">
      <c r="B82" s="89" t="s">
        <v>89</v>
      </c>
      <c r="C82" s="66" t="s">
        <v>180</v>
      </c>
      <c r="D82" s="67">
        <v>3</v>
      </c>
      <c r="E82" s="68">
        <v>8.3728718950600001E-4</v>
      </c>
    </row>
    <row r="83" spans="2:5" s="73" customFormat="1" ht="14">
      <c r="B83" s="90"/>
      <c r="C83" s="66" t="s">
        <v>189</v>
      </c>
      <c r="D83" s="67">
        <v>1</v>
      </c>
      <c r="E83" s="68">
        <v>2.7909572983499998E-4</v>
      </c>
    </row>
    <row r="84" spans="2:5" s="73" customFormat="1" ht="14">
      <c r="B84" s="90"/>
      <c r="C84" s="66" t="s">
        <v>181</v>
      </c>
      <c r="D84" s="67">
        <v>1</v>
      </c>
      <c r="E84" s="68">
        <v>2.7909572983499998E-4</v>
      </c>
    </row>
    <row r="85" spans="2:5" s="73" customFormat="1" ht="14">
      <c r="B85" s="91"/>
      <c r="C85" s="36" t="s">
        <v>28</v>
      </c>
      <c r="D85" s="35">
        <v>5</v>
      </c>
      <c r="E85" s="34">
        <v>1.395478649177E-3</v>
      </c>
    </row>
    <row r="86" spans="2:5" s="73" customFormat="1" ht="14">
      <c r="B86" s="89" t="s">
        <v>85</v>
      </c>
      <c r="C86" s="66" t="s">
        <v>179</v>
      </c>
      <c r="D86" s="67">
        <v>2</v>
      </c>
      <c r="E86" s="68">
        <v>5.5819145967100003E-4</v>
      </c>
    </row>
    <row r="87" spans="2:5" s="73" customFormat="1" ht="14">
      <c r="B87" s="90"/>
      <c r="C87" s="66" t="s">
        <v>180</v>
      </c>
      <c r="D87" s="67">
        <v>3</v>
      </c>
      <c r="E87" s="68">
        <v>8.3728718950600001E-4</v>
      </c>
    </row>
    <row r="88" spans="2:5" s="73" customFormat="1" ht="14">
      <c r="B88" s="90"/>
      <c r="C88" s="66" t="s">
        <v>181</v>
      </c>
      <c r="D88" s="67">
        <v>3</v>
      </c>
      <c r="E88" s="68">
        <v>8.3728718950600001E-4</v>
      </c>
    </row>
    <row r="89" spans="2:5" s="73" customFormat="1" ht="14">
      <c r="B89" s="91"/>
      <c r="C89" s="36" t="s">
        <v>28</v>
      </c>
      <c r="D89" s="35">
        <v>8</v>
      </c>
      <c r="E89" s="34">
        <v>2.2327658386830001E-3</v>
      </c>
    </row>
    <row r="90" spans="2:5" s="73" customFormat="1" ht="14">
      <c r="B90" s="89" t="s">
        <v>51</v>
      </c>
      <c r="C90" s="66" t="s">
        <v>179</v>
      </c>
      <c r="D90" s="67">
        <v>22</v>
      </c>
      <c r="E90" s="68">
        <v>6.1401060563769996E-3</v>
      </c>
    </row>
    <row r="91" spans="2:5" s="73" customFormat="1" ht="14">
      <c r="B91" s="90"/>
      <c r="C91" s="66" t="s">
        <v>180</v>
      </c>
      <c r="D91" s="67">
        <v>153</v>
      </c>
      <c r="E91" s="68">
        <v>4.2701646664805998E-2</v>
      </c>
    </row>
    <row r="92" spans="2:5" s="73" customFormat="1" ht="14">
      <c r="B92" s="90"/>
      <c r="C92" s="66" t="s">
        <v>187</v>
      </c>
      <c r="D92" s="67">
        <v>6</v>
      </c>
      <c r="E92" s="68">
        <v>1.674574379012E-3</v>
      </c>
    </row>
    <row r="93" spans="2:5" s="73" customFormat="1" ht="14">
      <c r="B93" s="90"/>
      <c r="C93" s="66" t="s">
        <v>184</v>
      </c>
      <c r="D93" s="67">
        <v>52</v>
      </c>
      <c r="E93" s="68">
        <v>1.4512977951437E-2</v>
      </c>
    </row>
    <row r="94" spans="2:5" s="73" customFormat="1" ht="14">
      <c r="B94" s="90"/>
      <c r="C94" s="66" t="s">
        <v>185</v>
      </c>
      <c r="D94" s="67">
        <v>16</v>
      </c>
      <c r="E94" s="68">
        <v>4.465531677365E-3</v>
      </c>
    </row>
    <row r="95" spans="2:5" s="73" customFormat="1" ht="14">
      <c r="B95" s="90"/>
      <c r="C95" s="66" t="s">
        <v>189</v>
      </c>
      <c r="D95" s="67">
        <v>10</v>
      </c>
      <c r="E95" s="68">
        <v>2.790957298353E-3</v>
      </c>
    </row>
    <row r="96" spans="2:5" s="73" customFormat="1" ht="14">
      <c r="B96" s="90"/>
      <c r="C96" s="66" t="s">
        <v>181</v>
      </c>
      <c r="D96" s="67">
        <v>90</v>
      </c>
      <c r="E96" s="68">
        <v>2.511861568518E-2</v>
      </c>
    </row>
    <row r="97" spans="2:5" s="73" customFormat="1" ht="14">
      <c r="B97" s="90"/>
      <c r="C97" s="66" t="s">
        <v>190</v>
      </c>
      <c r="D97" s="67">
        <v>6</v>
      </c>
      <c r="E97" s="68">
        <v>1.674574379012E-3</v>
      </c>
    </row>
    <row r="98" spans="2:5" s="73" customFormat="1" ht="14">
      <c r="B98" s="90"/>
      <c r="C98" s="66" t="s">
        <v>182</v>
      </c>
      <c r="D98" s="67">
        <v>162</v>
      </c>
      <c r="E98" s="68">
        <v>4.5213508233323998E-2</v>
      </c>
    </row>
    <row r="99" spans="2:5" s="73" customFormat="1" ht="14">
      <c r="B99" s="90"/>
      <c r="C99" s="66" t="s">
        <v>183</v>
      </c>
      <c r="D99" s="67">
        <v>16</v>
      </c>
      <c r="E99" s="68">
        <v>4.465531677365E-3</v>
      </c>
    </row>
    <row r="100" spans="2:5" s="73" customFormat="1" ht="14">
      <c r="B100" s="91"/>
      <c r="C100" s="36" t="s">
        <v>28</v>
      </c>
      <c r="D100" s="35">
        <v>533</v>
      </c>
      <c r="E100" s="34">
        <v>0.14875802400223301</v>
      </c>
    </row>
    <row r="101" spans="2:5" s="73" customFormat="1" ht="14">
      <c r="B101" s="89" t="s">
        <v>60</v>
      </c>
      <c r="C101" s="66" t="s">
        <v>179</v>
      </c>
      <c r="D101" s="67">
        <v>3</v>
      </c>
      <c r="E101" s="68">
        <v>8.3728718950600001E-4</v>
      </c>
    </row>
    <row r="102" spans="2:5" s="73" customFormat="1" ht="14">
      <c r="B102" s="90"/>
      <c r="C102" s="66" t="s">
        <v>180</v>
      </c>
      <c r="D102" s="67">
        <v>25</v>
      </c>
      <c r="E102" s="68">
        <v>6.9773932458829999E-3</v>
      </c>
    </row>
    <row r="103" spans="2:5" s="73" customFormat="1" ht="14">
      <c r="B103" s="90"/>
      <c r="C103" s="66" t="s">
        <v>184</v>
      </c>
      <c r="D103" s="67">
        <v>2</v>
      </c>
      <c r="E103" s="68">
        <v>5.5819145967100003E-4</v>
      </c>
    </row>
    <row r="104" spans="2:5" s="73" customFormat="1" ht="14">
      <c r="B104" s="90"/>
      <c r="C104" s="66" t="s">
        <v>185</v>
      </c>
      <c r="D104" s="67">
        <v>3</v>
      </c>
      <c r="E104" s="68">
        <v>8.3728718950600001E-4</v>
      </c>
    </row>
    <row r="105" spans="2:5" s="73" customFormat="1" ht="14">
      <c r="B105" s="90"/>
      <c r="C105" s="66" t="s">
        <v>189</v>
      </c>
      <c r="D105" s="67">
        <v>2</v>
      </c>
      <c r="E105" s="68">
        <v>5.5819145967100003E-4</v>
      </c>
    </row>
    <row r="106" spans="2:5" s="73" customFormat="1" ht="14">
      <c r="B106" s="90"/>
      <c r="C106" s="66" t="s">
        <v>181</v>
      </c>
      <c r="D106" s="67">
        <v>18</v>
      </c>
      <c r="E106" s="68">
        <v>5.0237231370359996E-3</v>
      </c>
    </row>
    <row r="107" spans="2:5" s="73" customFormat="1" ht="14">
      <c r="B107" s="90"/>
      <c r="C107" s="66" t="s">
        <v>190</v>
      </c>
      <c r="D107" s="67">
        <v>1</v>
      </c>
      <c r="E107" s="68">
        <v>2.7909572983499998E-4</v>
      </c>
    </row>
    <row r="108" spans="2:5" s="73" customFormat="1" ht="14">
      <c r="B108" s="90"/>
      <c r="C108" s="66" t="s">
        <v>182</v>
      </c>
      <c r="D108" s="67">
        <v>25</v>
      </c>
      <c r="E108" s="68">
        <v>6.9773932458829999E-3</v>
      </c>
    </row>
    <row r="109" spans="2:5" s="73" customFormat="1" ht="14">
      <c r="B109" s="90"/>
      <c r="C109" s="66" t="s">
        <v>183</v>
      </c>
      <c r="D109" s="67">
        <v>2</v>
      </c>
      <c r="E109" s="68">
        <v>5.5819145967100003E-4</v>
      </c>
    </row>
    <row r="110" spans="2:5" s="73" customFormat="1" ht="14">
      <c r="B110" s="91"/>
      <c r="C110" s="36" t="s">
        <v>28</v>
      </c>
      <c r="D110" s="35">
        <v>81</v>
      </c>
      <c r="E110" s="34">
        <v>2.2606754116661999E-2</v>
      </c>
    </row>
    <row r="111" spans="2:5" s="73" customFormat="1" ht="14">
      <c r="B111" s="89" t="s">
        <v>78</v>
      </c>
      <c r="C111" s="66" t="s">
        <v>180</v>
      </c>
      <c r="D111" s="67">
        <v>8</v>
      </c>
      <c r="E111" s="68">
        <v>2.2327658386830001E-3</v>
      </c>
    </row>
    <row r="112" spans="2:5" s="73" customFormat="1" ht="14">
      <c r="B112" s="90"/>
      <c r="C112" s="66" t="s">
        <v>184</v>
      </c>
      <c r="D112" s="67">
        <v>1</v>
      </c>
      <c r="E112" s="68">
        <v>2.7909572983499998E-4</v>
      </c>
    </row>
    <row r="113" spans="2:5" s="73" customFormat="1" ht="14">
      <c r="B113" s="90"/>
      <c r="C113" s="66" t="s">
        <v>181</v>
      </c>
      <c r="D113" s="67">
        <v>4</v>
      </c>
      <c r="E113" s="68">
        <v>1.116382919341E-3</v>
      </c>
    </row>
    <row r="114" spans="2:5" s="73" customFormat="1" ht="14">
      <c r="B114" s="90"/>
      <c r="C114" s="66" t="s">
        <v>182</v>
      </c>
      <c r="D114" s="67">
        <v>1</v>
      </c>
      <c r="E114" s="68">
        <v>2.7909572983499998E-4</v>
      </c>
    </row>
    <row r="115" spans="2:5" s="73" customFormat="1" ht="14">
      <c r="B115" s="90"/>
      <c r="C115" s="66" t="s">
        <v>183</v>
      </c>
      <c r="D115" s="67">
        <v>2</v>
      </c>
      <c r="E115" s="68">
        <v>5.5819145967100003E-4</v>
      </c>
    </row>
    <row r="116" spans="2:5" s="73" customFormat="1" ht="14">
      <c r="B116" s="91"/>
      <c r="C116" s="36" t="s">
        <v>28</v>
      </c>
      <c r="D116" s="35">
        <v>16</v>
      </c>
      <c r="E116" s="34">
        <v>4.465531677365E-3</v>
      </c>
    </row>
    <row r="117" spans="2:5" s="73" customFormat="1" ht="14">
      <c r="B117" s="89" t="s">
        <v>68</v>
      </c>
      <c r="C117" s="66" t="s">
        <v>179</v>
      </c>
      <c r="D117" s="67">
        <v>9</v>
      </c>
      <c r="E117" s="68">
        <v>2.5118615685179998E-3</v>
      </c>
    </row>
    <row r="118" spans="2:5" s="73" customFormat="1" ht="14">
      <c r="B118" s="90"/>
      <c r="C118" s="66" t="s">
        <v>180</v>
      </c>
      <c r="D118" s="67">
        <v>13</v>
      </c>
      <c r="E118" s="68">
        <v>3.6282444878589998E-3</v>
      </c>
    </row>
    <row r="119" spans="2:5" s="73" customFormat="1" ht="14">
      <c r="B119" s="90"/>
      <c r="C119" s="66" t="s">
        <v>187</v>
      </c>
      <c r="D119" s="67">
        <v>1</v>
      </c>
      <c r="E119" s="68">
        <v>2.7909572983499998E-4</v>
      </c>
    </row>
    <row r="120" spans="2:5" s="73" customFormat="1" ht="14">
      <c r="B120" s="90"/>
      <c r="C120" s="66" t="s">
        <v>184</v>
      </c>
      <c r="D120" s="67">
        <v>2</v>
      </c>
      <c r="E120" s="68">
        <v>5.5819145967100003E-4</v>
      </c>
    </row>
    <row r="121" spans="2:5" s="73" customFormat="1" ht="14">
      <c r="B121" s="90"/>
      <c r="C121" s="66" t="s">
        <v>185</v>
      </c>
      <c r="D121" s="67">
        <v>1</v>
      </c>
      <c r="E121" s="68">
        <v>2.7909572983499998E-4</v>
      </c>
    </row>
    <row r="122" spans="2:5" s="73" customFormat="1" ht="14">
      <c r="B122" s="90"/>
      <c r="C122" s="66" t="s">
        <v>181</v>
      </c>
      <c r="D122" s="67">
        <v>2</v>
      </c>
      <c r="E122" s="68">
        <v>5.5819145967100003E-4</v>
      </c>
    </row>
    <row r="123" spans="2:5" s="73" customFormat="1" ht="14">
      <c r="B123" s="90"/>
      <c r="C123" s="66" t="s">
        <v>182</v>
      </c>
      <c r="D123" s="67">
        <v>12</v>
      </c>
      <c r="E123" s="68">
        <v>3.349148758024E-3</v>
      </c>
    </row>
    <row r="124" spans="2:5" s="73" customFormat="1" ht="14">
      <c r="B124" s="90"/>
      <c r="C124" s="66" t="s">
        <v>183</v>
      </c>
      <c r="D124" s="67">
        <v>2</v>
      </c>
      <c r="E124" s="68">
        <v>5.5819145967100003E-4</v>
      </c>
    </row>
    <row r="125" spans="2:5" s="73" customFormat="1" ht="14">
      <c r="B125" s="91"/>
      <c r="C125" s="36" t="s">
        <v>28</v>
      </c>
      <c r="D125" s="35">
        <v>42</v>
      </c>
      <c r="E125" s="34">
        <v>1.1722020653084E-2</v>
      </c>
    </row>
    <row r="126" spans="2:5" s="73" customFormat="1" ht="14">
      <c r="B126" s="89" t="s">
        <v>87</v>
      </c>
      <c r="C126" s="66" t="s">
        <v>180</v>
      </c>
      <c r="D126" s="67">
        <v>2</v>
      </c>
      <c r="E126" s="68">
        <v>5.5819145967100003E-4</v>
      </c>
    </row>
    <row r="127" spans="2:5" s="73" customFormat="1" ht="14">
      <c r="B127" s="90"/>
      <c r="C127" s="66" t="s">
        <v>189</v>
      </c>
      <c r="D127" s="67">
        <v>1</v>
      </c>
      <c r="E127" s="68">
        <v>2.7909572983499998E-4</v>
      </c>
    </row>
    <row r="128" spans="2:5" s="73" customFormat="1" ht="14">
      <c r="B128" s="90"/>
      <c r="C128" s="66" t="s">
        <v>181</v>
      </c>
      <c r="D128" s="67">
        <v>3</v>
      </c>
      <c r="E128" s="68">
        <v>8.3728718950600001E-4</v>
      </c>
    </row>
    <row r="129" spans="2:5" s="73" customFormat="1" ht="14">
      <c r="B129" s="90"/>
      <c r="C129" s="66" t="s">
        <v>182</v>
      </c>
      <c r="D129" s="67">
        <v>1</v>
      </c>
      <c r="E129" s="68">
        <v>2.7909572983499998E-4</v>
      </c>
    </row>
    <row r="130" spans="2:5" s="73" customFormat="1" ht="14">
      <c r="B130" s="91"/>
      <c r="C130" s="36" t="s">
        <v>28</v>
      </c>
      <c r="D130" s="35">
        <v>7</v>
      </c>
      <c r="E130" s="34">
        <v>1.9536701088469998E-3</v>
      </c>
    </row>
    <row r="131" spans="2:5" s="73" customFormat="1" ht="14">
      <c r="B131" s="89" t="s">
        <v>54</v>
      </c>
      <c r="C131" s="66" t="s">
        <v>179</v>
      </c>
      <c r="D131" s="67">
        <v>5</v>
      </c>
      <c r="E131" s="68">
        <v>1.395478649177E-3</v>
      </c>
    </row>
    <row r="132" spans="2:5" s="73" customFormat="1" ht="14">
      <c r="B132" s="90"/>
      <c r="C132" s="66" t="s">
        <v>180</v>
      </c>
      <c r="D132" s="67">
        <v>55</v>
      </c>
      <c r="E132" s="68">
        <v>1.5350265140943E-2</v>
      </c>
    </row>
    <row r="133" spans="2:5" s="73" customFormat="1" ht="14">
      <c r="B133" s="90"/>
      <c r="C133" s="66" t="s">
        <v>187</v>
      </c>
      <c r="D133" s="67">
        <v>6</v>
      </c>
      <c r="E133" s="68">
        <v>1.674574379012E-3</v>
      </c>
    </row>
    <row r="134" spans="2:5" s="73" customFormat="1" ht="14">
      <c r="B134" s="90"/>
      <c r="C134" s="66" t="s">
        <v>184</v>
      </c>
      <c r="D134" s="67">
        <v>2</v>
      </c>
      <c r="E134" s="68">
        <v>5.5819145967100003E-4</v>
      </c>
    </row>
    <row r="135" spans="2:5" s="73" customFormat="1" ht="14">
      <c r="B135" s="90"/>
      <c r="C135" s="66" t="s">
        <v>185</v>
      </c>
      <c r="D135" s="67">
        <v>11</v>
      </c>
      <c r="E135" s="68">
        <v>3.0700530281889999E-3</v>
      </c>
    </row>
    <row r="136" spans="2:5" s="73" customFormat="1" ht="14">
      <c r="B136" s="90"/>
      <c r="C136" s="66" t="s">
        <v>189</v>
      </c>
      <c r="D136" s="67">
        <v>3</v>
      </c>
      <c r="E136" s="68">
        <v>8.3728718950600001E-4</v>
      </c>
    </row>
    <row r="137" spans="2:5" s="73" customFormat="1" ht="14">
      <c r="B137" s="90"/>
      <c r="C137" s="66" t="s">
        <v>181</v>
      </c>
      <c r="D137" s="67">
        <v>35</v>
      </c>
      <c r="E137" s="68">
        <v>9.7683505442369995E-3</v>
      </c>
    </row>
    <row r="138" spans="2:5" s="73" customFormat="1" ht="14">
      <c r="B138" s="90"/>
      <c r="C138" s="66" t="s">
        <v>190</v>
      </c>
      <c r="D138" s="67">
        <v>18</v>
      </c>
      <c r="E138" s="68">
        <v>5.0237231370359996E-3</v>
      </c>
    </row>
    <row r="139" spans="2:5" s="73" customFormat="1" ht="14">
      <c r="B139" s="90"/>
      <c r="C139" s="66" t="s">
        <v>182</v>
      </c>
      <c r="D139" s="67">
        <v>26</v>
      </c>
      <c r="E139" s="68">
        <v>7.2564889757189997E-3</v>
      </c>
    </row>
    <row r="140" spans="2:5" s="73" customFormat="1" ht="14">
      <c r="B140" s="90"/>
      <c r="C140" s="66" t="s">
        <v>183</v>
      </c>
      <c r="D140" s="67">
        <v>20</v>
      </c>
      <c r="E140" s="68">
        <v>5.5819145967070001E-3</v>
      </c>
    </row>
    <row r="141" spans="2:5" s="73" customFormat="1" ht="14">
      <c r="B141" s="91"/>
      <c r="C141" s="36" t="s">
        <v>28</v>
      </c>
      <c r="D141" s="35">
        <v>181</v>
      </c>
      <c r="E141" s="34">
        <v>5.0516327100194998E-2</v>
      </c>
    </row>
    <row r="142" spans="2:5" s="73" customFormat="1" ht="14">
      <c r="B142" s="89" t="s">
        <v>71</v>
      </c>
      <c r="C142" s="66" t="s">
        <v>180</v>
      </c>
      <c r="D142" s="67">
        <v>8</v>
      </c>
      <c r="E142" s="68">
        <v>2.2327658386830001E-3</v>
      </c>
    </row>
    <row r="143" spans="2:5" s="73" customFormat="1" ht="14">
      <c r="B143" s="90"/>
      <c r="C143" s="66" t="s">
        <v>187</v>
      </c>
      <c r="D143" s="67">
        <v>3</v>
      </c>
      <c r="E143" s="68">
        <v>8.3728718950600001E-4</v>
      </c>
    </row>
    <row r="144" spans="2:5" s="73" customFormat="1" ht="14">
      <c r="B144" s="90"/>
      <c r="C144" s="66" t="s">
        <v>184</v>
      </c>
      <c r="D144" s="67">
        <v>1</v>
      </c>
      <c r="E144" s="68">
        <v>2.7909572983499998E-4</v>
      </c>
    </row>
    <row r="145" spans="2:5" s="73" customFormat="1" ht="14">
      <c r="B145" s="90"/>
      <c r="C145" s="66" t="s">
        <v>185</v>
      </c>
      <c r="D145" s="67">
        <v>1</v>
      </c>
      <c r="E145" s="68">
        <v>2.7909572983499998E-4</v>
      </c>
    </row>
    <row r="146" spans="2:5" s="73" customFormat="1" ht="14">
      <c r="B146" s="90"/>
      <c r="C146" s="66" t="s">
        <v>189</v>
      </c>
      <c r="D146" s="67">
        <v>1</v>
      </c>
      <c r="E146" s="68">
        <v>2.7909572983499998E-4</v>
      </c>
    </row>
    <row r="147" spans="2:5" s="73" customFormat="1" ht="14">
      <c r="B147" s="90"/>
      <c r="C147" s="66" t="s">
        <v>181</v>
      </c>
      <c r="D147" s="67">
        <v>5</v>
      </c>
      <c r="E147" s="68">
        <v>1.395478649177E-3</v>
      </c>
    </row>
    <row r="148" spans="2:5" s="73" customFormat="1" ht="14">
      <c r="B148" s="90"/>
      <c r="C148" s="66" t="s">
        <v>182</v>
      </c>
      <c r="D148" s="67">
        <v>8</v>
      </c>
      <c r="E148" s="68">
        <v>2.2327658386830001E-3</v>
      </c>
    </row>
    <row r="149" spans="2:5" s="73" customFormat="1" ht="14">
      <c r="B149" s="90"/>
      <c r="C149" s="66" t="s">
        <v>183</v>
      </c>
      <c r="D149" s="67">
        <v>3</v>
      </c>
      <c r="E149" s="68">
        <v>8.3728718950600001E-4</v>
      </c>
    </row>
    <row r="150" spans="2:5" s="73" customFormat="1" ht="14">
      <c r="B150" s="91"/>
      <c r="C150" s="36" t="s">
        <v>28</v>
      </c>
      <c r="D150" s="35">
        <v>30</v>
      </c>
      <c r="E150" s="34">
        <v>8.3728718950600006E-3</v>
      </c>
    </row>
    <row r="151" spans="2:5" s="73" customFormat="1" ht="14">
      <c r="B151" s="89" t="s">
        <v>50</v>
      </c>
      <c r="C151" s="66" t="s">
        <v>179</v>
      </c>
      <c r="D151" s="67">
        <v>63</v>
      </c>
      <c r="E151" s="68">
        <v>1.7583030979626001E-2</v>
      </c>
    </row>
    <row r="152" spans="2:5" s="73" customFormat="1" ht="14">
      <c r="B152" s="90"/>
      <c r="C152" s="66" t="s">
        <v>180</v>
      </c>
      <c r="D152" s="67">
        <v>295</v>
      </c>
      <c r="E152" s="68">
        <v>8.2333240301423E-2</v>
      </c>
    </row>
    <row r="153" spans="2:5" s="73" customFormat="1" ht="14">
      <c r="B153" s="90"/>
      <c r="C153" s="66" t="s">
        <v>187</v>
      </c>
      <c r="D153" s="67">
        <v>49</v>
      </c>
      <c r="E153" s="68">
        <v>1.3675690761931E-2</v>
      </c>
    </row>
    <row r="154" spans="2:5" s="73" customFormat="1" ht="14">
      <c r="B154" s="90"/>
      <c r="C154" s="66" t="s">
        <v>184</v>
      </c>
      <c r="D154" s="67">
        <v>48</v>
      </c>
      <c r="E154" s="68">
        <v>1.3396595032096E-2</v>
      </c>
    </row>
    <row r="155" spans="2:5" s="73" customFormat="1" ht="14">
      <c r="B155" s="90"/>
      <c r="C155" s="66" t="s">
        <v>185</v>
      </c>
      <c r="D155" s="67">
        <v>25</v>
      </c>
      <c r="E155" s="68">
        <v>6.9773932458829999E-3</v>
      </c>
    </row>
    <row r="156" spans="2:5" s="73" customFormat="1" ht="14">
      <c r="B156" s="90"/>
      <c r="C156" s="66" t="s">
        <v>189</v>
      </c>
      <c r="D156" s="67">
        <v>21</v>
      </c>
      <c r="E156" s="68">
        <v>5.8610103265419999E-3</v>
      </c>
    </row>
    <row r="157" spans="2:5" s="73" customFormat="1" ht="14">
      <c r="B157" s="90"/>
      <c r="C157" s="66" t="s">
        <v>181</v>
      </c>
      <c r="D157" s="67">
        <v>123</v>
      </c>
      <c r="E157" s="68">
        <v>3.4328774769746002E-2</v>
      </c>
    </row>
    <row r="158" spans="2:5" s="73" customFormat="1" ht="14">
      <c r="B158" s="90"/>
      <c r="C158" s="66" t="s">
        <v>190</v>
      </c>
      <c r="D158" s="67">
        <v>13</v>
      </c>
      <c r="E158" s="68">
        <v>3.6282444878589998E-3</v>
      </c>
    </row>
    <row r="159" spans="2:5" s="73" customFormat="1" ht="14">
      <c r="B159" s="90"/>
      <c r="C159" s="66" t="s">
        <v>182</v>
      </c>
      <c r="D159" s="67">
        <v>212</v>
      </c>
      <c r="E159" s="68">
        <v>5.9168294725090997E-2</v>
      </c>
    </row>
    <row r="160" spans="2:5" s="73" customFormat="1" ht="14">
      <c r="B160" s="90"/>
      <c r="C160" s="66" t="s">
        <v>183</v>
      </c>
      <c r="D160" s="67">
        <v>57</v>
      </c>
      <c r="E160" s="68">
        <v>1.5908456600614001E-2</v>
      </c>
    </row>
    <row r="161" spans="2:5" s="73" customFormat="1" ht="14">
      <c r="B161" s="91"/>
      <c r="C161" s="36" t="s">
        <v>28</v>
      </c>
      <c r="D161" s="35">
        <v>906</v>
      </c>
      <c r="E161" s="34">
        <v>0.25286073123081199</v>
      </c>
    </row>
    <row r="162" spans="2:5" s="73" customFormat="1" ht="14">
      <c r="B162" s="89" t="s">
        <v>81</v>
      </c>
      <c r="C162" s="66" t="s">
        <v>180</v>
      </c>
      <c r="D162" s="67">
        <v>5</v>
      </c>
      <c r="E162" s="68">
        <v>1.395478649177E-3</v>
      </c>
    </row>
    <row r="163" spans="2:5" s="73" customFormat="1" ht="14">
      <c r="B163" s="90"/>
      <c r="C163" s="66" t="s">
        <v>184</v>
      </c>
      <c r="D163" s="67">
        <v>1</v>
      </c>
      <c r="E163" s="68">
        <v>2.7909572983499998E-4</v>
      </c>
    </row>
    <row r="164" spans="2:5" s="73" customFormat="1" ht="14">
      <c r="B164" s="90"/>
      <c r="C164" s="66" t="s">
        <v>181</v>
      </c>
      <c r="D164" s="67">
        <v>2</v>
      </c>
      <c r="E164" s="68">
        <v>5.5819145967100003E-4</v>
      </c>
    </row>
    <row r="165" spans="2:5" s="73" customFormat="1" ht="14">
      <c r="B165" s="90"/>
      <c r="C165" s="66" t="s">
        <v>182</v>
      </c>
      <c r="D165" s="67">
        <v>3</v>
      </c>
      <c r="E165" s="68">
        <v>8.3728718950600001E-4</v>
      </c>
    </row>
    <row r="166" spans="2:5" s="73" customFormat="1" ht="14">
      <c r="B166" s="90"/>
      <c r="C166" s="66" t="s">
        <v>183</v>
      </c>
      <c r="D166" s="67">
        <v>1</v>
      </c>
      <c r="E166" s="68">
        <v>2.7909572983499998E-4</v>
      </c>
    </row>
    <row r="167" spans="2:5" s="73" customFormat="1" ht="14">
      <c r="B167" s="91"/>
      <c r="C167" s="36" t="s">
        <v>28</v>
      </c>
      <c r="D167" s="35">
        <v>12</v>
      </c>
      <c r="E167" s="34">
        <v>3.349148758024E-3</v>
      </c>
    </row>
    <row r="168" spans="2:5" s="73" customFormat="1" ht="14">
      <c r="B168" s="89" t="s">
        <v>74</v>
      </c>
      <c r="C168" s="66" t="s">
        <v>179</v>
      </c>
      <c r="D168" s="67">
        <v>2</v>
      </c>
      <c r="E168" s="68">
        <v>5.5819145967100003E-4</v>
      </c>
    </row>
    <row r="169" spans="2:5" s="73" customFormat="1" ht="14">
      <c r="B169" s="90"/>
      <c r="C169" s="66" t="s">
        <v>180</v>
      </c>
      <c r="D169" s="67">
        <v>4</v>
      </c>
      <c r="E169" s="68">
        <v>1.116382919341E-3</v>
      </c>
    </row>
    <row r="170" spans="2:5" s="73" customFormat="1" ht="14">
      <c r="B170" s="90"/>
      <c r="C170" s="66" t="s">
        <v>189</v>
      </c>
      <c r="D170" s="67">
        <v>1</v>
      </c>
      <c r="E170" s="68">
        <v>2.7909572983499998E-4</v>
      </c>
    </row>
    <row r="171" spans="2:5" s="73" customFormat="1" ht="14">
      <c r="B171" s="90"/>
      <c r="C171" s="66" t="s">
        <v>181</v>
      </c>
      <c r="D171" s="67">
        <v>11</v>
      </c>
      <c r="E171" s="68">
        <v>3.0700530281889999E-3</v>
      </c>
    </row>
    <row r="172" spans="2:5" s="73" customFormat="1" ht="14">
      <c r="B172" s="90"/>
      <c r="C172" s="66" t="s">
        <v>182</v>
      </c>
      <c r="D172" s="67">
        <v>4</v>
      </c>
      <c r="E172" s="68">
        <v>1.116382919341E-3</v>
      </c>
    </row>
    <row r="173" spans="2:5" s="73" customFormat="1" ht="14">
      <c r="B173" s="91"/>
      <c r="C173" s="36" t="s">
        <v>28</v>
      </c>
      <c r="D173" s="35">
        <v>22</v>
      </c>
      <c r="E173" s="34">
        <v>6.1401060563769996E-3</v>
      </c>
    </row>
    <row r="174" spans="2:5" s="73" customFormat="1" ht="14">
      <c r="B174" s="89" t="s">
        <v>86</v>
      </c>
      <c r="C174" s="66" t="s">
        <v>180</v>
      </c>
      <c r="D174" s="67">
        <v>4</v>
      </c>
      <c r="E174" s="68">
        <v>1.116382919341E-3</v>
      </c>
    </row>
    <row r="175" spans="2:5" s="73" customFormat="1" ht="14">
      <c r="B175" s="90"/>
      <c r="C175" s="66" t="s">
        <v>181</v>
      </c>
      <c r="D175" s="67">
        <v>4</v>
      </c>
      <c r="E175" s="68">
        <v>1.116382919341E-3</v>
      </c>
    </row>
    <row r="176" spans="2:5" s="73" customFormat="1" ht="14">
      <c r="B176" s="91"/>
      <c r="C176" s="36" t="s">
        <v>28</v>
      </c>
      <c r="D176" s="35">
        <v>8</v>
      </c>
      <c r="E176" s="34">
        <v>2.2327658386830001E-3</v>
      </c>
    </row>
    <row r="177" spans="2:5" s="73" customFormat="1" ht="14">
      <c r="B177" s="89" t="s">
        <v>96</v>
      </c>
      <c r="C177" s="66" t="s">
        <v>179</v>
      </c>
      <c r="D177" s="67">
        <v>1</v>
      </c>
      <c r="E177" s="68">
        <v>2.7909572983499998E-4</v>
      </c>
    </row>
    <row r="178" spans="2:5" s="73" customFormat="1" ht="14">
      <c r="B178" s="91"/>
      <c r="C178" s="36" t="s">
        <v>28</v>
      </c>
      <c r="D178" s="35">
        <v>1</v>
      </c>
      <c r="E178" s="34">
        <v>2.7909572983499998E-4</v>
      </c>
    </row>
    <row r="179" spans="2:5" s="73" customFormat="1" ht="14">
      <c r="B179" s="89" t="s">
        <v>91</v>
      </c>
      <c r="C179" s="66" t="s">
        <v>180</v>
      </c>
      <c r="D179" s="67">
        <v>1</v>
      </c>
      <c r="E179" s="68">
        <v>2.7909572983499998E-4</v>
      </c>
    </row>
    <row r="180" spans="2:5" s="73" customFormat="1" ht="14">
      <c r="B180" s="90"/>
      <c r="C180" s="66" t="s">
        <v>184</v>
      </c>
      <c r="D180" s="67">
        <v>1</v>
      </c>
      <c r="E180" s="68">
        <v>2.7909572983499998E-4</v>
      </c>
    </row>
    <row r="181" spans="2:5" s="73" customFormat="1" ht="14">
      <c r="B181" s="90"/>
      <c r="C181" s="66" t="s">
        <v>182</v>
      </c>
      <c r="D181" s="67">
        <v>2</v>
      </c>
      <c r="E181" s="68">
        <v>5.5819145967100003E-4</v>
      </c>
    </row>
    <row r="182" spans="2:5" s="73" customFormat="1" ht="14">
      <c r="B182" s="91"/>
      <c r="C182" s="36" t="s">
        <v>28</v>
      </c>
      <c r="D182" s="35">
        <v>4</v>
      </c>
      <c r="E182" s="34">
        <v>1.116382919341E-3</v>
      </c>
    </row>
    <row r="183" spans="2:5" s="73" customFormat="1" ht="14">
      <c r="B183" s="89" t="s">
        <v>90</v>
      </c>
      <c r="C183" s="66" t="s">
        <v>181</v>
      </c>
      <c r="D183" s="67">
        <v>2</v>
      </c>
      <c r="E183" s="68">
        <v>5.5819145967100003E-4</v>
      </c>
    </row>
    <row r="184" spans="2:5" s="73" customFormat="1" ht="14">
      <c r="B184" s="90"/>
      <c r="C184" s="66" t="s">
        <v>182</v>
      </c>
      <c r="D184" s="67">
        <v>2</v>
      </c>
      <c r="E184" s="68">
        <v>5.5819145967100003E-4</v>
      </c>
    </row>
    <row r="185" spans="2:5" s="73" customFormat="1" ht="14">
      <c r="B185" s="90"/>
      <c r="C185" s="66" t="s">
        <v>183</v>
      </c>
      <c r="D185" s="67">
        <v>1</v>
      </c>
      <c r="E185" s="68">
        <v>2.7909572983499998E-4</v>
      </c>
    </row>
    <row r="186" spans="2:5" s="73" customFormat="1" ht="14">
      <c r="B186" s="91"/>
      <c r="C186" s="36" t="s">
        <v>28</v>
      </c>
      <c r="D186" s="35">
        <v>5</v>
      </c>
      <c r="E186" s="34">
        <v>1.395478649177E-3</v>
      </c>
    </row>
    <row r="187" spans="2:5" s="73" customFormat="1" ht="14">
      <c r="B187" s="89" t="s">
        <v>76</v>
      </c>
      <c r="C187" s="66" t="s">
        <v>180</v>
      </c>
      <c r="D187" s="67">
        <v>11</v>
      </c>
      <c r="E187" s="68">
        <v>3.0700530281889999E-3</v>
      </c>
    </row>
    <row r="188" spans="2:5" s="73" customFormat="1" ht="14">
      <c r="B188" s="90"/>
      <c r="C188" s="66" t="s">
        <v>181</v>
      </c>
      <c r="D188" s="67">
        <v>3</v>
      </c>
      <c r="E188" s="68">
        <v>8.3728718950600001E-4</v>
      </c>
    </row>
    <row r="189" spans="2:5" s="73" customFormat="1" ht="14">
      <c r="B189" s="90"/>
      <c r="C189" s="66" t="s">
        <v>182</v>
      </c>
      <c r="D189" s="67">
        <v>6</v>
      </c>
      <c r="E189" s="68">
        <v>1.674574379012E-3</v>
      </c>
    </row>
    <row r="190" spans="2:5" s="73" customFormat="1" ht="14">
      <c r="B190" s="90"/>
      <c r="C190" s="66" t="s">
        <v>183</v>
      </c>
      <c r="D190" s="67">
        <v>1</v>
      </c>
      <c r="E190" s="68">
        <v>2.7909572983499998E-4</v>
      </c>
    </row>
    <row r="191" spans="2:5" s="73" customFormat="1" ht="14">
      <c r="B191" s="91"/>
      <c r="C191" s="36" t="s">
        <v>28</v>
      </c>
      <c r="D191" s="35">
        <v>21</v>
      </c>
      <c r="E191" s="34">
        <v>5.8610103265419999E-3</v>
      </c>
    </row>
    <row r="192" spans="2:5" s="73" customFormat="1" ht="14">
      <c r="B192" s="89" t="s">
        <v>79</v>
      </c>
      <c r="C192" s="66" t="s">
        <v>179</v>
      </c>
      <c r="D192" s="67">
        <v>1</v>
      </c>
      <c r="E192" s="68">
        <v>2.7909572983499998E-4</v>
      </c>
    </row>
    <row r="193" spans="2:5" s="73" customFormat="1" ht="14">
      <c r="B193" s="90"/>
      <c r="C193" s="66" t="s">
        <v>180</v>
      </c>
      <c r="D193" s="67">
        <v>6</v>
      </c>
      <c r="E193" s="68">
        <v>1.674574379012E-3</v>
      </c>
    </row>
    <row r="194" spans="2:5" s="73" customFormat="1" ht="14">
      <c r="B194" s="90"/>
      <c r="C194" s="66" t="s">
        <v>184</v>
      </c>
      <c r="D194" s="67">
        <v>1</v>
      </c>
      <c r="E194" s="68">
        <v>2.7909572983499998E-4</v>
      </c>
    </row>
    <row r="195" spans="2:5" s="73" customFormat="1" ht="14">
      <c r="B195" s="90"/>
      <c r="C195" s="66" t="s">
        <v>181</v>
      </c>
      <c r="D195" s="67">
        <v>1</v>
      </c>
      <c r="E195" s="68">
        <v>2.7909572983499998E-4</v>
      </c>
    </row>
    <row r="196" spans="2:5" s="73" customFormat="1" ht="14">
      <c r="B196" s="90"/>
      <c r="C196" s="66" t="s">
        <v>182</v>
      </c>
      <c r="D196" s="67">
        <v>5</v>
      </c>
      <c r="E196" s="68">
        <v>1.395478649177E-3</v>
      </c>
    </row>
    <row r="197" spans="2:5" s="73" customFormat="1" ht="14">
      <c r="B197" s="90"/>
      <c r="C197" s="66" t="s">
        <v>183</v>
      </c>
      <c r="D197" s="67">
        <v>2</v>
      </c>
      <c r="E197" s="68">
        <v>5.5819145967100003E-4</v>
      </c>
    </row>
    <row r="198" spans="2:5" s="73" customFormat="1" ht="14">
      <c r="B198" s="91"/>
      <c r="C198" s="36" t="s">
        <v>28</v>
      </c>
      <c r="D198" s="35">
        <v>16</v>
      </c>
      <c r="E198" s="34">
        <v>4.465531677365E-3</v>
      </c>
    </row>
    <row r="199" spans="2:5" s="73" customFormat="1" ht="14">
      <c r="B199" s="89" t="s">
        <v>75</v>
      </c>
      <c r="C199" s="66" t="s">
        <v>180</v>
      </c>
      <c r="D199" s="67">
        <v>10</v>
      </c>
      <c r="E199" s="68">
        <v>2.790957298353E-3</v>
      </c>
    </row>
    <row r="200" spans="2:5" s="73" customFormat="1" ht="14">
      <c r="B200" s="90"/>
      <c r="C200" s="66" t="s">
        <v>189</v>
      </c>
      <c r="D200" s="67">
        <v>2</v>
      </c>
      <c r="E200" s="68">
        <v>5.5819145967100003E-4</v>
      </c>
    </row>
    <row r="201" spans="2:5" s="73" customFormat="1" ht="14">
      <c r="B201" s="90"/>
      <c r="C201" s="66" t="s">
        <v>181</v>
      </c>
      <c r="D201" s="67">
        <v>3</v>
      </c>
      <c r="E201" s="68">
        <v>8.3728718950600001E-4</v>
      </c>
    </row>
    <row r="202" spans="2:5" s="73" customFormat="1" ht="14">
      <c r="B202" s="90"/>
      <c r="C202" s="66" t="s">
        <v>182</v>
      </c>
      <c r="D202" s="67">
        <v>6</v>
      </c>
      <c r="E202" s="68">
        <v>1.674574379012E-3</v>
      </c>
    </row>
    <row r="203" spans="2:5" s="73" customFormat="1" ht="14">
      <c r="B203" s="90"/>
      <c r="C203" s="66" t="s">
        <v>183</v>
      </c>
      <c r="D203" s="67">
        <v>1</v>
      </c>
      <c r="E203" s="68">
        <v>2.7909572983499998E-4</v>
      </c>
    </row>
    <row r="204" spans="2:5" s="73" customFormat="1" ht="14">
      <c r="B204" s="91"/>
      <c r="C204" s="36" t="s">
        <v>28</v>
      </c>
      <c r="D204" s="35">
        <v>22</v>
      </c>
      <c r="E204" s="34">
        <v>6.1401060563769996E-3</v>
      </c>
    </row>
    <row r="205" spans="2:5" s="73" customFormat="1" ht="14">
      <c r="B205" s="89" t="s">
        <v>64</v>
      </c>
      <c r="C205" s="66" t="s">
        <v>179</v>
      </c>
      <c r="D205" s="67">
        <v>2</v>
      </c>
      <c r="E205" s="68">
        <v>5.5819145967100003E-4</v>
      </c>
    </row>
    <row r="206" spans="2:5" s="73" customFormat="1" ht="14">
      <c r="B206" s="90"/>
      <c r="C206" s="66" t="s">
        <v>180</v>
      </c>
      <c r="D206" s="67">
        <v>11</v>
      </c>
      <c r="E206" s="68">
        <v>3.0700530281889999E-3</v>
      </c>
    </row>
    <row r="207" spans="2:5" s="73" customFormat="1" ht="14">
      <c r="B207" s="90"/>
      <c r="C207" s="66" t="s">
        <v>184</v>
      </c>
      <c r="D207" s="67">
        <v>1</v>
      </c>
      <c r="E207" s="68">
        <v>2.7909572983499998E-4</v>
      </c>
    </row>
    <row r="208" spans="2:5" s="73" customFormat="1" ht="14">
      <c r="B208" s="90"/>
      <c r="C208" s="66" t="s">
        <v>185</v>
      </c>
      <c r="D208" s="67">
        <v>2</v>
      </c>
      <c r="E208" s="68">
        <v>5.5819145967100003E-4</v>
      </c>
    </row>
    <row r="209" spans="2:5" s="73" customFormat="1" ht="14">
      <c r="B209" s="90"/>
      <c r="C209" s="66" t="s">
        <v>189</v>
      </c>
      <c r="D209" s="67">
        <v>1</v>
      </c>
      <c r="E209" s="68">
        <v>2.7909572983499998E-4</v>
      </c>
    </row>
    <row r="210" spans="2:5" s="73" customFormat="1" ht="14">
      <c r="B210" s="90"/>
      <c r="C210" s="66" t="s">
        <v>181</v>
      </c>
      <c r="D210" s="67">
        <v>4</v>
      </c>
      <c r="E210" s="68">
        <v>1.116382919341E-3</v>
      </c>
    </row>
    <row r="211" spans="2:5" s="73" customFormat="1" ht="14">
      <c r="B211" s="90"/>
      <c r="C211" s="66" t="s">
        <v>190</v>
      </c>
      <c r="D211" s="67">
        <v>1</v>
      </c>
      <c r="E211" s="68">
        <v>2.7909572983499998E-4</v>
      </c>
    </row>
    <row r="212" spans="2:5" s="73" customFormat="1" ht="14">
      <c r="B212" s="90"/>
      <c r="C212" s="66" t="s">
        <v>182</v>
      </c>
      <c r="D212" s="67">
        <v>19</v>
      </c>
      <c r="E212" s="68">
        <v>5.3028188668710003E-3</v>
      </c>
    </row>
    <row r="213" spans="2:5" s="73" customFormat="1" ht="14">
      <c r="B213" s="90"/>
      <c r="C213" s="66" t="s">
        <v>183</v>
      </c>
      <c r="D213" s="67">
        <v>6</v>
      </c>
      <c r="E213" s="68">
        <v>1.674574379012E-3</v>
      </c>
    </row>
    <row r="214" spans="2:5" s="73" customFormat="1" ht="14">
      <c r="B214" s="91"/>
      <c r="C214" s="36" t="s">
        <v>28</v>
      </c>
      <c r="D214" s="35">
        <v>47</v>
      </c>
      <c r="E214" s="34">
        <v>1.3117499302261E-2</v>
      </c>
    </row>
    <row r="215" spans="2:5" s="73" customFormat="1" ht="14">
      <c r="B215" s="89" t="s">
        <v>61</v>
      </c>
      <c r="C215" s="66" t="s">
        <v>179</v>
      </c>
      <c r="D215" s="67">
        <v>7</v>
      </c>
      <c r="E215" s="68">
        <v>1.9536701088469998E-3</v>
      </c>
    </row>
    <row r="216" spans="2:5" s="73" customFormat="1" ht="14">
      <c r="B216" s="90"/>
      <c r="C216" s="66" t="s">
        <v>180</v>
      </c>
      <c r="D216" s="67">
        <v>29</v>
      </c>
      <c r="E216" s="68">
        <v>8.0937761652250008E-3</v>
      </c>
    </row>
    <row r="217" spans="2:5" s="73" customFormat="1" ht="14">
      <c r="B217" s="90"/>
      <c r="C217" s="66" t="s">
        <v>184</v>
      </c>
      <c r="D217" s="67">
        <v>1</v>
      </c>
      <c r="E217" s="68">
        <v>2.7909572983499998E-4</v>
      </c>
    </row>
    <row r="218" spans="2:5" s="73" customFormat="1" ht="14">
      <c r="B218" s="90"/>
      <c r="C218" s="66" t="s">
        <v>185</v>
      </c>
      <c r="D218" s="67">
        <v>2</v>
      </c>
      <c r="E218" s="68">
        <v>5.5819145967100003E-4</v>
      </c>
    </row>
    <row r="219" spans="2:5" s="73" customFormat="1" ht="14">
      <c r="B219" s="90"/>
      <c r="C219" s="66" t="s">
        <v>181</v>
      </c>
      <c r="D219" s="67">
        <v>19</v>
      </c>
      <c r="E219" s="68">
        <v>5.3028188668710003E-3</v>
      </c>
    </row>
    <row r="220" spans="2:5" s="73" customFormat="1" ht="14">
      <c r="B220" s="90"/>
      <c r="C220" s="66" t="s">
        <v>182</v>
      </c>
      <c r="D220" s="67">
        <v>15</v>
      </c>
      <c r="E220" s="68">
        <v>4.1864359475300003E-3</v>
      </c>
    </row>
    <row r="221" spans="2:5" s="73" customFormat="1" ht="14">
      <c r="B221" s="90"/>
      <c r="C221" s="66" t="s">
        <v>183</v>
      </c>
      <c r="D221" s="67">
        <v>1</v>
      </c>
      <c r="E221" s="68">
        <v>2.7909572983499998E-4</v>
      </c>
    </row>
    <row r="222" spans="2:5" s="73" customFormat="1" ht="14">
      <c r="B222" s="91"/>
      <c r="C222" s="36" t="s">
        <v>28</v>
      </c>
      <c r="D222" s="35">
        <v>74</v>
      </c>
      <c r="E222" s="34">
        <v>2.0653084007815001E-2</v>
      </c>
    </row>
    <row r="223" spans="2:5" s="73" customFormat="1" ht="14">
      <c r="B223" s="89" t="s">
        <v>62</v>
      </c>
      <c r="C223" s="66" t="s">
        <v>179</v>
      </c>
      <c r="D223" s="67">
        <v>3</v>
      </c>
      <c r="E223" s="68">
        <v>8.3728718950600001E-4</v>
      </c>
    </row>
    <row r="224" spans="2:5" s="73" customFormat="1" ht="14">
      <c r="B224" s="90"/>
      <c r="C224" s="66" t="s">
        <v>180</v>
      </c>
      <c r="D224" s="67">
        <v>10</v>
      </c>
      <c r="E224" s="68">
        <v>2.790957298353E-3</v>
      </c>
    </row>
    <row r="225" spans="2:5" s="73" customFormat="1" ht="14">
      <c r="B225" s="90"/>
      <c r="C225" s="66" t="s">
        <v>187</v>
      </c>
      <c r="D225" s="67">
        <v>3</v>
      </c>
      <c r="E225" s="68">
        <v>8.3728718950600001E-4</v>
      </c>
    </row>
    <row r="226" spans="2:5" s="73" customFormat="1" ht="14">
      <c r="B226" s="90"/>
      <c r="C226" s="66" t="s">
        <v>185</v>
      </c>
      <c r="D226" s="67">
        <v>3</v>
      </c>
      <c r="E226" s="68">
        <v>8.3728718950600001E-4</v>
      </c>
    </row>
    <row r="227" spans="2:5" s="73" customFormat="1" ht="14">
      <c r="B227" s="90"/>
      <c r="C227" s="66" t="s">
        <v>181</v>
      </c>
      <c r="D227" s="67">
        <v>5</v>
      </c>
      <c r="E227" s="68">
        <v>1.395478649177E-3</v>
      </c>
    </row>
    <row r="228" spans="2:5" s="73" customFormat="1" ht="14">
      <c r="B228" s="90"/>
      <c r="C228" s="66" t="s">
        <v>182</v>
      </c>
      <c r="D228" s="67">
        <v>26</v>
      </c>
      <c r="E228" s="68">
        <v>7.2564889757189997E-3</v>
      </c>
    </row>
    <row r="229" spans="2:5" s="73" customFormat="1" ht="14">
      <c r="B229" s="90"/>
      <c r="C229" s="66" t="s">
        <v>183</v>
      </c>
      <c r="D229" s="67">
        <v>8</v>
      </c>
      <c r="E229" s="68">
        <v>2.2327658386830001E-3</v>
      </c>
    </row>
    <row r="230" spans="2:5" s="73" customFormat="1" ht="14">
      <c r="B230" s="91"/>
      <c r="C230" s="36" t="s">
        <v>28</v>
      </c>
      <c r="D230" s="35">
        <v>58</v>
      </c>
      <c r="E230" s="34">
        <v>1.6187552330448999E-2</v>
      </c>
    </row>
    <row r="231" spans="2:5" s="73" customFormat="1" ht="14">
      <c r="B231" s="89" t="s">
        <v>97</v>
      </c>
      <c r="C231" s="66" t="s">
        <v>180</v>
      </c>
      <c r="D231" s="67">
        <v>1</v>
      </c>
      <c r="E231" s="68">
        <v>2.7909572983499998E-4</v>
      </c>
    </row>
    <row r="232" spans="2:5" s="73" customFormat="1" ht="14">
      <c r="B232" s="91"/>
      <c r="C232" s="36" t="s">
        <v>28</v>
      </c>
      <c r="D232" s="35">
        <v>1</v>
      </c>
      <c r="E232" s="34">
        <v>2.7909572983499998E-4</v>
      </c>
    </row>
    <row r="233" spans="2:5" s="73" customFormat="1" ht="14">
      <c r="B233" s="89" t="s">
        <v>66</v>
      </c>
      <c r="C233" s="66" t="s">
        <v>179</v>
      </c>
      <c r="D233" s="67">
        <v>2</v>
      </c>
      <c r="E233" s="68">
        <v>5.5819145967100003E-4</v>
      </c>
    </row>
    <row r="234" spans="2:5" s="73" customFormat="1" ht="14">
      <c r="B234" s="90"/>
      <c r="C234" s="66" t="s">
        <v>180</v>
      </c>
      <c r="D234" s="67">
        <v>16</v>
      </c>
      <c r="E234" s="68">
        <v>4.465531677365E-3</v>
      </c>
    </row>
    <row r="235" spans="2:5" s="73" customFormat="1" ht="14">
      <c r="B235" s="90"/>
      <c r="C235" s="66" t="s">
        <v>184</v>
      </c>
      <c r="D235" s="67">
        <v>2</v>
      </c>
      <c r="E235" s="68">
        <v>5.5819145967100003E-4</v>
      </c>
    </row>
    <row r="236" spans="2:5" s="73" customFormat="1" ht="14">
      <c r="B236" s="90"/>
      <c r="C236" s="66" t="s">
        <v>185</v>
      </c>
      <c r="D236" s="67">
        <v>3</v>
      </c>
      <c r="E236" s="68">
        <v>8.3728718950600001E-4</v>
      </c>
    </row>
    <row r="237" spans="2:5" s="73" customFormat="1" ht="14">
      <c r="B237" s="90"/>
      <c r="C237" s="66" t="s">
        <v>189</v>
      </c>
      <c r="D237" s="67">
        <v>3</v>
      </c>
      <c r="E237" s="68">
        <v>8.3728718950600001E-4</v>
      </c>
    </row>
    <row r="238" spans="2:5" s="73" customFormat="1" ht="14">
      <c r="B238" s="90"/>
      <c r="C238" s="66" t="s">
        <v>181</v>
      </c>
      <c r="D238" s="67">
        <v>7</v>
      </c>
      <c r="E238" s="68">
        <v>1.9536701088469998E-3</v>
      </c>
    </row>
    <row r="239" spans="2:5" s="73" customFormat="1" ht="14">
      <c r="B239" s="90"/>
      <c r="C239" s="66" t="s">
        <v>190</v>
      </c>
      <c r="D239" s="67">
        <v>1</v>
      </c>
      <c r="E239" s="68">
        <v>2.7909572983499998E-4</v>
      </c>
    </row>
    <row r="240" spans="2:5" s="73" customFormat="1" ht="14">
      <c r="B240" s="90"/>
      <c r="C240" s="66" t="s">
        <v>182</v>
      </c>
      <c r="D240" s="67">
        <v>10</v>
      </c>
      <c r="E240" s="68">
        <v>2.790957298353E-3</v>
      </c>
    </row>
    <row r="241" spans="2:5" s="73" customFormat="1" ht="14">
      <c r="B241" s="90"/>
      <c r="C241" s="66" t="s">
        <v>183</v>
      </c>
      <c r="D241" s="67">
        <v>1</v>
      </c>
      <c r="E241" s="68">
        <v>2.7909572983499998E-4</v>
      </c>
    </row>
    <row r="242" spans="2:5" s="73" customFormat="1" ht="14">
      <c r="B242" s="91"/>
      <c r="C242" s="36" t="s">
        <v>28</v>
      </c>
      <c r="D242" s="35">
        <v>45</v>
      </c>
      <c r="E242" s="34">
        <v>1.255930784259E-2</v>
      </c>
    </row>
    <row r="243" spans="2:5" s="73" customFormat="1" ht="14">
      <c r="B243" s="89" t="s">
        <v>53</v>
      </c>
      <c r="C243" s="66" t="s">
        <v>179</v>
      </c>
      <c r="D243" s="67">
        <v>12</v>
      </c>
      <c r="E243" s="68">
        <v>3.349148758024E-3</v>
      </c>
    </row>
    <row r="244" spans="2:5" s="73" customFormat="1" ht="14">
      <c r="B244" s="90"/>
      <c r="C244" s="66" t="s">
        <v>180</v>
      </c>
      <c r="D244" s="67">
        <v>55</v>
      </c>
      <c r="E244" s="68">
        <v>1.5350265140943E-2</v>
      </c>
    </row>
    <row r="245" spans="2:5" s="73" customFormat="1" ht="14">
      <c r="B245" s="90"/>
      <c r="C245" s="66" t="s">
        <v>187</v>
      </c>
      <c r="D245" s="67">
        <v>15</v>
      </c>
      <c r="E245" s="68">
        <v>4.1864359475300003E-3</v>
      </c>
    </row>
    <row r="246" spans="2:5" s="73" customFormat="1" ht="14">
      <c r="B246" s="90"/>
      <c r="C246" s="66" t="s">
        <v>184</v>
      </c>
      <c r="D246" s="67">
        <v>8</v>
      </c>
      <c r="E246" s="68">
        <v>2.2327658386830001E-3</v>
      </c>
    </row>
    <row r="247" spans="2:5" s="73" customFormat="1" ht="14">
      <c r="B247" s="90"/>
      <c r="C247" s="66" t="s">
        <v>185</v>
      </c>
      <c r="D247" s="67">
        <v>9</v>
      </c>
      <c r="E247" s="68">
        <v>2.5118615685179998E-3</v>
      </c>
    </row>
    <row r="248" spans="2:5" s="73" customFormat="1" ht="14">
      <c r="B248" s="90"/>
      <c r="C248" s="66" t="s">
        <v>189</v>
      </c>
      <c r="D248" s="67">
        <v>1</v>
      </c>
      <c r="E248" s="68">
        <v>2.7909572983499998E-4</v>
      </c>
    </row>
    <row r="249" spans="2:5" s="73" customFormat="1" ht="14">
      <c r="B249" s="90"/>
      <c r="C249" s="66" t="s">
        <v>181</v>
      </c>
      <c r="D249" s="67">
        <v>37</v>
      </c>
      <c r="E249" s="68">
        <v>1.0326542003907001E-2</v>
      </c>
    </row>
    <row r="250" spans="2:5" s="73" customFormat="1" ht="14">
      <c r="B250" s="90"/>
      <c r="C250" s="66" t="s">
        <v>190</v>
      </c>
      <c r="D250" s="67">
        <v>5</v>
      </c>
      <c r="E250" s="68">
        <v>1.395478649177E-3</v>
      </c>
    </row>
    <row r="251" spans="2:5" s="73" customFormat="1" ht="14">
      <c r="B251" s="90"/>
      <c r="C251" s="66" t="s">
        <v>182</v>
      </c>
      <c r="D251" s="67">
        <v>51</v>
      </c>
      <c r="E251" s="68">
        <v>1.4233882221602E-2</v>
      </c>
    </row>
    <row r="252" spans="2:5" s="73" customFormat="1" ht="14">
      <c r="B252" s="90"/>
      <c r="C252" s="66" t="s">
        <v>183</v>
      </c>
      <c r="D252" s="67">
        <v>8</v>
      </c>
      <c r="E252" s="68">
        <v>2.2327658386830001E-3</v>
      </c>
    </row>
    <row r="253" spans="2:5" s="73" customFormat="1" ht="14">
      <c r="B253" s="91"/>
      <c r="C253" s="36" t="s">
        <v>28</v>
      </c>
      <c r="D253" s="35">
        <v>201</v>
      </c>
      <c r="E253" s="34">
        <v>5.6098241696902001E-2</v>
      </c>
    </row>
    <row r="254" spans="2:5" s="73" customFormat="1" ht="14">
      <c r="B254" s="89" t="s">
        <v>82</v>
      </c>
      <c r="C254" s="66" t="s">
        <v>180</v>
      </c>
      <c r="D254" s="67">
        <v>2</v>
      </c>
      <c r="E254" s="68">
        <v>5.5819145967100003E-4</v>
      </c>
    </row>
    <row r="255" spans="2:5" s="73" customFormat="1" ht="14">
      <c r="B255" s="90"/>
      <c r="C255" s="66" t="s">
        <v>189</v>
      </c>
      <c r="D255" s="67">
        <v>1</v>
      </c>
      <c r="E255" s="68">
        <v>2.7909572983499998E-4</v>
      </c>
    </row>
    <row r="256" spans="2:5" s="73" customFormat="1" ht="14">
      <c r="B256" s="90"/>
      <c r="C256" s="66" t="s">
        <v>181</v>
      </c>
      <c r="D256" s="67">
        <v>5</v>
      </c>
      <c r="E256" s="68">
        <v>1.395478649177E-3</v>
      </c>
    </row>
    <row r="257" spans="2:5" s="73" customFormat="1" ht="14">
      <c r="B257" s="90"/>
      <c r="C257" s="66" t="s">
        <v>182</v>
      </c>
      <c r="D257" s="67">
        <v>3</v>
      </c>
      <c r="E257" s="68">
        <v>8.3728718950600001E-4</v>
      </c>
    </row>
    <row r="258" spans="2:5" s="73" customFormat="1" ht="14">
      <c r="B258" s="90"/>
      <c r="C258" s="66" t="s">
        <v>183</v>
      </c>
      <c r="D258" s="67">
        <v>1</v>
      </c>
      <c r="E258" s="68">
        <v>2.7909572983499998E-4</v>
      </c>
    </row>
    <row r="259" spans="2:5" s="73" customFormat="1" ht="14">
      <c r="B259" s="91"/>
      <c r="C259" s="36" t="s">
        <v>28</v>
      </c>
      <c r="D259" s="35">
        <v>12</v>
      </c>
      <c r="E259" s="34">
        <v>3.349148758024E-3</v>
      </c>
    </row>
    <row r="260" spans="2:5" s="73" customFormat="1" ht="14">
      <c r="B260" s="89" t="s">
        <v>72</v>
      </c>
      <c r="C260" s="66" t="s">
        <v>179</v>
      </c>
      <c r="D260" s="67">
        <v>1</v>
      </c>
      <c r="E260" s="68">
        <v>2.7909572983499998E-4</v>
      </c>
    </row>
    <row r="261" spans="2:5" s="73" customFormat="1" ht="14">
      <c r="B261" s="90"/>
      <c r="C261" s="66" t="s">
        <v>180</v>
      </c>
      <c r="D261" s="67">
        <v>7</v>
      </c>
      <c r="E261" s="68">
        <v>1.9536701088469998E-3</v>
      </c>
    </row>
    <row r="262" spans="2:5" s="73" customFormat="1" ht="14">
      <c r="B262" s="90"/>
      <c r="C262" s="66" t="s">
        <v>187</v>
      </c>
      <c r="D262" s="67">
        <v>1</v>
      </c>
      <c r="E262" s="68">
        <v>2.7909572983499998E-4</v>
      </c>
    </row>
    <row r="263" spans="2:5" s="73" customFormat="1" ht="14">
      <c r="B263" s="90"/>
      <c r="C263" s="66" t="s">
        <v>184</v>
      </c>
      <c r="D263" s="67">
        <v>1</v>
      </c>
      <c r="E263" s="68">
        <v>2.7909572983499998E-4</v>
      </c>
    </row>
    <row r="264" spans="2:5" s="73" customFormat="1" ht="14">
      <c r="B264" s="90"/>
      <c r="C264" s="66" t="s">
        <v>189</v>
      </c>
      <c r="D264" s="67">
        <v>1</v>
      </c>
      <c r="E264" s="68">
        <v>2.7909572983499998E-4</v>
      </c>
    </row>
    <row r="265" spans="2:5" s="73" customFormat="1" ht="14">
      <c r="B265" s="90"/>
      <c r="C265" s="66" t="s">
        <v>181</v>
      </c>
      <c r="D265" s="67">
        <v>13</v>
      </c>
      <c r="E265" s="68">
        <v>3.6282444878589998E-3</v>
      </c>
    </row>
    <row r="266" spans="2:5" s="73" customFormat="1" ht="14">
      <c r="B266" s="90"/>
      <c r="C266" s="66" t="s">
        <v>182</v>
      </c>
      <c r="D266" s="67">
        <v>5</v>
      </c>
      <c r="E266" s="68">
        <v>1.395478649177E-3</v>
      </c>
    </row>
    <row r="267" spans="2:5" s="73" customFormat="1" ht="14">
      <c r="B267" s="90"/>
      <c r="C267" s="66" t="s">
        <v>183</v>
      </c>
      <c r="D267" s="67">
        <v>1</v>
      </c>
      <c r="E267" s="68">
        <v>2.7909572983499998E-4</v>
      </c>
    </row>
    <row r="268" spans="2:5" s="73" customFormat="1" ht="14">
      <c r="B268" s="91"/>
      <c r="C268" s="36" t="s">
        <v>28</v>
      </c>
      <c r="D268" s="35">
        <v>30</v>
      </c>
      <c r="E268" s="34">
        <v>8.3728718950600006E-3</v>
      </c>
    </row>
    <row r="269" spans="2:5" s="73" customFormat="1" ht="14">
      <c r="B269" s="89" t="s">
        <v>77</v>
      </c>
      <c r="C269" s="66" t="s">
        <v>179</v>
      </c>
      <c r="D269" s="67">
        <v>1</v>
      </c>
      <c r="E269" s="68">
        <v>2.7909572983499998E-4</v>
      </c>
    </row>
    <row r="270" spans="2:5" s="73" customFormat="1" ht="14">
      <c r="B270" s="90"/>
      <c r="C270" s="66" t="s">
        <v>180</v>
      </c>
      <c r="D270" s="67">
        <v>9</v>
      </c>
      <c r="E270" s="68">
        <v>2.5118615685179998E-3</v>
      </c>
    </row>
    <row r="271" spans="2:5" s="73" customFormat="1" ht="14">
      <c r="B271" s="90"/>
      <c r="C271" s="66" t="s">
        <v>185</v>
      </c>
      <c r="D271" s="67">
        <v>1</v>
      </c>
      <c r="E271" s="68">
        <v>2.7909572983499998E-4</v>
      </c>
    </row>
    <row r="272" spans="2:5" s="73" customFormat="1" ht="14">
      <c r="B272" s="90"/>
      <c r="C272" s="66" t="s">
        <v>181</v>
      </c>
      <c r="D272" s="67">
        <v>3</v>
      </c>
      <c r="E272" s="68">
        <v>8.3728718950600001E-4</v>
      </c>
    </row>
    <row r="273" spans="2:5" s="73" customFormat="1" ht="14">
      <c r="B273" s="90"/>
      <c r="C273" s="66" t="s">
        <v>182</v>
      </c>
      <c r="D273" s="67">
        <v>2</v>
      </c>
      <c r="E273" s="68">
        <v>5.5819145967100003E-4</v>
      </c>
    </row>
    <row r="274" spans="2:5" s="73" customFormat="1" ht="14">
      <c r="B274" s="90"/>
      <c r="C274" s="66" t="s">
        <v>183</v>
      </c>
      <c r="D274" s="67">
        <v>1</v>
      </c>
      <c r="E274" s="68">
        <v>2.7909572983499998E-4</v>
      </c>
    </row>
    <row r="275" spans="2:5" s="73" customFormat="1" ht="14">
      <c r="B275" s="91"/>
      <c r="C275" s="36" t="s">
        <v>28</v>
      </c>
      <c r="D275" s="35">
        <v>17</v>
      </c>
      <c r="E275" s="34">
        <v>4.7446274072009999E-3</v>
      </c>
    </row>
    <row r="276" spans="2:5" s="73" customFormat="1" ht="14">
      <c r="B276" s="89" t="s">
        <v>52</v>
      </c>
      <c r="C276" s="66" t="s">
        <v>179</v>
      </c>
      <c r="D276" s="67">
        <v>17</v>
      </c>
      <c r="E276" s="68">
        <v>4.7446274072009999E-3</v>
      </c>
    </row>
    <row r="277" spans="2:5" s="73" customFormat="1" ht="14">
      <c r="B277" s="90"/>
      <c r="C277" s="66" t="s">
        <v>180</v>
      </c>
      <c r="D277" s="67">
        <v>44</v>
      </c>
      <c r="E277" s="68">
        <v>1.2280212112755E-2</v>
      </c>
    </row>
    <row r="278" spans="2:5" s="73" customFormat="1" ht="14">
      <c r="B278" s="90"/>
      <c r="C278" s="66" t="s">
        <v>187</v>
      </c>
      <c r="D278" s="67">
        <v>5</v>
      </c>
      <c r="E278" s="68">
        <v>1.395478649177E-3</v>
      </c>
    </row>
    <row r="279" spans="2:5" s="73" customFormat="1" ht="14">
      <c r="B279" s="90"/>
      <c r="C279" s="66" t="s">
        <v>184</v>
      </c>
      <c r="D279" s="67">
        <v>10</v>
      </c>
      <c r="E279" s="68">
        <v>2.790957298353E-3</v>
      </c>
    </row>
    <row r="280" spans="2:5" s="73" customFormat="1" ht="14">
      <c r="B280" s="90"/>
      <c r="C280" s="66" t="s">
        <v>185</v>
      </c>
      <c r="D280" s="67">
        <v>16</v>
      </c>
      <c r="E280" s="68">
        <v>4.465531677365E-3</v>
      </c>
    </row>
    <row r="281" spans="2:5" s="73" customFormat="1" ht="14">
      <c r="B281" s="90"/>
      <c r="C281" s="66" t="s">
        <v>189</v>
      </c>
      <c r="D281" s="67">
        <v>4</v>
      </c>
      <c r="E281" s="68">
        <v>1.116382919341E-3</v>
      </c>
    </row>
    <row r="282" spans="2:5" s="73" customFormat="1" ht="14">
      <c r="B282" s="90"/>
      <c r="C282" s="66" t="s">
        <v>181</v>
      </c>
      <c r="D282" s="67">
        <v>43</v>
      </c>
      <c r="E282" s="68">
        <v>1.2001116382919E-2</v>
      </c>
    </row>
    <row r="283" spans="2:5" s="73" customFormat="1" ht="14">
      <c r="B283" s="90"/>
      <c r="C283" s="66" t="s">
        <v>190</v>
      </c>
      <c r="D283" s="67">
        <v>2</v>
      </c>
      <c r="E283" s="68">
        <v>5.5819145967100003E-4</v>
      </c>
    </row>
    <row r="284" spans="2:5" s="73" customFormat="1" ht="14">
      <c r="B284" s="90"/>
      <c r="C284" s="66" t="s">
        <v>182</v>
      </c>
      <c r="D284" s="67">
        <v>67</v>
      </c>
      <c r="E284" s="68">
        <v>1.8699413898967E-2</v>
      </c>
    </row>
    <row r="285" spans="2:5" s="73" customFormat="1" ht="14">
      <c r="B285" s="90"/>
      <c r="C285" s="66" t="s">
        <v>183</v>
      </c>
      <c r="D285" s="67">
        <v>15</v>
      </c>
      <c r="E285" s="68">
        <v>4.1864359475300003E-3</v>
      </c>
    </row>
    <row r="286" spans="2:5" s="73" customFormat="1" ht="14">
      <c r="B286" s="91"/>
      <c r="C286" s="36" t="s">
        <v>28</v>
      </c>
      <c r="D286" s="35">
        <v>223</v>
      </c>
      <c r="E286" s="34">
        <v>6.2238347753279001E-2</v>
      </c>
    </row>
    <row r="287" spans="2:5" s="73" customFormat="1" ht="14">
      <c r="B287" s="89" t="s">
        <v>63</v>
      </c>
      <c r="C287" s="66" t="s">
        <v>179</v>
      </c>
      <c r="D287" s="67">
        <v>1</v>
      </c>
      <c r="E287" s="68">
        <v>2.7909572983499998E-4</v>
      </c>
    </row>
    <row r="288" spans="2:5" s="73" customFormat="1" ht="14">
      <c r="B288" s="90"/>
      <c r="C288" s="66" t="s">
        <v>180</v>
      </c>
      <c r="D288" s="67">
        <v>13</v>
      </c>
      <c r="E288" s="68">
        <v>3.6282444878589998E-3</v>
      </c>
    </row>
    <row r="289" spans="2:5" s="73" customFormat="1" ht="14">
      <c r="B289" s="90"/>
      <c r="C289" s="66" t="s">
        <v>187</v>
      </c>
      <c r="D289" s="67">
        <v>1</v>
      </c>
      <c r="E289" s="68">
        <v>2.7909572983499998E-4</v>
      </c>
    </row>
    <row r="290" spans="2:5" s="73" customFormat="1" ht="14">
      <c r="B290" s="90"/>
      <c r="C290" s="66" t="s">
        <v>184</v>
      </c>
      <c r="D290" s="67">
        <v>2</v>
      </c>
      <c r="E290" s="68">
        <v>5.5819145967100003E-4</v>
      </c>
    </row>
    <row r="291" spans="2:5" s="73" customFormat="1" ht="14">
      <c r="B291" s="90"/>
      <c r="C291" s="66" t="s">
        <v>185</v>
      </c>
      <c r="D291" s="67">
        <v>6</v>
      </c>
      <c r="E291" s="68">
        <v>1.674574379012E-3</v>
      </c>
    </row>
    <row r="292" spans="2:5" s="73" customFormat="1" ht="14">
      <c r="B292" s="90"/>
      <c r="C292" s="66" t="s">
        <v>189</v>
      </c>
      <c r="D292" s="67">
        <v>1</v>
      </c>
      <c r="E292" s="68">
        <v>2.7909572983499998E-4</v>
      </c>
    </row>
    <row r="293" spans="2:5" s="73" customFormat="1" ht="14">
      <c r="B293" s="90"/>
      <c r="C293" s="66" t="s">
        <v>181</v>
      </c>
      <c r="D293" s="67">
        <v>14</v>
      </c>
      <c r="E293" s="68">
        <v>3.9073402176949996E-3</v>
      </c>
    </row>
    <row r="294" spans="2:5" s="73" customFormat="1" ht="14">
      <c r="B294" s="90"/>
      <c r="C294" s="66" t="s">
        <v>190</v>
      </c>
      <c r="D294" s="67">
        <v>2</v>
      </c>
      <c r="E294" s="68">
        <v>5.5819145967100003E-4</v>
      </c>
    </row>
    <row r="295" spans="2:5" s="73" customFormat="1" ht="14">
      <c r="B295" s="90"/>
      <c r="C295" s="66" t="s">
        <v>182</v>
      </c>
      <c r="D295" s="67">
        <v>13</v>
      </c>
      <c r="E295" s="68">
        <v>3.6282444878589998E-3</v>
      </c>
    </row>
    <row r="296" spans="2:5" s="73" customFormat="1" ht="14">
      <c r="B296" s="90"/>
      <c r="C296" s="66" t="s">
        <v>183</v>
      </c>
      <c r="D296" s="67">
        <v>3</v>
      </c>
      <c r="E296" s="68">
        <v>8.3728718950600001E-4</v>
      </c>
    </row>
    <row r="297" spans="2:5" s="73" customFormat="1" ht="14">
      <c r="B297" s="91"/>
      <c r="C297" s="36" t="s">
        <v>28</v>
      </c>
      <c r="D297" s="35">
        <v>56</v>
      </c>
      <c r="E297" s="34">
        <v>1.5629360870778999E-2</v>
      </c>
    </row>
    <row r="298" spans="2:5" s="73" customFormat="1" ht="14">
      <c r="B298" s="89" t="s">
        <v>65</v>
      </c>
      <c r="C298" s="66" t="s">
        <v>179</v>
      </c>
      <c r="D298" s="67">
        <v>9</v>
      </c>
      <c r="E298" s="68">
        <v>2.5118615685179998E-3</v>
      </c>
    </row>
    <row r="299" spans="2:5" s="73" customFormat="1" ht="14">
      <c r="B299" s="90"/>
      <c r="C299" s="66" t="s">
        <v>180</v>
      </c>
      <c r="D299" s="67">
        <v>10</v>
      </c>
      <c r="E299" s="68">
        <v>2.790957298353E-3</v>
      </c>
    </row>
    <row r="300" spans="2:5" s="73" customFormat="1" ht="14">
      <c r="B300" s="90"/>
      <c r="C300" s="66" t="s">
        <v>185</v>
      </c>
      <c r="D300" s="67">
        <v>1</v>
      </c>
      <c r="E300" s="68">
        <v>2.7909572983499998E-4</v>
      </c>
    </row>
    <row r="301" spans="2:5" s="73" customFormat="1" ht="14">
      <c r="B301" s="90"/>
      <c r="C301" s="66" t="s">
        <v>181</v>
      </c>
      <c r="D301" s="67">
        <v>7</v>
      </c>
      <c r="E301" s="68">
        <v>1.9536701088469998E-3</v>
      </c>
    </row>
    <row r="302" spans="2:5" s="73" customFormat="1" ht="14">
      <c r="B302" s="90"/>
      <c r="C302" s="66" t="s">
        <v>182</v>
      </c>
      <c r="D302" s="67">
        <v>19</v>
      </c>
      <c r="E302" s="68">
        <v>5.3028188668710003E-3</v>
      </c>
    </row>
    <row r="303" spans="2:5" s="73" customFormat="1" ht="14">
      <c r="B303" s="91"/>
      <c r="C303" s="36" t="s">
        <v>28</v>
      </c>
      <c r="D303" s="35">
        <v>46</v>
      </c>
      <c r="E303" s="34">
        <v>1.2838403572425E-2</v>
      </c>
    </row>
    <row r="304" spans="2:5" s="73" customFormat="1" ht="14">
      <c r="B304" s="89" t="s">
        <v>56</v>
      </c>
      <c r="C304" s="66" t="s">
        <v>188</v>
      </c>
      <c r="D304" s="67">
        <v>1</v>
      </c>
      <c r="E304" s="68">
        <v>2.7909572983499998E-4</v>
      </c>
    </row>
    <row r="305" spans="2:5" s="73" customFormat="1" ht="14">
      <c r="B305" s="90"/>
      <c r="C305" s="66" t="s">
        <v>179</v>
      </c>
      <c r="D305" s="67">
        <v>8</v>
      </c>
      <c r="E305" s="68">
        <v>2.2327658386830001E-3</v>
      </c>
    </row>
    <row r="306" spans="2:5" s="73" customFormat="1" ht="14">
      <c r="B306" s="90"/>
      <c r="C306" s="66" t="s">
        <v>180</v>
      </c>
      <c r="D306" s="67">
        <v>38</v>
      </c>
      <c r="E306" s="68">
        <v>1.0605637733743E-2</v>
      </c>
    </row>
    <row r="307" spans="2:5" s="73" customFormat="1" ht="14">
      <c r="B307" s="90"/>
      <c r="C307" s="66" t="s">
        <v>187</v>
      </c>
      <c r="D307" s="67">
        <v>8</v>
      </c>
      <c r="E307" s="68">
        <v>2.2327658386830001E-3</v>
      </c>
    </row>
    <row r="308" spans="2:5" s="73" customFormat="1" ht="14">
      <c r="B308" s="90"/>
      <c r="C308" s="66" t="s">
        <v>184</v>
      </c>
      <c r="D308" s="67">
        <v>4</v>
      </c>
      <c r="E308" s="68">
        <v>1.116382919341E-3</v>
      </c>
    </row>
    <row r="309" spans="2:5" s="73" customFormat="1" ht="14">
      <c r="B309" s="90"/>
      <c r="C309" s="66" t="s">
        <v>185</v>
      </c>
      <c r="D309" s="67">
        <v>3</v>
      </c>
      <c r="E309" s="68">
        <v>8.3728718950600001E-4</v>
      </c>
    </row>
    <row r="310" spans="2:5" s="73" customFormat="1" ht="14">
      <c r="B310" s="90"/>
      <c r="C310" s="66" t="s">
        <v>189</v>
      </c>
      <c r="D310" s="67">
        <v>2</v>
      </c>
      <c r="E310" s="68">
        <v>5.5819145967100003E-4</v>
      </c>
    </row>
    <row r="311" spans="2:5" s="73" customFormat="1" ht="14">
      <c r="B311" s="90"/>
      <c r="C311" s="66" t="s">
        <v>181</v>
      </c>
      <c r="D311" s="67">
        <v>24</v>
      </c>
      <c r="E311" s="68">
        <v>6.6982975160480001E-3</v>
      </c>
    </row>
    <row r="312" spans="2:5" s="73" customFormat="1" ht="14">
      <c r="B312" s="90"/>
      <c r="C312" s="66" t="s">
        <v>190</v>
      </c>
      <c r="D312" s="67">
        <v>13</v>
      </c>
      <c r="E312" s="68">
        <v>3.6282444878589998E-3</v>
      </c>
    </row>
    <row r="313" spans="2:5" s="73" customFormat="1" ht="14">
      <c r="B313" s="90"/>
      <c r="C313" s="66" t="s">
        <v>182</v>
      </c>
      <c r="D313" s="67">
        <v>30</v>
      </c>
      <c r="E313" s="68">
        <v>8.3728718950600006E-3</v>
      </c>
    </row>
    <row r="314" spans="2:5" s="73" customFormat="1" ht="14">
      <c r="B314" s="90"/>
      <c r="C314" s="66" t="s">
        <v>183</v>
      </c>
      <c r="D314" s="67">
        <v>11</v>
      </c>
      <c r="E314" s="68">
        <v>3.0700530281889999E-3</v>
      </c>
    </row>
    <row r="315" spans="2:5" s="73" customFormat="1" ht="14">
      <c r="B315" s="91"/>
      <c r="C315" s="36" t="s">
        <v>28</v>
      </c>
      <c r="D315" s="35">
        <v>142</v>
      </c>
      <c r="E315" s="34">
        <v>3.9631593636617002E-2</v>
      </c>
    </row>
    <row r="316" spans="2:5" s="73" customFormat="1" ht="14">
      <c r="B316" s="89" t="s">
        <v>57</v>
      </c>
      <c r="C316" s="66" t="s">
        <v>179</v>
      </c>
      <c r="D316" s="67">
        <v>6</v>
      </c>
      <c r="E316" s="68">
        <v>1.674574379012E-3</v>
      </c>
    </row>
    <row r="317" spans="2:5" s="73" customFormat="1" ht="14">
      <c r="B317" s="90"/>
      <c r="C317" s="66" t="s">
        <v>180</v>
      </c>
      <c r="D317" s="67">
        <v>37</v>
      </c>
      <c r="E317" s="68">
        <v>1.0326542003907001E-2</v>
      </c>
    </row>
    <row r="318" spans="2:5" s="73" customFormat="1" ht="14">
      <c r="B318" s="90"/>
      <c r="C318" s="66" t="s">
        <v>187</v>
      </c>
      <c r="D318" s="67">
        <v>5</v>
      </c>
      <c r="E318" s="68">
        <v>1.395478649177E-3</v>
      </c>
    </row>
    <row r="319" spans="2:5" s="73" customFormat="1" ht="14">
      <c r="B319" s="90"/>
      <c r="C319" s="66" t="s">
        <v>184</v>
      </c>
      <c r="D319" s="67">
        <v>3</v>
      </c>
      <c r="E319" s="68">
        <v>8.3728718950600001E-4</v>
      </c>
    </row>
    <row r="320" spans="2:5" s="73" customFormat="1" ht="14">
      <c r="B320" s="90"/>
      <c r="C320" s="66" t="s">
        <v>185</v>
      </c>
      <c r="D320" s="67">
        <v>6</v>
      </c>
      <c r="E320" s="68">
        <v>1.674574379012E-3</v>
      </c>
    </row>
    <row r="321" spans="2:5" s="73" customFormat="1" ht="14">
      <c r="B321" s="90"/>
      <c r="C321" s="66" t="s">
        <v>181</v>
      </c>
      <c r="D321" s="67">
        <v>35</v>
      </c>
      <c r="E321" s="68">
        <v>9.7683505442369995E-3</v>
      </c>
    </row>
    <row r="322" spans="2:5" s="73" customFormat="1" ht="14">
      <c r="B322" s="90"/>
      <c r="C322" s="66" t="s">
        <v>190</v>
      </c>
      <c r="D322" s="67">
        <v>2</v>
      </c>
      <c r="E322" s="68">
        <v>5.5819145967100003E-4</v>
      </c>
    </row>
    <row r="323" spans="2:5" s="73" customFormat="1" ht="14">
      <c r="B323" s="90"/>
      <c r="C323" s="66" t="s">
        <v>182</v>
      </c>
      <c r="D323" s="67">
        <v>29</v>
      </c>
      <c r="E323" s="68">
        <v>8.0937761652250008E-3</v>
      </c>
    </row>
    <row r="324" spans="2:5" s="73" customFormat="1" ht="14">
      <c r="B324" s="90"/>
      <c r="C324" s="66" t="s">
        <v>183</v>
      </c>
      <c r="D324" s="67">
        <v>8</v>
      </c>
      <c r="E324" s="68">
        <v>2.2327658386830001E-3</v>
      </c>
    </row>
    <row r="325" spans="2:5" s="73" customFormat="1" ht="14">
      <c r="B325" s="91"/>
      <c r="C325" s="36" t="s">
        <v>28</v>
      </c>
      <c r="D325" s="35">
        <v>131</v>
      </c>
      <c r="E325" s="34">
        <v>3.6561540608428998E-2</v>
      </c>
    </row>
    <row r="326" spans="2:5" s="73" customFormat="1" ht="14">
      <c r="B326" s="89" t="s">
        <v>69</v>
      </c>
      <c r="C326" s="66" t="s">
        <v>179</v>
      </c>
      <c r="D326" s="67">
        <v>2</v>
      </c>
      <c r="E326" s="68">
        <v>5.5819145967100003E-4</v>
      </c>
    </row>
    <row r="327" spans="2:5" s="73" customFormat="1" ht="14">
      <c r="B327" s="90"/>
      <c r="C327" s="66" t="s">
        <v>180</v>
      </c>
      <c r="D327" s="67">
        <v>11</v>
      </c>
      <c r="E327" s="68">
        <v>3.0700530281889999E-3</v>
      </c>
    </row>
    <row r="328" spans="2:5" s="73" customFormat="1" ht="14">
      <c r="B328" s="90"/>
      <c r="C328" s="66" t="s">
        <v>187</v>
      </c>
      <c r="D328" s="67">
        <v>4</v>
      </c>
      <c r="E328" s="68">
        <v>1.116382919341E-3</v>
      </c>
    </row>
    <row r="329" spans="2:5" s="73" customFormat="1" ht="14">
      <c r="B329" s="90"/>
      <c r="C329" s="66" t="s">
        <v>184</v>
      </c>
      <c r="D329" s="67">
        <v>1</v>
      </c>
      <c r="E329" s="68">
        <v>2.7909572983499998E-4</v>
      </c>
    </row>
    <row r="330" spans="2:5" s="73" customFormat="1" ht="14">
      <c r="B330" s="90"/>
      <c r="C330" s="66" t="s">
        <v>185</v>
      </c>
      <c r="D330" s="67">
        <v>1</v>
      </c>
      <c r="E330" s="68">
        <v>2.7909572983499998E-4</v>
      </c>
    </row>
    <row r="331" spans="2:5" s="73" customFormat="1" ht="14">
      <c r="B331" s="90"/>
      <c r="C331" s="66" t="s">
        <v>189</v>
      </c>
      <c r="D331" s="67">
        <v>2</v>
      </c>
      <c r="E331" s="68">
        <v>5.5819145967100003E-4</v>
      </c>
    </row>
    <row r="332" spans="2:5" s="73" customFormat="1" ht="14">
      <c r="B332" s="90"/>
      <c r="C332" s="66" t="s">
        <v>181</v>
      </c>
      <c r="D332" s="67">
        <v>6</v>
      </c>
      <c r="E332" s="68">
        <v>1.674574379012E-3</v>
      </c>
    </row>
    <row r="333" spans="2:5" s="73" customFormat="1" ht="14">
      <c r="B333" s="90"/>
      <c r="C333" s="66" t="s">
        <v>190</v>
      </c>
      <c r="D333" s="67">
        <v>3</v>
      </c>
      <c r="E333" s="68">
        <v>8.3728718950600001E-4</v>
      </c>
    </row>
    <row r="334" spans="2:5" s="73" customFormat="1" ht="14">
      <c r="B334" s="90"/>
      <c r="C334" s="66" t="s">
        <v>182</v>
      </c>
      <c r="D334" s="67">
        <v>11</v>
      </c>
      <c r="E334" s="68">
        <v>3.0700530281889999E-3</v>
      </c>
    </row>
    <row r="335" spans="2:5" s="73" customFormat="1" ht="14">
      <c r="B335" s="90"/>
      <c r="C335" s="66" t="s">
        <v>183</v>
      </c>
      <c r="D335" s="67">
        <v>1</v>
      </c>
      <c r="E335" s="68">
        <v>2.7909572983499998E-4</v>
      </c>
    </row>
    <row r="336" spans="2:5" s="73" customFormat="1" ht="14">
      <c r="B336" s="91"/>
      <c r="C336" s="36" t="s">
        <v>28</v>
      </c>
      <c r="D336" s="35">
        <v>42</v>
      </c>
      <c r="E336" s="34">
        <v>1.1722020653084E-2</v>
      </c>
    </row>
    <row r="337" spans="2:5" s="73" customFormat="1" ht="14">
      <c r="B337" s="89" t="s">
        <v>88</v>
      </c>
      <c r="C337" s="66" t="s">
        <v>180</v>
      </c>
      <c r="D337" s="67">
        <v>3</v>
      </c>
      <c r="E337" s="68">
        <v>8.3728718950600001E-4</v>
      </c>
    </row>
    <row r="338" spans="2:5" s="73" customFormat="1" ht="14">
      <c r="B338" s="90"/>
      <c r="C338" s="66" t="s">
        <v>181</v>
      </c>
      <c r="D338" s="67">
        <v>1</v>
      </c>
      <c r="E338" s="68">
        <v>2.7909572983499998E-4</v>
      </c>
    </row>
    <row r="339" spans="2:5" s="73" customFormat="1" ht="14">
      <c r="B339" s="90"/>
      <c r="C339" s="66" t="s">
        <v>182</v>
      </c>
      <c r="D339" s="67">
        <v>2</v>
      </c>
      <c r="E339" s="68">
        <v>5.5819145967100003E-4</v>
      </c>
    </row>
    <row r="340" spans="2:5" s="73" customFormat="1" ht="14">
      <c r="B340" s="90"/>
      <c r="C340" s="66" t="s">
        <v>183</v>
      </c>
      <c r="D340" s="67">
        <v>1</v>
      </c>
      <c r="E340" s="68">
        <v>2.7909572983499998E-4</v>
      </c>
    </row>
    <row r="341" spans="2:5" s="73" customFormat="1" ht="14">
      <c r="B341" s="91"/>
      <c r="C341" s="36" t="s">
        <v>28</v>
      </c>
      <c r="D341" s="35">
        <v>7</v>
      </c>
      <c r="E341" s="34">
        <v>1.9536701088469998E-3</v>
      </c>
    </row>
    <row r="342" spans="2:5" s="73" customFormat="1" ht="14">
      <c r="B342" s="89" t="s">
        <v>84</v>
      </c>
      <c r="C342" s="66" t="s">
        <v>180</v>
      </c>
      <c r="D342" s="67">
        <v>6</v>
      </c>
      <c r="E342" s="68">
        <v>1.674574379012E-3</v>
      </c>
    </row>
    <row r="343" spans="2:5" s="73" customFormat="1" ht="14">
      <c r="B343" s="90"/>
      <c r="C343" s="66" t="s">
        <v>189</v>
      </c>
      <c r="D343" s="67">
        <v>1</v>
      </c>
      <c r="E343" s="68">
        <v>2.7909572983499998E-4</v>
      </c>
    </row>
    <row r="344" spans="2:5" s="73" customFormat="1" ht="14">
      <c r="B344" s="90"/>
      <c r="C344" s="66" t="s">
        <v>181</v>
      </c>
      <c r="D344" s="67">
        <v>1</v>
      </c>
      <c r="E344" s="68">
        <v>2.7909572983499998E-4</v>
      </c>
    </row>
    <row r="345" spans="2:5" s="73" customFormat="1" ht="14">
      <c r="B345" s="90"/>
      <c r="C345" s="66" t="s">
        <v>182</v>
      </c>
      <c r="D345" s="67">
        <v>1</v>
      </c>
      <c r="E345" s="68">
        <v>2.7909572983499998E-4</v>
      </c>
    </row>
    <row r="346" spans="2:5" s="73" customFormat="1" ht="14">
      <c r="B346" s="91"/>
      <c r="C346" s="36" t="s">
        <v>28</v>
      </c>
      <c r="D346" s="35">
        <v>9</v>
      </c>
      <c r="E346" s="34">
        <v>2.5118615685179998E-3</v>
      </c>
    </row>
    <row r="347" spans="2:5" ht="14.5">
      <c r="B347" s="89" t="s">
        <v>92</v>
      </c>
      <c r="C347" s="66" t="s">
        <v>180</v>
      </c>
      <c r="D347" s="67">
        <v>3</v>
      </c>
      <c r="E347" s="68">
        <v>8.3728718950600001E-4</v>
      </c>
    </row>
    <row r="348" spans="2:5" ht="42">
      <c r="B348" s="90"/>
      <c r="C348" s="66" t="s">
        <v>186</v>
      </c>
      <c r="D348" s="67">
        <v>1</v>
      </c>
      <c r="E348" s="68">
        <v>2.7909572983499998E-4</v>
      </c>
    </row>
    <row r="349" spans="2:5" ht="14.5">
      <c r="B349" s="91"/>
      <c r="C349" s="36" t="s">
        <v>28</v>
      </c>
      <c r="D349" s="35">
        <v>4</v>
      </c>
      <c r="E349" s="34">
        <v>1.116382919341E-3</v>
      </c>
    </row>
    <row r="350" spans="2:5" ht="15" customHeight="1">
      <c r="B350" s="87" t="s">
        <v>28</v>
      </c>
      <c r="C350" s="88"/>
      <c r="D350" s="64">
        <v>3583</v>
      </c>
      <c r="E350" s="65">
        <v>1</v>
      </c>
    </row>
    <row r="352" spans="2:5" ht="15" customHeight="1">
      <c r="B352" s="15" t="s">
        <v>47</v>
      </c>
    </row>
    <row r="353" spans="2:2" ht="15" customHeight="1">
      <c r="B353" s="17" t="s">
        <v>17</v>
      </c>
    </row>
    <row r="354" spans="2:2" ht="15" customHeight="1">
      <c r="B354" s="16" t="s">
        <v>48</v>
      </c>
    </row>
    <row r="355" spans="2:2" ht="15" customHeight="1">
      <c r="B355" s="15" t="s">
        <v>16</v>
      </c>
    </row>
    <row r="356" spans="2:2" ht="15" customHeight="1">
      <c r="B356" s="15" t="s">
        <v>49</v>
      </c>
    </row>
  </sheetData>
  <mergeCells count="50">
    <mergeCell ref="B7:E8"/>
    <mergeCell ref="B10:B12"/>
    <mergeCell ref="B13:B19"/>
    <mergeCell ref="B20:B25"/>
    <mergeCell ref="B26:B36"/>
    <mergeCell ref="B37:B41"/>
    <mergeCell ref="B42:B45"/>
    <mergeCell ref="B46:B48"/>
    <mergeCell ref="B49:B58"/>
    <mergeCell ref="B59:B68"/>
    <mergeCell ref="B69:B75"/>
    <mergeCell ref="B76:B81"/>
    <mergeCell ref="B82:B85"/>
    <mergeCell ref="B86:B89"/>
    <mergeCell ref="B90:B100"/>
    <mergeCell ref="B101:B110"/>
    <mergeCell ref="B111:B116"/>
    <mergeCell ref="B117:B125"/>
    <mergeCell ref="B126:B130"/>
    <mergeCell ref="B131:B141"/>
    <mergeCell ref="B142:B150"/>
    <mergeCell ref="B151:B161"/>
    <mergeCell ref="B162:B167"/>
    <mergeCell ref="B168:B173"/>
    <mergeCell ref="B174:B176"/>
    <mergeCell ref="B177:B178"/>
    <mergeCell ref="B179:B182"/>
    <mergeCell ref="B183:B186"/>
    <mergeCell ref="B187:B191"/>
    <mergeCell ref="B192:B198"/>
    <mergeCell ref="B199:B204"/>
    <mergeCell ref="B205:B214"/>
    <mergeCell ref="B215:B222"/>
    <mergeCell ref="B223:B230"/>
    <mergeCell ref="B231:B232"/>
    <mergeCell ref="B233:B242"/>
    <mergeCell ref="B243:B253"/>
    <mergeCell ref="B254:B259"/>
    <mergeCell ref="B260:B268"/>
    <mergeCell ref="B269:B275"/>
    <mergeCell ref="B276:B286"/>
    <mergeCell ref="B287:B297"/>
    <mergeCell ref="B298:B303"/>
    <mergeCell ref="B304:B315"/>
    <mergeCell ref="B316:B325"/>
    <mergeCell ref="B326:B336"/>
    <mergeCell ref="B337:B341"/>
    <mergeCell ref="B342:B346"/>
    <mergeCell ref="B347:B349"/>
    <mergeCell ref="B350:C35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>
    <tabColor rgb="FF92D050"/>
  </sheetPr>
  <dimension ref="A1:D73"/>
  <sheetViews>
    <sheetView showGridLines="0" view="pageBreakPreview" topLeftCell="A32" zoomScale="115" zoomScaleNormal="100" zoomScaleSheetLayoutView="115" workbookViewId="0">
      <selection activeCell="B12" sqref="B12:D35"/>
    </sheetView>
  </sheetViews>
  <sheetFormatPr baseColWidth="10" defaultColWidth="11.453125" defaultRowHeight="14.5"/>
  <cols>
    <col min="1" max="1" width="9.26953125" style="13" customWidth="1"/>
    <col min="2" max="2" width="34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1.90625" style="13" customWidth="1"/>
    <col min="7" max="8" width="11.453125" style="13"/>
    <col min="9" max="9" width="22.7265625" style="13" customWidth="1"/>
    <col min="10" max="16384" width="11.453125" style="13"/>
  </cols>
  <sheetData>
    <row r="1" spans="1:4" s="25" customFormat="1" ht="15" customHeight="1">
      <c r="C1" s="31"/>
    </row>
    <row r="2" spans="1:4" s="25" customFormat="1" ht="15" customHeight="1">
      <c r="C2" s="31"/>
    </row>
    <row r="3" spans="1:4" s="25" customFormat="1" ht="15" customHeight="1">
      <c r="C3" s="31"/>
    </row>
    <row r="4" spans="1:4" s="25" customFormat="1" ht="30" customHeight="1">
      <c r="C4" s="31"/>
      <c r="D4" s="30"/>
    </row>
    <row r="5" spans="1:4" s="25" customFormat="1" ht="15" customHeight="1">
      <c r="C5" s="31"/>
      <c r="D5" s="30"/>
    </row>
    <row r="6" spans="1:4" s="25" customFormat="1" ht="15" customHeight="1">
      <c r="C6" s="31"/>
      <c r="D6" s="30"/>
    </row>
    <row r="7" spans="1:4" s="25" customFormat="1" ht="15" customHeight="1">
      <c r="B7" s="86" t="s">
        <v>38</v>
      </c>
      <c r="C7" s="86"/>
      <c r="D7" s="86"/>
    </row>
    <row r="8" spans="1:4" s="25" customFormat="1" ht="15" customHeight="1">
      <c r="B8" s="86"/>
      <c r="C8" s="86"/>
      <c r="D8" s="86"/>
    </row>
    <row r="9" spans="1:4" s="25" customFormat="1" ht="33" customHeight="1">
      <c r="B9" s="86"/>
      <c r="C9" s="86"/>
      <c r="D9" s="86"/>
    </row>
    <row r="10" spans="1:4" s="25" customFormat="1" ht="4.5" customHeight="1">
      <c r="B10" s="29"/>
      <c r="C10" s="29"/>
      <c r="D10" s="29"/>
    </row>
    <row r="11" spans="1:4" s="25" customFormat="1" ht="33" customHeight="1">
      <c r="B11" s="28" t="s">
        <v>26</v>
      </c>
      <c r="C11" s="27" t="s">
        <v>25</v>
      </c>
      <c r="D11" s="26" t="s">
        <v>18</v>
      </c>
    </row>
    <row r="12" spans="1:4" ht="14.5" customHeight="1">
      <c r="A12" s="46"/>
      <c r="B12" s="23" t="s">
        <v>191</v>
      </c>
      <c r="C12" s="22">
        <v>53</v>
      </c>
      <c r="D12" s="21">
        <v>1.4792073681272999E-2</v>
      </c>
    </row>
    <row r="13" spans="1:4" ht="14.5" customHeight="1">
      <c r="A13" s="46"/>
      <c r="B13" s="23" t="s">
        <v>192</v>
      </c>
      <c r="C13" s="22">
        <v>19</v>
      </c>
      <c r="D13" s="21">
        <v>5.3028188668710003E-3</v>
      </c>
    </row>
    <row r="14" spans="1:4" s="24" customFormat="1" ht="14.5" customHeight="1">
      <c r="A14" s="13"/>
      <c r="B14" s="23" t="s">
        <v>193</v>
      </c>
      <c r="C14" s="22">
        <v>39</v>
      </c>
      <c r="D14" s="21">
        <v>1.0884733463578E-2</v>
      </c>
    </row>
    <row r="15" spans="1:4" s="24" customFormat="1" ht="14.5" customHeight="1">
      <c r="A15" s="13"/>
      <c r="B15" s="23" t="s">
        <v>194</v>
      </c>
      <c r="C15" s="22">
        <v>80</v>
      </c>
      <c r="D15" s="21">
        <v>2.2327658386827001E-2</v>
      </c>
    </row>
    <row r="16" spans="1:4" ht="14.5" customHeight="1">
      <c r="B16" s="23" t="s">
        <v>195</v>
      </c>
      <c r="C16" s="22">
        <v>41</v>
      </c>
      <c r="D16" s="21">
        <v>1.1442924923249E-2</v>
      </c>
    </row>
    <row r="17" spans="2:4" ht="14.5" customHeight="1">
      <c r="B17" s="23" t="s">
        <v>196</v>
      </c>
      <c r="C17" s="22">
        <v>59</v>
      </c>
      <c r="D17" s="21">
        <v>1.6466648060285E-2</v>
      </c>
    </row>
    <row r="18" spans="2:4" ht="14.5" customHeight="1">
      <c r="B18" s="23" t="s">
        <v>197</v>
      </c>
      <c r="C18" s="22">
        <v>319</v>
      </c>
      <c r="D18" s="21">
        <v>8.9031537817471001E-2</v>
      </c>
    </row>
    <row r="19" spans="2:4" ht="14.5" customHeight="1">
      <c r="B19" s="23" t="s">
        <v>198</v>
      </c>
      <c r="C19" s="22">
        <v>459</v>
      </c>
      <c r="D19" s="21">
        <v>0.12810493999441799</v>
      </c>
    </row>
    <row r="20" spans="2:4" ht="14.5" customHeight="1">
      <c r="B20" s="23" t="s">
        <v>199</v>
      </c>
      <c r="C20" s="22">
        <v>64</v>
      </c>
      <c r="D20" s="21">
        <v>1.7862126709460999E-2</v>
      </c>
    </row>
    <row r="21" spans="2:4" ht="14.5" customHeight="1">
      <c r="B21" s="23" t="s">
        <v>200</v>
      </c>
      <c r="C21" s="22">
        <v>104</v>
      </c>
      <c r="D21" s="21">
        <v>2.9025955902875E-2</v>
      </c>
    </row>
    <row r="22" spans="2:4" ht="14.5" customHeight="1">
      <c r="B22" s="23" t="s">
        <v>201</v>
      </c>
      <c r="C22" s="22">
        <v>147</v>
      </c>
      <c r="D22" s="21">
        <v>4.1027072285793997E-2</v>
      </c>
    </row>
    <row r="23" spans="2:4" ht="14.5" customHeight="1">
      <c r="B23" s="23" t="s">
        <v>202</v>
      </c>
      <c r="C23" s="22">
        <v>983</v>
      </c>
      <c r="D23" s="21">
        <v>0.27435110242813299</v>
      </c>
    </row>
    <row r="24" spans="2:4" ht="14.5" customHeight="1">
      <c r="B24" s="23" t="s">
        <v>203</v>
      </c>
      <c r="C24" s="22">
        <v>54</v>
      </c>
      <c r="D24" s="21">
        <v>1.5071169411108001E-2</v>
      </c>
    </row>
    <row r="25" spans="2:4" ht="14.5" customHeight="1">
      <c r="B25" s="23" t="s">
        <v>204</v>
      </c>
      <c r="C25" s="22">
        <v>194</v>
      </c>
      <c r="D25" s="21">
        <v>5.4144571588055003E-2</v>
      </c>
    </row>
    <row r="26" spans="2:4" ht="14.5" customHeight="1">
      <c r="B26" s="23" t="s">
        <v>205</v>
      </c>
      <c r="C26" s="22">
        <v>734</v>
      </c>
      <c r="D26" s="21">
        <v>0.20485626569913501</v>
      </c>
    </row>
    <row r="27" spans="2:4" ht="14.5" customHeight="1">
      <c r="B27" s="23" t="s">
        <v>206</v>
      </c>
      <c r="C27" s="22">
        <v>12</v>
      </c>
      <c r="D27" s="21">
        <v>3.349148758024E-3</v>
      </c>
    </row>
    <row r="28" spans="2:4" ht="14.5" customHeight="1">
      <c r="B28" s="23" t="s">
        <v>207</v>
      </c>
      <c r="C28" s="22">
        <v>11</v>
      </c>
      <c r="D28" s="21">
        <v>3.0700530281889999E-3</v>
      </c>
    </row>
    <row r="29" spans="2:4" ht="14.5" customHeight="1">
      <c r="B29" s="23" t="s">
        <v>208</v>
      </c>
      <c r="C29" s="22">
        <v>5</v>
      </c>
      <c r="D29" s="21">
        <v>1.395478649177E-3</v>
      </c>
    </row>
    <row r="30" spans="2:4" ht="14.5" customHeight="1">
      <c r="B30" s="23" t="s">
        <v>209</v>
      </c>
      <c r="C30" s="22">
        <v>4</v>
      </c>
      <c r="D30" s="21">
        <v>1.116382919341E-3</v>
      </c>
    </row>
    <row r="31" spans="2:4" ht="14.5" customHeight="1">
      <c r="B31" s="23" t="s">
        <v>210</v>
      </c>
      <c r="C31" s="22">
        <v>50</v>
      </c>
      <c r="D31" s="21">
        <v>1.3954786491767001E-2</v>
      </c>
    </row>
    <row r="32" spans="2:4" ht="14.5" customHeight="1">
      <c r="B32" s="23" t="s">
        <v>211</v>
      </c>
      <c r="C32" s="22">
        <v>140</v>
      </c>
      <c r="D32" s="21">
        <v>3.9073402176946999E-2</v>
      </c>
    </row>
    <row r="33" spans="2:4" ht="14.5" customHeight="1">
      <c r="B33" s="23" t="s">
        <v>212</v>
      </c>
      <c r="C33" s="22">
        <v>11</v>
      </c>
      <c r="D33" s="21">
        <v>3.0700530281889999E-3</v>
      </c>
    </row>
    <row r="34" spans="2:4" ht="14.5" customHeight="1">
      <c r="B34" s="23" t="s">
        <v>213</v>
      </c>
      <c r="C34" s="22">
        <v>1</v>
      </c>
      <c r="D34" s="21">
        <v>2.7909572983499998E-4</v>
      </c>
    </row>
    <row r="35" spans="2:4" ht="14.5" customHeight="1">
      <c r="B35" s="20" t="s">
        <v>28</v>
      </c>
      <c r="C35" s="19">
        <v>3583</v>
      </c>
      <c r="D35" s="18">
        <v>1</v>
      </c>
    </row>
    <row r="36" spans="2:4" ht="14.5" customHeight="1"/>
    <row r="37" spans="2:4" ht="14.5" customHeight="1">
      <c r="B37" s="15" t="s">
        <v>47</v>
      </c>
    </row>
    <row r="38" spans="2:4" ht="14.5" customHeight="1">
      <c r="B38" s="17" t="s">
        <v>17</v>
      </c>
    </row>
    <row r="39" spans="2:4" ht="14.5" customHeight="1">
      <c r="B39" s="16" t="s">
        <v>48</v>
      </c>
    </row>
    <row r="40" spans="2:4" ht="14.5" customHeight="1">
      <c r="B40" s="15" t="s">
        <v>16</v>
      </c>
    </row>
    <row r="41" spans="2:4" ht="14.5" customHeight="1">
      <c r="B41" s="15" t="s">
        <v>49</v>
      </c>
    </row>
    <row r="48" spans="2:4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  <row r="72" spans="3:3">
      <c r="C72" s="13"/>
    </row>
    <row r="73" spans="3:3">
      <c r="C73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9">
    <tabColor rgb="FF92D050"/>
  </sheetPr>
  <dimension ref="A1:E339"/>
  <sheetViews>
    <sheetView showGridLines="0" view="pageBreakPreview" zoomScale="85" zoomScaleNormal="100" zoomScaleSheetLayoutView="85" workbookViewId="0">
      <selection activeCell="E10" sqref="B10:E333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1.453125" style="33" customWidth="1"/>
    <col min="4" max="4" width="14.26953125" style="33" customWidth="1"/>
    <col min="5" max="5" width="16.81640625" style="33" customWidth="1"/>
    <col min="6" max="6" width="32.6328125" style="32" customWidth="1"/>
    <col min="7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92"/>
      <c r="C7" s="92"/>
      <c r="D7" s="92"/>
      <c r="E7" s="92"/>
    </row>
    <row r="8" spans="1:5" s="41" customFormat="1" ht="33" customHeight="1">
      <c r="A8" s="42"/>
      <c r="B8" s="92"/>
      <c r="C8" s="92"/>
      <c r="D8" s="92"/>
      <c r="E8" s="92"/>
    </row>
    <row r="9" spans="1:5" s="25" customFormat="1" ht="40.5" customHeight="1">
      <c r="B9" s="38" t="s">
        <v>27</v>
      </c>
      <c r="C9" s="40" t="s">
        <v>24</v>
      </c>
      <c r="D9" s="39" t="s">
        <v>19</v>
      </c>
      <c r="E9" s="38" t="s">
        <v>18</v>
      </c>
    </row>
    <row r="10" spans="1:5" ht="14.5" customHeight="1">
      <c r="B10" s="89" t="s">
        <v>191</v>
      </c>
      <c r="C10" s="66" t="s">
        <v>102</v>
      </c>
      <c r="D10" s="67">
        <v>41</v>
      </c>
      <c r="E10" s="68">
        <v>1.1442924923249E-2</v>
      </c>
    </row>
    <row r="11" spans="1:5" ht="14.5" customHeight="1">
      <c r="B11" s="90"/>
      <c r="C11" s="66" t="s">
        <v>104</v>
      </c>
      <c r="D11" s="67">
        <v>2</v>
      </c>
      <c r="E11" s="68">
        <v>5.5819145967100003E-4</v>
      </c>
    </row>
    <row r="12" spans="1:5" ht="14.5" customHeight="1">
      <c r="B12" s="90"/>
      <c r="C12" s="66" t="s">
        <v>106</v>
      </c>
      <c r="D12" s="67">
        <v>1</v>
      </c>
      <c r="E12" s="68">
        <v>2.7909572983499998E-4</v>
      </c>
    </row>
    <row r="13" spans="1:5" ht="14.5" customHeight="1">
      <c r="B13" s="90"/>
      <c r="C13" s="66" t="s">
        <v>107</v>
      </c>
      <c r="D13" s="67">
        <v>3</v>
      </c>
      <c r="E13" s="68">
        <v>8.3728718950600001E-4</v>
      </c>
    </row>
    <row r="14" spans="1:5" ht="14.5" customHeight="1">
      <c r="B14" s="90"/>
      <c r="C14" s="66" t="s">
        <v>117</v>
      </c>
      <c r="D14" s="67">
        <v>1</v>
      </c>
      <c r="E14" s="68">
        <v>2.7909572983499998E-4</v>
      </c>
    </row>
    <row r="15" spans="1:5" ht="14.5" customHeight="1">
      <c r="B15" s="90"/>
      <c r="C15" s="66" t="s">
        <v>132</v>
      </c>
      <c r="D15" s="67">
        <v>5</v>
      </c>
      <c r="E15" s="68">
        <v>1.395478649177E-3</v>
      </c>
    </row>
    <row r="16" spans="1:5" ht="14.5" customHeight="1">
      <c r="B16" s="91"/>
      <c r="C16" s="36" t="s">
        <v>28</v>
      </c>
      <c r="D16" s="35">
        <v>53</v>
      </c>
      <c r="E16" s="34">
        <v>1.4792073681272999E-2</v>
      </c>
    </row>
    <row r="17" spans="2:5" ht="14.5" customHeight="1">
      <c r="B17" s="89" t="s">
        <v>192</v>
      </c>
      <c r="C17" s="66" t="s">
        <v>100</v>
      </c>
      <c r="D17" s="67">
        <v>1</v>
      </c>
      <c r="E17" s="68">
        <v>2.7909572983499998E-4</v>
      </c>
    </row>
    <row r="18" spans="2:5" ht="14.5" customHeight="1">
      <c r="B18" s="90"/>
      <c r="C18" s="66" t="s">
        <v>102</v>
      </c>
      <c r="D18" s="67">
        <v>15</v>
      </c>
      <c r="E18" s="68">
        <v>4.1864359475300003E-3</v>
      </c>
    </row>
    <row r="19" spans="2:5" ht="14.5" customHeight="1">
      <c r="B19" s="90"/>
      <c r="C19" s="66" t="s">
        <v>103</v>
      </c>
      <c r="D19" s="67">
        <v>1</v>
      </c>
      <c r="E19" s="68">
        <v>2.7909572983499998E-4</v>
      </c>
    </row>
    <row r="20" spans="2:5" ht="14.5" customHeight="1">
      <c r="B20" s="90"/>
      <c r="C20" s="66" t="s">
        <v>119</v>
      </c>
      <c r="D20" s="67">
        <v>1</v>
      </c>
      <c r="E20" s="68">
        <v>2.7909572983499998E-4</v>
      </c>
    </row>
    <row r="21" spans="2:5" ht="14.5" customHeight="1">
      <c r="B21" s="90"/>
      <c r="C21" s="66" t="s">
        <v>127</v>
      </c>
      <c r="D21" s="67">
        <v>1</v>
      </c>
      <c r="E21" s="68">
        <v>2.7909572983499998E-4</v>
      </c>
    </row>
    <row r="22" spans="2:5" ht="14.5" customHeight="1">
      <c r="B22" s="91"/>
      <c r="C22" s="36" t="s">
        <v>28</v>
      </c>
      <c r="D22" s="35">
        <v>19</v>
      </c>
      <c r="E22" s="34">
        <v>5.3028188668710003E-3</v>
      </c>
    </row>
    <row r="23" spans="2:5" ht="14.5" customHeight="1">
      <c r="B23" s="89" t="s">
        <v>193</v>
      </c>
      <c r="C23" s="66" t="s">
        <v>102</v>
      </c>
      <c r="D23" s="67">
        <v>28</v>
      </c>
      <c r="E23" s="68">
        <v>7.8146804353890001E-3</v>
      </c>
    </row>
    <row r="24" spans="2:5" ht="14.5" customHeight="1">
      <c r="B24" s="90"/>
      <c r="C24" s="66" t="s">
        <v>104</v>
      </c>
      <c r="D24" s="67">
        <v>1</v>
      </c>
      <c r="E24" s="68">
        <v>2.7909572983499998E-4</v>
      </c>
    </row>
    <row r="25" spans="2:5" ht="14.5" customHeight="1">
      <c r="B25" s="90"/>
      <c r="C25" s="66" t="s">
        <v>106</v>
      </c>
      <c r="D25" s="67">
        <v>2</v>
      </c>
      <c r="E25" s="68">
        <v>5.5819145967100003E-4</v>
      </c>
    </row>
    <row r="26" spans="2:5" ht="14.5" customHeight="1">
      <c r="B26" s="90"/>
      <c r="C26" s="66" t="s">
        <v>119</v>
      </c>
      <c r="D26" s="67">
        <v>2</v>
      </c>
      <c r="E26" s="68">
        <v>5.5819145967100003E-4</v>
      </c>
    </row>
    <row r="27" spans="2:5" ht="14.5" customHeight="1">
      <c r="B27" s="90"/>
      <c r="C27" s="66" t="s">
        <v>131</v>
      </c>
      <c r="D27" s="67">
        <v>1</v>
      </c>
      <c r="E27" s="68">
        <v>2.7909572983499998E-4</v>
      </c>
    </row>
    <row r="28" spans="2:5" ht="14.5" customHeight="1">
      <c r="B28" s="90"/>
      <c r="C28" s="66" t="s">
        <v>132</v>
      </c>
      <c r="D28" s="67">
        <v>4</v>
      </c>
      <c r="E28" s="68">
        <v>1.116382919341E-3</v>
      </c>
    </row>
    <row r="29" spans="2:5" ht="14.5" customHeight="1">
      <c r="B29" s="90"/>
      <c r="C29" s="66" t="s">
        <v>84</v>
      </c>
      <c r="D29" s="67">
        <v>1</v>
      </c>
      <c r="E29" s="68">
        <v>2.7909572983499998E-4</v>
      </c>
    </row>
    <row r="30" spans="2:5" ht="14.5" customHeight="1">
      <c r="B30" s="91"/>
      <c r="C30" s="36" t="s">
        <v>28</v>
      </c>
      <c r="D30" s="35">
        <v>39</v>
      </c>
      <c r="E30" s="34">
        <v>1.0884733463578E-2</v>
      </c>
    </row>
    <row r="31" spans="2:5" ht="14.5" customHeight="1">
      <c r="B31" s="89" t="s">
        <v>194</v>
      </c>
      <c r="C31" s="66" t="s">
        <v>100</v>
      </c>
      <c r="D31" s="67">
        <v>3</v>
      </c>
      <c r="E31" s="68">
        <v>8.3728718950600001E-4</v>
      </c>
    </row>
    <row r="32" spans="2:5" ht="14.5" customHeight="1">
      <c r="B32" s="90"/>
      <c r="C32" s="66" t="s">
        <v>102</v>
      </c>
      <c r="D32" s="67">
        <v>56</v>
      </c>
      <c r="E32" s="68">
        <v>1.5629360870778999E-2</v>
      </c>
    </row>
    <row r="33" spans="2:5" ht="14.5" customHeight="1">
      <c r="B33" s="90"/>
      <c r="C33" s="66" t="s">
        <v>103</v>
      </c>
      <c r="D33" s="67">
        <v>1</v>
      </c>
      <c r="E33" s="68">
        <v>2.7909572983499998E-4</v>
      </c>
    </row>
    <row r="34" spans="2:5" ht="14.5" customHeight="1">
      <c r="B34" s="90"/>
      <c r="C34" s="66" t="s">
        <v>104</v>
      </c>
      <c r="D34" s="67">
        <v>1</v>
      </c>
      <c r="E34" s="68">
        <v>2.7909572983499998E-4</v>
      </c>
    </row>
    <row r="35" spans="2:5" ht="14.5" customHeight="1">
      <c r="B35" s="90"/>
      <c r="C35" s="66" t="s">
        <v>111</v>
      </c>
      <c r="D35" s="67">
        <v>1</v>
      </c>
      <c r="E35" s="68">
        <v>2.7909572983499998E-4</v>
      </c>
    </row>
    <row r="36" spans="2:5" ht="14.5" customHeight="1">
      <c r="B36" s="90"/>
      <c r="C36" s="66" t="s">
        <v>116</v>
      </c>
      <c r="D36" s="67">
        <v>1</v>
      </c>
      <c r="E36" s="68">
        <v>2.7909572983499998E-4</v>
      </c>
    </row>
    <row r="37" spans="2:5" ht="14.5" customHeight="1">
      <c r="B37" s="90"/>
      <c r="C37" s="66" t="s">
        <v>119</v>
      </c>
      <c r="D37" s="67">
        <v>4</v>
      </c>
      <c r="E37" s="68">
        <v>1.116382919341E-3</v>
      </c>
    </row>
    <row r="38" spans="2:5" ht="14.5" customHeight="1">
      <c r="B38" s="90"/>
      <c r="C38" s="66" t="s">
        <v>124</v>
      </c>
      <c r="D38" s="67">
        <v>1</v>
      </c>
      <c r="E38" s="68">
        <v>2.7909572983499998E-4</v>
      </c>
    </row>
    <row r="39" spans="2:5" ht="14.5" customHeight="1">
      <c r="B39" s="90"/>
      <c r="C39" s="66" t="s">
        <v>127</v>
      </c>
      <c r="D39" s="67">
        <v>1</v>
      </c>
      <c r="E39" s="68">
        <v>2.7909572983499998E-4</v>
      </c>
    </row>
    <row r="40" spans="2:5" ht="14.5" customHeight="1">
      <c r="B40" s="90"/>
      <c r="C40" s="66" t="s">
        <v>132</v>
      </c>
      <c r="D40" s="67">
        <v>7</v>
      </c>
      <c r="E40" s="68">
        <v>1.9536701088469998E-3</v>
      </c>
    </row>
    <row r="41" spans="2:5" ht="14.5" customHeight="1">
      <c r="B41" s="90"/>
      <c r="C41" s="66" t="s">
        <v>133</v>
      </c>
      <c r="D41" s="67">
        <v>1</v>
      </c>
      <c r="E41" s="68">
        <v>2.7909572983499998E-4</v>
      </c>
    </row>
    <row r="42" spans="2:5" ht="14.5" customHeight="1">
      <c r="B42" s="90"/>
      <c r="C42" s="66" t="s">
        <v>84</v>
      </c>
      <c r="D42" s="67">
        <v>3</v>
      </c>
      <c r="E42" s="68">
        <v>8.3728718950600001E-4</v>
      </c>
    </row>
    <row r="43" spans="2:5" ht="14.5" customHeight="1">
      <c r="B43" s="91"/>
      <c r="C43" s="36" t="s">
        <v>28</v>
      </c>
      <c r="D43" s="35">
        <v>80</v>
      </c>
      <c r="E43" s="34">
        <v>2.2327658386827001E-2</v>
      </c>
    </row>
    <row r="44" spans="2:5" ht="14.5" customHeight="1">
      <c r="B44" s="89" t="s">
        <v>195</v>
      </c>
      <c r="C44" s="66" t="s">
        <v>100</v>
      </c>
      <c r="D44" s="67">
        <v>1</v>
      </c>
      <c r="E44" s="68">
        <v>2.7909572983499998E-4</v>
      </c>
    </row>
    <row r="45" spans="2:5" ht="14.5" customHeight="1">
      <c r="B45" s="90"/>
      <c r="C45" s="66" t="s">
        <v>102</v>
      </c>
      <c r="D45" s="67">
        <v>30</v>
      </c>
      <c r="E45" s="68">
        <v>8.3728718950600006E-3</v>
      </c>
    </row>
    <row r="46" spans="2:5" ht="14.5" customHeight="1">
      <c r="B46" s="90"/>
      <c r="C46" s="66" t="s">
        <v>110</v>
      </c>
      <c r="D46" s="67">
        <v>1</v>
      </c>
      <c r="E46" s="68">
        <v>2.7909572983499998E-4</v>
      </c>
    </row>
    <row r="47" spans="2:5" ht="14.5" customHeight="1">
      <c r="B47" s="90"/>
      <c r="C47" s="66" t="s">
        <v>117</v>
      </c>
      <c r="D47" s="67">
        <v>2</v>
      </c>
      <c r="E47" s="68">
        <v>5.5819145967100003E-4</v>
      </c>
    </row>
    <row r="48" spans="2:5" ht="14.5" customHeight="1">
      <c r="B48" s="90"/>
      <c r="C48" s="66" t="s">
        <v>119</v>
      </c>
      <c r="D48" s="67">
        <v>2</v>
      </c>
      <c r="E48" s="68">
        <v>5.5819145967100003E-4</v>
      </c>
    </row>
    <row r="49" spans="2:5" ht="14.5" customHeight="1">
      <c r="B49" s="90"/>
      <c r="C49" s="66" t="s">
        <v>132</v>
      </c>
      <c r="D49" s="67">
        <v>4</v>
      </c>
      <c r="E49" s="68">
        <v>1.116382919341E-3</v>
      </c>
    </row>
    <row r="50" spans="2:5" ht="14.5" customHeight="1">
      <c r="B50" s="90"/>
      <c r="C50" s="66" t="s">
        <v>84</v>
      </c>
      <c r="D50" s="67">
        <v>1</v>
      </c>
      <c r="E50" s="68">
        <v>2.7909572983499998E-4</v>
      </c>
    </row>
    <row r="51" spans="2:5" ht="14.5" customHeight="1">
      <c r="B51" s="91"/>
      <c r="C51" s="36" t="s">
        <v>28</v>
      </c>
      <c r="D51" s="35">
        <v>41</v>
      </c>
      <c r="E51" s="34">
        <v>1.1442924923249E-2</v>
      </c>
    </row>
    <row r="52" spans="2:5" ht="14.5" customHeight="1">
      <c r="B52" s="89" t="s">
        <v>196</v>
      </c>
      <c r="C52" s="66" t="s">
        <v>100</v>
      </c>
      <c r="D52" s="67">
        <v>1</v>
      </c>
      <c r="E52" s="68">
        <v>2.7909572983499998E-4</v>
      </c>
    </row>
    <row r="53" spans="2:5" ht="14.5" customHeight="1">
      <c r="B53" s="90"/>
      <c r="C53" s="66" t="s">
        <v>101</v>
      </c>
      <c r="D53" s="67">
        <v>1</v>
      </c>
      <c r="E53" s="68">
        <v>2.7909572983499998E-4</v>
      </c>
    </row>
    <row r="54" spans="2:5" ht="14.5" customHeight="1">
      <c r="B54" s="90"/>
      <c r="C54" s="66" t="s">
        <v>102</v>
      </c>
      <c r="D54" s="67">
        <v>38</v>
      </c>
      <c r="E54" s="68">
        <v>1.0605637733743E-2</v>
      </c>
    </row>
    <row r="55" spans="2:5" ht="14.5" customHeight="1">
      <c r="B55" s="90"/>
      <c r="C55" s="66" t="s">
        <v>103</v>
      </c>
      <c r="D55" s="67">
        <v>2</v>
      </c>
      <c r="E55" s="68">
        <v>5.5819145967100003E-4</v>
      </c>
    </row>
    <row r="56" spans="2:5" ht="14.5" customHeight="1">
      <c r="B56" s="90"/>
      <c r="C56" s="66" t="s">
        <v>111</v>
      </c>
      <c r="D56" s="67">
        <v>1</v>
      </c>
      <c r="E56" s="68">
        <v>2.7909572983499998E-4</v>
      </c>
    </row>
    <row r="57" spans="2:5" ht="14.5" customHeight="1">
      <c r="B57" s="90"/>
      <c r="C57" s="66" t="s">
        <v>114</v>
      </c>
      <c r="D57" s="67">
        <v>1</v>
      </c>
      <c r="E57" s="68">
        <v>2.7909572983499998E-4</v>
      </c>
    </row>
    <row r="58" spans="2:5" ht="14.5" customHeight="1">
      <c r="B58" s="90"/>
      <c r="C58" s="66" t="s">
        <v>115</v>
      </c>
      <c r="D58" s="67">
        <v>2</v>
      </c>
      <c r="E58" s="68">
        <v>5.5819145967100003E-4</v>
      </c>
    </row>
    <row r="59" spans="2:5" ht="14.5" customHeight="1">
      <c r="B59" s="90"/>
      <c r="C59" s="66" t="s">
        <v>119</v>
      </c>
      <c r="D59" s="67">
        <v>5</v>
      </c>
      <c r="E59" s="68">
        <v>1.395478649177E-3</v>
      </c>
    </row>
    <row r="60" spans="2:5" ht="14.5" customHeight="1">
      <c r="B60" s="90"/>
      <c r="C60" s="66" t="s">
        <v>125</v>
      </c>
      <c r="D60" s="67">
        <v>1</v>
      </c>
      <c r="E60" s="68">
        <v>2.7909572983499998E-4</v>
      </c>
    </row>
    <row r="61" spans="2:5" ht="14.5" customHeight="1">
      <c r="B61" s="90"/>
      <c r="C61" s="66" t="s">
        <v>127</v>
      </c>
      <c r="D61" s="67">
        <v>3</v>
      </c>
      <c r="E61" s="68">
        <v>8.3728718950600001E-4</v>
      </c>
    </row>
    <row r="62" spans="2:5" ht="14.5" customHeight="1">
      <c r="B62" s="90"/>
      <c r="C62" s="66" t="s">
        <v>132</v>
      </c>
      <c r="D62" s="67">
        <v>2</v>
      </c>
      <c r="E62" s="68">
        <v>5.5819145967100003E-4</v>
      </c>
    </row>
    <row r="63" spans="2:5" ht="14.5" customHeight="1">
      <c r="B63" s="90"/>
      <c r="C63" s="66" t="s">
        <v>84</v>
      </c>
      <c r="D63" s="67">
        <v>2</v>
      </c>
      <c r="E63" s="68">
        <v>5.5819145967100003E-4</v>
      </c>
    </row>
    <row r="64" spans="2:5" ht="14.5" customHeight="1">
      <c r="B64" s="91"/>
      <c r="C64" s="36" t="s">
        <v>28</v>
      </c>
      <c r="D64" s="35">
        <v>59</v>
      </c>
      <c r="E64" s="34">
        <v>1.6466648060285E-2</v>
      </c>
    </row>
    <row r="65" spans="2:5" ht="14.5" customHeight="1">
      <c r="B65" s="89" t="s">
        <v>197</v>
      </c>
      <c r="C65" s="66" t="s">
        <v>100</v>
      </c>
      <c r="D65" s="67">
        <v>8</v>
      </c>
      <c r="E65" s="68">
        <v>2.2327658386830001E-3</v>
      </c>
    </row>
    <row r="66" spans="2:5" ht="14.5" customHeight="1">
      <c r="B66" s="90"/>
      <c r="C66" s="66" t="s">
        <v>102</v>
      </c>
      <c r="D66" s="67">
        <v>217</v>
      </c>
      <c r="E66" s="68">
        <v>6.0563773374267001E-2</v>
      </c>
    </row>
    <row r="67" spans="2:5" ht="14.5" customHeight="1">
      <c r="B67" s="90"/>
      <c r="C67" s="66" t="s">
        <v>103</v>
      </c>
      <c r="D67" s="67">
        <v>4</v>
      </c>
      <c r="E67" s="68">
        <v>1.116382919341E-3</v>
      </c>
    </row>
    <row r="68" spans="2:5" ht="14.5" customHeight="1">
      <c r="B68" s="90"/>
      <c r="C68" s="66" t="s">
        <v>104</v>
      </c>
      <c r="D68" s="67">
        <v>2</v>
      </c>
      <c r="E68" s="68">
        <v>5.5819145967100003E-4</v>
      </c>
    </row>
    <row r="69" spans="2:5" ht="14.5" customHeight="1">
      <c r="B69" s="90"/>
      <c r="C69" s="66" t="s">
        <v>105</v>
      </c>
      <c r="D69" s="67">
        <v>5</v>
      </c>
      <c r="E69" s="68">
        <v>1.395478649177E-3</v>
      </c>
    </row>
    <row r="70" spans="2:5" ht="14.5" customHeight="1">
      <c r="B70" s="90"/>
      <c r="C70" s="66" t="s">
        <v>106</v>
      </c>
      <c r="D70" s="67">
        <v>5</v>
      </c>
      <c r="E70" s="68">
        <v>1.395478649177E-3</v>
      </c>
    </row>
    <row r="71" spans="2:5" ht="14.5" customHeight="1">
      <c r="B71" s="90"/>
      <c r="C71" s="66" t="s">
        <v>107</v>
      </c>
      <c r="D71" s="67">
        <v>4</v>
      </c>
      <c r="E71" s="68">
        <v>1.116382919341E-3</v>
      </c>
    </row>
    <row r="72" spans="2:5" ht="14.5" customHeight="1">
      <c r="B72" s="90"/>
      <c r="C72" s="66" t="s">
        <v>108</v>
      </c>
      <c r="D72" s="67">
        <v>1</v>
      </c>
      <c r="E72" s="68">
        <v>2.7909572983499998E-4</v>
      </c>
    </row>
    <row r="73" spans="2:5" ht="14.5" customHeight="1">
      <c r="B73" s="90"/>
      <c r="C73" s="66" t="s">
        <v>109</v>
      </c>
      <c r="D73" s="67">
        <v>2</v>
      </c>
      <c r="E73" s="68">
        <v>5.5819145967100003E-4</v>
      </c>
    </row>
    <row r="74" spans="2:5" ht="14.5" customHeight="1">
      <c r="B74" s="90"/>
      <c r="C74" s="66" t="s">
        <v>110</v>
      </c>
      <c r="D74" s="67">
        <v>1</v>
      </c>
      <c r="E74" s="68">
        <v>2.7909572983499998E-4</v>
      </c>
    </row>
    <row r="75" spans="2:5" ht="14.5" customHeight="1">
      <c r="B75" s="90"/>
      <c r="C75" s="66" t="s">
        <v>114</v>
      </c>
      <c r="D75" s="67">
        <v>2</v>
      </c>
      <c r="E75" s="68">
        <v>5.5819145967100003E-4</v>
      </c>
    </row>
    <row r="76" spans="2:5" ht="14.5" customHeight="1">
      <c r="B76" s="90"/>
      <c r="C76" s="66" t="s">
        <v>117</v>
      </c>
      <c r="D76" s="67">
        <v>6</v>
      </c>
      <c r="E76" s="68">
        <v>1.674574379012E-3</v>
      </c>
    </row>
    <row r="77" spans="2:5" ht="14.5" customHeight="1">
      <c r="B77" s="90"/>
      <c r="C77" s="66" t="s">
        <v>119</v>
      </c>
      <c r="D77" s="67">
        <v>18</v>
      </c>
      <c r="E77" s="68">
        <v>5.0237231370359996E-3</v>
      </c>
    </row>
    <row r="78" spans="2:5" ht="14.5" customHeight="1">
      <c r="B78" s="90"/>
      <c r="C78" s="66" t="s">
        <v>122</v>
      </c>
      <c r="D78" s="67">
        <v>1</v>
      </c>
      <c r="E78" s="68">
        <v>2.7909572983499998E-4</v>
      </c>
    </row>
    <row r="79" spans="2:5" ht="14.5" customHeight="1">
      <c r="B79" s="90"/>
      <c r="C79" s="66" t="s">
        <v>124</v>
      </c>
      <c r="D79" s="67">
        <v>1</v>
      </c>
      <c r="E79" s="68">
        <v>2.7909572983499998E-4</v>
      </c>
    </row>
    <row r="80" spans="2:5" ht="14.5" customHeight="1">
      <c r="B80" s="90"/>
      <c r="C80" s="66" t="s">
        <v>126</v>
      </c>
      <c r="D80" s="67">
        <v>2</v>
      </c>
      <c r="E80" s="68">
        <v>5.5819145967100003E-4</v>
      </c>
    </row>
    <row r="81" spans="2:5" ht="14.5" customHeight="1">
      <c r="B81" s="90"/>
      <c r="C81" s="66" t="s">
        <v>127</v>
      </c>
      <c r="D81" s="67">
        <v>5</v>
      </c>
      <c r="E81" s="68">
        <v>1.395478649177E-3</v>
      </c>
    </row>
    <row r="82" spans="2:5" ht="14.5" customHeight="1">
      <c r="B82" s="90"/>
      <c r="C82" s="66" t="s">
        <v>130</v>
      </c>
      <c r="D82" s="67">
        <v>2</v>
      </c>
      <c r="E82" s="68">
        <v>5.5819145967100003E-4</v>
      </c>
    </row>
    <row r="83" spans="2:5" ht="14.5" customHeight="1">
      <c r="B83" s="90"/>
      <c r="C83" s="66" t="s">
        <v>131</v>
      </c>
      <c r="D83" s="67">
        <v>1</v>
      </c>
      <c r="E83" s="68">
        <v>2.7909572983499998E-4</v>
      </c>
    </row>
    <row r="84" spans="2:5" ht="14.5" customHeight="1">
      <c r="B84" s="90"/>
      <c r="C84" s="66" t="s">
        <v>132</v>
      </c>
      <c r="D84" s="67">
        <v>19</v>
      </c>
      <c r="E84" s="68">
        <v>5.3028188668710003E-3</v>
      </c>
    </row>
    <row r="85" spans="2:5" ht="14.5" customHeight="1">
      <c r="B85" s="90"/>
      <c r="C85" s="66" t="s">
        <v>133</v>
      </c>
      <c r="D85" s="67">
        <v>2</v>
      </c>
      <c r="E85" s="68">
        <v>5.5819145967100003E-4</v>
      </c>
    </row>
    <row r="86" spans="2:5" ht="14.5" customHeight="1">
      <c r="B86" s="90"/>
      <c r="C86" s="66" t="s">
        <v>84</v>
      </c>
      <c r="D86" s="67">
        <v>11</v>
      </c>
      <c r="E86" s="68">
        <v>3.0700530281889999E-3</v>
      </c>
    </row>
    <row r="87" spans="2:5" ht="14.5" customHeight="1">
      <c r="B87" s="91"/>
      <c r="C87" s="36" t="s">
        <v>28</v>
      </c>
      <c r="D87" s="35">
        <v>319</v>
      </c>
      <c r="E87" s="34">
        <v>8.9031537817471001E-2</v>
      </c>
    </row>
    <row r="88" spans="2:5" ht="14.5" customHeight="1">
      <c r="B88" s="89" t="s">
        <v>198</v>
      </c>
      <c r="C88" s="66" t="s">
        <v>100</v>
      </c>
      <c r="D88" s="67">
        <v>10</v>
      </c>
      <c r="E88" s="68">
        <v>2.790957298353E-3</v>
      </c>
    </row>
    <row r="89" spans="2:5" ht="14.5" customHeight="1">
      <c r="B89" s="90"/>
      <c r="C89" s="66" t="s">
        <v>102</v>
      </c>
      <c r="D89" s="67">
        <v>305</v>
      </c>
      <c r="E89" s="68">
        <v>8.5124197599777005E-2</v>
      </c>
    </row>
    <row r="90" spans="2:5" ht="14.5" customHeight="1">
      <c r="B90" s="90"/>
      <c r="C90" s="66" t="s">
        <v>103</v>
      </c>
      <c r="D90" s="67">
        <v>2</v>
      </c>
      <c r="E90" s="68">
        <v>5.5819145967100003E-4</v>
      </c>
    </row>
    <row r="91" spans="2:5" ht="14.5" customHeight="1">
      <c r="B91" s="90"/>
      <c r="C91" s="66" t="s">
        <v>104</v>
      </c>
      <c r="D91" s="67">
        <v>8</v>
      </c>
      <c r="E91" s="68">
        <v>2.2327658386830001E-3</v>
      </c>
    </row>
    <row r="92" spans="2:5" ht="14.5" customHeight="1">
      <c r="B92" s="90"/>
      <c r="C92" s="66" t="s">
        <v>105</v>
      </c>
      <c r="D92" s="67">
        <v>4</v>
      </c>
      <c r="E92" s="68">
        <v>1.116382919341E-3</v>
      </c>
    </row>
    <row r="93" spans="2:5" ht="14.5" customHeight="1">
      <c r="B93" s="90"/>
      <c r="C93" s="66" t="s">
        <v>106</v>
      </c>
      <c r="D93" s="67">
        <v>3</v>
      </c>
      <c r="E93" s="68">
        <v>8.3728718950600001E-4</v>
      </c>
    </row>
    <row r="94" spans="2:5" ht="14.5" customHeight="1">
      <c r="B94" s="90"/>
      <c r="C94" s="66" t="s">
        <v>107</v>
      </c>
      <c r="D94" s="67">
        <v>18</v>
      </c>
      <c r="E94" s="68">
        <v>5.0237231370359996E-3</v>
      </c>
    </row>
    <row r="95" spans="2:5" ht="14.5" customHeight="1">
      <c r="B95" s="90"/>
      <c r="C95" s="66" t="s">
        <v>108</v>
      </c>
      <c r="D95" s="67">
        <v>4</v>
      </c>
      <c r="E95" s="68">
        <v>1.116382919341E-3</v>
      </c>
    </row>
    <row r="96" spans="2:5" ht="14.5" customHeight="1">
      <c r="B96" s="90"/>
      <c r="C96" s="66" t="s">
        <v>110</v>
      </c>
      <c r="D96" s="67">
        <v>1</v>
      </c>
      <c r="E96" s="68">
        <v>2.7909572983499998E-4</v>
      </c>
    </row>
    <row r="97" spans="2:5" ht="14.5" customHeight="1">
      <c r="B97" s="90"/>
      <c r="C97" s="66" t="s">
        <v>112</v>
      </c>
      <c r="D97" s="67">
        <v>1</v>
      </c>
      <c r="E97" s="68">
        <v>2.7909572983499998E-4</v>
      </c>
    </row>
    <row r="98" spans="2:5" ht="14.5" customHeight="1">
      <c r="B98" s="90"/>
      <c r="C98" s="66" t="s">
        <v>114</v>
      </c>
      <c r="D98" s="67">
        <v>1</v>
      </c>
      <c r="E98" s="68">
        <v>2.7909572983499998E-4</v>
      </c>
    </row>
    <row r="99" spans="2:5" ht="14.5" customHeight="1">
      <c r="B99" s="90"/>
      <c r="C99" s="66" t="s">
        <v>115</v>
      </c>
      <c r="D99" s="67">
        <v>2</v>
      </c>
      <c r="E99" s="68">
        <v>5.5819145967100003E-4</v>
      </c>
    </row>
    <row r="100" spans="2:5" ht="14.5" customHeight="1">
      <c r="B100" s="90"/>
      <c r="C100" s="66" t="s">
        <v>117</v>
      </c>
      <c r="D100" s="67">
        <v>5</v>
      </c>
      <c r="E100" s="68">
        <v>1.395478649177E-3</v>
      </c>
    </row>
    <row r="101" spans="2:5" ht="14.5" customHeight="1">
      <c r="B101" s="90"/>
      <c r="C101" s="66" t="s">
        <v>119</v>
      </c>
      <c r="D101" s="67">
        <v>29</v>
      </c>
      <c r="E101" s="68">
        <v>8.0937761652250008E-3</v>
      </c>
    </row>
    <row r="102" spans="2:5" ht="14.5" customHeight="1">
      <c r="B102" s="90"/>
      <c r="C102" s="66" t="s">
        <v>120</v>
      </c>
      <c r="D102" s="67">
        <v>1</v>
      </c>
      <c r="E102" s="68">
        <v>2.7909572983499998E-4</v>
      </c>
    </row>
    <row r="103" spans="2:5" ht="14.5" customHeight="1">
      <c r="B103" s="90"/>
      <c r="C103" s="66" t="s">
        <v>121</v>
      </c>
      <c r="D103" s="67">
        <v>2</v>
      </c>
      <c r="E103" s="68">
        <v>5.5819145967100003E-4</v>
      </c>
    </row>
    <row r="104" spans="2:5" ht="14.5" customHeight="1">
      <c r="B104" s="90"/>
      <c r="C104" s="66" t="s">
        <v>122</v>
      </c>
      <c r="D104" s="67">
        <v>1</v>
      </c>
      <c r="E104" s="68">
        <v>2.7909572983499998E-4</v>
      </c>
    </row>
    <row r="105" spans="2:5" ht="14.5" customHeight="1">
      <c r="B105" s="90"/>
      <c r="C105" s="66" t="s">
        <v>123</v>
      </c>
      <c r="D105" s="67">
        <v>2</v>
      </c>
      <c r="E105" s="68">
        <v>5.5819145967100003E-4</v>
      </c>
    </row>
    <row r="106" spans="2:5" ht="14.5" customHeight="1">
      <c r="B106" s="90"/>
      <c r="C106" s="66" t="s">
        <v>124</v>
      </c>
      <c r="D106" s="67">
        <v>4</v>
      </c>
      <c r="E106" s="68">
        <v>1.116382919341E-3</v>
      </c>
    </row>
    <row r="107" spans="2:5" ht="14.5" customHeight="1">
      <c r="B107" s="90"/>
      <c r="C107" s="66" t="s">
        <v>125</v>
      </c>
      <c r="D107" s="67">
        <v>3</v>
      </c>
      <c r="E107" s="68">
        <v>8.3728718950600001E-4</v>
      </c>
    </row>
    <row r="108" spans="2:5" ht="14.5" customHeight="1">
      <c r="B108" s="90"/>
      <c r="C108" s="66" t="s">
        <v>126</v>
      </c>
      <c r="D108" s="67">
        <v>3</v>
      </c>
      <c r="E108" s="68">
        <v>8.3728718950600001E-4</v>
      </c>
    </row>
    <row r="109" spans="2:5" ht="14.5" customHeight="1">
      <c r="B109" s="90"/>
      <c r="C109" s="66" t="s">
        <v>127</v>
      </c>
      <c r="D109" s="67">
        <v>1</v>
      </c>
      <c r="E109" s="68">
        <v>2.7909572983499998E-4</v>
      </c>
    </row>
    <row r="110" spans="2:5" ht="14.5" customHeight="1">
      <c r="B110" s="90"/>
      <c r="C110" s="66" t="s">
        <v>130</v>
      </c>
      <c r="D110" s="67">
        <v>4</v>
      </c>
      <c r="E110" s="68">
        <v>1.116382919341E-3</v>
      </c>
    </row>
    <row r="111" spans="2:5" ht="14.5" customHeight="1">
      <c r="B111" s="90"/>
      <c r="C111" s="66" t="s">
        <v>131</v>
      </c>
      <c r="D111" s="67">
        <v>5</v>
      </c>
      <c r="E111" s="68">
        <v>1.395478649177E-3</v>
      </c>
    </row>
    <row r="112" spans="2:5" ht="14.5" customHeight="1">
      <c r="B112" s="90"/>
      <c r="C112" s="66" t="s">
        <v>132</v>
      </c>
      <c r="D112" s="67">
        <v>21</v>
      </c>
      <c r="E112" s="68">
        <v>5.8610103265419999E-3</v>
      </c>
    </row>
    <row r="113" spans="2:5" ht="14.5" customHeight="1">
      <c r="B113" s="90"/>
      <c r="C113" s="66" t="s">
        <v>133</v>
      </c>
      <c r="D113" s="67">
        <v>1</v>
      </c>
      <c r="E113" s="68">
        <v>2.7909572983499998E-4</v>
      </c>
    </row>
    <row r="114" spans="2:5" ht="14.5" customHeight="1">
      <c r="B114" s="90"/>
      <c r="C114" s="66" t="s">
        <v>134</v>
      </c>
      <c r="D114" s="67">
        <v>2</v>
      </c>
      <c r="E114" s="68">
        <v>5.5819145967100003E-4</v>
      </c>
    </row>
    <row r="115" spans="2:5" ht="14.5" customHeight="1">
      <c r="B115" s="90"/>
      <c r="C115" s="66" t="s">
        <v>84</v>
      </c>
      <c r="D115" s="67">
        <v>15</v>
      </c>
      <c r="E115" s="68">
        <v>4.1864359475300003E-3</v>
      </c>
    </row>
    <row r="116" spans="2:5" ht="14.5" customHeight="1">
      <c r="B116" s="90"/>
      <c r="C116" s="66" t="s">
        <v>136</v>
      </c>
      <c r="D116" s="67">
        <v>1</v>
      </c>
      <c r="E116" s="68">
        <v>2.7909572983499998E-4</v>
      </c>
    </row>
    <row r="117" spans="2:5" ht="14.5" customHeight="1">
      <c r="B117" s="91"/>
      <c r="C117" s="36" t="s">
        <v>28</v>
      </c>
      <c r="D117" s="35">
        <v>459</v>
      </c>
      <c r="E117" s="34">
        <v>0.12810493999441799</v>
      </c>
    </row>
    <row r="118" spans="2:5" ht="14.5" customHeight="1">
      <c r="B118" s="89" t="s">
        <v>199</v>
      </c>
      <c r="C118" s="66" t="s">
        <v>100</v>
      </c>
      <c r="D118" s="67">
        <v>3</v>
      </c>
      <c r="E118" s="68">
        <v>8.3728718950600001E-4</v>
      </c>
    </row>
    <row r="119" spans="2:5" ht="14.5" customHeight="1">
      <c r="B119" s="90"/>
      <c r="C119" s="66" t="s">
        <v>101</v>
      </c>
      <c r="D119" s="67">
        <v>1</v>
      </c>
      <c r="E119" s="68">
        <v>2.7909572983499998E-4</v>
      </c>
    </row>
    <row r="120" spans="2:5" ht="14.5" customHeight="1">
      <c r="B120" s="90"/>
      <c r="C120" s="66" t="s">
        <v>102</v>
      </c>
      <c r="D120" s="67">
        <v>44</v>
      </c>
      <c r="E120" s="68">
        <v>1.2280212112755E-2</v>
      </c>
    </row>
    <row r="121" spans="2:5" ht="14.5" customHeight="1">
      <c r="B121" s="90"/>
      <c r="C121" s="66" t="s">
        <v>104</v>
      </c>
      <c r="D121" s="67">
        <v>1</v>
      </c>
      <c r="E121" s="68">
        <v>2.7909572983499998E-4</v>
      </c>
    </row>
    <row r="122" spans="2:5" ht="14.5" customHeight="1">
      <c r="B122" s="90"/>
      <c r="C122" s="66" t="s">
        <v>105</v>
      </c>
      <c r="D122" s="67">
        <v>1</v>
      </c>
      <c r="E122" s="68">
        <v>2.7909572983499998E-4</v>
      </c>
    </row>
    <row r="123" spans="2:5" ht="14.5" customHeight="1">
      <c r="B123" s="90"/>
      <c r="C123" s="66" t="s">
        <v>106</v>
      </c>
      <c r="D123" s="67">
        <v>1</v>
      </c>
      <c r="E123" s="68">
        <v>2.7909572983499998E-4</v>
      </c>
    </row>
    <row r="124" spans="2:5" ht="14.5" customHeight="1">
      <c r="B124" s="90"/>
      <c r="C124" s="66" t="s">
        <v>107</v>
      </c>
      <c r="D124" s="67">
        <v>2</v>
      </c>
      <c r="E124" s="68">
        <v>5.5819145967100003E-4</v>
      </c>
    </row>
    <row r="125" spans="2:5" ht="14.5" customHeight="1">
      <c r="B125" s="90"/>
      <c r="C125" s="66" t="s">
        <v>117</v>
      </c>
      <c r="D125" s="67">
        <v>1</v>
      </c>
      <c r="E125" s="68">
        <v>2.7909572983499998E-4</v>
      </c>
    </row>
    <row r="126" spans="2:5" ht="14.5" customHeight="1">
      <c r="B126" s="90"/>
      <c r="C126" s="66" t="s">
        <v>119</v>
      </c>
      <c r="D126" s="67">
        <v>2</v>
      </c>
      <c r="E126" s="68">
        <v>5.5819145967100003E-4</v>
      </c>
    </row>
    <row r="127" spans="2:5" ht="14.5" customHeight="1">
      <c r="B127" s="90"/>
      <c r="C127" s="66" t="s">
        <v>126</v>
      </c>
      <c r="D127" s="67">
        <v>1</v>
      </c>
      <c r="E127" s="68">
        <v>2.7909572983499998E-4</v>
      </c>
    </row>
    <row r="128" spans="2:5" ht="14.5" customHeight="1">
      <c r="B128" s="90"/>
      <c r="C128" s="66" t="s">
        <v>132</v>
      </c>
      <c r="D128" s="67">
        <v>3</v>
      </c>
      <c r="E128" s="68">
        <v>8.3728718950600001E-4</v>
      </c>
    </row>
    <row r="129" spans="2:5" ht="14.5" customHeight="1">
      <c r="B129" s="90"/>
      <c r="C129" s="66" t="s">
        <v>133</v>
      </c>
      <c r="D129" s="67">
        <v>1</v>
      </c>
      <c r="E129" s="68">
        <v>2.7909572983499998E-4</v>
      </c>
    </row>
    <row r="130" spans="2:5" ht="14.5" customHeight="1">
      <c r="B130" s="90"/>
      <c r="C130" s="66" t="s">
        <v>84</v>
      </c>
      <c r="D130" s="67">
        <v>2</v>
      </c>
      <c r="E130" s="68">
        <v>5.5819145967100003E-4</v>
      </c>
    </row>
    <row r="131" spans="2:5" ht="14.5" customHeight="1">
      <c r="B131" s="90"/>
      <c r="C131" s="66" t="s">
        <v>136</v>
      </c>
      <c r="D131" s="67">
        <v>1</v>
      </c>
      <c r="E131" s="68">
        <v>2.7909572983499998E-4</v>
      </c>
    </row>
    <row r="132" spans="2:5" ht="14.5" customHeight="1">
      <c r="B132" s="91"/>
      <c r="C132" s="36" t="s">
        <v>28</v>
      </c>
      <c r="D132" s="35">
        <v>64</v>
      </c>
      <c r="E132" s="34">
        <v>1.7862126709460999E-2</v>
      </c>
    </row>
    <row r="133" spans="2:5" ht="14.5" customHeight="1">
      <c r="B133" s="89" t="s">
        <v>200</v>
      </c>
      <c r="C133" s="66" t="s">
        <v>100</v>
      </c>
      <c r="D133" s="67">
        <v>2</v>
      </c>
      <c r="E133" s="68">
        <v>5.5819145967100003E-4</v>
      </c>
    </row>
    <row r="134" spans="2:5" ht="14.5" customHeight="1">
      <c r="B134" s="90"/>
      <c r="C134" s="66" t="s">
        <v>101</v>
      </c>
      <c r="D134" s="67">
        <v>4</v>
      </c>
      <c r="E134" s="68">
        <v>1.116382919341E-3</v>
      </c>
    </row>
    <row r="135" spans="2:5" ht="14.5" customHeight="1">
      <c r="B135" s="90"/>
      <c r="C135" s="66" t="s">
        <v>102</v>
      </c>
      <c r="D135" s="67">
        <v>57</v>
      </c>
      <c r="E135" s="68">
        <v>1.5908456600614001E-2</v>
      </c>
    </row>
    <row r="136" spans="2:5" ht="14.5" customHeight="1">
      <c r="B136" s="90"/>
      <c r="C136" s="66" t="s">
        <v>103</v>
      </c>
      <c r="D136" s="67">
        <v>2</v>
      </c>
      <c r="E136" s="68">
        <v>5.5819145967100003E-4</v>
      </c>
    </row>
    <row r="137" spans="2:5" ht="14.5" customHeight="1">
      <c r="B137" s="90"/>
      <c r="C137" s="66" t="s">
        <v>104</v>
      </c>
      <c r="D137" s="67">
        <v>2</v>
      </c>
      <c r="E137" s="68">
        <v>5.5819145967100003E-4</v>
      </c>
    </row>
    <row r="138" spans="2:5" ht="14.5" customHeight="1">
      <c r="B138" s="90"/>
      <c r="C138" s="66" t="s">
        <v>106</v>
      </c>
      <c r="D138" s="67">
        <v>3</v>
      </c>
      <c r="E138" s="68">
        <v>8.3728718950600001E-4</v>
      </c>
    </row>
    <row r="139" spans="2:5" ht="14.5" customHeight="1">
      <c r="B139" s="90"/>
      <c r="C139" s="66" t="s">
        <v>107</v>
      </c>
      <c r="D139" s="67">
        <v>2</v>
      </c>
      <c r="E139" s="68">
        <v>5.5819145967100003E-4</v>
      </c>
    </row>
    <row r="140" spans="2:5" ht="14.5" customHeight="1">
      <c r="B140" s="90"/>
      <c r="C140" s="66" t="s">
        <v>108</v>
      </c>
      <c r="D140" s="67">
        <v>1</v>
      </c>
      <c r="E140" s="68">
        <v>2.7909572983499998E-4</v>
      </c>
    </row>
    <row r="141" spans="2:5" ht="14.5" customHeight="1">
      <c r="B141" s="90"/>
      <c r="C141" s="66" t="s">
        <v>117</v>
      </c>
      <c r="D141" s="67">
        <v>2</v>
      </c>
      <c r="E141" s="68">
        <v>5.5819145967100003E-4</v>
      </c>
    </row>
    <row r="142" spans="2:5" ht="14.5" customHeight="1">
      <c r="B142" s="90"/>
      <c r="C142" s="66" t="s">
        <v>118</v>
      </c>
      <c r="D142" s="67">
        <v>1</v>
      </c>
      <c r="E142" s="68">
        <v>2.7909572983499998E-4</v>
      </c>
    </row>
    <row r="143" spans="2:5" ht="14.5" customHeight="1">
      <c r="B143" s="90"/>
      <c r="C143" s="66" t="s">
        <v>119</v>
      </c>
      <c r="D143" s="67">
        <v>10</v>
      </c>
      <c r="E143" s="68">
        <v>2.790957298353E-3</v>
      </c>
    </row>
    <row r="144" spans="2:5" ht="14.5" customHeight="1">
      <c r="B144" s="90"/>
      <c r="C144" s="66" t="s">
        <v>124</v>
      </c>
      <c r="D144" s="67">
        <v>1</v>
      </c>
      <c r="E144" s="68">
        <v>2.7909572983499998E-4</v>
      </c>
    </row>
    <row r="145" spans="2:5" ht="14.5" customHeight="1">
      <c r="B145" s="90"/>
      <c r="C145" s="66" t="s">
        <v>126</v>
      </c>
      <c r="D145" s="67">
        <v>1</v>
      </c>
      <c r="E145" s="68">
        <v>2.7909572983499998E-4</v>
      </c>
    </row>
    <row r="146" spans="2:5" ht="14.5" customHeight="1">
      <c r="B146" s="90"/>
      <c r="C146" s="66" t="s">
        <v>127</v>
      </c>
      <c r="D146" s="67">
        <v>2</v>
      </c>
      <c r="E146" s="68">
        <v>5.5819145967100003E-4</v>
      </c>
    </row>
    <row r="147" spans="2:5" ht="14.5" customHeight="1">
      <c r="B147" s="90"/>
      <c r="C147" s="66" t="s">
        <v>131</v>
      </c>
      <c r="D147" s="67">
        <v>1</v>
      </c>
      <c r="E147" s="68">
        <v>2.7909572983499998E-4</v>
      </c>
    </row>
    <row r="148" spans="2:5" ht="14.5" customHeight="1">
      <c r="B148" s="90"/>
      <c r="C148" s="66" t="s">
        <v>132</v>
      </c>
      <c r="D148" s="67">
        <v>8</v>
      </c>
      <c r="E148" s="68">
        <v>2.2327658386830001E-3</v>
      </c>
    </row>
    <row r="149" spans="2:5" ht="14.5" customHeight="1">
      <c r="B149" s="90"/>
      <c r="C149" s="66" t="s">
        <v>84</v>
      </c>
      <c r="D149" s="67">
        <v>3</v>
      </c>
      <c r="E149" s="68">
        <v>8.3728718950600001E-4</v>
      </c>
    </row>
    <row r="150" spans="2:5" ht="14.5" customHeight="1">
      <c r="B150" s="90"/>
      <c r="C150" s="66" t="s">
        <v>136</v>
      </c>
      <c r="D150" s="67">
        <v>1</v>
      </c>
      <c r="E150" s="68">
        <v>2.7909572983499998E-4</v>
      </c>
    </row>
    <row r="151" spans="2:5" ht="14.5" customHeight="1">
      <c r="B151" s="90"/>
      <c r="C151" s="66" t="s">
        <v>137</v>
      </c>
      <c r="D151" s="67">
        <v>1</v>
      </c>
      <c r="E151" s="68">
        <v>2.7909572983499998E-4</v>
      </c>
    </row>
    <row r="152" spans="2:5" ht="14.5" customHeight="1">
      <c r="B152" s="91"/>
      <c r="C152" s="36" t="s">
        <v>28</v>
      </c>
      <c r="D152" s="35">
        <v>104</v>
      </c>
      <c r="E152" s="34">
        <v>2.9025955902875E-2</v>
      </c>
    </row>
    <row r="153" spans="2:5" ht="14.5" customHeight="1">
      <c r="B153" s="89" t="s">
        <v>201</v>
      </c>
      <c r="C153" s="66" t="s">
        <v>100</v>
      </c>
      <c r="D153" s="67">
        <v>1</v>
      </c>
      <c r="E153" s="68">
        <v>2.7909572983499998E-4</v>
      </c>
    </row>
    <row r="154" spans="2:5" ht="14.5" customHeight="1">
      <c r="B154" s="90"/>
      <c r="C154" s="66" t="s">
        <v>101</v>
      </c>
      <c r="D154" s="67">
        <v>1</v>
      </c>
      <c r="E154" s="68">
        <v>2.7909572983499998E-4</v>
      </c>
    </row>
    <row r="155" spans="2:5" ht="14.5" customHeight="1">
      <c r="B155" s="90"/>
      <c r="C155" s="66" t="s">
        <v>102</v>
      </c>
      <c r="D155" s="67">
        <v>89</v>
      </c>
      <c r="E155" s="68">
        <v>2.4839519955344998E-2</v>
      </c>
    </row>
    <row r="156" spans="2:5" ht="14.5" customHeight="1">
      <c r="B156" s="90"/>
      <c r="C156" s="66" t="s">
        <v>103</v>
      </c>
      <c r="D156" s="67">
        <v>3</v>
      </c>
      <c r="E156" s="68">
        <v>8.3728718950600001E-4</v>
      </c>
    </row>
    <row r="157" spans="2:5" ht="14.5" customHeight="1">
      <c r="B157" s="90"/>
      <c r="C157" s="66" t="s">
        <v>106</v>
      </c>
      <c r="D157" s="67">
        <v>3</v>
      </c>
      <c r="E157" s="68">
        <v>8.3728718950600001E-4</v>
      </c>
    </row>
    <row r="158" spans="2:5" ht="14.5" customHeight="1">
      <c r="B158" s="90"/>
      <c r="C158" s="66" t="s">
        <v>107</v>
      </c>
      <c r="D158" s="67">
        <v>8</v>
      </c>
      <c r="E158" s="68">
        <v>2.2327658386830001E-3</v>
      </c>
    </row>
    <row r="159" spans="2:5" ht="14.5" customHeight="1">
      <c r="B159" s="90"/>
      <c r="C159" s="66" t="s">
        <v>109</v>
      </c>
      <c r="D159" s="67">
        <v>1</v>
      </c>
      <c r="E159" s="68">
        <v>2.7909572983499998E-4</v>
      </c>
    </row>
    <row r="160" spans="2:5" ht="14.5" customHeight="1">
      <c r="B160" s="90"/>
      <c r="C160" s="66" t="s">
        <v>110</v>
      </c>
      <c r="D160" s="67">
        <v>1</v>
      </c>
      <c r="E160" s="68">
        <v>2.7909572983499998E-4</v>
      </c>
    </row>
    <row r="161" spans="2:5" ht="14.5" customHeight="1">
      <c r="B161" s="90"/>
      <c r="C161" s="66" t="s">
        <v>112</v>
      </c>
      <c r="D161" s="67">
        <v>1</v>
      </c>
      <c r="E161" s="68">
        <v>2.7909572983499998E-4</v>
      </c>
    </row>
    <row r="162" spans="2:5" ht="14.5" customHeight="1">
      <c r="B162" s="90"/>
      <c r="C162" s="66" t="s">
        <v>114</v>
      </c>
      <c r="D162" s="67">
        <v>1</v>
      </c>
      <c r="E162" s="68">
        <v>2.7909572983499998E-4</v>
      </c>
    </row>
    <row r="163" spans="2:5" ht="14.5" customHeight="1">
      <c r="B163" s="90"/>
      <c r="C163" s="66" t="s">
        <v>117</v>
      </c>
      <c r="D163" s="67">
        <v>4</v>
      </c>
      <c r="E163" s="68">
        <v>1.116382919341E-3</v>
      </c>
    </row>
    <row r="164" spans="2:5" ht="14.5" customHeight="1">
      <c r="B164" s="90"/>
      <c r="C164" s="66" t="s">
        <v>119</v>
      </c>
      <c r="D164" s="67">
        <v>6</v>
      </c>
      <c r="E164" s="68">
        <v>1.674574379012E-3</v>
      </c>
    </row>
    <row r="165" spans="2:5" ht="14.5" customHeight="1">
      <c r="B165" s="90"/>
      <c r="C165" s="66" t="s">
        <v>126</v>
      </c>
      <c r="D165" s="67">
        <v>1</v>
      </c>
      <c r="E165" s="68">
        <v>2.7909572983499998E-4</v>
      </c>
    </row>
    <row r="166" spans="2:5" ht="14.5" customHeight="1">
      <c r="B166" s="90"/>
      <c r="C166" s="66" t="s">
        <v>127</v>
      </c>
      <c r="D166" s="67">
        <v>3</v>
      </c>
      <c r="E166" s="68">
        <v>8.3728718950600001E-4</v>
      </c>
    </row>
    <row r="167" spans="2:5" ht="14.5" customHeight="1">
      <c r="B167" s="90"/>
      <c r="C167" s="66" t="s">
        <v>130</v>
      </c>
      <c r="D167" s="67">
        <v>1</v>
      </c>
      <c r="E167" s="68">
        <v>2.7909572983499998E-4</v>
      </c>
    </row>
    <row r="168" spans="2:5" ht="14.5" customHeight="1">
      <c r="B168" s="90"/>
      <c r="C168" s="66" t="s">
        <v>131</v>
      </c>
      <c r="D168" s="67">
        <v>1</v>
      </c>
      <c r="E168" s="68">
        <v>2.7909572983499998E-4</v>
      </c>
    </row>
    <row r="169" spans="2:5" ht="14.5" customHeight="1">
      <c r="B169" s="90"/>
      <c r="C169" s="66" t="s">
        <v>132</v>
      </c>
      <c r="D169" s="67">
        <v>11</v>
      </c>
      <c r="E169" s="68">
        <v>3.0700530281889999E-3</v>
      </c>
    </row>
    <row r="170" spans="2:5" ht="14.5" customHeight="1">
      <c r="B170" s="90"/>
      <c r="C170" s="66" t="s">
        <v>133</v>
      </c>
      <c r="D170" s="67">
        <v>2</v>
      </c>
      <c r="E170" s="68">
        <v>5.5819145967100003E-4</v>
      </c>
    </row>
    <row r="171" spans="2:5" ht="14.5" customHeight="1">
      <c r="B171" s="90"/>
      <c r="C171" s="66" t="s">
        <v>84</v>
      </c>
      <c r="D171" s="67">
        <v>7</v>
      </c>
      <c r="E171" s="68">
        <v>1.9536701088469998E-3</v>
      </c>
    </row>
    <row r="172" spans="2:5" ht="14.5" customHeight="1">
      <c r="B172" s="90"/>
      <c r="C172" s="66" t="s">
        <v>136</v>
      </c>
      <c r="D172" s="67">
        <v>2</v>
      </c>
      <c r="E172" s="68">
        <v>5.5819145967100003E-4</v>
      </c>
    </row>
    <row r="173" spans="2:5" ht="14.5" customHeight="1">
      <c r="B173" s="91"/>
      <c r="C173" s="36" t="s">
        <v>28</v>
      </c>
      <c r="D173" s="35">
        <v>147</v>
      </c>
      <c r="E173" s="34">
        <v>4.1027072285793997E-2</v>
      </c>
    </row>
    <row r="174" spans="2:5" ht="14.5" customHeight="1">
      <c r="B174" s="89" t="s">
        <v>202</v>
      </c>
      <c r="C174" s="66" t="s">
        <v>98</v>
      </c>
      <c r="D174" s="67">
        <v>6</v>
      </c>
      <c r="E174" s="68">
        <v>1.674574379012E-3</v>
      </c>
    </row>
    <row r="175" spans="2:5" ht="14.5" customHeight="1">
      <c r="B175" s="90"/>
      <c r="C175" s="66" t="s">
        <v>100</v>
      </c>
      <c r="D175" s="67">
        <v>19</v>
      </c>
      <c r="E175" s="68">
        <v>5.3028188668710003E-3</v>
      </c>
    </row>
    <row r="176" spans="2:5" ht="14.5" customHeight="1">
      <c r="B176" s="90"/>
      <c r="C176" s="66" t="s">
        <v>101</v>
      </c>
      <c r="D176" s="67">
        <v>2</v>
      </c>
      <c r="E176" s="68">
        <v>5.5819145967100003E-4</v>
      </c>
    </row>
    <row r="177" spans="2:5" ht="14.5" customHeight="1">
      <c r="B177" s="90"/>
      <c r="C177" s="66" t="s">
        <v>102</v>
      </c>
      <c r="D177" s="67">
        <v>592</v>
      </c>
      <c r="E177" s="68">
        <v>0.16522467206251701</v>
      </c>
    </row>
    <row r="178" spans="2:5" ht="14.5" customHeight="1">
      <c r="B178" s="90"/>
      <c r="C178" s="66" t="s">
        <v>103</v>
      </c>
      <c r="D178" s="67">
        <v>11</v>
      </c>
      <c r="E178" s="68">
        <v>3.0700530281889999E-3</v>
      </c>
    </row>
    <row r="179" spans="2:5" ht="14.5" customHeight="1">
      <c r="B179" s="90"/>
      <c r="C179" s="66" t="s">
        <v>104</v>
      </c>
      <c r="D179" s="67">
        <v>16</v>
      </c>
      <c r="E179" s="68">
        <v>4.465531677365E-3</v>
      </c>
    </row>
    <row r="180" spans="2:5" ht="14.5" customHeight="1">
      <c r="B180" s="90"/>
      <c r="C180" s="66" t="s">
        <v>105</v>
      </c>
      <c r="D180" s="67">
        <v>8</v>
      </c>
      <c r="E180" s="68">
        <v>2.2327658386830001E-3</v>
      </c>
    </row>
    <row r="181" spans="2:5" ht="14.5" customHeight="1">
      <c r="B181" s="90"/>
      <c r="C181" s="66" t="s">
        <v>106</v>
      </c>
      <c r="D181" s="67">
        <v>14</v>
      </c>
      <c r="E181" s="68">
        <v>3.9073402176949996E-3</v>
      </c>
    </row>
    <row r="182" spans="2:5" ht="14.5" customHeight="1">
      <c r="B182" s="90"/>
      <c r="C182" s="66" t="s">
        <v>107</v>
      </c>
      <c r="D182" s="67">
        <v>55</v>
      </c>
      <c r="E182" s="68">
        <v>1.5350265140943E-2</v>
      </c>
    </row>
    <row r="183" spans="2:5" ht="14.5" customHeight="1">
      <c r="B183" s="90"/>
      <c r="C183" s="66" t="s">
        <v>108</v>
      </c>
      <c r="D183" s="67">
        <v>10</v>
      </c>
      <c r="E183" s="68">
        <v>2.790957298353E-3</v>
      </c>
    </row>
    <row r="184" spans="2:5" ht="14.5" customHeight="1">
      <c r="B184" s="90"/>
      <c r="C184" s="66" t="s">
        <v>109</v>
      </c>
      <c r="D184" s="67">
        <v>2</v>
      </c>
      <c r="E184" s="68">
        <v>5.5819145967100003E-4</v>
      </c>
    </row>
    <row r="185" spans="2:5" ht="14.5" customHeight="1">
      <c r="B185" s="90"/>
      <c r="C185" s="66" t="s">
        <v>110</v>
      </c>
      <c r="D185" s="67">
        <v>8</v>
      </c>
      <c r="E185" s="68">
        <v>2.2327658386830001E-3</v>
      </c>
    </row>
    <row r="186" spans="2:5" ht="14.5" customHeight="1">
      <c r="B186" s="90"/>
      <c r="C186" s="66" t="s">
        <v>111</v>
      </c>
      <c r="D186" s="67">
        <v>2</v>
      </c>
      <c r="E186" s="68">
        <v>5.5819145967100003E-4</v>
      </c>
    </row>
    <row r="187" spans="2:5" ht="14.5" customHeight="1">
      <c r="B187" s="90"/>
      <c r="C187" s="66" t="s">
        <v>114</v>
      </c>
      <c r="D187" s="67">
        <v>3</v>
      </c>
      <c r="E187" s="68">
        <v>8.3728718950600001E-4</v>
      </c>
    </row>
    <row r="188" spans="2:5" ht="14.5" customHeight="1">
      <c r="B188" s="90"/>
      <c r="C188" s="66" t="s">
        <v>115</v>
      </c>
      <c r="D188" s="67">
        <v>2</v>
      </c>
      <c r="E188" s="68">
        <v>5.5819145967100003E-4</v>
      </c>
    </row>
    <row r="189" spans="2:5" ht="14.5" customHeight="1">
      <c r="B189" s="90"/>
      <c r="C189" s="66" t="s">
        <v>117</v>
      </c>
      <c r="D189" s="67">
        <v>4</v>
      </c>
      <c r="E189" s="68">
        <v>1.116382919341E-3</v>
      </c>
    </row>
    <row r="190" spans="2:5" ht="14.5" customHeight="1">
      <c r="B190" s="90"/>
      <c r="C190" s="66" t="s">
        <v>118</v>
      </c>
      <c r="D190" s="67">
        <v>3</v>
      </c>
      <c r="E190" s="68">
        <v>8.3728718950600001E-4</v>
      </c>
    </row>
    <row r="191" spans="2:5" ht="14.5" customHeight="1">
      <c r="B191" s="90"/>
      <c r="C191" s="66" t="s">
        <v>119</v>
      </c>
      <c r="D191" s="67">
        <v>55</v>
      </c>
      <c r="E191" s="68">
        <v>1.5350265140943E-2</v>
      </c>
    </row>
    <row r="192" spans="2:5" ht="14.5" customHeight="1">
      <c r="B192" s="90"/>
      <c r="C192" s="66" t="s">
        <v>120</v>
      </c>
      <c r="D192" s="67">
        <v>3</v>
      </c>
      <c r="E192" s="68">
        <v>8.3728718950600001E-4</v>
      </c>
    </row>
    <row r="193" spans="2:5" ht="14.5" customHeight="1">
      <c r="B193" s="90"/>
      <c r="C193" s="66" t="s">
        <v>121</v>
      </c>
      <c r="D193" s="67">
        <v>3</v>
      </c>
      <c r="E193" s="68">
        <v>8.3728718950600001E-4</v>
      </c>
    </row>
    <row r="194" spans="2:5" ht="14.5" customHeight="1">
      <c r="B194" s="90"/>
      <c r="C194" s="66" t="s">
        <v>124</v>
      </c>
      <c r="D194" s="67">
        <v>7</v>
      </c>
      <c r="E194" s="68">
        <v>1.9536701088469998E-3</v>
      </c>
    </row>
    <row r="195" spans="2:5" ht="14.5" customHeight="1">
      <c r="B195" s="90"/>
      <c r="C195" s="66" t="s">
        <v>125</v>
      </c>
      <c r="D195" s="67">
        <v>3</v>
      </c>
      <c r="E195" s="68">
        <v>8.3728718950600001E-4</v>
      </c>
    </row>
    <row r="196" spans="2:5" ht="14.5" customHeight="1">
      <c r="B196" s="90"/>
      <c r="C196" s="66" t="s">
        <v>126</v>
      </c>
      <c r="D196" s="67">
        <v>9</v>
      </c>
      <c r="E196" s="68">
        <v>2.5118615685179998E-3</v>
      </c>
    </row>
    <row r="197" spans="2:5" ht="14.5" customHeight="1">
      <c r="B197" s="90"/>
      <c r="C197" s="66" t="s">
        <v>127</v>
      </c>
      <c r="D197" s="67">
        <v>11</v>
      </c>
      <c r="E197" s="68">
        <v>3.0700530281889999E-3</v>
      </c>
    </row>
    <row r="198" spans="2:5" ht="14.5" customHeight="1">
      <c r="B198" s="90"/>
      <c r="C198" s="66" t="s">
        <v>128</v>
      </c>
      <c r="D198" s="67">
        <v>1</v>
      </c>
      <c r="E198" s="68">
        <v>2.7909572983499998E-4</v>
      </c>
    </row>
    <row r="199" spans="2:5" ht="14.5" customHeight="1">
      <c r="B199" s="90"/>
      <c r="C199" s="66" t="s">
        <v>129</v>
      </c>
      <c r="D199" s="67">
        <v>1</v>
      </c>
      <c r="E199" s="68">
        <v>2.7909572983499998E-4</v>
      </c>
    </row>
    <row r="200" spans="2:5" ht="14.5" customHeight="1">
      <c r="B200" s="90"/>
      <c r="C200" s="66" t="s">
        <v>130</v>
      </c>
      <c r="D200" s="67">
        <v>4</v>
      </c>
      <c r="E200" s="68">
        <v>1.116382919341E-3</v>
      </c>
    </row>
    <row r="201" spans="2:5" ht="14.5" customHeight="1">
      <c r="B201" s="90"/>
      <c r="C201" s="66" t="s">
        <v>131</v>
      </c>
      <c r="D201" s="67">
        <v>4</v>
      </c>
      <c r="E201" s="68">
        <v>1.116382919341E-3</v>
      </c>
    </row>
    <row r="202" spans="2:5" ht="14.5" customHeight="1">
      <c r="B202" s="90"/>
      <c r="C202" s="66" t="s">
        <v>132</v>
      </c>
      <c r="D202" s="67">
        <v>86</v>
      </c>
      <c r="E202" s="68">
        <v>2.4002232765839002E-2</v>
      </c>
    </row>
    <row r="203" spans="2:5" ht="14.5" customHeight="1">
      <c r="B203" s="90"/>
      <c r="C203" s="66" t="s">
        <v>133</v>
      </c>
      <c r="D203" s="67">
        <v>10</v>
      </c>
      <c r="E203" s="68">
        <v>2.790957298353E-3</v>
      </c>
    </row>
    <row r="204" spans="2:5" ht="14.5" customHeight="1">
      <c r="B204" s="90"/>
      <c r="C204" s="66" t="s">
        <v>134</v>
      </c>
      <c r="D204" s="67">
        <v>3</v>
      </c>
      <c r="E204" s="68">
        <v>8.3728718950600001E-4</v>
      </c>
    </row>
    <row r="205" spans="2:5" ht="14.5" customHeight="1">
      <c r="B205" s="90"/>
      <c r="C205" s="66" t="s">
        <v>84</v>
      </c>
      <c r="D205" s="67">
        <v>22</v>
      </c>
      <c r="E205" s="68">
        <v>6.1401060563769996E-3</v>
      </c>
    </row>
    <row r="206" spans="2:5" ht="14.5" customHeight="1">
      <c r="B206" s="90"/>
      <c r="C206" s="66" t="s">
        <v>136</v>
      </c>
      <c r="D206" s="67">
        <v>4</v>
      </c>
      <c r="E206" s="68">
        <v>1.116382919341E-3</v>
      </c>
    </row>
    <row r="207" spans="2:5" ht="14.5" customHeight="1">
      <c r="B207" s="91"/>
      <c r="C207" s="36" t="s">
        <v>28</v>
      </c>
      <c r="D207" s="35">
        <v>983</v>
      </c>
      <c r="E207" s="34">
        <v>0.27435110242813299</v>
      </c>
    </row>
    <row r="208" spans="2:5" ht="14.5" customHeight="1">
      <c r="B208" s="89" t="s">
        <v>203</v>
      </c>
      <c r="C208" s="66" t="s">
        <v>100</v>
      </c>
      <c r="D208" s="67">
        <v>1</v>
      </c>
      <c r="E208" s="68">
        <v>2.7909572983499998E-4</v>
      </c>
    </row>
    <row r="209" spans="2:5" ht="14.5" customHeight="1">
      <c r="B209" s="90"/>
      <c r="C209" s="66" t="s">
        <v>102</v>
      </c>
      <c r="D209" s="67">
        <v>43</v>
      </c>
      <c r="E209" s="68">
        <v>1.2001116382919E-2</v>
      </c>
    </row>
    <row r="210" spans="2:5" ht="14.5" customHeight="1">
      <c r="B210" s="90"/>
      <c r="C210" s="66" t="s">
        <v>103</v>
      </c>
      <c r="D210" s="67">
        <v>1</v>
      </c>
      <c r="E210" s="68">
        <v>2.7909572983499998E-4</v>
      </c>
    </row>
    <row r="211" spans="2:5" ht="14.5" customHeight="1">
      <c r="B211" s="90"/>
      <c r="C211" s="66" t="s">
        <v>104</v>
      </c>
      <c r="D211" s="67">
        <v>1</v>
      </c>
      <c r="E211" s="68">
        <v>2.7909572983499998E-4</v>
      </c>
    </row>
    <row r="212" spans="2:5" ht="14.5" customHeight="1">
      <c r="B212" s="90"/>
      <c r="C212" s="66" t="s">
        <v>107</v>
      </c>
      <c r="D212" s="67">
        <v>1</v>
      </c>
      <c r="E212" s="68">
        <v>2.7909572983499998E-4</v>
      </c>
    </row>
    <row r="213" spans="2:5" ht="14.5" customHeight="1">
      <c r="B213" s="90"/>
      <c r="C213" s="66" t="s">
        <v>119</v>
      </c>
      <c r="D213" s="67">
        <v>4</v>
      </c>
      <c r="E213" s="68">
        <v>1.116382919341E-3</v>
      </c>
    </row>
    <row r="214" spans="2:5" ht="14.5" customHeight="1">
      <c r="B214" s="90"/>
      <c r="C214" s="66" t="s">
        <v>132</v>
      </c>
      <c r="D214" s="67">
        <v>1</v>
      </c>
      <c r="E214" s="68">
        <v>2.7909572983499998E-4</v>
      </c>
    </row>
    <row r="215" spans="2:5" ht="14.5" customHeight="1">
      <c r="B215" s="90"/>
      <c r="C215" s="66" t="s">
        <v>84</v>
      </c>
      <c r="D215" s="67">
        <v>2</v>
      </c>
      <c r="E215" s="68">
        <v>5.5819145967100003E-4</v>
      </c>
    </row>
    <row r="216" spans="2:5" ht="14.5" customHeight="1">
      <c r="B216" s="91"/>
      <c r="C216" s="36" t="s">
        <v>28</v>
      </c>
      <c r="D216" s="35">
        <v>54</v>
      </c>
      <c r="E216" s="34">
        <v>1.5071169411108001E-2</v>
      </c>
    </row>
    <row r="217" spans="2:5" ht="14.5" customHeight="1">
      <c r="B217" s="89" t="s">
        <v>204</v>
      </c>
      <c r="C217" s="66" t="s">
        <v>100</v>
      </c>
      <c r="D217" s="67">
        <v>5</v>
      </c>
      <c r="E217" s="68">
        <v>1.395478649177E-3</v>
      </c>
    </row>
    <row r="218" spans="2:5" ht="14.5" customHeight="1">
      <c r="B218" s="90"/>
      <c r="C218" s="66" t="s">
        <v>102</v>
      </c>
      <c r="D218" s="67">
        <v>112</v>
      </c>
      <c r="E218" s="68">
        <v>3.1258721741557E-2</v>
      </c>
    </row>
    <row r="219" spans="2:5" ht="14.5" customHeight="1">
      <c r="B219" s="90"/>
      <c r="C219" s="66" t="s">
        <v>104</v>
      </c>
      <c r="D219" s="67">
        <v>3</v>
      </c>
      <c r="E219" s="68">
        <v>8.3728718950600001E-4</v>
      </c>
    </row>
    <row r="220" spans="2:5" ht="14.5" customHeight="1">
      <c r="B220" s="90"/>
      <c r="C220" s="66" t="s">
        <v>105</v>
      </c>
      <c r="D220" s="67">
        <v>5</v>
      </c>
      <c r="E220" s="68">
        <v>1.395478649177E-3</v>
      </c>
    </row>
    <row r="221" spans="2:5" ht="14.5" customHeight="1">
      <c r="B221" s="90"/>
      <c r="C221" s="66" t="s">
        <v>106</v>
      </c>
      <c r="D221" s="67">
        <v>3</v>
      </c>
      <c r="E221" s="68">
        <v>8.3728718950600001E-4</v>
      </c>
    </row>
    <row r="222" spans="2:5" ht="14.5" customHeight="1">
      <c r="B222" s="90"/>
      <c r="C222" s="66" t="s">
        <v>107</v>
      </c>
      <c r="D222" s="67">
        <v>6</v>
      </c>
      <c r="E222" s="68">
        <v>1.674574379012E-3</v>
      </c>
    </row>
    <row r="223" spans="2:5" ht="14.5" customHeight="1">
      <c r="B223" s="90"/>
      <c r="C223" s="66" t="s">
        <v>108</v>
      </c>
      <c r="D223" s="67">
        <v>6</v>
      </c>
      <c r="E223" s="68">
        <v>1.674574379012E-3</v>
      </c>
    </row>
    <row r="224" spans="2:5" ht="14.5" customHeight="1">
      <c r="B224" s="90"/>
      <c r="C224" s="66" t="s">
        <v>110</v>
      </c>
      <c r="D224" s="67">
        <v>2</v>
      </c>
      <c r="E224" s="68">
        <v>5.5819145967100003E-4</v>
      </c>
    </row>
    <row r="225" spans="2:5" ht="14.5" customHeight="1">
      <c r="B225" s="90"/>
      <c r="C225" s="66" t="s">
        <v>112</v>
      </c>
      <c r="D225" s="67">
        <v>1</v>
      </c>
      <c r="E225" s="68">
        <v>2.7909572983499998E-4</v>
      </c>
    </row>
    <row r="226" spans="2:5" ht="14.5" customHeight="1">
      <c r="B226" s="90"/>
      <c r="C226" s="66" t="s">
        <v>114</v>
      </c>
      <c r="D226" s="67">
        <v>1</v>
      </c>
      <c r="E226" s="68">
        <v>2.7909572983499998E-4</v>
      </c>
    </row>
    <row r="227" spans="2:5" ht="14.5" customHeight="1">
      <c r="B227" s="90"/>
      <c r="C227" s="66" t="s">
        <v>115</v>
      </c>
      <c r="D227" s="67">
        <v>2</v>
      </c>
      <c r="E227" s="68">
        <v>5.5819145967100003E-4</v>
      </c>
    </row>
    <row r="228" spans="2:5" ht="14.5" customHeight="1">
      <c r="B228" s="90"/>
      <c r="C228" s="66" t="s">
        <v>117</v>
      </c>
      <c r="D228" s="67">
        <v>2</v>
      </c>
      <c r="E228" s="68">
        <v>5.5819145967100003E-4</v>
      </c>
    </row>
    <row r="229" spans="2:5" ht="14.5" customHeight="1">
      <c r="B229" s="90"/>
      <c r="C229" s="66" t="s">
        <v>118</v>
      </c>
      <c r="D229" s="67">
        <v>1</v>
      </c>
      <c r="E229" s="68">
        <v>2.7909572983499998E-4</v>
      </c>
    </row>
    <row r="230" spans="2:5" ht="14.5" customHeight="1">
      <c r="B230" s="90"/>
      <c r="C230" s="66" t="s">
        <v>119</v>
      </c>
      <c r="D230" s="67">
        <v>6</v>
      </c>
      <c r="E230" s="68">
        <v>1.674574379012E-3</v>
      </c>
    </row>
    <row r="231" spans="2:5" ht="14.5" customHeight="1">
      <c r="B231" s="90"/>
      <c r="C231" s="66" t="s">
        <v>120</v>
      </c>
      <c r="D231" s="67">
        <v>1</v>
      </c>
      <c r="E231" s="68">
        <v>2.7909572983499998E-4</v>
      </c>
    </row>
    <row r="232" spans="2:5" ht="14.5" customHeight="1">
      <c r="B232" s="90"/>
      <c r="C232" s="66" t="s">
        <v>123</v>
      </c>
      <c r="D232" s="67">
        <v>1</v>
      </c>
      <c r="E232" s="68">
        <v>2.7909572983499998E-4</v>
      </c>
    </row>
    <row r="233" spans="2:5" ht="14.5" customHeight="1">
      <c r="B233" s="90"/>
      <c r="C233" s="66" t="s">
        <v>124</v>
      </c>
      <c r="D233" s="67">
        <v>3</v>
      </c>
      <c r="E233" s="68">
        <v>8.3728718950600001E-4</v>
      </c>
    </row>
    <row r="234" spans="2:5" ht="14.5" customHeight="1">
      <c r="B234" s="90"/>
      <c r="C234" s="66" t="s">
        <v>126</v>
      </c>
      <c r="D234" s="67">
        <v>1</v>
      </c>
      <c r="E234" s="68">
        <v>2.7909572983499998E-4</v>
      </c>
    </row>
    <row r="235" spans="2:5" ht="14.5" customHeight="1">
      <c r="B235" s="90"/>
      <c r="C235" s="66" t="s">
        <v>127</v>
      </c>
      <c r="D235" s="67">
        <v>6</v>
      </c>
      <c r="E235" s="68">
        <v>1.674574379012E-3</v>
      </c>
    </row>
    <row r="236" spans="2:5" ht="14.5" customHeight="1">
      <c r="B236" s="90"/>
      <c r="C236" s="66" t="s">
        <v>130</v>
      </c>
      <c r="D236" s="67">
        <v>1</v>
      </c>
      <c r="E236" s="68">
        <v>2.7909572983499998E-4</v>
      </c>
    </row>
    <row r="237" spans="2:5" ht="14.5" customHeight="1">
      <c r="B237" s="90"/>
      <c r="C237" s="66" t="s">
        <v>132</v>
      </c>
      <c r="D237" s="67">
        <v>19</v>
      </c>
      <c r="E237" s="68">
        <v>5.3028188668710003E-3</v>
      </c>
    </row>
    <row r="238" spans="2:5" ht="14.5" customHeight="1">
      <c r="B238" s="90"/>
      <c r="C238" s="66" t="s">
        <v>134</v>
      </c>
      <c r="D238" s="67">
        <v>1</v>
      </c>
      <c r="E238" s="68">
        <v>2.7909572983499998E-4</v>
      </c>
    </row>
    <row r="239" spans="2:5" ht="14.5" customHeight="1">
      <c r="B239" s="90"/>
      <c r="C239" s="66" t="s">
        <v>84</v>
      </c>
      <c r="D239" s="67">
        <v>6</v>
      </c>
      <c r="E239" s="68">
        <v>1.674574379012E-3</v>
      </c>
    </row>
    <row r="240" spans="2:5" ht="14.5" customHeight="1">
      <c r="B240" s="91"/>
      <c r="C240" s="36" t="s">
        <v>28</v>
      </c>
      <c r="D240" s="35">
        <v>194</v>
      </c>
      <c r="E240" s="34">
        <v>5.4144571588055003E-2</v>
      </c>
    </row>
    <row r="241" spans="2:5" ht="14.5" customHeight="1">
      <c r="B241" s="89" t="s">
        <v>205</v>
      </c>
      <c r="C241" s="66" t="s">
        <v>98</v>
      </c>
      <c r="D241" s="67">
        <v>2</v>
      </c>
      <c r="E241" s="68">
        <v>5.5819145967100003E-4</v>
      </c>
    </row>
    <row r="242" spans="2:5" ht="14.5" customHeight="1">
      <c r="B242" s="90"/>
      <c r="C242" s="66" t="s">
        <v>99</v>
      </c>
      <c r="D242" s="67">
        <v>1</v>
      </c>
      <c r="E242" s="68">
        <v>2.7909572983499998E-4</v>
      </c>
    </row>
    <row r="243" spans="2:5" ht="14.5" customHeight="1">
      <c r="B243" s="90"/>
      <c r="C243" s="66" t="s">
        <v>100</v>
      </c>
      <c r="D243" s="67">
        <v>17</v>
      </c>
      <c r="E243" s="68">
        <v>4.7446274072009999E-3</v>
      </c>
    </row>
    <row r="244" spans="2:5" ht="14.5" customHeight="1">
      <c r="B244" s="90"/>
      <c r="C244" s="66" t="s">
        <v>101</v>
      </c>
      <c r="D244" s="67">
        <v>1</v>
      </c>
      <c r="E244" s="68">
        <v>2.7909572983499998E-4</v>
      </c>
    </row>
    <row r="245" spans="2:5" ht="14.5" customHeight="1">
      <c r="B245" s="90"/>
      <c r="C245" s="66" t="s">
        <v>102</v>
      </c>
      <c r="D245" s="67">
        <v>477</v>
      </c>
      <c r="E245" s="68">
        <v>0.13312866313145399</v>
      </c>
    </row>
    <row r="246" spans="2:5" ht="14.5" customHeight="1">
      <c r="B246" s="90"/>
      <c r="C246" s="66" t="s">
        <v>103</v>
      </c>
      <c r="D246" s="67">
        <v>10</v>
      </c>
      <c r="E246" s="68">
        <v>2.790957298353E-3</v>
      </c>
    </row>
    <row r="247" spans="2:5" ht="14.5" customHeight="1">
      <c r="B247" s="90"/>
      <c r="C247" s="66" t="s">
        <v>104</v>
      </c>
      <c r="D247" s="67">
        <v>5</v>
      </c>
      <c r="E247" s="68">
        <v>1.395478649177E-3</v>
      </c>
    </row>
    <row r="248" spans="2:5" ht="14.5" customHeight="1">
      <c r="B248" s="90"/>
      <c r="C248" s="66" t="s">
        <v>105</v>
      </c>
      <c r="D248" s="67">
        <v>5</v>
      </c>
      <c r="E248" s="68">
        <v>1.395478649177E-3</v>
      </c>
    </row>
    <row r="249" spans="2:5" ht="14.5" customHeight="1">
      <c r="B249" s="90"/>
      <c r="C249" s="66" t="s">
        <v>106</v>
      </c>
      <c r="D249" s="67">
        <v>9</v>
      </c>
      <c r="E249" s="68">
        <v>2.5118615685179998E-3</v>
      </c>
    </row>
    <row r="250" spans="2:5" ht="14.5" customHeight="1">
      <c r="B250" s="90"/>
      <c r="C250" s="66" t="s">
        <v>107</v>
      </c>
      <c r="D250" s="67">
        <v>32</v>
      </c>
      <c r="E250" s="68">
        <v>8.9310633547309993E-3</v>
      </c>
    </row>
    <row r="251" spans="2:5" ht="14.5" customHeight="1">
      <c r="B251" s="90"/>
      <c r="C251" s="66" t="s">
        <v>108</v>
      </c>
      <c r="D251" s="67">
        <v>4</v>
      </c>
      <c r="E251" s="68">
        <v>1.116382919341E-3</v>
      </c>
    </row>
    <row r="252" spans="2:5" ht="14.5" customHeight="1">
      <c r="B252" s="90"/>
      <c r="C252" s="66" t="s">
        <v>109</v>
      </c>
      <c r="D252" s="67">
        <v>1</v>
      </c>
      <c r="E252" s="68">
        <v>2.7909572983499998E-4</v>
      </c>
    </row>
    <row r="253" spans="2:5" ht="14.5" customHeight="1">
      <c r="B253" s="90"/>
      <c r="C253" s="66" t="s">
        <v>110</v>
      </c>
      <c r="D253" s="67">
        <v>2</v>
      </c>
      <c r="E253" s="68">
        <v>5.5819145967100003E-4</v>
      </c>
    </row>
    <row r="254" spans="2:5" ht="14.5" customHeight="1">
      <c r="B254" s="90"/>
      <c r="C254" s="66" t="s">
        <v>111</v>
      </c>
      <c r="D254" s="67">
        <v>2</v>
      </c>
      <c r="E254" s="68">
        <v>5.5819145967100003E-4</v>
      </c>
    </row>
    <row r="255" spans="2:5" ht="14.5" customHeight="1">
      <c r="B255" s="90"/>
      <c r="C255" s="66" t="s">
        <v>113</v>
      </c>
      <c r="D255" s="67">
        <v>1</v>
      </c>
      <c r="E255" s="68">
        <v>2.7909572983499998E-4</v>
      </c>
    </row>
    <row r="256" spans="2:5" ht="14.5" customHeight="1">
      <c r="B256" s="90"/>
      <c r="C256" s="66" t="s">
        <v>115</v>
      </c>
      <c r="D256" s="67">
        <v>3</v>
      </c>
      <c r="E256" s="68">
        <v>8.3728718950600001E-4</v>
      </c>
    </row>
    <row r="257" spans="2:5" ht="14.5" customHeight="1">
      <c r="B257" s="90"/>
      <c r="C257" s="66" t="s">
        <v>118</v>
      </c>
      <c r="D257" s="67">
        <v>1</v>
      </c>
      <c r="E257" s="68">
        <v>2.7909572983499998E-4</v>
      </c>
    </row>
    <row r="258" spans="2:5" ht="14.5" customHeight="1">
      <c r="B258" s="90"/>
      <c r="C258" s="66" t="s">
        <v>119</v>
      </c>
      <c r="D258" s="67">
        <v>40</v>
      </c>
      <c r="E258" s="68">
        <v>1.1163829193412999E-2</v>
      </c>
    </row>
    <row r="259" spans="2:5" ht="14.5" customHeight="1">
      <c r="B259" s="90"/>
      <c r="C259" s="66" t="s">
        <v>120</v>
      </c>
      <c r="D259" s="67">
        <v>2</v>
      </c>
      <c r="E259" s="68">
        <v>5.5819145967100003E-4</v>
      </c>
    </row>
    <row r="260" spans="2:5" ht="14.5" customHeight="1">
      <c r="B260" s="90"/>
      <c r="C260" s="66" t="s">
        <v>121</v>
      </c>
      <c r="D260" s="67">
        <v>2</v>
      </c>
      <c r="E260" s="68">
        <v>5.5819145967100003E-4</v>
      </c>
    </row>
    <row r="261" spans="2:5" ht="14.5" customHeight="1">
      <c r="B261" s="90"/>
      <c r="C261" s="66" t="s">
        <v>123</v>
      </c>
      <c r="D261" s="67">
        <v>1</v>
      </c>
      <c r="E261" s="68">
        <v>2.7909572983499998E-4</v>
      </c>
    </row>
    <row r="262" spans="2:5" ht="14.5" customHeight="1">
      <c r="B262" s="90"/>
      <c r="C262" s="66" t="s">
        <v>124</v>
      </c>
      <c r="D262" s="67">
        <v>8</v>
      </c>
      <c r="E262" s="68">
        <v>2.2327658386830001E-3</v>
      </c>
    </row>
    <row r="263" spans="2:5" ht="14.5" customHeight="1">
      <c r="B263" s="90"/>
      <c r="C263" s="66" t="s">
        <v>125</v>
      </c>
      <c r="D263" s="67">
        <v>1</v>
      </c>
      <c r="E263" s="68">
        <v>2.7909572983499998E-4</v>
      </c>
    </row>
    <row r="264" spans="2:5" ht="14.5" customHeight="1">
      <c r="B264" s="90"/>
      <c r="C264" s="66" t="s">
        <v>126</v>
      </c>
      <c r="D264" s="67">
        <v>2</v>
      </c>
      <c r="E264" s="68">
        <v>5.5819145967100003E-4</v>
      </c>
    </row>
    <row r="265" spans="2:5" ht="14.5" customHeight="1">
      <c r="B265" s="90"/>
      <c r="C265" s="66" t="s">
        <v>127</v>
      </c>
      <c r="D265" s="67">
        <v>8</v>
      </c>
      <c r="E265" s="68">
        <v>2.2327658386830001E-3</v>
      </c>
    </row>
    <row r="266" spans="2:5" ht="14.5" customHeight="1">
      <c r="B266" s="90"/>
      <c r="C266" s="66" t="s">
        <v>130</v>
      </c>
      <c r="D266" s="67">
        <v>2</v>
      </c>
      <c r="E266" s="68">
        <v>5.5819145967100003E-4</v>
      </c>
    </row>
    <row r="267" spans="2:5" ht="14.5" customHeight="1">
      <c r="B267" s="90"/>
      <c r="C267" s="66" t="s">
        <v>131</v>
      </c>
      <c r="D267" s="67">
        <v>6</v>
      </c>
      <c r="E267" s="68">
        <v>1.674574379012E-3</v>
      </c>
    </row>
    <row r="268" spans="2:5" ht="14.5" customHeight="1">
      <c r="B268" s="90"/>
      <c r="C268" s="66" t="s">
        <v>132</v>
      </c>
      <c r="D268" s="67">
        <v>62</v>
      </c>
      <c r="E268" s="68">
        <v>1.7303935249791E-2</v>
      </c>
    </row>
    <row r="269" spans="2:5" ht="14.5" customHeight="1">
      <c r="B269" s="90"/>
      <c r="C269" s="66" t="s">
        <v>133</v>
      </c>
      <c r="D269" s="67">
        <v>8</v>
      </c>
      <c r="E269" s="68">
        <v>2.2327658386830001E-3</v>
      </c>
    </row>
    <row r="270" spans="2:5" ht="14.5" customHeight="1">
      <c r="B270" s="90"/>
      <c r="C270" s="66" t="s">
        <v>134</v>
      </c>
      <c r="D270" s="67">
        <v>1</v>
      </c>
      <c r="E270" s="68">
        <v>2.7909572983499998E-4</v>
      </c>
    </row>
    <row r="271" spans="2:5" ht="14.5" customHeight="1">
      <c r="B271" s="90"/>
      <c r="C271" s="66" t="s">
        <v>84</v>
      </c>
      <c r="D271" s="67">
        <v>14</v>
      </c>
      <c r="E271" s="68">
        <v>3.9073402176949996E-3</v>
      </c>
    </row>
    <row r="272" spans="2:5" ht="14.5" customHeight="1">
      <c r="B272" s="90"/>
      <c r="C272" s="66" t="s">
        <v>135</v>
      </c>
      <c r="D272" s="67">
        <v>1</v>
      </c>
      <c r="E272" s="68">
        <v>2.7909572983499998E-4</v>
      </c>
    </row>
    <row r="273" spans="2:5" ht="14.5" customHeight="1">
      <c r="B273" s="90"/>
      <c r="C273" s="66" t="s">
        <v>136</v>
      </c>
      <c r="D273" s="67">
        <v>1</v>
      </c>
      <c r="E273" s="68">
        <v>2.7909572983499998E-4</v>
      </c>
    </row>
    <row r="274" spans="2:5" ht="14.5" customHeight="1">
      <c r="B274" s="90"/>
      <c r="C274" s="66" t="s">
        <v>137</v>
      </c>
      <c r="D274" s="67">
        <v>2</v>
      </c>
      <c r="E274" s="68">
        <v>5.5819145967100003E-4</v>
      </c>
    </row>
    <row r="275" spans="2:5" ht="14.5" customHeight="1">
      <c r="B275" s="91"/>
      <c r="C275" s="36" t="s">
        <v>28</v>
      </c>
      <c r="D275" s="35">
        <v>734</v>
      </c>
      <c r="E275" s="34">
        <v>0.20485626569913501</v>
      </c>
    </row>
    <row r="276" spans="2:5" ht="14.5" customHeight="1">
      <c r="B276" s="89" t="s">
        <v>206</v>
      </c>
      <c r="C276" s="66" t="s">
        <v>100</v>
      </c>
      <c r="D276" s="67">
        <v>1</v>
      </c>
      <c r="E276" s="68">
        <v>2.7909572983499998E-4</v>
      </c>
    </row>
    <row r="277" spans="2:5" ht="14.5" customHeight="1">
      <c r="B277" s="90"/>
      <c r="C277" s="66" t="s">
        <v>102</v>
      </c>
      <c r="D277" s="67">
        <v>8</v>
      </c>
      <c r="E277" s="68">
        <v>2.2327658386830001E-3</v>
      </c>
    </row>
    <row r="278" spans="2:5" ht="14.5" customHeight="1">
      <c r="B278" s="90"/>
      <c r="C278" s="66" t="s">
        <v>104</v>
      </c>
      <c r="D278" s="67">
        <v>1</v>
      </c>
      <c r="E278" s="68">
        <v>2.7909572983499998E-4</v>
      </c>
    </row>
    <row r="279" spans="2:5" ht="14.5" customHeight="1">
      <c r="B279" s="90"/>
      <c r="C279" s="66" t="s">
        <v>107</v>
      </c>
      <c r="D279" s="67">
        <v>1</v>
      </c>
      <c r="E279" s="68">
        <v>2.7909572983499998E-4</v>
      </c>
    </row>
    <row r="280" spans="2:5" ht="14.5" customHeight="1">
      <c r="B280" s="90"/>
      <c r="C280" s="66" t="s">
        <v>132</v>
      </c>
      <c r="D280" s="67">
        <v>1</v>
      </c>
      <c r="E280" s="68">
        <v>2.7909572983499998E-4</v>
      </c>
    </row>
    <row r="281" spans="2:5" ht="14.5" customHeight="1">
      <c r="B281" s="91"/>
      <c r="C281" s="36" t="s">
        <v>28</v>
      </c>
      <c r="D281" s="35">
        <v>12</v>
      </c>
      <c r="E281" s="34">
        <v>3.349148758024E-3</v>
      </c>
    </row>
    <row r="282" spans="2:5" ht="14.5" customHeight="1">
      <c r="B282" s="89" t="s">
        <v>207</v>
      </c>
      <c r="C282" s="66" t="s">
        <v>102</v>
      </c>
      <c r="D282" s="67">
        <v>7</v>
      </c>
      <c r="E282" s="68">
        <v>1.9536701088469998E-3</v>
      </c>
    </row>
    <row r="283" spans="2:5" ht="14.5" customHeight="1">
      <c r="B283" s="90"/>
      <c r="C283" s="66" t="s">
        <v>107</v>
      </c>
      <c r="D283" s="67">
        <v>1</v>
      </c>
      <c r="E283" s="68">
        <v>2.7909572983499998E-4</v>
      </c>
    </row>
    <row r="284" spans="2:5" ht="14.5" customHeight="1">
      <c r="B284" s="90"/>
      <c r="C284" s="66" t="s">
        <v>117</v>
      </c>
      <c r="D284" s="67">
        <v>1</v>
      </c>
      <c r="E284" s="68">
        <v>2.7909572983499998E-4</v>
      </c>
    </row>
    <row r="285" spans="2:5" ht="14.5" customHeight="1">
      <c r="B285" s="90"/>
      <c r="C285" s="66" t="s">
        <v>124</v>
      </c>
      <c r="D285" s="67">
        <v>1</v>
      </c>
      <c r="E285" s="68">
        <v>2.7909572983499998E-4</v>
      </c>
    </row>
    <row r="286" spans="2:5" ht="14.5" customHeight="1">
      <c r="B286" s="90"/>
      <c r="C286" s="66" t="s">
        <v>132</v>
      </c>
      <c r="D286" s="67">
        <v>1</v>
      </c>
      <c r="E286" s="68">
        <v>2.7909572983499998E-4</v>
      </c>
    </row>
    <row r="287" spans="2:5" ht="14.5" customHeight="1">
      <c r="B287" s="91"/>
      <c r="C287" s="36" t="s">
        <v>28</v>
      </c>
      <c r="D287" s="35">
        <v>11</v>
      </c>
      <c r="E287" s="34">
        <v>3.0700530281889999E-3</v>
      </c>
    </row>
    <row r="288" spans="2:5" ht="14.5" customHeight="1">
      <c r="B288" s="89" t="s">
        <v>208</v>
      </c>
      <c r="C288" s="66" t="s">
        <v>102</v>
      </c>
      <c r="D288" s="67">
        <v>3</v>
      </c>
      <c r="E288" s="68">
        <v>8.3728718950600001E-4</v>
      </c>
    </row>
    <row r="289" spans="2:5" ht="14.5" customHeight="1">
      <c r="B289" s="90"/>
      <c r="C289" s="66" t="s">
        <v>107</v>
      </c>
      <c r="D289" s="67">
        <v>1</v>
      </c>
      <c r="E289" s="68">
        <v>2.7909572983499998E-4</v>
      </c>
    </row>
    <row r="290" spans="2:5" ht="14.5" customHeight="1">
      <c r="B290" s="90"/>
      <c r="C290" s="66" t="s">
        <v>132</v>
      </c>
      <c r="D290" s="67">
        <v>1</v>
      </c>
      <c r="E290" s="68">
        <v>2.7909572983499998E-4</v>
      </c>
    </row>
    <row r="291" spans="2:5" ht="14.5" customHeight="1">
      <c r="B291" s="91"/>
      <c r="C291" s="36" t="s">
        <v>28</v>
      </c>
      <c r="D291" s="35">
        <v>5</v>
      </c>
      <c r="E291" s="34">
        <v>1.395478649177E-3</v>
      </c>
    </row>
    <row r="292" spans="2:5" ht="14.5" customHeight="1">
      <c r="B292" s="89" t="s">
        <v>209</v>
      </c>
      <c r="C292" s="66" t="s">
        <v>102</v>
      </c>
      <c r="D292" s="67">
        <v>4</v>
      </c>
      <c r="E292" s="68">
        <v>1.116382919341E-3</v>
      </c>
    </row>
    <row r="293" spans="2:5" ht="14.5" customHeight="1">
      <c r="B293" s="91"/>
      <c r="C293" s="36" t="s">
        <v>28</v>
      </c>
      <c r="D293" s="35">
        <v>4</v>
      </c>
      <c r="E293" s="34">
        <v>1.116382919341E-3</v>
      </c>
    </row>
    <row r="294" spans="2:5" ht="14.5" customHeight="1">
      <c r="B294" s="89" t="s">
        <v>210</v>
      </c>
      <c r="C294" s="66" t="s">
        <v>100</v>
      </c>
      <c r="D294" s="67">
        <v>3</v>
      </c>
      <c r="E294" s="68">
        <v>8.3728718950600001E-4</v>
      </c>
    </row>
    <row r="295" spans="2:5" ht="14.5" customHeight="1">
      <c r="B295" s="90"/>
      <c r="C295" s="66" t="s">
        <v>102</v>
      </c>
      <c r="D295" s="67">
        <v>31</v>
      </c>
      <c r="E295" s="68">
        <v>8.6519676248950003E-3</v>
      </c>
    </row>
    <row r="296" spans="2:5" ht="14.5" customHeight="1">
      <c r="B296" s="90"/>
      <c r="C296" s="66" t="s">
        <v>103</v>
      </c>
      <c r="D296" s="67">
        <v>2</v>
      </c>
      <c r="E296" s="68">
        <v>5.5819145967100003E-4</v>
      </c>
    </row>
    <row r="297" spans="2:5" ht="14.5" customHeight="1">
      <c r="B297" s="90"/>
      <c r="C297" s="66" t="s">
        <v>105</v>
      </c>
      <c r="D297" s="67">
        <v>1</v>
      </c>
      <c r="E297" s="68">
        <v>2.7909572983499998E-4</v>
      </c>
    </row>
    <row r="298" spans="2:5" ht="14.5" customHeight="1">
      <c r="B298" s="90"/>
      <c r="C298" s="66" t="s">
        <v>107</v>
      </c>
      <c r="D298" s="67">
        <v>2</v>
      </c>
      <c r="E298" s="68">
        <v>5.5819145967100003E-4</v>
      </c>
    </row>
    <row r="299" spans="2:5" ht="14.5" customHeight="1">
      <c r="B299" s="90"/>
      <c r="C299" s="66" t="s">
        <v>108</v>
      </c>
      <c r="D299" s="67">
        <v>1</v>
      </c>
      <c r="E299" s="68">
        <v>2.7909572983499998E-4</v>
      </c>
    </row>
    <row r="300" spans="2:5" ht="14.5" customHeight="1">
      <c r="B300" s="90"/>
      <c r="C300" s="66" t="s">
        <v>127</v>
      </c>
      <c r="D300" s="67">
        <v>1</v>
      </c>
      <c r="E300" s="68">
        <v>2.7909572983499998E-4</v>
      </c>
    </row>
    <row r="301" spans="2:5" ht="14.5" customHeight="1">
      <c r="B301" s="90"/>
      <c r="C301" s="66" t="s">
        <v>132</v>
      </c>
      <c r="D301" s="67">
        <v>8</v>
      </c>
      <c r="E301" s="68">
        <v>2.2327658386830001E-3</v>
      </c>
    </row>
    <row r="302" spans="2:5" ht="14.5" customHeight="1">
      <c r="B302" s="90"/>
      <c r="C302" s="66" t="s">
        <v>136</v>
      </c>
      <c r="D302" s="67">
        <v>1</v>
      </c>
      <c r="E302" s="68">
        <v>2.7909572983499998E-4</v>
      </c>
    </row>
    <row r="303" spans="2:5" ht="14.5" customHeight="1">
      <c r="B303" s="91"/>
      <c r="C303" s="36" t="s">
        <v>28</v>
      </c>
      <c r="D303" s="35">
        <v>50</v>
      </c>
      <c r="E303" s="34">
        <v>1.3954786491767001E-2</v>
      </c>
    </row>
    <row r="304" spans="2:5" ht="14.5" customHeight="1">
      <c r="B304" s="89" t="s">
        <v>211</v>
      </c>
      <c r="C304" s="66" t="s">
        <v>100</v>
      </c>
      <c r="D304" s="67">
        <v>7</v>
      </c>
      <c r="E304" s="68">
        <v>1.9536701088469998E-3</v>
      </c>
    </row>
    <row r="305" spans="2:5" ht="14.5" customHeight="1">
      <c r="B305" s="90"/>
      <c r="C305" s="66" t="s">
        <v>102</v>
      </c>
      <c r="D305" s="67">
        <v>78</v>
      </c>
      <c r="E305" s="68">
        <v>2.1769466927155999E-2</v>
      </c>
    </row>
    <row r="306" spans="2:5" ht="14.5" customHeight="1">
      <c r="B306" s="90"/>
      <c r="C306" s="66" t="s">
        <v>103</v>
      </c>
      <c r="D306" s="67">
        <v>1</v>
      </c>
      <c r="E306" s="68">
        <v>2.7909572983499998E-4</v>
      </c>
    </row>
    <row r="307" spans="2:5" ht="14.5" customHeight="1">
      <c r="B307" s="90"/>
      <c r="C307" s="66" t="s">
        <v>104</v>
      </c>
      <c r="D307" s="67">
        <v>1</v>
      </c>
      <c r="E307" s="68">
        <v>2.7909572983499998E-4</v>
      </c>
    </row>
    <row r="308" spans="2:5" ht="14.5" customHeight="1">
      <c r="B308" s="90"/>
      <c r="C308" s="66" t="s">
        <v>105</v>
      </c>
      <c r="D308" s="67">
        <v>2</v>
      </c>
      <c r="E308" s="68">
        <v>5.5819145967100003E-4</v>
      </c>
    </row>
    <row r="309" spans="2:5" ht="14.5" customHeight="1">
      <c r="B309" s="90"/>
      <c r="C309" s="66" t="s">
        <v>106</v>
      </c>
      <c r="D309" s="67">
        <v>2</v>
      </c>
      <c r="E309" s="68">
        <v>5.5819145967100003E-4</v>
      </c>
    </row>
    <row r="310" spans="2:5" ht="14.5" customHeight="1">
      <c r="B310" s="90"/>
      <c r="C310" s="66" t="s">
        <v>107</v>
      </c>
      <c r="D310" s="67">
        <v>8</v>
      </c>
      <c r="E310" s="68">
        <v>2.2327658386830001E-3</v>
      </c>
    </row>
    <row r="311" spans="2:5" ht="14.5" customHeight="1">
      <c r="B311" s="90"/>
      <c r="C311" s="66" t="s">
        <v>111</v>
      </c>
      <c r="D311" s="67">
        <v>1</v>
      </c>
      <c r="E311" s="68">
        <v>2.7909572983499998E-4</v>
      </c>
    </row>
    <row r="312" spans="2:5" ht="14.5" customHeight="1">
      <c r="B312" s="90"/>
      <c r="C312" s="66" t="s">
        <v>114</v>
      </c>
      <c r="D312" s="67">
        <v>1</v>
      </c>
      <c r="E312" s="68">
        <v>2.7909572983499998E-4</v>
      </c>
    </row>
    <row r="313" spans="2:5" ht="14.5" customHeight="1">
      <c r="B313" s="90"/>
      <c r="C313" s="66" t="s">
        <v>115</v>
      </c>
      <c r="D313" s="67">
        <v>1</v>
      </c>
      <c r="E313" s="68">
        <v>2.7909572983499998E-4</v>
      </c>
    </row>
    <row r="314" spans="2:5" ht="14.5" customHeight="1">
      <c r="B314" s="90"/>
      <c r="C314" s="66" t="s">
        <v>118</v>
      </c>
      <c r="D314" s="67">
        <v>1</v>
      </c>
      <c r="E314" s="68">
        <v>2.7909572983499998E-4</v>
      </c>
    </row>
    <row r="315" spans="2:5" ht="14.5" customHeight="1">
      <c r="B315" s="90"/>
      <c r="C315" s="66" t="s">
        <v>119</v>
      </c>
      <c r="D315" s="67">
        <v>12</v>
      </c>
      <c r="E315" s="68">
        <v>3.349148758024E-3</v>
      </c>
    </row>
    <row r="316" spans="2:5" ht="14.5" customHeight="1">
      <c r="B316" s="90"/>
      <c r="C316" s="66" t="s">
        <v>124</v>
      </c>
      <c r="D316" s="67">
        <v>3</v>
      </c>
      <c r="E316" s="68">
        <v>8.3728718950600001E-4</v>
      </c>
    </row>
    <row r="317" spans="2:5" ht="14.5" customHeight="1">
      <c r="B317" s="90"/>
      <c r="C317" s="66" t="s">
        <v>126</v>
      </c>
      <c r="D317" s="67">
        <v>1</v>
      </c>
      <c r="E317" s="68">
        <v>2.7909572983499998E-4</v>
      </c>
    </row>
    <row r="318" spans="2:5" ht="14.5" customHeight="1">
      <c r="B318" s="90"/>
      <c r="C318" s="66" t="s">
        <v>127</v>
      </c>
      <c r="D318" s="67">
        <v>1</v>
      </c>
      <c r="E318" s="68">
        <v>2.7909572983499998E-4</v>
      </c>
    </row>
    <row r="319" spans="2:5" ht="14.5" customHeight="1">
      <c r="B319" s="90"/>
      <c r="C319" s="66" t="s">
        <v>130</v>
      </c>
      <c r="D319" s="67">
        <v>1</v>
      </c>
      <c r="E319" s="68">
        <v>2.7909572983499998E-4</v>
      </c>
    </row>
    <row r="320" spans="2:5" ht="14.5" customHeight="1">
      <c r="B320" s="90"/>
      <c r="C320" s="66" t="s">
        <v>132</v>
      </c>
      <c r="D320" s="67">
        <v>10</v>
      </c>
      <c r="E320" s="68">
        <v>2.790957298353E-3</v>
      </c>
    </row>
    <row r="321" spans="2:5" ht="14.5" customHeight="1">
      <c r="B321" s="90"/>
      <c r="C321" s="66" t="s">
        <v>133</v>
      </c>
      <c r="D321" s="67">
        <v>1</v>
      </c>
      <c r="E321" s="68">
        <v>2.7909572983499998E-4</v>
      </c>
    </row>
    <row r="322" spans="2:5" ht="14.5" customHeight="1">
      <c r="B322" s="90"/>
      <c r="C322" s="66" t="s">
        <v>84</v>
      </c>
      <c r="D322" s="67">
        <v>6</v>
      </c>
      <c r="E322" s="68">
        <v>1.674574379012E-3</v>
      </c>
    </row>
    <row r="323" spans="2:5" ht="14.5" customHeight="1">
      <c r="B323" s="90"/>
      <c r="C323" s="66" t="s">
        <v>136</v>
      </c>
      <c r="D323" s="67">
        <v>2</v>
      </c>
      <c r="E323" s="68">
        <v>5.5819145967100003E-4</v>
      </c>
    </row>
    <row r="324" spans="2:5" ht="14.5" customHeight="1">
      <c r="B324" s="91"/>
      <c r="C324" s="36" t="s">
        <v>28</v>
      </c>
      <c r="D324" s="35">
        <v>140</v>
      </c>
      <c r="E324" s="34">
        <v>3.9073402176946999E-2</v>
      </c>
    </row>
    <row r="325" spans="2:5" ht="14.5" customHeight="1">
      <c r="B325" s="89" t="s">
        <v>212</v>
      </c>
      <c r="C325" s="66" t="s">
        <v>100</v>
      </c>
      <c r="D325" s="67">
        <v>1</v>
      </c>
      <c r="E325" s="68">
        <v>2.7909572983499998E-4</v>
      </c>
    </row>
    <row r="326" spans="2:5" ht="14.5" customHeight="1">
      <c r="B326" s="90"/>
      <c r="C326" s="66" t="s">
        <v>102</v>
      </c>
      <c r="D326" s="67">
        <v>7</v>
      </c>
      <c r="E326" s="68">
        <v>1.9536701088469998E-3</v>
      </c>
    </row>
    <row r="327" spans="2:5" ht="14.5" customHeight="1">
      <c r="B327" s="90"/>
      <c r="C327" s="66" t="s">
        <v>118</v>
      </c>
      <c r="D327" s="67">
        <v>1</v>
      </c>
      <c r="E327" s="68">
        <v>2.7909572983499998E-4</v>
      </c>
    </row>
    <row r="328" spans="2:5" ht="14.5" customHeight="1">
      <c r="B328" s="90"/>
      <c r="C328" s="66" t="s">
        <v>119</v>
      </c>
      <c r="D328" s="67">
        <v>1</v>
      </c>
      <c r="E328" s="68">
        <v>2.7909572983499998E-4</v>
      </c>
    </row>
    <row r="329" spans="2:5" ht="14.5" customHeight="1">
      <c r="B329" s="90"/>
      <c r="C329" s="66" t="s">
        <v>123</v>
      </c>
      <c r="D329" s="67">
        <v>1</v>
      </c>
      <c r="E329" s="68">
        <v>2.7909572983499998E-4</v>
      </c>
    </row>
    <row r="330" spans="2:5" ht="14.5" customHeight="1">
      <c r="B330" s="91"/>
      <c r="C330" s="36" t="s">
        <v>28</v>
      </c>
      <c r="D330" s="35">
        <v>11</v>
      </c>
      <c r="E330" s="34">
        <v>3.0700530281889999E-3</v>
      </c>
    </row>
    <row r="331" spans="2:5" ht="14.5" customHeight="1">
      <c r="B331" s="89" t="s">
        <v>213</v>
      </c>
      <c r="C331" s="66" t="s">
        <v>103</v>
      </c>
      <c r="D331" s="67">
        <v>1</v>
      </c>
      <c r="E331" s="68">
        <v>2.7909572983499998E-4</v>
      </c>
    </row>
    <row r="332" spans="2:5" ht="14.5" customHeight="1">
      <c r="B332" s="91"/>
      <c r="C332" s="36" t="s">
        <v>28</v>
      </c>
      <c r="D332" s="35">
        <v>1</v>
      </c>
      <c r="E332" s="34">
        <v>2.7909572983499998E-4</v>
      </c>
    </row>
    <row r="333" spans="2:5" ht="14.5" customHeight="1">
      <c r="B333" s="87" t="s">
        <v>28</v>
      </c>
      <c r="C333" s="88"/>
      <c r="D333" s="64">
        <v>3583</v>
      </c>
      <c r="E333" s="65">
        <v>1</v>
      </c>
    </row>
    <row r="334" spans="2:5" ht="14.5" customHeight="1"/>
    <row r="335" spans="2:5" ht="14.5" customHeight="1">
      <c r="B335" s="15" t="s">
        <v>47</v>
      </c>
    </row>
    <row r="336" spans="2:5" ht="14.5" customHeight="1">
      <c r="B336" s="17" t="s">
        <v>17</v>
      </c>
    </row>
    <row r="337" spans="2:2" ht="14.5" customHeight="1">
      <c r="B337" s="16" t="s">
        <v>48</v>
      </c>
    </row>
    <row r="338" spans="2:2" ht="14.5" customHeight="1">
      <c r="B338" s="15" t="s">
        <v>16</v>
      </c>
    </row>
    <row r="339" spans="2:2" ht="14.5" customHeight="1">
      <c r="B339" s="15" t="s">
        <v>49</v>
      </c>
    </row>
  </sheetData>
  <mergeCells count="25">
    <mergeCell ref="B241:B275"/>
    <mergeCell ref="B133:B152"/>
    <mergeCell ref="B153:B173"/>
    <mergeCell ref="B174:B207"/>
    <mergeCell ref="B208:B216"/>
    <mergeCell ref="B217:B240"/>
    <mergeCell ref="B7:E8"/>
    <mergeCell ref="B52:B64"/>
    <mergeCell ref="B65:B87"/>
    <mergeCell ref="B88:B117"/>
    <mergeCell ref="B118:B132"/>
    <mergeCell ref="B10:B16"/>
    <mergeCell ref="B17:B22"/>
    <mergeCell ref="B23:B30"/>
    <mergeCell ref="B31:B43"/>
    <mergeCell ref="B44:B51"/>
    <mergeCell ref="B304:B324"/>
    <mergeCell ref="B325:B330"/>
    <mergeCell ref="B331:B332"/>
    <mergeCell ref="B333:C333"/>
    <mergeCell ref="B276:B281"/>
    <mergeCell ref="B282:B287"/>
    <mergeCell ref="B288:B291"/>
    <mergeCell ref="B292:B293"/>
    <mergeCell ref="B294:B30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0">
    <tabColor rgb="FF92D050"/>
  </sheetPr>
  <dimension ref="A1:E520"/>
  <sheetViews>
    <sheetView showGridLines="0" view="pageBreakPreview" topLeftCell="A498" zoomScale="85" zoomScaleNormal="100" zoomScaleSheetLayoutView="85" workbookViewId="0">
      <selection activeCell="B514" sqref="B514:C514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1.4531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92"/>
      <c r="C7" s="92"/>
      <c r="D7" s="92"/>
      <c r="E7" s="92"/>
    </row>
    <row r="8" spans="1:5" s="41" customFormat="1" ht="33" customHeight="1">
      <c r="A8" s="42"/>
      <c r="B8" s="92"/>
      <c r="C8" s="92"/>
      <c r="D8" s="92"/>
      <c r="E8" s="92"/>
    </row>
    <row r="9" spans="1:5" s="25" customFormat="1" ht="40.5" customHeight="1">
      <c r="B9" s="38" t="s">
        <v>21</v>
      </c>
      <c r="C9" s="40" t="s">
        <v>26</v>
      </c>
      <c r="D9" s="39" t="s">
        <v>19</v>
      </c>
      <c r="E9" s="38" t="s">
        <v>18</v>
      </c>
    </row>
    <row r="10" spans="1:5" ht="14.5" customHeight="1">
      <c r="B10" s="89" t="s">
        <v>95</v>
      </c>
      <c r="C10" s="66" t="s">
        <v>197</v>
      </c>
      <c r="D10" s="67">
        <v>1</v>
      </c>
      <c r="E10" s="68">
        <v>2.7909572983499998E-4</v>
      </c>
    </row>
    <row r="11" spans="1:5" ht="14.5" customHeight="1">
      <c r="B11" s="90"/>
      <c r="C11" s="66" t="s">
        <v>202</v>
      </c>
      <c r="D11" s="67">
        <v>1</v>
      </c>
      <c r="E11" s="68">
        <v>2.7909572983499998E-4</v>
      </c>
    </row>
    <row r="12" spans="1:5" ht="14.5" customHeight="1">
      <c r="B12" s="91"/>
      <c r="C12" s="36" t="s">
        <v>28</v>
      </c>
      <c r="D12" s="35">
        <v>2</v>
      </c>
      <c r="E12" s="34">
        <v>5.5819145967100003E-4</v>
      </c>
    </row>
    <row r="13" spans="1:5" ht="14.5" customHeight="1">
      <c r="B13" s="89" t="s">
        <v>70</v>
      </c>
      <c r="C13" s="66" t="s">
        <v>197</v>
      </c>
      <c r="D13" s="67">
        <v>5</v>
      </c>
      <c r="E13" s="68">
        <v>1.395478649177E-3</v>
      </c>
    </row>
    <row r="14" spans="1:5" ht="14.5" customHeight="1">
      <c r="B14" s="90"/>
      <c r="C14" s="66" t="s">
        <v>198</v>
      </c>
      <c r="D14" s="67">
        <v>5</v>
      </c>
      <c r="E14" s="68">
        <v>1.395478649177E-3</v>
      </c>
    </row>
    <row r="15" spans="1:5" ht="14.5" customHeight="1">
      <c r="B15" s="90"/>
      <c r="C15" s="66" t="s">
        <v>199</v>
      </c>
      <c r="D15" s="67">
        <v>1</v>
      </c>
      <c r="E15" s="68">
        <v>2.7909572983499998E-4</v>
      </c>
    </row>
    <row r="16" spans="1:5" ht="14.5" customHeight="1">
      <c r="B16" s="90"/>
      <c r="C16" s="66" t="s">
        <v>202</v>
      </c>
      <c r="D16" s="67">
        <v>14</v>
      </c>
      <c r="E16" s="68">
        <v>3.9073402176949996E-3</v>
      </c>
    </row>
    <row r="17" spans="2:5" ht="14.5" customHeight="1">
      <c r="B17" s="90"/>
      <c r="C17" s="66" t="s">
        <v>204</v>
      </c>
      <c r="D17" s="67">
        <v>5</v>
      </c>
      <c r="E17" s="68">
        <v>1.395478649177E-3</v>
      </c>
    </row>
    <row r="18" spans="2:5" ht="14.5" customHeight="1">
      <c r="B18" s="90"/>
      <c r="C18" s="66" t="s">
        <v>205</v>
      </c>
      <c r="D18" s="67">
        <v>7</v>
      </c>
      <c r="E18" s="68">
        <v>1.9536701088469998E-3</v>
      </c>
    </row>
    <row r="19" spans="2:5" ht="14.5" customHeight="1">
      <c r="B19" s="90"/>
      <c r="C19" s="66" t="s">
        <v>210</v>
      </c>
      <c r="D19" s="67">
        <v>1</v>
      </c>
      <c r="E19" s="68">
        <v>2.7909572983499998E-4</v>
      </c>
    </row>
    <row r="20" spans="2:5" ht="14.5" customHeight="1">
      <c r="B20" s="90"/>
      <c r="C20" s="66" t="s">
        <v>211</v>
      </c>
      <c r="D20" s="67">
        <v>2</v>
      </c>
      <c r="E20" s="68">
        <v>5.5819145967100003E-4</v>
      </c>
    </row>
    <row r="21" spans="2:5" ht="14.5" customHeight="1">
      <c r="B21" s="91"/>
      <c r="C21" s="36" t="s">
        <v>28</v>
      </c>
      <c r="D21" s="35">
        <v>40</v>
      </c>
      <c r="E21" s="34">
        <v>1.1163829193412999E-2</v>
      </c>
    </row>
    <row r="22" spans="2:5" ht="14.5" customHeight="1">
      <c r="B22" s="89" t="s">
        <v>73</v>
      </c>
      <c r="C22" s="66" t="s">
        <v>191</v>
      </c>
      <c r="D22" s="67">
        <v>1</v>
      </c>
      <c r="E22" s="68">
        <v>2.7909572983499998E-4</v>
      </c>
    </row>
    <row r="23" spans="2:5" ht="14.5" customHeight="1">
      <c r="B23" s="90"/>
      <c r="C23" s="66" t="s">
        <v>195</v>
      </c>
      <c r="D23" s="67">
        <v>1</v>
      </c>
      <c r="E23" s="68">
        <v>2.7909572983499998E-4</v>
      </c>
    </row>
    <row r="24" spans="2:5" ht="14.5" customHeight="1">
      <c r="B24" s="90"/>
      <c r="C24" s="66" t="s">
        <v>196</v>
      </c>
      <c r="D24" s="67">
        <v>1</v>
      </c>
      <c r="E24" s="68">
        <v>2.7909572983499998E-4</v>
      </c>
    </row>
    <row r="25" spans="2:5" ht="14.5" customHeight="1">
      <c r="B25" s="90"/>
      <c r="C25" s="66" t="s">
        <v>197</v>
      </c>
      <c r="D25" s="67">
        <v>1</v>
      </c>
      <c r="E25" s="68">
        <v>2.7909572983499998E-4</v>
      </c>
    </row>
    <row r="26" spans="2:5" ht="14.5" customHeight="1">
      <c r="B26" s="90"/>
      <c r="C26" s="66" t="s">
        <v>198</v>
      </c>
      <c r="D26" s="67">
        <v>2</v>
      </c>
      <c r="E26" s="68">
        <v>5.5819145967100003E-4</v>
      </c>
    </row>
    <row r="27" spans="2:5" ht="14.5" customHeight="1">
      <c r="B27" s="90"/>
      <c r="C27" s="66" t="s">
        <v>199</v>
      </c>
      <c r="D27" s="67">
        <v>1</v>
      </c>
      <c r="E27" s="68">
        <v>2.7909572983499998E-4</v>
      </c>
    </row>
    <row r="28" spans="2:5" ht="14.5" customHeight="1">
      <c r="B28" s="90"/>
      <c r="C28" s="66" t="s">
        <v>200</v>
      </c>
      <c r="D28" s="67">
        <v>2</v>
      </c>
      <c r="E28" s="68">
        <v>5.5819145967100003E-4</v>
      </c>
    </row>
    <row r="29" spans="2:5" ht="14.5" customHeight="1">
      <c r="B29" s="90"/>
      <c r="C29" s="66" t="s">
        <v>202</v>
      </c>
      <c r="D29" s="67">
        <v>7</v>
      </c>
      <c r="E29" s="68">
        <v>1.9536701088469998E-3</v>
      </c>
    </row>
    <row r="30" spans="2:5" ht="14.5" customHeight="1">
      <c r="B30" s="90"/>
      <c r="C30" s="66" t="s">
        <v>205</v>
      </c>
      <c r="D30" s="67">
        <v>6</v>
      </c>
      <c r="E30" s="68">
        <v>1.674574379012E-3</v>
      </c>
    </row>
    <row r="31" spans="2:5" ht="14.5" customHeight="1">
      <c r="B31" s="90"/>
      <c r="C31" s="66" t="s">
        <v>210</v>
      </c>
      <c r="D31" s="67">
        <v>1</v>
      </c>
      <c r="E31" s="68">
        <v>2.7909572983499998E-4</v>
      </c>
    </row>
    <row r="32" spans="2:5" ht="14.5" customHeight="1">
      <c r="B32" s="91"/>
      <c r="C32" s="36" t="s">
        <v>28</v>
      </c>
      <c r="D32" s="35">
        <v>23</v>
      </c>
      <c r="E32" s="34">
        <v>6.4192017862130003E-3</v>
      </c>
    </row>
    <row r="33" spans="2:5" ht="14.5" customHeight="1">
      <c r="B33" s="89" t="s">
        <v>59</v>
      </c>
      <c r="C33" s="66" t="s">
        <v>191</v>
      </c>
      <c r="D33" s="67">
        <v>1</v>
      </c>
      <c r="E33" s="68">
        <v>2.7909572983499998E-4</v>
      </c>
    </row>
    <row r="34" spans="2:5" ht="14.5" customHeight="1">
      <c r="B34" s="90"/>
      <c r="C34" s="66" t="s">
        <v>193</v>
      </c>
      <c r="D34" s="67">
        <v>2</v>
      </c>
      <c r="E34" s="68">
        <v>5.5819145967100003E-4</v>
      </c>
    </row>
    <row r="35" spans="2:5" ht="14.5" customHeight="1">
      <c r="B35" s="90"/>
      <c r="C35" s="66" t="s">
        <v>194</v>
      </c>
      <c r="D35" s="67">
        <v>1</v>
      </c>
      <c r="E35" s="68">
        <v>2.7909572983499998E-4</v>
      </c>
    </row>
    <row r="36" spans="2:5" ht="14.5" customHeight="1">
      <c r="B36" s="90"/>
      <c r="C36" s="66" t="s">
        <v>195</v>
      </c>
      <c r="D36" s="67">
        <v>1</v>
      </c>
      <c r="E36" s="68">
        <v>2.7909572983499998E-4</v>
      </c>
    </row>
    <row r="37" spans="2:5" ht="14.5" customHeight="1">
      <c r="B37" s="90"/>
      <c r="C37" s="66" t="s">
        <v>196</v>
      </c>
      <c r="D37" s="67">
        <v>1</v>
      </c>
      <c r="E37" s="68">
        <v>2.7909572983499998E-4</v>
      </c>
    </row>
    <row r="38" spans="2:5" ht="14.5" customHeight="1">
      <c r="B38" s="90"/>
      <c r="C38" s="66" t="s">
        <v>197</v>
      </c>
      <c r="D38" s="67">
        <v>9</v>
      </c>
      <c r="E38" s="68">
        <v>2.5118615685179998E-3</v>
      </c>
    </row>
    <row r="39" spans="2:5" ht="14.5" customHeight="1">
      <c r="B39" s="90"/>
      <c r="C39" s="66" t="s">
        <v>198</v>
      </c>
      <c r="D39" s="67">
        <v>7</v>
      </c>
      <c r="E39" s="68">
        <v>1.9536701088469998E-3</v>
      </c>
    </row>
    <row r="40" spans="2:5" ht="14.5" customHeight="1">
      <c r="B40" s="90"/>
      <c r="C40" s="66" t="s">
        <v>199</v>
      </c>
      <c r="D40" s="67">
        <v>3</v>
      </c>
      <c r="E40" s="68">
        <v>8.3728718950600001E-4</v>
      </c>
    </row>
    <row r="41" spans="2:5" ht="14.5" customHeight="1">
      <c r="B41" s="90"/>
      <c r="C41" s="66" t="s">
        <v>200</v>
      </c>
      <c r="D41" s="67">
        <v>4</v>
      </c>
      <c r="E41" s="68">
        <v>1.116382919341E-3</v>
      </c>
    </row>
    <row r="42" spans="2:5" ht="14.5" customHeight="1">
      <c r="B42" s="90"/>
      <c r="C42" s="66" t="s">
        <v>201</v>
      </c>
      <c r="D42" s="67">
        <v>6</v>
      </c>
      <c r="E42" s="68">
        <v>1.674574379012E-3</v>
      </c>
    </row>
    <row r="43" spans="2:5" ht="14.5" customHeight="1">
      <c r="B43" s="90"/>
      <c r="C43" s="66" t="s">
        <v>202</v>
      </c>
      <c r="D43" s="67">
        <v>22</v>
      </c>
      <c r="E43" s="68">
        <v>6.1401060563769996E-3</v>
      </c>
    </row>
    <row r="44" spans="2:5" ht="14.5" customHeight="1">
      <c r="B44" s="90"/>
      <c r="C44" s="66" t="s">
        <v>204</v>
      </c>
      <c r="D44" s="67">
        <v>7</v>
      </c>
      <c r="E44" s="68">
        <v>1.9536701088469998E-3</v>
      </c>
    </row>
    <row r="45" spans="2:5" ht="14.5" customHeight="1">
      <c r="B45" s="90"/>
      <c r="C45" s="66" t="s">
        <v>205</v>
      </c>
      <c r="D45" s="67">
        <v>16</v>
      </c>
      <c r="E45" s="68">
        <v>4.465531677365E-3</v>
      </c>
    </row>
    <row r="46" spans="2:5" ht="14.5" customHeight="1">
      <c r="B46" s="90"/>
      <c r="C46" s="66" t="s">
        <v>211</v>
      </c>
      <c r="D46" s="67">
        <v>8</v>
      </c>
      <c r="E46" s="68">
        <v>2.2327658386830001E-3</v>
      </c>
    </row>
    <row r="47" spans="2:5" ht="14.5" customHeight="1">
      <c r="B47" s="91"/>
      <c r="C47" s="36" t="s">
        <v>28</v>
      </c>
      <c r="D47" s="35">
        <v>88</v>
      </c>
      <c r="E47" s="34">
        <v>2.4560424225509001E-2</v>
      </c>
    </row>
    <row r="48" spans="2:5" ht="14.5" customHeight="1">
      <c r="B48" s="89" t="s">
        <v>83</v>
      </c>
      <c r="C48" s="66" t="s">
        <v>198</v>
      </c>
      <c r="D48" s="67">
        <v>1</v>
      </c>
      <c r="E48" s="68">
        <v>2.7909572983499998E-4</v>
      </c>
    </row>
    <row r="49" spans="2:5" ht="14.5" customHeight="1">
      <c r="B49" s="90"/>
      <c r="C49" s="66" t="s">
        <v>200</v>
      </c>
      <c r="D49" s="67">
        <v>1</v>
      </c>
      <c r="E49" s="68">
        <v>2.7909572983499998E-4</v>
      </c>
    </row>
    <row r="50" spans="2:5" ht="14.5" customHeight="1">
      <c r="B50" s="90"/>
      <c r="C50" s="66" t="s">
        <v>202</v>
      </c>
      <c r="D50" s="67">
        <v>4</v>
      </c>
      <c r="E50" s="68">
        <v>1.116382919341E-3</v>
      </c>
    </row>
    <row r="51" spans="2:5" ht="14.5" customHeight="1">
      <c r="B51" s="90"/>
      <c r="C51" s="66" t="s">
        <v>204</v>
      </c>
      <c r="D51" s="67">
        <v>1</v>
      </c>
      <c r="E51" s="68">
        <v>2.7909572983499998E-4</v>
      </c>
    </row>
    <row r="52" spans="2:5" ht="14.5" customHeight="1">
      <c r="B52" s="90"/>
      <c r="C52" s="66" t="s">
        <v>205</v>
      </c>
      <c r="D52" s="67">
        <v>2</v>
      </c>
      <c r="E52" s="68">
        <v>5.5819145967100003E-4</v>
      </c>
    </row>
    <row r="53" spans="2:5" ht="14.5" customHeight="1">
      <c r="B53" s="91"/>
      <c r="C53" s="36" t="s">
        <v>28</v>
      </c>
      <c r="D53" s="35">
        <v>9</v>
      </c>
      <c r="E53" s="34">
        <v>2.5118615685179998E-3</v>
      </c>
    </row>
    <row r="54" spans="2:5" ht="14.5" customHeight="1">
      <c r="B54" s="89" t="s">
        <v>93</v>
      </c>
      <c r="C54" s="66" t="s">
        <v>202</v>
      </c>
      <c r="D54" s="67">
        <v>1</v>
      </c>
      <c r="E54" s="68">
        <v>2.7909572983499998E-4</v>
      </c>
    </row>
    <row r="55" spans="2:5" ht="14.5" customHeight="1">
      <c r="B55" s="90"/>
      <c r="C55" s="66" t="s">
        <v>205</v>
      </c>
      <c r="D55" s="67">
        <v>1</v>
      </c>
      <c r="E55" s="68">
        <v>2.7909572983499998E-4</v>
      </c>
    </row>
    <row r="56" spans="2:5" ht="14.5" customHeight="1">
      <c r="B56" s="90"/>
      <c r="C56" s="66" t="s">
        <v>208</v>
      </c>
      <c r="D56" s="67">
        <v>1</v>
      </c>
      <c r="E56" s="68">
        <v>2.7909572983499998E-4</v>
      </c>
    </row>
    <row r="57" spans="2:5" ht="14.5" customHeight="1">
      <c r="B57" s="91"/>
      <c r="C57" s="36" t="s">
        <v>28</v>
      </c>
      <c r="D57" s="35">
        <v>3</v>
      </c>
      <c r="E57" s="34">
        <v>8.3728718950600001E-4</v>
      </c>
    </row>
    <row r="58" spans="2:5" ht="14.5" customHeight="1">
      <c r="B58" s="89" t="s">
        <v>94</v>
      </c>
      <c r="C58" s="66" t="s">
        <v>200</v>
      </c>
      <c r="D58" s="67">
        <v>1</v>
      </c>
      <c r="E58" s="68">
        <v>2.7909572983499998E-4</v>
      </c>
    </row>
    <row r="59" spans="2:5" ht="14.5" customHeight="1">
      <c r="B59" s="90"/>
      <c r="C59" s="66" t="s">
        <v>203</v>
      </c>
      <c r="D59" s="67">
        <v>1</v>
      </c>
      <c r="E59" s="68">
        <v>2.7909572983499998E-4</v>
      </c>
    </row>
    <row r="60" spans="2:5" ht="14.5" customHeight="1">
      <c r="B60" s="90"/>
      <c r="C60" s="66" t="s">
        <v>206</v>
      </c>
      <c r="D60" s="67">
        <v>1</v>
      </c>
      <c r="E60" s="68">
        <v>2.7909572983499998E-4</v>
      </c>
    </row>
    <row r="61" spans="2:5" ht="14.5" customHeight="1">
      <c r="B61" s="91"/>
      <c r="C61" s="36" t="s">
        <v>28</v>
      </c>
      <c r="D61" s="35">
        <v>3</v>
      </c>
      <c r="E61" s="34">
        <v>8.3728718950600001E-4</v>
      </c>
    </row>
    <row r="62" spans="2:5" ht="14.5" customHeight="1">
      <c r="B62" s="89" t="s">
        <v>55</v>
      </c>
      <c r="C62" s="66" t="s">
        <v>191</v>
      </c>
      <c r="D62" s="67">
        <v>3</v>
      </c>
      <c r="E62" s="68">
        <v>8.3728718950600001E-4</v>
      </c>
    </row>
    <row r="63" spans="2:5" ht="14.5" customHeight="1">
      <c r="B63" s="90"/>
      <c r="C63" s="66" t="s">
        <v>197</v>
      </c>
      <c r="D63" s="67">
        <v>6</v>
      </c>
      <c r="E63" s="68">
        <v>1.674574379012E-3</v>
      </c>
    </row>
    <row r="64" spans="2:5" ht="14.5" customHeight="1">
      <c r="B64" s="90"/>
      <c r="C64" s="66" t="s">
        <v>198</v>
      </c>
      <c r="D64" s="67">
        <v>23</v>
      </c>
      <c r="E64" s="68">
        <v>6.4192017862130003E-3</v>
      </c>
    </row>
    <row r="65" spans="2:5" ht="14.5" customHeight="1">
      <c r="B65" s="90"/>
      <c r="C65" s="66" t="s">
        <v>199</v>
      </c>
      <c r="D65" s="67">
        <v>2</v>
      </c>
      <c r="E65" s="68">
        <v>5.5819145967100003E-4</v>
      </c>
    </row>
    <row r="66" spans="2:5" ht="14.5" customHeight="1">
      <c r="B66" s="90"/>
      <c r="C66" s="66" t="s">
        <v>200</v>
      </c>
      <c r="D66" s="67">
        <v>3</v>
      </c>
      <c r="E66" s="68">
        <v>8.3728718950600001E-4</v>
      </c>
    </row>
    <row r="67" spans="2:5" ht="14.5" customHeight="1">
      <c r="B67" s="90"/>
      <c r="C67" s="66" t="s">
        <v>201</v>
      </c>
      <c r="D67" s="67">
        <v>10</v>
      </c>
      <c r="E67" s="68">
        <v>2.790957298353E-3</v>
      </c>
    </row>
    <row r="68" spans="2:5" ht="14.5" customHeight="1">
      <c r="B68" s="90"/>
      <c r="C68" s="66" t="s">
        <v>202</v>
      </c>
      <c r="D68" s="67">
        <v>65</v>
      </c>
      <c r="E68" s="68">
        <v>1.8141222439297E-2</v>
      </c>
    </row>
    <row r="69" spans="2:5" ht="14.5" customHeight="1">
      <c r="B69" s="90"/>
      <c r="C69" s="66" t="s">
        <v>203</v>
      </c>
      <c r="D69" s="67">
        <v>1</v>
      </c>
      <c r="E69" s="68">
        <v>2.7909572983499998E-4</v>
      </c>
    </row>
    <row r="70" spans="2:5" ht="14.5" customHeight="1">
      <c r="B70" s="90"/>
      <c r="C70" s="66" t="s">
        <v>204</v>
      </c>
      <c r="D70" s="67">
        <v>9</v>
      </c>
      <c r="E70" s="68">
        <v>2.5118615685179998E-3</v>
      </c>
    </row>
    <row r="71" spans="2:5" ht="14.5" customHeight="1">
      <c r="B71" s="90"/>
      <c r="C71" s="66" t="s">
        <v>205</v>
      </c>
      <c r="D71" s="67">
        <v>35</v>
      </c>
      <c r="E71" s="68">
        <v>9.7683505442369995E-3</v>
      </c>
    </row>
    <row r="72" spans="2:5" ht="14.5" customHeight="1">
      <c r="B72" s="90"/>
      <c r="C72" s="66" t="s">
        <v>206</v>
      </c>
      <c r="D72" s="67">
        <v>1</v>
      </c>
      <c r="E72" s="68">
        <v>2.7909572983499998E-4</v>
      </c>
    </row>
    <row r="73" spans="2:5" ht="14.5" customHeight="1">
      <c r="B73" s="90"/>
      <c r="C73" s="66" t="s">
        <v>207</v>
      </c>
      <c r="D73" s="67">
        <v>1</v>
      </c>
      <c r="E73" s="68">
        <v>2.7909572983499998E-4</v>
      </c>
    </row>
    <row r="74" spans="2:5" ht="14.5" customHeight="1">
      <c r="B74" s="90"/>
      <c r="C74" s="66" t="s">
        <v>208</v>
      </c>
      <c r="D74" s="67">
        <v>1</v>
      </c>
      <c r="E74" s="68">
        <v>2.7909572983499998E-4</v>
      </c>
    </row>
    <row r="75" spans="2:5" ht="14.5" customHeight="1">
      <c r="B75" s="90"/>
      <c r="C75" s="66" t="s">
        <v>210</v>
      </c>
      <c r="D75" s="67">
        <v>3</v>
      </c>
      <c r="E75" s="68">
        <v>8.3728718950600001E-4</v>
      </c>
    </row>
    <row r="76" spans="2:5" ht="14.5" customHeight="1">
      <c r="B76" s="90"/>
      <c r="C76" s="66" t="s">
        <v>211</v>
      </c>
      <c r="D76" s="67">
        <v>9</v>
      </c>
      <c r="E76" s="68">
        <v>2.5118615685179998E-3</v>
      </c>
    </row>
    <row r="77" spans="2:5" ht="14.5" customHeight="1">
      <c r="B77" s="91"/>
      <c r="C77" s="36" t="s">
        <v>28</v>
      </c>
      <c r="D77" s="35">
        <v>172</v>
      </c>
      <c r="E77" s="34">
        <v>4.8004465531676997E-2</v>
      </c>
    </row>
    <row r="78" spans="2:5" ht="14.5" customHeight="1">
      <c r="B78" s="89" t="s">
        <v>58</v>
      </c>
      <c r="C78" s="66" t="s">
        <v>191</v>
      </c>
      <c r="D78" s="67">
        <v>1</v>
      </c>
      <c r="E78" s="68">
        <v>2.7909572983499998E-4</v>
      </c>
    </row>
    <row r="79" spans="2:5" ht="14.5" customHeight="1">
      <c r="B79" s="90"/>
      <c r="C79" s="66" t="s">
        <v>193</v>
      </c>
      <c r="D79" s="67">
        <v>1</v>
      </c>
      <c r="E79" s="68">
        <v>2.7909572983499998E-4</v>
      </c>
    </row>
    <row r="80" spans="2:5" ht="14.5" customHeight="1">
      <c r="B80" s="90"/>
      <c r="C80" s="66" t="s">
        <v>194</v>
      </c>
      <c r="D80" s="67">
        <v>4</v>
      </c>
      <c r="E80" s="68">
        <v>1.116382919341E-3</v>
      </c>
    </row>
    <row r="81" spans="2:5" ht="14.5" customHeight="1">
      <c r="B81" s="90"/>
      <c r="C81" s="66" t="s">
        <v>195</v>
      </c>
      <c r="D81" s="67">
        <v>1</v>
      </c>
      <c r="E81" s="68">
        <v>2.7909572983499998E-4</v>
      </c>
    </row>
    <row r="82" spans="2:5" ht="14.5" customHeight="1">
      <c r="B82" s="90"/>
      <c r="C82" s="66" t="s">
        <v>197</v>
      </c>
      <c r="D82" s="67">
        <v>9</v>
      </c>
      <c r="E82" s="68">
        <v>2.5118615685179998E-3</v>
      </c>
    </row>
    <row r="83" spans="2:5" ht="14.5" customHeight="1">
      <c r="B83" s="90"/>
      <c r="C83" s="66" t="s">
        <v>198</v>
      </c>
      <c r="D83" s="67">
        <v>11</v>
      </c>
      <c r="E83" s="68">
        <v>3.0700530281889999E-3</v>
      </c>
    </row>
    <row r="84" spans="2:5" ht="14.5" customHeight="1">
      <c r="B84" s="90"/>
      <c r="C84" s="66" t="s">
        <v>200</v>
      </c>
      <c r="D84" s="67">
        <v>5</v>
      </c>
      <c r="E84" s="68">
        <v>1.395478649177E-3</v>
      </c>
    </row>
    <row r="85" spans="2:5" ht="14.5" customHeight="1">
      <c r="B85" s="90"/>
      <c r="C85" s="66" t="s">
        <v>201</v>
      </c>
      <c r="D85" s="67">
        <v>5</v>
      </c>
      <c r="E85" s="68">
        <v>1.395478649177E-3</v>
      </c>
    </row>
    <row r="86" spans="2:5" ht="14.5" customHeight="1">
      <c r="B86" s="90"/>
      <c r="C86" s="66" t="s">
        <v>202</v>
      </c>
      <c r="D86" s="67">
        <v>51</v>
      </c>
      <c r="E86" s="68">
        <v>1.4233882221602E-2</v>
      </c>
    </row>
    <row r="87" spans="2:5" ht="14.5" customHeight="1">
      <c r="B87" s="90"/>
      <c r="C87" s="66" t="s">
        <v>204</v>
      </c>
      <c r="D87" s="67">
        <v>4</v>
      </c>
      <c r="E87" s="68">
        <v>1.116382919341E-3</v>
      </c>
    </row>
    <row r="88" spans="2:5" ht="14.5" customHeight="1">
      <c r="B88" s="90"/>
      <c r="C88" s="66" t="s">
        <v>205</v>
      </c>
      <c r="D88" s="67">
        <v>28</v>
      </c>
      <c r="E88" s="68">
        <v>7.8146804353890001E-3</v>
      </c>
    </row>
    <row r="89" spans="2:5" ht="14.5" customHeight="1">
      <c r="B89" s="90"/>
      <c r="C89" s="66" t="s">
        <v>210</v>
      </c>
      <c r="D89" s="67">
        <v>1</v>
      </c>
      <c r="E89" s="68">
        <v>2.7909572983499998E-4</v>
      </c>
    </row>
    <row r="90" spans="2:5" ht="14.5" customHeight="1">
      <c r="B90" s="90"/>
      <c r="C90" s="66" t="s">
        <v>211</v>
      </c>
      <c r="D90" s="67">
        <v>1</v>
      </c>
      <c r="E90" s="68">
        <v>2.7909572983499998E-4</v>
      </c>
    </row>
    <row r="91" spans="2:5" ht="14.5" customHeight="1">
      <c r="B91" s="91"/>
      <c r="C91" s="36" t="s">
        <v>28</v>
      </c>
      <c r="D91" s="35">
        <v>122</v>
      </c>
      <c r="E91" s="34">
        <v>3.4049679039910997E-2</v>
      </c>
    </row>
    <row r="92" spans="2:5" ht="14.5" customHeight="1">
      <c r="B92" s="89" t="s">
        <v>67</v>
      </c>
      <c r="C92" s="66" t="s">
        <v>192</v>
      </c>
      <c r="D92" s="67">
        <v>1</v>
      </c>
      <c r="E92" s="68">
        <v>2.7909572983499998E-4</v>
      </c>
    </row>
    <row r="93" spans="2:5" ht="14.5" customHeight="1">
      <c r="B93" s="90"/>
      <c r="C93" s="66" t="s">
        <v>194</v>
      </c>
      <c r="D93" s="67">
        <v>1</v>
      </c>
      <c r="E93" s="68">
        <v>2.7909572983499998E-4</v>
      </c>
    </row>
    <row r="94" spans="2:5" ht="14.5" customHeight="1">
      <c r="B94" s="90"/>
      <c r="C94" s="66" t="s">
        <v>196</v>
      </c>
      <c r="D94" s="67">
        <v>2</v>
      </c>
      <c r="E94" s="68">
        <v>5.5819145967100003E-4</v>
      </c>
    </row>
    <row r="95" spans="2:5" ht="14.5" customHeight="1">
      <c r="B95" s="90"/>
      <c r="C95" s="66" t="s">
        <v>197</v>
      </c>
      <c r="D95" s="67">
        <v>4</v>
      </c>
      <c r="E95" s="68">
        <v>1.116382919341E-3</v>
      </c>
    </row>
    <row r="96" spans="2:5" ht="14.5" customHeight="1">
      <c r="B96" s="90"/>
      <c r="C96" s="66" t="s">
        <v>198</v>
      </c>
      <c r="D96" s="67">
        <v>2</v>
      </c>
      <c r="E96" s="68">
        <v>5.5819145967100003E-4</v>
      </c>
    </row>
    <row r="97" spans="2:5" ht="14.5" customHeight="1">
      <c r="B97" s="90"/>
      <c r="C97" s="66" t="s">
        <v>200</v>
      </c>
      <c r="D97" s="67">
        <v>3</v>
      </c>
      <c r="E97" s="68">
        <v>8.3728718950600001E-4</v>
      </c>
    </row>
    <row r="98" spans="2:5" ht="14.5" customHeight="1">
      <c r="B98" s="90"/>
      <c r="C98" s="66" t="s">
        <v>201</v>
      </c>
      <c r="D98" s="67">
        <v>3</v>
      </c>
      <c r="E98" s="68">
        <v>8.3728718950600001E-4</v>
      </c>
    </row>
    <row r="99" spans="2:5" ht="14.5" customHeight="1">
      <c r="B99" s="90"/>
      <c r="C99" s="66" t="s">
        <v>202</v>
      </c>
      <c r="D99" s="67">
        <v>10</v>
      </c>
      <c r="E99" s="68">
        <v>2.790957298353E-3</v>
      </c>
    </row>
    <row r="100" spans="2:5" ht="14.5" customHeight="1">
      <c r="B100" s="90"/>
      <c r="C100" s="66" t="s">
        <v>203</v>
      </c>
      <c r="D100" s="67">
        <v>1</v>
      </c>
      <c r="E100" s="68">
        <v>2.7909572983499998E-4</v>
      </c>
    </row>
    <row r="101" spans="2:5" ht="14.5" customHeight="1">
      <c r="B101" s="90"/>
      <c r="C101" s="66" t="s">
        <v>205</v>
      </c>
      <c r="D101" s="67">
        <v>11</v>
      </c>
      <c r="E101" s="68">
        <v>3.0700530281889999E-3</v>
      </c>
    </row>
    <row r="102" spans="2:5" ht="14.5" customHeight="1">
      <c r="B102" s="90"/>
      <c r="C102" s="66" t="s">
        <v>210</v>
      </c>
      <c r="D102" s="67">
        <v>2</v>
      </c>
      <c r="E102" s="68">
        <v>5.5819145967100003E-4</v>
      </c>
    </row>
    <row r="103" spans="2:5" ht="14.5" customHeight="1">
      <c r="B103" s="90"/>
      <c r="C103" s="66" t="s">
        <v>211</v>
      </c>
      <c r="D103" s="67">
        <v>1</v>
      </c>
      <c r="E103" s="68">
        <v>2.7909572983499998E-4</v>
      </c>
    </row>
    <row r="104" spans="2:5" ht="14.5" customHeight="1">
      <c r="B104" s="90"/>
      <c r="C104" s="66" t="s">
        <v>213</v>
      </c>
      <c r="D104" s="67">
        <v>1</v>
      </c>
      <c r="E104" s="68">
        <v>2.7909572983499998E-4</v>
      </c>
    </row>
    <row r="105" spans="2:5" ht="14.5" customHeight="1">
      <c r="B105" s="91"/>
      <c r="C105" s="36" t="s">
        <v>28</v>
      </c>
      <c r="D105" s="35">
        <v>42</v>
      </c>
      <c r="E105" s="34">
        <v>1.1722020653084E-2</v>
      </c>
    </row>
    <row r="106" spans="2:5" ht="14.5" customHeight="1">
      <c r="B106" s="89" t="s">
        <v>80</v>
      </c>
      <c r="C106" s="66" t="s">
        <v>196</v>
      </c>
      <c r="D106" s="67">
        <v>2</v>
      </c>
      <c r="E106" s="68">
        <v>5.5819145967100003E-4</v>
      </c>
    </row>
    <row r="107" spans="2:5" ht="14.5" customHeight="1">
      <c r="B107" s="90"/>
      <c r="C107" s="66" t="s">
        <v>197</v>
      </c>
      <c r="D107" s="67">
        <v>1</v>
      </c>
      <c r="E107" s="68">
        <v>2.7909572983499998E-4</v>
      </c>
    </row>
    <row r="108" spans="2:5" ht="14.5" customHeight="1">
      <c r="B108" s="90"/>
      <c r="C108" s="66" t="s">
        <v>198</v>
      </c>
      <c r="D108" s="67">
        <v>3</v>
      </c>
      <c r="E108" s="68">
        <v>8.3728718950600001E-4</v>
      </c>
    </row>
    <row r="109" spans="2:5" ht="14.5" customHeight="1">
      <c r="B109" s="90"/>
      <c r="C109" s="66" t="s">
        <v>201</v>
      </c>
      <c r="D109" s="67">
        <v>1</v>
      </c>
      <c r="E109" s="68">
        <v>2.7909572983499998E-4</v>
      </c>
    </row>
    <row r="110" spans="2:5" ht="14.5" customHeight="1">
      <c r="B110" s="90"/>
      <c r="C110" s="66" t="s">
        <v>202</v>
      </c>
      <c r="D110" s="67">
        <v>4</v>
      </c>
      <c r="E110" s="68">
        <v>1.116382919341E-3</v>
      </c>
    </row>
    <row r="111" spans="2:5" ht="14.5" customHeight="1">
      <c r="B111" s="90"/>
      <c r="C111" s="66" t="s">
        <v>204</v>
      </c>
      <c r="D111" s="67">
        <v>1</v>
      </c>
      <c r="E111" s="68">
        <v>2.7909572983499998E-4</v>
      </c>
    </row>
    <row r="112" spans="2:5" ht="14.5" customHeight="1">
      <c r="B112" s="90"/>
      <c r="C112" s="66" t="s">
        <v>205</v>
      </c>
      <c r="D112" s="67">
        <v>1</v>
      </c>
      <c r="E112" s="68">
        <v>2.7909572983499998E-4</v>
      </c>
    </row>
    <row r="113" spans="2:5" ht="14.5" customHeight="1">
      <c r="B113" s="90"/>
      <c r="C113" s="66" t="s">
        <v>211</v>
      </c>
      <c r="D113" s="67">
        <v>1</v>
      </c>
      <c r="E113" s="68">
        <v>2.7909572983499998E-4</v>
      </c>
    </row>
    <row r="114" spans="2:5" ht="14.5" customHeight="1">
      <c r="B114" s="91"/>
      <c r="C114" s="36" t="s">
        <v>28</v>
      </c>
      <c r="D114" s="35">
        <v>14</v>
      </c>
      <c r="E114" s="34">
        <v>3.9073402176949996E-3</v>
      </c>
    </row>
    <row r="115" spans="2:5" ht="14.5" customHeight="1">
      <c r="B115" s="89" t="s">
        <v>89</v>
      </c>
      <c r="C115" s="66" t="s">
        <v>198</v>
      </c>
      <c r="D115" s="67">
        <v>1</v>
      </c>
      <c r="E115" s="68">
        <v>2.7909572983499998E-4</v>
      </c>
    </row>
    <row r="116" spans="2:5" ht="14.5" customHeight="1">
      <c r="B116" s="90"/>
      <c r="C116" s="66" t="s">
        <v>201</v>
      </c>
      <c r="D116" s="67">
        <v>1</v>
      </c>
      <c r="E116" s="68">
        <v>2.7909572983499998E-4</v>
      </c>
    </row>
    <row r="117" spans="2:5" ht="14.5" customHeight="1">
      <c r="B117" s="90"/>
      <c r="C117" s="66" t="s">
        <v>202</v>
      </c>
      <c r="D117" s="67">
        <v>1</v>
      </c>
      <c r="E117" s="68">
        <v>2.7909572983499998E-4</v>
      </c>
    </row>
    <row r="118" spans="2:5" ht="14.5" customHeight="1">
      <c r="B118" s="90"/>
      <c r="C118" s="66" t="s">
        <v>205</v>
      </c>
      <c r="D118" s="67">
        <v>1</v>
      </c>
      <c r="E118" s="68">
        <v>2.7909572983499998E-4</v>
      </c>
    </row>
    <row r="119" spans="2:5" ht="14.5" customHeight="1">
      <c r="B119" s="90"/>
      <c r="C119" s="66" t="s">
        <v>211</v>
      </c>
      <c r="D119" s="67">
        <v>1</v>
      </c>
      <c r="E119" s="68">
        <v>2.7909572983499998E-4</v>
      </c>
    </row>
    <row r="120" spans="2:5" ht="14.5" customHeight="1">
      <c r="B120" s="91"/>
      <c r="C120" s="36" t="s">
        <v>28</v>
      </c>
      <c r="D120" s="35">
        <v>5</v>
      </c>
      <c r="E120" s="34">
        <v>1.395478649177E-3</v>
      </c>
    </row>
    <row r="121" spans="2:5" ht="14.5" customHeight="1">
      <c r="B121" s="89" t="s">
        <v>85</v>
      </c>
      <c r="C121" s="66" t="s">
        <v>198</v>
      </c>
      <c r="D121" s="67">
        <v>2</v>
      </c>
      <c r="E121" s="68">
        <v>5.5819145967100003E-4</v>
      </c>
    </row>
    <row r="122" spans="2:5" ht="14.5" customHeight="1">
      <c r="B122" s="90"/>
      <c r="C122" s="66" t="s">
        <v>202</v>
      </c>
      <c r="D122" s="67">
        <v>5</v>
      </c>
      <c r="E122" s="68">
        <v>1.395478649177E-3</v>
      </c>
    </row>
    <row r="123" spans="2:5" ht="14.5" customHeight="1">
      <c r="B123" s="90"/>
      <c r="C123" s="66" t="s">
        <v>205</v>
      </c>
      <c r="D123" s="67">
        <v>1</v>
      </c>
      <c r="E123" s="68">
        <v>2.7909572983499998E-4</v>
      </c>
    </row>
    <row r="124" spans="2:5" ht="14.5" customHeight="1">
      <c r="B124" s="91"/>
      <c r="C124" s="36" t="s">
        <v>28</v>
      </c>
      <c r="D124" s="35">
        <v>8</v>
      </c>
      <c r="E124" s="34">
        <v>2.2327658386830001E-3</v>
      </c>
    </row>
    <row r="125" spans="2:5" ht="14.5" customHeight="1">
      <c r="B125" s="89" t="s">
        <v>51</v>
      </c>
      <c r="C125" s="66" t="s">
        <v>191</v>
      </c>
      <c r="D125" s="67">
        <v>18</v>
      </c>
      <c r="E125" s="68">
        <v>5.0237231370359996E-3</v>
      </c>
    </row>
    <row r="126" spans="2:5" ht="14.5" customHeight="1">
      <c r="B126" s="90"/>
      <c r="C126" s="66" t="s">
        <v>192</v>
      </c>
      <c r="D126" s="67">
        <v>3</v>
      </c>
      <c r="E126" s="68">
        <v>8.3728718950600001E-4</v>
      </c>
    </row>
    <row r="127" spans="2:5" ht="14.5" customHeight="1">
      <c r="B127" s="90"/>
      <c r="C127" s="66" t="s">
        <v>193</v>
      </c>
      <c r="D127" s="67">
        <v>7</v>
      </c>
      <c r="E127" s="68">
        <v>1.9536701088469998E-3</v>
      </c>
    </row>
    <row r="128" spans="2:5" ht="14.5" customHeight="1">
      <c r="B128" s="90"/>
      <c r="C128" s="66" t="s">
        <v>194</v>
      </c>
      <c r="D128" s="67">
        <v>20</v>
      </c>
      <c r="E128" s="68">
        <v>5.5819145967070001E-3</v>
      </c>
    </row>
    <row r="129" spans="2:5" ht="14.5" customHeight="1">
      <c r="B129" s="90"/>
      <c r="C129" s="66" t="s">
        <v>195</v>
      </c>
      <c r="D129" s="67">
        <v>10</v>
      </c>
      <c r="E129" s="68">
        <v>2.790957298353E-3</v>
      </c>
    </row>
    <row r="130" spans="2:5" ht="14.5" customHeight="1">
      <c r="B130" s="90"/>
      <c r="C130" s="66" t="s">
        <v>196</v>
      </c>
      <c r="D130" s="67">
        <v>15</v>
      </c>
      <c r="E130" s="68">
        <v>4.1864359475300003E-3</v>
      </c>
    </row>
    <row r="131" spans="2:5" ht="14.5" customHeight="1">
      <c r="B131" s="90"/>
      <c r="C131" s="66" t="s">
        <v>197</v>
      </c>
      <c r="D131" s="67">
        <v>67</v>
      </c>
      <c r="E131" s="68">
        <v>1.8699413898967E-2</v>
      </c>
    </row>
    <row r="132" spans="2:5" ht="14.5" customHeight="1">
      <c r="B132" s="90"/>
      <c r="C132" s="66" t="s">
        <v>198</v>
      </c>
      <c r="D132" s="67">
        <v>53</v>
      </c>
      <c r="E132" s="68">
        <v>1.4792073681272999E-2</v>
      </c>
    </row>
    <row r="133" spans="2:5" ht="14.5" customHeight="1">
      <c r="B133" s="90"/>
      <c r="C133" s="66" t="s">
        <v>199</v>
      </c>
      <c r="D133" s="67">
        <v>13</v>
      </c>
      <c r="E133" s="68">
        <v>3.6282444878589998E-3</v>
      </c>
    </row>
    <row r="134" spans="2:5" ht="14.5" customHeight="1">
      <c r="B134" s="90"/>
      <c r="C134" s="66" t="s">
        <v>200</v>
      </c>
      <c r="D134" s="67">
        <v>15</v>
      </c>
      <c r="E134" s="68">
        <v>4.1864359475300003E-3</v>
      </c>
    </row>
    <row r="135" spans="2:5" ht="14.5" customHeight="1">
      <c r="B135" s="90"/>
      <c r="C135" s="66" t="s">
        <v>201</v>
      </c>
      <c r="D135" s="67">
        <v>23</v>
      </c>
      <c r="E135" s="68">
        <v>6.4192017862130003E-3</v>
      </c>
    </row>
    <row r="136" spans="2:5" ht="14.5" customHeight="1">
      <c r="B136" s="90"/>
      <c r="C136" s="66" t="s">
        <v>202</v>
      </c>
      <c r="D136" s="67">
        <v>111</v>
      </c>
      <c r="E136" s="68">
        <v>3.0979626011722002E-2</v>
      </c>
    </row>
    <row r="137" spans="2:5" ht="14.5" customHeight="1">
      <c r="B137" s="90"/>
      <c r="C137" s="66" t="s">
        <v>203</v>
      </c>
      <c r="D137" s="67">
        <v>7</v>
      </c>
      <c r="E137" s="68">
        <v>1.9536701088469998E-3</v>
      </c>
    </row>
    <row r="138" spans="2:5" ht="14.5" customHeight="1">
      <c r="B138" s="90"/>
      <c r="C138" s="66" t="s">
        <v>204</v>
      </c>
      <c r="D138" s="67">
        <v>34</v>
      </c>
      <c r="E138" s="68">
        <v>9.4892548144010005E-3</v>
      </c>
    </row>
    <row r="139" spans="2:5" ht="14.5" customHeight="1">
      <c r="B139" s="90"/>
      <c r="C139" s="66" t="s">
        <v>205</v>
      </c>
      <c r="D139" s="67">
        <v>114</v>
      </c>
      <c r="E139" s="68">
        <v>3.1816913201228002E-2</v>
      </c>
    </row>
    <row r="140" spans="2:5" ht="14.5" customHeight="1">
      <c r="B140" s="90"/>
      <c r="C140" s="66" t="s">
        <v>206</v>
      </c>
      <c r="D140" s="67">
        <v>2</v>
      </c>
      <c r="E140" s="68">
        <v>5.5819145967100003E-4</v>
      </c>
    </row>
    <row r="141" spans="2:5" ht="14.5" customHeight="1">
      <c r="B141" s="90"/>
      <c r="C141" s="66" t="s">
        <v>207</v>
      </c>
      <c r="D141" s="67">
        <v>1</v>
      </c>
      <c r="E141" s="68">
        <v>2.7909572983499998E-4</v>
      </c>
    </row>
    <row r="142" spans="2:5" ht="14.5" customHeight="1">
      <c r="B142" s="90"/>
      <c r="C142" s="66" t="s">
        <v>209</v>
      </c>
      <c r="D142" s="67">
        <v>1</v>
      </c>
      <c r="E142" s="68">
        <v>2.7909572983499998E-4</v>
      </c>
    </row>
    <row r="143" spans="2:5" ht="14.5" customHeight="1">
      <c r="B143" s="90"/>
      <c r="C143" s="66" t="s">
        <v>210</v>
      </c>
      <c r="D143" s="67">
        <v>3</v>
      </c>
      <c r="E143" s="68">
        <v>8.3728718950600001E-4</v>
      </c>
    </row>
    <row r="144" spans="2:5" ht="14.5" customHeight="1">
      <c r="B144" s="90"/>
      <c r="C144" s="66" t="s">
        <v>211</v>
      </c>
      <c r="D144" s="67">
        <v>16</v>
      </c>
      <c r="E144" s="68">
        <v>4.465531677365E-3</v>
      </c>
    </row>
    <row r="145" spans="2:5" ht="14.5" customHeight="1">
      <c r="B145" s="91"/>
      <c r="C145" s="36" t="s">
        <v>28</v>
      </c>
      <c r="D145" s="35">
        <v>533</v>
      </c>
      <c r="E145" s="34">
        <v>0.14875802400223301</v>
      </c>
    </row>
    <row r="146" spans="2:5" ht="14.5" customHeight="1">
      <c r="B146" s="89" t="s">
        <v>60</v>
      </c>
      <c r="C146" s="66" t="s">
        <v>191</v>
      </c>
      <c r="D146" s="67">
        <v>3</v>
      </c>
      <c r="E146" s="68">
        <v>8.3728718950600001E-4</v>
      </c>
    </row>
    <row r="147" spans="2:5" ht="14.5" customHeight="1">
      <c r="B147" s="90"/>
      <c r="C147" s="66" t="s">
        <v>193</v>
      </c>
      <c r="D147" s="67">
        <v>3</v>
      </c>
      <c r="E147" s="68">
        <v>8.3728718950600001E-4</v>
      </c>
    </row>
    <row r="148" spans="2:5" ht="14.5" customHeight="1">
      <c r="B148" s="90"/>
      <c r="C148" s="66" t="s">
        <v>194</v>
      </c>
      <c r="D148" s="67">
        <v>2</v>
      </c>
      <c r="E148" s="68">
        <v>5.5819145967100003E-4</v>
      </c>
    </row>
    <row r="149" spans="2:5" ht="14.5" customHeight="1">
      <c r="B149" s="90"/>
      <c r="C149" s="66" t="s">
        <v>195</v>
      </c>
      <c r="D149" s="67">
        <v>2</v>
      </c>
      <c r="E149" s="68">
        <v>5.5819145967100003E-4</v>
      </c>
    </row>
    <row r="150" spans="2:5" ht="14.5" customHeight="1">
      <c r="B150" s="90"/>
      <c r="C150" s="66" t="s">
        <v>196</v>
      </c>
      <c r="D150" s="67">
        <v>1</v>
      </c>
      <c r="E150" s="68">
        <v>2.7909572983499998E-4</v>
      </c>
    </row>
    <row r="151" spans="2:5" ht="14.5" customHeight="1">
      <c r="B151" s="90"/>
      <c r="C151" s="66" t="s">
        <v>197</v>
      </c>
      <c r="D151" s="67">
        <v>6</v>
      </c>
      <c r="E151" s="68">
        <v>1.674574379012E-3</v>
      </c>
    </row>
    <row r="152" spans="2:5" ht="14.5" customHeight="1">
      <c r="B152" s="90"/>
      <c r="C152" s="66" t="s">
        <v>198</v>
      </c>
      <c r="D152" s="67">
        <v>5</v>
      </c>
      <c r="E152" s="68">
        <v>1.395478649177E-3</v>
      </c>
    </row>
    <row r="153" spans="2:5" ht="14.5" customHeight="1">
      <c r="B153" s="90"/>
      <c r="C153" s="66" t="s">
        <v>199</v>
      </c>
      <c r="D153" s="67">
        <v>1</v>
      </c>
      <c r="E153" s="68">
        <v>2.7909572983499998E-4</v>
      </c>
    </row>
    <row r="154" spans="2:5" ht="14.5" customHeight="1">
      <c r="B154" s="90"/>
      <c r="C154" s="66" t="s">
        <v>201</v>
      </c>
      <c r="D154" s="67">
        <v>3</v>
      </c>
      <c r="E154" s="68">
        <v>8.3728718950600001E-4</v>
      </c>
    </row>
    <row r="155" spans="2:5" ht="14.5" customHeight="1">
      <c r="B155" s="90"/>
      <c r="C155" s="66" t="s">
        <v>202</v>
      </c>
      <c r="D155" s="67">
        <v>18</v>
      </c>
      <c r="E155" s="68">
        <v>5.0237231370359996E-3</v>
      </c>
    </row>
    <row r="156" spans="2:5" ht="14.5" customHeight="1">
      <c r="B156" s="90"/>
      <c r="C156" s="66" t="s">
        <v>204</v>
      </c>
      <c r="D156" s="67">
        <v>11</v>
      </c>
      <c r="E156" s="68">
        <v>3.0700530281889999E-3</v>
      </c>
    </row>
    <row r="157" spans="2:5" ht="14.5" customHeight="1">
      <c r="B157" s="90"/>
      <c r="C157" s="66" t="s">
        <v>205</v>
      </c>
      <c r="D157" s="67">
        <v>17</v>
      </c>
      <c r="E157" s="68">
        <v>4.7446274072009999E-3</v>
      </c>
    </row>
    <row r="158" spans="2:5" ht="14.5" customHeight="1">
      <c r="B158" s="90"/>
      <c r="C158" s="66" t="s">
        <v>207</v>
      </c>
      <c r="D158" s="67">
        <v>1</v>
      </c>
      <c r="E158" s="68">
        <v>2.7909572983499998E-4</v>
      </c>
    </row>
    <row r="159" spans="2:5" ht="14.5" customHeight="1">
      <c r="B159" s="90"/>
      <c r="C159" s="66" t="s">
        <v>210</v>
      </c>
      <c r="D159" s="67">
        <v>5</v>
      </c>
      <c r="E159" s="68">
        <v>1.395478649177E-3</v>
      </c>
    </row>
    <row r="160" spans="2:5" ht="14.5" customHeight="1">
      <c r="B160" s="90"/>
      <c r="C160" s="66" t="s">
        <v>211</v>
      </c>
      <c r="D160" s="67">
        <v>3</v>
      </c>
      <c r="E160" s="68">
        <v>8.3728718950600001E-4</v>
      </c>
    </row>
    <row r="161" spans="2:5" ht="14.5" customHeight="1">
      <c r="B161" s="91"/>
      <c r="C161" s="36" t="s">
        <v>28</v>
      </c>
      <c r="D161" s="35">
        <v>81</v>
      </c>
      <c r="E161" s="34">
        <v>2.2606754116661999E-2</v>
      </c>
    </row>
    <row r="162" spans="2:5" ht="14.5" customHeight="1">
      <c r="B162" s="89" t="s">
        <v>78</v>
      </c>
      <c r="C162" s="66" t="s">
        <v>194</v>
      </c>
      <c r="D162" s="67">
        <v>1</v>
      </c>
      <c r="E162" s="68">
        <v>2.7909572983499998E-4</v>
      </c>
    </row>
    <row r="163" spans="2:5" ht="14.5" customHeight="1">
      <c r="B163" s="90"/>
      <c r="C163" s="66" t="s">
        <v>196</v>
      </c>
      <c r="D163" s="67">
        <v>1</v>
      </c>
      <c r="E163" s="68">
        <v>2.7909572983499998E-4</v>
      </c>
    </row>
    <row r="164" spans="2:5" ht="14.5" customHeight="1">
      <c r="B164" s="90"/>
      <c r="C164" s="66" t="s">
        <v>198</v>
      </c>
      <c r="D164" s="67">
        <v>1</v>
      </c>
      <c r="E164" s="68">
        <v>2.7909572983499998E-4</v>
      </c>
    </row>
    <row r="165" spans="2:5" ht="14.5" customHeight="1">
      <c r="B165" s="90"/>
      <c r="C165" s="66" t="s">
        <v>202</v>
      </c>
      <c r="D165" s="67">
        <v>6</v>
      </c>
      <c r="E165" s="68">
        <v>1.674574379012E-3</v>
      </c>
    </row>
    <row r="166" spans="2:5" ht="14.5" customHeight="1">
      <c r="B166" s="90"/>
      <c r="C166" s="66" t="s">
        <v>204</v>
      </c>
      <c r="D166" s="67">
        <v>3</v>
      </c>
      <c r="E166" s="68">
        <v>8.3728718950600001E-4</v>
      </c>
    </row>
    <row r="167" spans="2:5" ht="14.5" customHeight="1">
      <c r="B167" s="90"/>
      <c r="C167" s="66" t="s">
        <v>205</v>
      </c>
      <c r="D167" s="67">
        <v>3</v>
      </c>
      <c r="E167" s="68">
        <v>8.3728718950600001E-4</v>
      </c>
    </row>
    <row r="168" spans="2:5" ht="14.5" customHeight="1">
      <c r="B168" s="90"/>
      <c r="C168" s="66" t="s">
        <v>211</v>
      </c>
      <c r="D168" s="67">
        <v>1</v>
      </c>
      <c r="E168" s="68">
        <v>2.7909572983499998E-4</v>
      </c>
    </row>
    <row r="169" spans="2:5" ht="14.5" customHeight="1">
      <c r="B169" s="91"/>
      <c r="C169" s="36" t="s">
        <v>28</v>
      </c>
      <c r="D169" s="35">
        <v>16</v>
      </c>
      <c r="E169" s="34">
        <v>4.465531677365E-3</v>
      </c>
    </row>
    <row r="170" spans="2:5" ht="14.5" customHeight="1">
      <c r="B170" s="89" t="s">
        <v>68</v>
      </c>
      <c r="C170" s="66" t="s">
        <v>191</v>
      </c>
      <c r="D170" s="67">
        <v>1</v>
      </c>
      <c r="E170" s="68">
        <v>2.7909572983499998E-4</v>
      </c>
    </row>
    <row r="171" spans="2:5" ht="14.5" customHeight="1">
      <c r="B171" s="90"/>
      <c r="C171" s="66" t="s">
        <v>195</v>
      </c>
      <c r="D171" s="67">
        <v>3</v>
      </c>
      <c r="E171" s="68">
        <v>8.3728718950600001E-4</v>
      </c>
    </row>
    <row r="172" spans="2:5" ht="14.5" customHeight="1">
      <c r="B172" s="90"/>
      <c r="C172" s="66" t="s">
        <v>197</v>
      </c>
      <c r="D172" s="67">
        <v>7</v>
      </c>
      <c r="E172" s="68">
        <v>1.9536701088469998E-3</v>
      </c>
    </row>
    <row r="173" spans="2:5" ht="14.5" customHeight="1">
      <c r="B173" s="90"/>
      <c r="C173" s="66" t="s">
        <v>198</v>
      </c>
      <c r="D173" s="67">
        <v>6</v>
      </c>
      <c r="E173" s="68">
        <v>1.674574379012E-3</v>
      </c>
    </row>
    <row r="174" spans="2:5" ht="14.5" customHeight="1">
      <c r="B174" s="90"/>
      <c r="C174" s="66" t="s">
        <v>199</v>
      </c>
      <c r="D174" s="67">
        <v>1</v>
      </c>
      <c r="E174" s="68">
        <v>2.7909572983499998E-4</v>
      </c>
    </row>
    <row r="175" spans="2:5" ht="14.5" customHeight="1">
      <c r="B175" s="90"/>
      <c r="C175" s="66" t="s">
        <v>200</v>
      </c>
      <c r="D175" s="67">
        <v>2</v>
      </c>
      <c r="E175" s="68">
        <v>5.5819145967100003E-4</v>
      </c>
    </row>
    <row r="176" spans="2:5" ht="14.5" customHeight="1">
      <c r="B176" s="90"/>
      <c r="C176" s="66" t="s">
        <v>201</v>
      </c>
      <c r="D176" s="67">
        <v>3</v>
      </c>
      <c r="E176" s="68">
        <v>8.3728718950600001E-4</v>
      </c>
    </row>
    <row r="177" spans="2:5" ht="14.5" customHeight="1">
      <c r="B177" s="90"/>
      <c r="C177" s="66" t="s">
        <v>202</v>
      </c>
      <c r="D177" s="67">
        <v>12</v>
      </c>
      <c r="E177" s="68">
        <v>3.349148758024E-3</v>
      </c>
    </row>
    <row r="178" spans="2:5" ht="14.5" customHeight="1">
      <c r="B178" s="90"/>
      <c r="C178" s="66" t="s">
        <v>204</v>
      </c>
      <c r="D178" s="67">
        <v>4</v>
      </c>
      <c r="E178" s="68">
        <v>1.116382919341E-3</v>
      </c>
    </row>
    <row r="179" spans="2:5" ht="14.5" customHeight="1">
      <c r="B179" s="90"/>
      <c r="C179" s="66" t="s">
        <v>205</v>
      </c>
      <c r="D179" s="67">
        <v>2</v>
      </c>
      <c r="E179" s="68">
        <v>5.5819145967100003E-4</v>
      </c>
    </row>
    <row r="180" spans="2:5" ht="14.5" customHeight="1">
      <c r="B180" s="90"/>
      <c r="C180" s="66" t="s">
        <v>207</v>
      </c>
      <c r="D180" s="67">
        <v>1</v>
      </c>
      <c r="E180" s="68">
        <v>2.7909572983499998E-4</v>
      </c>
    </row>
    <row r="181" spans="2:5" ht="14.5" customHeight="1">
      <c r="B181" s="91"/>
      <c r="C181" s="36" t="s">
        <v>28</v>
      </c>
      <c r="D181" s="35">
        <v>42</v>
      </c>
      <c r="E181" s="34">
        <v>1.1722020653084E-2</v>
      </c>
    </row>
    <row r="182" spans="2:5" ht="14.5" customHeight="1">
      <c r="B182" s="89" t="s">
        <v>87</v>
      </c>
      <c r="C182" s="66" t="s">
        <v>194</v>
      </c>
      <c r="D182" s="67">
        <v>1</v>
      </c>
      <c r="E182" s="68">
        <v>2.7909572983499998E-4</v>
      </c>
    </row>
    <row r="183" spans="2:5" ht="14.5" customHeight="1">
      <c r="B183" s="90"/>
      <c r="C183" s="66" t="s">
        <v>198</v>
      </c>
      <c r="D183" s="67">
        <v>1</v>
      </c>
      <c r="E183" s="68">
        <v>2.7909572983499998E-4</v>
      </c>
    </row>
    <row r="184" spans="2:5" ht="14.5" customHeight="1">
      <c r="B184" s="90"/>
      <c r="C184" s="66" t="s">
        <v>200</v>
      </c>
      <c r="D184" s="67">
        <v>1</v>
      </c>
      <c r="E184" s="68">
        <v>2.7909572983499998E-4</v>
      </c>
    </row>
    <row r="185" spans="2:5" ht="14.5" customHeight="1">
      <c r="B185" s="90"/>
      <c r="C185" s="66" t="s">
        <v>202</v>
      </c>
      <c r="D185" s="67">
        <v>2</v>
      </c>
      <c r="E185" s="68">
        <v>5.5819145967100003E-4</v>
      </c>
    </row>
    <row r="186" spans="2:5" ht="14.5" customHeight="1">
      <c r="B186" s="90"/>
      <c r="C186" s="66" t="s">
        <v>205</v>
      </c>
      <c r="D186" s="67">
        <v>1</v>
      </c>
      <c r="E186" s="68">
        <v>2.7909572983499998E-4</v>
      </c>
    </row>
    <row r="187" spans="2:5" ht="14.5" customHeight="1">
      <c r="B187" s="90"/>
      <c r="C187" s="66" t="s">
        <v>211</v>
      </c>
      <c r="D187" s="67">
        <v>1</v>
      </c>
      <c r="E187" s="68">
        <v>2.7909572983499998E-4</v>
      </c>
    </row>
    <row r="188" spans="2:5" ht="14.5" customHeight="1">
      <c r="B188" s="91"/>
      <c r="C188" s="36" t="s">
        <v>28</v>
      </c>
      <c r="D188" s="35">
        <v>7</v>
      </c>
      <c r="E188" s="34">
        <v>1.9536701088469998E-3</v>
      </c>
    </row>
    <row r="189" spans="2:5" ht="14.5" customHeight="1">
      <c r="B189" s="89" t="s">
        <v>54</v>
      </c>
      <c r="C189" s="66" t="s">
        <v>192</v>
      </c>
      <c r="D189" s="67">
        <v>1</v>
      </c>
      <c r="E189" s="68">
        <v>2.7909572983499998E-4</v>
      </c>
    </row>
    <row r="190" spans="2:5" ht="14.5" customHeight="1">
      <c r="B190" s="90"/>
      <c r="C190" s="66" t="s">
        <v>193</v>
      </c>
      <c r="D190" s="67">
        <v>2</v>
      </c>
      <c r="E190" s="68">
        <v>5.5819145967100003E-4</v>
      </c>
    </row>
    <row r="191" spans="2:5" ht="14.5" customHeight="1">
      <c r="B191" s="90"/>
      <c r="C191" s="66" t="s">
        <v>194</v>
      </c>
      <c r="D191" s="67">
        <v>3</v>
      </c>
      <c r="E191" s="68">
        <v>8.3728718950600001E-4</v>
      </c>
    </row>
    <row r="192" spans="2:5" ht="14.5" customHeight="1">
      <c r="B192" s="90"/>
      <c r="C192" s="66" t="s">
        <v>195</v>
      </c>
      <c r="D192" s="67">
        <v>2</v>
      </c>
      <c r="E192" s="68">
        <v>5.5819145967100003E-4</v>
      </c>
    </row>
    <row r="193" spans="2:5" ht="14.5" customHeight="1">
      <c r="B193" s="90"/>
      <c r="C193" s="66" t="s">
        <v>196</v>
      </c>
      <c r="D193" s="67">
        <v>4</v>
      </c>
      <c r="E193" s="68">
        <v>1.116382919341E-3</v>
      </c>
    </row>
    <row r="194" spans="2:5" ht="14.5" customHeight="1">
      <c r="B194" s="90"/>
      <c r="C194" s="66" t="s">
        <v>197</v>
      </c>
      <c r="D194" s="67">
        <v>17</v>
      </c>
      <c r="E194" s="68">
        <v>4.7446274072009999E-3</v>
      </c>
    </row>
    <row r="195" spans="2:5" ht="14.5" customHeight="1">
      <c r="B195" s="90"/>
      <c r="C195" s="66" t="s">
        <v>198</v>
      </c>
      <c r="D195" s="67">
        <v>27</v>
      </c>
      <c r="E195" s="68">
        <v>7.5355847055540003E-3</v>
      </c>
    </row>
    <row r="196" spans="2:5" ht="14.5" customHeight="1">
      <c r="B196" s="90"/>
      <c r="C196" s="66" t="s">
        <v>199</v>
      </c>
      <c r="D196" s="67">
        <v>2</v>
      </c>
      <c r="E196" s="68">
        <v>5.5819145967100003E-4</v>
      </c>
    </row>
    <row r="197" spans="2:5" ht="14.5" customHeight="1">
      <c r="B197" s="90"/>
      <c r="C197" s="66" t="s">
        <v>200</v>
      </c>
      <c r="D197" s="67">
        <v>9</v>
      </c>
      <c r="E197" s="68">
        <v>2.5118615685179998E-3</v>
      </c>
    </row>
    <row r="198" spans="2:5" ht="14.5" customHeight="1">
      <c r="B198" s="90"/>
      <c r="C198" s="66" t="s">
        <v>201</v>
      </c>
      <c r="D198" s="67">
        <v>6</v>
      </c>
      <c r="E198" s="68">
        <v>1.674574379012E-3</v>
      </c>
    </row>
    <row r="199" spans="2:5" ht="14.5" customHeight="1">
      <c r="B199" s="90"/>
      <c r="C199" s="66" t="s">
        <v>202</v>
      </c>
      <c r="D199" s="67">
        <v>49</v>
      </c>
      <c r="E199" s="68">
        <v>1.3675690761931E-2</v>
      </c>
    </row>
    <row r="200" spans="2:5" ht="14.5" customHeight="1">
      <c r="B200" s="90"/>
      <c r="C200" s="66" t="s">
        <v>203</v>
      </c>
      <c r="D200" s="67">
        <v>3</v>
      </c>
      <c r="E200" s="68">
        <v>8.3728718950600001E-4</v>
      </c>
    </row>
    <row r="201" spans="2:5" ht="14.5" customHeight="1">
      <c r="B201" s="90"/>
      <c r="C201" s="66" t="s">
        <v>204</v>
      </c>
      <c r="D201" s="67">
        <v>6</v>
      </c>
      <c r="E201" s="68">
        <v>1.674574379012E-3</v>
      </c>
    </row>
    <row r="202" spans="2:5" ht="14.5" customHeight="1">
      <c r="B202" s="90"/>
      <c r="C202" s="66" t="s">
        <v>205</v>
      </c>
      <c r="D202" s="67">
        <v>40</v>
      </c>
      <c r="E202" s="68">
        <v>1.1163829193412999E-2</v>
      </c>
    </row>
    <row r="203" spans="2:5" ht="14.5" customHeight="1">
      <c r="B203" s="90"/>
      <c r="C203" s="66" t="s">
        <v>211</v>
      </c>
      <c r="D203" s="67">
        <v>9</v>
      </c>
      <c r="E203" s="68">
        <v>2.5118615685179998E-3</v>
      </c>
    </row>
    <row r="204" spans="2:5" ht="14.5" customHeight="1">
      <c r="B204" s="90"/>
      <c r="C204" s="66" t="s">
        <v>212</v>
      </c>
      <c r="D204" s="67">
        <v>1</v>
      </c>
      <c r="E204" s="68">
        <v>2.7909572983499998E-4</v>
      </c>
    </row>
    <row r="205" spans="2:5" ht="14.5" customHeight="1">
      <c r="B205" s="91"/>
      <c r="C205" s="36" t="s">
        <v>28</v>
      </c>
      <c r="D205" s="35">
        <v>181</v>
      </c>
      <c r="E205" s="34">
        <v>5.0516327100194998E-2</v>
      </c>
    </row>
    <row r="206" spans="2:5" ht="14.5" customHeight="1">
      <c r="B206" s="89" t="s">
        <v>71</v>
      </c>
      <c r="C206" s="66" t="s">
        <v>193</v>
      </c>
      <c r="D206" s="67">
        <v>1</v>
      </c>
      <c r="E206" s="68">
        <v>2.7909572983499998E-4</v>
      </c>
    </row>
    <row r="207" spans="2:5" ht="14.5" customHeight="1">
      <c r="B207" s="90"/>
      <c r="C207" s="66" t="s">
        <v>196</v>
      </c>
      <c r="D207" s="67">
        <v>1</v>
      </c>
      <c r="E207" s="68">
        <v>2.7909572983499998E-4</v>
      </c>
    </row>
    <row r="208" spans="2:5" ht="14.5" customHeight="1">
      <c r="B208" s="90"/>
      <c r="C208" s="66" t="s">
        <v>197</v>
      </c>
      <c r="D208" s="67">
        <v>1</v>
      </c>
      <c r="E208" s="68">
        <v>2.7909572983499998E-4</v>
      </c>
    </row>
    <row r="209" spans="2:5" ht="14.5" customHeight="1">
      <c r="B209" s="90"/>
      <c r="C209" s="66" t="s">
        <v>198</v>
      </c>
      <c r="D209" s="67">
        <v>4</v>
      </c>
      <c r="E209" s="68">
        <v>1.116382919341E-3</v>
      </c>
    </row>
    <row r="210" spans="2:5" ht="14.5" customHeight="1">
      <c r="B210" s="90"/>
      <c r="C210" s="66" t="s">
        <v>199</v>
      </c>
      <c r="D210" s="67">
        <v>1</v>
      </c>
      <c r="E210" s="68">
        <v>2.7909572983499998E-4</v>
      </c>
    </row>
    <row r="211" spans="2:5" ht="14.5" customHeight="1">
      <c r="B211" s="90"/>
      <c r="C211" s="66" t="s">
        <v>200</v>
      </c>
      <c r="D211" s="67">
        <v>5</v>
      </c>
      <c r="E211" s="68">
        <v>1.395478649177E-3</v>
      </c>
    </row>
    <row r="212" spans="2:5" ht="14.5" customHeight="1">
      <c r="B212" s="90"/>
      <c r="C212" s="66" t="s">
        <v>201</v>
      </c>
      <c r="D212" s="67">
        <v>2</v>
      </c>
      <c r="E212" s="68">
        <v>5.5819145967100003E-4</v>
      </c>
    </row>
    <row r="213" spans="2:5" ht="14.5" customHeight="1">
      <c r="B213" s="90"/>
      <c r="C213" s="66" t="s">
        <v>202</v>
      </c>
      <c r="D213" s="67">
        <v>7</v>
      </c>
      <c r="E213" s="68">
        <v>1.9536701088469998E-3</v>
      </c>
    </row>
    <row r="214" spans="2:5" ht="14.5" customHeight="1">
      <c r="B214" s="90"/>
      <c r="C214" s="66" t="s">
        <v>205</v>
      </c>
      <c r="D214" s="67">
        <v>8</v>
      </c>
      <c r="E214" s="68">
        <v>2.2327658386830001E-3</v>
      </c>
    </row>
    <row r="215" spans="2:5" ht="14.5" customHeight="1">
      <c r="B215" s="91"/>
      <c r="C215" s="36" t="s">
        <v>28</v>
      </c>
      <c r="D215" s="35">
        <v>30</v>
      </c>
      <c r="E215" s="34">
        <v>8.3728718950600006E-3</v>
      </c>
    </row>
    <row r="216" spans="2:5" ht="14.5" customHeight="1">
      <c r="B216" s="89" t="s">
        <v>50</v>
      </c>
      <c r="C216" s="66" t="s">
        <v>191</v>
      </c>
      <c r="D216" s="67">
        <v>19</v>
      </c>
      <c r="E216" s="68">
        <v>5.3028188668710003E-3</v>
      </c>
    </row>
    <row r="217" spans="2:5" ht="14.5" customHeight="1">
      <c r="B217" s="90"/>
      <c r="C217" s="66" t="s">
        <v>192</v>
      </c>
      <c r="D217" s="67">
        <v>8</v>
      </c>
      <c r="E217" s="68">
        <v>2.2327658386830001E-3</v>
      </c>
    </row>
    <row r="218" spans="2:5" ht="14.5" customHeight="1">
      <c r="B218" s="90"/>
      <c r="C218" s="66" t="s">
        <v>193</v>
      </c>
      <c r="D218" s="67">
        <v>10</v>
      </c>
      <c r="E218" s="68">
        <v>2.790957298353E-3</v>
      </c>
    </row>
    <row r="219" spans="2:5" ht="14.5" customHeight="1">
      <c r="B219" s="90"/>
      <c r="C219" s="66" t="s">
        <v>194</v>
      </c>
      <c r="D219" s="67">
        <v>18</v>
      </c>
      <c r="E219" s="68">
        <v>5.0237231370359996E-3</v>
      </c>
    </row>
    <row r="220" spans="2:5" ht="14.5" customHeight="1">
      <c r="B220" s="90"/>
      <c r="C220" s="66" t="s">
        <v>195</v>
      </c>
      <c r="D220" s="67">
        <v>13</v>
      </c>
      <c r="E220" s="68">
        <v>3.6282444878589998E-3</v>
      </c>
    </row>
    <row r="221" spans="2:5" ht="14.5" customHeight="1">
      <c r="B221" s="90"/>
      <c r="C221" s="66" t="s">
        <v>196</v>
      </c>
      <c r="D221" s="67">
        <v>11</v>
      </c>
      <c r="E221" s="68">
        <v>3.0700530281889999E-3</v>
      </c>
    </row>
    <row r="222" spans="2:5" ht="14.5" customHeight="1">
      <c r="B222" s="90"/>
      <c r="C222" s="66" t="s">
        <v>197</v>
      </c>
      <c r="D222" s="67">
        <v>68</v>
      </c>
      <c r="E222" s="68">
        <v>1.8978509628803E-2</v>
      </c>
    </row>
    <row r="223" spans="2:5" ht="14.5" customHeight="1">
      <c r="B223" s="90"/>
      <c r="C223" s="66" t="s">
        <v>198</v>
      </c>
      <c r="D223" s="67">
        <v>139</v>
      </c>
      <c r="E223" s="68">
        <v>3.8794306447111002E-2</v>
      </c>
    </row>
    <row r="224" spans="2:5" ht="14.5" customHeight="1">
      <c r="B224" s="90"/>
      <c r="C224" s="66" t="s">
        <v>199</v>
      </c>
      <c r="D224" s="67">
        <v>18</v>
      </c>
      <c r="E224" s="68">
        <v>5.0237231370359996E-3</v>
      </c>
    </row>
    <row r="225" spans="2:5" ht="14.5" customHeight="1">
      <c r="B225" s="90"/>
      <c r="C225" s="66" t="s">
        <v>200</v>
      </c>
      <c r="D225" s="67">
        <v>23</v>
      </c>
      <c r="E225" s="68">
        <v>6.4192017862130003E-3</v>
      </c>
    </row>
    <row r="226" spans="2:5" ht="14.5" customHeight="1">
      <c r="B226" s="90"/>
      <c r="C226" s="66" t="s">
        <v>201</v>
      </c>
      <c r="D226" s="67">
        <v>21</v>
      </c>
      <c r="E226" s="68">
        <v>5.8610103265419999E-3</v>
      </c>
    </row>
    <row r="227" spans="2:5" ht="14.5" customHeight="1">
      <c r="B227" s="90"/>
      <c r="C227" s="66" t="s">
        <v>202</v>
      </c>
      <c r="D227" s="67">
        <v>246</v>
      </c>
      <c r="E227" s="68">
        <v>6.8657549539492005E-2</v>
      </c>
    </row>
    <row r="228" spans="2:5" ht="14.5" customHeight="1">
      <c r="B228" s="90"/>
      <c r="C228" s="66" t="s">
        <v>203</v>
      </c>
      <c r="D228" s="67">
        <v>14</v>
      </c>
      <c r="E228" s="68">
        <v>3.9073402176949996E-3</v>
      </c>
    </row>
    <row r="229" spans="2:5" ht="14.5" customHeight="1">
      <c r="B229" s="90"/>
      <c r="C229" s="66" t="s">
        <v>204</v>
      </c>
      <c r="D229" s="67">
        <v>41</v>
      </c>
      <c r="E229" s="68">
        <v>1.1442924923249E-2</v>
      </c>
    </row>
    <row r="230" spans="2:5" ht="14.5" customHeight="1">
      <c r="B230" s="90"/>
      <c r="C230" s="66" t="s">
        <v>205</v>
      </c>
      <c r="D230" s="67">
        <v>199</v>
      </c>
      <c r="E230" s="68">
        <v>5.5540050237230999E-2</v>
      </c>
    </row>
    <row r="231" spans="2:5" ht="14.5" customHeight="1">
      <c r="B231" s="90"/>
      <c r="C231" s="66" t="s">
        <v>206</v>
      </c>
      <c r="D231" s="67">
        <v>1</v>
      </c>
      <c r="E231" s="68">
        <v>2.7909572983499998E-4</v>
      </c>
    </row>
    <row r="232" spans="2:5" ht="14.5" customHeight="1">
      <c r="B232" s="90"/>
      <c r="C232" s="66" t="s">
        <v>207</v>
      </c>
      <c r="D232" s="67">
        <v>4</v>
      </c>
      <c r="E232" s="68">
        <v>1.116382919341E-3</v>
      </c>
    </row>
    <row r="233" spans="2:5" ht="14.5" customHeight="1">
      <c r="B233" s="90"/>
      <c r="C233" s="66" t="s">
        <v>208</v>
      </c>
      <c r="D233" s="67">
        <v>1</v>
      </c>
      <c r="E233" s="68">
        <v>2.7909572983499998E-4</v>
      </c>
    </row>
    <row r="234" spans="2:5" ht="14.5" customHeight="1">
      <c r="B234" s="90"/>
      <c r="C234" s="66" t="s">
        <v>209</v>
      </c>
      <c r="D234" s="67">
        <v>1</v>
      </c>
      <c r="E234" s="68">
        <v>2.7909572983499998E-4</v>
      </c>
    </row>
    <row r="235" spans="2:5" ht="14.5" customHeight="1">
      <c r="B235" s="90"/>
      <c r="C235" s="66" t="s">
        <v>210</v>
      </c>
      <c r="D235" s="67">
        <v>16</v>
      </c>
      <c r="E235" s="68">
        <v>4.465531677365E-3</v>
      </c>
    </row>
    <row r="236" spans="2:5" ht="14.5" customHeight="1">
      <c r="B236" s="90"/>
      <c r="C236" s="66" t="s">
        <v>211</v>
      </c>
      <c r="D236" s="67">
        <v>31</v>
      </c>
      <c r="E236" s="68">
        <v>8.6519676248950003E-3</v>
      </c>
    </row>
    <row r="237" spans="2:5" ht="14.5" customHeight="1">
      <c r="B237" s="90"/>
      <c r="C237" s="66" t="s">
        <v>212</v>
      </c>
      <c r="D237" s="67">
        <v>4</v>
      </c>
      <c r="E237" s="68">
        <v>1.116382919341E-3</v>
      </c>
    </row>
    <row r="238" spans="2:5" ht="14.5" customHeight="1">
      <c r="B238" s="91"/>
      <c r="C238" s="36" t="s">
        <v>28</v>
      </c>
      <c r="D238" s="35">
        <v>906</v>
      </c>
      <c r="E238" s="34">
        <v>0.25286073123081199</v>
      </c>
    </row>
    <row r="239" spans="2:5" ht="14.5" customHeight="1">
      <c r="B239" s="89" t="s">
        <v>81</v>
      </c>
      <c r="C239" s="66" t="s">
        <v>197</v>
      </c>
      <c r="D239" s="67">
        <v>3</v>
      </c>
      <c r="E239" s="68">
        <v>8.3728718950600001E-4</v>
      </c>
    </row>
    <row r="240" spans="2:5" ht="14.5" customHeight="1">
      <c r="B240" s="90"/>
      <c r="C240" s="66" t="s">
        <v>201</v>
      </c>
      <c r="D240" s="67">
        <v>2</v>
      </c>
      <c r="E240" s="68">
        <v>5.5819145967100003E-4</v>
      </c>
    </row>
    <row r="241" spans="2:5" ht="14.5" customHeight="1">
      <c r="B241" s="90"/>
      <c r="C241" s="66" t="s">
        <v>204</v>
      </c>
      <c r="D241" s="67">
        <v>2</v>
      </c>
      <c r="E241" s="68">
        <v>5.5819145967100003E-4</v>
      </c>
    </row>
    <row r="242" spans="2:5" ht="14.5" customHeight="1">
      <c r="B242" s="90"/>
      <c r="C242" s="66" t="s">
        <v>205</v>
      </c>
      <c r="D242" s="67">
        <v>2</v>
      </c>
      <c r="E242" s="68">
        <v>5.5819145967100003E-4</v>
      </c>
    </row>
    <row r="243" spans="2:5" ht="14.5" customHeight="1">
      <c r="B243" s="90"/>
      <c r="C243" s="66" t="s">
        <v>206</v>
      </c>
      <c r="D243" s="67">
        <v>1</v>
      </c>
      <c r="E243" s="68">
        <v>2.7909572983499998E-4</v>
      </c>
    </row>
    <row r="244" spans="2:5" ht="14.5" customHeight="1">
      <c r="B244" s="90"/>
      <c r="C244" s="66" t="s">
        <v>211</v>
      </c>
      <c r="D244" s="67">
        <v>2</v>
      </c>
      <c r="E244" s="68">
        <v>5.5819145967100003E-4</v>
      </c>
    </row>
    <row r="245" spans="2:5" ht="14.5" customHeight="1">
      <c r="B245" s="91"/>
      <c r="C245" s="36" t="s">
        <v>28</v>
      </c>
      <c r="D245" s="35">
        <v>12</v>
      </c>
      <c r="E245" s="34">
        <v>3.349148758024E-3</v>
      </c>
    </row>
    <row r="246" spans="2:5" ht="14.5" customHeight="1">
      <c r="B246" s="89" t="s">
        <v>74</v>
      </c>
      <c r="C246" s="66" t="s">
        <v>191</v>
      </c>
      <c r="D246" s="67">
        <v>2</v>
      </c>
      <c r="E246" s="68">
        <v>5.5819145967100003E-4</v>
      </c>
    </row>
    <row r="247" spans="2:5" ht="14.5" customHeight="1">
      <c r="B247" s="90"/>
      <c r="C247" s="66" t="s">
        <v>194</v>
      </c>
      <c r="D247" s="67">
        <v>1</v>
      </c>
      <c r="E247" s="68">
        <v>2.7909572983499998E-4</v>
      </c>
    </row>
    <row r="248" spans="2:5" ht="14.5" customHeight="1">
      <c r="B248" s="90"/>
      <c r="C248" s="66" t="s">
        <v>197</v>
      </c>
      <c r="D248" s="67">
        <v>1</v>
      </c>
      <c r="E248" s="68">
        <v>2.7909572983499998E-4</v>
      </c>
    </row>
    <row r="249" spans="2:5" ht="14.5" customHeight="1">
      <c r="B249" s="90"/>
      <c r="C249" s="66" t="s">
        <v>198</v>
      </c>
      <c r="D249" s="67">
        <v>3</v>
      </c>
      <c r="E249" s="68">
        <v>8.3728718950600001E-4</v>
      </c>
    </row>
    <row r="250" spans="2:5" ht="14.5" customHeight="1">
      <c r="B250" s="90"/>
      <c r="C250" s="66" t="s">
        <v>200</v>
      </c>
      <c r="D250" s="67">
        <v>1</v>
      </c>
      <c r="E250" s="68">
        <v>2.7909572983499998E-4</v>
      </c>
    </row>
    <row r="251" spans="2:5" ht="14.5" customHeight="1">
      <c r="B251" s="90"/>
      <c r="C251" s="66" t="s">
        <v>202</v>
      </c>
      <c r="D251" s="67">
        <v>9</v>
      </c>
      <c r="E251" s="68">
        <v>2.5118615685179998E-3</v>
      </c>
    </row>
    <row r="252" spans="2:5" ht="14.5" customHeight="1">
      <c r="B252" s="90"/>
      <c r="C252" s="66" t="s">
        <v>203</v>
      </c>
      <c r="D252" s="67">
        <v>1</v>
      </c>
      <c r="E252" s="68">
        <v>2.7909572983499998E-4</v>
      </c>
    </row>
    <row r="253" spans="2:5" ht="14.5" customHeight="1">
      <c r="B253" s="90"/>
      <c r="C253" s="66" t="s">
        <v>204</v>
      </c>
      <c r="D253" s="67">
        <v>1</v>
      </c>
      <c r="E253" s="68">
        <v>2.7909572983499998E-4</v>
      </c>
    </row>
    <row r="254" spans="2:5" ht="14.5" customHeight="1">
      <c r="B254" s="90"/>
      <c r="C254" s="66" t="s">
        <v>205</v>
      </c>
      <c r="D254" s="67">
        <v>3</v>
      </c>
      <c r="E254" s="68">
        <v>8.3728718950600001E-4</v>
      </c>
    </row>
    <row r="255" spans="2:5" ht="14.5" customHeight="1">
      <c r="B255" s="91"/>
      <c r="C255" s="36" t="s">
        <v>28</v>
      </c>
      <c r="D255" s="35">
        <v>22</v>
      </c>
      <c r="E255" s="34">
        <v>6.1401060563769996E-3</v>
      </c>
    </row>
    <row r="256" spans="2:5" ht="14.5" customHeight="1">
      <c r="B256" s="89" t="s">
        <v>86</v>
      </c>
      <c r="C256" s="66" t="s">
        <v>200</v>
      </c>
      <c r="D256" s="67">
        <v>1</v>
      </c>
      <c r="E256" s="68">
        <v>2.7909572983499998E-4</v>
      </c>
    </row>
    <row r="257" spans="2:5" ht="14.5" customHeight="1">
      <c r="B257" s="90"/>
      <c r="C257" s="66" t="s">
        <v>201</v>
      </c>
      <c r="D257" s="67">
        <v>1</v>
      </c>
      <c r="E257" s="68">
        <v>2.7909572983499998E-4</v>
      </c>
    </row>
    <row r="258" spans="2:5" ht="14.5" customHeight="1">
      <c r="B258" s="90"/>
      <c r="C258" s="66" t="s">
        <v>202</v>
      </c>
      <c r="D258" s="67">
        <v>3</v>
      </c>
      <c r="E258" s="68">
        <v>8.3728718950600001E-4</v>
      </c>
    </row>
    <row r="259" spans="2:5" ht="14.5" customHeight="1">
      <c r="B259" s="90"/>
      <c r="C259" s="66" t="s">
        <v>205</v>
      </c>
      <c r="D259" s="67">
        <v>1</v>
      </c>
      <c r="E259" s="68">
        <v>2.7909572983499998E-4</v>
      </c>
    </row>
    <row r="260" spans="2:5" ht="14.5" customHeight="1">
      <c r="B260" s="90"/>
      <c r="C260" s="66" t="s">
        <v>210</v>
      </c>
      <c r="D260" s="67">
        <v>1</v>
      </c>
      <c r="E260" s="68">
        <v>2.7909572983499998E-4</v>
      </c>
    </row>
    <row r="261" spans="2:5" ht="14.5" customHeight="1">
      <c r="B261" s="90"/>
      <c r="C261" s="66" t="s">
        <v>211</v>
      </c>
      <c r="D261" s="67">
        <v>1</v>
      </c>
      <c r="E261" s="68">
        <v>2.7909572983499998E-4</v>
      </c>
    </row>
    <row r="262" spans="2:5" ht="14.5" customHeight="1">
      <c r="B262" s="91"/>
      <c r="C262" s="36" t="s">
        <v>28</v>
      </c>
      <c r="D262" s="35">
        <v>8</v>
      </c>
      <c r="E262" s="34">
        <v>2.2327658386830001E-3</v>
      </c>
    </row>
    <row r="263" spans="2:5" ht="14.5" customHeight="1">
      <c r="B263" s="89" t="s">
        <v>96</v>
      </c>
      <c r="C263" s="66" t="s">
        <v>205</v>
      </c>
      <c r="D263" s="67">
        <v>1</v>
      </c>
      <c r="E263" s="68">
        <v>2.7909572983499998E-4</v>
      </c>
    </row>
    <row r="264" spans="2:5" ht="14.5" customHeight="1">
      <c r="B264" s="91"/>
      <c r="C264" s="36" t="s">
        <v>28</v>
      </c>
      <c r="D264" s="35">
        <v>1</v>
      </c>
      <c r="E264" s="34">
        <v>2.7909572983499998E-4</v>
      </c>
    </row>
    <row r="265" spans="2:5" ht="14.5" customHeight="1">
      <c r="B265" s="89" t="s">
        <v>91</v>
      </c>
      <c r="C265" s="66" t="s">
        <v>194</v>
      </c>
      <c r="D265" s="67">
        <v>1</v>
      </c>
      <c r="E265" s="68">
        <v>2.7909572983499998E-4</v>
      </c>
    </row>
    <row r="266" spans="2:5" ht="14.5" customHeight="1">
      <c r="B266" s="90"/>
      <c r="C266" s="66" t="s">
        <v>198</v>
      </c>
      <c r="D266" s="67">
        <v>1</v>
      </c>
      <c r="E266" s="68">
        <v>2.7909572983499998E-4</v>
      </c>
    </row>
    <row r="267" spans="2:5" ht="14.5" customHeight="1">
      <c r="B267" s="90"/>
      <c r="C267" s="66" t="s">
        <v>201</v>
      </c>
      <c r="D267" s="67">
        <v>1</v>
      </c>
      <c r="E267" s="68">
        <v>2.7909572983499998E-4</v>
      </c>
    </row>
    <row r="268" spans="2:5" ht="14.5" customHeight="1">
      <c r="B268" s="90"/>
      <c r="C268" s="66" t="s">
        <v>204</v>
      </c>
      <c r="D268" s="67">
        <v>1</v>
      </c>
      <c r="E268" s="68">
        <v>2.7909572983499998E-4</v>
      </c>
    </row>
    <row r="269" spans="2:5" ht="14.5" customHeight="1">
      <c r="B269" s="91"/>
      <c r="C269" s="36" t="s">
        <v>28</v>
      </c>
      <c r="D269" s="35">
        <v>4</v>
      </c>
      <c r="E269" s="34">
        <v>1.116382919341E-3</v>
      </c>
    </row>
    <row r="270" spans="2:5" ht="14.5" customHeight="1">
      <c r="B270" s="89" t="s">
        <v>90</v>
      </c>
      <c r="C270" s="66" t="s">
        <v>198</v>
      </c>
      <c r="D270" s="67">
        <v>2</v>
      </c>
      <c r="E270" s="68">
        <v>5.5819145967100003E-4</v>
      </c>
    </row>
    <row r="271" spans="2:5" ht="14.5" customHeight="1">
      <c r="B271" s="90"/>
      <c r="C271" s="66" t="s">
        <v>204</v>
      </c>
      <c r="D271" s="67">
        <v>1</v>
      </c>
      <c r="E271" s="68">
        <v>2.7909572983499998E-4</v>
      </c>
    </row>
    <row r="272" spans="2:5" ht="14.5" customHeight="1">
      <c r="B272" s="90"/>
      <c r="C272" s="66" t="s">
        <v>205</v>
      </c>
      <c r="D272" s="67">
        <v>1</v>
      </c>
      <c r="E272" s="68">
        <v>2.7909572983499998E-4</v>
      </c>
    </row>
    <row r="273" spans="2:5" ht="14.5" customHeight="1">
      <c r="B273" s="90"/>
      <c r="C273" s="66" t="s">
        <v>212</v>
      </c>
      <c r="D273" s="67">
        <v>1</v>
      </c>
      <c r="E273" s="68">
        <v>2.7909572983499998E-4</v>
      </c>
    </row>
    <row r="274" spans="2:5" ht="14.5" customHeight="1">
      <c r="B274" s="91"/>
      <c r="C274" s="36" t="s">
        <v>28</v>
      </c>
      <c r="D274" s="35">
        <v>5</v>
      </c>
      <c r="E274" s="34">
        <v>1.395478649177E-3</v>
      </c>
    </row>
    <row r="275" spans="2:5" ht="14.5" customHeight="1">
      <c r="B275" s="89" t="s">
        <v>76</v>
      </c>
      <c r="C275" s="66" t="s">
        <v>197</v>
      </c>
      <c r="D275" s="67">
        <v>2</v>
      </c>
      <c r="E275" s="68">
        <v>5.5819145967100003E-4</v>
      </c>
    </row>
    <row r="276" spans="2:5" ht="14.5" customHeight="1">
      <c r="B276" s="90"/>
      <c r="C276" s="66" t="s">
        <v>198</v>
      </c>
      <c r="D276" s="67">
        <v>4</v>
      </c>
      <c r="E276" s="68">
        <v>1.116382919341E-3</v>
      </c>
    </row>
    <row r="277" spans="2:5" ht="14.5" customHeight="1">
      <c r="B277" s="90"/>
      <c r="C277" s="66" t="s">
        <v>199</v>
      </c>
      <c r="D277" s="67">
        <v>1</v>
      </c>
      <c r="E277" s="68">
        <v>2.7909572983499998E-4</v>
      </c>
    </row>
    <row r="278" spans="2:5" ht="14.5" customHeight="1">
      <c r="B278" s="90"/>
      <c r="C278" s="66" t="s">
        <v>200</v>
      </c>
      <c r="D278" s="67">
        <v>1</v>
      </c>
      <c r="E278" s="68">
        <v>2.7909572983499998E-4</v>
      </c>
    </row>
    <row r="279" spans="2:5" ht="14.5" customHeight="1">
      <c r="B279" s="90"/>
      <c r="C279" s="66" t="s">
        <v>201</v>
      </c>
      <c r="D279" s="67">
        <v>1</v>
      </c>
      <c r="E279" s="68">
        <v>2.7909572983499998E-4</v>
      </c>
    </row>
    <row r="280" spans="2:5" ht="14.5" customHeight="1">
      <c r="B280" s="90"/>
      <c r="C280" s="66" t="s">
        <v>202</v>
      </c>
      <c r="D280" s="67">
        <v>8</v>
      </c>
      <c r="E280" s="68">
        <v>2.2327658386830001E-3</v>
      </c>
    </row>
    <row r="281" spans="2:5" ht="14.5" customHeight="1">
      <c r="B281" s="90"/>
      <c r="C281" s="66" t="s">
        <v>204</v>
      </c>
      <c r="D281" s="67">
        <v>1</v>
      </c>
      <c r="E281" s="68">
        <v>2.7909572983499998E-4</v>
      </c>
    </row>
    <row r="282" spans="2:5" ht="14.5" customHeight="1">
      <c r="B282" s="90"/>
      <c r="C282" s="66" t="s">
        <v>205</v>
      </c>
      <c r="D282" s="67">
        <v>2</v>
      </c>
      <c r="E282" s="68">
        <v>5.5819145967100003E-4</v>
      </c>
    </row>
    <row r="283" spans="2:5" ht="14.5" customHeight="1">
      <c r="B283" s="90"/>
      <c r="C283" s="66" t="s">
        <v>211</v>
      </c>
      <c r="D283" s="67">
        <v>1</v>
      </c>
      <c r="E283" s="68">
        <v>2.7909572983499998E-4</v>
      </c>
    </row>
    <row r="284" spans="2:5" ht="14.5" customHeight="1">
      <c r="B284" s="91"/>
      <c r="C284" s="36" t="s">
        <v>28</v>
      </c>
      <c r="D284" s="35">
        <v>21</v>
      </c>
      <c r="E284" s="34">
        <v>5.8610103265419999E-3</v>
      </c>
    </row>
    <row r="285" spans="2:5" ht="14.5" customHeight="1">
      <c r="B285" s="89" t="s">
        <v>79</v>
      </c>
      <c r="C285" s="66" t="s">
        <v>197</v>
      </c>
      <c r="D285" s="67">
        <v>2</v>
      </c>
      <c r="E285" s="68">
        <v>5.5819145967100003E-4</v>
      </c>
    </row>
    <row r="286" spans="2:5" ht="14.5" customHeight="1">
      <c r="B286" s="90"/>
      <c r="C286" s="66" t="s">
        <v>198</v>
      </c>
      <c r="D286" s="67">
        <v>1</v>
      </c>
      <c r="E286" s="68">
        <v>2.7909572983499998E-4</v>
      </c>
    </row>
    <row r="287" spans="2:5" ht="14.5" customHeight="1">
      <c r="B287" s="90"/>
      <c r="C287" s="66" t="s">
        <v>200</v>
      </c>
      <c r="D287" s="67">
        <v>1</v>
      </c>
      <c r="E287" s="68">
        <v>2.7909572983499998E-4</v>
      </c>
    </row>
    <row r="288" spans="2:5" ht="14.5" customHeight="1">
      <c r="B288" s="90"/>
      <c r="C288" s="66" t="s">
        <v>201</v>
      </c>
      <c r="D288" s="67">
        <v>2</v>
      </c>
      <c r="E288" s="68">
        <v>5.5819145967100003E-4</v>
      </c>
    </row>
    <row r="289" spans="2:5" ht="14.5" customHeight="1">
      <c r="B289" s="90"/>
      <c r="C289" s="66" t="s">
        <v>202</v>
      </c>
      <c r="D289" s="67">
        <v>5</v>
      </c>
      <c r="E289" s="68">
        <v>1.395478649177E-3</v>
      </c>
    </row>
    <row r="290" spans="2:5" ht="14.5" customHeight="1">
      <c r="B290" s="90"/>
      <c r="C290" s="66" t="s">
        <v>204</v>
      </c>
      <c r="D290" s="67">
        <v>1</v>
      </c>
      <c r="E290" s="68">
        <v>2.7909572983499998E-4</v>
      </c>
    </row>
    <row r="291" spans="2:5" ht="14.5" customHeight="1">
      <c r="B291" s="90"/>
      <c r="C291" s="66" t="s">
        <v>205</v>
      </c>
      <c r="D291" s="67">
        <v>2</v>
      </c>
      <c r="E291" s="68">
        <v>5.5819145967100003E-4</v>
      </c>
    </row>
    <row r="292" spans="2:5" ht="14.5" customHeight="1">
      <c r="B292" s="90"/>
      <c r="C292" s="66" t="s">
        <v>211</v>
      </c>
      <c r="D292" s="67">
        <v>1</v>
      </c>
      <c r="E292" s="68">
        <v>2.7909572983499998E-4</v>
      </c>
    </row>
    <row r="293" spans="2:5" ht="14.5" customHeight="1">
      <c r="B293" s="90"/>
      <c r="C293" s="66" t="s">
        <v>212</v>
      </c>
      <c r="D293" s="67">
        <v>1</v>
      </c>
      <c r="E293" s="68">
        <v>2.7909572983499998E-4</v>
      </c>
    </row>
    <row r="294" spans="2:5" ht="14.5" customHeight="1">
      <c r="B294" s="91"/>
      <c r="C294" s="36" t="s">
        <v>28</v>
      </c>
      <c r="D294" s="35">
        <v>16</v>
      </c>
      <c r="E294" s="34">
        <v>4.465531677365E-3</v>
      </c>
    </row>
    <row r="295" spans="2:5" ht="14.5" customHeight="1">
      <c r="B295" s="89" t="s">
        <v>75</v>
      </c>
      <c r="C295" s="66" t="s">
        <v>193</v>
      </c>
      <c r="D295" s="67">
        <v>1</v>
      </c>
      <c r="E295" s="68">
        <v>2.7909572983499998E-4</v>
      </c>
    </row>
    <row r="296" spans="2:5" ht="14.5" customHeight="1">
      <c r="B296" s="90"/>
      <c r="C296" s="66" t="s">
        <v>197</v>
      </c>
      <c r="D296" s="67">
        <v>1</v>
      </c>
      <c r="E296" s="68">
        <v>2.7909572983499998E-4</v>
      </c>
    </row>
    <row r="297" spans="2:5" ht="14.5" customHeight="1">
      <c r="B297" s="90"/>
      <c r="C297" s="66" t="s">
        <v>198</v>
      </c>
      <c r="D297" s="67">
        <v>5</v>
      </c>
      <c r="E297" s="68">
        <v>1.395478649177E-3</v>
      </c>
    </row>
    <row r="298" spans="2:5" ht="14.5" customHeight="1">
      <c r="B298" s="90"/>
      <c r="C298" s="66" t="s">
        <v>199</v>
      </c>
      <c r="D298" s="67">
        <v>1</v>
      </c>
      <c r="E298" s="68">
        <v>2.7909572983499998E-4</v>
      </c>
    </row>
    <row r="299" spans="2:5" ht="14.5" customHeight="1">
      <c r="B299" s="90"/>
      <c r="C299" s="66" t="s">
        <v>200</v>
      </c>
      <c r="D299" s="67">
        <v>1</v>
      </c>
      <c r="E299" s="68">
        <v>2.7909572983499998E-4</v>
      </c>
    </row>
    <row r="300" spans="2:5" ht="14.5" customHeight="1">
      <c r="B300" s="90"/>
      <c r="C300" s="66" t="s">
        <v>202</v>
      </c>
      <c r="D300" s="67">
        <v>7</v>
      </c>
      <c r="E300" s="68">
        <v>1.9536701088469998E-3</v>
      </c>
    </row>
    <row r="301" spans="2:5" ht="14.5" customHeight="1">
      <c r="B301" s="90"/>
      <c r="C301" s="66" t="s">
        <v>204</v>
      </c>
      <c r="D301" s="67">
        <v>2</v>
      </c>
      <c r="E301" s="68">
        <v>5.5819145967100003E-4</v>
      </c>
    </row>
    <row r="302" spans="2:5" ht="14.5" customHeight="1">
      <c r="B302" s="90"/>
      <c r="C302" s="66" t="s">
        <v>205</v>
      </c>
      <c r="D302" s="67">
        <v>2</v>
      </c>
      <c r="E302" s="68">
        <v>5.5819145967100003E-4</v>
      </c>
    </row>
    <row r="303" spans="2:5" ht="14.5" customHeight="1">
      <c r="B303" s="90"/>
      <c r="C303" s="66" t="s">
        <v>206</v>
      </c>
      <c r="D303" s="67">
        <v>1</v>
      </c>
      <c r="E303" s="68">
        <v>2.7909572983499998E-4</v>
      </c>
    </row>
    <row r="304" spans="2:5" ht="14.5" customHeight="1">
      <c r="B304" s="90"/>
      <c r="C304" s="66" t="s">
        <v>211</v>
      </c>
      <c r="D304" s="67">
        <v>1</v>
      </c>
      <c r="E304" s="68">
        <v>2.7909572983499998E-4</v>
      </c>
    </row>
    <row r="305" spans="2:5" ht="14.5" customHeight="1">
      <c r="B305" s="91"/>
      <c r="C305" s="36" t="s">
        <v>28</v>
      </c>
      <c r="D305" s="35">
        <v>22</v>
      </c>
      <c r="E305" s="34">
        <v>6.1401060563769996E-3</v>
      </c>
    </row>
    <row r="306" spans="2:5" ht="14.5" customHeight="1">
      <c r="B306" s="89" t="s">
        <v>64</v>
      </c>
      <c r="C306" s="66" t="s">
        <v>191</v>
      </c>
      <c r="D306" s="67">
        <v>1</v>
      </c>
      <c r="E306" s="68">
        <v>2.7909572983499998E-4</v>
      </c>
    </row>
    <row r="307" spans="2:5" ht="14.5" customHeight="1">
      <c r="B307" s="90"/>
      <c r="C307" s="66" t="s">
        <v>194</v>
      </c>
      <c r="D307" s="67">
        <v>1</v>
      </c>
      <c r="E307" s="68">
        <v>2.7909572983499998E-4</v>
      </c>
    </row>
    <row r="308" spans="2:5" ht="14.5" customHeight="1">
      <c r="B308" s="90"/>
      <c r="C308" s="66" t="s">
        <v>196</v>
      </c>
      <c r="D308" s="67">
        <v>1</v>
      </c>
      <c r="E308" s="68">
        <v>2.7909572983499998E-4</v>
      </c>
    </row>
    <row r="309" spans="2:5" ht="14.5" customHeight="1">
      <c r="B309" s="90"/>
      <c r="C309" s="66" t="s">
        <v>197</v>
      </c>
      <c r="D309" s="67">
        <v>4</v>
      </c>
      <c r="E309" s="68">
        <v>1.116382919341E-3</v>
      </c>
    </row>
    <row r="310" spans="2:5" ht="14.5" customHeight="1">
      <c r="B310" s="90"/>
      <c r="C310" s="66" t="s">
        <v>198</v>
      </c>
      <c r="D310" s="67">
        <v>9</v>
      </c>
      <c r="E310" s="68">
        <v>2.5118615685179998E-3</v>
      </c>
    </row>
    <row r="311" spans="2:5" ht="14.5" customHeight="1">
      <c r="B311" s="90"/>
      <c r="C311" s="66" t="s">
        <v>199</v>
      </c>
      <c r="D311" s="67">
        <v>1</v>
      </c>
      <c r="E311" s="68">
        <v>2.7909572983499998E-4</v>
      </c>
    </row>
    <row r="312" spans="2:5" ht="14.5" customHeight="1">
      <c r="B312" s="90"/>
      <c r="C312" s="66" t="s">
        <v>201</v>
      </c>
      <c r="D312" s="67">
        <v>3</v>
      </c>
      <c r="E312" s="68">
        <v>8.3728718950600001E-4</v>
      </c>
    </row>
    <row r="313" spans="2:5" ht="14.5" customHeight="1">
      <c r="B313" s="90"/>
      <c r="C313" s="66" t="s">
        <v>202</v>
      </c>
      <c r="D313" s="67">
        <v>10</v>
      </c>
      <c r="E313" s="68">
        <v>2.790957298353E-3</v>
      </c>
    </row>
    <row r="314" spans="2:5" ht="14.5" customHeight="1">
      <c r="B314" s="90"/>
      <c r="C314" s="66" t="s">
        <v>203</v>
      </c>
      <c r="D314" s="67">
        <v>2</v>
      </c>
      <c r="E314" s="68">
        <v>5.5819145967100003E-4</v>
      </c>
    </row>
    <row r="315" spans="2:5" ht="14.5" customHeight="1">
      <c r="B315" s="90"/>
      <c r="C315" s="66" t="s">
        <v>205</v>
      </c>
      <c r="D315" s="67">
        <v>12</v>
      </c>
      <c r="E315" s="68">
        <v>3.349148758024E-3</v>
      </c>
    </row>
    <row r="316" spans="2:5" ht="14.5" customHeight="1">
      <c r="B316" s="90"/>
      <c r="C316" s="66" t="s">
        <v>210</v>
      </c>
      <c r="D316" s="67">
        <v>3</v>
      </c>
      <c r="E316" s="68">
        <v>8.3728718950600001E-4</v>
      </c>
    </row>
    <row r="317" spans="2:5" ht="14.5" customHeight="1">
      <c r="B317" s="91"/>
      <c r="C317" s="36" t="s">
        <v>28</v>
      </c>
      <c r="D317" s="35">
        <v>47</v>
      </c>
      <c r="E317" s="34">
        <v>1.3117499302261E-2</v>
      </c>
    </row>
    <row r="318" spans="2:5" ht="14.5" customHeight="1">
      <c r="B318" s="89" t="s">
        <v>61</v>
      </c>
      <c r="C318" s="66" t="s">
        <v>192</v>
      </c>
      <c r="D318" s="67">
        <v>1</v>
      </c>
      <c r="E318" s="68">
        <v>2.7909572983499998E-4</v>
      </c>
    </row>
    <row r="319" spans="2:5" ht="14.5" customHeight="1">
      <c r="B319" s="90"/>
      <c r="C319" s="66" t="s">
        <v>194</v>
      </c>
      <c r="D319" s="67">
        <v>2</v>
      </c>
      <c r="E319" s="68">
        <v>5.5819145967100003E-4</v>
      </c>
    </row>
    <row r="320" spans="2:5" ht="14.5" customHeight="1">
      <c r="B320" s="90"/>
      <c r="C320" s="66" t="s">
        <v>195</v>
      </c>
      <c r="D320" s="67">
        <v>1</v>
      </c>
      <c r="E320" s="68">
        <v>2.7909572983499998E-4</v>
      </c>
    </row>
    <row r="321" spans="2:5" ht="14.5" customHeight="1">
      <c r="B321" s="90"/>
      <c r="C321" s="66" t="s">
        <v>196</v>
      </c>
      <c r="D321" s="67">
        <v>1</v>
      </c>
      <c r="E321" s="68">
        <v>2.7909572983499998E-4</v>
      </c>
    </row>
    <row r="322" spans="2:5" ht="14.5" customHeight="1">
      <c r="B322" s="90"/>
      <c r="C322" s="66" t="s">
        <v>197</v>
      </c>
      <c r="D322" s="67">
        <v>8</v>
      </c>
      <c r="E322" s="68">
        <v>2.2327658386830001E-3</v>
      </c>
    </row>
    <row r="323" spans="2:5" ht="14.5" customHeight="1">
      <c r="B323" s="90"/>
      <c r="C323" s="66" t="s">
        <v>198</v>
      </c>
      <c r="D323" s="67">
        <v>9</v>
      </c>
      <c r="E323" s="68">
        <v>2.5118615685179998E-3</v>
      </c>
    </row>
    <row r="324" spans="2:5" ht="14.5" customHeight="1">
      <c r="B324" s="90"/>
      <c r="C324" s="66" t="s">
        <v>199</v>
      </c>
      <c r="D324" s="67">
        <v>3</v>
      </c>
      <c r="E324" s="68">
        <v>8.3728718950600001E-4</v>
      </c>
    </row>
    <row r="325" spans="2:5" ht="14.5" customHeight="1">
      <c r="B325" s="90"/>
      <c r="C325" s="66" t="s">
        <v>200</v>
      </c>
      <c r="D325" s="67">
        <v>2</v>
      </c>
      <c r="E325" s="68">
        <v>5.5819145967100003E-4</v>
      </c>
    </row>
    <row r="326" spans="2:5" ht="14.5" customHeight="1">
      <c r="B326" s="90"/>
      <c r="C326" s="66" t="s">
        <v>201</v>
      </c>
      <c r="D326" s="67">
        <v>1</v>
      </c>
      <c r="E326" s="68">
        <v>2.7909572983499998E-4</v>
      </c>
    </row>
    <row r="327" spans="2:5" ht="14.5" customHeight="1">
      <c r="B327" s="90"/>
      <c r="C327" s="66" t="s">
        <v>202</v>
      </c>
      <c r="D327" s="67">
        <v>16</v>
      </c>
      <c r="E327" s="68">
        <v>4.465531677365E-3</v>
      </c>
    </row>
    <row r="328" spans="2:5" ht="14.5" customHeight="1">
      <c r="B328" s="90"/>
      <c r="C328" s="66" t="s">
        <v>203</v>
      </c>
      <c r="D328" s="67">
        <v>1</v>
      </c>
      <c r="E328" s="68">
        <v>2.7909572983499998E-4</v>
      </c>
    </row>
    <row r="329" spans="2:5" ht="14.5" customHeight="1">
      <c r="B329" s="90"/>
      <c r="C329" s="66" t="s">
        <v>204</v>
      </c>
      <c r="D329" s="67">
        <v>5</v>
      </c>
      <c r="E329" s="68">
        <v>1.395478649177E-3</v>
      </c>
    </row>
    <row r="330" spans="2:5" ht="14.5" customHeight="1">
      <c r="B330" s="90"/>
      <c r="C330" s="66" t="s">
        <v>205</v>
      </c>
      <c r="D330" s="67">
        <v>15</v>
      </c>
      <c r="E330" s="68">
        <v>4.1864359475300003E-3</v>
      </c>
    </row>
    <row r="331" spans="2:5" ht="14.5" customHeight="1">
      <c r="B331" s="90"/>
      <c r="C331" s="66" t="s">
        <v>206</v>
      </c>
      <c r="D331" s="67">
        <v>1</v>
      </c>
      <c r="E331" s="68">
        <v>2.7909572983499998E-4</v>
      </c>
    </row>
    <row r="332" spans="2:5" ht="14.5" customHeight="1">
      <c r="B332" s="90"/>
      <c r="C332" s="66" t="s">
        <v>210</v>
      </c>
      <c r="D332" s="67">
        <v>2</v>
      </c>
      <c r="E332" s="68">
        <v>5.5819145967100003E-4</v>
      </c>
    </row>
    <row r="333" spans="2:5" ht="14.5" customHeight="1">
      <c r="B333" s="90"/>
      <c r="C333" s="66" t="s">
        <v>211</v>
      </c>
      <c r="D333" s="67">
        <v>5</v>
      </c>
      <c r="E333" s="68">
        <v>1.395478649177E-3</v>
      </c>
    </row>
    <row r="334" spans="2:5" ht="14.5" customHeight="1">
      <c r="B334" s="90"/>
      <c r="C334" s="66" t="s">
        <v>212</v>
      </c>
      <c r="D334" s="67">
        <v>1</v>
      </c>
      <c r="E334" s="68">
        <v>2.7909572983499998E-4</v>
      </c>
    </row>
    <row r="335" spans="2:5" ht="14.5" customHeight="1">
      <c r="B335" s="91"/>
      <c r="C335" s="36" t="s">
        <v>28</v>
      </c>
      <c r="D335" s="35">
        <v>74</v>
      </c>
      <c r="E335" s="34">
        <v>2.0653084007815001E-2</v>
      </c>
    </row>
    <row r="336" spans="2:5" ht="14.5" customHeight="1">
      <c r="B336" s="89" t="s">
        <v>62</v>
      </c>
      <c r="C336" s="66" t="s">
        <v>192</v>
      </c>
      <c r="D336" s="67">
        <v>1</v>
      </c>
      <c r="E336" s="68">
        <v>2.7909572983499998E-4</v>
      </c>
    </row>
    <row r="337" spans="2:5" ht="14.5" customHeight="1">
      <c r="B337" s="90"/>
      <c r="C337" s="66" t="s">
        <v>194</v>
      </c>
      <c r="D337" s="67">
        <v>1</v>
      </c>
      <c r="E337" s="68">
        <v>2.7909572983499998E-4</v>
      </c>
    </row>
    <row r="338" spans="2:5" ht="14.5" customHeight="1">
      <c r="B338" s="90"/>
      <c r="C338" s="66" t="s">
        <v>196</v>
      </c>
      <c r="D338" s="67">
        <v>4</v>
      </c>
      <c r="E338" s="68">
        <v>1.116382919341E-3</v>
      </c>
    </row>
    <row r="339" spans="2:5" ht="14.5" customHeight="1">
      <c r="B339" s="90"/>
      <c r="C339" s="66" t="s">
        <v>197</v>
      </c>
      <c r="D339" s="67">
        <v>8</v>
      </c>
      <c r="E339" s="68">
        <v>2.2327658386830001E-3</v>
      </c>
    </row>
    <row r="340" spans="2:5" ht="14.5" customHeight="1">
      <c r="B340" s="90"/>
      <c r="C340" s="66" t="s">
        <v>198</v>
      </c>
      <c r="D340" s="67">
        <v>5</v>
      </c>
      <c r="E340" s="68">
        <v>1.395478649177E-3</v>
      </c>
    </row>
    <row r="341" spans="2:5" ht="14.5" customHeight="1">
      <c r="B341" s="90"/>
      <c r="C341" s="66" t="s">
        <v>200</v>
      </c>
      <c r="D341" s="67">
        <v>3</v>
      </c>
      <c r="E341" s="68">
        <v>8.3728718950600001E-4</v>
      </c>
    </row>
    <row r="342" spans="2:5" ht="14.5" customHeight="1">
      <c r="B342" s="90"/>
      <c r="C342" s="66" t="s">
        <v>201</v>
      </c>
      <c r="D342" s="67">
        <v>5</v>
      </c>
      <c r="E342" s="68">
        <v>1.395478649177E-3</v>
      </c>
    </row>
    <row r="343" spans="2:5" ht="14.5" customHeight="1">
      <c r="B343" s="90"/>
      <c r="C343" s="66" t="s">
        <v>202</v>
      </c>
      <c r="D343" s="67">
        <v>16</v>
      </c>
      <c r="E343" s="68">
        <v>4.465531677365E-3</v>
      </c>
    </row>
    <row r="344" spans="2:5" ht="14.5" customHeight="1">
      <c r="B344" s="90"/>
      <c r="C344" s="66" t="s">
        <v>204</v>
      </c>
      <c r="D344" s="67">
        <v>6</v>
      </c>
      <c r="E344" s="68">
        <v>1.674574379012E-3</v>
      </c>
    </row>
    <row r="345" spans="2:5" ht="14.5" customHeight="1">
      <c r="B345" s="90"/>
      <c r="C345" s="66" t="s">
        <v>205</v>
      </c>
      <c r="D345" s="67">
        <v>8</v>
      </c>
      <c r="E345" s="68">
        <v>2.2327658386830001E-3</v>
      </c>
    </row>
    <row r="346" spans="2:5" ht="14.5" customHeight="1">
      <c r="B346" s="90"/>
      <c r="C346" s="66" t="s">
        <v>210</v>
      </c>
      <c r="D346" s="67">
        <v>1</v>
      </c>
      <c r="E346" s="68">
        <v>2.7909572983499998E-4</v>
      </c>
    </row>
    <row r="347" spans="2:5" ht="14.5" customHeight="1">
      <c r="B347" s="91"/>
      <c r="C347" s="36" t="s">
        <v>28</v>
      </c>
      <c r="D347" s="35">
        <v>58</v>
      </c>
      <c r="E347" s="34">
        <v>1.6187552330448999E-2</v>
      </c>
    </row>
    <row r="348" spans="2:5" ht="14.5" customHeight="1">
      <c r="B348" s="89" t="s">
        <v>97</v>
      </c>
      <c r="C348" s="66" t="s">
        <v>203</v>
      </c>
      <c r="D348" s="67">
        <v>1</v>
      </c>
      <c r="E348" s="68">
        <v>2.7909572983499998E-4</v>
      </c>
    </row>
    <row r="349" spans="2:5" ht="14.5" customHeight="1">
      <c r="B349" s="91"/>
      <c r="C349" s="36" t="s">
        <v>28</v>
      </c>
      <c r="D349" s="35">
        <v>1</v>
      </c>
      <c r="E349" s="34">
        <v>2.7909572983499998E-4</v>
      </c>
    </row>
    <row r="350" spans="2:5" ht="14.5" customHeight="1">
      <c r="B350" s="89" t="s">
        <v>66</v>
      </c>
      <c r="C350" s="66" t="s">
        <v>194</v>
      </c>
      <c r="D350" s="67">
        <v>2</v>
      </c>
      <c r="E350" s="68">
        <v>5.5819145967100003E-4</v>
      </c>
    </row>
    <row r="351" spans="2:5" ht="14.5" customHeight="1">
      <c r="B351" s="90"/>
      <c r="C351" s="66" t="s">
        <v>197</v>
      </c>
      <c r="D351" s="67">
        <v>3</v>
      </c>
      <c r="E351" s="68">
        <v>8.3728718950600001E-4</v>
      </c>
    </row>
    <row r="352" spans="2:5" ht="14.5" customHeight="1">
      <c r="B352" s="90"/>
      <c r="C352" s="66" t="s">
        <v>198</v>
      </c>
      <c r="D352" s="67">
        <v>8</v>
      </c>
      <c r="E352" s="68">
        <v>2.2327658386830001E-3</v>
      </c>
    </row>
    <row r="353" spans="2:5" ht="14.5" customHeight="1">
      <c r="B353" s="90"/>
      <c r="C353" s="66" t="s">
        <v>200</v>
      </c>
      <c r="D353" s="67">
        <v>1</v>
      </c>
      <c r="E353" s="68">
        <v>2.7909572983499998E-4</v>
      </c>
    </row>
    <row r="354" spans="2:5" ht="14.5" customHeight="1">
      <c r="B354" s="90"/>
      <c r="C354" s="66" t="s">
        <v>201</v>
      </c>
      <c r="D354" s="67">
        <v>1</v>
      </c>
      <c r="E354" s="68">
        <v>2.7909572983499998E-4</v>
      </c>
    </row>
    <row r="355" spans="2:5" ht="14.5" customHeight="1">
      <c r="B355" s="90"/>
      <c r="C355" s="66" t="s">
        <v>202</v>
      </c>
      <c r="D355" s="67">
        <v>11</v>
      </c>
      <c r="E355" s="68">
        <v>3.0700530281889999E-3</v>
      </c>
    </row>
    <row r="356" spans="2:5" ht="14.5" customHeight="1">
      <c r="B356" s="90"/>
      <c r="C356" s="66" t="s">
        <v>204</v>
      </c>
      <c r="D356" s="67">
        <v>4</v>
      </c>
      <c r="E356" s="68">
        <v>1.116382919341E-3</v>
      </c>
    </row>
    <row r="357" spans="2:5" ht="14.5" customHeight="1">
      <c r="B357" s="90"/>
      <c r="C357" s="66" t="s">
        <v>205</v>
      </c>
      <c r="D357" s="67">
        <v>10</v>
      </c>
      <c r="E357" s="68">
        <v>2.790957298353E-3</v>
      </c>
    </row>
    <row r="358" spans="2:5" ht="14.5" customHeight="1">
      <c r="B358" s="90"/>
      <c r="C358" s="66" t="s">
        <v>207</v>
      </c>
      <c r="D358" s="67">
        <v>1</v>
      </c>
      <c r="E358" s="68">
        <v>2.7909572983499998E-4</v>
      </c>
    </row>
    <row r="359" spans="2:5" ht="14.5" customHeight="1">
      <c r="B359" s="90"/>
      <c r="C359" s="66" t="s">
        <v>211</v>
      </c>
      <c r="D359" s="67">
        <v>4</v>
      </c>
      <c r="E359" s="68">
        <v>1.116382919341E-3</v>
      </c>
    </row>
    <row r="360" spans="2:5" ht="14.5" customHeight="1">
      <c r="B360" s="91"/>
      <c r="C360" s="36" t="s">
        <v>28</v>
      </c>
      <c r="D360" s="35">
        <v>45</v>
      </c>
      <c r="E360" s="34">
        <v>1.255930784259E-2</v>
      </c>
    </row>
    <row r="361" spans="2:5" ht="14.5" customHeight="1">
      <c r="B361" s="89" t="s">
        <v>53</v>
      </c>
      <c r="C361" s="66" t="s">
        <v>193</v>
      </c>
      <c r="D361" s="67">
        <v>2</v>
      </c>
      <c r="E361" s="68">
        <v>5.5819145967100003E-4</v>
      </c>
    </row>
    <row r="362" spans="2:5" ht="14.5" customHeight="1">
      <c r="B362" s="90"/>
      <c r="C362" s="66" t="s">
        <v>194</v>
      </c>
      <c r="D362" s="67">
        <v>4</v>
      </c>
      <c r="E362" s="68">
        <v>1.116382919341E-3</v>
      </c>
    </row>
    <row r="363" spans="2:5" ht="14.5" customHeight="1">
      <c r="B363" s="90"/>
      <c r="C363" s="66" t="s">
        <v>195</v>
      </c>
      <c r="D363" s="67">
        <v>2</v>
      </c>
      <c r="E363" s="68">
        <v>5.5819145967100003E-4</v>
      </c>
    </row>
    <row r="364" spans="2:5" ht="14.5" customHeight="1">
      <c r="B364" s="90"/>
      <c r="C364" s="66" t="s">
        <v>197</v>
      </c>
      <c r="D364" s="67">
        <v>15</v>
      </c>
      <c r="E364" s="68">
        <v>4.1864359475300003E-3</v>
      </c>
    </row>
    <row r="365" spans="2:5" ht="14.5" customHeight="1">
      <c r="B365" s="90"/>
      <c r="C365" s="66" t="s">
        <v>198</v>
      </c>
      <c r="D365" s="67">
        <v>39</v>
      </c>
      <c r="E365" s="68">
        <v>1.0884733463578E-2</v>
      </c>
    </row>
    <row r="366" spans="2:5" ht="14.5" customHeight="1">
      <c r="B366" s="90"/>
      <c r="C366" s="66" t="s">
        <v>199</v>
      </c>
      <c r="D366" s="67">
        <v>1</v>
      </c>
      <c r="E366" s="68">
        <v>2.7909572983499998E-4</v>
      </c>
    </row>
    <row r="367" spans="2:5" ht="14.5" customHeight="1">
      <c r="B367" s="90"/>
      <c r="C367" s="66" t="s">
        <v>200</v>
      </c>
      <c r="D367" s="67">
        <v>3</v>
      </c>
      <c r="E367" s="68">
        <v>8.3728718950600001E-4</v>
      </c>
    </row>
    <row r="368" spans="2:5" ht="14.5" customHeight="1">
      <c r="B368" s="90"/>
      <c r="C368" s="66" t="s">
        <v>201</v>
      </c>
      <c r="D368" s="67">
        <v>11</v>
      </c>
      <c r="E368" s="68">
        <v>3.0700530281889999E-3</v>
      </c>
    </row>
    <row r="369" spans="2:5" ht="14.5" customHeight="1">
      <c r="B369" s="90"/>
      <c r="C369" s="66" t="s">
        <v>202</v>
      </c>
      <c r="D369" s="67">
        <v>64</v>
      </c>
      <c r="E369" s="68">
        <v>1.7862126709460999E-2</v>
      </c>
    </row>
    <row r="370" spans="2:5" ht="14.5" customHeight="1">
      <c r="B370" s="90"/>
      <c r="C370" s="66" t="s">
        <v>203</v>
      </c>
      <c r="D370" s="67">
        <v>5</v>
      </c>
      <c r="E370" s="68">
        <v>1.395478649177E-3</v>
      </c>
    </row>
    <row r="371" spans="2:5" ht="14.5" customHeight="1">
      <c r="B371" s="90"/>
      <c r="C371" s="66" t="s">
        <v>204</v>
      </c>
      <c r="D371" s="67">
        <v>9</v>
      </c>
      <c r="E371" s="68">
        <v>2.5118615685179998E-3</v>
      </c>
    </row>
    <row r="372" spans="2:5" ht="14.5" customHeight="1">
      <c r="B372" s="90"/>
      <c r="C372" s="66" t="s">
        <v>205</v>
      </c>
      <c r="D372" s="67">
        <v>35</v>
      </c>
      <c r="E372" s="68">
        <v>9.7683505442369995E-3</v>
      </c>
    </row>
    <row r="373" spans="2:5" ht="14.5" customHeight="1">
      <c r="B373" s="90"/>
      <c r="C373" s="66" t="s">
        <v>210</v>
      </c>
      <c r="D373" s="67">
        <v>1</v>
      </c>
      <c r="E373" s="68">
        <v>2.7909572983499998E-4</v>
      </c>
    </row>
    <row r="374" spans="2:5" ht="14.5" customHeight="1">
      <c r="B374" s="90"/>
      <c r="C374" s="66" t="s">
        <v>211</v>
      </c>
      <c r="D374" s="67">
        <v>9</v>
      </c>
      <c r="E374" s="68">
        <v>2.5118615685179998E-3</v>
      </c>
    </row>
    <row r="375" spans="2:5" ht="14.5" customHeight="1">
      <c r="B375" s="90"/>
      <c r="C375" s="66" t="s">
        <v>212</v>
      </c>
      <c r="D375" s="67">
        <v>1</v>
      </c>
      <c r="E375" s="68">
        <v>2.7909572983499998E-4</v>
      </c>
    </row>
    <row r="376" spans="2:5" ht="14.5" customHeight="1">
      <c r="B376" s="91"/>
      <c r="C376" s="36" t="s">
        <v>28</v>
      </c>
      <c r="D376" s="35">
        <v>201</v>
      </c>
      <c r="E376" s="34">
        <v>5.6098241696902001E-2</v>
      </c>
    </row>
    <row r="377" spans="2:5" ht="14.5" customHeight="1">
      <c r="B377" s="89" t="s">
        <v>82</v>
      </c>
      <c r="C377" s="66" t="s">
        <v>196</v>
      </c>
      <c r="D377" s="67">
        <v>2</v>
      </c>
      <c r="E377" s="68">
        <v>5.5819145967100003E-4</v>
      </c>
    </row>
    <row r="378" spans="2:5" ht="14.5" customHeight="1">
      <c r="B378" s="90"/>
      <c r="C378" s="66" t="s">
        <v>198</v>
      </c>
      <c r="D378" s="67">
        <v>1</v>
      </c>
      <c r="E378" s="68">
        <v>2.7909572983499998E-4</v>
      </c>
    </row>
    <row r="379" spans="2:5" ht="14.5" customHeight="1">
      <c r="B379" s="90"/>
      <c r="C379" s="66" t="s">
        <v>199</v>
      </c>
      <c r="D379" s="67">
        <v>1</v>
      </c>
      <c r="E379" s="68">
        <v>2.7909572983499998E-4</v>
      </c>
    </row>
    <row r="380" spans="2:5" ht="14.5" customHeight="1">
      <c r="B380" s="90"/>
      <c r="C380" s="66" t="s">
        <v>202</v>
      </c>
      <c r="D380" s="67">
        <v>2</v>
      </c>
      <c r="E380" s="68">
        <v>5.5819145967100003E-4</v>
      </c>
    </row>
    <row r="381" spans="2:5" ht="14.5" customHeight="1">
      <c r="B381" s="90"/>
      <c r="C381" s="66" t="s">
        <v>204</v>
      </c>
      <c r="D381" s="67">
        <v>2</v>
      </c>
      <c r="E381" s="68">
        <v>5.5819145967100003E-4</v>
      </c>
    </row>
    <row r="382" spans="2:5" ht="14.5" customHeight="1">
      <c r="B382" s="90"/>
      <c r="C382" s="66" t="s">
        <v>205</v>
      </c>
      <c r="D382" s="67">
        <v>3</v>
      </c>
      <c r="E382" s="68">
        <v>8.3728718950600001E-4</v>
      </c>
    </row>
    <row r="383" spans="2:5" ht="14.5" customHeight="1">
      <c r="B383" s="90"/>
      <c r="C383" s="66" t="s">
        <v>211</v>
      </c>
      <c r="D383" s="67">
        <v>1</v>
      </c>
      <c r="E383" s="68">
        <v>2.7909572983499998E-4</v>
      </c>
    </row>
    <row r="384" spans="2:5" ht="14.5" customHeight="1">
      <c r="B384" s="91"/>
      <c r="C384" s="36" t="s">
        <v>28</v>
      </c>
      <c r="D384" s="35">
        <v>12</v>
      </c>
      <c r="E384" s="34">
        <v>3.349148758024E-3</v>
      </c>
    </row>
    <row r="385" spans="2:5" ht="14.5" customHeight="1">
      <c r="B385" s="89" t="s">
        <v>72</v>
      </c>
      <c r="C385" s="66" t="s">
        <v>194</v>
      </c>
      <c r="D385" s="67">
        <v>1</v>
      </c>
      <c r="E385" s="68">
        <v>2.7909572983499998E-4</v>
      </c>
    </row>
    <row r="386" spans="2:5" ht="14.5" customHeight="1">
      <c r="B386" s="90"/>
      <c r="C386" s="66" t="s">
        <v>197</v>
      </c>
      <c r="D386" s="67">
        <v>2</v>
      </c>
      <c r="E386" s="68">
        <v>5.5819145967100003E-4</v>
      </c>
    </row>
    <row r="387" spans="2:5" ht="14.5" customHeight="1">
      <c r="B387" s="90"/>
      <c r="C387" s="66" t="s">
        <v>198</v>
      </c>
      <c r="D387" s="67">
        <v>1</v>
      </c>
      <c r="E387" s="68">
        <v>2.7909572983499998E-4</v>
      </c>
    </row>
    <row r="388" spans="2:5" ht="14.5" customHeight="1">
      <c r="B388" s="90"/>
      <c r="C388" s="66" t="s">
        <v>199</v>
      </c>
      <c r="D388" s="67">
        <v>1</v>
      </c>
      <c r="E388" s="68">
        <v>2.7909572983499998E-4</v>
      </c>
    </row>
    <row r="389" spans="2:5" ht="14.5" customHeight="1">
      <c r="B389" s="90"/>
      <c r="C389" s="66" t="s">
        <v>201</v>
      </c>
      <c r="D389" s="67">
        <v>2</v>
      </c>
      <c r="E389" s="68">
        <v>5.5819145967100003E-4</v>
      </c>
    </row>
    <row r="390" spans="2:5" ht="14.5" customHeight="1">
      <c r="B390" s="90"/>
      <c r="C390" s="66" t="s">
        <v>202</v>
      </c>
      <c r="D390" s="67">
        <v>11</v>
      </c>
      <c r="E390" s="68">
        <v>3.0700530281889999E-3</v>
      </c>
    </row>
    <row r="391" spans="2:5" ht="14.5" customHeight="1">
      <c r="B391" s="90"/>
      <c r="C391" s="66" t="s">
        <v>205</v>
      </c>
      <c r="D391" s="67">
        <v>11</v>
      </c>
      <c r="E391" s="68">
        <v>3.0700530281889999E-3</v>
      </c>
    </row>
    <row r="392" spans="2:5" ht="14.5" customHeight="1">
      <c r="B392" s="90"/>
      <c r="C392" s="66" t="s">
        <v>211</v>
      </c>
      <c r="D392" s="67">
        <v>1</v>
      </c>
      <c r="E392" s="68">
        <v>2.7909572983499998E-4</v>
      </c>
    </row>
    <row r="393" spans="2:5" ht="14.5" customHeight="1">
      <c r="B393" s="91"/>
      <c r="C393" s="36" t="s">
        <v>28</v>
      </c>
      <c r="D393" s="35">
        <v>30</v>
      </c>
      <c r="E393" s="34">
        <v>8.3728718950600006E-3</v>
      </c>
    </row>
    <row r="394" spans="2:5" ht="14.5" customHeight="1">
      <c r="B394" s="89" t="s">
        <v>77</v>
      </c>
      <c r="C394" s="66" t="s">
        <v>198</v>
      </c>
      <c r="D394" s="67">
        <v>1</v>
      </c>
      <c r="E394" s="68">
        <v>2.7909572983499998E-4</v>
      </c>
    </row>
    <row r="395" spans="2:5" ht="14.5" customHeight="1">
      <c r="B395" s="90"/>
      <c r="C395" s="66" t="s">
        <v>199</v>
      </c>
      <c r="D395" s="67">
        <v>1</v>
      </c>
      <c r="E395" s="68">
        <v>2.7909572983499998E-4</v>
      </c>
    </row>
    <row r="396" spans="2:5" ht="14.5" customHeight="1">
      <c r="B396" s="90"/>
      <c r="C396" s="66" t="s">
        <v>202</v>
      </c>
      <c r="D396" s="67">
        <v>5</v>
      </c>
      <c r="E396" s="68">
        <v>1.395478649177E-3</v>
      </c>
    </row>
    <row r="397" spans="2:5" ht="14.5" customHeight="1">
      <c r="B397" s="90"/>
      <c r="C397" s="66" t="s">
        <v>204</v>
      </c>
      <c r="D397" s="67">
        <v>2</v>
      </c>
      <c r="E397" s="68">
        <v>5.5819145967100003E-4</v>
      </c>
    </row>
    <row r="398" spans="2:5" ht="14.5" customHeight="1">
      <c r="B398" s="90"/>
      <c r="C398" s="66" t="s">
        <v>205</v>
      </c>
      <c r="D398" s="67">
        <v>5</v>
      </c>
      <c r="E398" s="68">
        <v>1.395478649177E-3</v>
      </c>
    </row>
    <row r="399" spans="2:5" ht="14.5" customHeight="1">
      <c r="B399" s="90"/>
      <c r="C399" s="66" t="s">
        <v>210</v>
      </c>
      <c r="D399" s="67">
        <v>1</v>
      </c>
      <c r="E399" s="68">
        <v>2.7909572983499998E-4</v>
      </c>
    </row>
    <row r="400" spans="2:5" ht="14.5" customHeight="1">
      <c r="B400" s="90"/>
      <c r="C400" s="66" t="s">
        <v>211</v>
      </c>
      <c r="D400" s="67">
        <v>2</v>
      </c>
      <c r="E400" s="68">
        <v>5.5819145967100003E-4</v>
      </c>
    </row>
    <row r="401" spans="2:5" ht="14.5" customHeight="1">
      <c r="B401" s="91"/>
      <c r="C401" s="36" t="s">
        <v>28</v>
      </c>
      <c r="D401" s="35">
        <v>17</v>
      </c>
      <c r="E401" s="34">
        <v>4.7446274072009999E-3</v>
      </c>
    </row>
    <row r="402" spans="2:5" ht="14.5" customHeight="1">
      <c r="B402" s="89" t="s">
        <v>52</v>
      </c>
      <c r="C402" s="66" t="s">
        <v>192</v>
      </c>
      <c r="D402" s="67">
        <v>1</v>
      </c>
      <c r="E402" s="68">
        <v>2.7909572983499998E-4</v>
      </c>
    </row>
    <row r="403" spans="2:5" ht="14.5" customHeight="1">
      <c r="B403" s="90"/>
      <c r="C403" s="66" t="s">
        <v>193</v>
      </c>
      <c r="D403" s="67">
        <v>4</v>
      </c>
      <c r="E403" s="68">
        <v>1.116382919341E-3</v>
      </c>
    </row>
    <row r="404" spans="2:5" ht="14.5" customHeight="1">
      <c r="B404" s="90"/>
      <c r="C404" s="66" t="s">
        <v>194</v>
      </c>
      <c r="D404" s="67">
        <v>6</v>
      </c>
      <c r="E404" s="68">
        <v>1.674574379012E-3</v>
      </c>
    </row>
    <row r="405" spans="2:5" ht="14.5" customHeight="1">
      <c r="B405" s="90"/>
      <c r="C405" s="66" t="s">
        <v>195</v>
      </c>
      <c r="D405" s="67">
        <v>4</v>
      </c>
      <c r="E405" s="68">
        <v>1.116382919341E-3</v>
      </c>
    </row>
    <row r="406" spans="2:5" ht="14.5" customHeight="1">
      <c r="B406" s="90"/>
      <c r="C406" s="66" t="s">
        <v>196</v>
      </c>
      <c r="D406" s="67">
        <v>5</v>
      </c>
      <c r="E406" s="68">
        <v>1.395478649177E-3</v>
      </c>
    </row>
    <row r="407" spans="2:5" ht="14.5" customHeight="1">
      <c r="B407" s="90"/>
      <c r="C407" s="66" t="s">
        <v>197</v>
      </c>
      <c r="D407" s="67">
        <v>22</v>
      </c>
      <c r="E407" s="68">
        <v>6.1401060563769996E-3</v>
      </c>
    </row>
    <row r="408" spans="2:5" ht="14.5" customHeight="1">
      <c r="B408" s="90"/>
      <c r="C408" s="66" t="s">
        <v>198</v>
      </c>
      <c r="D408" s="67">
        <v>26</v>
      </c>
      <c r="E408" s="68">
        <v>7.2564889757189997E-3</v>
      </c>
    </row>
    <row r="409" spans="2:5" ht="14.5" customHeight="1">
      <c r="B409" s="90"/>
      <c r="C409" s="66" t="s">
        <v>199</v>
      </c>
      <c r="D409" s="67">
        <v>4</v>
      </c>
      <c r="E409" s="68">
        <v>1.116382919341E-3</v>
      </c>
    </row>
    <row r="410" spans="2:5" ht="14.5" customHeight="1">
      <c r="B410" s="90"/>
      <c r="C410" s="66" t="s">
        <v>200</v>
      </c>
      <c r="D410" s="67">
        <v>3</v>
      </c>
      <c r="E410" s="68">
        <v>8.3728718950600001E-4</v>
      </c>
    </row>
    <row r="411" spans="2:5" ht="14.5" customHeight="1">
      <c r="B411" s="90"/>
      <c r="C411" s="66" t="s">
        <v>201</v>
      </c>
      <c r="D411" s="67">
        <v>18</v>
      </c>
      <c r="E411" s="68">
        <v>5.0237231370359996E-3</v>
      </c>
    </row>
    <row r="412" spans="2:5" ht="14.5" customHeight="1">
      <c r="B412" s="90"/>
      <c r="C412" s="66" t="s">
        <v>202</v>
      </c>
      <c r="D412" s="67">
        <v>60</v>
      </c>
      <c r="E412" s="68">
        <v>1.6745743790120001E-2</v>
      </c>
    </row>
    <row r="413" spans="2:5" ht="14.5" customHeight="1">
      <c r="B413" s="90"/>
      <c r="C413" s="66" t="s">
        <v>203</v>
      </c>
      <c r="D413" s="67">
        <v>5</v>
      </c>
      <c r="E413" s="68">
        <v>1.395478649177E-3</v>
      </c>
    </row>
    <row r="414" spans="2:5" ht="14.5" customHeight="1">
      <c r="B414" s="90"/>
      <c r="C414" s="66" t="s">
        <v>204</v>
      </c>
      <c r="D414" s="67">
        <v>8</v>
      </c>
      <c r="E414" s="68">
        <v>2.2327658386830001E-3</v>
      </c>
    </row>
    <row r="415" spans="2:5" ht="14.5" customHeight="1">
      <c r="B415" s="90"/>
      <c r="C415" s="66" t="s">
        <v>205</v>
      </c>
      <c r="D415" s="67">
        <v>46</v>
      </c>
      <c r="E415" s="68">
        <v>1.2838403572425E-2</v>
      </c>
    </row>
    <row r="416" spans="2:5" ht="14.5" customHeight="1">
      <c r="B416" s="90"/>
      <c r="C416" s="66" t="s">
        <v>211</v>
      </c>
      <c r="D416" s="67">
        <v>10</v>
      </c>
      <c r="E416" s="68">
        <v>2.790957298353E-3</v>
      </c>
    </row>
    <row r="417" spans="2:5" ht="14.5" customHeight="1">
      <c r="B417" s="90"/>
      <c r="C417" s="66" t="s">
        <v>212</v>
      </c>
      <c r="D417" s="67">
        <v>1</v>
      </c>
      <c r="E417" s="68">
        <v>2.7909572983499998E-4</v>
      </c>
    </row>
    <row r="418" spans="2:5" ht="14.5" customHeight="1">
      <c r="B418" s="91"/>
      <c r="C418" s="36" t="s">
        <v>28</v>
      </c>
      <c r="D418" s="35">
        <v>223</v>
      </c>
      <c r="E418" s="34">
        <v>6.2238347753279001E-2</v>
      </c>
    </row>
    <row r="419" spans="2:5" ht="14.5" customHeight="1">
      <c r="B419" s="89" t="s">
        <v>63</v>
      </c>
      <c r="C419" s="66" t="s">
        <v>191</v>
      </c>
      <c r="D419" s="67">
        <v>2</v>
      </c>
      <c r="E419" s="68">
        <v>5.5819145967100003E-4</v>
      </c>
    </row>
    <row r="420" spans="2:5" ht="14.5" customHeight="1">
      <c r="B420" s="90"/>
      <c r="C420" s="66" t="s">
        <v>192</v>
      </c>
      <c r="D420" s="67">
        <v>1</v>
      </c>
      <c r="E420" s="68">
        <v>2.7909572983499998E-4</v>
      </c>
    </row>
    <row r="421" spans="2:5" ht="14.5" customHeight="1">
      <c r="B421" s="90"/>
      <c r="C421" s="66" t="s">
        <v>194</v>
      </c>
      <c r="D421" s="67">
        <v>1</v>
      </c>
      <c r="E421" s="68">
        <v>2.7909572983499998E-4</v>
      </c>
    </row>
    <row r="422" spans="2:5" ht="14.5" customHeight="1">
      <c r="B422" s="90"/>
      <c r="C422" s="66" t="s">
        <v>196</v>
      </c>
      <c r="D422" s="67">
        <v>3</v>
      </c>
      <c r="E422" s="68">
        <v>8.3728718950600001E-4</v>
      </c>
    </row>
    <row r="423" spans="2:5" ht="14.5" customHeight="1">
      <c r="B423" s="90"/>
      <c r="C423" s="66" t="s">
        <v>197</v>
      </c>
      <c r="D423" s="67">
        <v>6</v>
      </c>
      <c r="E423" s="68">
        <v>1.674574379012E-3</v>
      </c>
    </row>
    <row r="424" spans="2:5" ht="14.5" customHeight="1">
      <c r="B424" s="90"/>
      <c r="C424" s="66" t="s">
        <v>198</v>
      </c>
      <c r="D424" s="67">
        <v>3</v>
      </c>
      <c r="E424" s="68">
        <v>8.3728718950600001E-4</v>
      </c>
    </row>
    <row r="425" spans="2:5" ht="14.5" customHeight="1">
      <c r="B425" s="90"/>
      <c r="C425" s="66" t="s">
        <v>199</v>
      </c>
      <c r="D425" s="67">
        <v>1</v>
      </c>
      <c r="E425" s="68">
        <v>2.7909572983499998E-4</v>
      </c>
    </row>
    <row r="426" spans="2:5" ht="14.5" customHeight="1">
      <c r="B426" s="90"/>
      <c r="C426" s="66" t="s">
        <v>200</v>
      </c>
      <c r="D426" s="67">
        <v>1</v>
      </c>
      <c r="E426" s="68">
        <v>2.7909572983499998E-4</v>
      </c>
    </row>
    <row r="427" spans="2:5" ht="14.5" customHeight="1">
      <c r="B427" s="90"/>
      <c r="C427" s="66" t="s">
        <v>201</v>
      </c>
      <c r="D427" s="67">
        <v>1</v>
      </c>
      <c r="E427" s="68">
        <v>2.7909572983499998E-4</v>
      </c>
    </row>
    <row r="428" spans="2:5" ht="14.5" customHeight="1">
      <c r="B428" s="90"/>
      <c r="C428" s="66" t="s">
        <v>202</v>
      </c>
      <c r="D428" s="67">
        <v>13</v>
      </c>
      <c r="E428" s="68">
        <v>3.6282444878589998E-3</v>
      </c>
    </row>
    <row r="429" spans="2:5" ht="14.5" customHeight="1">
      <c r="B429" s="90"/>
      <c r="C429" s="66" t="s">
        <v>203</v>
      </c>
      <c r="D429" s="67">
        <v>2</v>
      </c>
      <c r="E429" s="68">
        <v>5.5819145967100003E-4</v>
      </c>
    </row>
    <row r="430" spans="2:5" ht="14.5" customHeight="1">
      <c r="B430" s="90"/>
      <c r="C430" s="66" t="s">
        <v>204</v>
      </c>
      <c r="D430" s="67">
        <v>4</v>
      </c>
      <c r="E430" s="68">
        <v>1.116382919341E-3</v>
      </c>
    </row>
    <row r="431" spans="2:5" ht="14.5" customHeight="1">
      <c r="B431" s="90"/>
      <c r="C431" s="66" t="s">
        <v>205</v>
      </c>
      <c r="D431" s="67">
        <v>13</v>
      </c>
      <c r="E431" s="68">
        <v>3.6282444878589998E-3</v>
      </c>
    </row>
    <row r="432" spans="2:5" ht="14.5" customHeight="1">
      <c r="B432" s="90"/>
      <c r="C432" s="66" t="s">
        <v>206</v>
      </c>
      <c r="D432" s="67">
        <v>1</v>
      </c>
      <c r="E432" s="68">
        <v>2.7909572983499998E-4</v>
      </c>
    </row>
    <row r="433" spans="2:5" ht="14.5" customHeight="1">
      <c r="B433" s="90"/>
      <c r="C433" s="66" t="s">
        <v>209</v>
      </c>
      <c r="D433" s="67">
        <v>1</v>
      </c>
      <c r="E433" s="68">
        <v>2.7909572983499998E-4</v>
      </c>
    </row>
    <row r="434" spans="2:5" ht="14.5" customHeight="1">
      <c r="B434" s="90"/>
      <c r="C434" s="66" t="s">
        <v>210</v>
      </c>
      <c r="D434" s="67">
        <v>1</v>
      </c>
      <c r="E434" s="68">
        <v>2.7909572983499998E-4</v>
      </c>
    </row>
    <row r="435" spans="2:5" ht="14.5" customHeight="1">
      <c r="B435" s="90"/>
      <c r="C435" s="66" t="s">
        <v>211</v>
      </c>
      <c r="D435" s="67">
        <v>2</v>
      </c>
      <c r="E435" s="68">
        <v>5.5819145967100003E-4</v>
      </c>
    </row>
    <row r="436" spans="2:5" ht="14.5" customHeight="1">
      <c r="B436" s="91"/>
      <c r="C436" s="36" t="s">
        <v>28</v>
      </c>
      <c r="D436" s="35">
        <v>56</v>
      </c>
      <c r="E436" s="34">
        <v>1.5629360870778999E-2</v>
      </c>
    </row>
    <row r="437" spans="2:5" ht="14.5" customHeight="1">
      <c r="B437" s="89" t="s">
        <v>65</v>
      </c>
      <c r="C437" s="66" t="s">
        <v>191</v>
      </c>
      <c r="D437" s="67">
        <v>1</v>
      </c>
      <c r="E437" s="68">
        <v>2.7909572983499998E-4</v>
      </c>
    </row>
    <row r="438" spans="2:5" ht="14.5" customHeight="1">
      <c r="B438" s="90"/>
      <c r="C438" s="66" t="s">
        <v>193</v>
      </c>
      <c r="D438" s="67">
        <v>2</v>
      </c>
      <c r="E438" s="68">
        <v>5.5819145967100003E-4</v>
      </c>
    </row>
    <row r="439" spans="2:5" ht="14.5" customHeight="1">
      <c r="B439" s="90"/>
      <c r="C439" s="66" t="s">
        <v>194</v>
      </c>
      <c r="D439" s="67">
        <v>1</v>
      </c>
      <c r="E439" s="68">
        <v>2.7909572983499998E-4</v>
      </c>
    </row>
    <row r="440" spans="2:5" ht="14.5" customHeight="1">
      <c r="B440" s="90"/>
      <c r="C440" s="66" t="s">
        <v>196</v>
      </c>
      <c r="D440" s="67">
        <v>1</v>
      </c>
      <c r="E440" s="68">
        <v>2.7909572983499998E-4</v>
      </c>
    </row>
    <row r="441" spans="2:5" ht="14.5" customHeight="1">
      <c r="B441" s="90"/>
      <c r="C441" s="66" t="s">
        <v>197</v>
      </c>
      <c r="D441" s="67">
        <v>4</v>
      </c>
      <c r="E441" s="68">
        <v>1.116382919341E-3</v>
      </c>
    </row>
    <row r="442" spans="2:5" ht="14.5" customHeight="1">
      <c r="B442" s="90"/>
      <c r="C442" s="66" t="s">
        <v>198</v>
      </c>
      <c r="D442" s="67">
        <v>6</v>
      </c>
      <c r="E442" s="68">
        <v>1.674574379012E-3</v>
      </c>
    </row>
    <row r="443" spans="2:5" ht="14.5" customHeight="1">
      <c r="B443" s="90"/>
      <c r="C443" s="66" t="s">
        <v>201</v>
      </c>
      <c r="D443" s="67">
        <v>3</v>
      </c>
      <c r="E443" s="68">
        <v>8.3728718950600001E-4</v>
      </c>
    </row>
    <row r="444" spans="2:5" ht="14.5" customHeight="1">
      <c r="B444" s="90"/>
      <c r="C444" s="66" t="s">
        <v>202</v>
      </c>
      <c r="D444" s="67">
        <v>17</v>
      </c>
      <c r="E444" s="68">
        <v>4.7446274072009999E-3</v>
      </c>
    </row>
    <row r="445" spans="2:5" ht="14.5" customHeight="1">
      <c r="B445" s="90"/>
      <c r="C445" s="66" t="s">
        <v>204</v>
      </c>
      <c r="D445" s="67">
        <v>2</v>
      </c>
      <c r="E445" s="68">
        <v>5.5819145967100003E-4</v>
      </c>
    </row>
    <row r="446" spans="2:5" ht="14.5" customHeight="1">
      <c r="B446" s="90"/>
      <c r="C446" s="66" t="s">
        <v>205</v>
      </c>
      <c r="D446" s="67">
        <v>8</v>
      </c>
      <c r="E446" s="68">
        <v>2.2327658386830001E-3</v>
      </c>
    </row>
    <row r="447" spans="2:5" ht="14.5" customHeight="1">
      <c r="B447" s="90"/>
      <c r="C447" s="66" t="s">
        <v>210</v>
      </c>
      <c r="D447" s="67">
        <v>1</v>
      </c>
      <c r="E447" s="68">
        <v>2.7909572983499998E-4</v>
      </c>
    </row>
    <row r="448" spans="2:5" ht="14.5" customHeight="1">
      <c r="B448" s="91"/>
      <c r="C448" s="36" t="s">
        <v>28</v>
      </c>
      <c r="D448" s="35">
        <v>46</v>
      </c>
      <c r="E448" s="34">
        <v>1.2838403572425E-2</v>
      </c>
    </row>
    <row r="449" spans="2:5" ht="14.5" customHeight="1">
      <c r="B449" s="89" t="s">
        <v>56</v>
      </c>
      <c r="C449" s="66" t="s">
        <v>192</v>
      </c>
      <c r="D449" s="67">
        <v>1</v>
      </c>
      <c r="E449" s="68">
        <v>2.7909572983499998E-4</v>
      </c>
    </row>
    <row r="450" spans="2:5" ht="14.5" customHeight="1">
      <c r="B450" s="90"/>
      <c r="C450" s="66" t="s">
        <v>193</v>
      </c>
      <c r="D450" s="67">
        <v>3</v>
      </c>
      <c r="E450" s="68">
        <v>8.3728718950600001E-4</v>
      </c>
    </row>
    <row r="451" spans="2:5" ht="14.5" customHeight="1">
      <c r="B451" s="90"/>
      <c r="C451" s="66" t="s">
        <v>194</v>
      </c>
      <c r="D451" s="67">
        <v>3</v>
      </c>
      <c r="E451" s="68">
        <v>8.3728718950600001E-4</v>
      </c>
    </row>
    <row r="452" spans="2:5" ht="14.5" customHeight="1">
      <c r="B452" s="90"/>
      <c r="C452" s="66" t="s">
        <v>195</v>
      </c>
      <c r="D452" s="67">
        <v>1</v>
      </c>
      <c r="E452" s="68">
        <v>2.7909572983499998E-4</v>
      </c>
    </row>
    <row r="453" spans="2:5" ht="14.5" customHeight="1">
      <c r="B453" s="90"/>
      <c r="C453" s="66" t="s">
        <v>196</v>
      </c>
      <c r="D453" s="67">
        <v>2</v>
      </c>
      <c r="E453" s="68">
        <v>5.5819145967100003E-4</v>
      </c>
    </row>
    <row r="454" spans="2:5" ht="14.5" customHeight="1">
      <c r="B454" s="90"/>
      <c r="C454" s="66" t="s">
        <v>197</v>
      </c>
      <c r="D454" s="67">
        <v>21</v>
      </c>
      <c r="E454" s="68">
        <v>5.8610103265419999E-3</v>
      </c>
    </row>
    <row r="455" spans="2:5" ht="14.5" customHeight="1">
      <c r="B455" s="90"/>
      <c r="C455" s="66" t="s">
        <v>198</v>
      </c>
      <c r="D455" s="67">
        <v>17</v>
      </c>
      <c r="E455" s="68">
        <v>4.7446274072009999E-3</v>
      </c>
    </row>
    <row r="456" spans="2:5" ht="14.5" customHeight="1">
      <c r="B456" s="90"/>
      <c r="C456" s="66" t="s">
        <v>199</v>
      </c>
      <c r="D456" s="67">
        <v>4</v>
      </c>
      <c r="E456" s="68">
        <v>1.116382919341E-3</v>
      </c>
    </row>
    <row r="457" spans="2:5" ht="14.5" customHeight="1">
      <c r="B457" s="90"/>
      <c r="C457" s="66" t="s">
        <v>200</v>
      </c>
      <c r="D457" s="67">
        <v>6</v>
      </c>
      <c r="E457" s="68">
        <v>1.674574379012E-3</v>
      </c>
    </row>
    <row r="458" spans="2:5" ht="14.5" customHeight="1">
      <c r="B458" s="90"/>
      <c r="C458" s="66" t="s">
        <v>201</v>
      </c>
      <c r="D458" s="67">
        <v>6</v>
      </c>
      <c r="E458" s="68">
        <v>1.674574379012E-3</v>
      </c>
    </row>
    <row r="459" spans="2:5" ht="14.5" customHeight="1">
      <c r="B459" s="90"/>
      <c r="C459" s="66" t="s">
        <v>202</v>
      </c>
      <c r="D459" s="67">
        <v>32</v>
      </c>
      <c r="E459" s="68">
        <v>8.9310633547309993E-3</v>
      </c>
    </row>
    <row r="460" spans="2:5" ht="14.5" customHeight="1">
      <c r="B460" s="90"/>
      <c r="C460" s="66" t="s">
        <v>203</v>
      </c>
      <c r="D460" s="67">
        <v>4</v>
      </c>
      <c r="E460" s="68">
        <v>1.116382919341E-3</v>
      </c>
    </row>
    <row r="461" spans="2:5" ht="14.5" customHeight="1">
      <c r="B461" s="90"/>
      <c r="C461" s="66" t="s">
        <v>204</v>
      </c>
      <c r="D461" s="67">
        <v>7</v>
      </c>
      <c r="E461" s="68">
        <v>1.9536701088469998E-3</v>
      </c>
    </row>
    <row r="462" spans="2:5" ht="14.5" customHeight="1">
      <c r="B462" s="90"/>
      <c r="C462" s="66" t="s">
        <v>205</v>
      </c>
      <c r="D462" s="67">
        <v>25</v>
      </c>
      <c r="E462" s="68">
        <v>6.9773932458829999E-3</v>
      </c>
    </row>
    <row r="463" spans="2:5" ht="14.5" customHeight="1">
      <c r="B463" s="90"/>
      <c r="C463" s="66" t="s">
        <v>206</v>
      </c>
      <c r="D463" s="67">
        <v>1</v>
      </c>
      <c r="E463" s="68">
        <v>2.7909572983499998E-4</v>
      </c>
    </row>
    <row r="464" spans="2:5" ht="14.5" customHeight="1">
      <c r="B464" s="90"/>
      <c r="C464" s="66" t="s">
        <v>207</v>
      </c>
      <c r="D464" s="67">
        <v>1</v>
      </c>
      <c r="E464" s="68">
        <v>2.7909572983499998E-4</v>
      </c>
    </row>
    <row r="465" spans="2:5" ht="14.5" customHeight="1">
      <c r="B465" s="90"/>
      <c r="C465" s="66" t="s">
        <v>210</v>
      </c>
      <c r="D465" s="67">
        <v>2</v>
      </c>
      <c r="E465" s="68">
        <v>5.5819145967100003E-4</v>
      </c>
    </row>
    <row r="466" spans="2:5" ht="14.5" customHeight="1">
      <c r="B466" s="90"/>
      <c r="C466" s="66" t="s">
        <v>211</v>
      </c>
      <c r="D466" s="67">
        <v>5</v>
      </c>
      <c r="E466" s="68">
        <v>1.395478649177E-3</v>
      </c>
    </row>
    <row r="467" spans="2:5" ht="14.5" customHeight="1">
      <c r="B467" s="90"/>
      <c r="C467" s="66" t="s">
        <v>212</v>
      </c>
      <c r="D467" s="67">
        <v>1</v>
      </c>
      <c r="E467" s="68">
        <v>2.7909572983499998E-4</v>
      </c>
    </row>
    <row r="468" spans="2:5" ht="14.5" customHeight="1">
      <c r="B468" s="91"/>
      <c r="C468" s="36" t="s">
        <v>28</v>
      </c>
      <c r="D468" s="35">
        <v>142</v>
      </c>
      <c r="E468" s="34">
        <v>3.9631593636617002E-2</v>
      </c>
    </row>
    <row r="469" spans="2:5" ht="14.5" customHeight="1">
      <c r="B469" s="89" t="s">
        <v>57</v>
      </c>
      <c r="C469" s="66" t="s">
        <v>192</v>
      </c>
      <c r="D469" s="67">
        <v>1</v>
      </c>
      <c r="E469" s="68">
        <v>2.7909572983499998E-4</v>
      </c>
    </row>
    <row r="470" spans="2:5" ht="14.5" customHeight="1">
      <c r="B470" s="90"/>
      <c r="C470" s="66" t="s">
        <v>194</v>
      </c>
      <c r="D470" s="67">
        <v>3</v>
      </c>
      <c r="E470" s="68">
        <v>8.3728718950600001E-4</v>
      </c>
    </row>
    <row r="471" spans="2:5" ht="14.5" customHeight="1">
      <c r="B471" s="90"/>
      <c r="C471" s="66" t="s">
        <v>197</v>
      </c>
      <c r="D471" s="67">
        <v>10</v>
      </c>
      <c r="E471" s="68">
        <v>2.790957298353E-3</v>
      </c>
    </row>
    <row r="472" spans="2:5" ht="14.5" customHeight="1">
      <c r="B472" s="90"/>
      <c r="C472" s="66" t="s">
        <v>198</v>
      </c>
      <c r="D472" s="67">
        <v>14</v>
      </c>
      <c r="E472" s="68">
        <v>3.9073402176949996E-3</v>
      </c>
    </row>
    <row r="473" spans="2:5" ht="14.5" customHeight="1">
      <c r="B473" s="90"/>
      <c r="C473" s="66" t="s">
        <v>199</v>
      </c>
      <c r="D473" s="67">
        <v>2</v>
      </c>
      <c r="E473" s="68">
        <v>5.5819145967100003E-4</v>
      </c>
    </row>
    <row r="474" spans="2:5" ht="14.5" customHeight="1">
      <c r="B474" s="90"/>
      <c r="C474" s="66" t="s">
        <v>200</v>
      </c>
      <c r="D474" s="67">
        <v>5</v>
      </c>
      <c r="E474" s="68">
        <v>1.395478649177E-3</v>
      </c>
    </row>
    <row r="475" spans="2:5" ht="14.5" customHeight="1">
      <c r="B475" s="90"/>
      <c r="C475" s="66" t="s">
        <v>201</v>
      </c>
      <c r="D475" s="67">
        <v>3</v>
      </c>
      <c r="E475" s="68">
        <v>8.3728718950600001E-4</v>
      </c>
    </row>
    <row r="476" spans="2:5" ht="14.5" customHeight="1">
      <c r="B476" s="90"/>
      <c r="C476" s="66" t="s">
        <v>202</v>
      </c>
      <c r="D476" s="67">
        <v>43</v>
      </c>
      <c r="E476" s="68">
        <v>1.2001116382919E-2</v>
      </c>
    </row>
    <row r="477" spans="2:5" ht="14.5" customHeight="1">
      <c r="B477" s="90"/>
      <c r="C477" s="66" t="s">
        <v>203</v>
      </c>
      <c r="D477" s="67">
        <v>4</v>
      </c>
      <c r="E477" s="68">
        <v>1.116382919341E-3</v>
      </c>
    </row>
    <row r="478" spans="2:5" ht="14.5" customHeight="1">
      <c r="B478" s="90"/>
      <c r="C478" s="66" t="s">
        <v>204</v>
      </c>
      <c r="D478" s="67">
        <v>7</v>
      </c>
      <c r="E478" s="68">
        <v>1.9536701088469998E-3</v>
      </c>
    </row>
    <row r="479" spans="2:5" ht="14.5" customHeight="1">
      <c r="B479" s="90"/>
      <c r="C479" s="66" t="s">
        <v>205</v>
      </c>
      <c r="D479" s="67">
        <v>23</v>
      </c>
      <c r="E479" s="68">
        <v>6.4192017862130003E-3</v>
      </c>
    </row>
    <row r="480" spans="2:5" ht="14.5" customHeight="1">
      <c r="B480" s="90"/>
      <c r="C480" s="66" t="s">
        <v>206</v>
      </c>
      <c r="D480" s="67">
        <v>2</v>
      </c>
      <c r="E480" s="68">
        <v>5.5819145967100003E-4</v>
      </c>
    </row>
    <row r="481" spans="2:5" ht="14.5" customHeight="1">
      <c r="B481" s="90"/>
      <c r="C481" s="66" t="s">
        <v>207</v>
      </c>
      <c r="D481" s="67">
        <v>1</v>
      </c>
      <c r="E481" s="68">
        <v>2.7909572983499998E-4</v>
      </c>
    </row>
    <row r="482" spans="2:5" ht="14.5" customHeight="1">
      <c r="B482" s="90"/>
      <c r="C482" s="66" t="s">
        <v>208</v>
      </c>
      <c r="D482" s="67">
        <v>2</v>
      </c>
      <c r="E482" s="68">
        <v>5.5819145967100003E-4</v>
      </c>
    </row>
    <row r="483" spans="2:5" ht="14.5" customHeight="1">
      <c r="B483" s="90"/>
      <c r="C483" s="66" t="s">
        <v>209</v>
      </c>
      <c r="D483" s="67">
        <v>1</v>
      </c>
      <c r="E483" s="68">
        <v>2.7909572983499998E-4</v>
      </c>
    </row>
    <row r="484" spans="2:5" ht="14.5" customHeight="1">
      <c r="B484" s="90"/>
      <c r="C484" s="66" t="s">
        <v>210</v>
      </c>
      <c r="D484" s="67">
        <v>4</v>
      </c>
      <c r="E484" s="68">
        <v>1.116382919341E-3</v>
      </c>
    </row>
    <row r="485" spans="2:5" ht="14.5" customHeight="1">
      <c r="B485" s="90"/>
      <c r="C485" s="66" t="s">
        <v>211</v>
      </c>
      <c r="D485" s="67">
        <v>6</v>
      </c>
      <c r="E485" s="68">
        <v>1.674574379012E-3</v>
      </c>
    </row>
    <row r="486" spans="2:5" ht="14.5" customHeight="1">
      <c r="B486" s="91"/>
      <c r="C486" s="36" t="s">
        <v>28</v>
      </c>
      <c r="D486" s="35">
        <v>131</v>
      </c>
      <c r="E486" s="34">
        <v>3.6561540608428998E-2</v>
      </c>
    </row>
    <row r="487" spans="2:5" ht="14.5" customHeight="1">
      <c r="B487" s="89" t="s">
        <v>69</v>
      </c>
      <c r="C487" s="66" t="s">
        <v>193</v>
      </c>
      <c r="D487" s="67">
        <v>1</v>
      </c>
      <c r="E487" s="68">
        <v>2.7909572983499998E-4</v>
      </c>
    </row>
    <row r="488" spans="2:5" ht="14.5" customHeight="1">
      <c r="B488" s="90"/>
      <c r="C488" s="66" t="s">
        <v>194</v>
      </c>
      <c r="D488" s="67">
        <v>2</v>
      </c>
      <c r="E488" s="68">
        <v>5.5819145967100003E-4</v>
      </c>
    </row>
    <row r="489" spans="2:5" ht="14.5" customHeight="1">
      <c r="B489" s="90"/>
      <c r="C489" s="66" t="s">
        <v>196</v>
      </c>
      <c r="D489" s="67">
        <v>1</v>
      </c>
      <c r="E489" s="68">
        <v>2.7909572983499998E-4</v>
      </c>
    </row>
    <row r="490" spans="2:5" ht="14.5" customHeight="1">
      <c r="B490" s="90"/>
      <c r="C490" s="66" t="s">
        <v>197</v>
      </c>
      <c r="D490" s="67">
        <v>5</v>
      </c>
      <c r="E490" s="68">
        <v>1.395478649177E-3</v>
      </c>
    </row>
    <row r="491" spans="2:5" ht="14.5" customHeight="1">
      <c r="B491" s="90"/>
      <c r="C491" s="66" t="s">
        <v>198</v>
      </c>
      <c r="D491" s="67">
        <v>7</v>
      </c>
      <c r="E491" s="68">
        <v>1.9536701088469998E-3</v>
      </c>
    </row>
    <row r="492" spans="2:5" ht="14.5" customHeight="1">
      <c r="B492" s="90"/>
      <c r="C492" s="66" t="s">
        <v>200</v>
      </c>
      <c r="D492" s="67">
        <v>1</v>
      </c>
      <c r="E492" s="68">
        <v>2.7909572983499998E-4</v>
      </c>
    </row>
    <row r="493" spans="2:5" ht="14.5" customHeight="1">
      <c r="B493" s="90"/>
      <c r="C493" s="66" t="s">
        <v>201</v>
      </c>
      <c r="D493" s="67">
        <v>2</v>
      </c>
      <c r="E493" s="68">
        <v>5.5819145967100003E-4</v>
      </c>
    </row>
    <row r="494" spans="2:5" ht="14.5" customHeight="1">
      <c r="B494" s="90"/>
      <c r="C494" s="66" t="s">
        <v>202</v>
      </c>
      <c r="D494" s="67">
        <v>8</v>
      </c>
      <c r="E494" s="68">
        <v>2.2327658386830001E-3</v>
      </c>
    </row>
    <row r="495" spans="2:5" ht="14.5" customHeight="1">
      <c r="B495" s="90"/>
      <c r="C495" s="66" t="s">
        <v>203</v>
      </c>
      <c r="D495" s="67">
        <v>2</v>
      </c>
      <c r="E495" s="68">
        <v>5.5819145967100003E-4</v>
      </c>
    </row>
    <row r="496" spans="2:5" ht="14.5" customHeight="1">
      <c r="B496" s="90"/>
      <c r="C496" s="66" t="s">
        <v>204</v>
      </c>
      <c r="D496" s="67">
        <v>2</v>
      </c>
      <c r="E496" s="68">
        <v>5.5819145967100003E-4</v>
      </c>
    </row>
    <row r="497" spans="2:5" ht="14.5" customHeight="1">
      <c r="B497" s="90"/>
      <c r="C497" s="66" t="s">
        <v>205</v>
      </c>
      <c r="D497" s="67">
        <v>8</v>
      </c>
      <c r="E497" s="68">
        <v>2.2327658386830001E-3</v>
      </c>
    </row>
    <row r="498" spans="2:5" ht="14.5" customHeight="1">
      <c r="B498" s="90"/>
      <c r="C498" s="66" t="s">
        <v>211</v>
      </c>
      <c r="D498" s="67">
        <v>3</v>
      </c>
      <c r="E498" s="68">
        <v>8.3728718950600001E-4</v>
      </c>
    </row>
    <row r="499" spans="2:5" ht="14.5" customHeight="1">
      <c r="B499" s="91"/>
      <c r="C499" s="36" t="s">
        <v>28</v>
      </c>
      <c r="D499" s="35">
        <v>42</v>
      </c>
      <c r="E499" s="34">
        <v>1.1722020653084E-2</v>
      </c>
    </row>
    <row r="500" spans="2:5" ht="14.5" customHeight="1">
      <c r="B500" s="89" t="s">
        <v>88</v>
      </c>
      <c r="C500" s="66" t="s">
        <v>198</v>
      </c>
      <c r="D500" s="67">
        <v>2</v>
      </c>
      <c r="E500" s="68">
        <v>5.5819145967100003E-4</v>
      </c>
    </row>
    <row r="501" spans="2:5" ht="14.5" customHeight="1">
      <c r="B501" s="90"/>
      <c r="C501" s="66" t="s">
        <v>202</v>
      </c>
      <c r="D501" s="67">
        <v>3</v>
      </c>
      <c r="E501" s="68">
        <v>8.3728718950600001E-4</v>
      </c>
    </row>
    <row r="502" spans="2:5" ht="14.5" customHeight="1">
      <c r="B502" s="90"/>
      <c r="C502" s="66" t="s">
        <v>205</v>
      </c>
      <c r="D502" s="67">
        <v>1</v>
      </c>
      <c r="E502" s="68">
        <v>2.7909572983499998E-4</v>
      </c>
    </row>
    <row r="503" spans="2:5" ht="14.5" customHeight="1">
      <c r="B503" s="90"/>
      <c r="C503" s="66" t="s">
        <v>210</v>
      </c>
      <c r="D503" s="67">
        <v>1</v>
      </c>
      <c r="E503" s="68">
        <v>2.7909572983499998E-4</v>
      </c>
    </row>
    <row r="504" spans="2:5" ht="14.5" customHeight="1">
      <c r="B504" s="91"/>
      <c r="C504" s="36" t="s">
        <v>28</v>
      </c>
      <c r="D504" s="35">
        <v>7</v>
      </c>
      <c r="E504" s="34">
        <v>1.9536701088469998E-3</v>
      </c>
    </row>
    <row r="505" spans="2:5" ht="14.5" customHeight="1">
      <c r="B505" s="89" t="s">
        <v>84</v>
      </c>
      <c r="C505" s="66" t="s">
        <v>198</v>
      </c>
      <c r="D505" s="67">
        <v>2</v>
      </c>
      <c r="E505" s="68">
        <v>5.5819145967100003E-4</v>
      </c>
    </row>
    <row r="506" spans="2:5" ht="14.5" customHeight="1">
      <c r="B506" s="90"/>
      <c r="C506" s="66" t="s">
        <v>202</v>
      </c>
      <c r="D506" s="67">
        <v>3</v>
      </c>
      <c r="E506" s="68">
        <v>8.3728718950600001E-4</v>
      </c>
    </row>
    <row r="507" spans="2:5" ht="14.5" customHeight="1">
      <c r="B507" s="90"/>
      <c r="C507" s="66" t="s">
        <v>204</v>
      </c>
      <c r="D507" s="67">
        <v>1</v>
      </c>
      <c r="E507" s="68">
        <v>2.7909572983499998E-4</v>
      </c>
    </row>
    <row r="508" spans="2:5" ht="14.5" customHeight="1">
      <c r="B508" s="90"/>
      <c r="C508" s="66" t="s">
        <v>205</v>
      </c>
      <c r="D508" s="67">
        <v>3</v>
      </c>
      <c r="E508" s="68">
        <v>8.3728718950600001E-4</v>
      </c>
    </row>
    <row r="509" spans="2:5" ht="14.5" customHeight="1">
      <c r="B509" s="91"/>
      <c r="C509" s="36" t="s">
        <v>28</v>
      </c>
      <c r="D509" s="35">
        <v>9</v>
      </c>
      <c r="E509" s="34">
        <v>2.5118615685179998E-3</v>
      </c>
    </row>
    <row r="510" spans="2:5" ht="14.5" customHeight="1">
      <c r="B510" s="89" t="s">
        <v>92</v>
      </c>
      <c r="C510" s="66" t="s">
        <v>202</v>
      </c>
      <c r="D510" s="67">
        <v>1</v>
      </c>
      <c r="E510" s="68">
        <v>2.7909572983499998E-4</v>
      </c>
    </row>
    <row r="511" spans="2:5" ht="14.5" customHeight="1">
      <c r="B511" s="90"/>
      <c r="C511" s="66" t="s">
        <v>205</v>
      </c>
      <c r="D511" s="67">
        <v>1</v>
      </c>
      <c r="E511" s="68">
        <v>2.7909572983499998E-4</v>
      </c>
    </row>
    <row r="512" spans="2:5" ht="14.5" customHeight="1">
      <c r="B512" s="90"/>
      <c r="C512" s="66" t="s">
        <v>211</v>
      </c>
      <c r="D512" s="67">
        <v>2</v>
      </c>
      <c r="E512" s="68">
        <v>5.5819145967100003E-4</v>
      </c>
    </row>
    <row r="513" spans="2:5" ht="14.5" customHeight="1">
      <c r="B513" s="91"/>
      <c r="C513" s="36" t="s">
        <v>28</v>
      </c>
      <c r="D513" s="35">
        <v>4</v>
      </c>
      <c r="E513" s="34">
        <v>1.116382919341E-3</v>
      </c>
    </row>
    <row r="514" spans="2:5" ht="14.5" customHeight="1">
      <c r="B514" s="87" t="s">
        <v>28</v>
      </c>
      <c r="C514" s="88"/>
      <c r="D514" s="64">
        <v>3583</v>
      </c>
      <c r="E514" s="65">
        <v>1</v>
      </c>
    </row>
    <row r="515" spans="2:5" ht="14.5" customHeight="1"/>
    <row r="516" spans="2:5" ht="14.5" customHeight="1">
      <c r="B516" s="15" t="s">
        <v>47</v>
      </c>
    </row>
    <row r="517" spans="2:5" ht="14.5" customHeight="1">
      <c r="B517" s="17" t="s">
        <v>17</v>
      </c>
    </row>
    <row r="518" spans="2:5" ht="14.5" customHeight="1">
      <c r="B518" s="16" t="s">
        <v>48</v>
      </c>
    </row>
    <row r="519" spans="2:5" ht="14.5" customHeight="1">
      <c r="B519" s="15" t="s">
        <v>16</v>
      </c>
    </row>
    <row r="520" spans="2:5" ht="14.5" customHeight="1">
      <c r="B520" s="15" t="s">
        <v>49</v>
      </c>
    </row>
  </sheetData>
  <mergeCells count="50">
    <mergeCell ref="B146:B161"/>
    <mergeCell ref="B361:B376"/>
    <mergeCell ref="B377:B384"/>
    <mergeCell ref="B385:B393"/>
    <mergeCell ref="B394:B401"/>
    <mergeCell ref="B162:B169"/>
    <mergeCell ref="B170:B181"/>
    <mergeCell ref="B182:B188"/>
    <mergeCell ref="B189:B205"/>
    <mergeCell ref="B206:B215"/>
    <mergeCell ref="B216:B238"/>
    <mergeCell ref="B239:B245"/>
    <mergeCell ref="B246:B255"/>
    <mergeCell ref="B256:B262"/>
    <mergeCell ref="B263:B264"/>
    <mergeCell ref="B265:B269"/>
    <mergeCell ref="B7:E8"/>
    <mergeCell ref="B106:B114"/>
    <mergeCell ref="B115:B120"/>
    <mergeCell ref="B121:B124"/>
    <mergeCell ref="B125:B145"/>
    <mergeCell ref="B54:B57"/>
    <mergeCell ref="B58:B61"/>
    <mergeCell ref="B62:B77"/>
    <mergeCell ref="B78:B91"/>
    <mergeCell ref="B92:B105"/>
    <mergeCell ref="B10:B12"/>
    <mergeCell ref="B13:B21"/>
    <mergeCell ref="B22:B32"/>
    <mergeCell ref="B33:B47"/>
    <mergeCell ref="B48:B53"/>
    <mergeCell ref="B270:B274"/>
    <mergeCell ref="B275:B284"/>
    <mergeCell ref="B285:B294"/>
    <mergeCell ref="B295:B305"/>
    <mergeCell ref="B306:B317"/>
    <mergeCell ref="B500:B504"/>
    <mergeCell ref="B505:B509"/>
    <mergeCell ref="B510:B513"/>
    <mergeCell ref="B514:C514"/>
    <mergeCell ref="B318:B335"/>
    <mergeCell ref="B336:B347"/>
    <mergeCell ref="B348:B349"/>
    <mergeCell ref="B350:B360"/>
    <mergeCell ref="B487:B499"/>
    <mergeCell ref="B402:B418"/>
    <mergeCell ref="B419:B436"/>
    <mergeCell ref="B437:B448"/>
    <mergeCell ref="B449:B468"/>
    <mergeCell ref="B469:B48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1">
    <tabColor rgb="FF00B050"/>
  </sheetPr>
  <dimension ref="A1:D22"/>
  <sheetViews>
    <sheetView showGridLines="0" view="pageBreakPreview" topLeftCell="A8" zoomScale="115" zoomScaleNormal="100" zoomScaleSheetLayoutView="115" workbookViewId="0">
      <selection activeCell="E12" sqref="E12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3.81640625" style="13" customWidth="1"/>
    <col min="7" max="16384" width="11.453125" style="13"/>
  </cols>
  <sheetData>
    <row r="1" spans="1:4" s="25" customFormat="1" ht="15" customHeight="1">
      <c r="C1" s="31"/>
    </row>
    <row r="2" spans="1:4" s="25" customFormat="1" ht="15" customHeight="1">
      <c r="C2" s="31"/>
    </row>
    <row r="3" spans="1:4" s="25" customFormat="1" ht="15" customHeight="1">
      <c r="C3" s="31"/>
    </row>
    <row r="4" spans="1:4" s="25" customFormat="1" ht="30" customHeight="1">
      <c r="C4" s="31"/>
      <c r="D4" s="30"/>
    </row>
    <row r="5" spans="1:4" s="25" customFormat="1" ht="15" customHeight="1">
      <c r="C5" s="31"/>
      <c r="D5" s="30"/>
    </row>
    <row r="6" spans="1:4" s="25" customFormat="1" ht="15" customHeight="1">
      <c r="C6" s="31"/>
      <c r="D6" s="30"/>
    </row>
    <row r="7" spans="1:4" s="25" customFormat="1" ht="15" customHeight="1">
      <c r="B7" s="86" t="s">
        <v>37</v>
      </c>
      <c r="C7" s="93"/>
      <c r="D7" s="93"/>
    </row>
    <row r="8" spans="1:4" s="25" customFormat="1" ht="15" customHeight="1">
      <c r="B8" s="93"/>
      <c r="C8" s="93"/>
      <c r="D8" s="93"/>
    </row>
    <row r="9" spans="1:4" s="25" customFormat="1" ht="33" customHeight="1">
      <c r="B9" s="93"/>
      <c r="C9" s="93"/>
      <c r="D9" s="93"/>
    </row>
    <row r="10" spans="1:4" s="25" customFormat="1" ht="4.5" customHeight="1">
      <c r="B10" s="29"/>
      <c r="C10" s="29"/>
      <c r="D10" s="29"/>
    </row>
    <row r="11" spans="1:4" s="25" customFormat="1" ht="33" customHeight="1">
      <c r="B11" s="28" t="s">
        <v>29</v>
      </c>
      <c r="C11" s="27" t="s">
        <v>19</v>
      </c>
      <c r="D11" s="26" t="s">
        <v>18</v>
      </c>
    </row>
    <row r="12" spans="1:4" ht="14.5" customHeight="1">
      <c r="B12" s="23" t="s">
        <v>138</v>
      </c>
      <c r="C12" s="22">
        <v>1753</v>
      </c>
      <c r="D12" s="21">
        <v>0.48925481440134</v>
      </c>
    </row>
    <row r="13" spans="1:4" ht="14.5" customHeight="1">
      <c r="B13" s="23" t="s">
        <v>139</v>
      </c>
      <c r="C13" s="22">
        <v>1830</v>
      </c>
      <c r="D13" s="21">
        <v>0.51074518559866</v>
      </c>
    </row>
    <row r="14" spans="1:4" ht="14.5" customHeight="1">
      <c r="B14" s="20" t="s">
        <v>28</v>
      </c>
      <c r="C14" s="19">
        <v>3583</v>
      </c>
      <c r="D14" s="18">
        <v>1</v>
      </c>
    </row>
    <row r="15" spans="1:4" s="24" customFormat="1">
      <c r="A15" s="13"/>
      <c r="C15" s="49"/>
      <c r="D15" s="49"/>
    </row>
    <row r="16" spans="1:4" s="24" customFormat="1">
      <c r="A16" s="13"/>
      <c r="B16" s="15" t="s">
        <v>47</v>
      </c>
      <c r="C16" s="49"/>
      <c r="D16" s="49"/>
    </row>
    <row r="17" spans="2:4">
      <c r="B17" s="17" t="s">
        <v>17</v>
      </c>
      <c r="C17" s="48"/>
      <c r="D17" s="48"/>
    </row>
    <row r="18" spans="2:4">
      <c r="B18" s="16" t="s">
        <v>48</v>
      </c>
      <c r="C18" s="47"/>
      <c r="D18" s="47"/>
    </row>
    <row r="19" spans="2:4">
      <c r="B19" s="15" t="s">
        <v>16</v>
      </c>
    </row>
    <row r="20" spans="2:4">
      <c r="B20" s="15" t="s">
        <v>49</v>
      </c>
    </row>
    <row r="21" spans="2:4">
      <c r="C21" s="13"/>
    </row>
    <row r="22" spans="2:4">
      <c r="C22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2">
    <tabColor rgb="FF00B050"/>
  </sheetPr>
  <dimension ref="B1:F160"/>
  <sheetViews>
    <sheetView showGridLines="0" view="pageBreakPreview" zoomScaleNormal="100" zoomScaleSheetLayoutView="100" workbookViewId="0">
      <selection activeCell="F12" sqref="F12"/>
    </sheetView>
  </sheetViews>
  <sheetFormatPr baseColWidth="10" defaultColWidth="11.453125" defaultRowHeight="10"/>
  <cols>
    <col min="1" max="1" width="5.7265625" style="25" customWidth="1"/>
    <col min="2" max="2" width="25.7265625" style="41" customWidth="1"/>
    <col min="3" max="3" width="21.1796875" style="41" customWidth="1"/>
    <col min="4" max="4" width="15.7265625" style="44" customWidth="1"/>
    <col min="5" max="5" width="15.7265625" style="41" customWidth="1"/>
    <col min="6" max="6" width="5.7265625" style="25" customWidth="1"/>
    <col min="7" max="7" width="4.54296875" style="25" customWidth="1"/>
    <col min="8" max="16384" width="11.453125" style="25"/>
  </cols>
  <sheetData>
    <row r="1" spans="2:6" s="13" customFormat="1" ht="14.5">
      <c r="B1" s="41"/>
      <c r="C1" s="41"/>
    </row>
    <row r="2" spans="2:6" s="41" customFormat="1">
      <c r="B2" s="51"/>
    </row>
    <row r="3" spans="2:6" ht="15" customHeight="1">
      <c r="B3" s="52"/>
      <c r="C3" s="31"/>
      <c r="D3" s="25"/>
      <c r="F3" s="41"/>
    </row>
    <row r="4" spans="2:6" ht="30" customHeight="1">
      <c r="B4" s="52"/>
      <c r="C4" s="31"/>
      <c r="D4" s="25"/>
      <c r="F4" s="41"/>
    </row>
    <row r="5" spans="2:6" ht="15" customHeight="1">
      <c r="B5" s="52"/>
      <c r="C5" s="31"/>
      <c r="D5" s="25"/>
      <c r="F5" s="41"/>
    </row>
    <row r="6" spans="2:6" s="41" customFormat="1" ht="10.5">
      <c r="B6" s="43"/>
      <c r="C6" s="37"/>
    </row>
    <row r="7" spans="2:6" s="41" customFormat="1">
      <c r="B7" s="51"/>
    </row>
    <row r="8" spans="2:6" s="13" customFormat="1" ht="15" customHeight="1">
      <c r="B8" s="86" t="s">
        <v>39</v>
      </c>
      <c r="C8" s="86"/>
      <c r="D8" s="86"/>
      <c r="E8" s="86"/>
    </row>
    <row r="9" spans="2:6" s="13" customFormat="1" ht="15" customHeight="1">
      <c r="B9" s="86"/>
      <c r="C9" s="86"/>
      <c r="D9" s="86"/>
      <c r="E9" s="86"/>
      <c r="F9" s="50"/>
    </row>
    <row r="10" spans="2:6" s="13" customFormat="1" ht="15" customHeight="1">
      <c r="B10" s="86"/>
      <c r="C10" s="86"/>
      <c r="D10" s="86"/>
      <c r="E10" s="86"/>
    </row>
    <row r="11" spans="2:6" s="13" customFormat="1" ht="10.5" customHeight="1">
      <c r="B11" s="53"/>
      <c r="C11" s="53"/>
      <c r="D11" s="53"/>
      <c r="E11" s="53"/>
    </row>
    <row r="12" spans="2:6" s="13" customFormat="1" ht="37" customHeight="1">
      <c r="B12" s="55" t="s">
        <v>21</v>
      </c>
      <c r="C12" s="55" t="s">
        <v>29</v>
      </c>
      <c r="D12" s="55" t="s">
        <v>19</v>
      </c>
      <c r="E12" s="55" t="s">
        <v>18</v>
      </c>
    </row>
    <row r="13" spans="2:6" ht="14.5" customHeight="1">
      <c r="B13" s="96" t="s">
        <v>95</v>
      </c>
      <c r="C13" s="66" t="s">
        <v>138</v>
      </c>
      <c r="D13" s="67">
        <v>1</v>
      </c>
      <c r="E13" s="68">
        <v>2.7909572983499998E-4</v>
      </c>
    </row>
    <row r="14" spans="2:6" ht="14.5" customHeight="1">
      <c r="B14" s="97"/>
      <c r="C14" s="66" t="s">
        <v>139</v>
      </c>
      <c r="D14" s="67">
        <v>1</v>
      </c>
      <c r="E14" s="68">
        <v>2.7909572983499998E-4</v>
      </c>
    </row>
    <row r="15" spans="2:6" ht="14.5" customHeight="1">
      <c r="B15" s="98" t="s">
        <v>265</v>
      </c>
      <c r="C15" s="61" t="s">
        <v>28</v>
      </c>
      <c r="D15" s="62">
        <v>2</v>
      </c>
      <c r="E15" s="63">
        <v>5.5819145967100003E-4</v>
      </c>
    </row>
    <row r="16" spans="2:6" ht="14.5" customHeight="1">
      <c r="B16" s="96" t="s">
        <v>70</v>
      </c>
      <c r="C16" s="66" t="s">
        <v>138</v>
      </c>
      <c r="D16" s="67">
        <v>22</v>
      </c>
      <c r="E16" s="68">
        <v>6.1401060563769996E-3</v>
      </c>
    </row>
    <row r="17" spans="2:5" ht="14.5" customHeight="1">
      <c r="B17" s="97"/>
      <c r="C17" s="66" t="s">
        <v>139</v>
      </c>
      <c r="D17" s="67">
        <v>18</v>
      </c>
      <c r="E17" s="68">
        <v>5.0237231370359996E-3</v>
      </c>
    </row>
    <row r="18" spans="2:5" ht="14.5" customHeight="1">
      <c r="B18" s="98" t="s">
        <v>266</v>
      </c>
      <c r="C18" s="61" t="s">
        <v>28</v>
      </c>
      <c r="D18" s="62">
        <v>40</v>
      </c>
      <c r="E18" s="63">
        <v>1.1163829193412999E-2</v>
      </c>
    </row>
    <row r="19" spans="2:5" ht="14.5" customHeight="1">
      <c r="B19" s="96" t="s">
        <v>73</v>
      </c>
      <c r="C19" s="66" t="s">
        <v>138</v>
      </c>
      <c r="D19" s="67">
        <v>9</v>
      </c>
      <c r="E19" s="68">
        <v>2.5118615685179998E-3</v>
      </c>
    </row>
    <row r="20" spans="2:5" ht="14.5" customHeight="1">
      <c r="B20" s="97"/>
      <c r="C20" s="66" t="s">
        <v>139</v>
      </c>
      <c r="D20" s="67">
        <v>14</v>
      </c>
      <c r="E20" s="68">
        <v>3.9073402176949996E-3</v>
      </c>
    </row>
    <row r="21" spans="2:5" ht="14.5" customHeight="1">
      <c r="B21" s="98" t="s">
        <v>267</v>
      </c>
      <c r="C21" s="61" t="s">
        <v>28</v>
      </c>
      <c r="D21" s="62">
        <v>23</v>
      </c>
      <c r="E21" s="63">
        <v>6.4192017862130003E-3</v>
      </c>
    </row>
    <row r="22" spans="2:5" ht="14.5" customHeight="1">
      <c r="B22" s="96" t="s">
        <v>59</v>
      </c>
      <c r="C22" s="66" t="s">
        <v>138</v>
      </c>
      <c r="D22" s="67">
        <v>39</v>
      </c>
      <c r="E22" s="68">
        <v>1.0884733463578E-2</v>
      </c>
    </row>
    <row r="23" spans="2:5" ht="14.5" customHeight="1">
      <c r="B23" s="97"/>
      <c r="C23" s="66" t="s">
        <v>139</v>
      </c>
      <c r="D23" s="67">
        <v>49</v>
      </c>
      <c r="E23" s="68">
        <v>1.3675690761931E-2</v>
      </c>
    </row>
    <row r="24" spans="2:5" ht="14.5" customHeight="1">
      <c r="B24" s="98" t="s">
        <v>268</v>
      </c>
      <c r="C24" s="61" t="s">
        <v>28</v>
      </c>
      <c r="D24" s="62">
        <v>88</v>
      </c>
      <c r="E24" s="63">
        <v>2.4560424225509001E-2</v>
      </c>
    </row>
    <row r="25" spans="2:5" ht="14.5" customHeight="1">
      <c r="B25" s="96" t="s">
        <v>83</v>
      </c>
      <c r="C25" s="66" t="s">
        <v>138</v>
      </c>
      <c r="D25" s="67">
        <v>3</v>
      </c>
      <c r="E25" s="68">
        <v>8.3728718950600001E-4</v>
      </c>
    </row>
    <row r="26" spans="2:5" ht="14.5" customHeight="1">
      <c r="B26" s="97"/>
      <c r="C26" s="66" t="s">
        <v>139</v>
      </c>
      <c r="D26" s="67">
        <v>6</v>
      </c>
      <c r="E26" s="68">
        <v>1.674574379012E-3</v>
      </c>
    </row>
    <row r="27" spans="2:5" ht="14.5" customHeight="1">
      <c r="B27" s="98" t="s">
        <v>269</v>
      </c>
      <c r="C27" s="61" t="s">
        <v>28</v>
      </c>
      <c r="D27" s="62">
        <v>9</v>
      </c>
      <c r="E27" s="63">
        <v>2.5118615685179998E-3</v>
      </c>
    </row>
    <row r="28" spans="2:5" ht="14.5" customHeight="1">
      <c r="B28" s="96" t="s">
        <v>93</v>
      </c>
      <c r="C28" s="66" t="s">
        <v>138</v>
      </c>
      <c r="D28" s="67">
        <v>2</v>
      </c>
      <c r="E28" s="68">
        <v>5.5819145967100003E-4</v>
      </c>
    </row>
    <row r="29" spans="2:5" ht="14.5" customHeight="1">
      <c r="B29" s="97"/>
      <c r="C29" s="66" t="s">
        <v>139</v>
      </c>
      <c r="D29" s="67">
        <v>1</v>
      </c>
      <c r="E29" s="68">
        <v>2.7909572983499998E-4</v>
      </c>
    </row>
    <row r="30" spans="2:5" ht="14.5" customHeight="1">
      <c r="B30" s="98" t="s">
        <v>270</v>
      </c>
      <c r="C30" s="61" t="s">
        <v>28</v>
      </c>
      <c r="D30" s="62">
        <v>3</v>
      </c>
      <c r="E30" s="63">
        <v>8.3728718950600001E-4</v>
      </c>
    </row>
    <row r="31" spans="2:5" ht="14.5" customHeight="1">
      <c r="B31" s="89" t="s">
        <v>94</v>
      </c>
      <c r="C31" s="66" t="s">
        <v>138</v>
      </c>
      <c r="D31" s="67">
        <v>3</v>
      </c>
      <c r="E31" s="68">
        <v>8.3728718950600001E-4</v>
      </c>
    </row>
    <row r="32" spans="2:5" ht="14.5" customHeight="1">
      <c r="B32" s="91" t="s">
        <v>271</v>
      </c>
      <c r="C32" s="61" t="s">
        <v>28</v>
      </c>
      <c r="D32" s="62">
        <v>3</v>
      </c>
      <c r="E32" s="63">
        <v>8.3728718950600001E-4</v>
      </c>
    </row>
    <row r="33" spans="2:5" ht="14.5" customHeight="1">
      <c r="B33" s="96" t="s">
        <v>55</v>
      </c>
      <c r="C33" s="66" t="s">
        <v>138</v>
      </c>
      <c r="D33" s="67">
        <v>79</v>
      </c>
      <c r="E33" s="68">
        <v>2.2048562656991001E-2</v>
      </c>
    </row>
    <row r="34" spans="2:5" ht="14.5" customHeight="1">
      <c r="B34" s="97"/>
      <c r="C34" s="66" t="s">
        <v>139</v>
      </c>
      <c r="D34" s="67">
        <v>93</v>
      </c>
      <c r="E34" s="68">
        <v>2.5955902874686E-2</v>
      </c>
    </row>
    <row r="35" spans="2:5" ht="14.5" customHeight="1">
      <c r="B35" s="98" t="s">
        <v>272</v>
      </c>
      <c r="C35" s="61" t="s">
        <v>28</v>
      </c>
      <c r="D35" s="62">
        <v>172</v>
      </c>
      <c r="E35" s="63">
        <v>4.8004465531676997E-2</v>
      </c>
    </row>
    <row r="36" spans="2:5" ht="14.5" customHeight="1">
      <c r="B36" s="96" t="s">
        <v>58</v>
      </c>
      <c r="C36" s="66" t="s">
        <v>138</v>
      </c>
      <c r="D36" s="67">
        <v>58</v>
      </c>
      <c r="E36" s="68">
        <v>1.6187552330448999E-2</v>
      </c>
    </row>
    <row r="37" spans="2:5" ht="14.5" customHeight="1">
      <c r="B37" s="97"/>
      <c r="C37" s="66" t="s">
        <v>139</v>
      </c>
      <c r="D37" s="67">
        <v>64</v>
      </c>
      <c r="E37" s="68">
        <v>1.7862126709460999E-2</v>
      </c>
    </row>
    <row r="38" spans="2:5" ht="14.5" customHeight="1">
      <c r="B38" s="98" t="s">
        <v>273</v>
      </c>
      <c r="C38" s="61" t="s">
        <v>28</v>
      </c>
      <c r="D38" s="62">
        <v>122</v>
      </c>
      <c r="E38" s="63">
        <v>3.4049679039910997E-2</v>
      </c>
    </row>
    <row r="39" spans="2:5" ht="14.5" customHeight="1">
      <c r="B39" s="96" t="s">
        <v>67</v>
      </c>
      <c r="C39" s="66" t="s">
        <v>138</v>
      </c>
      <c r="D39" s="67">
        <v>17</v>
      </c>
      <c r="E39" s="68">
        <v>4.7446274072009999E-3</v>
      </c>
    </row>
    <row r="40" spans="2:5" ht="14.5" customHeight="1">
      <c r="B40" s="97"/>
      <c r="C40" s="66" t="s">
        <v>139</v>
      </c>
      <c r="D40" s="67">
        <v>25</v>
      </c>
      <c r="E40" s="68">
        <v>6.9773932458829999E-3</v>
      </c>
    </row>
    <row r="41" spans="2:5" ht="14.5" customHeight="1">
      <c r="B41" s="98" t="s">
        <v>274</v>
      </c>
      <c r="C41" s="61" t="s">
        <v>28</v>
      </c>
      <c r="D41" s="62">
        <v>42</v>
      </c>
      <c r="E41" s="63">
        <v>1.1722020653084E-2</v>
      </c>
    </row>
    <row r="42" spans="2:5" ht="14.5" customHeight="1">
      <c r="B42" s="96" t="s">
        <v>80</v>
      </c>
      <c r="C42" s="66" t="s">
        <v>138</v>
      </c>
      <c r="D42" s="67">
        <v>6</v>
      </c>
      <c r="E42" s="68">
        <v>1.674574379012E-3</v>
      </c>
    </row>
    <row r="43" spans="2:5" ht="14.5" customHeight="1">
      <c r="B43" s="97"/>
      <c r="C43" s="66" t="s">
        <v>139</v>
      </c>
      <c r="D43" s="67">
        <v>8</v>
      </c>
      <c r="E43" s="68">
        <v>2.2327658386830001E-3</v>
      </c>
    </row>
    <row r="44" spans="2:5" ht="14.5" customHeight="1">
      <c r="B44" s="98" t="s">
        <v>275</v>
      </c>
      <c r="C44" s="61" t="s">
        <v>28</v>
      </c>
      <c r="D44" s="62">
        <v>14</v>
      </c>
      <c r="E44" s="63">
        <v>3.9073402176949996E-3</v>
      </c>
    </row>
    <row r="45" spans="2:5" ht="14.5" customHeight="1">
      <c r="B45" s="96" t="s">
        <v>89</v>
      </c>
      <c r="C45" s="66" t="s">
        <v>138</v>
      </c>
      <c r="D45" s="67">
        <v>1</v>
      </c>
      <c r="E45" s="68">
        <v>2.7909572983499998E-4</v>
      </c>
    </row>
    <row r="46" spans="2:5" ht="14.5" customHeight="1">
      <c r="B46" s="97"/>
      <c r="C46" s="66" t="s">
        <v>139</v>
      </c>
      <c r="D46" s="67">
        <v>4</v>
      </c>
      <c r="E46" s="68">
        <v>1.116382919341E-3</v>
      </c>
    </row>
    <row r="47" spans="2:5" ht="14.5" customHeight="1">
      <c r="B47" s="98" t="s">
        <v>276</v>
      </c>
      <c r="C47" s="61" t="s">
        <v>28</v>
      </c>
      <c r="D47" s="62">
        <v>5</v>
      </c>
      <c r="E47" s="63">
        <v>1.395478649177E-3</v>
      </c>
    </row>
    <row r="48" spans="2:5" ht="14.5" customHeight="1">
      <c r="B48" s="96" t="s">
        <v>85</v>
      </c>
      <c r="C48" s="66" t="s">
        <v>138</v>
      </c>
      <c r="D48" s="67">
        <v>2</v>
      </c>
      <c r="E48" s="68">
        <v>5.5819145967100003E-4</v>
      </c>
    </row>
    <row r="49" spans="2:5" ht="14.5" customHeight="1">
      <c r="B49" s="97"/>
      <c r="C49" s="66" t="s">
        <v>139</v>
      </c>
      <c r="D49" s="67">
        <v>6</v>
      </c>
      <c r="E49" s="68">
        <v>1.674574379012E-3</v>
      </c>
    </row>
    <row r="50" spans="2:5" ht="14.5" customHeight="1">
      <c r="B50" s="98" t="s">
        <v>277</v>
      </c>
      <c r="C50" s="61" t="s">
        <v>28</v>
      </c>
      <c r="D50" s="62">
        <v>8</v>
      </c>
      <c r="E50" s="63">
        <v>2.2327658386830001E-3</v>
      </c>
    </row>
    <row r="51" spans="2:5" ht="14.5" customHeight="1">
      <c r="B51" s="96" t="s">
        <v>51</v>
      </c>
      <c r="C51" s="66" t="s">
        <v>138</v>
      </c>
      <c r="D51" s="67">
        <v>266</v>
      </c>
      <c r="E51" s="68">
        <v>7.4239464136199002E-2</v>
      </c>
    </row>
    <row r="52" spans="2:5" ht="14.5" customHeight="1">
      <c r="B52" s="97"/>
      <c r="C52" s="66" t="s">
        <v>139</v>
      </c>
      <c r="D52" s="67">
        <v>267</v>
      </c>
      <c r="E52" s="68">
        <v>7.4518559866034007E-2</v>
      </c>
    </row>
    <row r="53" spans="2:5" ht="14.5" customHeight="1">
      <c r="B53" s="98" t="s">
        <v>278</v>
      </c>
      <c r="C53" s="61" t="s">
        <v>28</v>
      </c>
      <c r="D53" s="62">
        <v>533</v>
      </c>
      <c r="E53" s="63">
        <v>0.14875802400223301</v>
      </c>
    </row>
    <row r="54" spans="2:5" ht="14.5" customHeight="1">
      <c r="B54" s="96" t="s">
        <v>60</v>
      </c>
      <c r="C54" s="66" t="s">
        <v>138</v>
      </c>
      <c r="D54" s="67">
        <v>44</v>
      </c>
      <c r="E54" s="68">
        <v>1.2280212112755E-2</v>
      </c>
    </row>
    <row r="55" spans="2:5" ht="14.5" customHeight="1">
      <c r="B55" s="97"/>
      <c r="C55" s="66" t="s">
        <v>139</v>
      </c>
      <c r="D55" s="67">
        <v>37</v>
      </c>
      <c r="E55" s="68">
        <v>1.0326542003907001E-2</v>
      </c>
    </row>
    <row r="56" spans="2:5" ht="14.5" customHeight="1">
      <c r="B56" s="98" t="s">
        <v>279</v>
      </c>
      <c r="C56" s="61" t="s">
        <v>28</v>
      </c>
      <c r="D56" s="62">
        <v>81</v>
      </c>
      <c r="E56" s="63">
        <v>2.2606754116661999E-2</v>
      </c>
    </row>
    <row r="57" spans="2:5" ht="14.5" customHeight="1">
      <c r="B57" s="96" t="s">
        <v>78</v>
      </c>
      <c r="C57" s="66" t="s">
        <v>138</v>
      </c>
      <c r="D57" s="67">
        <v>5</v>
      </c>
      <c r="E57" s="68">
        <v>1.395478649177E-3</v>
      </c>
    </row>
    <row r="58" spans="2:5" ht="14.5" customHeight="1">
      <c r="B58" s="97"/>
      <c r="C58" s="66" t="s">
        <v>139</v>
      </c>
      <c r="D58" s="67">
        <v>11</v>
      </c>
      <c r="E58" s="68">
        <v>3.0700530281889999E-3</v>
      </c>
    </row>
    <row r="59" spans="2:5" ht="14.5" customHeight="1">
      <c r="B59" s="98" t="s">
        <v>280</v>
      </c>
      <c r="C59" s="61" t="s">
        <v>28</v>
      </c>
      <c r="D59" s="62">
        <v>16</v>
      </c>
      <c r="E59" s="63">
        <v>4.465531677365E-3</v>
      </c>
    </row>
    <row r="60" spans="2:5" ht="14.5" customHeight="1">
      <c r="B60" s="96" t="s">
        <v>68</v>
      </c>
      <c r="C60" s="66" t="s">
        <v>138</v>
      </c>
      <c r="D60" s="67">
        <v>18</v>
      </c>
      <c r="E60" s="68">
        <v>5.0237231370359996E-3</v>
      </c>
    </row>
    <row r="61" spans="2:5" ht="14.5" customHeight="1">
      <c r="B61" s="97"/>
      <c r="C61" s="66" t="s">
        <v>139</v>
      </c>
      <c r="D61" s="67">
        <v>24</v>
      </c>
      <c r="E61" s="68">
        <v>6.6982975160480001E-3</v>
      </c>
    </row>
    <row r="62" spans="2:5" ht="14.5" customHeight="1">
      <c r="B62" s="98" t="s">
        <v>281</v>
      </c>
      <c r="C62" s="61" t="s">
        <v>28</v>
      </c>
      <c r="D62" s="62">
        <v>42</v>
      </c>
      <c r="E62" s="63">
        <v>1.1722020653084E-2</v>
      </c>
    </row>
    <row r="63" spans="2:5" ht="14.5" customHeight="1">
      <c r="B63" s="96" t="s">
        <v>87</v>
      </c>
      <c r="C63" s="66" t="s">
        <v>138</v>
      </c>
      <c r="D63" s="67">
        <v>5</v>
      </c>
      <c r="E63" s="68">
        <v>1.395478649177E-3</v>
      </c>
    </row>
    <row r="64" spans="2:5" ht="14.5" customHeight="1">
      <c r="B64" s="97"/>
      <c r="C64" s="66" t="s">
        <v>139</v>
      </c>
      <c r="D64" s="67">
        <v>2</v>
      </c>
      <c r="E64" s="68">
        <v>5.5819145967100003E-4</v>
      </c>
    </row>
    <row r="65" spans="2:5" ht="14.5" customHeight="1">
      <c r="B65" s="98" t="s">
        <v>282</v>
      </c>
      <c r="C65" s="61" t="s">
        <v>28</v>
      </c>
      <c r="D65" s="62">
        <v>7</v>
      </c>
      <c r="E65" s="63">
        <v>1.9536701088469998E-3</v>
      </c>
    </row>
    <row r="66" spans="2:5" ht="14.5" customHeight="1">
      <c r="B66" s="96" t="s">
        <v>54</v>
      </c>
      <c r="C66" s="66" t="s">
        <v>138</v>
      </c>
      <c r="D66" s="67">
        <v>90</v>
      </c>
      <c r="E66" s="68">
        <v>2.511861568518E-2</v>
      </c>
    </row>
    <row r="67" spans="2:5" ht="14.5" customHeight="1">
      <c r="B67" s="97"/>
      <c r="C67" s="66" t="s">
        <v>139</v>
      </c>
      <c r="D67" s="67">
        <v>91</v>
      </c>
      <c r="E67" s="68">
        <v>2.5397711415015001E-2</v>
      </c>
    </row>
    <row r="68" spans="2:5" ht="14.5" customHeight="1">
      <c r="B68" s="98" t="s">
        <v>283</v>
      </c>
      <c r="C68" s="61" t="s">
        <v>28</v>
      </c>
      <c r="D68" s="62">
        <v>181</v>
      </c>
      <c r="E68" s="63">
        <v>5.0516327100194998E-2</v>
      </c>
    </row>
    <row r="69" spans="2:5" ht="14.5" customHeight="1">
      <c r="B69" s="96" t="s">
        <v>71</v>
      </c>
      <c r="C69" s="66" t="s">
        <v>138</v>
      </c>
      <c r="D69" s="67">
        <v>17</v>
      </c>
      <c r="E69" s="68">
        <v>4.7446274072009999E-3</v>
      </c>
    </row>
    <row r="70" spans="2:5" ht="14.5" customHeight="1">
      <c r="B70" s="97"/>
      <c r="C70" s="66" t="s">
        <v>139</v>
      </c>
      <c r="D70" s="67">
        <v>13</v>
      </c>
      <c r="E70" s="68">
        <v>3.6282444878589998E-3</v>
      </c>
    </row>
    <row r="71" spans="2:5" ht="14.5" customHeight="1">
      <c r="B71" s="98" t="s">
        <v>284</v>
      </c>
      <c r="C71" s="61" t="s">
        <v>28</v>
      </c>
      <c r="D71" s="62">
        <v>30</v>
      </c>
      <c r="E71" s="63">
        <v>8.3728718950600006E-3</v>
      </c>
    </row>
    <row r="72" spans="2:5" ht="14.5" customHeight="1">
      <c r="B72" s="96" t="s">
        <v>50</v>
      </c>
      <c r="C72" s="66" t="s">
        <v>138</v>
      </c>
      <c r="D72" s="67">
        <v>478</v>
      </c>
      <c r="E72" s="68">
        <v>0.133407758861289</v>
      </c>
    </row>
    <row r="73" spans="2:5" ht="14.5" customHeight="1">
      <c r="B73" s="97"/>
      <c r="C73" s="66" t="s">
        <v>139</v>
      </c>
      <c r="D73" s="67">
        <v>428</v>
      </c>
      <c r="E73" s="68">
        <v>0.119452972369523</v>
      </c>
    </row>
    <row r="74" spans="2:5" ht="14.5" customHeight="1">
      <c r="B74" s="98" t="s">
        <v>285</v>
      </c>
      <c r="C74" s="61" t="s">
        <v>28</v>
      </c>
      <c r="D74" s="62">
        <v>906</v>
      </c>
      <c r="E74" s="63">
        <v>0.25286073123081199</v>
      </c>
    </row>
    <row r="75" spans="2:5" ht="14.5" customHeight="1">
      <c r="B75" s="96" t="s">
        <v>81</v>
      </c>
      <c r="C75" s="66" t="s">
        <v>138</v>
      </c>
      <c r="D75" s="67">
        <v>4</v>
      </c>
      <c r="E75" s="68">
        <v>1.116382919341E-3</v>
      </c>
    </row>
    <row r="76" spans="2:5" ht="14.5" customHeight="1">
      <c r="B76" s="97"/>
      <c r="C76" s="66" t="s">
        <v>139</v>
      </c>
      <c r="D76" s="67">
        <v>8</v>
      </c>
      <c r="E76" s="68">
        <v>2.2327658386830001E-3</v>
      </c>
    </row>
    <row r="77" spans="2:5" ht="14.5" customHeight="1">
      <c r="B77" s="98" t="s">
        <v>286</v>
      </c>
      <c r="C77" s="61" t="s">
        <v>28</v>
      </c>
      <c r="D77" s="62">
        <v>12</v>
      </c>
      <c r="E77" s="63">
        <v>3.349148758024E-3</v>
      </c>
    </row>
    <row r="78" spans="2:5" ht="14.5" customHeight="1">
      <c r="B78" s="96" t="s">
        <v>74</v>
      </c>
      <c r="C78" s="66" t="s">
        <v>138</v>
      </c>
      <c r="D78" s="67">
        <v>9</v>
      </c>
      <c r="E78" s="68">
        <v>2.5118615685179998E-3</v>
      </c>
    </row>
    <row r="79" spans="2:5" ht="14.5" customHeight="1">
      <c r="B79" s="97"/>
      <c r="C79" s="66" t="s">
        <v>139</v>
      </c>
      <c r="D79" s="67">
        <v>13</v>
      </c>
      <c r="E79" s="68">
        <v>3.6282444878589998E-3</v>
      </c>
    </row>
    <row r="80" spans="2:5" ht="14.5" customHeight="1">
      <c r="B80" s="98" t="s">
        <v>287</v>
      </c>
      <c r="C80" s="61" t="s">
        <v>28</v>
      </c>
      <c r="D80" s="62">
        <v>22</v>
      </c>
      <c r="E80" s="63">
        <v>6.1401060563769996E-3</v>
      </c>
    </row>
    <row r="81" spans="2:5" ht="14.5" customHeight="1">
      <c r="B81" s="96" t="s">
        <v>86</v>
      </c>
      <c r="C81" s="66" t="s">
        <v>138</v>
      </c>
      <c r="D81" s="67">
        <v>3</v>
      </c>
      <c r="E81" s="68">
        <v>8.3728718950600001E-4</v>
      </c>
    </row>
    <row r="82" spans="2:5" ht="14.5" customHeight="1">
      <c r="B82" s="97"/>
      <c r="C82" s="66" t="s">
        <v>139</v>
      </c>
      <c r="D82" s="67">
        <v>5</v>
      </c>
      <c r="E82" s="68">
        <v>1.395478649177E-3</v>
      </c>
    </row>
    <row r="83" spans="2:5" ht="14.5" customHeight="1">
      <c r="B83" s="98" t="s">
        <v>288</v>
      </c>
      <c r="C83" s="61" t="s">
        <v>28</v>
      </c>
      <c r="D83" s="62">
        <v>8</v>
      </c>
      <c r="E83" s="63">
        <v>2.2327658386830001E-3</v>
      </c>
    </row>
    <row r="84" spans="2:5" ht="14.5" customHeight="1">
      <c r="B84" s="89" t="s">
        <v>96</v>
      </c>
      <c r="C84" s="66" t="s">
        <v>139</v>
      </c>
      <c r="D84" s="67">
        <v>1</v>
      </c>
      <c r="E84" s="68">
        <v>2.7909572983499998E-4</v>
      </c>
    </row>
    <row r="85" spans="2:5" ht="14.5" customHeight="1">
      <c r="B85" s="91" t="s">
        <v>289</v>
      </c>
      <c r="C85" s="61" t="s">
        <v>28</v>
      </c>
      <c r="D85" s="62">
        <v>1</v>
      </c>
      <c r="E85" s="63">
        <v>2.7909572983499998E-4</v>
      </c>
    </row>
    <row r="86" spans="2:5" ht="14.5" customHeight="1">
      <c r="B86" s="96" t="s">
        <v>91</v>
      </c>
      <c r="C86" s="66" t="s">
        <v>138</v>
      </c>
      <c r="D86" s="67">
        <v>3</v>
      </c>
      <c r="E86" s="68">
        <v>8.3728718950600001E-4</v>
      </c>
    </row>
    <row r="87" spans="2:5" ht="14.5" customHeight="1">
      <c r="B87" s="97"/>
      <c r="C87" s="66" t="s">
        <v>139</v>
      </c>
      <c r="D87" s="67">
        <v>1</v>
      </c>
      <c r="E87" s="68">
        <v>2.7909572983499998E-4</v>
      </c>
    </row>
    <row r="88" spans="2:5" ht="14.5" customHeight="1">
      <c r="B88" s="98" t="s">
        <v>290</v>
      </c>
      <c r="C88" s="61" t="s">
        <v>28</v>
      </c>
      <c r="D88" s="62">
        <v>4</v>
      </c>
      <c r="E88" s="63">
        <v>1.116382919341E-3</v>
      </c>
    </row>
    <row r="89" spans="2:5" ht="14.5" customHeight="1">
      <c r="B89" s="96" t="s">
        <v>90</v>
      </c>
      <c r="C89" s="66" t="s">
        <v>138</v>
      </c>
      <c r="D89" s="67">
        <v>3</v>
      </c>
      <c r="E89" s="68">
        <v>8.3728718950600001E-4</v>
      </c>
    </row>
    <row r="90" spans="2:5" ht="14.5" customHeight="1">
      <c r="B90" s="97"/>
      <c r="C90" s="66" t="s">
        <v>139</v>
      </c>
      <c r="D90" s="67">
        <v>2</v>
      </c>
      <c r="E90" s="68">
        <v>5.5819145967100003E-4</v>
      </c>
    </row>
    <row r="91" spans="2:5" ht="14.5" customHeight="1">
      <c r="B91" s="98" t="s">
        <v>291</v>
      </c>
      <c r="C91" s="61" t="s">
        <v>28</v>
      </c>
      <c r="D91" s="62">
        <v>5</v>
      </c>
      <c r="E91" s="63">
        <v>1.395478649177E-3</v>
      </c>
    </row>
    <row r="92" spans="2:5" ht="14.5" customHeight="1">
      <c r="B92" s="96" t="s">
        <v>76</v>
      </c>
      <c r="C92" s="66" t="s">
        <v>138</v>
      </c>
      <c r="D92" s="67">
        <v>10</v>
      </c>
      <c r="E92" s="68">
        <v>2.790957298353E-3</v>
      </c>
    </row>
    <row r="93" spans="2:5" ht="14.5" customHeight="1">
      <c r="B93" s="97"/>
      <c r="C93" s="66" t="s">
        <v>139</v>
      </c>
      <c r="D93" s="67">
        <v>11</v>
      </c>
      <c r="E93" s="68">
        <v>3.0700530281889999E-3</v>
      </c>
    </row>
    <row r="94" spans="2:5" ht="14.5" customHeight="1">
      <c r="B94" s="98" t="s">
        <v>292</v>
      </c>
      <c r="C94" s="61" t="s">
        <v>28</v>
      </c>
      <c r="D94" s="62">
        <v>21</v>
      </c>
      <c r="E94" s="63">
        <v>5.8610103265419999E-3</v>
      </c>
    </row>
    <row r="95" spans="2:5" ht="14.5" customHeight="1">
      <c r="B95" s="96" t="s">
        <v>79</v>
      </c>
      <c r="C95" s="66" t="s">
        <v>138</v>
      </c>
      <c r="D95" s="67">
        <v>3</v>
      </c>
      <c r="E95" s="68">
        <v>8.3728718950600001E-4</v>
      </c>
    </row>
    <row r="96" spans="2:5" ht="14.5" customHeight="1">
      <c r="B96" s="97"/>
      <c r="C96" s="66" t="s">
        <v>139</v>
      </c>
      <c r="D96" s="67">
        <v>13</v>
      </c>
      <c r="E96" s="68">
        <v>3.6282444878589998E-3</v>
      </c>
    </row>
    <row r="97" spans="2:5" ht="14.5" customHeight="1">
      <c r="B97" s="98" t="s">
        <v>293</v>
      </c>
      <c r="C97" s="61" t="s">
        <v>28</v>
      </c>
      <c r="D97" s="62">
        <v>16</v>
      </c>
      <c r="E97" s="63">
        <v>4.465531677365E-3</v>
      </c>
    </row>
    <row r="98" spans="2:5" ht="14.5" customHeight="1">
      <c r="B98" s="96" t="s">
        <v>75</v>
      </c>
      <c r="C98" s="66" t="s">
        <v>138</v>
      </c>
      <c r="D98" s="67">
        <v>8</v>
      </c>
      <c r="E98" s="68">
        <v>2.2327658386830001E-3</v>
      </c>
    </row>
    <row r="99" spans="2:5" ht="14.5" customHeight="1">
      <c r="B99" s="97"/>
      <c r="C99" s="66" t="s">
        <v>139</v>
      </c>
      <c r="D99" s="67">
        <v>14</v>
      </c>
      <c r="E99" s="68">
        <v>3.9073402176949996E-3</v>
      </c>
    </row>
    <row r="100" spans="2:5" ht="14.5" customHeight="1">
      <c r="B100" s="98" t="s">
        <v>294</v>
      </c>
      <c r="C100" s="61" t="s">
        <v>28</v>
      </c>
      <c r="D100" s="62">
        <v>22</v>
      </c>
      <c r="E100" s="63">
        <v>6.1401060563769996E-3</v>
      </c>
    </row>
    <row r="101" spans="2:5" ht="14.5" customHeight="1">
      <c r="B101" s="96" t="s">
        <v>64</v>
      </c>
      <c r="C101" s="66" t="s">
        <v>138</v>
      </c>
      <c r="D101" s="67">
        <v>22</v>
      </c>
      <c r="E101" s="68">
        <v>6.1401060563769996E-3</v>
      </c>
    </row>
    <row r="102" spans="2:5" ht="14.5" customHeight="1">
      <c r="B102" s="97"/>
      <c r="C102" s="66" t="s">
        <v>139</v>
      </c>
      <c r="D102" s="67">
        <v>25</v>
      </c>
      <c r="E102" s="68">
        <v>6.9773932458829999E-3</v>
      </c>
    </row>
    <row r="103" spans="2:5" ht="14.5" customHeight="1">
      <c r="B103" s="98" t="s">
        <v>295</v>
      </c>
      <c r="C103" s="61" t="s">
        <v>28</v>
      </c>
      <c r="D103" s="62">
        <v>47</v>
      </c>
      <c r="E103" s="63">
        <v>1.3117499302261E-2</v>
      </c>
    </row>
    <row r="104" spans="2:5" ht="14.5" customHeight="1">
      <c r="B104" s="96" t="s">
        <v>61</v>
      </c>
      <c r="C104" s="66" t="s">
        <v>138</v>
      </c>
      <c r="D104" s="67">
        <v>33</v>
      </c>
      <c r="E104" s="68">
        <v>9.2101590845660008E-3</v>
      </c>
    </row>
    <row r="105" spans="2:5" ht="14.5" customHeight="1">
      <c r="B105" s="97"/>
      <c r="C105" s="66" t="s">
        <v>139</v>
      </c>
      <c r="D105" s="67">
        <v>41</v>
      </c>
      <c r="E105" s="68">
        <v>1.1442924923249E-2</v>
      </c>
    </row>
    <row r="106" spans="2:5" ht="14.5" customHeight="1">
      <c r="B106" s="98" t="s">
        <v>296</v>
      </c>
      <c r="C106" s="61" t="s">
        <v>28</v>
      </c>
      <c r="D106" s="62">
        <v>74</v>
      </c>
      <c r="E106" s="63">
        <v>2.0653084007815001E-2</v>
      </c>
    </row>
    <row r="107" spans="2:5" ht="14.5" customHeight="1">
      <c r="B107" s="96" t="s">
        <v>62</v>
      </c>
      <c r="C107" s="66" t="s">
        <v>138</v>
      </c>
      <c r="D107" s="67">
        <v>28</v>
      </c>
      <c r="E107" s="68">
        <v>7.8146804353890001E-3</v>
      </c>
    </row>
    <row r="108" spans="2:5" ht="14.5" customHeight="1">
      <c r="B108" s="97"/>
      <c r="C108" s="66" t="s">
        <v>139</v>
      </c>
      <c r="D108" s="67">
        <v>30</v>
      </c>
      <c r="E108" s="68">
        <v>8.3728718950600006E-3</v>
      </c>
    </row>
    <row r="109" spans="2:5" ht="14.5" customHeight="1">
      <c r="B109" s="98" t="s">
        <v>297</v>
      </c>
      <c r="C109" s="61" t="s">
        <v>28</v>
      </c>
      <c r="D109" s="62">
        <v>58</v>
      </c>
      <c r="E109" s="63">
        <v>1.6187552330448999E-2</v>
      </c>
    </row>
    <row r="110" spans="2:5" ht="14.5" customHeight="1">
      <c r="B110" s="89" t="s">
        <v>97</v>
      </c>
      <c r="C110" s="66" t="s">
        <v>138</v>
      </c>
      <c r="D110" s="67">
        <v>1</v>
      </c>
      <c r="E110" s="68">
        <v>2.7909572983499998E-4</v>
      </c>
    </row>
    <row r="111" spans="2:5" ht="14.5" customHeight="1">
      <c r="B111" s="91"/>
      <c r="C111" s="61" t="s">
        <v>28</v>
      </c>
      <c r="D111" s="62">
        <v>1</v>
      </c>
      <c r="E111" s="63">
        <v>2.7909572983499998E-4</v>
      </c>
    </row>
    <row r="112" spans="2:5" ht="14.5" customHeight="1">
      <c r="B112" s="96" t="s">
        <v>66</v>
      </c>
      <c r="C112" s="66" t="s">
        <v>138</v>
      </c>
      <c r="D112" s="67">
        <v>26</v>
      </c>
      <c r="E112" s="68">
        <v>7.2564889757189997E-3</v>
      </c>
    </row>
    <row r="113" spans="2:5" ht="14.5" customHeight="1">
      <c r="B113" s="97"/>
      <c r="C113" s="66" t="s">
        <v>139</v>
      </c>
      <c r="D113" s="67">
        <v>19</v>
      </c>
      <c r="E113" s="68">
        <v>5.3028188668710003E-3</v>
      </c>
    </row>
    <row r="114" spans="2:5" ht="14.5" customHeight="1">
      <c r="B114" s="98" t="s">
        <v>298</v>
      </c>
      <c r="C114" s="61" t="s">
        <v>28</v>
      </c>
      <c r="D114" s="62">
        <v>45</v>
      </c>
      <c r="E114" s="63">
        <v>1.255930784259E-2</v>
      </c>
    </row>
    <row r="115" spans="2:5" ht="14.5" customHeight="1">
      <c r="B115" s="96" t="s">
        <v>53</v>
      </c>
      <c r="C115" s="66" t="s">
        <v>138</v>
      </c>
      <c r="D115" s="67">
        <v>101</v>
      </c>
      <c r="E115" s="68">
        <v>2.8188668713368999E-2</v>
      </c>
    </row>
    <row r="116" spans="2:5" ht="14.5" customHeight="1">
      <c r="B116" s="97"/>
      <c r="C116" s="66" t="s">
        <v>139</v>
      </c>
      <c r="D116" s="67">
        <v>100</v>
      </c>
      <c r="E116" s="68">
        <v>2.7909572983532999E-2</v>
      </c>
    </row>
    <row r="117" spans="2:5" ht="14.5" customHeight="1">
      <c r="B117" s="98" t="s">
        <v>299</v>
      </c>
      <c r="C117" s="61" t="s">
        <v>28</v>
      </c>
      <c r="D117" s="62">
        <v>201</v>
      </c>
      <c r="E117" s="63">
        <v>5.6098241696902001E-2</v>
      </c>
    </row>
    <row r="118" spans="2:5" ht="14.5" customHeight="1">
      <c r="B118" s="96" t="s">
        <v>82</v>
      </c>
      <c r="C118" s="66" t="s">
        <v>138</v>
      </c>
      <c r="D118" s="67">
        <v>4</v>
      </c>
      <c r="E118" s="68">
        <v>1.116382919341E-3</v>
      </c>
    </row>
    <row r="119" spans="2:5" ht="14.5" customHeight="1">
      <c r="B119" s="97"/>
      <c r="C119" s="66" t="s">
        <v>139</v>
      </c>
      <c r="D119" s="67">
        <v>8</v>
      </c>
      <c r="E119" s="68">
        <v>2.2327658386830001E-3</v>
      </c>
    </row>
    <row r="120" spans="2:5" ht="14.5" customHeight="1">
      <c r="B120" s="98" t="s">
        <v>300</v>
      </c>
      <c r="C120" s="61" t="s">
        <v>28</v>
      </c>
      <c r="D120" s="62">
        <v>12</v>
      </c>
      <c r="E120" s="63">
        <v>3.349148758024E-3</v>
      </c>
    </row>
    <row r="121" spans="2:5" ht="14.5" customHeight="1">
      <c r="B121" s="96" t="s">
        <v>72</v>
      </c>
      <c r="C121" s="66" t="s">
        <v>138</v>
      </c>
      <c r="D121" s="67">
        <v>15</v>
      </c>
      <c r="E121" s="68">
        <v>4.1864359475300003E-3</v>
      </c>
    </row>
    <row r="122" spans="2:5" ht="14.5" customHeight="1">
      <c r="B122" s="97"/>
      <c r="C122" s="66" t="s">
        <v>139</v>
      </c>
      <c r="D122" s="67">
        <v>15</v>
      </c>
      <c r="E122" s="68">
        <v>4.1864359475300003E-3</v>
      </c>
    </row>
    <row r="123" spans="2:5" ht="14.5" customHeight="1">
      <c r="B123" s="98" t="s">
        <v>301</v>
      </c>
      <c r="C123" s="61" t="s">
        <v>28</v>
      </c>
      <c r="D123" s="62">
        <v>30</v>
      </c>
      <c r="E123" s="63">
        <v>8.3728718950600006E-3</v>
      </c>
    </row>
    <row r="124" spans="2:5" ht="14.5" customHeight="1">
      <c r="B124" s="96" t="s">
        <v>77</v>
      </c>
      <c r="C124" s="66" t="s">
        <v>138</v>
      </c>
      <c r="D124" s="67">
        <v>10</v>
      </c>
      <c r="E124" s="68">
        <v>2.790957298353E-3</v>
      </c>
    </row>
    <row r="125" spans="2:5" ht="14.5" customHeight="1">
      <c r="B125" s="97"/>
      <c r="C125" s="66" t="s">
        <v>139</v>
      </c>
      <c r="D125" s="67">
        <v>7</v>
      </c>
      <c r="E125" s="68">
        <v>1.9536701088469998E-3</v>
      </c>
    </row>
    <row r="126" spans="2:5" ht="14.5" customHeight="1">
      <c r="B126" s="98" t="s">
        <v>302</v>
      </c>
      <c r="C126" s="61" t="s">
        <v>28</v>
      </c>
      <c r="D126" s="62">
        <v>17</v>
      </c>
      <c r="E126" s="63">
        <v>4.7446274072009999E-3</v>
      </c>
    </row>
    <row r="127" spans="2:5" ht="14.5" customHeight="1">
      <c r="B127" s="96" t="s">
        <v>52</v>
      </c>
      <c r="C127" s="66" t="s">
        <v>138</v>
      </c>
      <c r="D127" s="67">
        <v>111</v>
      </c>
      <c r="E127" s="68">
        <v>3.0979626011722002E-2</v>
      </c>
    </row>
    <row r="128" spans="2:5" ht="14.5" customHeight="1">
      <c r="B128" s="97"/>
      <c r="C128" s="66" t="s">
        <v>139</v>
      </c>
      <c r="D128" s="67">
        <v>112</v>
      </c>
      <c r="E128" s="68">
        <v>3.1258721741557E-2</v>
      </c>
    </row>
    <row r="129" spans="2:5" ht="14.5" customHeight="1">
      <c r="B129" s="98" t="s">
        <v>303</v>
      </c>
      <c r="C129" s="61" t="s">
        <v>28</v>
      </c>
      <c r="D129" s="62">
        <v>223</v>
      </c>
      <c r="E129" s="63">
        <v>6.2238347753279001E-2</v>
      </c>
    </row>
    <row r="130" spans="2:5" ht="14.5" customHeight="1">
      <c r="B130" s="96" t="s">
        <v>63</v>
      </c>
      <c r="C130" s="66" t="s">
        <v>138</v>
      </c>
      <c r="D130" s="67">
        <v>18</v>
      </c>
      <c r="E130" s="68">
        <v>5.0237231370359996E-3</v>
      </c>
    </row>
    <row r="131" spans="2:5" ht="14.5" customHeight="1">
      <c r="B131" s="97"/>
      <c r="C131" s="66" t="s">
        <v>139</v>
      </c>
      <c r="D131" s="67">
        <v>38</v>
      </c>
      <c r="E131" s="68">
        <v>1.0605637733743E-2</v>
      </c>
    </row>
    <row r="132" spans="2:5" ht="14.5" customHeight="1">
      <c r="B132" s="98" t="s">
        <v>304</v>
      </c>
      <c r="C132" s="61" t="s">
        <v>28</v>
      </c>
      <c r="D132" s="62">
        <v>56</v>
      </c>
      <c r="E132" s="63">
        <v>1.5629360870778999E-2</v>
      </c>
    </row>
    <row r="133" spans="2:5" ht="14.5" customHeight="1">
      <c r="B133" s="96" t="s">
        <v>65</v>
      </c>
      <c r="C133" s="66" t="s">
        <v>138</v>
      </c>
      <c r="D133" s="67">
        <v>26</v>
      </c>
      <c r="E133" s="68">
        <v>7.2564889757189997E-3</v>
      </c>
    </row>
    <row r="134" spans="2:5" ht="14.5" customHeight="1">
      <c r="B134" s="97"/>
      <c r="C134" s="66" t="s">
        <v>139</v>
      </c>
      <c r="D134" s="67">
        <v>20</v>
      </c>
      <c r="E134" s="68">
        <v>5.5819145967070001E-3</v>
      </c>
    </row>
    <row r="135" spans="2:5" ht="14.5" customHeight="1">
      <c r="B135" s="98" t="s">
        <v>305</v>
      </c>
      <c r="C135" s="61" t="s">
        <v>28</v>
      </c>
      <c r="D135" s="62">
        <v>46</v>
      </c>
      <c r="E135" s="63">
        <v>1.2838403572425E-2</v>
      </c>
    </row>
    <row r="136" spans="2:5" ht="14.5" customHeight="1">
      <c r="B136" s="96" t="s">
        <v>56</v>
      </c>
      <c r="C136" s="66" t="s">
        <v>138</v>
      </c>
      <c r="D136" s="67">
        <v>60</v>
      </c>
      <c r="E136" s="68">
        <v>1.6745743790120001E-2</v>
      </c>
    </row>
    <row r="137" spans="2:5" ht="14.5" customHeight="1">
      <c r="B137" s="97"/>
      <c r="C137" s="66" t="s">
        <v>139</v>
      </c>
      <c r="D137" s="67">
        <v>82</v>
      </c>
      <c r="E137" s="68">
        <v>2.2885849846497001E-2</v>
      </c>
    </row>
    <row r="138" spans="2:5" ht="14.5" customHeight="1">
      <c r="B138" s="98" t="s">
        <v>306</v>
      </c>
      <c r="C138" s="61" t="s">
        <v>28</v>
      </c>
      <c r="D138" s="62">
        <v>142</v>
      </c>
      <c r="E138" s="63">
        <v>3.9631593636617002E-2</v>
      </c>
    </row>
    <row r="139" spans="2:5" ht="14.5" customHeight="1">
      <c r="B139" s="96" t="s">
        <v>57</v>
      </c>
      <c r="C139" s="66" t="s">
        <v>138</v>
      </c>
      <c r="D139" s="67">
        <v>65</v>
      </c>
      <c r="E139" s="68">
        <v>1.8141222439297E-2</v>
      </c>
    </row>
    <row r="140" spans="2:5" ht="14.5" customHeight="1">
      <c r="B140" s="97"/>
      <c r="C140" s="66" t="s">
        <v>139</v>
      </c>
      <c r="D140" s="67">
        <v>66</v>
      </c>
      <c r="E140" s="68">
        <v>1.8420318169132002E-2</v>
      </c>
    </row>
    <row r="141" spans="2:5" ht="14.5" customHeight="1">
      <c r="B141" s="98" t="s">
        <v>307</v>
      </c>
      <c r="C141" s="61" t="s">
        <v>28</v>
      </c>
      <c r="D141" s="62">
        <v>131</v>
      </c>
      <c r="E141" s="63">
        <v>3.6561540608428998E-2</v>
      </c>
    </row>
    <row r="142" spans="2:5" ht="14.5" customHeight="1">
      <c r="B142" s="96" t="s">
        <v>69</v>
      </c>
      <c r="C142" s="66" t="s">
        <v>138</v>
      </c>
      <c r="D142" s="67">
        <v>14</v>
      </c>
      <c r="E142" s="68">
        <v>3.9073402176949996E-3</v>
      </c>
    </row>
    <row r="143" spans="2:5" ht="14.5" customHeight="1">
      <c r="B143" s="97"/>
      <c r="C143" s="66" t="s">
        <v>139</v>
      </c>
      <c r="D143" s="67">
        <v>28</v>
      </c>
      <c r="E143" s="68">
        <v>7.8146804353890001E-3</v>
      </c>
    </row>
    <row r="144" spans="2:5" ht="14.5" customHeight="1">
      <c r="B144" s="98" t="s">
        <v>308</v>
      </c>
      <c r="C144" s="61" t="s">
        <v>28</v>
      </c>
      <c r="D144" s="62">
        <v>42</v>
      </c>
      <c r="E144" s="63">
        <v>1.1722020653084E-2</v>
      </c>
    </row>
    <row r="145" spans="2:5" ht="14.5" customHeight="1">
      <c r="B145" s="96" t="s">
        <v>88</v>
      </c>
      <c r="C145" s="66" t="s">
        <v>138</v>
      </c>
      <c r="D145" s="67">
        <v>3</v>
      </c>
      <c r="E145" s="68">
        <v>8.3728718950600001E-4</v>
      </c>
    </row>
    <row r="146" spans="2:5" ht="14.5" customHeight="1">
      <c r="B146" s="97"/>
      <c r="C146" s="66" t="s">
        <v>139</v>
      </c>
      <c r="D146" s="67">
        <v>4</v>
      </c>
      <c r="E146" s="68">
        <v>1.116382919341E-3</v>
      </c>
    </row>
    <row r="147" spans="2:5" ht="14.5" customHeight="1">
      <c r="B147" s="98" t="s">
        <v>309</v>
      </c>
      <c r="C147" s="61" t="s">
        <v>28</v>
      </c>
      <c r="D147" s="62">
        <v>7</v>
      </c>
      <c r="E147" s="63">
        <v>1.9536701088469998E-3</v>
      </c>
    </row>
    <row r="148" spans="2:5" ht="14.5" customHeight="1">
      <c r="B148" s="96" t="s">
        <v>84</v>
      </c>
      <c r="C148" s="66" t="s">
        <v>138</v>
      </c>
      <c r="D148" s="67">
        <v>5</v>
      </c>
      <c r="E148" s="68">
        <v>1.395478649177E-3</v>
      </c>
    </row>
    <row r="149" spans="2:5" ht="14.5" customHeight="1">
      <c r="B149" s="97"/>
      <c r="C149" s="66" t="s">
        <v>139</v>
      </c>
      <c r="D149" s="67">
        <v>4</v>
      </c>
      <c r="E149" s="68">
        <v>1.116382919341E-3</v>
      </c>
    </row>
    <row r="150" spans="2:5" ht="14.5" customHeight="1">
      <c r="B150" s="98" t="s">
        <v>175</v>
      </c>
      <c r="C150" s="61" t="s">
        <v>28</v>
      </c>
      <c r="D150" s="62">
        <v>9</v>
      </c>
      <c r="E150" s="63">
        <v>2.5118615685179998E-3</v>
      </c>
    </row>
    <row r="151" spans="2:5" ht="14.5" customHeight="1">
      <c r="B151" s="96" t="s">
        <v>92</v>
      </c>
      <c r="C151" s="56" t="s">
        <v>138</v>
      </c>
      <c r="D151" s="57">
        <v>3</v>
      </c>
      <c r="E151" s="58">
        <v>8.3728718950600001E-4</v>
      </c>
    </row>
    <row r="152" spans="2:5" ht="14.5" customHeight="1">
      <c r="B152" s="97"/>
      <c r="C152" s="56" t="s">
        <v>139</v>
      </c>
      <c r="D152" s="57">
        <v>1</v>
      </c>
      <c r="E152" s="58">
        <v>2.7909572983499998E-4</v>
      </c>
    </row>
    <row r="153" spans="2:5" ht="14.5" customHeight="1">
      <c r="B153" s="98" t="s">
        <v>310</v>
      </c>
      <c r="C153" s="61" t="s">
        <v>28</v>
      </c>
      <c r="D153" s="62">
        <v>4</v>
      </c>
      <c r="E153" s="63">
        <v>1.116382919341E-3</v>
      </c>
    </row>
    <row r="154" spans="2:5" ht="14.5" customHeight="1">
      <c r="B154" s="94" t="s">
        <v>28</v>
      </c>
      <c r="C154" s="95"/>
      <c r="D154" s="59">
        <v>3583</v>
      </c>
      <c r="E154" s="60">
        <v>1</v>
      </c>
    </row>
    <row r="155" spans="2:5" ht="14.5" customHeight="1"/>
    <row r="156" spans="2:5" ht="14.5" customHeight="1">
      <c r="B156" s="15" t="s">
        <v>47</v>
      </c>
    </row>
    <row r="157" spans="2:5" ht="14.5" customHeight="1">
      <c r="B157" s="17" t="s">
        <v>17</v>
      </c>
    </row>
    <row r="158" spans="2:5" ht="14.5" customHeight="1">
      <c r="B158" s="16" t="s">
        <v>48</v>
      </c>
    </row>
    <row r="159" spans="2:5" ht="14.5" customHeight="1">
      <c r="B159" s="15" t="s">
        <v>16</v>
      </c>
    </row>
    <row r="160" spans="2:5" ht="14.5" customHeight="1">
      <c r="B160" s="15" t="s">
        <v>49</v>
      </c>
    </row>
  </sheetData>
  <mergeCells count="50">
    <mergeCell ref="B66:B68"/>
    <mergeCell ref="B104:B106"/>
    <mergeCell ref="B107:B109"/>
    <mergeCell ref="B75:B77"/>
    <mergeCell ref="B78:B80"/>
    <mergeCell ref="B81:B83"/>
    <mergeCell ref="B84:B85"/>
    <mergeCell ref="B86:B88"/>
    <mergeCell ref="B89:B91"/>
    <mergeCell ref="B92:B94"/>
    <mergeCell ref="B95:B97"/>
    <mergeCell ref="B98:B100"/>
    <mergeCell ref="B101:B103"/>
    <mergeCell ref="B25:B27"/>
    <mergeCell ref="B28:B30"/>
    <mergeCell ref="B31:B32"/>
    <mergeCell ref="B69:B71"/>
    <mergeCell ref="B72:B74"/>
    <mergeCell ref="B33:B35"/>
    <mergeCell ref="B36:B38"/>
    <mergeCell ref="B39:B41"/>
    <mergeCell ref="B42:B44"/>
    <mergeCell ref="B45:B47"/>
    <mergeCell ref="B48:B50"/>
    <mergeCell ref="B51:B53"/>
    <mergeCell ref="B54:B56"/>
    <mergeCell ref="B57:B59"/>
    <mergeCell ref="B60:B62"/>
    <mergeCell ref="B63:B65"/>
    <mergeCell ref="B8:E10"/>
    <mergeCell ref="B13:B15"/>
    <mergeCell ref="B16:B18"/>
    <mergeCell ref="B19:B21"/>
    <mergeCell ref="B22:B24"/>
    <mergeCell ref="B110:B111"/>
    <mergeCell ref="B112:B114"/>
    <mergeCell ref="B115:B117"/>
    <mergeCell ref="B118:B120"/>
    <mergeCell ref="B121:B123"/>
    <mergeCell ref="B124:B126"/>
    <mergeCell ref="B127:B129"/>
    <mergeCell ref="B130:B132"/>
    <mergeCell ref="B133:B135"/>
    <mergeCell ref="B136:B138"/>
    <mergeCell ref="B154:C154"/>
    <mergeCell ref="B139:B141"/>
    <mergeCell ref="B142:B144"/>
    <mergeCell ref="B145:B147"/>
    <mergeCell ref="B148:B150"/>
    <mergeCell ref="B151:B153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5">
    <tabColor rgb="FF00B050"/>
  </sheetPr>
  <dimension ref="B1:F134"/>
  <sheetViews>
    <sheetView showGridLines="0" view="pageBreakPreview" topLeftCell="A114" zoomScaleNormal="100" zoomScaleSheetLayoutView="100" workbookViewId="0">
      <selection activeCell="B8" sqref="B8:E10"/>
    </sheetView>
  </sheetViews>
  <sheetFormatPr baseColWidth="10" defaultColWidth="11.453125" defaultRowHeight="10"/>
  <cols>
    <col min="1" max="1" width="5.7265625" style="25" customWidth="1"/>
    <col min="2" max="2" width="22.81640625" style="41" customWidth="1"/>
    <col min="3" max="3" width="19.1796875" style="41" customWidth="1"/>
    <col min="4" max="4" width="15.7265625" style="44" customWidth="1"/>
    <col min="5" max="5" width="15.7265625" style="41" customWidth="1"/>
    <col min="6" max="6" width="5.7265625" style="25" customWidth="1"/>
    <col min="7" max="7" width="4.7265625" style="25" customWidth="1"/>
    <col min="8" max="16384" width="11.453125" style="25"/>
  </cols>
  <sheetData>
    <row r="1" spans="2:6" s="13" customFormat="1" ht="14.5">
      <c r="B1" s="41"/>
      <c r="C1" s="41"/>
    </row>
    <row r="2" spans="2:6" s="41" customFormat="1">
      <c r="B2" s="51"/>
    </row>
    <row r="3" spans="2:6" ht="15" customHeight="1">
      <c r="B3" s="52"/>
      <c r="C3" s="31"/>
      <c r="D3" s="25"/>
      <c r="F3" s="41"/>
    </row>
    <row r="4" spans="2:6" ht="30" customHeight="1">
      <c r="B4" s="52"/>
      <c r="C4" s="31"/>
      <c r="D4" s="25"/>
      <c r="F4" s="41"/>
    </row>
    <row r="5" spans="2:6" ht="15" customHeight="1">
      <c r="B5" s="52"/>
      <c r="C5" s="31"/>
      <c r="D5" s="25"/>
      <c r="F5" s="41"/>
    </row>
    <row r="6" spans="2:6" s="41" customFormat="1" ht="10.5">
      <c r="B6" s="43"/>
      <c r="C6" s="37"/>
    </row>
    <row r="7" spans="2:6" s="41" customFormat="1">
      <c r="B7" s="51"/>
    </row>
    <row r="8" spans="2:6" s="13" customFormat="1" ht="15" customHeight="1">
      <c r="B8" s="86" t="s">
        <v>40</v>
      </c>
      <c r="C8" s="86"/>
      <c r="D8" s="86"/>
      <c r="E8" s="86"/>
    </row>
    <row r="9" spans="2:6" s="13" customFormat="1" ht="15" customHeight="1">
      <c r="B9" s="86"/>
      <c r="C9" s="86"/>
      <c r="D9" s="86"/>
      <c r="E9" s="86"/>
      <c r="F9" s="50"/>
    </row>
    <row r="10" spans="2:6" s="13" customFormat="1" ht="15" customHeight="1">
      <c r="B10" s="86"/>
      <c r="C10" s="86"/>
      <c r="D10" s="86"/>
      <c r="E10" s="86"/>
    </row>
    <row r="11" spans="2:6" s="13" customFormat="1" ht="10.5" customHeight="1">
      <c r="B11" s="53"/>
      <c r="C11" s="53"/>
      <c r="D11" s="53"/>
      <c r="E11" s="53"/>
    </row>
    <row r="12" spans="2:6" s="13" customFormat="1" ht="37" customHeight="1">
      <c r="B12" s="55" t="s">
        <v>24</v>
      </c>
      <c r="C12" s="55" t="s">
        <v>29</v>
      </c>
      <c r="D12" s="55" t="s">
        <v>19</v>
      </c>
      <c r="E12" s="55" t="s">
        <v>18</v>
      </c>
    </row>
    <row r="13" spans="2:6" ht="14.5" customHeight="1">
      <c r="B13" s="89" t="s">
        <v>98</v>
      </c>
      <c r="C13" s="66" t="s">
        <v>138</v>
      </c>
      <c r="D13" s="67">
        <v>1</v>
      </c>
      <c r="E13" s="68">
        <v>2.7909572983499998E-4</v>
      </c>
    </row>
    <row r="14" spans="2:6" ht="14.5" customHeight="1">
      <c r="B14" s="90"/>
      <c r="C14" s="66" t="s">
        <v>139</v>
      </c>
      <c r="D14" s="67">
        <v>7</v>
      </c>
      <c r="E14" s="68">
        <v>1.9536701088469998E-3</v>
      </c>
    </row>
    <row r="15" spans="2:6" ht="14.5" customHeight="1">
      <c r="B15" s="91"/>
      <c r="C15" s="61" t="s">
        <v>28</v>
      </c>
      <c r="D15" s="62">
        <v>8</v>
      </c>
      <c r="E15" s="63">
        <v>2.2327658386830001E-3</v>
      </c>
    </row>
    <row r="16" spans="2:6" ht="14.5" customHeight="1">
      <c r="B16" s="89" t="s">
        <v>99</v>
      </c>
      <c r="C16" s="66" t="s">
        <v>139</v>
      </c>
      <c r="D16" s="67">
        <v>1</v>
      </c>
      <c r="E16" s="68">
        <v>2.7909572983499998E-4</v>
      </c>
    </row>
    <row r="17" spans="2:5" ht="14.5" customHeight="1">
      <c r="B17" s="91"/>
      <c r="C17" s="61" t="s">
        <v>28</v>
      </c>
      <c r="D17" s="62">
        <v>1</v>
      </c>
      <c r="E17" s="63">
        <v>2.7909572983499998E-4</v>
      </c>
    </row>
    <row r="18" spans="2:5" ht="14.5" customHeight="1">
      <c r="B18" s="89" t="s">
        <v>100</v>
      </c>
      <c r="C18" s="66" t="s">
        <v>138</v>
      </c>
      <c r="D18" s="67">
        <v>39</v>
      </c>
      <c r="E18" s="68">
        <v>1.0884733463578E-2</v>
      </c>
    </row>
    <row r="19" spans="2:5" ht="14.5" customHeight="1">
      <c r="B19" s="90"/>
      <c r="C19" s="66" t="s">
        <v>139</v>
      </c>
      <c r="D19" s="67">
        <v>45</v>
      </c>
      <c r="E19" s="68">
        <v>1.255930784259E-2</v>
      </c>
    </row>
    <row r="20" spans="2:5" ht="14.5" customHeight="1">
      <c r="B20" s="91" t="s">
        <v>140</v>
      </c>
      <c r="C20" s="61" t="s">
        <v>28</v>
      </c>
      <c r="D20" s="62">
        <v>84</v>
      </c>
      <c r="E20" s="63">
        <v>2.3444041306167999E-2</v>
      </c>
    </row>
    <row r="21" spans="2:5" ht="14.5" customHeight="1">
      <c r="B21" s="89" t="s">
        <v>101</v>
      </c>
      <c r="C21" s="66" t="s">
        <v>138</v>
      </c>
      <c r="D21" s="67">
        <v>5</v>
      </c>
      <c r="E21" s="68">
        <v>1.395478649177E-3</v>
      </c>
    </row>
    <row r="22" spans="2:5" ht="14.5" customHeight="1">
      <c r="B22" s="90"/>
      <c r="C22" s="66" t="s">
        <v>139</v>
      </c>
      <c r="D22" s="67">
        <v>5</v>
      </c>
      <c r="E22" s="68">
        <v>1.395478649177E-3</v>
      </c>
    </row>
    <row r="23" spans="2:5" ht="14.5" customHeight="1">
      <c r="B23" s="91" t="s">
        <v>141</v>
      </c>
      <c r="C23" s="61" t="s">
        <v>28</v>
      </c>
      <c r="D23" s="62">
        <v>10</v>
      </c>
      <c r="E23" s="63">
        <v>2.790957298353E-3</v>
      </c>
    </row>
    <row r="24" spans="2:5" ht="14.5" customHeight="1">
      <c r="B24" s="89" t="s">
        <v>102</v>
      </c>
      <c r="C24" s="66" t="s">
        <v>138</v>
      </c>
      <c r="D24" s="67">
        <v>1149</v>
      </c>
      <c r="E24" s="68">
        <v>0.32068099358079799</v>
      </c>
    </row>
    <row r="25" spans="2:5" ht="14.5" customHeight="1">
      <c r="B25" s="90"/>
      <c r="C25" s="66" t="s">
        <v>139</v>
      </c>
      <c r="D25" s="67">
        <v>1133</v>
      </c>
      <c r="E25" s="68">
        <v>0.31621546190343303</v>
      </c>
    </row>
    <row r="26" spans="2:5" ht="14.5" customHeight="1">
      <c r="B26" s="91" t="s">
        <v>142</v>
      </c>
      <c r="C26" s="61" t="s">
        <v>28</v>
      </c>
      <c r="D26" s="62">
        <v>2282</v>
      </c>
      <c r="E26" s="63">
        <v>0.63689645548423102</v>
      </c>
    </row>
    <row r="27" spans="2:5" ht="14.5" customHeight="1">
      <c r="B27" s="89" t="s">
        <v>103</v>
      </c>
      <c r="C27" s="66" t="s">
        <v>138</v>
      </c>
      <c r="D27" s="67">
        <v>16</v>
      </c>
      <c r="E27" s="68">
        <v>4.465531677365E-3</v>
      </c>
    </row>
    <row r="28" spans="2:5" ht="14.5" customHeight="1">
      <c r="B28" s="90"/>
      <c r="C28" s="66" t="s">
        <v>139</v>
      </c>
      <c r="D28" s="67">
        <v>25</v>
      </c>
      <c r="E28" s="68">
        <v>6.9773932458829999E-3</v>
      </c>
    </row>
    <row r="29" spans="2:5" ht="14.5" customHeight="1">
      <c r="B29" s="91" t="s">
        <v>143</v>
      </c>
      <c r="C29" s="61" t="s">
        <v>28</v>
      </c>
      <c r="D29" s="62">
        <v>41</v>
      </c>
      <c r="E29" s="63">
        <v>1.1442924923249E-2</v>
      </c>
    </row>
    <row r="30" spans="2:5" ht="14.5" customHeight="1">
      <c r="B30" s="89" t="s">
        <v>104</v>
      </c>
      <c r="C30" s="66" t="s">
        <v>138</v>
      </c>
      <c r="D30" s="67">
        <v>17</v>
      </c>
      <c r="E30" s="68">
        <v>4.7446274072009999E-3</v>
      </c>
    </row>
    <row r="31" spans="2:5" ht="14.5" customHeight="1">
      <c r="B31" s="90"/>
      <c r="C31" s="66" t="s">
        <v>139</v>
      </c>
      <c r="D31" s="67">
        <v>27</v>
      </c>
      <c r="E31" s="68">
        <v>7.5355847055540003E-3</v>
      </c>
    </row>
    <row r="32" spans="2:5" ht="14.5" customHeight="1">
      <c r="B32" s="91" t="s">
        <v>144</v>
      </c>
      <c r="C32" s="61" t="s">
        <v>28</v>
      </c>
      <c r="D32" s="62">
        <v>44</v>
      </c>
      <c r="E32" s="63">
        <v>1.2280212112755E-2</v>
      </c>
    </row>
    <row r="33" spans="2:5" ht="14.5" customHeight="1">
      <c r="B33" s="89" t="s">
        <v>105</v>
      </c>
      <c r="C33" s="66" t="s">
        <v>138</v>
      </c>
      <c r="D33" s="67">
        <v>20</v>
      </c>
      <c r="E33" s="68">
        <v>5.5819145967070001E-3</v>
      </c>
    </row>
    <row r="34" spans="2:5" ht="14.5" customHeight="1">
      <c r="B34" s="90"/>
      <c r="C34" s="66" t="s">
        <v>139</v>
      </c>
      <c r="D34" s="67">
        <v>11</v>
      </c>
      <c r="E34" s="68">
        <v>3.0700530281889999E-3</v>
      </c>
    </row>
    <row r="35" spans="2:5" ht="14.5" customHeight="1">
      <c r="B35" s="91" t="s">
        <v>145</v>
      </c>
      <c r="C35" s="61" t="s">
        <v>28</v>
      </c>
      <c r="D35" s="62">
        <v>31</v>
      </c>
      <c r="E35" s="63">
        <v>8.6519676248950003E-3</v>
      </c>
    </row>
    <row r="36" spans="2:5" ht="14.5" customHeight="1">
      <c r="B36" s="89" t="s">
        <v>106</v>
      </c>
      <c r="C36" s="66" t="s">
        <v>138</v>
      </c>
      <c r="D36" s="67">
        <v>21</v>
      </c>
      <c r="E36" s="68">
        <v>5.8610103265419999E-3</v>
      </c>
    </row>
    <row r="37" spans="2:5" ht="14.5" customHeight="1">
      <c r="B37" s="90"/>
      <c r="C37" s="66" t="s">
        <v>139</v>
      </c>
      <c r="D37" s="67">
        <v>25</v>
      </c>
      <c r="E37" s="68">
        <v>6.9773932458829999E-3</v>
      </c>
    </row>
    <row r="38" spans="2:5" ht="14.5" customHeight="1">
      <c r="B38" s="91" t="s">
        <v>146</v>
      </c>
      <c r="C38" s="61" t="s">
        <v>28</v>
      </c>
      <c r="D38" s="62">
        <v>46</v>
      </c>
      <c r="E38" s="63">
        <v>1.2838403572425E-2</v>
      </c>
    </row>
    <row r="39" spans="2:5" ht="14.5" customHeight="1">
      <c r="B39" s="89" t="s">
        <v>107</v>
      </c>
      <c r="C39" s="66" t="s">
        <v>138</v>
      </c>
      <c r="D39" s="67">
        <v>70</v>
      </c>
      <c r="E39" s="68">
        <v>1.9536701088473E-2</v>
      </c>
    </row>
    <row r="40" spans="2:5" ht="14.5" customHeight="1">
      <c r="B40" s="90"/>
      <c r="C40" s="66" t="s">
        <v>139</v>
      </c>
      <c r="D40" s="67">
        <v>74</v>
      </c>
      <c r="E40" s="68">
        <v>2.0653084007815001E-2</v>
      </c>
    </row>
    <row r="41" spans="2:5" ht="14.5" customHeight="1">
      <c r="B41" s="91" t="s">
        <v>147</v>
      </c>
      <c r="C41" s="61" t="s">
        <v>28</v>
      </c>
      <c r="D41" s="62">
        <v>144</v>
      </c>
      <c r="E41" s="63">
        <v>4.0189785096287997E-2</v>
      </c>
    </row>
    <row r="42" spans="2:5" ht="14.5" customHeight="1">
      <c r="B42" s="89" t="s">
        <v>108</v>
      </c>
      <c r="C42" s="66" t="s">
        <v>138</v>
      </c>
      <c r="D42" s="67">
        <v>12</v>
      </c>
      <c r="E42" s="68">
        <v>3.349148758024E-3</v>
      </c>
    </row>
    <row r="43" spans="2:5" ht="14.5" customHeight="1">
      <c r="B43" s="90"/>
      <c r="C43" s="66" t="s">
        <v>139</v>
      </c>
      <c r="D43" s="67">
        <v>15</v>
      </c>
      <c r="E43" s="68">
        <v>4.1864359475300003E-3</v>
      </c>
    </row>
    <row r="44" spans="2:5" ht="14.5" customHeight="1">
      <c r="B44" s="91" t="s">
        <v>148</v>
      </c>
      <c r="C44" s="61" t="s">
        <v>28</v>
      </c>
      <c r="D44" s="62">
        <v>27</v>
      </c>
      <c r="E44" s="63">
        <v>7.5355847055540003E-3</v>
      </c>
    </row>
    <row r="45" spans="2:5" ht="14.5" customHeight="1">
      <c r="B45" s="89" t="s">
        <v>109</v>
      </c>
      <c r="C45" s="66" t="s">
        <v>138</v>
      </c>
      <c r="D45" s="67">
        <v>2</v>
      </c>
      <c r="E45" s="68">
        <v>5.5819145967100003E-4</v>
      </c>
    </row>
    <row r="46" spans="2:5" ht="14.5" customHeight="1">
      <c r="B46" s="90"/>
      <c r="C46" s="66" t="s">
        <v>139</v>
      </c>
      <c r="D46" s="67">
        <v>4</v>
      </c>
      <c r="E46" s="68">
        <v>1.116382919341E-3</v>
      </c>
    </row>
    <row r="47" spans="2:5" ht="14.5" customHeight="1">
      <c r="B47" s="91" t="s">
        <v>149</v>
      </c>
      <c r="C47" s="61" t="s">
        <v>28</v>
      </c>
      <c r="D47" s="62">
        <v>6</v>
      </c>
      <c r="E47" s="63">
        <v>1.674574379012E-3</v>
      </c>
    </row>
    <row r="48" spans="2:5" ht="14.5" customHeight="1">
      <c r="B48" s="89" t="s">
        <v>110</v>
      </c>
      <c r="C48" s="66" t="s">
        <v>138</v>
      </c>
      <c r="D48" s="67">
        <v>7</v>
      </c>
      <c r="E48" s="68">
        <v>1.9536701088469998E-3</v>
      </c>
    </row>
    <row r="49" spans="2:5" ht="14.5" customHeight="1">
      <c r="B49" s="90"/>
      <c r="C49" s="66" t="s">
        <v>139</v>
      </c>
      <c r="D49" s="67">
        <v>9</v>
      </c>
      <c r="E49" s="68">
        <v>2.5118615685179998E-3</v>
      </c>
    </row>
    <row r="50" spans="2:5" ht="14.5" customHeight="1">
      <c r="B50" s="91" t="s">
        <v>150</v>
      </c>
      <c r="C50" s="61" t="s">
        <v>28</v>
      </c>
      <c r="D50" s="62">
        <v>16</v>
      </c>
      <c r="E50" s="63">
        <v>4.465531677365E-3</v>
      </c>
    </row>
    <row r="51" spans="2:5" ht="14.5" customHeight="1">
      <c r="B51" s="89" t="s">
        <v>111</v>
      </c>
      <c r="C51" s="66" t="s">
        <v>139</v>
      </c>
      <c r="D51" s="67">
        <v>7</v>
      </c>
      <c r="E51" s="68">
        <v>1.9536701088469998E-3</v>
      </c>
    </row>
    <row r="52" spans="2:5" ht="14.5" customHeight="1">
      <c r="B52" s="91" t="s">
        <v>151</v>
      </c>
      <c r="C52" s="61" t="s">
        <v>28</v>
      </c>
      <c r="D52" s="62">
        <v>7</v>
      </c>
      <c r="E52" s="63">
        <v>1.9536701088469998E-3</v>
      </c>
    </row>
    <row r="53" spans="2:5" ht="14.5" customHeight="1">
      <c r="B53" s="89" t="s">
        <v>112</v>
      </c>
      <c r="C53" s="66" t="s">
        <v>138</v>
      </c>
      <c r="D53" s="67">
        <v>2</v>
      </c>
      <c r="E53" s="68">
        <v>5.5819145967100003E-4</v>
      </c>
    </row>
    <row r="54" spans="2:5" ht="14.5" customHeight="1">
      <c r="B54" s="90"/>
      <c r="C54" s="66" t="s">
        <v>139</v>
      </c>
      <c r="D54" s="67">
        <v>1</v>
      </c>
      <c r="E54" s="68">
        <v>2.7909572983499998E-4</v>
      </c>
    </row>
    <row r="55" spans="2:5" ht="14.5" customHeight="1">
      <c r="B55" s="91" t="s">
        <v>152</v>
      </c>
      <c r="C55" s="61" t="s">
        <v>28</v>
      </c>
      <c r="D55" s="62">
        <v>3</v>
      </c>
      <c r="E55" s="63">
        <v>8.3728718950600001E-4</v>
      </c>
    </row>
    <row r="56" spans="2:5" ht="14.5" customHeight="1">
      <c r="B56" s="89" t="s">
        <v>113</v>
      </c>
      <c r="C56" s="66" t="s">
        <v>138</v>
      </c>
      <c r="D56" s="67">
        <v>1</v>
      </c>
      <c r="E56" s="68">
        <v>2.7909572983499998E-4</v>
      </c>
    </row>
    <row r="57" spans="2:5" ht="14.5" customHeight="1">
      <c r="B57" s="91" t="s">
        <v>153</v>
      </c>
      <c r="C57" s="61" t="s">
        <v>28</v>
      </c>
      <c r="D57" s="62">
        <v>1</v>
      </c>
      <c r="E57" s="63">
        <v>2.7909572983499998E-4</v>
      </c>
    </row>
    <row r="58" spans="2:5" ht="14.5" customHeight="1">
      <c r="B58" s="89" t="s">
        <v>114</v>
      </c>
      <c r="C58" s="66" t="s">
        <v>138</v>
      </c>
      <c r="D58" s="67">
        <v>4</v>
      </c>
      <c r="E58" s="68">
        <v>1.116382919341E-3</v>
      </c>
    </row>
    <row r="59" spans="2:5" ht="14.5" customHeight="1">
      <c r="B59" s="90"/>
      <c r="C59" s="66" t="s">
        <v>139</v>
      </c>
      <c r="D59" s="67">
        <v>6</v>
      </c>
      <c r="E59" s="68">
        <v>1.674574379012E-3</v>
      </c>
    </row>
    <row r="60" spans="2:5" ht="14.5" customHeight="1">
      <c r="B60" s="91" t="s">
        <v>154</v>
      </c>
      <c r="C60" s="61" t="s">
        <v>28</v>
      </c>
      <c r="D60" s="62">
        <v>10</v>
      </c>
      <c r="E60" s="63">
        <v>2.790957298353E-3</v>
      </c>
    </row>
    <row r="61" spans="2:5" ht="14.5" customHeight="1">
      <c r="B61" s="89" t="s">
        <v>115</v>
      </c>
      <c r="C61" s="66" t="s">
        <v>138</v>
      </c>
      <c r="D61" s="67">
        <v>4</v>
      </c>
      <c r="E61" s="68">
        <v>1.116382919341E-3</v>
      </c>
    </row>
    <row r="62" spans="2:5" ht="14.5" customHeight="1">
      <c r="B62" s="90"/>
      <c r="C62" s="66" t="s">
        <v>139</v>
      </c>
      <c r="D62" s="67">
        <v>8</v>
      </c>
      <c r="E62" s="68">
        <v>2.2327658386830001E-3</v>
      </c>
    </row>
    <row r="63" spans="2:5" ht="14.5" customHeight="1">
      <c r="B63" s="91" t="s">
        <v>155</v>
      </c>
      <c r="C63" s="61" t="s">
        <v>28</v>
      </c>
      <c r="D63" s="62">
        <v>12</v>
      </c>
      <c r="E63" s="63">
        <v>3.349148758024E-3</v>
      </c>
    </row>
    <row r="64" spans="2:5" ht="14.5" customHeight="1">
      <c r="B64" s="89" t="s">
        <v>116</v>
      </c>
      <c r="C64" s="66" t="s">
        <v>138</v>
      </c>
      <c r="D64" s="67">
        <v>1</v>
      </c>
      <c r="E64" s="68">
        <v>2.7909572983499998E-4</v>
      </c>
    </row>
    <row r="65" spans="2:5" ht="14.5" customHeight="1">
      <c r="B65" s="91" t="s">
        <v>156</v>
      </c>
      <c r="C65" s="61" t="s">
        <v>28</v>
      </c>
      <c r="D65" s="62">
        <v>1</v>
      </c>
      <c r="E65" s="63">
        <v>2.7909572983499998E-4</v>
      </c>
    </row>
    <row r="66" spans="2:5" ht="14.5" customHeight="1">
      <c r="B66" s="89" t="s">
        <v>117</v>
      </c>
      <c r="C66" s="66" t="s">
        <v>138</v>
      </c>
      <c r="D66" s="67">
        <v>11</v>
      </c>
      <c r="E66" s="68">
        <v>3.0700530281889999E-3</v>
      </c>
    </row>
    <row r="67" spans="2:5" ht="14.5" customHeight="1">
      <c r="B67" s="90"/>
      <c r="C67" s="66" t="s">
        <v>139</v>
      </c>
      <c r="D67" s="67">
        <v>17</v>
      </c>
      <c r="E67" s="68">
        <v>4.7446274072009999E-3</v>
      </c>
    </row>
    <row r="68" spans="2:5" ht="14.5" customHeight="1">
      <c r="B68" s="91" t="s">
        <v>157</v>
      </c>
      <c r="C68" s="61" t="s">
        <v>28</v>
      </c>
      <c r="D68" s="62">
        <v>28</v>
      </c>
      <c r="E68" s="63">
        <v>7.8146804353890001E-3</v>
      </c>
    </row>
    <row r="69" spans="2:5" ht="14.5" customHeight="1">
      <c r="B69" s="89" t="s">
        <v>118</v>
      </c>
      <c r="C69" s="66" t="s">
        <v>138</v>
      </c>
      <c r="D69" s="67">
        <v>1</v>
      </c>
      <c r="E69" s="68">
        <v>2.7909572983499998E-4</v>
      </c>
    </row>
    <row r="70" spans="2:5" ht="14.5" customHeight="1">
      <c r="B70" s="90"/>
      <c r="C70" s="66" t="s">
        <v>139</v>
      </c>
      <c r="D70" s="67">
        <v>7</v>
      </c>
      <c r="E70" s="68">
        <v>1.9536701088469998E-3</v>
      </c>
    </row>
    <row r="71" spans="2:5" ht="14.5" customHeight="1">
      <c r="B71" s="91" t="s">
        <v>158</v>
      </c>
      <c r="C71" s="61" t="s">
        <v>28</v>
      </c>
      <c r="D71" s="62">
        <v>8</v>
      </c>
      <c r="E71" s="63">
        <v>2.2327658386830001E-3</v>
      </c>
    </row>
    <row r="72" spans="2:5" ht="14.5" customHeight="1">
      <c r="B72" s="89" t="s">
        <v>119</v>
      </c>
      <c r="C72" s="66" t="s">
        <v>138</v>
      </c>
      <c r="D72" s="67">
        <v>94</v>
      </c>
      <c r="E72" s="68">
        <v>2.6234998604521002E-2</v>
      </c>
    </row>
    <row r="73" spans="2:5" ht="14.5" customHeight="1">
      <c r="B73" s="90"/>
      <c r="C73" s="66" t="s">
        <v>139</v>
      </c>
      <c r="D73" s="67">
        <v>103</v>
      </c>
      <c r="E73" s="68">
        <v>2.8746860173038999E-2</v>
      </c>
    </row>
    <row r="74" spans="2:5" ht="14.5" customHeight="1">
      <c r="B74" s="91" t="s">
        <v>159</v>
      </c>
      <c r="C74" s="61" t="s">
        <v>28</v>
      </c>
      <c r="D74" s="62">
        <v>197</v>
      </c>
      <c r="E74" s="63">
        <v>5.4981858777561003E-2</v>
      </c>
    </row>
    <row r="75" spans="2:5" ht="14.5" customHeight="1">
      <c r="B75" s="89" t="s">
        <v>120</v>
      </c>
      <c r="C75" s="66" t="s">
        <v>138</v>
      </c>
      <c r="D75" s="67">
        <v>3</v>
      </c>
      <c r="E75" s="68">
        <v>8.3728718950600001E-4</v>
      </c>
    </row>
    <row r="76" spans="2:5" ht="14.5" customHeight="1">
      <c r="B76" s="90"/>
      <c r="C76" s="66" t="s">
        <v>139</v>
      </c>
      <c r="D76" s="67">
        <v>4</v>
      </c>
      <c r="E76" s="68">
        <v>1.116382919341E-3</v>
      </c>
    </row>
    <row r="77" spans="2:5" ht="14.5" customHeight="1">
      <c r="B77" s="91" t="s">
        <v>160</v>
      </c>
      <c r="C77" s="61" t="s">
        <v>28</v>
      </c>
      <c r="D77" s="62">
        <v>7</v>
      </c>
      <c r="E77" s="63">
        <v>1.9536701088469998E-3</v>
      </c>
    </row>
    <row r="78" spans="2:5" ht="14.5" customHeight="1">
      <c r="B78" s="89" t="s">
        <v>121</v>
      </c>
      <c r="C78" s="66" t="s">
        <v>138</v>
      </c>
      <c r="D78" s="67">
        <v>2</v>
      </c>
      <c r="E78" s="68">
        <v>5.5819145967100003E-4</v>
      </c>
    </row>
    <row r="79" spans="2:5" ht="14.5" customHeight="1">
      <c r="B79" s="90"/>
      <c r="C79" s="66" t="s">
        <v>139</v>
      </c>
      <c r="D79" s="67">
        <v>5</v>
      </c>
      <c r="E79" s="68">
        <v>1.395478649177E-3</v>
      </c>
    </row>
    <row r="80" spans="2:5" ht="14.5" customHeight="1">
      <c r="B80" s="91" t="s">
        <v>161</v>
      </c>
      <c r="C80" s="61" t="s">
        <v>28</v>
      </c>
      <c r="D80" s="62">
        <v>7</v>
      </c>
      <c r="E80" s="63">
        <v>1.9536701088469998E-3</v>
      </c>
    </row>
    <row r="81" spans="2:5" ht="14.5" customHeight="1">
      <c r="B81" s="89" t="s">
        <v>122</v>
      </c>
      <c r="C81" s="66" t="s">
        <v>138</v>
      </c>
      <c r="D81" s="67">
        <v>2</v>
      </c>
      <c r="E81" s="68">
        <v>5.5819145967100003E-4</v>
      </c>
    </row>
    <row r="82" spans="2:5" ht="14.5" customHeight="1">
      <c r="B82" s="91" t="s">
        <v>162</v>
      </c>
      <c r="C82" s="61" t="s">
        <v>28</v>
      </c>
      <c r="D82" s="62">
        <v>2</v>
      </c>
      <c r="E82" s="63">
        <v>5.5819145967100003E-4</v>
      </c>
    </row>
    <row r="83" spans="2:5" ht="14.5" customHeight="1">
      <c r="B83" s="89" t="s">
        <v>123</v>
      </c>
      <c r="C83" s="66" t="s">
        <v>138</v>
      </c>
      <c r="D83" s="67">
        <v>3</v>
      </c>
      <c r="E83" s="68">
        <v>8.3728718950600001E-4</v>
      </c>
    </row>
    <row r="84" spans="2:5" ht="14.5" customHeight="1">
      <c r="B84" s="90"/>
      <c r="C84" s="66" t="s">
        <v>139</v>
      </c>
      <c r="D84" s="67">
        <v>2</v>
      </c>
      <c r="E84" s="68">
        <v>5.5819145967100003E-4</v>
      </c>
    </row>
    <row r="85" spans="2:5" ht="14.5" customHeight="1">
      <c r="B85" s="91" t="s">
        <v>163</v>
      </c>
      <c r="C85" s="61" t="s">
        <v>28</v>
      </c>
      <c r="D85" s="62">
        <v>5</v>
      </c>
      <c r="E85" s="63">
        <v>1.395478649177E-3</v>
      </c>
    </row>
    <row r="86" spans="2:5" ht="14.5" customHeight="1">
      <c r="B86" s="89" t="s">
        <v>124</v>
      </c>
      <c r="C86" s="66" t="s">
        <v>138</v>
      </c>
      <c r="D86" s="67">
        <v>17</v>
      </c>
      <c r="E86" s="68">
        <v>4.7446274072009999E-3</v>
      </c>
    </row>
    <row r="87" spans="2:5" ht="14.5" customHeight="1">
      <c r="B87" s="90"/>
      <c r="C87" s="66" t="s">
        <v>139</v>
      </c>
      <c r="D87" s="67">
        <v>12</v>
      </c>
      <c r="E87" s="68">
        <v>3.349148758024E-3</v>
      </c>
    </row>
    <row r="88" spans="2:5" ht="14.5" customHeight="1">
      <c r="B88" s="91" t="s">
        <v>164</v>
      </c>
      <c r="C88" s="61" t="s">
        <v>28</v>
      </c>
      <c r="D88" s="62">
        <v>29</v>
      </c>
      <c r="E88" s="63">
        <v>8.0937761652250008E-3</v>
      </c>
    </row>
    <row r="89" spans="2:5" ht="14.5" customHeight="1">
      <c r="B89" s="89" t="s">
        <v>125</v>
      </c>
      <c r="C89" s="66" t="s">
        <v>138</v>
      </c>
      <c r="D89" s="67">
        <v>3</v>
      </c>
      <c r="E89" s="68">
        <v>8.3728718950600001E-4</v>
      </c>
    </row>
    <row r="90" spans="2:5" ht="14.5" customHeight="1">
      <c r="B90" s="90"/>
      <c r="C90" s="66" t="s">
        <v>139</v>
      </c>
      <c r="D90" s="67">
        <v>5</v>
      </c>
      <c r="E90" s="68">
        <v>1.395478649177E-3</v>
      </c>
    </row>
    <row r="91" spans="2:5" ht="14.5" customHeight="1">
      <c r="B91" s="91" t="s">
        <v>165</v>
      </c>
      <c r="C91" s="61" t="s">
        <v>28</v>
      </c>
      <c r="D91" s="62">
        <v>8</v>
      </c>
      <c r="E91" s="63">
        <v>2.2327658386830001E-3</v>
      </c>
    </row>
    <row r="92" spans="2:5" ht="14.5" customHeight="1">
      <c r="B92" s="89" t="s">
        <v>126</v>
      </c>
      <c r="C92" s="66" t="s">
        <v>138</v>
      </c>
      <c r="D92" s="67">
        <v>10</v>
      </c>
      <c r="E92" s="68">
        <v>2.790957298353E-3</v>
      </c>
    </row>
    <row r="93" spans="2:5" ht="14.5" customHeight="1">
      <c r="B93" s="90"/>
      <c r="C93" s="66" t="s">
        <v>139</v>
      </c>
      <c r="D93" s="67">
        <v>11</v>
      </c>
      <c r="E93" s="68">
        <v>3.0700530281889999E-3</v>
      </c>
    </row>
    <row r="94" spans="2:5" ht="14.5" customHeight="1">
      <c r="B94" s="91" t="s">
        <v>166</v>
      </c>
      <c r="C94" s="61" t="s">
        <v>28</v>
      </c>
      <c r="D94" s="62">
        <v>21</v>
      </c>
      <c r="E94" s="63">
        <v>5.8610103265419999E-3</v>
      </c>
    </row>
    <row r="95" spans="2:5" ht="14.5" customHeight="1">
      <c r="B95" s="89" t="s">
        <v>127</v>
      </c>
      <c r="C95" s="66" t="s">
        <v>138</v>
      </c>
      <c r="D95" s="67">
        <v>22</v>
      </c>
      <c r="E95" s="68">
        <v>6.1401060563769996E-3</v>
      </c>
    </row>
    <row r="96" spans="2:5" ht="14.5" customHeight="1">
      <c r="B96" s="90"/>
      <c r="C96" s="66" t="s">
        <v>139</v>
      </c>
      <c r="D96" s="67">
        <v>21</v>
      </c>
      <c r="E96" s="68">
        <v>5.8610103265419999E-3</v>
      </c>
    </row>
    <row r="97" spans="2:5" ht="14.5" customHeight="1">
      <c r="B97" s="91" t="s">
        <v>167</v>
      </c>
      <c r="C97" s="61" t="s">
        <v>28</v>
      </c>
      <c r="D97" s="62">
        <v>43</v>
      </c>
      <c r="E97" s="63">
        <v>1.2001116382919E-2</v>
      </c>
    </row>
    <row r="98" spans="2:5" ht="14.5" customHeight="1">
      <c r="B98" s="89" t="s">
        <v>128</v>
      </c>
      <c r="C98" s="66" t="s">
        <v>139</v>
      </c>
      <c r="D98" s="67">
        <v>1</v>
      </c>
      <c r="E98" s="68">
        <v>2.7909572983499998E-4</v>
      </c>
    </row>
    <row r="99" spans="2:5" ht="14.5" customHeight="1">
      <c r="B99" s="91" t="s">
        <v>168</v>
      </c>
      <c r="C99" s="61" t="s">
        <v>28</v>
      </c>
      <c r="D99" s="62">
        <v>1</v>
      </c>
      <c r="E99" s="63">
        <v>2.7909572983499998E-4</v>
      </c>
    </row>
    <row r="100" spans="2:5" ht="14.5" customHeight="1">
      <c r="B100" s="89" t="s">
        <v>129</v>
      </c>
      <c r="C100" s="66" t="s">
        <v>139</v>
      </c>
      <c r="D100" s="67">
        <v>1</v>
      </c>
      <c r="E100" s="68">
        <v>2.7909572983499998E-4</v>
      </c>
    </row>
    <row r="101" spans="2:5" ht="14.5" customHeight="1">
      <c r="B101" s="91" t="s">
        <v>169</v>
      </c>
      <c r="C101" s="61" t="s">
        <v>28</v>
      </c>
      <c r="D101" s="62">
        <v>1</v>
      </c>
      <c r="E101" s="63">
        <v>2.7909572983499998E-4</v>
      </c>
    </row>
    <row r="102" spans="2:5" ht="14.5" customHeight="1">
      <c r="B102" s="89" t="s">
        <v>130</v>
      </c>
      <c r="C102" s="66" t="s">
        <v>138</v>
      </c>
      <c r="D102" s="67">
        <v>9</v>
      </c>
      <c r="E102" s="68">
        <v>2.5118615685179998E-3</v>
      </c>
    </row>
    <row r="103" spans="2:5" ht="14.5" customHeight="1">
      <c r="B103" s="90"/>
      <c r="C103" s="66" t="s">
        <v>139</v>
      </c>
      <c r="D103" s="67">
        <v>6</v>
      </c>
      <c r="E103" s="68">
        <v>1.674574379012E-3</v>
      </c>
    </row>
    <row r="104" spans="2:5" ht="14.5" customHeight="1">
      <c r="B104" s="91" t="s">
        <v>170</v>
      </c>
      <c r="C104" s="61" t="s">
        <v>28</v>
      </c>
      <c r="D104" s="62">
        <v>15</v>
      </c>
      <c r="E104" s="63">
        <v>4.1864359475300003E-3</v>
      </c>
    </row>
    <row r="105" spans="2:5" ht="14.5" customHeight="1">
      <c r="B105" s="89" t="s">
        <v>131</v>
      </c>
      <c r="C105" s="66" t="s">
        <v>138</v>
      </c>
      <c r="D105" s="67">
        <v>11</v>
      </c>
      <c r="E105" s="68">
        <v>3.0700530281889999E-3</v>
      </c>
    </row>
    <row r="106" spans="2:5" ht="14.5" customHeight="1">
      <c r="B106" s="90"/>
      <c r="C106" s="66" t="s">
        <v>139</v>
      </c>
      <c r="D106" s="67">
        <v>8</v>
      </c>
      <c r="E106" s="68">
        <v>2.2327658386830001E-3</v>
      </c>
    </row>
    <row r="107" spans="2:5" ht="14.5" customHeight="1">
      <c r="B107" s="91" t="s">
        <v>171</v>
      </c>
      <c r="C107" s="61" t="s">
        <v>28</v>
      </c>
      <c r="D107" s="62">
        <v>19</v>
      </c>
      <c r="E107" s="63">
        <v>5.3028188668710003E-3</v>
      </c>
    </row>
    <row r="108" spans="2:5" ht="14.5" customHeight="1">
      <c r="B108" s="89" t="s">
        <v>132</v>
      </c>
      <c r="C108" s="66" t="s">
        <v>138</v>
      </c>
      <c r="D108" s="67">
        <v>135</v>
      </c>
      <c r="E108" s="68">
        <v>3.7677923527770003E-2</v>
      </c>
    </row>
    <row r="109" spans="2:5" ht="14.5" customHeight="1">
      <c r="B109" s="90"/>
      <c r="C109" s="66" t="s">
        <v>139</v>
      </c>
      <c r="D109" s="67">
        <v>138</v>
      </c>
      <c r="E109" s="68">
        <v>3.8515210717275997E-2</v>
      </c>
    </row>
    <row r="110" spans="2:5" ht="14.5" customHeight="1">
      <c r="B110" s="91" t="s">
        <v>172</v>
      </c>
      <c r="C110" s="61" t="s">
        <v>28</v>
      </c>
      <c r="D110" s="62">
        <v>273</v>
      </c>
      <c r="E110" s="63">
        <v>7.6193134245045993E-2</v>
      </c>
    </row>
    <row r="111" spans="2:5" ht="14.5" customHeight="1">
      <c r="B111" s="89" t="s">
        <v>133</v>
      </c>
      <c r="C111" s="66" t="s">
        <v>138</v>
      </c>
      <c r="D111" s="67">
        <v>15</v>
      </c>
      <c r="E111" s="68">
        <v>4.1864359475300003E-3</v>
      </c>
    </row>
    <row r="112" spans="2:5" ht="14.5" customHeight="1">
      <c r="B112" s="90"/>
      <c r="C112" s="66" t="s">
        <v>139</v>
      </c>
      <c r="D112" s="67">
        <v>11</v>
      </c>
      <c r="E112" s="68">
        <v>3.0700530281889999E-3</v>
      </c>
    </row>
    <row r="113" spans="2:5" ht="14.5" customHeight="1">
      <c r="B113" s="91" t="s">
        <v>173</v>
      </c>
      <c r="C113" s="61" t="s">
        <v>28</v>
      </c>
      <c r="D113" s="62">
        <v>26</v>
      </c>
      <c r="E113" s="63">
        <v>7.2564889757189997E-3</v>
      </c>
    </row>
    <row r="114" spans="2:5" ht="14.5" customHeight="1">
      <c r="B114" s="89" t="s">
        <v>134</v>
      </c>
      <c r="C114" s="66" t="s">
        <v>138</v>
      </c>
      <c r="D114" s="67">
        <v>4</v>
      </c>
      <c r="E114" s="68">
        <v>1.116382919341E-3</v>
      </c>
    </row>
    <row r="115" spans="2:5" ht="14.5" customHeight="1">
      <c r="B115" s="90"/>
      <c r="C115" s="66" t="s">
        <v>139</v>
      </c>
      <c r="D115" s="67">
        <v>3</v>
      </c>
      <c r="E115" s="68">
        <v>8.3728718950600001E-4</v>
      </c>
    </row>
    <row r="116" spans="2:5" ht="14.5" customHeight="1">
      <c r="B116" s="91" t="s">
        <v>174</v>
      </c>
      <c r="C116" s="61" t="s">
        <v>28</v>
      </c>
      <c r="D116" s="62">
        <v>7</v>
      </c>
      <c r="E116" s="63">
        <v>1.9536701088469998E-3</v>
      </c>
    </row>
    <row r="117" spans="2:5" ht="14.5" customHeight="1">
      <c r="B117" s="89" t="s">
        <v>84</v>
      </c>
      <c r="C117" s="66" t="s">
        <v>138</v>
      </c>
      <c r="D117" s="67">
        <v>35</v>
      </c>
      <c r="E117" s="68">
        <v>9.7683505442369995E-3</v>
      </c>
    </row>
    <row r="118" spans="2:5" ht="14.5" customHeight="1">
      <c r="B118" s="90"/>
      <c r="C118" s="66" t="s">
        <v>139</v>
      </c>
      <c r="D118" s="67">
        <v>60</v>
      </c>
      <c r="E118" s="68">
        <v>1.6745743790120001E-2</v>
      </c>
    </row>
    <row r="119" spans="2:5" ht="14.5" customHeight="1">
      <c r="B119" s="91" t="s">
        <v>175</v>
      </c>
      <c r="C119" s="61" t="s">
        <v>28</v>
      </c>
      <c r="D119" s="62">
        <v>95</v>
      </c>
      <c r="E119" s="63">
        <v>2.6514094334356999E-2</v>
      </c>
    </row>
    <row r="120" spans="2:5" ht="14.5" customHeight="1">
      <c r="B120" s="89" t="s">
        <v>135</v>
      </c>
      <c r="C120" s="66" t="s">
        <v>139</v>
      </c>
      <c r="D120" s="67">
        <v>1</v>
      </c>
      <c r="E120" s="68">
        <v>2.7909572983499998E-4</v>
      </c>
    </row>
    <row r="121" spans="2:5" ht="14.5" customHeight="1">
      <c r="B121" s="91" t="s">
        <v>176</v>
      </c>
      <c r="C121" s="61" t="s">
        <v>28</v>
      </c>
      <c r="D121" s="62">
        <v>1</v>
      </c>
      <c r="E121" s="63">
        <v>2.7909572983499998E-4</v>
      </c>
    </row>
    <row r="122" spans="2:5" ht="14.5" customHeight="1">
      <c r="B122" s="89" t="s">
        <v>136</v>
      </c>
      <c r="C122" s="66" t="s">
        <v>138</v>
      </c>
      <c r="D122" s="67">
        <v>4</v>
      </c>
      <c r="E122" s="68">
        <v>1.116382919341E-3</v>
      </c>
    </row>
    <row r="123" spans="2:5" ht="14.5" customHeight="1">
      <c r="B123" s="90"/>
      <c r="C123" s="66" t="s">
        <v>139</v>
      </c>
      <c r="D123" s="67">
        <v>9</v>
      </c>
      <c r="E123" s="68">
        <v>2.5118615685179998E-3</v>
      </c>
    </row>
    <row r="124" spans="2:5" ht="14.5" customHeight="1">
      <c r="B124" s="91" t="s">
        <v>177</v>
      </c>
      <c r="C124" s="61" t="s">
        <v>28</v>
      </c>
      <c r="D124" s="62">
        <v>13</v>
      </c>
      <c r="E124" s="63">
        <v>3.6282444878589998E-3</v>
      </c>
    </row>
    <row r="125" spans="2:5" ht="14.5" customHeight="1">
      <c r="B125" s="89" t="s">
        <v>137</v>
      </c>
      <c r="C125" s="66" t="s">
        <v>138</v>
      </c>
      <c r="D125" s="67">
        <v>1</v>
      </c>
      <c r="E125" s="68">
        <v>2.7909572983499998E-4</v>
      </c>
    </row>
    <row r="126" spans="2:5" ht="14.5" customHeight="1">
      <c r="B126" s="90"/>
      <c r="C126" s="66" t="s">
        <v>139</v>
      </c>
      <c r="D126" s="67">
        <v>2</v>
      </c>
      <c r="E126" s="68">
        <v>5.5819145967100003E-4</v>
      </c>
    </row>
    <row r="127" spans="2:5" ht="14.5" customHeight="1">
      <c r="B127" s="91" t="s">
        <v>178</v>
      </c>
      <c r="C127" s="61" t="s">
        <v>28</v>
      </c>
      <c r="D127" s="62">
        <v>3</v>
      </c>
      <c r="E127" s="63">
        <v>8.3728718950600001E-4</v>
      </c>
    </row>
    <row r="128" spans="2:5" ht="14.5" customHeight="1">
      <c r="B128" s="94" t="s">
        <v>28</v>
      </c>
      <c r="C128" s="95"/>
      <c r="D128" s="59">
        <v>3583</v>
      </c>
      <c r="E128" s="60">
        <v>1</v>
      </c>
    </row>
    <row r="129" spans="2:2" ht="14.5" customHeight="1"/>
    <row r="130" spans="2:2" ht="14.5" customHeight="1">
      <c r="B130" s="15" t="s">
        <v>47</v>
      </c>
    </row>
    <row r="131" spans="2:2" ht="14.5" customHeight="1">
      <c r="B131" s="17" t="s">
        <v>17</v>
      </c>
    </row>
    <row r="132" spans="2:2" ht="14.5" customHeight="1">
      <c r="B132" s="16" t="s">
        <v>48</v>
      </c>
    </row>
    <row r="133" spans="2:2" ht="14.5" customHeight="1">
      <c r="B133" s="15" t="s">
        <v>16</v>
      </c>
    </row>
    <row r="134" spans="2:2" ht="14.5" customHeight="1">
      <c r="B134" s="15" t="s">
        <v>49</v>
      </c>
    </row>
  </sheetData>
  <mergeCells count="43">
    <mergeCell ref="B39:B41"/>
    <mergeCell ref="B42:B44"/>
    <mergeCell ref="B122:B124"/>
    <mergeCell ref="B125:B127"/>
    <mergeCell ref="B108:B110"/>
    <mergeCell ref="B111:B113"/>
    <mergeCell ref="B114:B116"/>
    <mergeCell ref="B117:B119"/>
    <mergeCell ref="B75:B77"/>
    <mergeCell ref="B78:B80"/>
    <mergeCell ref="B58:B60"/>
    <mergeCell ref="B45:B47"/>
    <mergeCell ref="B48:B50"/>
    <mergeCell ref="B51:B52"/>
    <mergeCell ref="B53:B55"/>
    <mergeCell ref="B56:B57"/>
    <mergeCell ref="B24:B26"/>
    <mergeCell ref="B27:B29"/>
    <mergeCell ref="B30:B32"/>
    <mergeCell ref="B33:B35"/>
    <mergeCell ref="B36:B38"/>
    <mergeCell ref="B8:E10"/>
    <mergeCell ref="B13:B15"/>
    <mergeCell ref="B16:B17"/>
    <mergeCell ref="B18:B20"/>
    <mergeCell ref="B21:B23"/>
    <mergeCell ref="B61:B63"/>
    <mergeCell ref="B64:B65"/>
    <mergeCell ref="B66:B68"/>
    <mergeCell ref="B69:B71"/>
    <mergeCell ref="B72:B74"/>
    <mergeCell ref="B81:B82"/>
    <mergeCell ref="B83:B85"/>
    <mergeCell ref="B86:B88"/>
    <mergeCell ref="B89:B91"/>
    <mergeCell ref="B92:B94"/>
    <mergeCell ref="B120:B121"/>
    <mergeCell ref="B128:C128"/>
    <mergeCell ref="B95:B97"/>
    <mergeCell ref="B98:B99"/>
    <mergeCell ref="B100:B101"/>
    <mergeCell ref="B102:B104"/>
    <mergeCell ref="B105:B107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3">
    <tabColor rgb="FF0070C0"/>
  </sheetPr>
  <dimension ref="B1:G34"/>
  <sheetViews>
    <sheetView showGridLines="0" view="pageBreakPreview" topLeftCell="A17" zoomScaleNormal="120" zoomScaleSheetLayoutView="100" workbookViewId="0">
      <selection activeCell="B28" sqref="B28:C28"/>
    </sheetView>
  </sheetViews>
  <sheetFormatPr baseColWidth="10" defaultColWidth="11.453125" defaultRowHeight="10"/>
  <cols>
    <col min="1" max="1" width="5.7265625" style="25" customWidth="1"/>
    <col min="2" max="2" width="19" style="41" customWidth="1"/>
    <col min="3" max="3" width="24.1796875" style="41" customWidth="1"/>
    <col min="4" max="5" width="15.7265625" style="44" customWidth="1"/>
    <col min="6" max="6" width="15.7265625" style="41" customWidth="1"/>
    <col min="7" max="7" width="5.7265625" style="25" customWidth="1"/>
    <col min="8" max="16384" width="11.453125" style="25"/>
  </cols>
  <sheetData>
    <row r="1" spans="2:7" s="13" customFormat="1" ht="14.5">
      <c r="B1" s="41"/>
      <c r="C1" s="41"/>
    </row>
    <row r="2" spans="2:7" s="41" customFormat="1">
      <c r="B2" s="51"/>
    </row>
    <row r="3" spans="2:7" ht="15" customHeight="1">
      <c r="B3" s="52"/>
      <c r="C3" s="31"/>
      <c r="D3" s="25"/>
      <c r="E3" s="25"/>
      <c r="G3" s="41"/>
    </row>
    <row r="4" spans="2:7" ht="30" customHeight="1">
      <c r="B4" s="52"/>
      <c r="C4" s="31"/>
      <c r="D4" s="25"/>
      <c r="E4" s="25"/>
      <c r="G4" s="41"/>
    </row>
    <row r="5" spans="2:7" ht="15" customHeight="1">
      <c r="B5" s="52"/>
      <c r="C5" s="31"/>
      <c r="D5" s="25"/>
      <c r="E5" s="25"/>
      <c r="G5" s="41"/>
    </row>
    <row r="6" spans="2:7" s="41" customFormat="1" ht="10.5">
      <c r="B6" s="43"/>
      <c r="C6" s="37"/>
    </row>
    <row r="7" spans="2:7" s="41" customFormat="1">
      <c r="B7" s="51"/>
    </row>
    <row r="8" spans="2:7" s="13" customFormat="1" ht="15" customHeight="1">
      <c r="B8" s="86" t="s">
        <v>311</v>
      </c>
      <c r="C8" s="86"/>
      <c r="D8" s="86"/>
      <c r="E8" s="86"/>
      <c r="F8" s="86"/>
    </row>
    <row r="9" spans="2:7" s="13" customFormat="1" ht="15" customHeight="1">
      <c r="B9" s="86"/>
      <c r="C9" s="86"/>
      <c r="D9" s="86"/>
      <c r="E9" s="86"/>
      <c r="F9" s="86"/>
      <c r="G9" s="50"/>
    </row>
    <row r="10" spans="2:7" s="13" customFormat="1" ht="15" customHeight="1">
      <c r="B10" s="86"/>
      <c r="C10" s="86"/>
      <c r="D10" s="86"/>
      <c r="E10" s="86"/>
      <c r="F10" s="86"/>
    </row>
    <row r="11" spans="2:7" s="13" customFormat="1" ht="15" customHeight="1">
      <c r="B11" s="53"/>
      <c r="C11" s="53"/>
      <c r="D11" s="53"/>
      <c r="E11" s="53"/>
      <c r="F11" s="53"/>
    </row>
    <row r="12" spans="2:7" s="13" customFormat="1" ht="45" customHeight="1">
      <c r="B12" s="69" t="s">
        <v>29</v>
      </c>
      <c r="C12" s="69" t="s">
        <v>32</v>
      </c>
      <c r="D12" s="69" t="s">
        <v>19</v>
      </c>
      <c r="E12" s="69" t="s">
        <v>31</v>
      </c>
      <c r="F12" s="69" t="s">
        <v>30</v>
      </c>
    </row>
    <row r="13" spans="2:7" ht="14.5" customHeight="1">
      <c r="B13" s="89" t="s">
        <v>138</v>
      </c>
      <c r="C13" s="66" t="s">
        <v>214</v>
      </c>
      <c r="D13" s="67">
        <v>3</v>
      </c>
      <c r="E13" s="68">
        <v>1.7113519680549999E-3</v>
      </c>
      <c r="F13" s="68">
        <v>8.3728718950600001E-4</v>
      </c>
    </row>
    <row r="14" spans="2:7" ht="14.5" customHeight="1">
      <c r="B14" s="90"/>
      <c r="C14" s="66" t="s">
        <v>215</v>
      </c>
      <c r="D14" s="67">
        <v>188</v>
      </c>
      <c r="E14" s="68">
        <v>0.10724472333143199</v>
      </c>
      <c r="F14" s="68">
        <v>5.2469997209043003E-2</v>
      </c>
    </row>
    <row r="15" spans="2:7" ht="14.5" customHeight="1">
      <c r="B15" s="90"/>
      <c r="C15" s="66" t="s">
        <v>216</v>
      </c>
      <c r="D15" s="67">
        <v>345</v>
      </c>
      <c r="E15" s="68">
        <v>0.196805476326298</v>
      </c>
      <c r="F15" s="68">
        <v>9.6288026793189999E-2</v>
      </c>
    </row>
    <row r="16" spans="2:7" ht="14.5" customHeight="1">
      <c r="B16" s="90"/>
      <c r="C16" s="66" t="s">
        <v>217</v>
      </c>
      <c r="D16" s="67">
        <v>607</v>
      </c>
      <c r="E16" s="68">
        <v>0.34626354820307997</v>
      </c>
      <c r="F16" s="68">
        <v>0.169411108010047</v>
      </c>
    </row>
    <row r="17" spans="2:6" ht="14.5" customHeight="1">
      <c r="B17" s="90"/>
      <c r="C17" s="66" t="s">
        <v>218</v>
      </c>
      <c r="D17" s="67">
        <v>541</v>
      </c>
      <c r="E17" s="68">
        <v>0.30861380490587598</v>
      </c>
      <c r="F17" s="68">
        <v>0.15099078984091499</v>
      </c>
    </row>
    <row r="18" spans="2:6" ht="14.5" customHeight="1">
      <c r="B18" s="90"/>
      <c r="C18" s="66" t="s">
        <v>219</v>
      </c>
      <c r="D18" s="67">
        <v>59</v>
      </c>
      <c r="E18" s="68">
        <v>3.3656588705076998E-2</v>
      </c>
      <c r="F18" s="68">
        <v>1.6466648060285E-2</v>
      </c>
    </row>
    <row r="19" spans="2:6" ht="14.5" customHeight="1">
      <c r="B19" s="90"/>
      <c r="C19" s="66" t="s">
        <v>220</v>
      </c>
      <c r="D19" s="67">
        <v>1</v>
      </c>
      <c r="E19" s="68">
        <v>5.7045065601800003E-4</v>
      </c>
      <c r="F19" s="68">
        <v>2.7909572983499998E-4</v>
      </c>
    </row>
    <row r="20" spans="2:6" ht="14.5" customHeight="1">
      <c r="B20" s="91"/>
      <c r="C20" s="66" t="s">
        <v>221</v>
      </c>
      <c r="D20" s="67">
        <v>9</v>
      </c>
      <c r="E20" s="68">
        <v>5.134055904164E-3</v>
      </c>
      <c r="F20" s="68">
        <v>2.5118615685179998E-3</v>
      </c>
    </row>
    <row r="21" spans="2:6" ht="14.5" customHeight="1">
      <c r="B21" s="89" t="s">
        <v>139</v>
      </c>
      <c r="C21" s="66" t="s">
        <v>214</v>
      </c>
      <c r="D21" s="67">
        <v>7</v>
      </c>
      <c r="E21" s="68">
        <v>3.8251366120220002E-3</v>
      </c>
      <c r="F21" s="68">
        <v>1.9536701088469998E-3</v>
      </c>
    </row>
    <row r="22" spans="2:6" ht="14.5" customHeight="1">
      <c r="B22" s="90"/>
      <c r="C22" s="66" t="s">
        <v>215</v>
      </c>
      <c r="D22" s="67">
        <v>252</v>
      </c>
      <c r="E22" s="68">
        <v>0.137704918032787</v>
      </c>
      <c r="F22" s="68">
        <v>7.0332123918504005E-2</v>
      </c>
    </row>
    <row r="23" spans="2:6" ht="14.5" customHeight="1">
      <c r="B23" s="90"/>
      <c r="C23" s="66" t="s">
        <v>216</v>
      </c>
      <c r="D23" s="67">
        <v>420</v>
      </c>
      <c r="E23" s="68">
        <v>0.22950819672131101</v>
      </c>
      <c r="F23" s="68">
        <v>0.11722020653084</v>
      </c>
    </row>
    <row r="24" spans="2:6" ht="14.5" customHeight="1">
      <c r="B24" s="90"/>
      <c r="C24" s="66" t="s">
        <v>217</v>
      </c>
      <c r="D24" s="67">
        <v>575</v>
      </c>
      <c r="E24" s="68">
        <v>0.314207650273224</v>
      </c>
      <c r="F24" s="68">
        <v>0.16048004465531701</v>
      </c>
    </row>
    <row r="25" spans="2:6" ht="14.5" customHeight="1">
      <c r="B25" s="90"/>
      <c r="C25" s="66" t="s">
        <v>218</v>
      </c>
      <c r="D25" s="67">
        <v>522</v>
      </c>
      <c r="E25" s="68">
        <v>0.28524590163934399</v>
      </c>
      <c r="F25" s="68">
        <v>0.14568797097404401</v>
      </c>
    </row>
    <row r="26" spans="2:6" ht="14.5" customHeight="1">
      <c r="B26" s="90"/>
      <c r="C26" s="66" t="s">
        <v>219</v>
      </c>
      <c r="D26" s="67">
        <v>48</v>
      </c>
      <c r="E26" s="68">
        <v>2.6229508196720999E-2</v>
      </c>
      <c r="F26" s="68">
        <v>1.3396595032096E-2</v>
      </c>
    </row>
    <row r="27" spans="2:6" ht="14.5" customHeight="1">
      <c r="B27" s="91"/>
      <c r="C27" s="66" t="s">
        <v>221</v>
      </c>
      <c r="D27" s="67">
        <v>6</v>
      </c>
      <c r="E27" s="68">
        <v>3.27868852459E-3</v>
      </c>
      <c r="F27" s="68">
        <v>1.674574379012E-3</v>
      </c>
    </row>
    <row r="28" spans="2:6" ht="14.5" customHeight="1">
      <c r="B28" s="99" t="s">
        <v>28</v>
      </c>
      <c r="C28" s="100"/>
      <c r="D28" s="70">
        <v>3583</v>
      </c>
      <c r="E28" s="71">
        <v>1</v>
      </c>
      <c r="F28" s="71">
        <v>1</v>
      </c>
    </row>
    <row r="29" spans="2:6" ht="14.5" customHeight="1"/>
    <row r="30" spans="2:6" ht="14.5" customHeight="1">
      <c r="B30" s="15" t="s">
        <v>47</v>
      </c>
    </row>
    <row r="31" spans="2:6" ht="14.5" customHeight="1">
      <c r="B31" s="17" t="s">
        <v>17</v>
      </c>
    </row>
    <row r="32" spans="2:6" ht="14.5" customHeight="1">
      <c r="B32" s="16" t="s">
        <v>48</v>
      </c>
    </row>
    <row r="33" spans="2:2" ht="14.5" customHeight="1">
      <c r="B33" s="15" t="s">
        <v>16</v>
      </c>
    </row>
    <row r="34" spans="2:2" ht="14.5" customHeight="1">
      <c r="B34" s="15" t="s">
        <v>49</v>
      </c>
    </row>
  </sheetData>
  <mergeCells count="4">
    <mergeCell ref="B13:B20"/>
    <mergeCell ref="B8:F10"/>
    <mergeCell ref="B28:C28"/>
    <mergeCell ref="B21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4">
    <tabColor rgb="FF7030A0"/>
  </sheetPr>
  <dimension ref="B1:D61"/>
  <sheetViews>
    <sheetView showGridLines="0" view="pageBreakPreview" zoomScale="115" zoomScaleNormal="85" zoomScaleSheetLayoutView="115" workbookViewId="0">
      <selection activeCell="B7" sqref="B7:D9"/>
    </sheetView>
  </sheetViews>
  <sheetFormatPr baseColWidth="10" defaultColWidth="11.453125" defaultRowHeight="14.5"/>
  <cols>
    <col min="1" max="1" width="9.26953125" style="13" customWidth="1"/>
    <col min="2" max="2" width="43.4531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6" t="s">
        <v>312</v>
      </c>
      <c r="C7" s="86"/>
      <c r="D7" s="86"/>
    </row>
    <row r="8" spans="2:4" s="25" customFormat="1" ht="15" customHeight="1">
      <c r="B8" s="86"/>
      <c r="C8" s="86"/>
      <c r="D8" s="86"/>
    </row>
    <row r="9" spans="2:4" s="25" customFormat="1" ht="33" customHeight="1">
      <c r="B9" s="86"/>
      <c r="C9" s="86"/>
      <c r="D9" s="86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33</v>
      </c>
      <c r="C11" s="27" t="s">
        <v>19</v>
      </c>
      <c r="D11" s="26" t="s">
        <v>18</v>
      </c>
    </row>
    <row r="12" spans="2:4" ht="15" customHeight="1">
      <c r="B12" s="23" t="s">
        <v>222</v>
      </c>
      <c r="C12" s="22">
        <v>1992</v>
      </c>
      <c r="D12" s="21">
        <v>0.55595869383198404</v>
      </c>
    </row>
    <row r="13" spans="2:4" ht="15" customHeight="1">
      <c r="B13" s="23" t="s">
        <v>223</v>
      </c>
      <c r="C13" s="22">
        <v>914</v>
      </c>
      <c r="D13" s="21">
        <v>0.25509349706949502</v>
      </c>
    </row>
    <row r="14" spans="2:4" ht="15" customHeight="1">
      <c r="B14" s="23" t="s">
        <v>224</v>
      </c>
      <c r="C14" s="22">
        <v>142</v>
      </c>
      <c r="D14" s="21">
        <v>3.9631593636617002E-2</v>
      </c>
    </row>
    <row r="15" spans="2:4" ht="15" customHeight="1">
      <c r="B15" s="23" t="s">
        <v>225</v>
      </c>
      <c r="C15" s="22">
        <v>104</v>
      </c>
      <c r="D15" s="21">
        <v>2.9025955902875E-2</v>
      </c>
    </row>
    <row r="16" spans="2:4" ht="15" customHeight="1">
      <c r="B16" s="23" t="s">
        <v>226</v>
      </c>
      <c r="C16" s="22">
        <v>78</v>
      </c>
      <c r="D16" s="21">
        <v>2.1769466927155999E-2</v>
      </c>
    </row>
    <row r="17" spans="2:4" ht="15" customHeight="1">
      <c r="B17" s="23" t="s">
        <v>227</v>
      </c>
      <c r="C17" s="22">
        <v>57</v>
      </c>
      <c r="D17" s="21">
        <v>1.5908456600614001E-2</v>
      </c>
    </row>
    <row r="18" spans="2:4" ht="15" customHeight="1">
      <c r="B18" s="23" t="s">
        <v>228</v>
      </c>
      <c r="C18" s="22">
        <v>44</v>
      </c>
      <c r="D18" s="21">
        <v>1.2280212112755E-2</v>
      </c>
    </row>
    <row r="19" spans="2:4" ht="28" customHeight="1">
      <c r="B19" s="23" t="s">
        <v>229</v>
      </c>
      <c r="C19" s="22">
        <v>42</v>
      </c>
      <c r="D19" s="21">
        <v>1.1722020653084E-2</v>
      </c>
    </row>
    <row r="20" spans="2:4" ht="15" customHeight="1">
      <c r="B20" s="23" t="s">
        <v>230</v>
      </c>
      <c r="C20" s="22">
        <v>19</v>
      </c>
      <c r="D20" s="21">
        <v>5.3028188668710003E-3</v>
      </c>
    </row>
    <row r="21" spans="2:4" ht="15" customHeight="1">
      <c r="B21" s="23" t="s">
        <v>231</v>
      </c>
      <c r="C21" s="22">
        <v>16</v>
      </c>
      <c r="D21" s="21">
        <v>4.465531677365E-3</v>
      </c>
    </row>
    <row r="22" spans="2:4" ht="15" customHeight="1">
      <c r="B22" s="23" t="s">
        <v>232</v>
      </c>
      <c r="C22" s="22">
        <v>16</v>
      </c>
      <c r="D22" s="21">
        <v>4.465531677365E-3</v>
      </c>
    </row>
    <row r="23" spans="2:4" ht="15" customHeight="1">
      <c r="B23" s="23" t="s">
        <v>233</v>
      </c>
      <c r="C23" s="22">
        <v>15</v>
      </c>
      <c r="D23" s="21">
        <v>4.1864359475300003E-3</v>
      </c>
    </row>
    <row r="24" spans="2:4" ht="15" customHeight="1">
      <c r="B24" s="23" t="s">
        <v>234</v>
      </c>
      <c r="C24" s="22">
        <v>14</v>
      </c>
      <c r="D24" s="21">
        <v>3.9073402176949996E-3</v>
      </c>
    </row>
    <row r="25" spans="2:4" ht="15" customHeight="1">
      <c r="B25" s="23" t="s">
        <v>235</v>
      </c>
      <c r="C25" s="22">
        <v>11</v>
      </c>
      <c r="D25" s="21">
        <v>3.0700530281889999E-3</v>
      </c>
    </row>
    <row r="26" spans="2:4" ht="15" customHeight="1">
      <c r="B26" s="23" t="s">
        <v>236</v>
      </c>
      <c r="C26" s="22">
        <v>11</v>
      </c>
      <c r="D26" s="21">
        <v>3.0700530281889999E-3</v>
      </c>
    </row>
    <row r="27" spans="2:4" ht="15" customHeight="1">
      <c r="B27" s="23" t="s">
        <v>237</v>
      </c>
      <c r="C27" s="22">
        <v>10</v>
      </c>
      <c r="D27" s="21">
        <v>2.790957298353E-3</v>
      </c>
    </row>
    <row r="28" spans="2:4" ht="15" customHeight="1">
      <c r="B28" s="23" t="s">
        <v>238</v>
      </c>
      <c r="C28" s="22">
        <v>10</v>
      </c>
      <c r="D28" s="21">
        <v>2.790957298353E-3</v>
      </c>
    </row>
    <row r="29" spans="2:4" ht="15" customHeight="1">
      <c r="B29" s="23" t="s">
        <v>239</v>
      </c>
      <c r="C29" s="22">
        <v>9</v>
      </c>
      <c r="D29" s="21">
        <v>2.5118615685179998E-3</v>
      </c>
    </row>
    <row r="30" spans="2:4" ht="15" customHeight="1">
      <c r="B30" s="23" t="s">
        <v>240</v>
      </c>
      <c r="C30" s="22">
        <v>9</v>
      </c>
      <c r="D30" s="21">
        <v>2.5118615685179998E-3</v>
      </c>
    </row>
    <row r="31" spans="2:4" ht="15" customHeight="1">
      <c r="B31" s="23" t="s">
        <v>241</v>
      </c>
      <c r="C31" s="22">
        <v>8</v>
      </c>
      <c r="D31" s="21">
        <v>2.2327658386830001E-3</v>
      </c>
    </row>
    <row r="32" spans="2:4" ht="15" customHeight="1">
      <c r="B32" s="23" t="s">
        <v>242</v>
      </c>
      <c r="C32" s="22">
        <v>8</v>
      </c>
      <c r="D32" s="21">
        <v>2.2327658386830001E-3</v>
      </c>
    </row>
    <row r="33" spans="2:4" ht="15" customHeight="1">
      <c r="B33" s="23" t="s">
        <v>243</v>
      </c>
      <c r="C33" s="22">
        <v>7</v>
      </c>
      <c r="D33" s="21">
        <v>1.9536701088469998E-3</v>
      </c>
    </row>
    <row r="34" spans="2:4" ht="15" customHeight="1">
      <c r="B34" s="23" t="s">
        <v>244</v>
      </c>
      <c r="C34" s="22">
        <v>6</v>
      </c>
      <c r="D34" s="21">
        <v>1.674574379012E-3</v>
      </c>
    </row>
    <row r="35" spans="2:4" ht="15" customHeight="1">
      <c r="B35" s="23" t="s">
        <v>245</v>
      </c>
      <c r="C35" s="22">
        <v>5</v>
      </c>
      <c r="D35" s="21">
        <v>1.395478649177E-3</v>
      </c>
    </row>
    <row r="36" spans="2:4" ht="15" customHeight="1">
      <c r="B36" s="23" t="s">
        <v>246</v>
      </c>
      <c r="C36" s="22">
        <v>4</v>
      </c>
      <c r="D36" s="21">
        <v>1.116382919341E-3</v>
      </c>
    </row>
    <row r="37" spans="2:4" ht="15" customHeight="1">
      <c r="B37" s="23" t="s">
        <v>247</v>
      </c>
      <c r="C37" s="22">
        <v>4</v>
      </c>
      <c r="D37" s="21">
        <v>1.116382919341E-3</v>
      </c>
    </row>
    <row r="38" spans="2:4" ht="15" customHeight="1">
      <c r="B38" s="23" t="s">
        <v>248</v>
      </c>
      <c r="C38" s="22">
        <v>3</v>
      </c>
      <c r="D38" s="21">
        <v>8.3728718950600001E-4</v>
      </c>
    </row>
    <row r="39" spans="2:4" ht="15" customHeight="1">
      <c r="B39" s="23" t="s">
        <v>249</v>
      </c>
      <c r="C39" s="22">
        <v>3</v>
      </c>
      <c r="D39" s="21">
        <v>8.3728718950600001E-4</v>
      </c>
    </row>
    <row r="40" spans="2:4" ht="15" customHeight="1">
      <c r="B40" s="23" t="s">
        <v>250</v>
      </c>
      <c r="C40" s="22">
        <v>3</v>
      </c>
      <c r="D40" s="21">
        <v>8.3728718950600001E-4</v>
      </c>
    </row>
    <row r="41" spans="2:4" ht="15" customHeight="1">
      <c r="B41" s="23" t="s">
        <v>251</v>
      </c>
      <c r="C41" s="22">
        <v>2</v>
      </c>
      <c r="D41" s="21">
        <v>5.5819145967100003E-4</v>
      </c>
    </row>
    <row r="42" spans="2:4" ht="15" customHeight="1">
      <c r="B42" s="23" t="s">
        <v>252</v>
      </c>
      <c r="C42" s="22">
        <v>2</v>
      </c>
      <c r="D42" s="21">
        <v>5.5819145967100003E-4</v>
      </c>
    </row>
    <row r="43" spans="2:4" ht="15" customHeight="1">
      <c r="B43" s="23" t="s">
        <v>253</v>
      </c>
      <c r="C43" s="22">
        <v>2</v>
      </c>
      <c r="D43" s="21">
        <v>5.5819145967100003E-4</v>
      </c>
    </row>
    <row r="44" spans="2:4" ht="15" customHeight="1">
      <c r="B44" s="23" t="s">
        <v>254</v>
      </c>
      <c r="C44" s="22">
        <v>2</v>
      </c>
      <c r="D44" s="21">
        <v>5.5819145967100003E-4</v>
      </c>
    </row>
    <row r="45" spans="2:4" ht="15" customHeight="1">
      <c r="B45" s="23" t="s">
        <v>255</v>
      </c>
      <c r="C45" s="22">
        <v>2</v>
      </c>
      <c r="D45" s="21">
        <v>5.5819145967100003E-4</v>
      </c>
    </row>
    <row r="46" spans="2:4" ht="15" customHeight="1">
      <c r="B46" s="23" t="s">
        <v>256</v>
      </c>
      <c r="C46" s="22">
        <v>1</v>
      </c>
      <c r="D46" s="21">
        <v>2.7909572983499998E-4</v>
      </c>
    </row>
    <row r="47" spans="2:4" ht="15" customHeight="1">
      <c r="B47" s="23" t="s">
        <v>257</v>
      </c>
      <c r="C47" s="22">
        <v>1</v>
      </c>
      <c r="D47" s="21">
        <v>2.7909572983499998E-4</v>
      </c>
    </row>
    <row r="48" spans="2:4" ht="15" customHeight="1">
      <c r="B48" s="23" t="s">
        <v>258</v>
      </c>
      <c r="C48" s="22">
        <v>1</v>
      </c>
      <c r="D48" s="21">
        <v>2.7909572983499998E-4</v>
      </c>
    </row>
    <row r="49" spans="2:4" ht="15" customHeight="1">
      <c r="B49" s="23" t="s">
        <v>259</v>
      </c>
      <c r="C49" s="22">
        <v>1</v>
      </c>
      <c r="D49" s="21">
        <v>2.7909572983499998E-4</v>
      </c>
    </row>
    <row r="50" spans="2:4" ht="15" customHeight="1">
      <c r="B50" s="23" t="s">
        <v>260</v>
      </c>
      <c r="C50" s="22">
        <v>1</v>
      </c>
      <c r="D50" s="21">
        <v>2.7909572983499998E-4</v>
      </c>
    </row>
    <row r="51" spans="2:4" ht="15" customHeight="1">
      <c r="B51" s="23" t="s">
        <v>261</v>
      </c>
      <c r="C51" s="22">
        <v>1</v>
      </c>
      <c r="D51" s="21">
        <v>2.7909572983499998E-4</v>
      </c>
    </row>
    <row r="52" spans="2:4" ht="15" customHeight="1">
      <c r="B52" s="23" t="s">
        <v>262</v>
      </c>
      <c r="C52" s="22">
        <v>1</v>
      </c>
      <c r="D52" s="21">
        <v>2.7909572983499998E-4</v>
      </c>
    </row>
    <row r="53" spans="2:4" ht="15" customHeight="1">
      <c r="B53" s="23" t="s">
        <v>263</v>
      </c>
      <c r="C53" s="22">
        <v>1</v>
      </c>
      <c r="D53" s="21">
        <v>2.7909572983499998E-4</v>
      </c>
    </row>
    <row r="54" spans="2:4" ht="15" customHeight="1">
      <c r="B54" s="23" t="s">
        <v>264</v>
      </c>
      <c r="C54" s="22">
        <v>1</v>
      </c>
      <c r="D54" s="21">
        <v>2.7909572983499998E-4</v>
      </c>
    </row>
    <row r="55" spans="2:4">
      <c r="B55" s="20" t="s">
        <v>28</v>
      </c>
      <c r="C55" s="19">
        <v>3583</v>
      </c>
      <c r="D55" s="18">
        <v>1</v>
      </c>
    </row>
    <row r="57" spans="2:4">
      <c r="B57" s="15" t="s">
        <v>47</v>
      </c>
    </row>
    <row r="58" spans="2:4">
      <c r="B58" s="17" t="s">
        <v>17</v>
      </c>
    </row>
    <row r="59" spans="2:4">
      <c r="B59" s="16" t="s">
        <v>48</v>
      </c>
    </row>
    <row r="60" spans="2:4">
      <c r="B60" s="15" t="s">
        <v>16</v>
      </c>
    </row>
    <row r="61" spans="2:4">
      <c r="B61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20</vt:i4>
      </vt:variant>
    </vt:vector>
  </HeadingPairs>
  <TitlesOfParts>
    <vt:vector size="35" baseType="lpstr">
      <vt:lpstr>Índice</vt:lpstr>
      <vt:lpstr>Colima_EdoUsa</vt:lpstr>
      <vt:lpstr>Colima_Cons</vt:lpstr>
      <vt:lpstr>ColimaXCons</vt:lpstr>
      <vt:lpstr>Colima_EdoMun</vt:lpstr>
      <vt:lpstr>Colima_USAMuni</vt:lpstr>
      <vt:lpstr>Colima_MUNICIPIO</vt:lpstr>
      <vt:lpstr>Colima_educ_gral</vt:lpstr>
      <vt:lpstr>Colima_NivelE_Cons</vt:lpstr>
      <vt:lpstr>Colima_EducCons</vt:lpstr>
      <vt:lpstr>Colima_GenGral</vt:lpstr>
      <vt:lpstr>Colima_GENERO</vt:lpstr>
      <vt:lpstr>Colima_GENERO_EUA</vt:lpstr>
      <vt:lpstr>Colima_Gen_Edad</vt:lpstr>
      <vt:lpstr>Colima_ocup_gral</vt:lpstr>
      <vt:lpstr>Colima_educ_gral!Área_de_impresión</vt:lpstr>
      <vt:lpstr>Colima_EducCons!Área_de_impresión</vt:lpstr>
      <vt:lpstr>Colima_GenGral!Área_de_impresión</vt:lpstr>
      <vt:lpstr>Colima_MUNICIPIO!Área_de_impresión</vt:lpstr>
      <vt:lpstr>Colima_NivelE_Cons!Área_de_impresión</vt:lpstr>
      <vt:lpstr>Colima_USAMuni!Área_de_impresión</vt:lpstr>
      <vt:lpstr>Colima_Cons!Títulos_a_imprimir</vt:lpstr>
      <vt:lpstr>Colima_EdoMun!Títulos_a_imprimir</vt:lpstr>
      <vt:lpstr>Colima_EdoUsa!Títulos_a_imprimir</vt:lpstr>
      <vt:lpstr>Colima_educ_gral!Títulos_a_imprimir</vt:lpstr>
      <vt:lpstr>Colima_EducCons!Títulos_a_imprimir</vt:lpstr>
      <vt:lpstr>Colima_Gen_Edad!Títulos_a_imprimir</vt:lpstr>
      <vt:lpstr>Colima_GENERO!Títulos_a_imprimir</vt:lpstr>
      <vt:lpstr>Colima_GENERO_EUA!Títulos_a_imprimir</vt:lpstr>
      <vt:lpstr>Colima_GenGral!Títulos_a_imprimir</vt:lpstr>
      <vt:lpstr>Colima_MUNICIPIO!Títulos_a_imprimir</vt:lpstr>
      <vt:lpstr>Colima_NivelE_Cons!Títulos_a_imprimir</vt:lpstr>
      <vt:lpstr>Colima_ocup_gral!Títulos_a_imprimir</vt:lpstr>
      <vt:lpstr>Colima_USAMuni!Títulos_a_imprimir</vt:lpstr>
      <vt:lpstr>ColimaXCons!Títulos_a_imprimir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Soto Ramírez, Edith</cp:lastModifiedBy>
  <dcterms:created xsi:type="dcterms:W3CDTF">2020-06-03T07:03:04Z</dcterms:created>
  <dcterms:modified xsi:type="dcterms:W3CDTF">2024-12-26T14:35:34Z</dcterms:modified>
</cp:coreProperties>
</file>