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6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esoto\Analisisinfo2.7\Matrículas\Anual\Matrículas 2023\República Mexicana\Finales_RM\"/>
    </mc:Choice>
  </mc:AlternateContent>
  <xr:revisionPtr revIDLastSave="0" documentId="13_ncr:1_{9CE5B7E0-E48C-4523-B253-C531660404FA}" xr6:coauthVersionLast="47" xr6:coauthVersionMax="47" xr10:uidLastSave="{00000000-0000-0000-0000-000000000000}"/>
  <bookViews>
    <workbookView xWindow="-110" yWindow="-110" windowWidth="19420" windowHeight="10420" tabRatio="866" firstSheet="10" activeTab="14" xr2:uid="{00000000-000D-0000-FFFF-FFFF00000000}"/>
  </bookViews>
  <sheets>
    <sheet name="Índice" sheetId="14" r:id="rId1"/>
    <sheet name="Aguascalientes_EdoUsa" sheetId="1" r:id="rId2"/>
    <sheet name="Aguascalientes_Cons" sheetId="15" r:id="rId3"/>
    <sheet name="AguascalientesXCons" sheetId="16" r:id="rId4"/>
    <sheet name="Aguascalientes_EdoMun" sheetId="4" r:id="rId5"/>
    <sheet name="Aguascalientes_USAMuni" sheetId="5" r:id="rId6"/>
    <sheet name="Aguascalientes_MUNICIPIO" sheetId="6" r:id="rId7"/>
    <sheet name="Aguascalientes_educ_gral" sheetId="7" r:id="rId8"/>
    <sheet name="Aguascalientes_NivelE_Cons" sheetId="8" r:id="rId9"/>
    <sheet name="Aguascalientes_EducCons" sheetId="9" r:id="rId10"/>
    <sheet name="Aguascalientes_GenGral" sheetId="10" r:id="rId11"/>
    <sheet name="Aguascalientes_GENERO" sheetId="11" r:id="rId12"/>
    <sheet name="Aguascalientes_GENERO_EUA" sheetId="17" r:id="rId13"/>
    <sheet name="Aguascalientes_Gen_Edad" sheetId="12" r:id="rId14"/>
    <sheet name="Aguascalientes_ocup_gral" sheetId="13" r:id="rId15"/>
  </sheets>
  <definedNames>
    <definedName name="_xlnm._FilterDatabase" localSheetId="2" hidden="1">Aguascalientes_Cons!$B$11:$D$11</definedName>
    <definedName name="_xlnm._FilterDatabase" localSheetId="4" hidden="1">Aguascalientes_EdoMun!$B$11:$D$11</definedName>
    <definedName name="_xlnm._FilterDatabase" localSheetId="1" hidden="1">Aguascalientes_EdoUsa!$B$11:$D$11</definedName>
    <definedName name="_xlnm._FilterDatabase" localSheetId="7" hidden="1">Aguascalientes_educ_gral!$B$11:$D$11</definedName>
    <definedName name="_xlnm._FilterDatabase" localSheetId="9" hidden="1">Aguascalientes_EducCons!$B$9:$E$9</definedName>
    <definedName name="_xlnm._FilterDatabase" localSheetId="11" hidden="1">Aguascalientes_GENERO!$B$13:$E$133</definedName>
    <definedName name="_xlnm._FilterDatabase" localSheetId="12" hidden="1">Aguascalientes_GENERO_EUA!$B$12:$E$129</definedName>
    <definedName name="_xlnm._FilterDatabase" localSheetId="10" hidden="1">Aguascalientes_GenGral!$B$11:$D$11</definedName>
    <definedName name="_xlnm._FilterDatabase" localSheetId="6" hidden="1">Aguascalientes_MUNICIPIO!$B$9:$E$9</definedName>
    <definedName name="_xlnm._FilterDatabase" localSheetId="8" hidden="1">Aguascalientes_NivelE_Cons!$B$9:$E$9</definedName>
    <definedName name="_xlnm._FilterDatabase" localSheetId="14" hidden="1">Aguascalientes_ocup_gral!$B$11:$D$11</definedName>
    <definedName name="_xlnm._FilterDatabase" localSheetId="5" hidden="1">Aguascalientes_USAMuni!$B$9:$E$9</definedName>
    <definedName name="_xlnm._FilterDatabase" localSheetId="3" hidden="1">AguascalientesXCons!$B$11:$D$11</definedName>
    <definedName name="_xlnm.Print_Area" localSheetId="7">Aguascalientes_educ_gral!$A$1:$E$43</definedName>
    <definedName name="_xlnm.Print_Area" localSheetId="9">Aguascalientes_EducCons!$A$1:$E$662</definedName>
    <definedName name="_xlnm.Print_Area" localSheetId="13">Aguascalientes_Gen_Edad!$A$1:$G$33</definedName>
    <definedName name="_xlnm.Print_Area" localSheetId="6">Aguascalientes_MUNICIPIO!$A$1:$E$413</definedName>
    <definedName name="_xlnm.Print_Area" localSheetId="8">Aguascalientes_NivelE_Cons!$A$1:$E$512</definedName>
    <definedName name="_xlnm.Print_Area" localSheetId="14">Aguascalientes_ocup_gral!$A$1:$E$65</definedName>
    <definedName name="_xlnm.Print_Area" localSheetId="5">Aguascalientes_USAMuni!$A$1:$E$336</definedName>
    <definedName name="_xlnm.Print_Titles" localSheetId="2">Aguascalientes_Cons!$1:$11</definedName>
    <definedName name="_xlnm.Print_Titles" localSheetId="4">Aguascalientes_EdoMun!$1:$11</definedName>
    <definedName name="_xlnm.Print_Titles" localSheetId="1">Aguascalientes_EdoUsa!$1:$11</definedName>
    <definedName name="_xlnm.Print_Titles" localSheetId="7">Aguascalientes_educ_gral!$1:$11</definedName>
    <definedName name="_xlnm.Print_Titles" localSheetId="9">Aguascalientes_EducCons!$1:$9</definedName>
    <definedName name="_xlnm.Print_Titles" localSheetId="13">Aguascalientes_Gen_Edad!$1:$12</definedName>
    <definedName name="_xlnm.Print_Titles" localSheetId="11">Aguascalientes_GENERO!$1:$13</definedName>
    <definedName name="_xlnm.Print_Titles" localSheetId="12">Aguascalientes_GENERO_EUA!$1:$12</definedName>
    <definedName name="_xlnm.Print_Titles" localSheetId="10">Aguascalientes_GenGral!$1:$11</definedName>
    <definedName name="_xlnm.Print_Titles" localSheetId="6">Aguascalientes_MUNICIPIO!$1:$9</definedName>
    <definedName name="_xlnm.Print_Titles" localSheetId="8">Aguascalientes_NivelE_Cons!$1:$9</definedName>
    <definedName name="_xlnm.Print_Titles" localSheetId="14">Aguascalientes_ocup_gral!$1:$11</definedName>
    <definedName name="_xlnm.Print_Titles" localSheetId="5">Aguascalientes_USAMuni!$1:$9</definedName>
    <definedName name="_xlnm.Print_Titles" localSheetId="3">AguascalientesXCons!$1:$11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16" l="1"/>
  <c r="D12" i="16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13" i="12"/>
  <c r="D20" i="16" l="1"/>
  <c r="D21" i="16" l="1"/>
  <c r="D15" i="16"/>
  <c r="D16" i="16"/>
  <c r="D17" i="16"/>
  <c r="D18" i="16"/>
  <c r="D13" i="16"/>
  <c r="D19" i="16"/>
  <c r="D22" i="16"/>
  <c r="D14" i="16"/>
</calcChain>
</file>

<file path=xl/sharedStrings.xml><?xml version="1.0" encoding="utf-8"?>
<sst xmlns="http://schemas.openxmlformats.org/spreadsheetml/2006/main" count="2795" uniqueCount="271">
  <si>
    <t xml:space="preserve">Estado </t>
  </si>
  <si>
    <t>Número de Matrículas</t>
  </si>
  <si>
    <t>Porcentaje de Matrículas</t>
  </si>
  <si>
    <t>Fuente: Expedición de Matrículas Consulares de Alta Seguridad en los Consulados de México en E.E.U.U.</t>
  </si>
  <si>
    <t xml:space="preserve">Secretaría de Relaciones Exteriores </t>
  </si>
  <si>
    <t>Consulado</t>
  </si>
  <si>
    <t>Municipio de origen</t>
  </si>
  <si>
    <t>Municipio de Origen</t>
  </si>
  <si>
    <t>Estado</t>
  </si>
  <si>
    <t>Número de matrículas</t>
  </si>
  <si>
    <t>Nivel de Estudios</t>
  </si>
  <si>
    <t>Nivel</t>
  </si>
  <si>
    <t>TOTAL</t>
  </si>
  <si>
    <t>Género</t>
  </si>
  <si>
    <t>Porcentaje con respecto al total de Matrículas</t>
  </si>
  <si>
    <t>Porcentaje con respecto al Género</t>
  </si>
  <si>
    <t>Edad Cumplida</t>
  </si>
  <si>
    <t>Ocupación</t>
  </si>
  <si>
    <t>1. Por Estados de USA</t>
  </si>
  <si>
    <t>2. Por Circunscripción Consular</t>
  </si>
  <si>
    <t>2.1 Top ten por circunscripción consular</t>
  </si>
  <si>
    <t>3. Por Municipio de origen</t>
  </si>
  <si>
    <t>3.1 Municipio general</t>
  </si>
  <si>
    <t>3.2 Por Estado de USA</t>
  </si>
  <si>
    <t>3.3 Por Circunscripción Consular</t>
  </si>
  <si>
    <t>4. Por Nivel Educativo</t>
  </si>
  <si>
    <t>4.1 Educación general</t>
  </si>
  <si>
    <t>4.2 Por Estado de USA</t>
  </si>
  <si>
    <t>4.3 Por Circunscripción Consular</t>
  </si>
  <si>
    <t>5. Por Género</t>
  </si>
  <si>
    <t>5.1 Género General</t>
  </si>
  <si>
    <t>6. Por estructura de Edad</t>
  </si>
  <si>
    <t>7. Por Ocupación</t>
  </si>
  <si>
    <t>5.2 Por Circunscripción Consular</t>
  </si>
  <si>
    <t>MATRÍCULAS CONSULARES DE ALTA SEGURIDAD EXPEDIDAS A ORIGINARIOS DE AGUASCALIENTES EN LOS CONSULADOS DE MÉXICO EN EE.UU.</t>
  </si>
  <si>
    <t>MATRÍCULAS CONSULARES DE ALTA SEGURIDAD EXPEDIDAS A ORIGINARIOS DE AGUASCALIENTES POR ESTADO DE LA UNIÓN AMERICANA</t>
  </si>
  <si>
    <t xml:space="preserve">MATRÍCULAS CONSULARES EXPEDIDAS A ORIGINARIOS DE AGUASCALIENTES POR GÉNERO EN EE.UU </t>
  </si>
  <si>
    <t>MATRÍCULAS CONSULARES EXPEDIDAS EN EE.UU. A ORIGINARIOS DE AGUASCALIENTES POR NIVEL DE EDUCACIÓN</t>
  </si>
  <si>
    <t>MATRÍCULAS CONSULARES DE ALTA SEGURIDAD EXPEDIDAS POR MUNICIPIO A ORIGINARIOS DEL ESTADO DE AGUASCALIENTES EN LOS CONSULADOS DE MÉXICO EN EE.UU.</t>
  </si>
  <si>
    <t>MATRÍCULAS CONSULARES EXPEDIDAS A ORIGINARIOS DE AGUASCALIENTES POR GÉNERO Y CONSULADO</t>
  </si>
  <si>
    <t>5.3 Por Estado de la Unión Americana</t>
  </si>
  <si>
    <t>LOS 10 CONSULADOS  DE MÉXICO EN EE.UU., CON MAYOR NÚMERO DE EXPEDICIÓN DE  MATRÍCULAS CONSULARES DE ALTA SEGURIDAD A ORIGINARIOS DE AGUASCALIENTES</t>
  </si>
  <si>
    <t>TOTAL TOP 10</t>
  </si>
  <si>
    <t>TOTAL GENERAL</t>
  </si>
  <si>
    <t>Tamaño de la muestra: 789,030</t>
  </si>
  <si>
    <t>Elaborado por: Análisis de Información, Instituto de Mexicanas y Mexicanos en el Exterior</t>
  </si>
  <si>
    <t>Noviembre de 2024</t>
  </si>
  <si>
    <t>FEMENINO</t>
  </si>
  <si>
    <t>MASCULINO</t>
  </si>
  <si>
    <t>ALABAMA</t>
  </si>
  <si>
    <t>ALASKA</t>
  </si>
  <si>
    <t>ARIZONA</t>
  </si>
  <si>
    <t>ARKANSAS</t>
  </si>
  <si>
    <t>CALIFORNIA</t>
  </si>
  <si>
    <t>COLORADO</t>
  </si>
  <si>
    <t>CONNECTICUT</t>
  </si>
  <si>
    <t>DELAWARE</t>
  </si>
  <si>
    <t>DISTRICT OF COLUMBIA</t>
  </si>
  <si>
    <t>FLORIDA</t>
  </si>
  <si>
    <t>GEORGIA</t>
  </si>
  <si>
    <t>IDAHO</t>
  </si>
  <si>
    <t>IDAHO Total</t>
  </si>
  <si>
    <t>ILLINOIS</t>
  </si>
  <si>
    <t>ILLINOIS Total</t>
  </si>
  <si>
    <t>INDIANA</t>
  </si>
  <si>
    <t>INDIANA Total</t>
  </si>
  <si>
    <t>IOWA</t>
  </si>
  <si>
    <t>IOWA Total</t>
  </si>
  <si>
    <t>KANSAS</t>
  </si>
  <si>
    <t>KANSAS Total</t>
  </si>
  <si>
    <t>KENTUCKY</t>
  </si>
  <si>
    <t>KENTUCKY Total</t>
  </si>
  <si>
    <t>LOUISIANA</t>
  </si>
  <si>
    <t>LOUISIANA Total</t>
  </si>
  <si>
    <t>MARYLAND</t>
  </si>
  <si>
    <t>MARYLAND Total</t>
  </si>
  <si>
    <t>MASSACHUSETTS</t>
  </si>
  <si>
    <t>MASSACHUSETTS Total</t>
  </si>
  <si>
    <t>MICHIGAN</t>
  </si>
  <si>
    <t>MICHIGAN Total</t>
  </si>
  <si>
    <t>MINNESOTA</t>
  </si>
  <si>
    <t>MINNESOTA Total</t>
  </si>
  <si>
    <t>MISSISSIPPI</t>
  </si>
  <si>
    <t>MISSISSIPPI Total</t>
  </si>
  <si>
    <t>MISSOURI</t>
  </si>
  <si>
    <t>MISSOURI Total</t>
  </si>
  <si>
    <t>MONTANA</t>
  </si>
  <si>
    <t>MONTANA Total</t>
  </si>
  <si>
    <t>NEBRASKA</t>
  </si>
  <si>
    <t>NEBRASKA Total</t>
  </si>
  <si>
    <t>NEVADA</t>
  </si>
  <si>
    <t>NEVADA Total</t>
  </si>
  <si>
    <t>NEW JERSEY</t>
  </si>
  <si>
    <t>NEW JERSEY Total</t>
  </si>
  <si>
    <t>NEW MEXICO</t>
  </si>
  <si>
    <t>NEW MEXICO Total</t>
  </si>
  <si>
    <t>NEW YORK</t>
  </si>
  <si>
    <t>NEW YORK Total</t>
  </si>
  <si>
    <t>NORTH CAROLINA</t>
  </si>
  <si>
    <t>NORTH CAROLINA Total</t>
  </si>
  <si>
    <t>NORTH DAKOTA</t>
  </si>
  <si>
    <t>NORTH DAKOTA Total</t>
  </si>
  <si>
    <t>OHIO</t>
  </si>
  <si>
    <t>OHIO Total</t>
  </si>
  <si>
    <t>OKLAHOMA</t>
  </si>
  <si>
    <t>OKLAHOMA Total</t>
  </si>
  <si>
    <t>OREGON</t>
  </si>
  <si>
    <t>OREGON Total</t>
  </si>
  <si>
    <t>PENNSYLVANIA</t>
  </si>
  <si>
    <t>SOUTH CAROLINA</t>
  </si>
  <si>
    <t>SOUTH CAROLINA Total</t>
  </si>
  <si>
    <t>SOUTH DAKOTA</t>
  </si>
  <si>
    <t>SOUTH DAKOTA Total</t>
  </si>
  <si>
    <t>TENNESSEE</t>
  </si>
  <si>
    <t>TENNESSEE Total</t>
  </si>
  <si>
    <t>TEXAS</t>
  </si>
  <si>
    <t>TEXAS Total</t>
  </si>
  <si>
    <t>UTAH</t>
  </si>
  <si>
    <t>UTAH Total</t>
  </si>
  <si>
    <t>VIRGINIA</t>
  </si>
  <si>
    <t>VIRGINIA Total</t>
  </si>
  <si>
    <t>WASHINGTON</t>
  </si>
  <si>
    <t>WASHINGTON Total</t>
  </si>
  <si>
    <t>WISCONSIN</t>
  </si>
  <si>
    <t>WISCONSIN Total</t>
  </si>
  <si>
    <t>WYOMING</t>
  </si>
  <si>
    <t>WYOMING Total</t>
  </si>
  <si>
    <t>AGUASCALIENTES</t>
  </si>
  <si>
    <t>CALVILLO</t>
  </si>
  <si>
    <t>JESÚS MARÍA</t>
  </si>
  <si>
    <t>RINCÓN DE ROMOS</t>
  </si>
  <si>
    <t>ASIENTOS</t>
  </si>
  <si>
    <t>EL LLANO</t>
  </si>
  <si>
    <t>PABELLÓN DE ARTEAGA</t>
  </si>
  <si>
    <t>SAN FRANCISCO DE LOS ROMO</t>
  </si>
  <si>
    <t>NO SE REGISTRÓ EL MUNICIPIO/CONDADO/ALCALDÍA DE NACIMIENTO</t>
  </si>
  <si>
    <t>SAN JOSÉ DE GRACIA</t>
  </si>
  <si>
    <t>TEPEZALÁ</t>
  </si>
  <si>
    <t>COSÍO</t>
  </si>
  <si>
    <t>DELICIAS</t>
  </si>
  <si>
    <t>SAN FRANCISCO DEL RINCÓN</t>
  </si>
  <si>
    <t>NO SE CAPTURO EL GRADO DE ESTUDIOS</t>
  </si>
  <si>
    <t>SIN ESTUDIOS</t>
  </si>
  <si>
    <t>1o. PRIMARIA</t>
  </si>
  <si>
    <t>2o. PRIMARIA</t>
  </si>
  <si>
    <t>3o. PRIMARIA</t>
  </si>
  <si>
    <t>4o. PRIMARIA</t>
  </si>
  <si>
    <t>5o. PRIMARIA</t>
  </si>
  <si>
    <t>6o. PRIMARIA</t>
  </si>
  <si>
    <t>PRIMARIA CON CERTIFICADO</t>
  </si>
  <si>
    <t>1o. SECUNDARIA</t>
  </si>
  <si>
    <t>2o. SECUNDARIA</t>
  </si>
  <si>
    <t>3o. SECUNDARIA</t>
  </si>
  <si>
    <t>SECUNDARIA CON CERTIFICADO</t>
  </si>
  <si>
    <t>CAPACITACION TECNICA</t>
  </si>
  <si>
    <t>PREPARATORIA SIN CERTIFICADO</t>
  </si>
  <si>
    <t>PREPARATORIA CON CERTIFICADO</t>
  </si>
  <si>
    <t>1o. AÑO DE PROFESIONAL</t>
  </si>
  <si>
    <t>2o. AÑO DE PROFESIONAL</t>
  </si>
  <si>
    <t>3er. AÑO DE PROFESIONAL</t>
  </si>
  <si>
    <t>4o. AÑO DE PROFESIONAL</t>
  </si>
  <si>
    <t>PROFESIONAL PASANTE</t>
  </si>
  <si>
    <t>PROFESIONAL TITULADO</t>
  </si>
  <si>
    <t>MENORES DE EDAD</t>
  </si>
  <si>
    <t>POSGRADO [MAESTRIA]</t>
  </si>
  <si>
    <t>POSGRADO [DOCTORADO]</t>
  </si>
  <si>
    <t>EMPLEADO(A)</t>
  </si>
  <si>
    <t>HOGAR</t>
  </si>
  <si>
    <t>CONSTRUCCIÓN, TRAB. DE LA IND. DE LA</t>
  </si>
  <si>
    <t>OBRERO(A)</t>
  </si>
  <si>
    <t>ESTUDIANTE</t>
  </si>
  <si>
    <t>ALIMENTOS Y BEBIDAS, ESP. EN PREPARACIÓN DE</t>
  </si>
  <si>
    <t>JARDINERO(A)</t>
  </si>
  <si>
    <t>PINTOR(A)</t>
  </si>
  <si>
    <t>AGROPECUARIA, TRAB. DE LA INDUSTRIA</t>
  </si>
  <si>
    <t>SIN ESPECIFICAR</t>
  </si>
  <si>
    <t>CARPINTERO/TAPICERO</t>
  </si>
  <si>
    <t>MECÁNICO(A)</t>
  </si>
  <si>
    <t>MESERO(A)</t>
  </si>
  <si>
    <t>LIMPIEZA, EMPLEADO DE</t>
  </si>
  <si>
    <t>JUBILADO(A)/PENSIONADO(A)</t>
  </si>
  <si>
    <t>DESEMPLEADO</t>
  </si>
  <si>
    <t>CHOFER</t>
  </si>
  <si>
    <t>PROFESIONISTA</t>
  </si>
  <si>
    <t>SOLDADOR</t>
  </si>
  <si>
    <t>OPERARIO(A)</t>
  </si>
  <si>
    <t>VENDEDOR(A)</t>
  </si>
  <si>
    <t>EMPRESARIO(A)</t>
  </si>
  <si>
    <t>CAJERO(A)/COBRADOR(A)</t>
  </si>
  <si>
    <t>TÉCNICO(A) EN MANTENIMIENTO</t>
  </si>
  <si>
    <t>AEROCOMERCIAL, TRAB. DE LA INDUSTRIA</t>
  </si>
  <si>
    <t>DISCAPACITADO</t>
  </si>
  <si>
    <t>GERENTE/DIRECTOR(A)</t>
  </si>
  <si>
    <t>PROFESOR(A)</t>
  </si>
  <si>
    <t>SUPERVISOR(A)</t>
  </si>
  <si>
    <t>BELLEZA, PROFESIONAL DE SERVICIOS DE</t>
  </si>
  <si>
    <t>ENFERMERO(A)/TRAB. DE APOYO EN SALUD</t>
  </si>
  <si>
    <t>POLICÍA/ SERV. SEGURIDAD Y PROTECCIÓN</t>
  </si>
  <si>
    <t>ADMINISTRADOR(A)/CONTADOR(A)</t>
  </si>
  <si>
    <t>AUTOR(A)/PERIODISTA/TRADUCTOR(A)</t>
  </si>
  <si>
    <t>CARNICERO(A)</t>
  </si>
  <si>
    <t>COMERCIANTE</t>
  </si>
  <si>
    <t>CONSULTOR</t>
  </si>
  <si>
    <t>DISEÑADOR(A)</t>
  </si>
  <si>
    <t>HOJALATERO</t>
  </si>
  <si>
    <t>INGENIERO(A)</t>
  </si>
  <si>
    <t>INVESTIGADOR(A)</t>
  </si>
  <si>
    <t>MISIONERO(A)</t>
  </si>
  <si>
    <t>NO SE CAPTURO LA OCUPACION</t>
  </si>
  <si>
    <t>PROFESIONAL TÉCNICO</t>
  </si>
  <si>
    <t>SERVIDOR(A) PÚBLICO(A)</t>
  </si>
  <si>
    <t>TRABAJADOR(A) DOMÉSTICO(A)</t>
  </si>
  <si>
    <t>Matrículas consulares expedidas a originarios de Aguascalientes en el 2023</t>
  </si>
  <si>
    <t>ALBUQUERQUE</t>
  </si>
  <si>
    <t>ATLANTA</t>
  </si>
  <si>
    <t>AUSTIN</t>
  </si>
  <si>
    <t>BOISE</t>
  </si>
  <si>
    <t>BOSTON</t>
  </si>
  <si>
    <t>BROWNSVILLE</t>
  </si>
  <si>
    <t>CALEXICO</t>
  </si>
  <si>
    <t>CHICAGO</t>
  </si>
  <si>
    <t>DALLAS</t>
  </si>
  <si>
    <t>DEL RIO</t>
  </si>
  <si>
    <t>DENVER</t>
  </si>
  <si>
    <t>DETROIT</t>
  </si>
  <si>
    <t>EL PASO</t>
  </si>
  <si>
    <t>FILADELFIA</t>
  </si>
  <si>
    <t>FRESNO</t>
  </si>
  <si>
    <t>HOUSTON</t>
  </si>
  <si>
    <t>INDIANAPOLIS</t>
  </si>
  <si>
    <t>KANSAS CITY</t>
  </si>
  <si>
    <t>LAREDO</t>
  </si>
  <si>
    <t>LAS VEGAS</t>
  </si>
  <si>
    <t>LITTLE ROCK</t>
  </si>
  <si>
    <t>LOS ANGELES</t>
  </si>
  <si>
    <t>MCALLEN</t>
  </si>
  <si>
    <t>MIAMI</t>
  </si>
  <si>
    <t>MILWAUKEE</t>
  </si>
  <si>
    <t>NUEVA ORLEANS</t>
  </si>
  <si>
    <t>NUEVA YORK</t>
  </si>
  <si>
    <t>OKLAHOMA CITY</t>
  </si>
  <si>
    <t>OMAHA</t>
  </si>
  <si>
    <t>ORLANDO</t>
  </si>
  <si>
    <t>OXNARD</t>
  </si>
  <si>
    <t>PHOENIX</t>
  </si>
  <si>
    <t>PORTLAND</t>
  </si>
  <si>
    <t>PRESIDIO</t>
  </si>
  <si>
    <t>RALEIGH</t>
  </si>
  <si>
    <t>SACRAMENTO</t>
  </si>
  <si>
    <t>SAINT PAUL</t>
  </si>
  <si>
    <t>SALT LAKE CITY</t>
  </si>
  <si>
    <t>SAN ANTONIO</t>
  </si>
  <si>
    <t>SAN BERNARDINO</t>
  </si>
  <si>
    <t>SAN DIEGO</t>
  </si>
  <si>
    <t>SAN FRANCISCO</t>
  </si>
  <si>
    <t>SAN JOSE</t>
  </si>
  <si>
    <t>SANTA ANA</t>
  </si>
  <si>
    <t>SEATTLE</t>
  </si>
  <si>
    <t>TUCSON</t>
  </si>
  <si>
    <t>YUMA</t>
  </si>
  <si>
    <t xml:space="preserve">Da clic al texto para ir a la información, selecciona                              para regresar. </t>
  </si>
  <si>
    <t>MATRÍCULAS CONSULARES EXPEDIDAS A ORIGINARIOS DE AGUASCALIENTES               POR GÉNERO Y POR ESTADO DE LA UNIÓN AMERICANA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</si>
  <si>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</si>
  <si>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</si>
  <si>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</si>
  <si>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</si>
  <si>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</si>
  <si>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</si>
  <si>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MAS DE 75 AÑOS</t>
  </si>
  <si>
    <t>MATRÍCULAS CONSULARES EXPEDIDAS EN EE.UU. ORIGINARIOS DE AGUASCALIENTES POR PERFIL OCUPACIONAL.</t>
  </si>
  <si>
    <t>MATRÍCULAS CONSULARES EXPEDIDAS A ORIGINARIOS DE AGUASCALIENTES POR GÉNERO
 Y EDAD EN EE.UU.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</si>
</sst>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.0%"/>
    <numFmt numFmtId="165" formatCode="#,###"/>
  </numFmts>
  <fonts count="28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10"/>
      <color theme="1"/>
      <name val="Montserrat"/>
    </font>
    <font>
      <sz val="11"/>
      <color theme="1"/>
      <name val="Arial Narrow"/>
      <family val="2"/>
    </font>
    <font>
      <b/>
      <sz val="9"/>
      <color theme="0"/>
      <name val="Montserrat"/>
    </font>
    <font>
      <sz val="9"/>
      <color theme="1"/>
      <name val="Montserrat"/>
    </font>
    <font>
      <sz val="9"/>
      <color rgb="FF000000"/>
      <name val="Montserrat"/>
    </font>
    <font>
      <sz val="11"/>
      <color theme="1"/>
      <name val="Soberana Sans"/>
      <family val="3"/>
    </font>
    <font>
      <sz val="7"/>
      <color indexed="8"/>
      <name val="Montserrat"/>
    </font>
    <font>
      <sz val="11"/>
      <name val="Calibri"/>
      <family val="2"/>
      <scheme val="minor"/>
    </font>
    <font>
      <sz val="11"/>
      <name val="Soberana Sans"/>
      <family val="3"/>
    </font>
    <font>
      <sz val="10"/>
      <name val="Arial"/>
      <family val="2"/>
    </font>
    <font>
      <sz val="9"/>
      <name val="Montserrat"/>
    </font>
    <font>
      <sz val="11"/>
      <color indexed="8"/>
      <name val="Calibri"/>
      <family val="2"/>
    </font>
    <font>
      <b/>
      <sz val="9"/>
      <color indexed="9"/>
      <name val="Montserrat"/>
    </font>
    <font>
      <b/>
      <sz val="11"/>
      <name val="Arial Narrow"/>
      <family val="2"/>
    </font>
    <font>
      <sz val="8"/>
      <color theme="1"/>
      <name val="Soberana Sans"/>
      <family val="3"/>
    </font>
    <font>
      <sz val="8"/>
      <color theme="1"/>
      <name val="Calibri"/>
      <family val="2"/>
      <scheme val="minor"/>
    </font>
    <font>
      <sz val="8"/>
      <color indexed="8"/>
      <name val="Soberana Sans"/>
      <family val="3"/>
    </font>
    <font>
      <sz val="10"/>
      <name val="Montserrat"/>
    </font>
    <font>
      <sz val="11"/>
      <color theme="1"/>
      <name val="Montserrat"/>
    </font>
    <font>
      <u/>
      <sz val="11"/>
      <color theme="10"/>
      <name val="Calibri"/>
      <family val="2"/>
      <scheme val="minor"/>
    </font>
    <font>
      <b/>
      <sz val="12"/>
      <color theme="0"/>
      <name val="Montserrat"/>
    </font>
    <font>
      <sz val="12"/>
      <color theme="1"/>
      <name val="Montserrat"/>
    </font>
    <font>
      <u/>
      <sz val="12"/>
      <color theme="10"/>
      <name val="Montserrat"/>
    </font>
    <font>
      <b/>
      <sz val="9"/>
      <color rgb="FFFFFFFF"/>
      <name val="Montserrat"/>
    </font>
    <font>
      <sz val="8"/>
      <color theme="1"/>
      <name val="Patri"/>
    </font>
    <font>
      <sz val="8"/>
      <color rgb="FF000000"/>
      <name val="Montserrat"/>
    </font>
  </fonts>
  <fills count="13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00000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757171"/>
        <bgColor rgb="FF000000"/>
      </patternFill>
    </fill>
    <fill>
      <patternFill patternType="solid">
        <fgColor rgb="FFAEAAAA"/>
        <bgColor rgb="FF000000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rgb="FF000000"/>
      </patternFill>
    </fill>
  </fills>
  <borders count="1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0" fontId="11" fillId="0" borderId="0"/>
    <xf numFmtId="0" fontId="13" fillId="0" borderId="0"/>
    <xf numFmtId="0" fontId="21" fillId="0" borderId="0" applyNumberFormat="0" applyFill="0" applyBorder="0" applyAlignment="0" applyProtection="0"/>
  </cellStyleXfs>
  <cellXfs count="119">
    <xf numFmtId="0" fontId="0" fillId="0" borderId="0" xfId="0"/>
    <xf numFmtId="0" fontId="1" fillId="0" borderId="0" xfId="0" applyFont="1"/>
    <xf numFmtId="1" fontId="1" fillId="0" borderId="0" xfId="0" applyNumberFormat="1" applyFont="1"/>
    <xf numFmtId="3" fontId="1" fillId="0" borderId="0" xfId="0" applyNumberFormat="1" applyFont="1"/>
    <xf numFmtId="0" fontId="3" fillId="0" borderId="0" xfId="0" applyFont="1" applyAlignment="1">
      <alignment horizontal="center" vertical="center" wrapText="1"/>
    </xf>
    <xf numFmtId="0" fontId="4" fillId="2" borderId="1" xfId="0" applyFont="1" applyFill="1" applyBorder="1" applyAlignment="1">
      <alignment horizontal="center" vertical="center" wrapText="1"/>
    </xf>
    <xf numFmtId="1" fontId="4" fillId="2" borderId="2" xfId="0" applyNumberFormat="1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0" fillId="3" borderId="0" xfId="0" applyFill="1"/>
    <xf numFmtId="49" fontId="5" fillId="3" borderId="3" xfId="0" applyNumberFormat="1" applyFont="1" applyFill="1" applyBorder="1" applyAlignment="1">
      <alignment vertical="center" wrapText="1"/>
    </xf>
    <xf numFmtId="3" fontId="6" fillId="3" borderId="3" xfId="0" applyNumberFormat="1" applyFont="1" applyFill="1" applyBorder="1" applyAlignment="1">
      <alignment horizontal="right" vertical="center" wrapText="1"/>
    </xf>
    <xf numFmtId="164" fontId="6" fillId="3" borderId="3" xfId="0" applyNumberFormat="1" applyFont="1" applyFill="1" applyBorder="1" applyAlignment="1">
      <alignment horizontal="right" vertical="center" wrapText="1"/>
    </xf>
    <xf numFmtId="0" fontId="7" fillId="3" borderId="0" xfId="0" applyFont="1" applyFill="1"/>
    <xf numFmtId="49" fontId="4" fillId="4" borderId="3" xfId="0" applyNumberFormat="1" applyFont="1" applyFill="1" applyBorder="1" applyAlignment="1">
      <alignment vertical="center" wrapText="1"/>
    </xf>
    <xf numFmtId="3" fontId="4" fillId="4" borderId="3" xfId="0" applyNumberFormat="1" applyFont="1" applyFill="1" applyBorder="1" applyAlignment="1">
      <alignment horizontal="right" vertical="center" wrapText="1"/>
    </xf>
    <xf numFmtId="164" fontId="4" fillId="4" borderId="3" xfId="0" applyNumberFormat="1" applyFont="1" applyFill="1" applyBorder="1" applyAlignment="1">
      <alignment horizontal="right" vertical="center" wrapText="1"/>
    </xf>
    <xf numFmtId="3" fontId="0" fillId="3" borderId="0" xfId="0" applyNumberFormat="1" applyFill="1"/>
    <xf numFmtId="0" fontId="8" fillId="3" borderId="0" xfId="0" applyFont="1" applyFill="1"/>
    <xf numFmtId="0" fontId="8" fillId="3" borderId="0" xfId="0" applyFont="1" applyFill="1" applyAlignment="1">
      <alignment vertical="center"/>
    </xf>
    <xf numFmtId="0" fontId="8" fillId="3" borderId="0" xfId="0" applyFont="1" applyFill="1" applyAlignment="1">
      <alignment vertical="top"/>
    </xf>
    <xf numFmtId="0" fontId="9" fillId="3" borderId="0" xfId="0" applyFont="1" applyFill="1"/>
    <xf numFmtId="0" fontId="10" fillId="3" borderId="0" xfId="0" applyFont="1" applyFill="1"/>
    <xf numFmtId="164" fontId="4" fillId="5" borderId="3" xfId="1" applyNumberFormat="1" applyFont="1" applyFill="1" applyBorder="1" applyAlignment="1">
      <alignment horizontal="right" vertical="top" wrapText="1"/>
    </xf>
    <xf numFmtId="165" fontId="4" fillId="5" borderId="3" xfId="1" applyNumberFormat="1" applyFont="1" applyFill="1" applyBorder="1" applyAlignment="1">
      <alignment horizontal="right" vertical="top" wrapText="1"/>
    </xf>
    <xf numFmtId="49" fontId="4" fillId="5" borderId="3" xfId="1" applyNumberFormat="1" applyFont="1" applyFill="1" applyBorder="1" applyAlignment="1">
      <alignment vertical="top" wrapText="1"/>
    </xf>
    <xf numFmtId="164" fontId="12" fillId="3" borderId="3" xfId="1" applyNumberFormat="1" applyFont="1" applyFill="1" applyBorder="1" applyAlignment="1">
      <alignment horizontal="right" vertical="top" wrapText="1"/>
    </xf>
    <xf numFmtId="165" fontId="12" fillId="3" borderId="3" xfId="1" applyNumberFormat="1" applyFont="1" applyFill="1" applyBorder="1" applyAlignment="1">
      <alignment horizontal="right" vertical="top" wrapText="1"/>
    </xf>
    <xf numFmtId="49" fontId="12" fillId="3" borderId="3" xfId="1" applyNumberFormat="1" applyFont="1" applyFill="1" applyBorder="1" applyAlignment="1">
      <alignment vertical="top" wrapText="1"/>
    </xf>
    <xf numFmtId="0" fontId="14" fillId="2" borderId="2" xfId="2" applyFont="1" applyFill="1" applyBorder="1" applyAlignment="1">
      <alignment horizontal="center" vertical="center" wrapText="1"/>
    </xf>
    <xf numFmtId="1" fontId="14" fillId="2" borderId="2" xfId="2" applyNumberFormat="1" applyFont="1" applyFill="1" applyBorder="1" applyAlignment="1">
      <alignment horizontal="center" vertical="center" wrapText="1"/>
    </xf>
    <xf numFmtId="0" fontId="4" fillId="2" borderId="2" xfId="2" applyFont="1" applyFill="1" applyBorder="1" applyAlignment="1">
      <alignment horizontal="center" vertical="center" wrapText="1"/>
    </xf>
    <xf numFmtId="0" fontId="1" fillId="3" borderId="0" xfId="0" applyFont="1" applyFill="1"/>
    <xf numFmtId="0" fontId="15" fillId="3" borderId="0" xfId="0" applyFont="1" applyFill="1"/>
    <xf numFmtId="0" fontId="16" fillId="3" borderId="0" xfId="0" applyFont="1" applyFill="1"/>
    <xf numFmtId="0" fontId="16" fillId="3" borderId="0" xfId="0" applyFont="1" applyFill="1" applyAlignment="1">
      <alignment vertical="center"/>
    </xf>
    <xf numFmtId="3" fontId="1" fillId="3" borderId="0" xfId="0" applyNumberFormat="1" applyFont="1" applyFill="1"/>
    <xf numFmtId="1" fontId="1" fillId="3" borderId="0" xfId="0" applyNumberFormat="1" applyFont="1" applyFill="1"/>
    <xf numFmtId="0" fontId="17" fillId="3" borderId="0" xfId="0" applyFont="1" applyFill="1"/>
    <xf numFmtId="0" fontId="18" fillId="0" borderId="0" xfId="0" applyFont="1" applyAlignment="1">
      <alignment vertical="top"/>
    </xf>
    <xf numFmtId="0" fontId="18" fillId="0" borderId="0" xfId="0" applyFont="1" applyAlignment="1">
      <alignment horizontal="justify" vertical="center"/>
    </xf>
    <xf numFmtId="3" fontId="7" fillId="3" borderId="0" xfId="0" applyNumberFormat="1" applyFont="1" applyFill="1"/>
    <xf numFmtId="0" fontId="11" fillId="3" borderId="0" xfId="0" applyFont="1" applyFill="1"/>
    <xf numFmtId="0" fontId="1" fillId="3" borderId="0" xfId="0" applyFont="1" applyFill="1" applyAlignment="1">
      <alignment vertical="center"/>
    </xf>
    <xf numFmtId="0" fontId="1" fillId="0" borderId="0" xfId="0" applyFont="1" applyAlignment="1">
      <alignment vertical="center"/>
    </xf>
    <xf numFmtId="0" fontId="20" fillId="0" borderId="0" xfId="0" applyFont="1"/>
    <xf numFmtId="0" fontId="20" fillId="0" borderId="12" xfId="0" applyFont="1" applyBorder="1" applyAlignment="1">
      <alignment horizontal="left"/>
    </xf>
    <xf numFmtId="0" fontId="20" fillId="0" borderId="0" xfId="0" applyFont="1" applyAlignment="1">
      <alignment horizontal="left"/>
    </xf>
    <xf numFmtId="0" fontId="20" fillId="0" borderId="13" xfId="0" applyFont="1" applyBorder="1" applyAlignment="1">
      <alignment horizontal="left"/>
    </xf>
    <xf numFmtId="0" fontId="20" fillId="0" borderId="12" xfId="0" applyFont="1" applyBorder="1" applyAlignment="1">
      <alignment horizontal="left" wrapText="1"/>
    </xf>
    <xf numFmtId="0" fontId="20" fillId="0" borderId="0" xfId="0" applyFont="1" applyAlignment="1">
      <alignment horizontal="left" wrapText="1"/>
    </xf>
    <xf numFmtId="0" fontId="20" fillId="0" borderId="13" xfId="0" applyFont="1" applyBorder="1" applyAlignment="1">
      <alignment horizontal="left" wrapText="1"/>
    </xf>
    <xf numFmtId="0" fontId="20" fillId="0" borderId="12" xfId="0" applyFont="1" applyBorder="1"/>
    <xf numFmtId="0" fontId="20" fillId="0" borderId="13" xfId="0" applyFont="1" applyBorder="1"/>
    <xf numFmtId="0" fontId="20" fillId="0" borderId="14" xfId="0" applyFont="1" applyBorder="1"/>
    <xf numFmtId="0" fontId="20" fillId="0" borderId="15" xfId="0" applyFont="1" applyBorder="1"/>
    <xf numFmtId="0" fontId="20" fillId="0" borderId="16" xfId="0" applyFont="1" applyBorder="1"/>
    <xf numFmtId="0" fontId="19" fillId="3" borderId="8" xfId="0" applyFont="1" applyFill="1" applyBorder="1" applyAlignment="1">
      <alignment horizontal="center" vertical="distributed"/>
    </xf>
    <xf numFmtId="0" fontId="23" fillId="0" borderId="12" xfId="0" applyFont="1" applyBorder="1"/>
    <xf numFmtId="0" fontId="25" fillId="6" borderId="3" xfId="2" applyFont="1" applyFill="1" applyBorder="1" applyAlignment="1">
      <alignment horizontal="center" vertical="center" wrapText="1"/>
    </xf>
    <xf numFmtId="49" fontId="6" fillId="7" borderId="3" xfId="0" applyNumberFormat="1" applyFont="1" applyFill="1" applyBorder="1" applyAlignment="1">
      <alignment horizontal="left" vertical="center" wrapText="1"/>
    </xf>
    <xf numFmtId="3" fontId="6" fillId="7" borderId="3" xfId="0" applyNumberFormat="1" applyFont="1" applyFill="1" applyBorder="1" applyAlignment="1">
      <alignment horizontal="right" vertical="center" wrapText="1"/>
    </xf>
    <xf numFmtId="164" fontId="6" fillId="7" borderId="3" xfId="0" applyNumberFormat="1" applyFont="1" applyFill="1" applyBorder="1" applyAlignment="1">
      <alignment horizontal="right" vertical="center" wrapText="1"/>
    </xf>
    <xf numFmtId="3" fontId="25" fillId="8" borderId="3" xfId="0" applyNumberFormat="1" applyFont="1" applyFill="1" applyBorder="1" applyAlignment="1">
      <alignment horizontal="right" vertical="center" wrapText="1"/>
    </xf>
    <xf numFmtId="164" fontId="25" fillId="8" borderId="3" xfId="0" applyNumberFormat="1" applyFont="1" applyFill="1" applyBorder="1" applyAlignment="1">
      <alignment horizontal="right" vertical="center" wrapText="1"/>
    </xf>
    <xf numFmtId="3" fontId="25" fillId="9" borderId="3" xfId="0" applyNumberFormat="1" applyFont="1" applyFill="1" applyBorder="1" applyAlignment="1">
      <alignment horizontal="right" vertical="center" wrapText="1"/>
    </xf>
    <xf numFmtId="164" fontId="25" fillId="9" borderId="3" xfId="0" applyNumberFormat="1" applyFont="1" applyFill="1" applyBorder="1" applyAlignment="1">
      <alignment horizontal="right" vertical="center" wrapText="1"/>
    </xf>
    <xf numFmtId="3" fontId="4" fillId="10" borderId="3" xfId="0" applyNumberFormat="1" applyFont="1" applyFill="1" applyBorder="1" applyAlignment="1">
      <alignment horizontal="right" wrapText="1"/>
    </xf>
    <xf numFmtId="164" fontId="4" fillId="10" borderId="3" xfId="0" applyNumberFormat="1" applyFont="1" applyFill="1" applyBorder="1" applyAlignment="1">
      <alignment horizontal="right" wrapText="1"/>
    </xf>
    <xf numFmtId="0" fontId="26" fillId="0" borderId="0" xfId="0" applyFont="1"/>
    <xf numFmtId="164" fontId="6" fillId="12" borderId="3" xfId="0" applyNumberFormat="1" applyFont="1" applyFill="1" applyBorder="1" applyAlignment="1">
      <alignment horizontal="right" vertical="center" wrapText="1"/>
    </xf>
    <xf numFmtId="0" fontId="25" fillId="6" borderId="2" xfId="2" applyFont="1" applyFill="1" applyBorder="1" applyAlignment="1">
      <alignment horizontal="center" vertical="center" wrapText="1"/>
    </xf>
    <xf numFmtId="164" fontId="27" fillId="3" borderId="3" xfId="0" applyNumberFormat="1" applyFont="1" applyFill="1" applyBorder="1" applyAlignment="1">
      <alignment horizontal="right" vertical="top" wrapText="1"/>
    </xf>
    <xf numFmtId="165" fontId="6" fillId="3" borderId="3" xfId="0" applyNumberFormat="1" applyFont="1" applyFill="1" applyBorder="1" applyAlignment="1">
      <alignment horizontal="right" vertical="top" wrapText="1"/>
    </xf>
    <xf numFmtId="164" fontId="6" fillId="3" borderId="3" xfId="0" applyNumberFormat="1" applyFont="1" applyFill="1" applyBorder="1" applyAlignment="1">
      <alignment horizontal="right" vertical="top" wrapText="1"/>
    </xf>
    <xf numFmtId="3" fontId="6" fillId="3" borderId="4" xfId="0" applyNumberFormat="1" applyFont="1" applyFill="1" applyBorder="1" applyAlignment="1">
      <alignment horizontal="right" vertical="center" wrapText="1"/>
    </xf>
    <xf numFmtId="49" fontId="4" fillId="4" borderId="6" xfId="0" applyNumberFormat="1" applyFont="1" applyFill="1" applyBorder="1" applyAlignment="1">
      <alignment vertical="center" wrapText="1"/>
    </xf>
    <xf numFmtId="0" fontId="6" fillId="11" borderId="3" xfId="0" applyFont="1" applyFill="1" applyBorder="1" applyAlignment="1">
      <alignment vertical="center" wrapText="1"/>
    </xf>
    <xf numFmtId="49" fontId="12" fillId="3" borderId="4" xfId="1" applyNumberFormat="1" applyFont="1" applyFill="1" applyBorder="1" applyAlignment="1">
      <alignment vertical="top" wrapText="1"/>
    </xf>
    <xf numFmtId="49" fontId="5" fillId="3" borderId="3" xfId="0" applyNumberFormat="1" applyFont="1" applyFill="1" applyBorder="1" applyAlignment="1">
      <alignment vertical="top" wrapText="1"/>
    </xf>
    <xf numFmtId="0" fontId="7" fillId="3" borderId="0" xfId="0" applyFont="1" applyFill="1" applyAlignment="1">
      <alignment horizontal="center" wrapText="1"/>
    </xf>
    <xf numFmtId="0" fontId="14" fillId="2" borderId="0" xfId="2" applyFont="1" applyFill="1" applyAlignment="1">
      <alignment horizontal="center" vertical="center" wrapText="1"/>
    </xf>
    <xf numFmtId="164" fontId="12" fillId="3" borderId="0" xfId="1" applyNumberFormat="1" applyFont="1" applyFill="1" applyAlignment="1">
      <alignment horizontal="right" vertical="top" wrapText="1"/>
    </xf>
    <xf numFmtId="164" fontId="4" fillId="5" borderId="0" xfId="1" applyNumberFormat="1" applyFont="1" applyFill="1" applyAlignment="1">
      <alignment horizontal="right" vertical="top" wrapText="1"/>
    </xf>
    <xf numFmtId="164" fontId="4" fillId="10" borderId="0" xfId="0" applyNumberFormat="1" applyFont="1" applyFill="1" applyAlignment="1">
      <alignment horizontal="right" wrapText="1"/>
    </xf>
    <xf numFmtId="0" fontId="5" fillId="0" borderId="0" xfId="0" applyFont="1"/>
    <xf numFmtId="0" fontId="5" fillId="3" borderId="0" xfId="0" applyFont="1" applyFill="1"/>
    <xf numFmtId="3" fontId="5" fillId="3" borderId="0" xfId="0" applyNumberFormat="1" applyFont="1" applyFill="1"/>
    <xf numFmtId="49" fontId="5" fillId="0" borderId="3" xfId="0" applyNumberFormat="1" applyFont="1" applyBorder="1" applyAlignment="1">
      <alignment horizontal="left" vertical="top" wrapText="1"/>
    </xf>
    <xf numFmtId="49" fontId="25" fillId="9" borderId="3" xfId="0" applyNumberFormat="1" applyFont="1" applyFill="1" applyBorder="1" applyAlignment="1">
      <alignment vertical="center" wrapText="1"/>
    </xf>
    <xf numFmtId="0" fontId="24" fillId="0" borderId="12" xfId="3" applyFont="1" applyBorder="1" applyAlignment="1">
      <alignment horizontal="left"/>
    </xf>
    <xf numFmtId="0" fontId="24" fillId="0" borderId="0" xfId="3" applyFont="1" applyBorder="1" applyAlignment="1">
      <alignment horizontal="left"/>
    </xf>
    <xf numFmtId="0" fontId="24" fillId="0" borderId="13" xfId="3" applyFont="1" applyBorder="1" applyAlignment="1">
      <alignment horizontal="left"/>
    </xf>
    <xf numFmtId="0" fontId="22" fillId="2" borderId="9" xfId="0" applyFont="1" applyFill="1" applyBorder="1" applyAlignment="1">
      <alignment horizontal="center" wrapText="1"/>
    </xf>
    <xf numFmtId="0" fontId="22" fillId="2" borderId="10" xfId="0" applyFont="1" applyFill="1" applyBorder="1" applyAlignment="1">
      <alignment horizontal="center" wrapText="1"/>
    </xf>
    <xf numFmtId="0" fontId="22" fillId="2" borderId="11" xfId="0" applyFont="1" applyFill="1" applyBorder="1" applyAlignment="1">
      <alignment horizontal="center" wrapText="1"/>
    </xf>
    <xf numFmtId="0" fontId="23" fillId="0" borderId="12" xfId="0" applyFont="1" applyBorder="1" applyAlignment="1">
      <alignment horizontal="left" wrapText="1"/>
    </xf>
    <xf numFmtId="0" fontId="23" fillId="0" borderId="0" xfId="0" applyFont="1" applyAlignment="1">
      <alignment horizontal="left" wrapText="1"/>
    </xf>
    <xf numFmtId="0" fontId="23" fillId="0" borderId="13" xfId="0" applyFont="1" applyBorder="1" applyAlignment="1">
      <alignment horizontal="left" wrapText="1"/>
    </xf>
    <xf numFmtId="0" fontId="2" fillId="0" borderId="0" xfId="0" applyFont="1" applyAlignment="1">
      <alignment horizontal="center" vertical="center" wrapText="1"/>
    </xf>
    <xf numFmtId="49" fontId="5" fillId="3" borderId="2" xfId="0" applyNumberFormat="1" applyFont="1" applyFill="1" applyBorder="1" applyAlignment="1">
      <alignment horizontal="center" vertical="center" wrapText="1"/>
    </xf>
    <xf numFmtId="49" fontId="5" fillId="3" borderId="7" xfId="0" applyNumberFormat="1" applyFont="1" applyFill="1" applyBorder="1" applyAlignment="1">
      <alignment horizontal="center" vertical="center" wrapText="1"/>
    </xf>
    <xf numFmtId="49" fontId="5" fillId="3" borderId="6" xfId="0" applyNumberFormat="1" applyFont="1" applyFill="1" applyBorder="1" applyAlignment="1">
      <alignment horizontal="center" vertical="center" wrapText="1"/>
    </xf>
    <xf numFmtId="0" fontId="7" fillId="3" borderId="0" xfId="0" applyFont="1" applyFill="1" applyAlignment="1">
      <alignment horizontal="center" wrapText="1"/>
    </xf>
    <xf numFmtId="49" fontId="5" fillId="3" borderId="2" xfId="0" applyNumberFormat="1" applyFont="1" applyFill="1" applyBorder="1" applyAlignment="1">
      <alignment horizontal="center" vertical="center"/>
    </xf>
    <xf numFmtId="49" fontId="5" fillId="3" borderId="7" xfId="0" applyNumberFormat="1" applyFont="1" applyFill="1" applyBorder="1" applyAlignment="1">
      <alignment horizontal="center" vertical="center"/>
    </xf>
    <xf numFmtId="49" fontId="5" fillId="3" borderId="6" xfId="0" applyNumberFormat="1" applyFont="1" applyFill="1" applyBorder="1" applyAlignment="1">
      <alignment horizontal="center" vertical="center"/>
    </xf>
    <xf numFmtId="49" fontId="12" fillId="3" borderId="7" xfId="1" applyNumberFormat="1" applyFont="1" applyFill="1" applyBorder="1" applyAlignment="1">
      <alignment horizontal="center" vertical="center" wrapText="1"/>
    </xf>
    <xf numFmtId="49" fontId="12" fillId="3" borderId="6" xfId="1" applyNumberFormat="1" applyFont="1" applyFill="1" applyBorder="1" applyAlignment="1">
      <alignment horizontal="center" vertical="center" wrapText="1"/>
    </xf>
    <xf numFmtId="49" fontId="4" fillId="10" borderId="5" xfId="0" applyNumberFormat="1" applyFont="1" applyFill="1" applyBorder="1" applyAlignment="1">
      <alignment horizontal="center" vertical="center" wrapText="1"/>
    </xf>
    <xf numFmtId="49" fontId="4" fillId="10" borderId="4" xfId="0" applyNumberFormat="1" applyFont="1" applyFill="1" applyBorder="1" applyAlignment="1">
      <alignment horizontal="center" vertical="center" wrapText="1"/>
    </xf>
    <xf numFmtId="49" fontId="5" fillId="3" borderId="3" xfId="0" applyNumberFormat="1" applyFont="1" applyFill="1" applyBorder="1" applyAlignment="1">
      <alignment horizontal="center" vertical="center" wrapText="1"/>
    </xf>
    <xf numFmtId="49" fontId="6" fillId="12" borderId="3" xfId="0" applyNumberFormat="1" applyFont="1" applyFill="1" applyBorder="1" applyAlignment="1">
      <alignment horizontal="center" vertical="center" wrapText="1"/>
    </xf>
    <xf numFmtId="49" fontId="25" fillId="8" borderId="3" xfId="0" applyNumberFormat="1" applyFont="1" applyFill="1" applyBorder="1" applyAlignment="1">
      <alignment horizontal="center" vertical="center" wrapText="1"/>
    </xf>
    <xf numFmtId="49" fontId="6" fillId="7" borderId="3" xfId="0" applyNumberFormat="1" applyFont="1" applyFill="1" applyBorder="1" applyAlignment="1">
      <alignment horizontal="center" vertical="center" wrapText="1"/>
    </xf>
    <xf numFmtId="49" fontId="25" fillId="8" borderId="5" xfId="0" applyNumberFormat="1" applyFont="1" applyFill="1" applyBorder="1" applyAlignment="1">
      <alignment horizontal="center" vertical="center" wrapText="1"/>
    </xf>
    <xf numFmtId="49" fontId="25" fillId="8" borderId="4" xfId="0" applyNumberFormat="1" applyFont="1" applyFill="1" applyBorder="1" applyAlignment="1">
      <alignment horizontal="center" vertical="center" wrapText="1"/>
    </xf>
    <xf numFmtId="0" fontId="19" fillId="3" borderId="0" xfId="0" applyFont="1" applyFill="1" applyAlignment="1">
      <alignment horizontal="center" vertical="center" wrapText="1"/>
    </xf>
    <xf numFmtId="0" fontId="19" fillId="3" borderId="0" xfId="0" applyFont="1" applyFill="1" applyAlignment="1">
      <alignment horizontal="center" vertical="center"/>
    </xf>
    <xf numFmtId="0" fontId="19" fillId="3" borderId="8" xfId="0" applyFont="1" applyFill="1" applyBorder="1" applyAlignment="1">
      <alignment horizontal="center" vertical="center"/>
    </xf>
  </cellXfs>
  <cellStyles count="4">
    <cellStyle name="Hipervínculo" xfId="3" builtinId="8"/>
    <cellStyle name="Normal" xfId="0" builtinId="0"/>
    <cellStyle name="Normal 2" xfId="1" xr:uid="{00000000-0005-0000-0000-000002000000}"/>
    <cellStyle name="Normal_Hoja1" xfId="2" xr:uid="{00000000-0005-0000-0000-00000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3.png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hyperlink" Target="#&#205;ndice!A1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470616</xdr:colOff>
      <xdr:row>1</xdr:row>
      <xdr:rowOff>183842</xdr:rowOff>
    </xdr:from>
    <xdr:to>
      <xdr:col>3</xdr:col>
      <xdr:colOff>982713</xdr:colOff>
      <xdr:row>2</xdr:row>
      <xdr:rowOff>183842</xdr:rowOff>
    </xdr:to>
    <xdr:sp macro="" textlink="">
      <xdr:nvSpPr>
        <xdr:cNvPr id="2" name="Rectángulo redondeado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>
        <a:xfrm>
          <a:off x="3956766" y="717242"/>
          <a:ext cx="512097" cy="20955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323850</xdr:colOff>
      <xdr:row>7</xdr:row>
      <xdr:rowOff>152400</xdr:rowOff>
    </xdr:from>
    <xdr:to>
      <xdr:col>5</xdr:col>
      <xdr:colOff>216822</xdr:colOff>
      <xdr:row>8</xdr:row>
      <xdr:rowOff>146255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>
        <a:xfrm>
          <a:off x="4752975" y="16764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85725</xdr:colOff>
      <xdr:row>1</xdr:row>
      <xdr:rowOff>0</xdr:rowOff>
    </xdr:from>
    <xdr:to>
      <xdr:col>1</xdr:col>
      <xdr:colOff>391084</xdr:colOff>
      <xdr:row>3</xdr:row>
      <xdr:rowOff>333374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F975B29-6190-4E70-BF61-52D45E6780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" y="190500"/>
          <a:ext cx="924484" cy="71437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/>
      </xdr:nvSpPr>
      <xdr:spPr>
        <a:xfrm>
          <a:off x="57151" y="193261"/>
          <a:ext cx="5579578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228600</xdr:colOff>
      <xdr:row>8</xdr:row>
      <xdr:rowOff>0</xdr:rowOff>
    </xdr:from>
    <xdr:to>
      <xdr:col>5</xdr:col>
      <xdr:colOff>121572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/>
      </xdr:nvSpPr>
      <xdr:spPr>
        <a:xfrm>
          <a:off x="327660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142875</xdr:colOff>
      <xdr:row>0</xdr:row>
      <xdr:rowOff>171450</xdr:rowOff>
    </xdr:from>
    <xdr:to>
      <xdr:col>1</xdr:col>
      <xdr:colOff>448234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271663D3-47FA-4E72-ADEA-348E919E23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2875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285750</xdr:colOff>
      <xdr:row>8</xdr:row>
      <xdr:rowOff>0</xdr:rowOff>
    </xdr:from>
    <xdr:to>
      <xdr:col>5</xdr:col>
      <xdr:colOff>178722</xdr:colOff>
      <xdr:row>8</xdr:row>
      <xdr:rowOff>184355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SpPr/>
      </xdr:nvSpPr>
      <xdr:spPr>
        <a:xfrm>
          <a:off x="3333750" y="1524000"/>
          <a:ext cx="654972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76200</xdr:colOff>
      <xdr:row>1</xdr:row>
      <xdr:rowOff>28575</xdr:rowOff>
    </xdr:from>
    <xdr:to>
      <xdr:col>1</xdr:col>
      <xdr:colOff>381559</xdr:colOff>
      <xdr:row>3</xdr:row>
      <xdr:rowOff>361949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D1CB6EDF-C514-4116-A0C1-91297484B7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219075"/>
          <a:ext cx="924484" cy="714374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38100</xdr:rowOff>
    </xdr:from>
    <xdr:to>
      <xdr:col>5</xdr:col>
      <xdr:colOff>64422</xdr:colOff>
      <xdr:row>8</xdr:row>
      <xdr:rowOff>31955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SpPr/>
      </xdr:nvSpPr>
      <xdr:spPr>
        <a:xfrm>
          <a:off x="4600575" y="15621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123825</xdr:colOff>
      <xdr:row>1</xdr:row>
      <xdr:rowOff>19050</xdr:rowOff>
    </xdr:from>
    <xdr:to>
      <xdr:col>1</xdr:col>
      <xdr:colOff>429184</xdr:colOff>
      <xdr:row>3</xdr:row>
      <xdr:rowOff>352424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0B61A078-F710-42B2-9028-6F6A539CFD6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23825" y="209550"/>
          <a:ext cx="924484" cy="714374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2614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 txBox="1"/>
      </xdr:nvSpPr>
      <xdr:spPr>
        <a:xfrm>
          <a:off x="69849" y="151416"/>
          <a:ext cx="5868924" cy="1011833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AGUASCALIENTES POR ESTADO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486103</xdr:colOff>
      <xdr:row>7</xdr:row>
      <xdr:rowOff>131379</xdr:rowOff>
    </xdr:from>
    <xdr:to>
      <xdr:col>4</xdr:col>
      <xdr:colOff>998200</xdr:colOff>
      <xdr:row>7</xdr:row>
      <xdr:rowOff>315734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500-000006000000}"/>
            </a:ext>
          </a:extLst>
        </xdr:cNvPr>
        <xdr:cNvSpPr/>
      </xdr:nvSpPr>
      <xdr:spPr>
        <a:xfrm>
          <a:off x="5123793" y="187215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47625</xdr:colOff>
      <xdr:row>0</xdr:row>
      <xdr:rowOff>142875</xdr:rowOff>
    </xdr:from>
    <xdr:to>
      <xdr:col>1</xdr:col>
      <xdr:colOff>972109</xdr:colOff>
      <xdr:row>3</xdr:row>
      <xdr:rowOff>323849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E27D0185-DBCB-4217-9338-AB0FF178B6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142875"/>
          <a:ext cx="924484" cy="71437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POR MUNICIPIO A ORIGINARIOS DEL ESTADO DE AGUASCALIENTES EN LOS CONSULADOS DE MÉXICO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548137</xdr:colOff>
      <xdr:row>7</xdr:row>
      <xdr:rowOff>80873</xdr:rowOff>
    </xdr:from>
    <xdr:to>
      <xdr:col>4</xdr:col>
      <xdr:colOff>1060234</xdr:colOff>
      <xdr:row>7</xdr:row>
      <xdr:rowOff>265228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/>
      </xdr:nvSpPr>
      <xdr:spPr>
        <a:xfrm>
          <a:off x="5184835" y="1815142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38100</xdr:colOff>
      <xdr:row>0</xdr:row>
      <xdr:rowOff>123825</xdr:rowOff>
    </xdr:from>
    <xdr:to>
      <xdr:col>1</xdr:col>
      <xdr:colOff>962584</xdr:colOff>
      <xdr:row>3</xdr:row>
      <xdr:rowOff>304799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AABAB0A9-5E05-452F-8656-7E969FA3AE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23825"/>
          <a:ext cx="924484" cy="71437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579782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SpPr txBox="1"/>
      </xdr:nvSpPr>
      <xdr:spPr>
        <a:xfrm>
          <a:off x="57151" y="193261"/>
          <a:ext cx="6475066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741984</xdr:colOff>
      <xdr:row>1</xdr:row>
      <xdr:rowOff>157921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457549" y="351182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3</xdr:col>
      <xdr:colOff>1162050</xdr:colOff>
      <xdr:row>7</xdr:row>
      <xdr:rowOff>114300</xdr:rowOff>
    </xdr:from>
    <xdr:to>
      <xdr:col>4</xdr:col>
      <xdr:colOff>493047</xdr:colOff>
      <xdr:row>8</xdr:row>
      <xdr:rowOff>108155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700-000005000000}"/>
            </a:ext>
          </a:extLst>
        </xdr:cNvPr>
        <xdr:cNvSpPr/>
      </xdr:nvSpPr>
      <xdr:spPr>
        <a:xfrm>
          <a:off x="4410075" y="1638300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133351</xdr:colOff>
      <xdr:row>1</xdr:row>
      <xdr:rowOff>28576</xdr:rowOff>
    </xdr:from>
    <xdr:to>
      <xdr:col>1</xdr:col>
      <xdr:colOff>438710</xdr:colOff>
      <xdr:row>3</xdr:row>
      <xdr:rowOff>361950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01017A5-E6F5-BC8F-2FBB-33319BE7FF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3351" y="219076"/>
          <a:ext cx="924484" cy="714374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AGUASCALIENTES POR NIVEL DE EDUCACIÓN Y ESTADO EN EE.UU. 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8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545224</xdr:colOff>
      <xdr:row>7</xdr:row>
      <xdr:rowOff>118241</xdr:rowOff>
    </xdr:from>
    <xdr:to>
      <xdr:col>4</xdr:col>
      <xdr:colOff>1057321</xdr:colOff>
      <xdr:row>7</xdr:row>
      <xdr:rowOff>302596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800-000006000000}"/>
            </a:ext>
          </a:extLst>
        </xdr:cNvPr>
        <xdr:cNvSpPr/>
      </xdr:nvSpPr>
      <xdr:spPr>
        <a:xfrm>
          <a:off x="5182914" y="1859017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34636</xdr:colOff>
      <xdr:row>1</xdr:row>
      <xdr:rowOff>17318</xdr:rowOff>
    </xdr:from>
    <xdr:to>
      <xdr:col>1</xdr:col>
      <xdr:colOff>959120</xdr:colOff>
      <xdr:row>3</xdr:row>
      <xdr:rowOff>350692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9A094BDF-9E44-4D64-9A5B-66D3C991AF8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909" y="173182"/>
          <a:ext cx="924484" cy="714374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SpPr txBox="1"/>
      </xdr:nvSpPr>
      <xdr:spPr>
        <a:xfrm>
          <a:off x="133349" y="192504"/>
          <a:ext cx="10291512" cy="8101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>
          <a:extLst>
            <a:ext uri="{FF2B5EF4-FFF2-40B4-BE49-F238E27FC236}">
              <a16:creationId xmlns:a16="http://schemas.microsoft.com/office/drawing/2014/main" id="{00000000-0008-0000-0900-000003000000}"/>
            </a:ext>
          </a:extLst>
        </xdr:cNvPr>
        <xdr:cNvSpPr txBox="1"/>
      </xdr:nvSpPr>
      <xdr:spPr>
        <a:xfrm>
          <a:off x="37599" y="1139490"/>
          <a:ext cx="10399796" cy="38701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00">
              <a:latin typeface="Montserrat" panose="00000500000000000000" pitchFamily="2" charset="0"/>
            </a:rPr>
            <a:t>MATRÍCULAS CONSULARES DE ALTA SEGURIDAD EXPEDIDAS A ORIGINARIOS DEL ESTADO DE AGUASCALIENTES POR CONSULADO Y NIVEL DE EDUCACIÓN EN EE.UU.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9074"/>
    <xdr:pic>
      <xdr:nvPicPr>
        <xdr:cNvPr id="4" name="Imagen 3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9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360118" y="354429"/>
          <a:ext cx="853107" cy="359074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550892</xdr:colOff>
      <xdr:row>7</xdr:row>
      <xdr:rowOff>103558</xdr:rowOff>
    </xdr:from>
    <xdr:to>
      <xdr:col>4</xdr:col>
      <xdr:colOff>1062989</xdr:colOff>
      <xdr:row>7</xdr:row>
      <xdr:rowOff>287913</xdr:rowOff>
    </xdr:to>
    <xdr:sp macro="" textlink="">
      <xdr:nvSpPr>
        <xdr:cNvPr id="6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900-000006000000}"/>
            </a:ext>
          </a:extLst>
        </xdr:cNvPr>
        <xdr:cNvSpPr/>
      </xdr:nvSpPr>
      <xdr:spPr>
        <a:xfrm>
          <a:off x="5937186" y="1851676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89647</xdr:colOff>
      <xdr:row>1</xdr:row>
      <xdr:rowOff>1</xdr:rowOff>
    </xdr:from>
    <xdr:to>
      <xdr:col>1</xdr:col>
      <xdr:colOff>1014131</xdr:colOff>
      <xdr:row>3</xdr:row>
      <xdr:rowOff>333375</xdr:rowOff>
    </xdr:to>
    <xdr:pic>
      <xdr:nvPicPr>
        <xdr:cNvPr id="7" name="Imagen 6">
          <a:extLst>
            <a:ext uri="{FF2B5EF4-FFF2-40B4-BE49-F238E27FC236}">
              <a16:creationId xmlns:a16="http://schemas.microsoft.com/office/drawing/2014/main" id="{2C23A2CA-386A-4D55-A1D2-61CFCB11CD0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6882" y="156883"/>
          <a:ext cx="924484" cy="714374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1" y="342900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171450</xdr:colOff>
      <xdr:row>7</xdr:row>
      <xdr:rowOff>180975</xdr:rowOff>
    </xdr:from>
    <xdr:to>
      <xdr:col>5</xdr:col>
      <xdr:colOff>64422</xdr:colOff>
      <xdr:row>8</xdr:row>
      <xdr:rowOff>174830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SpPr/>
      </xdr:nvSpPr>
      <xdr:spPr>
        <a:xfrm>
          <a:off x="4600575" y="1704975"/>
          <a:ext cx="512097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104775</xdr:colOff>
      <xdr:row>0</xdr:row>
      <xdr:rowOff>171450</xdr:rowOff>
    </xdr:from>
    <xdr:to>
      <xdr:col>1</xdr:col>
      <xdr:colOff>410134</xdr:colOff>
      <xdr:row>3</xdr:row>
      <xdr:rowOff>314324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5C36687-A912-4E79-A5C5-09544A767B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71450"/>
          <a:ext cx="924484" cy="71437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SpPr txBox="1"/>
      </xdr:nvSpPr>
      <xdr:spPr>
        <a:xfrm>
          <a:off x="762000" y="97254"/>
          <a:ext cx="3105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B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124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479878</xdr:colOff>
      <xdr:row>10</xdr:row>
      <xdr:rowOff>13607</xdr:rowOff>
    </xdr:from>
    <xdr:to>
      <xdr:col>4</xdr:col>
      <xdr:colOff>1059104</xdr:colOff>
      <xdr:row>11</xdr:row>
      <xdr:rowOff>7462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B00-000005000000}"/>
            </a:ext>
          </a:extLst>
        </xdr:cNvPr>
        <xdr:cNvSpPr/>
      </xdr:nvSpPr>
      <xdr:spPr>
        <a:xfrm>
          <a:off x="4988378" y="1918607"/>
          <a:ext cx="57922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19050</xdr:colOff>
      <xdr:row>0</xdr:row>
      <xdr:rowOff>95250</xdr:rowOff>
    </xdr:from>
    <xdr:to>
      <xdr:col>1</xdr:col>
      <xdr:colOff>943534</xdr:colOff>
      <xdr:row>3</xdr:row>
      <xdr:rowOff>285749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B6B22C01-4A3B-4EF8-AE31-EF4067984DC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00050" y="95250"/>
          <a:ext cx="924484" cy="714374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C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727528</xdr:colOff>
      <xdr:row>9</xdr:row>
      <xdr:rowOff>19957</xdr:rowOff>
    </xdr:from>
    <xdr:to>
      <xdr:col>5</xdr:col>
      <xdr:colOff>246304</xdr:colOff>
      <xdr:row>10</xdr:row>
      <xdr:rowOff>13812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SpPr/>
      </xdr:nvSpPr>
      <xdr:spPr>
        <a:xfrm>
          <a:off x="5401128" y="1734457"/>
          <a:ext cx="61732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66675</xdr:colOff>
      <xdr:row>0</xdr:row>
      <xdr:rowOff>133350</xdr:rowOff>
    </xdr:from>
    <xdr:to>
      <xdr:col>1</xdr:col>
      <xdr:colOff>991159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F4BCB3D8-85CC-4BEC-9043-1898D42418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47675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D00-000002000000}"/>
            </a:ext>
          </a:extLst>
        </xdr:cNvPr>
        <xdr:cNvSpPr txBox="1"/>
      </xdr:nvSpPr>
      <xdr:spPr>
        <a:xfrm>
          <a:off x="762000" y="97254"/>
          <a:ext cx="3867150" cy="109337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35729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D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886200" y="266700"/>
          <a:ext cx="853107" cy="335729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750728</xdr:colOff>
      <xdr:row>9</xdr:row>
      <xdr:rowOff>95250</xdr:rowOff>
    </xdr:from>
    <xdr:to>
      <xdr:col>6</xdr:col>
      <xdr:colOff>121894</xdr:colOff>
      <xdr:row>10</xdr:row>
      <xdr:rowOff>89105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D00-000005000000}"/>
            </a:ext>
          </a:extLst>
        </xdr:cNvPr>
        <xdr:cNvSpPr/>
      </xdr:nvSpPr>
      <xdr:spPr>
        <a:xfrm>
          <a:off x="6510178" y="1809750"/>
          <a:ext cx="526866" cy="184355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1</xdr:col>
      <xdr:colOff>85725</xdr:colOff>
      <xdr:row>0</xdr:row>
      <xdr:rowOff>133350</xdr:rowOff>
    </xdr:from>
    <xdr:to>
      <xdr:col>1</xdr:col>
      <xdr:colOff>1010209</xdr:colOff>
      <xdr:row>3</xdr:row>
      <xdr:rowOff>323849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51DB4A81-5815-44A9-A004-5B1DE93534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66725" y="133350"/>
          <a:ext cx="924484" cy="714374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4</xdr:col>
      <xdr:colOff>513521</xdr:colOff>
      <xdr:row>5</xdr:row>
      <xdr:rowOff>121628</xdr:rowOff>
    </xdr:to>
    <xdr:sp macro="" textlink="">
      <xdr:nvSpPr>
        <xdr:cNvPr id="2" name="Encabezado">
          <a:extLst>
            <a:ext uri="{FF2B5EF4-FFF2-40B4-BE49-F238E27FC236}">
              <a16:creationId xmlns:a16="http://schemas.microsoft.com/office/drawing/2014/main" id="{00000000-0008-0000-0E00-000002000000}"/>
            </a:ext>
          </a:extLst>
        </xdr:cNvPr>
        <xdr:cNvSpPr txBox="1"/>
      </xdr:nvSpPr>
      <xdr:spPr>
        <a:xfrm>
          <a:off x="57151" y="193261"/>
          <a:ext cx="6452979" cy="1082410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AGUASCALIENTES 2023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758550</xdr:colOff>
      <xdr:row>1</xdr:row>
      <xdr:rowOff>168965</xdr:rowOff>
    </xdr:from>
    <xdr:ext cx="935795" cy="357126"/>
    <xdr:pic>
      <xdr:nvPicPr>
        <xdr:cNvPr id="3" name="Imagen 2" descr="D:\Users\miguelg\Pictures\Nuevo Logo IME\IME_horizontal_color.png">
          <a:extLst>
            <a:ext uri="{FF2B5EF4-FFF2-40B4-BE49-F238E27FC236}">
              <a16:creationId xmlns:a16="http://schemas.microsoft.com/office/drawing/2014/main" id="{00000000-0008-0000-0E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518289" y="362226"/>
          <a:ext cx="935795" cy="35712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36996</xdr:colOff>
      <xdr:row>7</xdr:row>
      <xdr:rowOff>134868</xdr:rowOff>
    </xdr:from>
    <xdr:to>
      <xdr:col>4</xdr:col>
      <xdr:colOff>576011</xdr:colOff>
      <xdr:row>8</xdr:row>
      <xdr:rowOff>128723</xdr:rowOff>
    </xdr:to>
    <xdr:sp macro="" textlink="">
      <xdr:nvSpPr>
        <xdr:cNvPr id="5" name="Rectángulo redondeado 1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00000000-0008-0000-0E00-000005000000}"/>
            </a:ext>
          </a:extLst>
        </xdr:cNvPr>
        <xdr:cNvSpPr/>
      </xdr:nvSpPr>
      <xdr:spPr>
        <a:xfrm>
          <a:off x="6033605" y="1675433"/>
          <a:ext cx="539015" cy="187116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  <xdr:twoCellAnchor editAs="oneCell">
    <xdr:from>
      <xdr:col>0</xdr:col>
      <xdr:colOff>114300</xdr:colOff>
      <xdr:row>1</xdr:row>
      <xdr:rowOff>9525</xdr:rowOff>
    </xdr:from>
    <xdr:to>
      <xdr:col>1</xdr:col>
      <xdr:colOff>419659</xdr:colOff>
      <xdr:row>3</xdr:row>
      <xdr:rowOff>342899</xdr:rowOff>
    </xdr:to>
    <xdr:pic>
      <xdr:nvPicPr>
        <xdr:cNvPr id="6" name="Imagen 5">
          <a:extLst>
            <a:ext uri="{FF2B5EF4-FFF2-40B4-BE49-F238E27FC236}">
              <a16:creationId xmlns:a16="http://schemas.microsoft.com/office/drawing/2014/main" id="{967700C5-F2AA-4E2F-8554-26330716A1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14300" y="200025"/>
          <a:ext cx="924484" cy="714374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8"/>
  <sheetViews>
    <sheetView showGridLines="0" view="pageBreakPreview" zoomScaleNormal="100" zoomScaleSheetLayoutView="100" workbookViewId="0">
      <selection sqref="A1:D1"/>
    </sheetView>
  </sheetViews>
  <sheetFormatPr baseColWidth="10" defaultColWidth="11.453125" defaultRowHeight="16.5"/>
  <cols>
    <col min="1" max="1" width="5.1796875" style="44" customWidth="1"/>
    <col min="2" max="2" width="20" style="44" customWidth="1"/>
    <col min="3" max="3" width="24.7265625" style="44" customWidth="1"/>
    <col min="4" max="4" width="20.453125" style="44" customWidth="1"/>
    <col min="5" max="16384" width="11.453125" style="44"/>
  </cols>
  <sheetData>
    <row r="1" spans="1:4" ht="42" customHeight="1" thickBot="1">
      <c r="A1" s="92" t="s">
        <v>212</v>
      </c>
      <c r="B1" s="93"/>
      <c r="C1" s="93"/>
      <c r="D1" s="94"/>
    </row>
    <row r="2" spans="1:4">
      <c r="A2" s="45"/>
      <c r="B2" s="46"/>
      <c r="C2" s="46"/>
      <c r="D2" s="47"/>
    </row>
    <row r="3" spans="1:4">
      <c r="A3" s="95" t="s">
        <v>260</v>
      </c>
      <c r="B3" s="96"/>
      <c r="C3" s="96"/>
      <c r="D3" s="97"/>
    </row>
    <row r="4" spans="1:4">
      <c r="A4" s="95"/>
      <c r="B4" s="96"/>
      <c r="C4" s="96"/>
      <c r="D4" s="97"/>
    </row>
    <row r="5" spans="1:4">
      <c r="A5" s="48"/>
      <c r="B5" s="49"/>
      <c r="C5" s="49"/>
      <c r="D5" s="50"/>
    </row>
    <row r="6" spans="1:4" ht="18.5">
      <c r="A6" s="89" t="s">
        <v>18</v>
      </c>
      <c r="B6" s="90"/>
      <c r="C6" s="90"/>
      <c r="D6" s="91"/>
    </row>
    <row r="7" spans="1:4">
      <c r="A7" s="51"/>
      <c r="D7" s="52"/>
    </row>
    <row r="8" spans="1:4" ht="18.5">
      <c r="A8" s="89" t="s">
        <v>19</v>
      </c>
      <c r="B8" s="90"/>
      <c r="C8" s="90"/>
      <c r="D8" s="91"/>
    </row>
    <row r="9" spans="1:4" ht="18.5">
      <c r="A9" s="51"/>
      <c r="B9" s="89" t="s">
        <v>20</v>
      </c>
      <c r="C9" s="90"/>
      <c r="D9" s="90"/>
    </row>
    <row r="10" spans="1:4">
      <c r="A10" s="51"/>
      <c r="D10" s="52"/>
    </row>
    <row r="11" spans="1:4" ht="18.5">
      <c r="A11" s="57" t="s">
        <v>21</v>
      </c>
      <c r="D11" s="52"/>
    </row>
    <row r="12" spans="1:4" ht="18.5">
      <c r="A12" s="51"/>
      <c r="B12" s="89" t="s">
        <v>22</v>
      </c>
      <c r="C12" s="90"/>
      <c r="D12" s="90"/>
    </row>
    <row r="13" spans="1:4" ht="18.5">
      <c r="A13" s="51"/>
      <c r="B13" s="89" t="s">
        <v>23</v>
      </c>
      <c r="C13" s="90"/>
      <c r="D13" s="90"/>
    </row>
    <row r="14" spans="1:4" ht="18.5">
      <c r="A14" s="51"/>
      <c r="B14" s="89" t="s">
        <v>24</v>
      </c>
      <c r="C14" s="90"/>
      <c r="D14" s="90"/>
    </row>
    <row r="15" spans="1:4">
      <c r="A15" s="51"/>
      <c r="D15" s="52"/>
    </row>
    <row r="16" spans="1:4" ht="18.5">
      <c r="A16" s="57" t="s">
        <v>25</v>
      </c>
      <c r="D16" s="52"/>
    </row>
    <row r="17" spans="1:4" ht="18.5">
      <c r="A17" s="51"/>
      <c r="B17" s="89" t="s">
        <v>26</v>
      </c>
      <c r="C17" s="90"/>
      <c r="D17" s="90"/>
    </row>
    <row r="18" spans="1:4" ht="18.5">
      <c r="A18" s="51"/>
      <c r="B18" s="89" t="s">
        <v>27</v>
      </c>
      <c r="C18" s="90"/>
      <c r="D18" s="90"/>
    </row>
    <row r="19" spans="1:4" ht="18.5">
      <c r="A19" s="51"/>
      <c r="B19" s="89" t="s">
        <v>28</v>
      </c>
      <c r="C19" s="90"/>
      <c r="D19" s="90"/>
    </row>
    <row r="20" spans="1:4">
      <c r="A20" s="51"/>
      <c r="D20" s="52"/>
    </row>
    <row r="21" spans="1:4" ht="18.5">
      <c r="A21" s="57" t="s">
        <v>29</v>
      </c>
      <c r="D21" s="52"/>
    </row>
    <row r="22" spans="1:4" ht="18.5">
      <c r="A22" s="51"/>
      <c r="B22" s="89" t="s">
        <v>30</v>
      </c>
      <c r="C22" s="90"/>
      <c r="D22" s="90"/>
    </row>
    <row r="23" spans="1:4" ht="18.5">
      <c r="A23" s="51"/>
      <c r="B23" s="89" t="s">
        <v>33</v>
      </c>
      <c r="C23" s="90"/>
      <c r="D23" s="90"/>
    </row>
    <row r="24" spans="1:4" ht="18.5">
      <c r="A24" s="51"/>
      <c r="B24" s="89" t="s">
        <v>40</v>
      </c>
      <c r="C24" s="90"/>
      <c r="D24" s="90"/>
    </row>
    <row r="25" spans="1:4" ht="18.5">
      <c r="A25" s="89" t="s">
        <v>31</v>
      </c>
      <c r="B25" s="90"/>
      <c r="C25" s="90"/>
      <c r="D25" s="91"/>
    </row>
    <row r="26" spans="1:4" ht="18.5">
      <c r="A26" s="89"/>
      <c r="B26" s="90"/>
      <c r="C26" s="90"/>
      <c r="D26" s="91"/>
    </row>
    <row r="27" spans="1:4" ht="18.5">
      <c r="A27" s="89" t="s">
        <v>32</v>
      </c>
      <c r="B27" s="90"/>
      <c r="C27" s="90"/>
      <c r="D27" s="91"/>
    </row>
    <row r="28" spans="1:4" ht="17" thickBot="1">
      <c r="A28" s="53"/>
      <c r="B28" s="54"/>
      <c r="C28" s="54"/>
      <c r="D28" s="55"/>
    </row>
  </sheetData>
  <mergeCells count="17">
    <mergeCell ref="B12:D12"/>
    <mergeCell ref="A1:D1"/>
    <mergeCell ref="A3:D4"/>
    <mergeCell ref="A6:D6"/>
    <mergeCell ref="A8:D8"/>
    <mergeCell ref="B9:D9"/>
    <mergeCell ref="B23:D23"/>
    <mergeCell ref="A25:D25"/>
    <mergeCell ref="A27:D27"/>
    <mergeCell ref="B13:D13"/>
    <mergeCell ref="B14:D14"/>
    <mergeCell ref="B17:D17"/>
    <mergeCell ref="B18:D18"/>
    <mergeCell ref="B19:D19"/>
    <mergeCell ref="B22:D22"/>
    <mergeCell ref="A26:D26"/>
    <mergeCell ref="B24:D24"/>
  </mergeCells>
  <hyperlinks>
    <hyperlink ref="A6" location="Aguascalientes_EdoUsa!A1" display="1. Por Estados de USA" xr:uid="{00000000-0004-0000-0000-000000000000}"/>
    <hyperlink ref="A8" location="Aguascalientes_Cons_2018!A1" display="2. Por Circunscripción Consular" xr:uid="{00000000-0004-0000-0000-000001000000}"/>
    <hyperlink ref="B9" location="AguascalientesXCons2018!A1" display="2.1 Top ten por circunscripción consular" xr:uid="{00000000-0004-0000-0000-000002000000}"/>
    <hyperlink ref="B12" location="Aguascalientes_EdoMun!A1" display="3.1 Municipio general" xr:uid="{00000000-0004-0000-0000-000003000000}"/>
    <hyperlink ref="B13" location="Aguascalientes_USAMuni2016!A1" display="3.2 Por Estado de USA" xr:uid="{00000000-0004-0000-0000-000004000000}"/>
    <hyperlink ref="B14" location="Aguascalientes_MUNICIPIO!A1" display="3.3 Por Circunscripción Consular" xr:uid="{00000000-0004-0000-0000-000005000000}"/>
    <hyperlink ref="B17" location="Aguascalientes_educ_gral!A1" display="4.1 Educación general" xr:uid="{00000000-0004-0000-0000-000006000000}"/>
    <hyperlink ref="B18" location="Aguascalientes_NivelE_Cons!A1" display="4.2 Por Estado de USA" xr:uid="{00000000-0004-0000-0000-000007000000}"/>
    <hyperlink ref="B19" location="Aguascalientes_EducCons!A1" display="4.3 Por Circunscripción Consular" xr:uid="{00000000-0004-0000-0000-000008000000}"/>
    <hyperlink ref="B22" location="Aguascalientes_GenGral!A1" display="5.1 Género General" xr:uid="{00000000-0004-0000-0000-000009000000}"/>
    <hyperlink ref="B23" location="Aguascalientes_GENERO!A1" display="5.3 Por Circunscripción Consular" xr:uid="{00000000-0004-0000-0000-00000A000000}"/>
    <hyperlink ref="A25" location="Aguascalientes_Gen_Edad!A1" display="6. Por estructura de Edad" xr:uid="{00000000-0004-0000-0000-00000B000000}"/>
    <hyperlink ref="A27" location="Aguascalientes_ocup_gral!A1" display="7. Por Ocupación" xr:uid="{00000000-0004-0000-0000-00000C000000}"/>
    <hyperlink ref="B13:D13" location="Aguascalientes_USAMuni!A1" display="3.2 Por Estado de USA" xr:uid="{00000000-0004-0000-0000-00000D000000}"/>
    <hyperlink ref="A8:D8" location="Aguascalientes_Cons!A1" display="2. Por Circunscripción Consular" xr:uid="{00000000-0004-0000-0000-00000E000000}"/>
    <hyperlink ref="B9:D9" location="AguascalientesXCons!A1" display="2.1 Top ten por circunscripción consular" xr:uid="{00000000-0004-0000-0000-00000F000000}"/>
    <hyperlink ref="B24" location="Aguascalientes_GENERO_EUA!Títulos_a_imprimir" display="5.3 Por Estado de la Unión Americana" xr:uid="{00000000-0004-0000-0000-000010000000}"/>
    <hyperlink ref="B24:D24" location="Aguascalientes_GENERO_EUA!A1" display="5.3 Por Estado de la Unión Americana" xr:uid="{00000000-0004-0000-0000-000011000000}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Hoja1">
    <tabColor rgb="FFFF0000"/>
  </sheetPr>
  <dimension ref="B1:D63"/>
  <sheetViews>
    <sheetView showGridLines="0" view="pageBreakPreview" topLeftCell="A48" zoomScaleNormal="100" zoomScaleSheetLayoutView="100" workbookViewId="0">
      <selection activeCell="B12" sqref="B12:D57"/>
    </sheetView>
  </sheetViews>
  <sheetFormatPr baseColWidth="10" defaultColWidth="11.453125" defaultRowHeight="14.5"/>
  <cols>
    <col min="1" max="1" width="9.26953125" style="8" customWidth="1"/>
    <col min="2" max="2" width="31.453125" style="8" customWidth="1"/>
    <col min="3" max="3" width="17.7265625" style="16" customWidth="1"/>
    <col min="4" max="4" width="17.7265625" style="8" customWidth="1"/>
    <col min="5" max="5" width="9.26953125" style="8" customWidth="1"/>
    <col min="6" max="6" width="5.7265625" style="8" customWidth="1"/>
    <col min="7" max="16384" width="11.453125" style="8"/>
  </cols>
  <sheetData>
    <row r="1" spans="2:4" s="1" customFormat="1" ht="15" customHeight="1">
      <c r="C1" s="2"/>
    </row>
    <row r="2" spans="2:4" s="1" customFormat="1" ht="15" customHeight="1">
      <c r="C2" s="2"/>
    </row>
    <row r="3" spans="2:4" s="1" customFormat="1" ht="15" customHeight="1">
      <c r="C3" s="2"/>
    </row>
    <row r="4" spans="2:4" s="1" customFormat="1" ht="30" customHeight="1">
      <c r="C4" s="2"/>
      <c r="D4" s="3"/>
    </row>
    <row r="5" spans="2:4" s="1" customFormat="1" ht="15" customHeight="1">
      <c r="C5" s="2"/>
      <c r="D5" s="3"/>
    </row>
    <row r="6" spans="2:4" s="1" customFormat="1" ht="15" customHeight="1">
      <c r="C6" s="2"/>
      <c r="D6" s="3"/>
    </row>
    <row r="7" spans="2:4" s="1" customFormat="1" ht="15" customHeight="1">
      <c r="B7" s="98" t="s">
        <v>35</v>
      </c>
      <c r="C7" s="98"/>
      <c r="D7" s="98"/>
    </row>
    <row r="8" spans="2:4" s="1" customFormat="1" ht="15" customHeight="1">
      <c r="B8" s="98"/>
      <c r="C8" s="98"/>
      <c r="D8" s="98"/>
    </row>
    <row r="9" spans="2:4" s="1" customFormat="1" ht="33" customHeight="1">
      <c r="B9" s="98"/>
      <c r="C9" s="98"/>
      <c r="D9" s="98"/>
    </row>
    <row r="10" spans="2:4" s="1" customFormat="1" ht="4.5" customHeight="1">
      <c r="B10" s="4"/>
      <c r="C10" s="4"/>
      <c r="D10" s="4"/>
    </row>
    <row r="11" spans="2:4" s="1" customFormat="1" ht="33" customHeight="1">
      <c r="B11" s="5" t="s">
        <v>0</v>
      </c>
      <c r="C11" s="6" t="s">
        <v>1</v>
      </c>
      <c r="D11" s="7" t="s">
        <v>2</v>
      </c>
    </row>
    <row r="12" spans="2:4">
      <c r="B12" s="76" t="s">
        <v>49</v>
      </c>
      <c r="C12" s="74">
        <v>17</v>
      </c>
      <c r="D12" s="11">
        <v>2E-3</v>
      </c>
    </row>
    <row r="13" spans="2:4">
      <c r="B13" s="76" t="s">
        <v>50</v>
      </c>
      <c r="C13" s="74">
        <v>1</v>
      </c>
      <c r="D13" s="11">
        <v>0</v>
      </c>
    </row>
    <row r="14" spans="2:4">
      <c r="B14" s="76" t="s">
        <v>51</v>
      </c>
      <c r="C14" s="74">
        <v>92</v>
      </c>
      <c r="D14" s="11">
        <v>1.0999999999999999E-2</v>
      </c>
    </row>
    <row r="15" spans="2:4">
      <c r="B15" s="76" t="s">
        <v>52</v>
      </c>
      <c r="C15" s="74">
        <v>189</v>
      </c>
      <c r="D15" s="11">
        <v>2.1999999999999999E-2</v>
      </c>
    </row>
    <row r="16" spans="2:4">
      <c r="B16" s="76" t="s">
        <v>53</v>
      </c>
      <c r="C16" s="74">
        <v>1433</v>
      </c>
      <c r="D16" s="11">
        <v>0.17</v>
      </c>
    </row>
    <row r="17" spans="2:4">
      <c r="B17" s="76" t="s">
        <v>54</v>
      </c>
      <c r="C17" s="74">
        <v>624</v>
      </c>
      <c r="D17" s="11">
        <v>7.3999999999999996E-2</v>
      </c>
    </row>
    <row r="18" spans="2:4">
      <c r="B18" s="76" t="s">
        <v>55</v>
      </c>
      <c r="C18" s="74">
        <v>2</v>
      </c>
      <c r="D18" s="11">
        <v>0</v>
      </c>
    </row>
    <row r="19" spans="2:4">
      <c r="B19" s="76" t="s">
        <v>56</v>
      </c>
      <c r="C19" s="74">
        <v>2</v>
      </c>
      <c r="D19" s="11">
        <v>0</v>
      </c>
    </row>
    <row r="20" spans="2:4">
      <c r="B20" s="76" t="s">
        <v>57</v>
      </c>
      <c r="C20" s="74">
        <v>2</v>
      </c>
      <c r="D20" s="11">
        <v>0</v>
      </c>
    </row>
    <row r="21" spans="2:4">
      <c r="B21" s="76" t="s">
        <v>58</v>
      </c>
      <c r="C21" s="74">
        <v>177</v>
      </c>
      <c r="D21" s="11">
        <v>2.1000000000000001E-2</v>
      </c>
    </row>
    <row r="22" spans="2:4">
      <c r="B22" s="76" t="s">
        <v>59</v>
      </c>
      <c r="C22" s="74">
        <v>114</v>
      </c>
      <c r="D22" s="11">
        <v>1.4E-2</v>
      </c>
    </row>
    <row r="23" spans="2:4">
      <c r="B23" s="76" t="s">
        <v>60</v>
      </c>
      <c r="C23" s="74">
        <v>34</v>
      </c>
      <c r="D23" s="11">
        <v>4.0000000000000001E-3</v>
      </c>
    </row>
    <row r="24" spans="2:4">
      <c r="B24" s="76" t="s">
        <v>62</v>
      </c>
      <c r="C24" s="74">
        <v>921</v>
      </c>
      <c r="D24" s="11">
        <v>0.109</v>
      </c>
    </row>
    <row r="25" spans="2:4">
      <c r="B25" s="76" t="s">
        <v>64</v>
      </c>
      <c r="C25" s="74">
        <v>467</v>
      </c>
      <c r="D25" s="11">
        <v>5.5E-2</v>
      </c>
    </row>
    <row r="26" spans="2:4">
      <c r="B26" s="76" t="s">
        <v>66</v>
      </c>
      <c r="C26" s="74">
        <v>36</v>
      </c>
      <c r="D26" s="11">
        <v>4.0000000000000001E-3</v>
      </c>
    </row>
    <row r="27" spans="2:4">
      <c r="B27" s="76" t="s">
        <v>68</v>
      </c>
      <c r="C27" s="74">
        <v>150</v>
      </c>
      <c r="D27" s="11">
        <v>1.7999999999999999E-2</v>
      </c>
    </row>
    <row r="28" spans="2:4">
      <c r="B28" s="76" t="s">
        <v>70</v>
      </c>
      <c r="C28" s="74">
        <v>82</v>
      </c>
      <c r="D28" s="11">
        <v>0.01</v>
      </c>
    </row>
    <row r="29" spans="2:4">
      <c r="B29" s="76" t="s">
        <v>72</v>
      </c>
      <c r="C29" s="74">
        <v>11</v>
      </c>
      <c r="D29" s="11">
        <v>1E-3</v>
      </c>
    </row>
    <row r="30" spans="2:4">
      <c r="B30" s="76" t="s">
        <v>74</v>
      </c>
      <c r="C30" s="74">
        <v>6</v>
      </c>
      <c r="D30" s="11">
        <v>1E-3</v>
      </c>
    </row>
    <row r="31" spans="2:4">
      <c r="B31" s="76" t="s">
        <v>76</v>
      </c>
      <c r="C31" s="74">
        <v>3</v>
      </c>
      <c r="D31" s="11">
        <v>0</v>
      </c>
    </row>
    <row r="32" spans="2:4">
      <c r="B32" s="76" t="s">
        <v>78</v>
      </c>
      <c r="C32" s="74">
        <v>65</v>
      </c>
      <c r="D32" s="11">
        <v>8.0000000000000002E-3</v>
      </c>
    </row>
    <row r="33" spans="2:4">
      <c r="B33" s="76" t="s">
        <v>80</v>
      </c>
      <c r="C33" s="74">
        <v>42</v>
      </c>
      <c r="D33" s="11">
        <v>5.0000000000000001E-3</v>
      </c>
    </row>
    <row r="34" spans="2:4">
      <c r="B34" s="76" t="s">
        <v>82</v>
      </c>
      <c r="C34" s="74">
        <v>22</v>
      </c>
      <c r="D34" s="11">
        <v>3.0000000000000001E-3</v>
      </c>
    </row>
    <row r="35" spans="2:4">
      <c r="B35" s="76" t="s">
        <v>84</v>
      </c>
      <c r="C35" s="74">
        <v>56</v>
      </c>
      <c r="D35" s="11">
        <v>7.0000000000000001E-3</v>
      </c>
    </row>
    <row r="36" spans="2:4">
      <c r="B36" s="76" t="s">
        <v>86</v>
      </c>
      <c r="C36" s="74">
        <v>9</v>
      </c>
      <c r="D36" s="11">
        <v>1E-3</v>
      </c>
    </row>
    <row r="37" spans="2:4">
      <c r="B37" s="76" t="s">
        <v>88</v>
      </c>
      <c r="C37" s="74">
        <v>56</v>
      </c>
      <c r="D37" s="11">
        <v>7.0000000000000001E-3</v>
      </c>
    </row>
    <row r="38" spans="2:4">
      <c r="B38" s="76" t="s">
        <v>90</v>
      </c>
      <c r="C38" s="74">
        <v>144</v>
      </c>
      <c r="D38" s="11">
        <v>1.7000000000000001E-2</v>
      </c>
    </row>
    <row r="39" spans="2:4">
      <c r="B39" s="76" t="s">
        <v>92</v>
      </c>
      <c r="C39" s="74">
        <v>5</v>
      </c>
      <c r="D39" s="11">
        <v>1E-3</v>
      </c>
    </row>
    <row r="40" spans="2:4">
      <c r="B40" s="76" t="s">
        <v>94</v>
      </c>
      <c r="C40" s="74">
        <v>87</v>
      </c>
      <c r="D40" s="11">
        <v>0.01</v>
      </c>
    </row>
    <row r="41" spans="2:4">
      <c r="B41" s="76" t="s">
        <v>96</v>
      </c>
      <c r="C41" s="74">
        <v>4</v>
      </c>
      <c r="D41" s="11">
        <v>0</v>
      </c>
    </row>
    <row r="42" spans="2:4">
      <c r="B42" s="76" t="s">
        <v>98</v>
      </c>
      <c r="C42" s="74">
        <v>138</v>
      </c>
      <c r="D42" s="11">
        <v>1.6E-2</v>
      </c>
    </row>
    <row r="43" spans="2:4">
      <c r="B43" s="76" t="s">
        <v>100</v>
      </c>
      <c r="C43" s="74">
        <v>5</v>
      </c>
      <c r="D43" s="11">
        <v>1E-3</v>
      </c>
    </row>
    <row r="44" spans="2:4">
      <c r="B44" s="76" t="s">
        <v>102</v>
      </c>
      <c r="C44" s="74">
        <v>49</v>
      </c>
      <c r="D44" s="11">
        <v>6.0000000000000001E-3</v>
      </c>
    </row>
    <row r="45" spans="2:4">
      <c r="B45" s="76" t="s">
        <v>104</v>
      </c>
      <c r="C45" s="74">
        <v>1199</v>
      </c>
      <c r="D45" s="11">
        <v>0.14199999999999999</v>
      </c>
    </row>
    <row r="46" spans="2:4">
      <c r="B46" s="76" t="s">
        <v>106</v>
      </c>
      <c r="C46" s="74">
        <v>8</v>
      </c>
      <c r="D46" s="11">
        <v>1E-3</v>
      </c>
    </row>
    <row r="47" spans="2:4">
      <c r="B47" s="76" t="s">
        <v>108</v>
      </c>
      <c r="C47" s="74">
        <v>12</v>
      </c>
      <c r="D47" s="11">
        <v>1E-3</v>
      </c>
    </row>
    <row r="48" spans="2:4">
      <c r="B48" s="76" t="s">
        <v>109</v>
      </c>
      <c r="C48" s="74">
        <v>39</v>
      </c>
      <c r="D48" s="11">
        <v>5.0000000000000001E-3</v>
      </c>
    </row>
    <row r="49" spans="2:4">
      <c r="B49" s="76" t="s">
        <v>111</v>
      </c>
      <c r="C49" s="74">
        <v>5</v>
      </c>
      <c r="D49" s="11">
        <v>1E-3</v>
      </c>
    </row>
    <row r="50" spans="2:4">
      <c r="B50" s="76" t="s">
        <v>113</v>
      </c>
      <c r="C50" s="74">
        <v>172</v>
      </c>
      <c r="D50" s="11">
        <v>0.02</v>
      </c>
    </row>
    <row r="51" spans="2:4">
      <c r="B51" s="76" t="s">
        <v>115</v>
      </c>
      <c r="C51" s="74">
        <v>1730</v>
      </c>
      <c r="D51" s="11">
        <v>0.20499999999999999</v>
      </c>
    </row>
    <row r="52" spans="2:4">
      <c r="B52" s="76" t="s">
        <v>117</v>
      </c>
      <c r="C52" s="74">
        <v>53</v>
      </c>
      <c r="D52" s="11">
        <v>6.0000000000000001E-3</v>
      </c>
    </row>
    <row r="53" spans="2:4">
      <c r="B53" s="76" t="s">
        <v>119</v>
      </c>
      <c r="C53" s="74">
        <v>25</v>
      </c>
      <c r="D53" s="11">
        <v>3.0000000000000001E-3</v>
      </c>
    </row>
    <row r="54" spans="2:4">
      <c r="B54" s="76" t="s">
        <v>121</v>
      </c>
      <c r="C54" s="74">
        <v>73</v>
      </c>
      <c r="D54" s="11">
        <v>8.9999999999999993E-3</v>
      </c>
    </row>
    <row r="55" spans="2:4">
      <c r="B55" s="76" t="s">
        <v>123</v>
      </c>
      <c r="C55" s="74">
        <v>43</v>
      </c>
      <c r="D55" s="11">
        <v>5.0000000000000001E-3</v>
      </c>
    </row>
    <row r="56" spans="2:4">
      <c r="B56" s="76" t="s">
        <v>125</v>
      </c>
      <c r="C56" s="74">
        <v>22</v>
      </c>
      <c r="D56" s="11">
        <v>3.0000000000000001E-3</v>
      </c>
    </row>
    <row r="57" spans="2:4">
      <c r="B57" s="75" t="s">
        <v>12</v>
      </c>
      <c r="C57" s="14">
        <v>8426</v>
      </c>
      <c r="D57" s="15">
        <v>1</v>
      </c>
    </row>
    <row r="59" spans="2:4">
      <c r="B59" s="17" t="s">
        <v>44</v>
      </c>
    </row>
    <row r="60" spans="2:4">
      <c r="B60" s="18" t="s">
        <v>3</v>
      </c>
    </row>
    <row r="61" spans="2:4">
      <c r="B61" s="19" t="s">
        <v>45</v>
      </c>
    </row>
    <row r="62" spans="2:4">
      <c r="B62" s="17" t="s">
        <v>4</v>
      </c>
    </row>
    <row r="63" spans="2:4">
      <c r="B63" s="17" t="s">
        <v>46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C000"/>
  </sheetPr>
  <dimension ref="B1:D66"/>
  <sheetViews>
    <sheetView showGridLines="0" view="pageBreakPreview" topLeftCell="A46" zoomScaleNormal="100" zoomScaleSheetLayoutView="100" workbookViewId="0">
      <selection activeCell="B59" sqref="B48:D59"/>
    </sheetView>
  </sheetViews>
  <sheetFormatPr baseColWidth="10" defaultColWidth="11.453125" defaultRowHeight="14.5"/>
  <cols>
    <col min="1" max="1" width="9.26953125" style="8" customWidth="1"/>
    <col min="2" max="2" width="21.7265625" style="8" customWidth="1"/>
    <col min="3" max="3" width="17.7265625" style="16" customWidth="1"/>
    <col min="4" max="4" width="17.7265625" style="8" customWidth="1"/>
    <col min="5" max="5" width="9.26953125" style="8" customWidth="1"/>
    <col min="6" max="6" width="5.7265625" style="8" customWidth="1"/>
    <col min="7" max="16384" width="11.453125" style="8"/>
  </cols>
  <sheetData>
    <row r="1" spans="2:4" s="1" customFormat="1" ht="15" customHeight="1">
      <c r="C1" s="2"/>
    </row>
    <row r="2" spans="2:4" s="1" customFormat="1" ht="15" customHeight="1">
      <c r="C2" s="2"/>
    </row>
    <row r="3" spans="2:4" s="1" customFormat="1" ht="15" customHeight="1">
      <c r="C3" s="2"/>
    </row>
    <row r="4" spans="2:4" s="1" customFormat="1" ht="30" customHeight="1">
      <c r="C4" s="2"/>
      <c r="D4" s="3"/>
    </row>
    <row r="5" spans="2:4" s="1" customFormat="1" ht="15" customHeight="1">
      <c r="C5" s="2"/>
      <c r="D5" s="3"/>
    </row>
    <row r="6" spans="2:4" s="1" customFormat="1" ht="15" customHeight="1">
      <c r="C6" s="2"/>
      <c r="D6" s="3"/>
    </row>
    <row r="7" spans="2:4" s="1" customFormat="1" ht="15" customHeight="1">
      <c r="B7" s="98" t="s">
        <v>34</v>
      </c>
      <c r="C7" s="98"/>
      <c r="D7" s="98"/>
    </row>
    <row r="8" spans="2:4" s="1" customFormat="1" ht="15" customHeight="1">
      <c r="B8" s="98"/>
      <c r="C8" s="98"/>
      <c r="D8" s="98"/>
    </row>
    <row r="9" spans="2:4" s="1" customFormat="1" ht="33" customHeight="1">
      <c r="B9" s="98"/>
      <c r="C9" s="98"/>
      <c r="D9" s="98"/>
    </row>
    <row r="10" spans="2:4" s="1" customFormat="1" ht="4.5" customHeight="1">
      <c r="B10" s="4"/>
      <c r="C10" s="4"/>
      <c r="D10" s="4"/>
    </row>
    <row r="11" spans="2:4" s="1" customFormat="1" ht="33" customHeight="1">
      <c r="B11" s="5" t="s">
        <v>5</v>
      </c>
      <c r="C11" s="6" t="s">
        <v>1</v>
      </c>
      <c r="D11" s="7" t="s">
        <v>2</v>
      </c>
    </row>
    <row r="12" spans="2:4">
      <c r="B12" s="76" t="s">
        <v>220</v>
      </c>
      <c r="C12" s="74">
        <v>1378</v>
      </c>
      <c r="D12" s="11">
        <v>0.16400000000000001</v>
      </c>
    </row>
    <row r="13" spans="2:4">
      <c r="B13" s="76" t="s">
        <v>240</v>
      </c>
      <c r="C13" s="74">
        <v>1036</v>
      </c>
      <c r="D13" s="11">
        <v>0.123</v>
      </c>
    </row>
    <row r="14" spans="2:4">
      <c r="B14" s="76" t="s">
        <v>221</v>
      </c>
      <c r="C14" s="74">
        <v>829</v>
      </c>
      <c r="D14" s="11">
        <v>9.8000000000000004E-2</v>
      </c>
    </row>
    <row r="15" spans="2:4">
      <c r="B15" s="76" t="s">
        <v>223</v>
      </c>
      <c r="C15" s="74">
        <v>634</v>
      </c>
      <c r="D15" s="11">
        <v>7.4999999999999997E-2</v>
      </c>
    </row>
    <row r="16" spans="2:4">
      <c r="B16" s="76" t="s">
        <v>234</v>
      </c>
      <c r="C16" s="74">
        <v>633</v>
      </c>
      <c r="D16" s="11">
        <v>7.4999999999999997E-2</v>
      </c>
    </row>
    <row r="17" spans="2:4">
      <c r="B17" s="76" t="s">
        <v>228</v>
      </c>
      <c r="C17" s="74">
        <v>513</v>
      </c>
      <c r="D17" s="11">
        <v>6.0999999999999999E-2</v>
      </c>
    </row>
    <row r="18" spans="2:4">
      <c r="B18" s="76" t="s">
        <v>233</v>
      </c>
      <c r="C18" s="74">
        <v>464</v>
      </c>
      <c r="D18" s="11">
        <v>5.5E-2</v>
      </c>
    </row>
    <row r="19" spans="2:4">
      <c r="B19" s="76" t="s">
        <v>214</v>
      </c>
      <c r="C19" s="74">
        <v>209</v>
      </c>
      <c r="D19" s="11">
        <v>2.5000000000000001E-2</v>
      </c>
    </row>
    <row r="20" spans="2:4">
      <c r="B20" s="76" t="s">
        <v>252</v>
      </c>
      <c r="C20" s="74">
        <v>188</v>
      </c>
      <c r="D20" s="11">
        <v>2.1999999999999999E-2</v>
      </c>
    </row>
    <row r="21" spans="2:4">
      <c r="B21" s="76" t="s">
        <v>230</v>
      </c>
      <c r="C21" s="74">
        <v>186</v>
      </c>
      <c r="D21" s="11">
        <v>2.1999999999999999E-2</v>
      </c>
    </row>
    <row r="22" spans="2:4">
      <c r="B22" s="76" t="s">
        <v>247</v>
      </c>
      <c r="C22" s="74">
        <v>184</v>
      </c>
      <c r="D22" s="11">
        <v>2.1999999999999999E-2</v>
      </c>
    </row>
    <row r="23" spans="2:4">
      <c r="B23" s="76" t="s">
        <v>215</v>
      </c>
      <c r="C23" s="74">
        <v>146</v>
      </c>
      <c r="D23" s="11">
        <v>1.7000000000000001E-2</v>
      </c>
    </row>
    <row r="24" spans="2:4">
      <c r="B24" s="76" t="s">
        <v>227</v>
      </c>
      <c r="C24" s="74">
        <v>138</v>
      </c>
      <c r="D24" s="11">
        <v>1.6E-2</v>
      </c>
    </row>
    <row r="25" spans="2:4">
      <c r="B25" s="76" t="s">
        <v>256</v>
      </c>
      <c r="C25" s="74">
        <v>129</v>
      </c>
      <c r="D25" s="11">
        <v>1.4999999999999999E-2</v>
      </c>
    </row>
    <row r="26" spans="2:4">
      <c r="B26" s="76" t="s">
        <v>242</v>
      </c>
      <c r="C26" s="74">
        <v>117</v>
      </c>
      <c r="D26" s="11">
        <v>1.4E-2</v>
      </c>
    </row>
    <row r="27" spans="2:4">
      <c r="B27" s="76" t="s">
        <v>232</v>
      </c>
      <c r="C27" s="74">
        <v>114</v>
      </c>
      <c r="D27" s="11">
        <v>1.4E-2</v>
      </c>
    </row>
    <row r="28" spans="2:4">
      <c r="B28" s="76" t="s">
        <v>213</v>
      </c>
      <c r="C28" s="74">
        <v>111</v>
      </c>
      <c r="D28" s="11">
        <v>1.2999999999999999E-2</v>
      </c>
    </row>
    <row r="29" spans="2:4">
      <c r="B29" s="76" t="s">
        <v>229</v>
      </c>
      <c r="C29" s="74">
        <v>111</v>
      </c>
      <c r="D29" s="11">
        <v>1.2999999999999999E-2</v>
      </c>
    </row>
    <row r="30" spans="2:4">
      <c r="B30" s="76" t="s">
        <v>243</v>
      </c>
      <c r="C30" s="74">
        <v>111</v>
      </c>
      <c r="D30" s="11">
        <v>1.2999999999999999E-2</v>
      </c>
    </row>
    <row r="31" spans="2:4">
      <c r="B31" s="76" t="s">
        <v>224</v>
      </c>
      <c r="C31" s="74">
        <v>105</v>
      </c>
      <c r="D31" s="11">
        <v>1.2E-2</v>
      </c>
    </row>
    <row r="32" spans="2:4">
      <c r="B32" s="76" t="s">
        <v>248</v>
      </c>
      <c r="C32" s="74">
        <v>99</v>
      </c>
      <c r="D32" s="11">
        <v>1.2E-2</v>
      </c>
    </row>
    <row r="33" spans="2:4">
      <c r="B33" s="76" t="s">
        <v>241</v>
      </c>
      <c r="C33" s="74">
        <v>95</v>
      </c>
      <c r="D33" s="11">
        <v>1.0999999999999999E-2</v>
      </c>
    </row>
    <row r="34" spans="2:4">
      <c r="B34" s="76" t="s">
        <v>255</v>
      </c>
      <c r="C34" s="74">
        <v>92</v>
      </c>
      <c r="D34" s="11">
        <v>1.0999999999999999E-2</v>
      </c>
    </row>
    <row r="35" spans="2:4">
      <c r="B35" s="76" t="s">
        <v>244</v>
      </c>
      <c r="C35" s="74">
        <v>88</v>
      </c>
      <c r="D35" s="11">
        <v>0.01</v>
      </c>
    </row>
    <row r="36" spans="2:4">
      <c r="B36" s="76" t="s">
        <v>251</v>
      </c>
      <c r="C36" s="74">
        <v>87</v>
      </c>
      <c r="D36" s="11">
        <v>0.01</v>
      </c>
    </row>
    <row r="37" spans="2:4">
      <c r="B37" s="76" t="s">
        <v>257</v>
      </c>
      <c r="C37" s="74">
        <v>63</v>
      </c>
      <c r="D37" s="11">
        <v>7.0000000000000001E-3</v>
      </c>
    </row>
    <row r="38" spans="2:4">
      <c r="B38" s="76" t="s">
        <v>236</v>
      </c>
      <c r="C38" s="74">
        <v>59</v>
      </c>
      <c r="D38" s="11">
        <v>7.0000000000000001E-3</v>
      </c>
    </row>
    <row r="39" spans="2:4">
      <c r="B39" s="76" t="s">
        <v>250</v>
      </c>
      <c r="C39" s="74">
        <v>59</v>
      </c>
      <c r="D39" s="11">
        <v>7.0000000000000001E-3</v>
      </c>
    </row>
    <row r="40" spans="2:4">
      <c r="B40" s="76" t="s">
        <v>235</v>
      </c>
      <c r="C40" s="74">
        <v>57</v>
      </c>
      <c r="D40" s="11">
        <v>7.0000000000000001E-3</v>
      </c>
    </row>
    <row r="41" spans="2:4">
      <c r="B41" s="76" t="s">
        <v>249</v>
      </c>
      <c r="C41" s="74">
        <v>54</v>
      </c>
      <c r="D41" s="11">
        <v>6.0000000000000001E-3</v>
      </c>
    </row>
    <row r="42" spans="2:4">
      <c r="B42" s="76" t="s">
        <v>216</v>
      </c>
      <c r="C42" s="74">
        <v>50</v>
      </c>
      <c r="D42" s="11">
        <v>6.0000000000000001E-3</v>
      </c>
    </row>
    <row r="43" spans="2:4">
      <c r="B43" s="76" t="s">
        <v>237</v>
      </c>
      <c r="C43" s="74">
        <v>38</v>
      </c>
      <c r="D43" s="11">
        <v>5.0000000000000001E-3</v>
      </c>
    </row>
    <row r="44" spans="2:4">
      <c r="B44" s="76" t="s">
        <v>253</v>
      </c>
      <c r="C44" s="74">
        <v>35</v>
      </c>
      <c r="D44" s="11">
        <v>4.0000000000000001E-3</v>
      </c>
    </row>
    <row r="45" spans="2:4">
      <c r="B45" s="76" t="s">
        <v>225</v>
      </c>
      <c r="C45" s="74">
        <v>32</v>
      </c>
      <c r="D45" s="11">
        <v>4.0000000000000001E-3</v>
      </c>
    </row>
    <row r="46" spans="2:4">
      <c r="B46" s="76" t="s">
        <v>254</v>
      </c>
      <c r="C46" s="74">
        <v>31</v>
      </c>
      <c r="D46" s="11">
        <v>4.0000000000000001E-3</v>
      </c>
    </row>
    <row r="47" spans="2:4">
      <c r="B47" s="76" t="s">
        <v>238</v>
      </c>
      <c r="C47" s="74">
        <v>28</v>
      </c>
      <c r="D47" s="11">
        <v>3.0000000000000001E-3</v>
      </c>
    </row>
    <row r="48" spans="2:4">
      <c r="B48" s="76" t="s">
        <v>121</v>
      </c>
      <c r="C48" s="74">
        <v>27</v>
      </c>
      <c r="D48" s="11">
        <v>3.0000000000000001E-3</v>
      </c>
    </row>
    <row r="49" spans="2:4">
      <c r="B49" s="76" t="s">
        <v>246</v>
      </c>
      <c r="C49" s="74">
        <v>23</v>
      </c>
      <c r="D49" s="11">
        <v>3.0000000000000001E-3</v>
      </c>
    </row>
    <row r="50" spans="2:4">
      <c r="B50" s="76" t="s">
        <v>226</v>
      </c>
      <c r="C50" s="74">
        <v>18</v>
      </c>
      <c r="D50" s="11">
        <v>2E-3</v>
      </c>
    </row>
    <row r="51" spans="2:4">
      <c r="B51" s="76" t="s">
        <v>245</v>
      </c>
      <c r="C51" s="74">
        <v>13</v>
      </c>
      <c r="D51" s="11">
        <v>2E-3</v>
      </c>
    </row>
    <row r="52" spans="2:4">
      <c r="B52" s="76" t="s">
        <v>218</v>
      </c>
      <c r="C52" s="74">
        <v>9</v>
      </c>
      <c r="D52" s="11">
        <v>1E-3</v>
      </c>
    </row>
    <row r="53" spans="2:4">
      <c r="B53" s="76" t="s">
        <v>217</v>
      </c>
      <c r="C53" s="74">
        <v>8</v>
      </c>
      <c r="D53" s="11">
        <v>1E-3</v>
      </c>
    </row>
    <row r="54" spans="2:4">
      <c r="B54" s="76" t="s">
        <v>231</v>
      </c>
      <c r="C54" s="74">
        <v>7</v>
      </c>
      <c r="D54" s="11">
        <v>1E-3</v>
      </c>
    </row>
    <row r="55" spans="2:4">
      <c r="B55" s="76" t="s">
        <v>239</v>
      </c>
      <c r="C55" s="74">
        <v>7</v>
      </c>
      <c r="D55" s="11">
        <v>1E-3</v>
      </c>
    </row>
    <row r="56" spans="2:4">
      <c r="B56" s="76" t="s">
        <v>258</v>
      </c>
      <c r="C56" s="74">
        <v>5</v>
      </c>
      <c r="D56" s="11">
        <v>1E-3</v>
      </c>
    </row>
    <row r="57" spans="2:4">
      <c r="B57" s="76" t="s">
        <v>219</v>
      </c>
      <c r="C57" s="74">
        <v>3</v>
      </c>
      <c r="D57" s="11">
        <v>0</v>
      </c>
    </row>
    <row r="58" spans="2:4">
      <c r="B58" s="76" t="s">
        <v>222</v>
      </c>
      <c r="C58" s="74">
        <v>2</v>
      </c>
      <c r="D58" s="11">
        <v>0</v>
      </c>
    </row>
    <row r="59" spans="2:4">
      <c r="B59" s="76" t="s">
        <v>259</v>
      </c>
      <c r="C59" s="74">
        <v>1</v>
      </c>
      <c r="D59" s="11">
        <v>0</v>
      </c>
    </row>
    <row r="60" spans="2:4">
      <c r="B60" s="75" t="s">
        <v>12</v>
      </c>
      <c r="C60" s="14">
        <v>8426</v>
      </c>
      <c r="D60" s="15">
        <v>1</v>
      </c>
    </row>
    <row r="61" spans="2:4">
      <c r="B61" s="17"/>
    </row>
    <row r="62" spans="2:4">
      <c r="B62" s="17" t="s">
        <v>44</v>
      </c>
    </row>
    <row r="63" spans="2:4">
      <c r="B63" s="18" t="s">
        <v>3</v>
      </c>
    </row>
    <row r="64" spans="2:4">
      <c r="B64" s="19" t="s">
        <v>45</v>
      </c>
    </row>
    <row r="65" spans="2:3">
      <c r="B65" s="17" t="s">
        <v>4</v>
      </c>
    </row>
    <row r="66" spans="2:3">
      <c r="B66" s="17" t="s">
        <v>46</v>
      </c>
      <c r="C66" s="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FFC000"/>
  </sheetPr>
  <dimension ref="A1:D29"/>
  <sheetViews>
    <sheetView showGridLines="0" view="pageBreakPreview" topLeftCell="A10" zoomScale="115" zoomScaleNormal="100" zoomScaleSheetLayoutView="115" workbookViewId="0">
      <selection activeCell="D21" sqref="D12:D21"/>
    </sheetView>
  </sheetViews>
  <sheetFormatPr baseColWidth="10" defaultColWidth="11.453125" defaultRowHeight="14.5"/>
  <cols>
    <col min="1" max="1" width="9.26953125" style="8" customWidth="1"/>
    <col min="2" max="2" width="21.7265625" style="8" customWidth="1"/>
    <col min="3" max="3" width="17.7265625" style="16" customWidth="1"/>
    <col min="4" max="4" width="17.7265625" style="8" customWidth="1"/>
    <col min="5" max="5" width="9.26953125" style="8" customWidth="1"/>
    <col min="6" max="6" width="5.7265625" style="8" customWidth="1"/>
    <col min="7" max="16384" width="11.453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98" t="s">
        <v>41</v>
      </c>
      <c r="C7" s="98"/>
      <c r="D7" s="98"/>
    </row>
    <row r="8" spans="1:4" s="1" customFormat="1" ht="15" customHeight="1">
      <c r="B8" s="98"/>
      <c r="C8" s="98"/>
      <c r="D8" s="98"/>
    </row>
    <row r="9" spans="1:4" s="1" customFormat="1" ht="33" customHeight="1">
      <c r="B9" s="98"/>
      <c r="C9" s="98"/>
      <c r="D9" s="98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5</v>
      </c>
      <c r="C11" s="6" t="s">
        <v>1</v>
      </c>
      <c r="D11" s="7" t="s">
        <v>2</v>
      </c>
    </row>
    <row r="12" spans="1:4" ht="15" customHeight="1">
      <c r="B12" s="76" t="s">
        <v>220</v>
      </c>
      <c r="C12" s="74">
        <v>1378</v>
      </c>
      <c r="D12" s="11">
        <f>C12/$C$22</f>
        <v>0.2270181219110379</v>
      </c>
    </row>
    <row r="13" spans="1:4">
      <c r="B13" s="76" t="s">
        <v>240</v>
      </c>
      <c r="C13" s="74">
        <v>1036</v>
      </c>
      <c r="D13" s="11">
        <f t="shared" ref="D13:D22" si="0">C13/$C$22</f>
        <v>0.17067545304777595</v>
      </c>
    </row>
    <row r="14" spans="1:4" s="12" customFormat="1">
      <c r="A14" s="8"/>
      <c r="B14" s="76" t="s">
        <v>221</v>
      </c>
      <c r="C14" s="74">
        <v>829</v>
      </c>
      <c r="D14" s="11">
        <f t="shared" si="0"/>
        <v>0.13657331136738057</v>
      </c>
    </row>
    <row r="15" spans="1:4" s="12" customFormat="1">
      <c r="A15" s="8"/>
      <c r="B15" s="76" t="s">
        <v>223</v>
      </c>
      <c r="C15" s="74">
        <v>634</v>
      </c>
      <c r="D15" s="11">
        <f t="shared" si="0"/>
        <v>0.1044481054365733</v>
      </c>
    </row>
    <row r="16" spans="1:4">
      <c r="B16" s="76" t="s">
        <v>234</v>
      </c>
      <c r="C16" s="74">
        <v>633</v>
      </c>
      <c r="D16" s="11">
        <f t="shared" si="0"/>
        <v>0.1042833607907743</v>
      </c>
    </row>
    <row r="17" spans="2:4">
      <c r="B17" s="76" t="s">
        <v>228</v>
      </c>
      <c r="C17" s="74">
        <v>513</v>
      </c>
      <c r="D17" s="11">
        <f t="shared" si="0"/>
        <v>8.451400329489292E-2</v>
      </c>
    </row>
    <row r="18" spans="2:4">
      <c r="B18" s="76" t="s">
        <v>233</v>
      </c>
      <c r="C18" s="74">
        <v>464</v>
      </c>
      <c r="D18" s="11">
        <f t="shared" si="0"/>
        <v>7.6441515650741351E-2</v>
      </c>
    </row>
    <row r="19" spans="2:4">
      <c r="B19" s="76" t="s">
        <v>214</v>
      </c>
      <c r="C19" s="74">
        <v>209</v>
      </c>
      <c r="D19" s="11">
        <f t="shared" si="0"/>
        <v>3.4431630971993407E-2</v>
      </c>
    </row>
    <row r="20" spans="2:4">
      <c r="B20" s="76" t="s">
        <v>252</v>
      </c>
      <c r="C20" s="74">
        <v>188</v>
      </c>
      <c r="D20" s="11">
        <f t="shared" si="0"/>
        <v>3.0971993410214168E-2</v>
      </c>
    </row>
    <row r="21" spans="2:4">
      <c r="B21" s="76" t="s">
        <v>230</v>
      </c>
      <c r="C21" s="74">
        <v>186</v>
      </c>
      <c r="D21" s="11">
        <f t="shared" si="0"/>
        <v>3.0642504118616146E-2</v>
      </c>
    </row>
    <row r="22" spans="2:4">
      <c r="B22" s="13" t="s">
        <v>42</v>
      </c>
      <c r="C22" s="14">
        <f>SUM(C12:C21)</f>
        <v>6070</v>
      </c>
      <c r="D22" s="15">
        <f t="shared" si="0"/>
        <v>1</v>
      </c>
    </row>
    <row r="23" spans="2:4">
      <c r="B23" s="13" t="s">
        <v>43</v>
      </c>
      <c r="C23" s="14">
        <v>8426</v>
      </c>
    </row>
    <row r="24" spans="2:4">
      <c r="C24" s="8"/>
    </row>
    <row r="25" spans="2:4">
      <c r="B25" s="17" t="s">
        <v>44</v>
      </c>
      <c r="C25" s="8"/>
    </row>
    <row r="26" spans="2:4">
      <c r="B26" s="18" t="s">
        <v>3</v>
      </c>
      <c r="C26" s="8"/>
    </row>
    <row r="27" spans="2:4">
      <c r="B27" s="19" t="s">
        <v>45</v>
      </c>
      <c r="C27" s="8"/>
    </row>
    <row r="28" spans="2:4">
      <c r="B28" s="17" t="s">
        <v>4</v>
      </c>
      <c r="C28" s="8"/>
    </row>
    <row r="29" spans="2:4">
      <c r="B29" s="17" t="s">
        <v>46</v>
      </c>
      <c r="C29" s="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4">
    <tabColor rgb="FFFFFF00"/>
  </sheetPr>
  <dimension ref="B1:D32"/>
  <sheetViews>
    <sheetView showGridLines="0" view="pageBreakPreview" topLeftCell="A18" zoomScale="115" zoomScaleNormal="100" zoomScaleSheetLayoutView="115" workbookViewId="0">
      <selection activeCell="D13" sqref="B13:D23"/>
    </sheetView>
  </sheetViews>
  <sheetFormatPr baseColWidth="10" defaultColWidth="11.453125" defaultRowHeight="14.5"/>
  <cols>
    <col min="1" max="1" width="9.26953125" style="8" customWidth="1"/>
    <col min="2" max="2" width="36.453125" style="8" customWidth="1"/>
    <col min="3" max="3" width="17.7265625" style="16" customWidth="1"/>
    <col min="4" max="4" width="17.7265625" style="8" customWidth="1"/>
    <col min="5" max="5" width="9.26953125" style="8" customWidth="1"/>
    <col min="6" max="6" width="5.7265625" style="8" customWidth="1"/>
    <col min="7" max="16384" width="11.453125" style="8"/>
  </cols>
  <sheetData>
    <row r="1" spans="2:4" s="1" customFormat="1" ht="15" customHeight="1">
      <c r="C1" s="2"/>
    </row>
    <row r="2" spans="2:4" s="1" customFormat="1" ht="15" customHeight="1">
      <c r="C2" s="2"/>
    </row>
    <row r="3" spans="2:4" s="1" customFormat="1" ht="15" customHeight="1">
      <c r="C3" s="2"/>
    </row>
    <row r="4" spans="2:4" s="1" customFormat="1" ht="30" customHeight="1">
      <c r="C4" s="2"/>
      <c r="D4" s="3"/>
    </row>
    <row r="5" spans="2:4" s="1" customFormat="1" ht="15" customHeight="1">
      <c r="C5" s="2"/>
      <c r="D5" s="3"/>
    </row>
    <row r="6" spans="2:4" s="1" customFormat="1" ht="15" customHeight="1">
      <c r="C6" s="2"/>
      <c r="D6" s="3"/>
    </row>
    <row r="7" spans="2:4" s="1" customFormat="1" ht="15" customHeight="1">
      <c r="B7" s="98" t="s">
        <v>38</v>
      </c>
      <c r="C7" s="98"/>
      <c r="D7" s="98"/>
    </row>
    <row r="8" spans="2:4" s="1" customFormat="1" ht="15" customHeight="1">
      <c r="B8" s="98"/>
      <c r="C8" s="98"/>
      <c r="D8" s="98"/>
    </row>
    <row r="9" spans="2:4" s="1" customFormat="1" ht="33" customHeight="1">
      <c r="B9" s="98"/>
      <c r="C9" s="98"/>
      <c r="D9" s="98"/>
    </row>
    <row r="10" spans="2:4" s="1" customFormat="1" ht="4.5" customHeight="1">
      <c r="B10" s="4"/>
      <c r="C10" s="4"/>
      <c r="D10" s="4"/>
    </row>
    <row r="11" spans="2:4" s="1" customFormat="1" ht="33" customHeight="1">
      <c r="B11" s="5" t="s">
        <v>6</v>
      </c>
      <c r="C11" s="6" t="s">
        <v>1</v>
      </c>
      <c r="D11" s="7" t="s">
        <v>2</v>
      </c>
    </row>
    <row r="12" spans="2:4" ht="15" customHeight="1">
      <c r="B12" s="78" t="s">
        <v>127</v>
      </c>
      <c r="C12" s="72">
        <v>4543</v>
      </c>
      <c r="D12" s="73">
        <v>0.53916449086161899</v>
      </c>
    </row>
    <row r="13" spans="2:4" ht="15" customHeight="1">
      <c r="B13" s="78" t="s">
        <v>128</v>
      </c>
      <c r="C13" s="72">
        <v>1016</v>
      </c>
      <c r="D13" s="73">
        <v>0.12057915974365099</v>
      </c>
    </row>
    <row r="14" spans="2:4" ht="15" customHeight="1">
      <c r="B14" s="78" t="s">
        <v>130</v>
      </c>
      <c r="C14" s="72">
        <v>946</v>
      </c>
      <c r="D14" s="73">
        <v>0.11227154046997399</v>
      </c>
    </row>
    <row r="15" spans="2:4" ht="15" customHeight="1">
      <c r="B15" s="78" t="s">
        <v>133</v>
      </c>
      <c r="C15" s="72">
        <v>527</v>
      </c>
      <c r="D15" s="73">
        <v>6.2544505103252004E-2</v>
      </c>
    </row>
    <row r="16" spans="2:4" ht="15" customHeight="1">
      <c r="B16" s="78" t="s">
        <v>129</v>
      </c>
      <c r="C16" s="72">
        <v>497</v>
      </c>
      <c r="D16" s="73">
        <v>5.8984096843105002E-2</v>
      </c>
    </row>
    <row r="17" spans="2:4" ht="15" customHeight="1">
      <c r="B17" s="78" t="s">
        <v>131</v>
      </c>
      <c r="C17" s="72">
        <v>376</v>
      </c>
      <c r="D17" s="73">
        <v>4.4623783527178003E-2</v>
      </c>
    </row>
    <row r="18" spans="2:4" ht="15" customHeight="1">
      <c r="B18" s="78" t="s">
        <v>134</v>
      </c>
      <c r="C18" s="72">
        <v>110</v>
      </c>
      <c r="D18" s="73">
        <v>1.3054830287206E-2</v>
      </c>
    </row>
    <row r="19" spans="2:4" ht="15" customHeight="1">
      <c r="B19" s="78" t="s">
        <v>137</v>
      </c>
      <c r="C19" s="72">
        <v>109</v>
      </c>
      <c r="D19" s="73">
        <v>1.2936150011868E-2</v>
      </c>
    </row>
    <row r="20" spans="2:4" ht="15" customHeight="1">
      <c r="B20" s="78" t="s">
        <v>138</v>
      </c>
      <c r="C20" s="72">
        <v>107</v>
      </c>
      <c r="D20" s="73">
        <v>1.2698789461192E-2</v>
      </c>
    </row>
    <row r="21" spans="2:4" ht="15" customHeight="1">
      <c r="B21" s="78" t="s">
        <v>136</v>
      </c>
      <c r="C21" s="72">
        <v>92</v>
      </c>
      <c r="D21" s="73">
        <v>1.0918585331118001E-2</v>
      </c>
    </row>
    <row r="22" spans="2:4" ht="15" customHeight="1">
      <c r="B22" s="78" t="s">
        <v>132</v>
      </c>
      <c r="C22" s="72">
        <v>81</v>
      </c>
      <c r="D22" s="73">
        <v>9.6131023023969999E-3</v>
      </c>
    </row>
    <row r="23" spans="2:4" ht="45" customHeight="1">
      <c r="B23" s="78" t="s">
        <v>135</v>
      </c>
      <c r="C23" s="72">
        <v>20</v>
      </c>
      <c r="D23" s="73">
        <v>2.3736055067650002E-3</v>
      </c>
    </row>
    <row r="24" spans="2:4" ht="15" customHeight="1">
      <c r="B24" s="78" t="s">
        <v>139</v>
      </c>
      <c r="C24" s="72">
        <v>1</v>
      </c>
      <c r="D24" s="73">
        <v>1.1868027533799999E-4</v>
      </c>
    </row>
    <row r="25" spans="2:4" ht="15" customHeight="1">
      <c r="B25" s="78" t="s">
        <v>140</v>
      </c>
      <c r="C25" s="72">
        <v>1</v>
      </c>
      <c r="D25" s="73">
        <v>1.1868027533799999E-4</v>
      </c>
    </row>
    <row r="26" spans="2:4" ht="15" customHeight="1">
      <c r="B26" s="13" t="s">
        <v>12</v>
      </c>
      <c r="C26" s="14">
        <v>8426</v>
      </c>
      <c r="D26" s="15">
        <v>1</v>
      </c>
    </row>
    <row r="27" spans="2:4">
      <c r="B27" s="19"/>
    </row>
    <row r="28" spans="2:4">
      <c r="B28" s="17" t="s">
        <v>44</v>
      </c>
    </row>
    <row r="29" spans="2:4">
      <c r="B29" s="18" t="s">
        <v>3</v>
      </c>
    </row>
    <row r="30" spans="2:4">
      <c r="B30" s="19" t="s">
        <v>45</v>
      </c>
      <c r="C30" s="8"/>
    </row>
    <row r="31" spans="2:4">
      <c r="B31" s="17" t="s">
        <v>4</v>
      </c>
      <c r="C31" s="8"/>
    </row>
    <row r="32" spans="2:4">
      <c r="B32" s="17" t="s">
        <v>46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5">
    <tabColor rgb="FFFFFF00"/>
  </sheetPr>
  <dimension ref="A1:F336"/>
  <sheetViews>
    <sheetView showGridLines="0" view="pageBreakPreview" zoomScale="85" zoomScaleNormal="100" zoomScaleSheetLayoutView="85" workbookViewId="0">
      <selection activeCell="F8" sqref="F8"/>
    </sheetView>
  </sheetViews>
  <sheetFormatPr baseColWidth="10" defaultColWidth="35" defaultRowHeight="15" customHeight="1"/>
  <cols>
    <col min="1" max="1" width="1" style="20" customWidth="1"/>
    <col min="2" max="2" width="22.81640625" style="21" customWidth="1"/>
    <col min="3" max="3" width="31.453125" style="21" customWidth="1"/>
    <col min="4" max="4" width="14.26953125" style="21" customWidth="1"/>
    <col min="5" max="6" width="16.81640625" style="21" customWidth="1"/>
    <col min="7" max="16384" width="35" style="20"/>
  </cols>
  <sheetData>
    <row r="1" spans="1:6" s="31" customFormat="1" ht="12" customHeight="1">
      <c r="B1" s="34"/>
      <c r="C1" s="33"/>
      <c r="D1" s="33"/>
      <c r="E1" s="33"/>
      <c r="F1" s="33"/>
    </row>
    <row r="2" spans="1:6" s="31" customFormat="1" ht="15" customHeight="1">
      <c r="C2" s="36"/>
    </row>
    <row r="3" spans="1:6" s="31" customFormat="1" ht="15" customHeight="1">
      <c r="C3" s="36"/>
    </row>
    <row r="4" spans="1:6" s="31" customFormat="1" ht="30" customHeight="1">
      <c r="C4" s="36"/>
      <c r="D4" s="35"/>
    </row>
    <row r="5" spans="1:6" s="31" customFormat="1" ht="15" customHeight="1">
      <c r="C5" s="36"/>
      <c r="D5" s="35"/>
    </row>
    <row r="6" spans="1:6" s="31" customFormat="1" ht="24" customHeight="1">
      <c r="B6" s="34"/>
      <c r="C6" s="33"/>
      <c r="D6" s="33"/>
      <c r="E6" s="33"/>
      <c r="F6" s="33"/>
    </row>
    <row r="7" spans="1:6" s="31" customFormat="1" ht="26.25" customHeight="1">
      <c r="A7" s="32"/>
      <c r="B7" s="102"/>
      <c r="C7" s="102"/>
      <c r="D7" s="102"/>
      <c r="E7" s="102"/>
      <c r="F7" s="79"/>
    </row>
    <row r="8" spans="1:6" s="31" customFormat="1" ht="33" customHeight="1">
      <c r="A8" s="32"/>
      <c r="B8" s="102"/>
      <c r="C8" s="102"/>
      <c r="D8" s="102"/>
      <c r="E8" s="102"/>
      <c r="F8" s="79"/>
    </row>
    <row r="9" spans="1:6" s="1" customFormat="1" ht="40.5" customHeight="1">
      <c r="B9" s="28" t="s">
        <v>8</v>
      </c>
      <c r="C9" s="30" t="s">
        <v>7</v>
      </c>
      <c r="D9" s="29" t="s">
        <v>1</v>
      </c>
      <c r="E9" s="28" t="s">
        <v>2</v>
      </c>
      <c r="F9" s="80"/>
    </row>
    <row r="10" spans="1:6" ht="15" customHeight="1">
      <c r="B10" s="99" t="s">
        <v>49</v>
      </c>
      <c r="C10" s="77" t="s">
        <v>127</v>
      </c>
      <c r="D10" s="26">
        <v>13</v>
      </c>
      <c r="E10" s="25">
        <v>1.5428435793969999E-3</v>
      </c>
      <c r="F10" s="81"/>
    </row>
    <row r="11" spans="1:6" ht="15" customHeight="1">
      <c r="B11" s="100"/>
      <c r="C11" s="77" t="s">
        <v>128</v>
      </c>
      <c r="D11" s="26">
        <v>3</v>
      </c>
      <c r="E11" s="25">
        <v>3.5604082601500001E-4</v>
      </c>
      <c r="F11" s="81"/>
    </row>
    <row r="12" spans="1:6" ht="15" customHeight="1">
      <c r="B12" s="100"/>
      <c r="C12" s="77" t="s">
        <v>129</v>
      </c>
      <c r="D12" s="26">
        <v>1</v>
      </c>
      <c r="E12" s="25">
        <v>1.1868027533799999E-4</v>
      </c>
      <c r="F12" s="81"/>
    </row>
    <row r="13" spans="1:6" ht="15" customHeight="1">
      <c r="B13" s="101"/>
      <c r="C13" s="24" t="s">
        <v>12</v>
      </c>
      <c r="D13" s="23">
        <v>17</v>
      </c>
      <c r="E13" s="22">
        <v>2.0175646807500001E-3</v>
      </c>
      <c r="F13" s="82"/>
    </row>
    <row r="14" spans="1:6" ht="15" customHeight="1">
      <c r="B14" s="99" t="s">
        <v>50</v>
      </c>
      <c r="C14" s="77" t="s">
        <v>130</v>
      </c>
      <c r="D14" s="26">
        <v>1</v>
      </c>
      <c r="E14" s="25">
        <v>1.1868027533799999E-4</v>
      </c>
      <c r="F14" s="81"/>
    </row>
    <row r="15" spans="1:6" ht="15" customHeight="1">
      <c r="B15" s="101"/>
      <c r="C15" s="24" t="s">
        <v>12</v>
      </c>
      <c r="D15" s="23">
        <v>1</v>
      </c>
      <c r="E15" s="22">
        <v>1.1868027533799999E-4</v>
      </c>
      <c r="F15" s="82"/>
    </row>
    <row r="16" spans="1:6" ht="15" customHeight="1">
      <c r="B16" s="99" t="s">
        <v>51</v>
      </c>
      <c r="C16" s="77" t="s">
        <v>127</v>
      </c>
      <c r="D16" s="26">
        <v>66</v>
      </c>
      <c r="E16" s="25">
        <v>7.8328981723240002E-3</v>
      </c>
      <c r="F16" s="81"/>
    </row>
    <row r="17" spans="2:6" ht="15" customHeight="1">
      <c r="B17" s="100"/>
      <c r="C17" s="77" t="s">
        <v>131</v>
      </c>
      <c r="D17" s="26">
        <v>3</v>
      </c>
      <c r="E17" s="25">
        <v>3.5604082601500001E-4</v>
      </c>
      <c r="F17" s="81"/>
    </row>
    <row r="18" spans="2:6" ht="15" customHeight="1">
      <c r="B18" s="100"/>
      <c r="C18" s="77" t="s">
        <v>128</v>
      </c>
      <c r="D18" s="26">
        <v>4</v>
      </c>
      <c r="E18" s="25">
        <v>4.7472110135299999E-4</v>
      </c>
      <c r="F18" s="81"/>
    </row>
    <row r="19" spans="2:6" ht="15" customHeight="1">
      <c r="B19" s="100"/>
      <c r="C19" s="77" t="s">
        <v>132</v>
      </c>
      <c r="D19" s="26">
        <v>1</v>
      </c>
      <c r="E19" s="25">
        <v>1.1868027533799999E-4</v>
      </c>
      <c r="F19" s="81"/>
    </row>
    <row r="20" spans="2:6" ht="15" customHeight="1">
      <c r="B20" s="100"/>
      <c r="C20" s="77" t="s">
        <v>129</v>
      </c>
      <c r="D20" s="26">
        <v>10</v>
      </c>
      <c r="E20" s="25">
        <v>1.1868027533820001E-3</v>
      </c>
      <c r="F20" s="81"/>
    </row>
    <row r="21" spans="2:6" ht="15" customHeight="1">
      <c r="B21" s="100"/>
      <c r="C21" s="77" t="s">
        <v>133</v>
      </c>
      <c r="D21" s="26">
        <v>2</v>
      </c>
      <c r="E21" s="25">
        <v>2.3736055067599999E-4</v>
      </c>
      <c r="F21" s="81"/>
    </row>
    <row r="22" spans="2:6" ht="15" customHeight="1">
      <c r="B22" s="100"/>
      <c r="C22" s="77" t="s">
        <v>130</v>
      </c>
      <c r="D22" s="26">
        <v>5</v>
      </c>
      <c r="E22" s="25">
        <v>5.9340137669100003E-4</v>
      </c>
      <c r="F22" s="81"/>
    </row>
    <row r="23" spans="2:6" ht="15" customHeight="1">
      <c r="B23" s="100"/>
      <c r="C23" s="77" t="s">
        <v>134</v>
      </c>
      <c r="D23" s="26">
        <v>1</v>
      </c>
      <c r="E23" s="25">
        <v>1.1868027533799999E-4</v>
      </c>
      <c r="F23" s="81"/>
    </row>
    <row r="24" spans="2:6" ht="15" customHeight="1">
      <c r="B24" s="101"/>
      <c r="C24" s="24" t="s">
        <v>12</v>
      </c>
      <c r="D24" s="23">
        <v>92</v>
      </c>
      <c r="E24" s="22">
        <v>1.0918585331118001E-2</v>
      </c>
      <c r="F24" s="82"/>
    </row>
    <row r="25" spans="2:6" ht="15" customHeight="1">
      <c r="B25" s="99" t="s">
        <v>52</v>
      </c>
      <c r="C25" s="77" t="s">
        <v>127</v>
      </c>
      <c r="D25" s="26">
        <v>84</v>
      </c>
      <c r="E25" s="25">
        <v>9.9691431284119995E-3</v>
      </c>
      <c r="F25" s="81"/>
    </row>
    <row r="26" spans="2:6" ht="15" customHeight="1">
      <c r="B26" s="100"/>
      <c r="C26" s="77" t="s">
        <v>131</v>
      </c>
      <c r="D26" s="26">
        <v>8</v>
      </c>
      <c r="E26" s="25">
        <v>9.4944220270599998E-4</v>
      </c>
      <c r="F26" s="81"/>
    </row>
    <row r="27" spans="2:6" ht="15" customHeight="1">
      <c r="B27" s="100"/>
      <c r="C27" s="77" t="s">
        <v>128</v>
      </c>
      <c r="D27" s="26">
        <v>2</v>
      </c>
      <c r="E27" s="25">
        <v>2.3736055067599999E-4</v>
      </c>
      <c r="F27" s="81"/>
    </row>
    <row r="28" spans="2:6" ht="15" customHeight="1">
      <c r="B28" s="100"/>
      <c r="C28" s="77" t="s">
        <v>132</v>
      </c>
      <c r="D28" s="26">
        <v>2</v>
      </c>
      <c r="E28" s="25">
        <v>2.3736055067599999E-4</v>
      </c>
      <c r="F28" s="81"/>
    </row>
    <row r="29" spans="2:6" ht="15" customHeight="1">
      <c r="B29" s="100"/>
      <c r="C29" s="77" t="s">
        <v>129</v>
      </c>
      <c r="D29" s="26">
        <v>9</v>
      </c>
      <c r="E29" s="25">
        <v>1.0681224780439999E-3</v>
      </c>
      <c r="F29" s="81"/>
    </row>
    <row r="30" spans="2:6" ht="15" customHeight="1">
      <c r="B30" s="100"/>
      <c r="C30" s="77" t="s">
        <v>135</v>
      </c>
      <c r="D30" s="26">
        <v>2</v>
      </c>
      <c r="E30" s="25">
        <v>2.3736055067599999E-4</v>
      </c>
      <c r="F30" s="81"/>
    </row>
    <row r="31" spans="2:6" ht="15" customHeight="1">
      <c r="B31" s="100"/>
      <c r="C31" s="77" t="s">
        <v>133</v>
      </c>
      <c r="D31" s="26">
        <v>19</v>
      </c>
      <c r="E31" s="25">
        <v>2.254925231427E-3</v>
      </c>
      <c r="F31" s="81"/>
    </row>
    <row r="32" spans="2:6" ht="15" customHeight="1">
      <c r="B32" s="100"/>
      <c r="C32" s="77" t="s">
        <v>130</v>
      </c>
      <c r="D32" s="26">
        <v>47</v>
      </c>
      <c r="E32" s="25">
        <v>5.5779729408969997E-3</v>
      </c>
      <c r="F32" s="81"/>
    </row>
    <row r="33" spans="2:6" ht="15" customHeight="1">
      <c r="B33" s="100"/>
      <c r="C33" s="77" t="s">
        <v>134</v>
      </c>
      <c r="D33" s="26">
        <v>14</v>
      </c>
      <c r="E33" s="25">
        <v>1.661523854735E-3</v>
      </c>
      <c r="F33" s="81"/>
    </row>
    <row r="34" spans="2:6" ht="15" customHeight="1">
      <c r="B34" s="100"/>
      <c r="C34" s="77" t="s">
        <v>136</v>
      </c>
      <c r="D34" s="26">
        <v>1</v>
      </c>
      <c r="E34" s="25">
        <v>1.1868027533799999E-4</v>
      </c>
      <c r="F34" s="81"/>
    </row>
    <row r="35" spans="2:6" ht="15" customHeight="1">
      <c r="B35" s="100"/>
      <c r="C35" s="77" t="s">
        <v>137</v>
      </c>
      <c r="D35" s="26">
        <v>1</v>
      </c>
      <c r="E35" s="25">
        <v>1.1868027533799999E-4</v>
      </c>
      <c r="F35" s="81"/>
    </row>
    <row r="36" spans="2:6" ht="15" customHeight="1">
      <c r="B36" s="101"/>
      <c r="C36" s="24" t="s">
        <v>12</v>
      </c>
      <c r="D36" s="23">
        <v>189</v>
      </c>
      <c r="E36" s="22">
        <v>2.2430572038927E-2</v>
      </c>
      <c r="F36" s="82"/>
    </row>
    <row r="37" spans="2:6" ht="15" customHeight="1">
      <c r="B37" s="99" t="s">
        <v>53</v>
      </c>
      <c r="C37" s="77" t="s">
        <v>127</v>
      </c>
      <c r="D37" s="26">
        <v>879</v>
      </c>
      <c r="E37" s="25">
        <v>0.104319962022312</v>
      </c>
      <c r="F37" s="81"/>
    </row>
    <row r="38" spans="2:6" ht="15" customHeight="1">
      <c r="B38" s="100"/>
      <c r="C38" s="77" t="s">
        <v>131</v>
      </c>
      <c r="D38" s="26">
        <v>43</v>
      </c>
      <c r="E38" s="25">
        <v>5.1032518395439999E-3</v>
      </c>
      <c r="F38" s="81"/>
    </row>
    <row r="39" spans="2:6" ht="15" customHeight="1">
      <c r="B39" s="100"/>
      <c r="C39" s="77" t="s">
        <v>128</v>
      </c>
      <c r="D39" s="26">
        <v>140</v>
      </c>
      <c r="E39" s="25">
        <v>1.6615238547353001E-2</v>
      </c>
      <c r="F39" s="81"/>
    </row>
    <row r="40" spans="2:6" ht="15" customHeight="1">
      <c r="B40" s="100"/>
      <c r="C40" s="77" t="s">
        <v>138</v>
      </c>
      <c r="D40" s="26">
        <v>24</v>
      </c>
      <c r="E40" s="25">
        <v>2.8483266081179999E-3</v>
      </c>
      <c r="F40" s="81"/>
    </row>
    <row r="41" spans="2:6" ht="15" customHeight="1">
      <c r="B41" s="100"/>
      <c r="C41" s="77" t="s">
        <v>132</v>
      </c>
      <c r="D41" s="26">
        <v>1</v>
      </c>
      <c r="E41" s="25">
        <v>1.1868027533799999E-4</v>
      </c>
      <c r="F41" s="81"/>
    </row>
    <row r="42" spans="2:6" ht="15" customHeight="1">
      <c r="B42" s="100"/>
      <c r="C42" s="77" t="s">
        <v>129</v>
      </c>
      <c r="D42" s="26">
        <v>86</v>
      </c>
      <c r="E42" s="25">
        <v>1.0206503679089001E-2</v>
      </c>
      <c r="F42" s="81"/>
    </row>
    <row r="43" spans="2:6" ht="15" customHeight="1">
      <c r="B43" s="100"/>
      <c r="C43" s="77" t="s">
        <v>135</v>
      </c>
      <c r="D43" s="26">
        <v>1</v>
      </c>
      <c r="E43" s="25">
        <v>1.1868027533799999E-4</v>
      </c>
      <c r="F43" s="81"/>
    </row>
    <row r="44" spans="2:6" ht="15" customHeight="1">
      <c r="B44" s="100"/>
      <c r="C44" s="77" t="s">
        <v>133</v>
      </c>
      <c r="D44" s="26">
        <v>58</v>
      </c>
      <c r="E44" s="25">
        <v>6.8834559696179997E-3</v>
      </c>
      <c r="F44" s="81"/>
    </row>
    <row r="45" spans="2:6" ht="15" customHeight="1">
      <c r="B45" s="100"/>
      <c r="C45" s="77" t="s">
        <v>130</v>
      </c>
      <c r="D45" s="26">
        <v>119</v>
      </c>
      <c r="E45" s="25">
        <v>1.412295276525E-2</v>
      </c>
      <c r="F45" s="81"/>
    </row>
    <row r="46" spans="2:6" ht="15" customHeight="1">
      <c r="B46" s="100"/>
      <c r="C46" s="77" t="s">
        <v>134</v>
      </c>
      <c r="D46" s="26">
        <v>9</v>
      </c>
      <c r="E46" s="25">
        <v>1.0681224780439999E-3</v>
      </c>
      <c r="F46" s="81"/>
    </row>
    <row r="47" spans="2:6" ht="15" customHeight="1">
      <c r="B47" s="100"/>
      <c r="C47" s="77" t="s">
        <v>136</v>
      </c>
      <c r="D47" s="26">
        <v>27</v>
      </c>
      <c r="E47" s="25">
        <v>3.2043674341319999E-3</v>
      </c>
      <c r="F47" s="81"/>
    </row>
    <row r="48" spans="2:6" ht="15" customHeight="1">
      <c r="B48" s="100"/>
      <c r="C48" s="77" t="s">
        <v>137</v>
      </c>
      <c r="D48" s="26">
        <v>46</v>
      </c>
      <c r="E48" s="25">
        <v>5.4592926655590004E-3</v>
      </c>
      <c r="F48" s="81"/>
    </row>
    <row r="49" spans="2:6" ht="15" customHeight="1">
      <c r="B49" s="101"/>
      <c r="C49" s="24" t="s">
        <v>12</v>
      </c>
      <c r="D49" s="23">
        <v>1433</v>
      </c>
      <c r="E49" s="22">
        <v>0.17006883455969601</v>
      </c>
      <c r="F49" s="82"/>
    </row>
    <row r="50" spans="2:6" ht="15" customHeight="1">
      <c r="B50" s="99" t="s">
        <v>54</v>
      </c>
      <c r="C50" s="77" t="s">
        <v>127</v>
      </c>
      <c r="D50" s="26">
        <v>279</v>
      </c>
      <c r="E50" s="25">
        <v>3.3111796819369002E-2</v>
      </c>
      <c r="F50" s="81"/>
    </row>
    <row r="51" spans="2:6" ht="15" customHeight="1">
      <c r="B51" s="100"/>
      <c r="C51" s="77" t="s">
        <v>131</v>
      </c>
      <c r="D51" s="26">
        <v>20</v>
      </c>
      <c r="E51" s="25">
        <v>2.3736055067650002E-3</v>
      </c>
      <c r="F51" s="81"/>
    </row>
    <row r="52" spans="2:6" ht="15" customHeight="1">
      <c r="B52" s="100"/>
      <c r="C52" s="77" t="s">
        <v>128</v>
      </c>
      <c r="D52" s="26">
        <v>37</v>
      </c>
      <c r="E52" s="25">
        <v>4.3911701875149999E-3</v>
      </c>
      <c r="F52" s="81"/>
    </row>
    <row r="53" spans="2:6" ht="15" customHeight="1">
      <c r="B53" s="100"/>
      <c r="C53" s="77" t="s">
        <v>138</v>
      </c>
      <c r="D53" s="26">
        <v>24</v>
      </c>
      <c r="E53" s="25">
        <v>2.8483266081179999E-3</v>
      </c>
      <c r="F53" s="81"/>
    </row>
    <row r="54" spans="2:6" ht="15" customHeight="1">
      <c r="B54" s="100"/>
      <c r="C54" s="77" t="s">
        <v>129</v>
      </c>
      <c r="D54" s="26">
        <v>69</v>
      </c>
      <c r="E54" s="25">
        <v>8.1889389983380006E-3</v>
      </c>
      <c r="F54" s="81"/>
    </row>
    <row r="55" spans="2:6" ht="15" customHeight="1">
      <c r="B55" s="100"/>
      <c r="C55" s="77" t="s">
        <v>133</v>
      </c>
      <c r="D55" s="26">
        <v>42</v>
      </c>
      <c r="E55" s="25">
        <v>4.9845715642059998E-3</v>
      </c>
      <c r="F55" s="81"/>
    </row>
    <row r="56" spans="2:6" ht="15" customHeight="1">
      <c r="B56" s="100"/>
      <c r="C56" s="77" t="s">
        <v>130</v>
      </c>
      <c r="D56" s="26">
        <v>126</v>
      </c>
      <c r="E56" s="25">
        <v>1.4953714692617999E-2</v>
      </c>
      <c r="F56" s="81"/>
    </row>
    <row r="57" spans="2:6" ht="15" customHeight="1">
      <c r="B57" s="100"/>
      <c r="C57" s="77" t="s">
        <v>134</v>
      </c>
      <c r="D57" s="26">
        <v>10</v>
      </c>
      <c r="E57" s="25">
        <v>1.1868027533820001E-3</v>
      </c>
      <c r="F57" s="81"/>
    </row>
    <row r="58" spans="2:6" ht="15" customHeight="1">
      <c r="B58" s="100"/>
      <c r="C58" s="77" t="s">
        <v>137</v>
      </c>
      <c r="D58" s="26">
        <v>17</v>
      </c>
      <c r="E58" s="25">
        <v>2.0175646807500001E-3</v>
      </c>
      <c r="F58" s="81"/>
    </row>
    <row r="59" spans="2:6" ht="15" customHeight="1">
      <c r="B59" s="101"/>
      <c r="C59" s="24" t="s">
        <v>12</v>
      </c>
      <c r="D59" s="23">
        <v>624</v>
      </c>
      <c r="E59" s="22">
        <v>7.4056491811060998E-2</v>
      </c>
      <c r="F59" s="82"/>
    </row>
    <row r="60" spans="2:6" ht="15" customHeight="1">
      <c r="B60" s="99" t="s">
        <v>55</v>
      </c>
      <c r="C60" s="77" t="s">
        <v>127</v>
      </c>
      <c r="D60" s="26">
        <v>2</v>
      </c>
      <c r="E60" s="25">
        <v>2.3736055067599999E-4</v>
      </c>
      <c r="F60" s="81"/>
    </row>
    <row r="61" spans="2:6" ht="15" customHeight="1">
      <c r="B61" s="101"/>
      <c r="C61" s="24" t="s">
        <v>12</v>
      </c>
      <c r="D61" s="23">
        <v>2</v>
      </c>
      <c r="E61" s="22">
        <v>2.3736055067599999E-4</v>
      </c>
      <c r="F61" s="82"/>
    </row>
    <row r="62" spans="2:6" ht="15" customHeight="1">
      <c r="B62" s="99" t="s">
        <v>56</v>
      </c>
      <c r="C62" s="77" t="s">
        <v>127</v>
      </c>
      <c r="D62" s="26">
        <v>2</v>
      </c>
      <c r="E62" s="25">
        <v>2.3736055067599999E-4</v>
      </c>
      <c r="F62" s="81"/>
    </row>
    <row r="63" spans="2:6" ht="15" customHeight="1">
      <c r="B63" s="101"/>
      <c r="C63" s="24" t="s">
        <v>12</v>
      </c>
      <c r="D63" s="23">
        <v>2</v>
      </c>
      <c r="E63" s="22">
        <v>2.3736055067599999E-4</v>
      </c>
      <c r="F63" s="82"/>
    </row>
    <row r="64" spans="2:6" ht="15" customHeight="1">
      <c r="B64" s="99" t="s">
        <v>57</v>
      </c>
      <c r="C64" s="77" t="s">
        <v>127</v>
      </c>
      <c r="D64" s="26">
        <v>1</v>
      </c>
      <c r="E64" s="25">
        <v>1.1868027533799999E-4</v>
      </c>
      <c r="F64" s="81"/>
    </row>
    <row r="65" spans="2:6" ht="15" customHeight="1">
      <c r="B65" s="100"/>
      <c r="C65" s="77" t="s">
        <v>133</v>
      </c>
      <c r="D65" s="26">
        <v>1</v>
      </c>
      <c r="E65" s="25">
        <v>1.1868027533799999E-4</v>
      </c>
      <c r="F65" s="81"/>
    </row>
    <row r="66" spans="2:6" ht="15" customHeight="1">
      <c r="B66" s="101"/>
      <c r="C66" s="24" t="s">
        <v>12</v>
      </c>
      <c r="D66" s="23">
        <v>2</v>
      </c>
      <c r="E66" s="22">
        <v>2.3736055067599999E-4</v>
      </c>
      <c r="F66" s="82"/>
    </row>
    <row r="67" spans="2:6" ht="15" customHeight="1">
      <c r="B67" s="99" t="s">
        <v>58</v>
      </c>
      <c r="C67" s="77" t="s">
        <v>127</v>
      </c>
      <c r="D67" s="26">
        <v>109</v>
      </c>
      <c r="E67" s="25">
        <v>1.2936150011868E-2</v>
      </c>
      <c r="F67" s="81"/>
    </row>
    <row r="68" spans="2:6" ht="15" customHeight="1">
      <c r="B68" s="100"/>
      <c r="C68" s="77" t="s">
        <v>131</v>
      </c>
      <c r="D68" s="26">
        <v>9</v>
      </c>
      <c r="E68" s="25">
        <v>1.0681224780439999E-3</v>
      </c>
      <c r="F68" s="81"/>
    </row>
    <row r="69" spans="2:6" ht="15" customHeight="1">
      <c r="B69" s="100"/>
      <c r="C69" s="77" t="s">
        <v>128</v>
      </c>
      <c r="D69" s="26">
        <v>7</v>
      </c>
      <c r="E69" s="25">
        <v>8.3076192736799995E-4</v>
      </c>
      <c r="F69" s="81"/>
    </row>
    <row r="70" spans="2:6" ht="15" customHeight="1">
      <c r="B70" s="100"/>
      <c r="C70" s="77" t="s">
        <v>138</v>
      </c>
      <c r="D70" s="26">
        <v>1</v>
      </c>
      <c r="E70" s="25">
        <v>1.1868027533799999E-4</v>
      </c>
      <c r="F70" s="81"/>
    </row>
    <row r="71" spans="2:6" ht="15" customHeight="1">
      <c r="B71" s="100"/>
      <c r="C71" s="77" t="s">
        <v>132</v>
      </c>
      <c r="D71" s="26">
        <v>8</v>
      </c>
      <c r="E71" s="25">
        <v>9.4944220270599998E-4</v>
      </c>
      <c r="F71" s="81"/>
    </row>
    <row r="72" spans="2:6" ht="15" customHeight="1">
      <c r="B72" s="100"/>
      <c r="C72" s="77" t="s">
        <v>129</v>
      </c>
      <c r="D72" s="26">
        <v>11</v>
      </c>
      <c r="E72" s="25">
        <v>1.305483028721E-3</v>
      </c>
      <c r="F72" s="81"/>
    </row>
    <row r="73" spans="2:6" ht="15" customHeight="1">
      <c r="B73" s="100"/>
      <c r="C73" s="77" t="s">
        <v>133</v>
      </c>
      <c r="D73" s="26">
        <v>15</v>
      </c>
      <c r="E73" s="25">
        <v>1.780204130074E-3</v>
      </c>
      <c r="F73" s="81"/>
    </row>
    <row r="74" spans="2:6" ht="15" customHeight="1">
      <c r="B74" s="100"/>
      <c r="C74" s="77" t="s">
        <v>130</v>
      </c>
      <c r="D74" s="26">
        <v>13</v>
      </c>
      <c r="E74" s="25">
        <v>1.5428435793969999E-3</v>
      </c>
      <c r="F74" s="81"/>
    </row>
    <row r="75" spans="2:6" ht="15" customHeight="1">
      <c r="B75" s="100"/>
      <c r="C75" s="77" t="s">
        <v>134</v>
      </c>
      <c r="D75" s="26">
        <v>2</v>
      </c>
      <c r="E75" s="25">
        <v>2.3736055067599999E-4</v>
      </c>
      <c r="F75" s="81"/>
    </row>
    <row r="76" spans="2:6" ht="15" customHeight="1">
      <c r="B76" s="100"/>
      <c r="C76" s="77" t="s">
        <v>136</v>
      </c>
      <c r="D76" s="26">
        <v>1</v>
      </c>
      <c r="E76" s="25">
        <v>1.1868027533799999E-4</v>
      </c>
      <c r="F76" s="81"/>
    </row>
    <row r="77" spans="2:6" ht="15" customHeight="1">
      <c r="B77" s="100"/>
      <c r="C77" s="77" t="s">
        <v>137</v>
      </c>
      <c r="D77" s="26">
        <v>1</v>
      </c>
      <c r="E77" s="25">
        <v>1.1868027533799999E-4</v>
      </c>
      <c r="F77" s="81"/>
    </row>
    <row r="78" spans="2:6" ht="15" customHeight="1">
      <c r="B78" s="101"/>
      <c r="C78" s="24" t="s">
        <v>12</v>
      </c>
      <c r="D78" s="23">
        <v>177</v>
      </c>
      <c r="E78" s="22">
        <v>2.1006408734868001E-2</v>
      </c>
      <c r="F78" s="82"/>
    </row>
    <row r="79" spans="2:6" ht="15" customHeight="1">
      <c r="B79" s="99" t="s">
        <v>59</v>
      </c>
      <c r="C79" s="77" t="s">
        <v>127</v>
      </c>
      <c r="D79" s="26">
        <v>62</v>
      </c>
      <c r="E79" s="25">
        <v>7.3581770709710004E-3</v>
      </c>
      <c r="F79" s="81"/>
    </row>
    <row r="80" spans="2:6" ht="15" customHeight="1">
      <c r="B80" s="100"/>
      <c r="C80" s="77" t="s">
        <v>131</v>
      </c>
      <c r="D80" s="26">
        <v>8</v>
      </c>
      <c r="E80" s="25">
        <v>9.4944220270599998E-4</v>
      </c>
      <c r="F80" s="81"/>
    </row>
    <row r="81" spans="2:6" ht="15" customHeight="1">
      <c r="B81" s="100"/>
      <c r="C81" s="77" t="s">
        <v>128</v>
      </c>
      <c r="D81" s="26">
        <v>22</v>
      </c>
      <c r="E81" s="25">
        <v>2.610966057441E-3</v>
      </c>
      <c r="F81" s="81"/>
    </row>
    <row r="82" spans="2:6" ht="15" customHeight="1">
      <c r="B82" s="100"/>
      <c r="C82" s="77" t="s">
        <v>129</v>
      </c>
      <c r="D82" s="26">
        <v>11</v>
      </c>
      <c r="E82" s="25">
        <v>1.305483028721E-3</v>
      </c>
      <c r="F82" s="81"/>
    </row>
    <row r="83" spans="2:6" ht="15" customHeight="1">
      <c r="B83" s="100"/>
      <c r="C83" s="77" t="s">
        <v>133</v>
      </c>
      <c r="D83" s="26">
        <v>7</v>
      </c>
      <c r="E83" s="25">
        <v>8.3076192736799995E-4</v>
      </c>
      <c r="F83" s="81"/>
    </row>
    <row r="84" spans="2:6" ht="15" customHeight="1">
      <c r="B84" s="100"/>
      <c r="C84" s="77" t="s">
        <v>130</v>
      </c>
      <c r="D84" s="26">
        <v>4</v>
      </c>
      <c r="E84" s="25">
        <v>4.7472110135299999E-4</v>
      </c>
      <c r="F84" s="81"/>
    </row>
    <row r="85" spans="2:6" ht="15" customHeight="1">
      <c r="B85" s="101"/>
      <c r="C85" s="24" t="s">
        <v>12</v>
      </c>
      <c r="D85" s="23">
        <v>114</v>
      </c>
      <c r="E85" s="22">
        <v>1.3529551388559E-2</v>
      </c>
      <c r="F85" s="82"/>
    </row>
    <row r="86" spans="2:6" ht="15" customHeight="1">
      <c r="B86" s="99" t="s">
        <v>60</v>
      </c>
      <c r="C86" s="77" t="s">
        <v>127</v>
      </c>
      <c r="D86" s="26">
        <v>11</v>
      </c>
      <c r="E86" s="25">
        <v>1.305483028721E-3</v>
      </c>
      <c r="F86" s="81"/>
    </row>
    <row r="87" spans="2:6" ht="15" customHeight="1">
      <c r="B87" s="100"/>
      <c r="C87" s="77" t="s">
        <v>128</v>
      </c>
      <c r="D87" s="26">
        <v>16</v>
      </c>
      <c r="E87" s="25">
        <v>1.898884405412E-3</v>
      </c>
      <c r="F87" s="81"/>
    </row>
    <row r="88" spans="2:6" ht="15" customHeight="1">
      <c r="B88" s="100"/>
      <c r="C88" s="77" t="s">
        <v>132</v>
      </c>
      <c r="D88" s="26">
        <v>1</v>
      </c>
      <c r="E88" s="25">
        <v>1.1868027533799999E-4</v>
      </c>
      <c r="F88" s="81"/>
    </row>
    <row r="89" spans="2:6" ht="15" customHeight="1">
      <c r="B89" s="100"/>
      <c r="C89" s="77" t="s">
        <v>135</v>
      </c>
      <c r="D89" s="26">
        <v>1</v>
      </c>
      <c r="E89" s="25">
        <v>1.1868027533799999E-4</v>
      </c>
      <c r="F89" s="81"/>
    </row>
    <row r="90" spans="2:6" ht="15" customHeight="1">
      <c r="B90" s="100"/>
      <c r="C90" s="77" t="s">
        <v>130</v>
      </c>
      <c r="D90" s="26">
        <v>5</v>
      </c>
      <c r="E90" s="25">
        <v>5.9340137669100003E-4</v>
      </c>
      <c r="F90" s="81"/>
    </row>
    <row r="91" spans="2:6" ht="15" customHeight="1">
      <c r="B91" s="101"/>
      <c r="C91" s="24" t="s">
        <v>12</v>
      </c>
      <c r="D91" s="23">
        <v>34</v>
      </c>
      <c r="E91" s="22">
        <v>4.0351293615000002E-3</v>
      </c>
      <c r="F91" s="82"/>
    </row>
    <row r="92" spans="2:6" ht="15" customHeight="1">
      <c r="B92" s="99" t="s">
        <v>62</v>
      </c>
      <c r="C92" s="77" t="s">
        <v>127</v>
      </c>
      <c r="D92" s="26">
        <v>481</v>
      </c>
      <c r="E92" s="25">
        <v>5.7085212437693003E-2</v>
      </c>
      <c r="F92" s="81"/>
    </row>
    <row r="93" spans="2:6" ht="15" customHeight="1">
      <c r="B93" s="100"/>
      <c r="C93" s="77" t="s">
        <v>131</v>
      </c>
      <c r="D93" s="26">
        <v>66</v>
      </c>
      <c r="E93" s="25">
        <v>7.8328981723240002E-3</v>
      </c>
      <c r="F93" s="81"/>
    </row>
    <row r="94" spans="2:6" ht="15" customHeight="1">
      <c r="B94" s="100"/>
      <c r="C94" s="77" t="s">
        <v>128</v>
      </c>
      <c r="D94" s="26">
        <v>201</v>
      </c>
      <c r="E94" s="25">
        <v>2.3854735342985999E-2</v>
      </c>
      <c r="F94" s="81"/>
    </row>
    <row r="95" spans="2:6" ht="15" customHeight="1">
      <c r="B95" s="100"/>
      <c r="C95" s="77" t="s">
        <v>138</v>
      </c>
      <c r="D95" s="26">
        <v>3</v>
      </c>
      <c r="E95" s="25">
        <v>3.5604082601500001E-4</v>
      </c>
      <c r="F95" s="81"/>
    </row>
    <row r="96" spans="2:6" ht="15" customHeight="1">
      <c r="B96" s="100"/>
      <c r="C96" s="77" t="s">
        <v>132</v>
      </c>
      <c r="D96" s="26">
        <v>1</v>
      </c>
      <c r="E96" s="25">
        <v>1.1868027533799999E-4</v>
      </c>
      <c r="F96" s="81"/>
    </row>
    <row r="97" spans="2:6" ht="15" customHeight="1">
      <c r="B97" s="100"/>
      <c r="C97" s="77" t="s">
        <v>129</v>
      </c>
      <c r="D97" s="26">
        <v>63</v>
      </c>
      <c r="E97" s="25">
        <v>7.4768573463089997E-3</v>
      </c>
      <c r="F97" s="81"/>
    </row>
    <row r="98" spans="2:6" ht="15" customHeight="1">
      <c r="B98" s="100"/>
      <c r="C98" s="77" t="s">
        <v>133</v>
      </c>
      <c r="D98" s="26">
        <v>39</v>
      </c>
      <c r="E98" s="25">
        <v>4.6285307381910001E-3</v>
      </c>
      <c r="F98" s="81"/>
    </row>
    <row r="99" spans="2:6" ht="15" customHeight="1">
      <c r="B99" s="100"/>
      <c r="C99" s="77" t="s">
        <v>130</v>
      </c>
      <c r="D99" s="26">
        <v>27</v>
      </c>
      <c r="E99" s="25">
        <v>3.2043674341319999E-3</v>
      </c>
      <c r="F99" s="81"/>
    </row>
    <row r="100" spans="2:6" ht="15" customHeight="1">
      <c r="B100" s="100"/>
      <c r="C100" s="77" t="s">
        <v>134</v>
      </c>
      <c r="D100" s="26">
        <v>36</v>
      </c>
      <c r="E100" s="25">
        <v>4.2724899121769997E-3</v>
      </c>
      <c r="F100" s="81"/>
    </row>
    <row r="101" spans="2:6" ht="15" customHeight="1">
      <c r="B101" s="100"/>
      <c r="C101" s="77" t="s">
        <v>136</v>
      </c>
      <c r="D101" s="26">
        <v>2</v>
      </c>
      <c r="E101" s="25">
        <v>2.3736055067599999E-4</v>
      </c>
      <c r="F101" s="81"/>
    </row>
    <row r="102" spans="2:6" ht="15" customHeight="1">
      <c r="B102" s="100"/>
      <c r="C102" s="77" t="s">
        <v>137</v>
      </c>
      <c r="D102" s="26">
        <v>2</v>
      </c>
      <c r="E102" s="25">
        <v>2.3736055067599999E-4</v>
      </c>
      <c r="F102" s="81"/>
    </row>
    <row r="103" spans="2:6" ht="15" customHeight="1">
      <c r="B103" s="101"/>
      <c r="C103" s="24" t="s">
        <v>12</v>
      </c>
      <c r="D103" s="23">
        <v>921</v>
      </c>
      <c r="E103" s="22">
        <v>0.109304533586518</v>
      </c>
      <c r="F103" s="82"/>
    </row>
    <row r="104" spans="2:6" ht="15" customHeight="1">
      <c r="B104" s="99" t="s">
        <v>64</v>
      </c>
      <c r="C104" s="77" t="s">
        <v>127</v>
      </c>
      <c r="D104" s="26">
        <v>373</v>
      </c>
      <c r="E104" s="25">
        <v>4.4267742701163001E-2</v>
      </c>
      <c r="F104" s="81"/>
    </row>
    <row r="105" spans="2:6" ht="15" customHeight="1">
      <c r="B105" s="100"/>
      <c r="C105" s="77" t="s">
        <v>131</v>
      </c>
      <c r="D105" s="26">
        <v>24</v>
      </c>
      <c r="E105" s="25">
        <v>2.8483266081179999E-3</v>
      </c>
      <c r="F105" s="81"/>
    </row>
    <row r="106" spans="2:6" ht="15" customHeight="1">
      <c r="B106" s="100"/>
      <c r="C106" s="77" t="s">
        <v>128</v>
      </c>
      <c r="D106" s="26">
        <v>9</v>
      </c>
      <c r="E106" s="25">
        <v>1.0681224780439999E-3</v>
      </c>
      <c r="F106" s="81"/>
    </row>
    <row r="107" spans="2:6" ht="15" customHeight="1">
      <c r="B107" s="100"/>
      <c r="C107" s="77" t="s">
        <v>138</v>
      </c>
      <c r="D107" s="26">
        <v>1</v>
      </c>
      <c r="E107" s="25">
        <v>1.1868027533799999E-4</v>
      </c>
      <c r="F107" s="81"/>
    </row>
    <row r="108" spans="2:6" ht="15" customHeight="1">
      <c r="B108" s="100"/>
      <c r="C108" s="77" t="s">
        <v>132</v>
      </c>
      <c r="D108" s="26">
        <v>25</v>
      </c>
      <c r="E108" s="25">
        <v>2.9670068834560001E-3</v>
      </c>
      <c r="F108" s="81"/>
    </row>
    <row r="109" spans="2:6" ht="15" customHeight="1">
      <c r="B109" s="100"/>
      <c r="C109" s="77" t="s">
        <v>129</v>
      </c>
      <c r="D109" s="26">
        <v>18</v>
      </c>
      <c r="E109" s="25">
        <v>2.1362449560879998E-3</v>
      </c>
      <c r="F109" s="81"/>
    </row>
    <row r="110" spans="2:6" ht="15" customHeight="1">
      <c r="B110" s="100"/>
      <c r="C110" s="77" t="s">
        <v>133</v>
      </c>
      <c r="D110" s="26">
        <v>9</v>
      </c>
      <c r="E110" s="25">
        <v>1.0681224780439999E-3</v>
      </c>
      <c r="F110" s="81"/>
    </row>
    <row r="111" spans="2:6" ht="15" customHeight="1">
      <c r="B111" s="100"/>
      <c r="C111" s="77" t="s">
        <v>130</v>
      </c>
      <c r="D111" s="26">
        <v>1</v>
      </c>
      <c r="E111" s="25">
        <v>1.1868027533799999E-4</v>
      </c>
      <c r="F111" s="81"/>
    </row>
    <row r="112" spans="2:6" ht="15" customHeight="1">
      <c r="B112" s="100"/>
      <c r="C112" s="77" t="s">
        <v>134</v>
      </c>
      <c r="D112" s="26">
        <v>2</v>
      </c>
      <c r="E112" s="25">
        <v>2.3736055067599999E-4</v>
      </c>
      <c r="F112" s="81"/>
    </row>
    <row r="113" spans="2:6" ht="15" customHeight="1">
      <c r="B113" s="100"/>
      <c r="C113" s="77" t="s">
        <v>137</v>
      </c>
      <c r="D113" s="26">
        <v>5</v>
      </c>
      <c r="E113" s="25">
        <v>5.9340137669100003E-4</v>
      </c>
      <c r="F113" s="81"/>
    </row>
    <row r="114" spans="2:6" ht="15" customHeight="1">
      <c r="B114" s="101"/>
      <c r="C114" s="24" t="s">
        <v>12</v>
      </c>
      <c r="D114" s="23">
        <v>467</v>
      </c>
      <c r="E114" s="22">
        <v>5.5423688582958E-2</v>
      </c>
      <c r="F114" s="82"/>
    </row>
    <row r="115" spans="2:6" ht="15" customHeight="1">
      <c r="B115" s="99" t="s">
        <v>66</v>
      </c>
      <c r="C115" s="77" t="s">
        <v>127</v>
      </c>
      <c r="D115" s="26">
        <v>19</v>
      </c>
      <c r="E115" s="25">
        <v>2.254925231427E-3</v>
      </c>
      <c r="F115" s="81"/>
    </row>
    <row r="116" spans="2:6" ht="15" customHeight="1">
      <c r="B116" s="100"/>
      <c r="C116" s="77" t="s">
        <v>131</v>
      </c>
      <c r="D116" s="26">
        <v>1</v>
      </c>
      <c r="E116" s="25">
        <v>1.1868027533799999E-4</v>
      </c>
      <c r="F116" s="81"/>
    </row>
    <row r="117" spans="2:6" ht="15" customHeight="1">
      <c r="B117" s="100"/>
      <c r="C117" s="77" t="s">
        <v>128</v>
      </c>
      <c r="D117" s="26">
        <v>2</v>
      </c>
      <c r="E117" s="25">
        <v>2.3736055067599999E-4</v>
      </c>
      <c r="F117" s="81"/>
    </row>
    <row r="118" spans="2:6" ht="15" customHeight="1">
      <c r="B118" s="100"/>
      <c r="C118" s="77" t="s">
        <v>129</v>
      </c>
      <c r="D118" s="26">
        <v>4</v>
      </c>
      <c r="E118" s="25">
        <v>4.7472110135299999E-4</v>
      </c>
      <c r="F118" s="81"/>
    </row>
    <row r="119" spans="2:6" ht="15" customHeight="1">
      <c r="B119" s="100"/>
      <c r="C119" s="77" t="s">
        <v>133</v>
      </c>
      <c r="D119" s="26">
        <v>3</v>
      </c>
      <c r="E119" s="25">
        <v>3.5604082601500001E-4</v>
      </c>
      <c r="F119" s="81"/>
    </row>
    <row r="120" spans="2:6" ht="15" customHeight="1">
      <c r="B120" s="100"/>
      <c r="C120" s="77" t="s">
        <v>130</v>
      </c>
      <c r="D120" s="26">
        <v>5</v>
      </c>
      <c r="E120" s="25">
        <v>5.9340137669100003E-4</v>
      </c>
      <c r="F120" s="81"/>
    </row>
    <row r="121" spans="2:6" ht="15" customHeight="1">
      <c r="B121" s="100"/>
      <c r="C121" s="77" t="s">
        <v>134</v>
      </c>
      <c r="D121" s="26">
        <v>2</v>
      </c>
      <c r="E121" s="25">
        <v>2.3736055067599999E-4</v>
      </c>
      <c r="F121" s="81"/>
    </row>
    <row r="122" spans="2:6" ht="15" customHeight="1">
      <c r="B122" s="101"/>
      <c r="C122" s="24" t="s">
        <v>12</v>
      </c>
      <c r="D122" s="23">
        <v>36</v>
      </c>
      <c r="E122" s="22">
        <v>4.2724899121769997E-3</v>
      </c>
      <c r="F122" s="82"/>
    </row>
    <row r="123" spans="2:6" ht="15" customHeight="1">
      <c r="B123" s="99" t="s">
        <v>68</v>
      </c>
      <c r="C123" s="77" t="s">
        <v>127</v>
      </c>
      <c r="D123" s="26">
        <v>82</v>
      </c>
      <c r="E123" s="25">
        <v>9.7317825777359993E-3</v>
      </c>
      <c r="F123" s="81"/>
    </row>
    <row r="124" spans="2:6" ht="15" customHeight="1">
      <c r="B124" s="100"/>
      <c r="C124" s="77" t="s">
        <v>131</v>
      </c>
      <c r="D124" s="26">
        <v>1</v>
      </c>
      <c r="E124" s="25">
        <v>1.1868027533799999E-4</v>
      </c>
      <c r="F124" s="81"/>
    </row>
    <row r="125" spans="2:6" ht="15" customHeight="1">
      <c r="B125" s="100"/>
      <c r="C125" s="77" t="s">
        <v>128</v>
      </c>
      <c r="D125" s="26">
        <v>35</v>
      </c>
      <c r="E125" s="25">
        <v>4.1538096368380004E-3</v>
      </c>
      <c r="F125" s="81"/>
    </row>
    <row r="126" spans="2:6" ht="15" customHeight="1">
      <c r="B126" s="100"/>
      <c r="C126" s="77" t="s">
        <v>138</v>
      </c>
      <c r="D126" s="26">
        <v>1</v>
      </c>
      <c r="E126" s="25">
        <v>1.1868027533799999E-4</v>
      </c>
      <c r="F126" s="81"/>
    </row>
    <row r="127" spans="2:6" ht="15" customHeight="1">
      <c r="B127" s="100"/>
      <c r="C127" s="77" t="s">
        <v>129</v>
      </c>
      <c r="D127" s="26">
        <v>7</v>
      </c>
      <c r="E127" s="25">
        <v>8.3076192736799995E-4</v>
      </c>
      <c r="F127" s="81"/>
    </row>
    <row r="128" spans="2:6" ht="15" customHeight="1">
      <c r="B128" s="100"/>
      <c r="C128" s="77" t="s">
        <v>133</v>
      </c>
      <c r="D128" s="26">
        <v>7</v>
      </c>
      <c r="E128" s="25">
        <v>8.3076192736799995E-4</v>
      </c>
      <c r="F128" s="81"/>
    </row>
    <row r="129" spans="2:6" ht="15" customHeight="1">
      <c r="B129" s="100"/>
      <c r="C129" s="77" t="s">
        <v>130</v>
      </c>
      <c r="D129" s="26">
        <v>12</v>
      </c>
      <c r="E129" s="25">
        <v>1.424163304059E-3</v>
      </c>
      <c r="F129" s="81"/>
    </row>
    <row r="130" spans="2:6" ht="15" customHeight="1">
      <c r="B130" s="100"/>
      <c r="C130" s="77" t="s">
        <v>134</v>
      </c>
      <c r="D130" s="26">
        <v>3</v>
      </c>
      <c r="E130" s="25">
        <v>3.5604082601500001E-4</v>
      </c>
      <c r="F130" s="81"/>
    </row>
    <row r="131" spans="2:6" ht="15" customHeight="1">
      <c r="B131" s="100"/>
      <c r="C131" s="77" t="s">
        <v>137</v>
      </c>
      <c r="D131" s="26">
        <v>2</v>
      </c>
      <c r="E131" s="25">
        <v>2.3736055067599999E-4</v>
      </c>
      <c r="F131" s="81"/>
    </row>
    <row r="132" spans="2:6" ht="15" customHeight="1">
      <c r="B132" s="101"/>
      <c r="C132" s="24" t="s">
        <v>12</v>
      </c>
      <c r="D132" s="23">
        <v>150</v>
      </c>
      <c r="E132" s="22">
        <v>1.7802041300736E-2</v>
      </c>
      <c r="F132" s="82"/>
    </row>
    <row r="133" spans="2:6" ht="15" customHeight="1">
      <c r="B133" s="99" t="s">
        <v>70</v>
      </c>
      <c r="C133" s="77" t="s">
        <v>127</v>
      </c>
      <c r="D133" s="26">
        <v>36</v>
      </c>
      <c r="E133" s="25">
        <v>4.2724899121769997E-3</v>
      </c>
      <c r="F133" s="81"/>
    </row>
    <row r="134" spans="2:6" ht="15" customHeight="1">
      <c r="B134" s="100"/>
      <c r="C134" s="77" t="s">
        <v>131</v>
      </c>
      <c r="D134" s="26">
        <v>1</v>
      </c>
      <c r="E134" s="25">
        <v>1.1868027533799999E-4</v>
      </c>
      <c r="F134" s="81"/>
    </row>
    <row r="135" spans="2:6" ht="15" customHeight="1">
      <c r="B135" s="100"/>
      <c r="C135" s="77" t="s">
        <v>128</v>
      </c>
      <c r="D135" s="26">
        <v>6</v>
      </c>
      <c r="E135" s="25">
        <v>7.1208165202899995E-4</v>
      </c>
      <c r="F135" s="81"/>
    </row>
    <row r="136" spans="2:6" ht="15" customHeight="1">
      <c r="B136" s="100"/>
      <c r="C136" s="77" t="s">
        <v>132</v>
      </c>
      <c r="D136" s="26">
        <v>1</v>
      </c>
      <c r="E136" s="25">
        <v>1.1868027533799999E-4</v>
      </c>
      <c r="F136" s="81"/>
    </row>
    <row r="137" spans="2:6" ht="15" customHeight="1">
      <c r="B137" s="100"/>
      <c r="C137" s="77" t="s">
        <v>129</v>
      </c>
      <c r="D137" s="26">
        <v>5</v>
      </c>
      <c r="E137" s="25">
        <v>5.9340137669100003E-4</v>
      </c>
      <c r="F137" s="81"/>
    </row>
    <row r="138" spans="2:6" ht="15" customHeight="1">
      <c r="B138" s="100"/>
      <c r="C138" s="77" t="s">
        <v>133</v>
      </c>
      <c r="D138" s="26">
        <v>17</v>
      </c>
      <c r="E138" s="25">
        <v>2.0175646807500001E-3</v>
      </c>
      <c r="F138" s="81"/>
    </row>
    <row r="139" spans="2:6" ht="15" customHeight="1">
      <c r="B139" s="100"/>
      <c r="C139" s="77" t="s">
        <v>130</v>
      </c>
      <c r="D139" s="26">
        <v>6</v>
      </c>
      <c r="E139" s="25">
        <v>7.1208165202899995E-4</v>
      </c>
      <c r="F139" s="81"/>
    </row>
    <row r="140" spans="2:6" ht="15" customHeight="1">
      <c r="B140" s="100"/>
      <c r="C140" s="77" t="s">
        <v>134</v>
      </c>
      <c r="D140" s="26">
        <v>10</v>
      </c>
      <c r="E140" s="25">
        <v>1.1868027533820001E-3</v>
      </c>
      <c r="F140" s="81"/>
    </row>
    <row r="141" spans="2:6" ht="15" customHeight="1">
      <c r="B141" s="101"/>
      <c r="C141" s="24" t="s">
        <v>12</v>
      </c>
      <c r="D141" s="23">
        <v>82</v>
      </c>
      <c r="E141" s="22">
        <v>9.7317825777359993E-3</v>
      </c>
      <c r="F141" s="82"/>
    </row>
    <row r="142" spans="2:6" ht="15" customHeight="1">
      <c r="B142" s="99" t="s">
        <v>72</v>
      </c>
      <c r="C142" s="77" t="s">
        <v>127</v>
      </c>
      <c r="D142" s="26">
        <v>5</v>
      </c>
      <c r="E142" s="25">
        <v>5.9340137669100003E-4</v>
      </c>
      <c r="F142" s="81"/>
    </row>
    <row r="143" spans="2:6" ht="15" customHeight="1">
      <c r="B143" s="100"/>
      <c r="C143" s="77" t="s">
        <v>129</v>
      </c>
      <c r="D143" s="26">
        <v>1</v>
      </c>
      <c r="E143" s="25">
        <v>1.1868027533799999E-4</v>
      </c>
      <c r="F143" s="81"/>
    </row>
    <row r="144" spans="2:6" ht="15" customHeight="1">
      <c r="B144" s="100"/>
      <c r="C144" s="77" t="s">
        <v>130</v>
      </c>
      <c r="D144" s="26">
        <v>5</v>
      </c>
      <c r="E144" s="25">
        <v>5.9340137669100003E-4</v>
      </c>
      <c r="F144" s="81"/>
    </row>
    <row r="145" spans="2:6" ht="15" customHeight="1">
      <c r="B145" s="101"/>
      <c r="C145" s="24" t="s">
        <v>12</v>
      </c>
      <c r="D145" s="23">
        <v>11</v>
      </c>
      <c r="E145" s="22">
        <v>1.305483028721E-3</v>
      </c>
      <c r="F145" s="82"/>
    </row>
    <row r="146" spans="2:6" ht="15" customHeight="1">
      <c r="B146" s="99" t="s">
        <v>74</v>
      </c>
      <c r="C146" s="77" t="s">
        <v>127</v>
      </c>
      <c r="D146" s="26">
        <v>2</v>
      </c>
      <c r="E146" s="25">
        <v>2.3736055067599999E-4</v>
      </c>
      <c r="F146" s="81"/>
    </row>
    <row r="147" spans="2:6" ht="15" customHeight="1">
      <c r="B147" s="100"/>
      <c r="C147" s="77" t="s">
        <v>131</v>
      </c>
      <c r="D147" s="26">
        <v>1</v>
      </c>
      <c r="E147" s="25">
        <v>1.1868027533799999E-4</v>
      </c>
      <c r="F147" s="81"/>
    </row>
    <row r="148" spans="2:6" ht="15" customHeight="1">
      <c r="B148" s="100"/>
      <c r="C148" s="77" t="s">
        <v>130</v>
      </c>
      <c r="D148" s="26">
        <v>3</v>
      </c>
      <c r="E148" s="25">
        <v>3.5604082601500001E-4</v>
      </c>
      <c r="F148" s="81"/>
    </row>
    <row r="149" spans="2:6" ht="15" customHeight="1">
      <c r="B149" s="101"/>
      <c r="C149" s="24" t="s">
        <v>12</v>
      </c>
      <c r="D149" s="23">
        <v>6</v>
      </c>
      <c r="E149" s="22">
        <v>7.1208165202899995E-4</v>
      </c>
      <c r="F149" s="82"/>
    </row>
    <row r="150" spans="2:6" ht="15" customHeight="1">
      <c r="B150" s="99" t="s">
        <v>76</v>
      </c>
      <c r="C150" s="77" t="s">
        <v>127</v>
      </c>
      <c r="D150" s="26">
        <v>3</v>
      </c>
      <c r="E150" s="25">
        <v>3.5604082601500001E-4</v>
      </c>
      <c r="F150" s="81"/>
    </row>
    <row r="151" spans="2:6" ht="15" customHeight="1">
      <c r="B151" s="101"/>
      <c r="C151" s="24" t="s">
        <v>12</v>
      </c>
      <c r="D151" s="23">
        <v>3</v>
      </c>
      <c r="E151" s="22">
        <v>3.5604082601500001E-4</v>
      </c>
      <c r="F151" s="82"/>
    </row>
    <row r="152" spans="2:6" ht="15" customHeight="1">
      <c r="B152" s="99" t="s">
        <v>78</v>
      </c>
      <c r="C152" s="77" t="s">
        <v>127</v>
      </c>
      <c r="D152" s="26">
        <v>43</v>
      </c>
      <c r="E152" s="25">
        <v>5.1032518395439999E-3</v>
      </c>
      <c r="F152" s="81"/>
    </row>
    <row r="153" spans="2:6" ht="15" customHeight="1">
      <c r="B153" s="100"/>
      <c r="C153" s="77" t="s">
        <v>131</v>
      </c>
      <c r="D153" s="26">
        <v>4</v>
      </c>
      <c r="E153" s="25">
        <v>4.7472110135299999E-4</v>
      </c>
      <c r="F153" s="81"/>
    </row>
    <row r="154" spans="2:6" ht="15" customHeight="1">
      <c r="B154" s="100"/>
      <c r="C154" s="77" t="s">
        <v>128</v>
      </c>
      <c r="D154" s="26">
        <v>5</v>
      </c>
      <c r="E154" s="25">
        <v>5.9340137669100003E-4</v>
      </c>
      <c r="F154" s="81"/>
    </row>
    <row r="155" spans="2:6" ht="15" customHeight="1">
      <c r="B155" s="100"/>
      <c r="C155" s="77" t="s">
        <v>138</v>
      </c>
      <c r="D155" s="26">
        <v>2</v>
      </c>
      <c r="E155" s="25">
        <v>2.3736055067599999E-4</v>
      </c>
      <c r="F155" s="81"/>
    </row>
    <row r="156" spans="2:6" ht="15" customHeight="1">
      <c r="B156" s="100"/>
      <c r="C156" s="77" t="s">
        <v>132</v>
      </c>
      <c r="D156" s="26">
        <v>1</v>
      </c>
      <c r="E156" s="25">
        <v>1.1868027533799999E-4</v>
      </c>
      <c r="F156" s="81"/>
    </row>
    <row r="157" spans="2:6" ht="15" customHeight="1">
      <c r="B157" s="100"/>
      <c r="C157" s="77" t="s">
        <v>129</v>
      </c>
      <c r="D157" s="26">
        <v>9</v>
      </c>
      <c r="E157" s="25">
        <v>1.0681224780439999E-3</v>
      </c>
      <c r="F157" s="81"/>
    </row>
    <row r="158" spans="2:6" ht="15" customHeight="1">
      <c r="B158" s="100"/>
      <c r="C158" s="77" t="s">
        <v>130</v>
      </c>
      <c r="D158" s="26">
        <v>1</v>
      </c>
      <c r="E158" s="25">
        <v>1.1868027533799999E-4</v>
      </c>
      <c r="F158" s="81"/>
    </row>
    <row r="159" spans="2:6" ht="15" customHeight="1">
      <c r="B159" s="101"/>
      <c r="C159" s="24" t="s">
        <v>12</v>
      </c>
      <c r="D159" s="23">
        <v>65</v>
      </c>
      <c r="E159" s="22">
        <v>7.714217896986E-3</v>
      </c>
      <c r="F159" s="82"/>
    </row>
    <row r="160" spans="2:6" ht="15" customHeight="1">
      <c r="B160" s="99" t="s">
        <v>80</v>
      </c>
      <c r="C160" s="77" t="s">
        <v>127</v>
      </c>
      <c r="D160" s="26">
        <v>24</v>
      </c>
      <c r="E160" s="25">
        <v>2.8483266081179999E-3</v>
      </c>
      <c r="F160" s="81"/>
    </row>
    <row r="161" spans="2:6" ht="15" customHeight="1">
      <c r="B161" s="100"/>
      <c r="C161" s="77" t="s">
        <v>131</v>
      </c>
      <c r="D161" s="26">
        <v>2</v>
      </c>
      <c r="E161" s="25">
        <v>2.3736055067599999E-4</v>
      </c>
      <c r="F161" s="81"/>
    </row>
    <row r="162" spans="2:6" ht="15" customHeight="1">
      <c r="B162" s="100"/>
      <c r="C162" s="77" t="s">
        <v>128</v>
      </c>
      <c r="D162" s="26">
        <v>1</v>
      </c>
      <c r="E162" s="25">
        <v>1.1868027533799999E-4</v>
      </c>
      <c r="F162" s="81"/>
    </row>
    <row r="163" spans="2:6" ht="15" customHeight="1">
      <c r="B163" s="100"/>
      <c r="C163" s="77" t="s">
        <v>132</v>
      </c>
      <c r="D163" s="26">
        <v>1</v>
      </c>
      <c r="E163" s="25">
        <v>1.1868027533799999E-4</v>
      </c>
      <c r="F163" s="81"/>
    </row>
    <row r="164" spans="2:6" ht="15" customHeight="1">
      <c r="B164" s="100"/>
      <c r="C164" s="77" t="s">
        <v>129</v>
      </c>
      <c r="D164" s="26">
        <v>10</v>
      </c>
      <c r="E164" s="25">
        <v>1.1868027533820001E-3</v>
      </c>
      <c r="F164" s="81"/>
    </row>
    <row r="165" spans="2:6" ht="15" customHeight="1">
      <c r="B165" s="100"/>
      <c r="C165" s="77" t="s">
        <v>130</v>
      </c>
      <c r="D165" s="26">
        <v>3</v>
      </c>
      <c r="E165" s="25">
        <v>3.5604082601500001E-4</v>
      </c>
      <c r="F165" s="81"/>
    </row>
    <row r="166" spans="2:6" ht="15" customHeight="1">
      <c r="B166" s="100"/>
      <c r="C166" s="77" t="s">
        <v>134</v>
      </c>
      <c r="D166" s="26">
        <v>1</v>
      </c>
      <c r="E166" s="25">
        <v>1.1868027533799999E-4</v>
      </c>
      <c r="F166" s="81"/>
    </row>
    <row r="167" spans="2:6" ht="15" customHeight="1">
      <c r="B167" s="101"/>
      <c r="C167" s="24" t="s">
        <v>12</v>
      </c>
      <c r="D167" s="23">
        <v>42</v>
      </c>
      <c r="E167" s="22">
        <v>4.9845715642059998E-3</v>
      </c>
      <c r="F167" s="82"/>
    </row>
    <row r="168" spans="2:6" ht="15" customHeight="1">
      <c r="B168" s="99" t="s">
        <v>82</v>
      </c>
      <c r="C168" s="77" t="s">
        <v>127</v>
      </c>
      <c r="D168" s="26">
        <v>9</v>
      </c>
      <c r="E168" s="25">
        <v>1.0681224780439999E-3</v>
      </c>
      <c r="F168" s="81"/>
    </row>
    <row r="169" spans="2:6" ht="15" customHeight="1">
      <c r="B169" s="100"/>
      <c r="C169" s="77" t="s">
        <v>131</v>
      </c>
      <c r="D169" s="26">
        <v>1</v>
      </c>
      <c r="E169" s="25">
        <v>1.1868027533799999E-4</v>
      </c>
      <c r="F169" s="81"/>
    </row>
    <row r="170" spans="2:6" ht="15" customHeight="1">
      <c r="B170" s="100"/>
      <c r="C170" s="77" t="s">
        <v>128</v>
      </c>
      <c r="D170" s="26">
        <v>3</v>
      </c>
      <c r="E170" s="25">
        <v>3.5604082601500001E-4</v>
      </c>
      <c r="F170" s="81"/>
    </row>
    <row r="171" spans="2:6" ht="15" customHeight="1">
      <c r="B171" s="100"/>
      <c r="C171" s="77" t="s">
        <v>129</v>
      </c>
      <c r="D171" s="26">
        <v>2</v>
      </c>
      <c r="E171" s="25">
        <v>2.3736055067599999E-4</v>
      </c>
      <c r="F171" s="81"/>
    </row>
    <row r="172" spans="2:6" ht="15" customHeight="1">
      <c r="B172" s="100"/>
      <c r="C172" s="77" t="s">
        <v>133</v>
      </c>
      <c r="D172" s="26">
        <v>4</v>
      </c>
      <c r="E172" s="25">
        <v>4.7472110135299999E-4</v>
      </c>
      <c r="F172" s="81"/>
    </row>
    <row r="173" spans="2:6" ht="15" customHeight="1">
      <c r="B173" s="100"/>
      <c r="C173" s="77" t="s">
        <v>130</v>
      </c>
      <c r="D173" s="26">
        <v>2</v>
      </c>
      <c r="E173" s="25">
        <v>2.3736055067599999E-4</v>
      </c>
      <c r="F173" s="81"/>
    </row>
    <row r="174" spans="2:6" ht="15" customHeight="1">
      <c r="B174" s="100"/>
      <c r="C174" s="77" t="s">
        <v>137</v>
      </c>
      <c r="D174" s="26">
        <v>1</v>
      </c>
      <c r="E174" s="25">
        <v>1.1868027533799999E-4</v>
      </c>
      <c r="F174" s="81"/>
    </row>
    <row r="175" spans="2:6" ht="15" customHeight="1">
      <c r="B175" s="101"/>
      <c r="C175" s="24" t="s">
        <v>12</v>
      </c>
      <c r="D175" s="23">
        <v>22</v>
      </c>
      <c r="E175" s="22">
        <v>2.610966057441E-3</v>
      </c>
      <c r="F175" s="82"/>
    </row>
    <row r="176" spans="2:6" ht="15" customHeight="1">
      <c r="B176" s="99" t="s">
        <v>84</v>
      </c>
      <c r="C176" s="77" t="s">
        <v>127</v>
      </c>
      <c r="D176" s="26">
        <v>30</v>
      </c>
      <c r="E176" s="25">
        <v>3.560408260147E-3</v>
      </c>
      <c r="F176" s="81"/>
    </row>
    <row r="177" spans="2:6" ht="15" customHeight="1">
      <c r="B177" s="100"/>
      <c r="C177" s="77" t="s">
        <v>128</v>
      </c>
      <c r="D177" s="26">
        <v>2</v>
      </c>
      <c r="E177" s="25">
        <v>2.3736055067599999E-4</v>
      </c>
      <c r="F177" s="81"/>
    </row>
    <row r="178" spans="2:6" ht="15" customHeight="1">
      <c r="B178" s="100"/>
      <c r="C178" s="77" t="s">
        <v>138</v>
      </c>
      <c r="D178" s="26">
        <v>1</v>
      </c>
      <c r="E178" s="25">
        <v>1.1868027533799999E-4</v>
      </c>
      <c r="F178" s="81"/>
    </row>
    <row r="179" spans="2:6" ht="15" customHeight="1">
      <c r="B179" s="100"/>
      <c r="C179" s="77" t="s">
        <v>129</v>
      </c>
      <c r="D179" s="26">
        <v>8</v>
      </c>
      <c r="E179" s="25">
        <v>9.4944220270599998E-4</v>
      </c>
      <c r="F179" s="81"/>
    </row>
    <row r="180" spans="2:6" ht="15" customHeight="1">
      <c r="B180" s="100"/>
      <c r="C180" s="77" t="s">
        <v>133</v>
      </c>
      <c r="D180" s="26">
        <v>3</v>
      </c>
      <c r="E180" s="25">
        <v>3.5604082601500001E-4</v>
      </c>
      <c r="F180" s="81"/>
    </row>
    <row r="181" spans="2:6" ht="15" customHeight="1">
      <c r="B181" s="100"/>
      <c r="C181" s="77" t="s">
        <v>130</v>
      </c>
      <c r="D181" s="26">
        <v>10</v>
      </c>
      <c r="E181" s="25">
        <v>1.1868027533820001E-3</v>
      </c>
      <c r="F181" s="81"/>
    </row>
    <row r="182" spans="2:6" ht="15" customHeight="1">
      <c r="B182" s="100"/>
      <c r="C182" s="77" t="s">
        <v>134</v>
      </c>
      <c r="D182" s="26">
        <v>2</v>
      </c>
      <c r="E182" s="25">
        <v>2.3736055067599999E-4</v>
      </c>
      <c r="F182" s="81"/>
    </row>
    <row r="183" spans="2:6" ht="15" customHeight="1">
      <c r="B183" s="101"/>
      <c r="C183" s="24" t="s">
        <v>12</v>
      </c>
      <c r="D183" s="23">
        <v>56</v>
      </c>
      <c r="E183" s="22">
        <v>6.6460954189410002E-3</v>
      </c>
      <c r="F183" s="82"/>
    </row>
    <row r="184" spans="2:6" ht="15" customHeight="1">
      <c r="B184" s="99" t="s">
        <v>86</v>
      </c>
      <c r="C184" s="77" t="s">
        <v>127</v>
      </c>
      <c r="D184" s="26">
        <v>7</v>
      </c>
      <c r="E184" s="25">
        <v>8.3076192736799995E-4</v>
      </c>
      <c r="F184" s="81"/>
    </row>
    <row r="185" spans="2:6" ht="15" customHeight="1">
      <c r="B185" s="100"/>
      <c r="C185" s="77" t="s">
        <v>128</v>
      </c>
      <c r="D185" s="26">
        <v>2</v>
      </c>
      <c r="E185" s="25">
        <v>2.3736055067599999E-4</v>
      </c>
      <c r="F185" s="81"/>
    </row>
    <row r="186" spans="2:6" ht="15" customHeight="1">
      <c r="B186" s="101"/>
      <c r="C186" s="24" t="s">
        <v>12</v>
      </c>
      <c r="D186" s="23">
        <v>9</v>
      </c>
      <c r="E186" s="22">
        <v>1.0681224780439999E-3</v>
      </c>
      <c r="F186" s="82"/>
    </row>
    <row r="187" spans="2:6" ht="15" customHeight="1">
      <c r="B187" s="99" t="s">
        <v>88</v>
      </c>
      <c r="C187" s="77" t="s">
        <v>127</v>
      </c>
      <c r="D187" s="26">
        <v>24</v>
      </c>
      <c r="E187" s="25">
        <v>2.8483266081179999E-3</v>
      </c>
      <c r="F187" s="81"/>
    </row>
    <row r="188" spans="2:6" ht="15" customHeight="1">
      <c r="B188" s="100"/>
      <c r="C188" s="77" t="s">
        <v>132</v>
      </c>
      <c r="D188" s="26">
        <v>1</v>
      </c>
      <c r="E188" s="25">
        <v>1.1868027533799999E-4</v>
      </c>
      <c r="F188" s="81"/>
    </row>
    <row r="189" spans="2:6" ht="15" customHeight="1">
      <c r="B189" s="100"/>
      <c r="C189" s="77" t="s">
        <v>129</v>
      </c>
      <c r="D189" s="26">
        <v>3</v>
      </c>
      <c r="E189" s="25">
        <v>3.5604082601500001E-4</v>
      </c>
      <c r="F189" s="81"/>
    </row>
    <row r="190" spans="2:6" ht="15" customHeight="1">
      <c r="B190" s="100"/>
      <c r="C190" s="77" t="s">
        <v>133</v>
      </c>
      <c r="D190" s="26">
        <v>2</v>
      </c>
      <c r="E190" s="25">
        <v>2.3736055067599999E-4</v>
      </c>
      <c r="F190" s="81"/>
    </row>
    <row r="191" spans="2:6" ht="15" customHeight="1">
      <c r="B191" s="100"/>
      <c r="C191" s="77" t="s">
        <v>130</v>
      </c>
      <c r="D191" s="26">
        <v>25</v>
      </c>
      <c r="E191" s="25">
        <v>2.9670068834560001E-3</v>
      </c>
      <c r="F191" s="81"/>
    </row>
    <row r="192" spans="2:6" ht="15" customHeight="1">
      <c r="B192" s="100"/>
      <c r="C192" s="77" t="s">
        <v>137</v>
      </c>
      <c r="D192" s="26">
        <v>1</v>
      </c>
      <c r="E192" s="25">
        <v>1.1868027533799999E-4</v>
      </c>
      <c r="F192" s="81"/>
    </row>
    <row r="193" spans="2:6" ht="15" customHeight="1">
      <c r="B193" s="101"/>
      <c r="C193" s="24" t="s">
        <v>12</v>
      </c>
      <c r="D193" s="23">
        <v>56</v>
      </c>
      <c r="E193" s="22">
        <v>6.6460954189410002E-3</v>
      </c>
      <c r="F193" s="82"/>
    </row>
    <row r="194" spans="2:6" ht="15" customHeight="1">
      <c r="B194" s="99" t="s">
        <v>90</v>
      </c>
      <c r="C194" s="77" t="s">
        <v>127</v>
      </c>
      <c r="D194" s="26">
        <v>78</v>
      </c>
      <c r="E194" s="25">
        <v>9.2570614763829995E-3</v>
      </c>
      <c r="F194" s="81"/>
    </row>
    <row r="195" spans="2:6" ht="15" customHeight="1">
      <c r="B195" s="100"/>
      <c r="C195" s="77" t="s">
        <v>131</v>
      </c>
      <c r="D195" s="26">
        <v>4</v>
      </c>
      <c r="E195" s="25">
        <v>4.7472110135299999E-4</v>
      </c>
      <c r="F195" s="81"/>
    </row>
    <row r="196" spans="2:6" ht="15" customHeight="1">
      <c r="B196" s="100"/>
      <c r="C196" s="77" t="s">
        <v>128</v>
      </c>
      <c r="D196" s="26">
        <v>6</v>
      </c>
      <c r="E196" s="25">
        <v>7.1208165202899995E-4</v>
      </c>
      <c r="F196" s="81"/>
    </row>
    <row r="197" spans="2:6" ht="15" customHeight="1">
      <c r="B197" s="100"/>
      <c r="C197" s="77" t="s">
        <v>138</v>
      </c>
      <c r="D197" s="26">
        <v>17</v>
      </c>
      <c r="E197" s="25">
        <v>2.0175646807500001E-3</v>
      </c>
      <c r="F197" s="81"/>
    </row>
    <row r="198" spans="2:6" ht="15" customHeight="1">
      <c r="B198" s="100"/>
      <c r="C198" s="77" t="s">
        <v>129</v>
      </c>
      <c r="D198" s="26">
        <v>4</v>
      </c>
      <c r="E198" s="25">
        <v>4.7472110135299999E-4</v>
      </c>
      <c r="F198" s="81"/>
    </row>
    <row r="199" spans="2:6" ht="15" customHeight="1">
      <c r="B199" s="100"/>
      <c r="C199" s="77" t="s">
        <v>133</v>
      </c>
      <c r="D199" s="26">
        <v>7</v>
      </c>
      <c r="E199" s="25">
        <v>8.3076192736799995E-4</v>
      </c>
      <c r="F199" s="81"/>
    </row>
    <row r="200" spans="2:6" ht="15" customHeight="1">
      <c r="B200" s="100"/>
      <c r="C200" s="77" t="s">
        <v>130</v>
      </c>
      <c r="D200" s="26">
        <v>22</v>
      </c>
      <c r="E200" s="25">
        <v>2.610966057441E-3</v>
      </c>
      <c r="F200" s="81"/>
    </row>
    <row r="201" spans="2:6" ht="15" customHeight="1">
      <c r="B201" s="100"/>
      <c r="C201" s="77" t="s">
        <v>134</v>
      </c>
      <c r="D201" s="26">
        <v>1</v>
      </c>
      <c r="E201" s="25">
        <v>1.1868027533799999E-4</v>
      </c>
      <c r="F201" s="81"/>
    </row>
    <row r="202" spans="2:6" ht="15" customHeight="1">
      <c r="B202" s="100"/>
      <c r="C202" s="77" t="s">
        <v>136</v>
      </c>
      <c r="D202" s="26">
        <v>4</v>
      </c>
      <c r="E202" s="25">
        <v>4.7472110135299999E-4</v>
      </c>
      <c r="F202" s="81"/>
    </row>
    <row r="203" spans="2:6" ht="15" customHeight="1">
      <c r="B203" s="100"/>
      <c r="C203" s="77" t="s">
        <v>137</v>
      </c>
      <c r="D203" s="26">
        <v>1</v>
      </c>
      <c r="E203" s="25">
        <v>1.1868027533799999E-4</v>
      </c>
      <c r="F203" s="81"/>
    </row>
    <row r="204" spans="2:6" ht="15" customHeight="1">
      <c r="B204" s="101"/>
      <c r="C204" s="24" t="s">
        <v>12</v>
      </c>
      <c r="D204" s="23">
        <v>144</v>
      </c>
      <c r="E204" s="22">
        <v>1.7089959648706E-2</v>
      </c>
      <c r="F204" s="82"/>
    </row>
    <row r="205" spans="2:6" ht="15" customHeight="1">
      <c r="B205" s="99" t="s">
        <v>92</v>
      </c>
      <c r="C205" s="77" t="s">
        <v>127</v>
      </c>
      <c r="D205" s="26">
        <v>4</v>
      </c>
      <c r="E205" s="25">
        <v>4.7472110135299999E-4</v>
      </c>
      <c r="F205" s="81"/>
    </row>
    <row r="206" spans="2:6" ht="15" customHeight="1">
      <c r="B206" s="100"/>
      <c r="C206" s="77" t="s">
        <v>129</v>
      </c>
      <c r="D206" s="26">
        <v>1</v>
      </c>
      <c r="E206" s="25">
        <v>1.1868027533799999E-4</v>
      </c>
      <c r="F206" s="81"/>
    </row>
    <row r="207" spans="2:6" ht="15" customHeight="1">
      <c r="B207" s="101"/>
      <c r="C207" s="24" t="s">
        <v>12</v>
      </c>
      <c r="D207" s="23">
        <v>5</v>
      </c>
      <c r="E207" s="22">
        <v>5.9340137669100003E-4</v>
      </c>
      <c r="F207" s="82"/>
    </row>
    <row r="208" spans="2:6" ht="15" customHeight="1">
      <c r="B208" s="99" t="s">
        <v>94</v>
      </c>
      <c r="C208" s="77" t="s">
        <v>127</v>
      </c>
      <c r="D208" s="26">
        <v>49</v>
      </c>
      <c r="E208" s="25">
        <v>5.815333491574E-3</v>
      </c>
      <c r="F208" s="81"/>
    </row>
    <row r="209" spans="2:6" ht="15" customHeight="1">
      <c r="B209" s="100"/>
      <c r="C209" s="77" t="s">
        <v>128</v>
      </c>
      <c r="D209" s="26">
        <v>4</v>
      </c>
      <c r="E209" s="25">
        <v>4.7472110135299999E-4</v>
      </c>
      <c r="F209" s="81"/>
    </row>
    <row r="210" spans="2:6" ht="15" customHeight="1">
      <c r="B210" s="100"/>
      <c r="C210" s="77" t="s">
        <v>138</v>
      </c>
      <c r="D210" s="26">
        <v>6</v>
      </c>
      <c r="E210" s="25">
        <v>7.1208165202899995E-4</v>
      </c>
      <c r="F210" s="81"/>
    </row>
    <row r="211" spans="2:6" ht="15" customHeight="1">
      <c r="B211" s="100"/>
      <c r="C211" s="77" t="s">
        <v>129</v>
      </c>
      <c r="D211" s="26">
        <v>18</v>
      </c>
      <c r="E211" s="25">
        <v>2.1362449560879998E-3</v>
      </c>
      <c r="F211" s="81"/>
    </row>
    <row r="212" spans="2:6" ht="15" customHeight="1">
      <c r="B212" s="100"/>
      <c r="C212" s="77" t="s">
        <v>135</v>
      </c>
      <c r="D212" s="26">
        <v>2</v>
      </c>
      <c r="E212" s="25">
        <v>2.3736055067599999E-4</v>
      </c>
      <c r="F212" s="81"/>
    </row>
    <row r="213" spans="2:6" ht="15" customHeight="1">
      <c r="B213" s="100"/>
      <c r="C213" s="77" t="s">
        <v>130</v>
      </c>
      <c r="D213" s="26">
        <v>5</v>
      </c>
      <c r="E213" s="25">
        <v>5.9340137669100003E-4</v>
      </c>
      <c r="F213" s="81"/>
    </row>
    <row r="214" spans="2:6" ht="15" customHeight="1">
      <c r="B214" s="100"/>
      <c r="C214" s="77" t="s">
        <v>137</v>
      </c>
      <c r="D214" s="26">
        <v>3</v>
      </c>
      <c r="E214" s="25">
        <v>3.5604082601500001E-4</v>
      </c>
      <c r="F214" s="81"/>
    </row>
    <row r="215" spans="2:6" ht="15" customHeight="1">
      <c r="B215" s="101"/>
      <c r="C215" s="24" t="s">
        <v>12</v>
      </c>
      <c r="D215" s="23">
        <v>87</v>
      </c>
      <c r="E215" s="22">
        <v>1.0325183954426999E-2</v>
      </c>
      <c r="F215" s="82"/>
    </row>
    <row r="216" spans="2:6" ht="15" customHeight="1">
      <c r="B216" s="103" t="s">
        <v>96</v>
      </c>
      <c r="C216" s="77" t="s">
        <v>127</v>
      </c>
      <c r="D216" s="26">
        <v>3</v>
      </c>
      <c r="E216" s="25">
        <v>3.5604082601500001E-4</v>
      </c>
      <c r="F216" s="81"/>
    </row>
    <row r="217" spans="2:6" ht="15" customHeight="1">
      <c r="B217" s="104"/>
      <c r="C217" s="77" t="s">
        <v>131</v>
      </c>
      <c r="D217" s="26">
        <v>1</v>
      </c>
      <c r="E217" s="25">
        <v>1.1868027533799999E-4</v>
      </c>
      <c r="F217" s="81"/>
    </row>
    <row r="218" spans="2:6" ht="15" customHeight="1">
      <c r="B218" s="105"/>
      <c r="C218" s="24" t="s">
        <v>12</v>
      </c>
      <c r="D218" s="23">
        <v>4</v>
      </c>
      <c r="E218" s="22">
        <v>4.7472110135299999E-4</v>
      </c>
      <c r="F218" s="82"/>
    </row>
    <row r="219" spans="2:6" ht="15" customHeight="1">
      <c r="B219" s="99" t="s">
        <v>98</v>
      </c>
      <c r="C219" s="77" t="s">
        <v>127</v>
      </c>
      <c r="D219" s="26">
        <v>78</v>
      </c>
      <c r="E219" s="25">
        <v>9.2570614763829995E-3</v>
      </c>
      <c r="F219" s="81"/>
    </row>
    <row r="220" spans="2:6" ht="15" customHeight="1">
      <c r="B220" s="100"/>
      <c r="C220" s="77" t="s">
        <v>131</v>
      </c>
      <c r="D220" s="26">
        <v>12</v>
      </c>
      <c r="E220" s="25">
        <v>1.424163304059E-3</v>
      </c>
      <c r="F220" s="81"/>
    </row>
    <row r="221" spans="2:6" ht="15" customHeight="1">
      <c r="B221" s="100"/>
      <c r="C221" s="77" t="s">
        <v>128</v>
      </c>
      <c r="D221" s="26">
        <v>19</v>
      </c>
      <c r="E221" s="25">
        <v>2.254925231427E-3</v>
      </c>
      <c r="F221" s="81"/>
    </row>
    <row r="222" spans="2:6" ht="15" customHeight="1">
      <c r="B222" s="100"/>
      <c r="C222" s="77" t="s">
        <v>132</v>
      </c>
      <c r="D222" s="26">
        <v>1</v>
      </c>
      <c r="E222" s="25">
        <v>1.1868027533799999E-4</v>
      </c>
      <c r="F222" s="81"/>
    </row>
    <row r="223" spans="2:6" ht="15" customHeight="1">
      <c r="B223" s="100"/>
      <c r="C223" s="77" t="s">
        <v>129</v>
      </c>
      <c r="D223" s="26">
        <v>7</v>
      </c>
      <c r="E223" s="25">
        <v>8.3076192736799995E-4</v>
      </c>
      <c r="F223" s="81"/>
    </row>
    <row r="224" spans="2:6" ht="15" customHeight="1">
      <c r="B224" s="100"/>
      <c r="C224" s="77" t="s">
        <v>133</v>
      </c>
      <c r="D224" s="26">
        <v>8</v>
      </c>
      <c r="E224" s="25">
        <v>9.4944220270599998E-4</v>
      </c>
      <c r="F224" s="81"/>
    </row>
    <row r="225" spans="2:6" ht="15" customHeight="1">
      <c r="B225" s="100"/>
      <c r="C225" s="77" t="s">
        <v>130</v>
      </c>
      <c r="D225" s="26">
        <v>8</v>
      </c>
      <c r="E225" s="25">
        <v>9.4944220270599998E-4</v>
      </c>
      <c r="F225" s="81"/>
    </row>
    <row r="226" spans="2:6" ht="15" customHeight="1">
      <c r="B226" s="100"/>
      <c r="C226" s="77" t="s">
        <v>134</v>
      </c>
      <c r="D226" s="26">
        <v>3</v>
      </c>
      <c r="E226" s="25">
        <v>3.5604082601500001E-4</v>
      </c>
      <c r="F226" s="81"/>
    </row>
    <row r="227" spans="2:6" ht="15" customHeight="1">
      <c r="B227" s="100"/>
      <c r="C227" s="77" t="s">
        <v>137</v>
      </c>
      <c r="D227" s="26">
        <v>2</v>
      </c>
      <c r="E227" s="25">
        <v>2.3736055067599999E-4</v>
      </c>
      <c r="F227" s="81"/>
    </row>
    <row r="228" spans="2:6" ht="15" customHeight="1">
      <c r="B228" s="101"/>
      <c r="C228" s="24" t="s">
        <v>12</v>
      </c>
      <c r="D228" s="23">
        <v>138</v>
      </c>
      <c r="E228" s="22">
        <v>1.6377877996677E-2</v>
      </c>
      <c r="F228" s="82"/>
    </row>
    <row r="229" spans="2:6" ht="15" customHeight="1">
      <c r="B229" s="99" t="s">
        <v>100</v>
      </c>
      <c r="C229" s="77" t="s">
        <v>127</v>
      </c>
      <c r="D229" s="26">
        <v>5</v>
      </c>
      <c r="E229" s="25">
        <v>5.9340137669100003E-4</v>
      </c>
      <c r="F229" s="81"/>
    </row>
    <row r="230" spans="2:6" ht="15" customHeight="1">
      <c r="B230" s="101"/>
      <c r="C230" s="24" t="s">
        <v>12</v>
      </c>
      <c r="D230" s="23">
        <v>5</v>
      </c>
      <c r="E230" s="22">
        <v>5.9340137669100003E-4</v>
      </c>
      <c r="F230" s="82"/>
    </row>
    <row r="231" spans="2:6" ht="15" customHeight="1">
      <c r="B231" s="99" t="s">
        <v>102</v>
      </c>
      <c r="C231" s="77" t="s">
        <v>127</v>
      </c>
      <c r="D231" s="26">
        <v>27</v>
      </c>
      <c r="E231" s="25">
        <v>3.2043674341319999E-3</v>
      </c>
      <c r="F231" s="81"/>
    </row>
    <row r="232" spans="2:6" ht="15" customHeight="1">
      <c r="B232" s="100"/>
      <c r="C232" s="77" t="s">
        <v>128</v>
      </c>
      <c r="D232" s="26">
        <v>3</v>
      </c>
      <c r="E232" s="25">
        <v>3.5604082601500001E-4</v>
      </c>
      <c r="F232" s="81"/>
    </row>
    <row r="233" spans="2:6" ht="15" customHeight="1">
      <c r="B233" s="100"/>
      <c r="C233" s="77" t="s">
        <v>129</v>
      </c>
      <c r="D233" s="26">
        <v>2</v>
      </c>
      <c r="E233" s="25">
        <v>2.3736055067599999E-4</v>
      </c>
      <c r="F233" s="81"/>
    </row>
    <row r="234" spans="2:6" ht="15" customHeight="1">
      <c r="B234" s="100"/>
      <c r="C234" s="77" t="s">
        <v>133</v>
      </c>
      <c r="D234" s="26">
        <v>7</v>
      </c>
      <c r="E234" s="25">
        <v>8.3076192736799995E-4</v>
      </c>
      <c r="F234" s="81"/>
    </row>
    <row r="235" spans="2:6" ht="15" customHeight="1">
      <c r="B235" s="100"/>
      <c r="C235" s="77" t="s">
        <v>130</v>
      </c>
      <c r="D235" s="26">
        <v>8</v>
      </c>
      <c r="E235" s="25">
        <v>9.4944220270599998E-4</v>
      </c>
      <c r="F235" s="81"/>
    </row>
    <row r="236" spans="2:6" ht="15" customHeight="1">
      <c r="B236" s="100"/>
      <c r="C236" s="77" t="s">
        <v>134</v>
      </c>
      <c r="D236" s="26">
        <v>2</v>
      </c>
      <c r="E236" s="25">
        <v>2.3736055067599999E-4</v>
      </c>
      <c r="F236" s="81"/>
    </row>
    <row r="237" spans="2:6" ht="15" customHeight="1">
      <c r="B237" s="101"/>
      <c r="C237" s="24" t="s">
        <v>12</v>
      </c>
      <c r="D237" s="23">
        <v>49</v>
      </c>
      <c r="E237" s="22">
        <v>5.815333491574E-3</v>
      </c>
      <c r="F237" s="82"/>
    </row>
    <row r="238" spans="2:6" ht="15" customHeight="1">
      <c r="B238" s="99" t="s">
        <v>104</v>
      </c>
      <c r="C238" s="77" t="s">
        <v>127</v>
      </c>
      <c r="D238" s="26">
        <v>334</v>
      </c>
      <c r="E238" s="25">
        <v>3.9639211962972001E-2</v>
      </c>
      <c r="F238" s="81"/>
    </row>
    <row r="239" spans="2:6" ht="15" customHeight="1">
      <c r="B239" s="100"/>
      <c r="C239" s="77" t="s">
        <v>131</v>
      </c>
      <c r="D239" s="26">
        <v>37</v>
      </c>
      <c r="E239" s="25">
        <v>4.3911701875149999E-3</v>
      </c>
      <c r="F239" s="81"/>
    </row>
    <row r="240" spans="2:6" ht="15" customHeight="1">
      <c r="B240" s="100"/>
      <c r="C240" s="77" t="s">
        <v>128</v>
      </c>
      <c r="D240" s="26">
        <v>379</v>
      </c>
      <c r="E240" s="25">
        <v>4.4979824353192997E-2</v>
      </c>
      <c r="F240" s="81"/>
    </row>
    <row r="241" spans="2:6" ht="15" customHeight="1">
      <c r="B241" s="100"/>
      <c r="C241" s="77" t="s">
        <v>138</v>
      </c>
      <c r="D241" s="26">
        <v>6</v>
      </c>
      <c r="E241" s="25">
        <v>7.1208165202899995E-4</v>
      </c>
      <c r="F241" s="81"/>
    </row>
    <row r="242" spans="2:6" ht="15" customHeight="1">
      <c r="B242" s="100"/>
      <c r="C242" s="77" t="s">
        <v>132</v>
      </c>
      <c r="D242" s="26">
        <v>12</v>
      </c>
      <c r="E242" s="25">
        <v>1.424163304059E-3</v>
      </c>
      <c r="F242" s="81"/>
    </row>
    <row r="243" spans="2:6" ht="15" customHeight="1">
      <c r="B243" s="100"/>
      <c r="C243" s="77" t="s">
        <v>129</v>
      </c>
      <c r="D243" s="26">
        <v>25</v>
      </c>
      <c r="E243" s="25">
        <v>2.9670068834560001E-3</v>
      </c>
      <c r="F243" s="81"/>
    </row>
    <row r="244" spans="2:6" ht="15" customHeight="1">
      <c r="B244" s="100"/>
      <c r="C244" s="77" t="s">
        <v>135</v>
      </c>
      <c r="D244" s="26">
        <v>10</v>
      </c>
      <c r="E244" s="25">
        <v>1.1868027533820001E-3</v>
      </c>
      <c r="F244" s="81"/>
    </row>
    <row r="245" spans="2:6" ht="15" customHeight="1">
      <c r="B245" s="100"/>
      <c r="C245" s="77" t="s">
        <v>133</v>
      </c>
      <c r="D245" s="26">
        <v>79</v>
      </c>
      <c r="E245" s="25">
        <v>9.3757417517209996E-3</v>
      </c>
      <c r="F245" s="81"/>
    </row>
    <row r="246" spans="2:6" ht="15" customHeight="1">
      <c r="B246" s="100"/>
      <c r="C246" s="77" t="s">
        <v>130</v>
      </c>
      <c r="D246" s="26">
        <v>301</v>
      </c>
      <c r="E246" s="25">
        <v>3.5722762876809998E-2</v>
      </c>
      <c r="F246" s="81"/>
    </row>
    <row r="247" spans="2:6" ht="15" customHeight="1">
      <c r="B247" s="100"/>
      <c r="C247" s="77" t="s">
        <v>134</v>
      </c>
      <c r="D247" s="26">
        <v>1</v>
      </c>
      <c r="E247" s="25">
        <v>1.1868027533799999E-4</v>
      </c>
      <c r="F247" s="81"/>
    </row>
    <row r="248" spans="2:6" ht="15" customHeight="1">
      <c r="B248" s="100"/>
      <c r="C248" s="77" t="s">
        <v>136</v>
      </c>
      <c r="D248" s="26">
        <v>11</v>
      </c>
      <c r="E248" s="25">
        <v>1.305483028721E-3</v>
      </c>
      <c r="F248" s="81"/>
    </row>
    <row r="249" spans="2:6" ht="15" customHeight="1">
      <c r="B249" s="100"/>
      <c r="C249" s="77" t="s">
        <v>137</v>
      </c>
      <c r="D249" s="26">
        <v>4</v>
      </c>
      <c r="E249" s="25">
        <v>4.7472110135299999E-4</v>
      </c>
      <c r="F249" s="81"/>
    </row>
    <row r="250" spans="2:6" ht="15" customHeight="1">
      <c r="B250" s="101"/>
      <c r="C250" s="24" t="s">
        <v>12</v>
      </c>
      <c r="D250" s="23">
        <v>1199</v>
      </c>
      <c r="E250" s="22">
        <v>0.14229765013054799</v>
      </c>
      <c r="F250" s="82"/>
    </row>
    <row r="251" spans="2:6" ht="15" customHeight="1">
      <c r="B251" s="99" t="s">
        <v>106</v>
      </c>
      <c r="C251" s="77" t="s">
        <v>127</v>
      </c>
      <c r="D251" s="26">
        <v>5</v>
      </c>
      <c r="E251" s="25">
        <v>5.9340137669100003E-4</v>
      </c>
      <c r="F251" s="81"/>
    </row>
    <row r="252" spans="2:6" ht="15" customHeight="1">
      <c r="B252" s="100"/>
      <c r="C252" s="77" t="s">
        <v>128</v>
      </c>
      <c r="D252" s="26">
        <v>1</v>
      </c>
      <c r="E252" s="25">
        <v>1.1868027533799999E-4</v>
      </c>
      <c r="F252" s="81"/>
    </row>
    <row r="253" spans="2:6" ht="15" customHeight="1">
      <c r="B253" s="100"/>
      <c r="C253" s="77" t="s">
        <v>130</v>
      </c>
      <c r="D253" s="26">
        <v>2</v>
      </c>
      <c r="E253" s="25">
        <v>2.3736055067599999E-4</v>
      </c>
      <c r="F253" s="81"/>
    </row>
    <row r="254" spans="2:6" ht="15" customHeight="1">
      <c r="B254" s="101"/>
      <c r="C254" s="24" t="s">
        <v>12</v>
      </c>
      <c r="D254" s="23">
        <v>8</v>
      </c>
      <c r="E254" s="22">
        <v>9.4944220270599998E-4</v>
      </c>
      <c r="F254" s="82"/>
    </row>
    <row r="255" spans="2:6" ht="15" customHeight="1">
      <c r="B255" s="99" t="s">
        <v>108</v>
      </c>
      <c r="C255" s="77" t="s">
        <v>127</v>
      </c>
      <c r="D255" s="26">
        <v>9</v>
      </c>
      <c r="E255" s="25">
        <v>1.0681224780439999E-3</v>
      </c>
      <c r="F255" s="81"/>
    </row>
    <row r="256" spans="2:6" ht="15" customHeight="1">
      <c r="B256" s="100"/>
      <c r="C256" s="77" t="s">
        <v>129</v>
      </c>
      <c r="D256" s="26">
        <v>1</v>
      </c>
      <c r="E256" s="25">
        <v>1.1868027533799999E-4</v>
      </c>
      <c r="F256" s="81"/>
    </row>
    <row r="257" spans="2:6" ht="15" customHeight="1">
      <c r="B257" s="100"/>
      <c r="C257" s="77" t="s">
        <v>133</v>
      </c>
      <c r="D257" s="26">
        <v>1</v>
      </c>
      <c r="E257" s="25">
        <v>1.1868027533799999E-4</v>
      </c>
      <c r="F257" s="81"/>
    </row>
    <row r="258" spans="2:6" ht="15" customHeight="1">
      <c r="B258" s="100"/>
      <c r="C258" s="77" t="s">
        <v>130</v>
      </c>
      <c r="D258" s="26">
        <v>1</v>
      </c>
      <c r="E258" s="25">
        <v>1.1868027533799999E-4</v>
      </c>
      <c r="F258" s="81"/>
    </row>
    <row r="259" spans="2:6" ht="15" customHeight="1">
      <c r="B259" s="101"/>
      <c r="C259" s="24" t="s">
        <v>12</v>
      </c>
      <c r="D259" s="23">
        <v>12</v>
      </c>
      <c r="E259" s="22">
        <v>1.424163304059E-3</v>
      </c>
      <c r="F259" s="82"/>
    </row>
    <row r="260" spans="2:6" ht="15" customHeight="1">
      <c r="B260" s="99" t="s">
        <v>109</v>
      </c>
      <c r="C260" s="77" t="s">
        <v>127</v>
      </c>
      <c r="D260" s="26">
        <v>25</v>
      </c>
      <c r="E260" s="25">
        <v>2.9670068834560001E-3</v>
      </c>
      <c r="F260" s="81"/>
    </row>
    <row r="261" spans="2:6" ht="15" customHeight="1">
      <c r="B261" s="100"/>
      <c r="C261" s="77" t="s">
        <v>131</v>
      </c>
      <c r="D261" s="26">
        <v>2</v>
      </c>
      <c r="E261" s="25">
        <v>2.3736055067599999E-4</v>
      </c>
      <c r="F261" s="81"/>
    </row>
    <row r="262" spans="2:6" ht="15" customHeight="1">
      <c r="B262" s="100"/>
      <c r="C262" s="77" t="s">
        <v>128</v>
      </c>
      <c r="D262" s="26">
        <v>3</v>
      </c>
      <c r="E262" s="25">
        <v>3.5604082601500001E-4</v>
      </c>
      <c r="F262" s="81"/>
    </row>
    <row r="263" spans="2:6" ht="15" customHeight="1">
      <c r="B263" s="100"/>
      <c r="C263" s="77" t="s">
        <v>133</v>
      </c>
      <c r="D263" s="26">
        <v>2</v>
      </c>
      <c r="E263" s="25">
        <v>2.3736055067599999E-4</v>
      </c>
      <c r="F263" s="81"/>
    </row>
    <row r="264" spans="2:6" ht="15" customHeight="1">
      <c r="B264" s="100"/>
      <c r="C264" s="77" t="s">
        <v>130</v>
      </c>
      <c r="D264" s="26">
        <v>6</v>
      </c>
      <c r="E264" s="25">
        <v>7.1208165202899995E-4</v>
      </c>
      <c r="F264" s="81"/>
    </row>
    <row r="265" spans="2:6" ht="15" customHeight="1">
      <c r="B265" s="100"/>
      <c r="C265" s="77" t="s">
        <v>137</v>
      </c>
      <c r="D265" s="26">
        <v>1</v>
      </c>
      <c r="E265" s="25">
        <v>1.1868027533799999E-4</v>
      </c>
      <c r="F265" s="81"/>
    </row>
    <row r="266" spans="2:6" ht="15" customHeight="1">
      <c r="B266" s="101"/>
      <c r="C266" s="24" t="s">
        <v>12</v>
      </c>
      <c r="D266" s="23">
        <v>39</v>
      </c>
      <c r="E266" s="22">
        <v>4.6285307381910001E-3</v>
      </c>
      <c r="F266" s="82"/>
    </row>
    <row r="267" spans="2:6" ht="15" customHeight="1">
      <c r="B267" s="99" t="s">
        <v>111</v>
      </c>
      <c r="C267" s="77" t="s">
        <v>127</v>
      </c>
      <c r="D267" s="26">
        <v>2</v>
      </c>
      <c r="E267" s="25">
        <v>2.3736055067599999E-4</v>
      </c>
      <c r="F267" s="81"/>
    </row>
    <row r="268" spans="2:6" ht="15" customHeight="1">
      <c r="B268" s="100"/>
      <c r="C268" s="77" t="s">
        <v>128</v>
      </c>
      <c r="D268" s="26">
        <v>1</v>
      </c>
      <c r="E268" s="25">
        <v>1.1868027533799999E-4</v>
      </c>
      <c r="F268" s="81"/>
    </row>
    <row r="269" spans="2:6" ht="15" customHeight="1">
      <c r="B269" s="100"/>
      <c r="C269" s="77" t="s">
        <v>129</v>
      </c>
      <c r="D269" s="26">
        <v>1</v>
      </c>
      <c r="E269" s="25">
        <v>1.1868027533799999E-4</v>
      </c>
      <c r="F269" s="81"/>
    </row>
    <row r="270" spans="2:6" ht="15" customHeight="1">
      <c r="B270" s="100"/>
      <c r="C270" s="77" t="s">
        <v>133</v>
      </c>
      <c r="D270" s="26">
        <v>1</v>
      </c>
      <c r="E270" s="25">
        <v>1.1868027533799999E-4</v>
      </c>
      <c r="F270" s="81"/>
    </row>
    <row r="271" spans="2:6" ht="15" customHeight="1">
      <c r="B271" s="101"/>
      <c r="C271" s="24" t="s">
        <v>12</v>
      </c>
      <c r="D271" s="23">
        <v>5</v>
      </c>
      <c r="E271" s="22">
        <v>5.9340137669100003E-4</v>
      </c>
      <c r="F271" s="82"/>
    </row>
    <row r="272" spans="2:6" ht="15" customHeight="1">
      <c r="B272" s="99" t="s">
        <v>113</v>
      </c>
      <c r="C272" s="77" t="s">
        <v>127</v>
      </c>
      <c r="D272" s="26">
        <v>123</v>
      </c>
      <c r="E272" s="25">
        <v>1.4597673866603E-2</v>
      </c>
      <c r="F272" s="81"/>
    </row>
    <row r="273" spans="2:6" ht="15" customHeight="1">
      <c r="B273" s="100"/>
      <c r="C273" s="77" t="s">
        <v>131</v>
      </c>
      <c r="D273" s="26">
        <v>13</v>
      </c>
      <c r="E273" s="25">
        <v>1.5428435793969999E-3</v>
      </c>
      <c r="F273" s="81"/>
    </row>
    <row r="274" spans="2:6" ht="15" customHeight="1">
      <c r="B274" s="100"/>
      <c r="C274" s="77" t="s">
        <v>128</v>
      </c>
      <c r="D274" s="26">
        <v>4</v>
      </c>
      <c r="E274" s="25">
        <v>4.7472110135299999E-4</v>
      </c>
      <c r="F274" s="81"/>
    </row>
    <row r="275" spans="2:6" ht="15" customHeight="1">
      <c r="B275" s="100"/>
      <c r="C275" s="77" t="s">
        <v>132</v>
      </c>
      <c r="D275" s="26">
        <v>1</v>
      </c>
      <c r="E275" s="25">
        <v>1.1868027533799999E-4</v>
      </c>
      <c r="F275" s="81"/>
    </row>
    <row r="276" spans="2:6" ht="15" customHeight="1">
      <c r="B276" s="100"/>
      <c r="C276" s="77" t="s">
        <v>129</v>
      </c>
      <c r="D276" s="26">
        <v>15</v>
      </c>
      <c r="E276" s="25">
        <v>1.780204130074E-3</v>
      </c>
      <c r="F276" s="81"/>
    </row>
    <row r="277" spans="2:6" ht="15" customHeight="1">
      <c r="B277" s="100"/>
      <c r="C277" s="77" t="s">
        <v>133</v>
      </c>
      <c r="D277" s="26">
        <v>6</v>
      </c>
      <c r="E277" s="25">
        <v>7.1208165202899995E-4</v>
      </c>
      <c r="F277" s="81"/>
    </row>
    <row r="278" spans="2:6" ht="15" customHeight="1">
      <c r="B278" s="100"/>
      <c r="C278" s="77" t="s">
        <v>130</v>
      </c>
      <c r="D278" s="26">
        <v>10</v>
      </c>
      <c r="E278" s="25">
        <v>1.1868027533820001E-3</v>
      </c>
      <c r="F278" s="81"/>
    </row>
    <row r="279" spans="2:6" ht="15" customHeight="1">
      <c r="B279" s="101"/>
      <c r="C279" s="24" t="s">
        <v>12</v>
      </c>
      <c r="D279" s="23">
        <v>172</v>
      </c>
      <c r="E279" s="22">
        <v>2.0413007358176999E-2</v>
      </c>
      <c r="F279" s="82"/>
    </row>
    <row r="280" spans="2:6" ht="15" customHeight="1">
      <c r="B280" s="99" t="s">
        <v>115</v>
      </c>
      <c r="C280" s="77" t="s">
        <v>127</v>
      </c>
      <c r="D280" s="26">
        <v>1033</v>
      </c>
      <c r="E280" s="25">
        <v>0.122596724424401</v>
      </c>
      <c r="F280" s="81"/>
    </row>
    <row r="281" spans="2:6" ht="15" customHeight="1">
      <c r="B281" s="100"/>
      <c r="C281" s="77" t="s">
        <v>131</v>
      </c>
      <c r="D281" s="26">
        <v>111</v>
      </c>
      <c r="E281" s="25">
        <v>1.3173510562545E-2</v>
      </c>
      <c r="F281" s="81"/>
    </row>
    <row r="282" spans="2:6" ht="15" customHeight="1">
      <c r="B282" s="100"/>
      <c r="C282" s="77" t="s">
        <v>128</v>
      </c>
      <c r="D282" s="26">
        <v>84</v>
      </c>
      <c r="E282" s="25">
        <v>9.9691431284119995E-3</v>
      </c>
      <c r="F282" s="81"/>
    </row>
    <row r="283" spans="2:6" ht="15" customHeight="1">
      <c r="B283" s="100"/>
      <c r="C283" s="77" t="s">
        <v>138</v>
      </c>
      <c r="D283" s="26">
        <v>20</v>
      </c>
      <c r="E283" s="25">
        <v>2.3736055067650002E-3</v>
      </c>
      <c r="F283" s="81"/>
    </row>
    <row r="284" spans="2:6" ht="15" customHeight="1">
      <c r="B284" s="100"/>
      <c r="C284" s="77" t="s">
        <v>139</v>
      </c>
      <c r="D284" s="26">
        <v>1</v>
      </c>
      <c r="E284" s="25">
        <v>1.1868027533799999E-4</v>
      </c>
      <c r="F284" s="81"/>
    </row>
    <row r="285" spans="2:6" ht="15" customHeight="1">
      <c r="B285" s="100"/>
      <c r="C285" s="77" t="s">
        <v>132</v>
      </c>
      <c r="D285" s="26">
        <v>23</v>
      </c>
      <c r="E285" s="25">
        <v>2.7296463327790002E-3</v>
      </c>
      <c r="F285" s="81"/>
    </row>
    <row r="286" spans="2:6" ht="15" customHeight="1">
      <c r="B286" s="100"/>
      <c r="C286" s="77" t="s">
        <v>129</v>
      </c>
      <c r="D286" s="26">
        <v>91</v>
      </c>
      <c r="E286" s="25">
        <v>1.0799905055780001E-2</v>
      </c>
      <c r="F286" s="81"/>
    </row>
    <row r="287" spans="2:6" ht="15" customHeight="1">
      <c r="B287" s="100"/>
      <c r="C287" s="77" t="s">
        <v>135</v>
      </c>
      <c r="D287" s="26">
        <v>4</v>
      </c>
      <c r="E287" s="25">
        <v>4.7472110135299999E-4</v>
      </c>
      <c r="F287" s="81"/>
    </row>
    <row r="288" spans="2:6" ht="15" customHeight="1">
      <c r="B288" s="100"/>
      <c r="C288" s="77" t="s">
        <v>133</v>
      </c>
      <c r="D288" s="26">
        <v>169</v>
      </c>
      <c r="E288" s="25">
        <v>2.0056966532162001E-2</v>
      </c>
      <c r="F288" s="81"/>
    </row>
    <row r="289" spans="2:6" ht="15" customHeight="1">
      <c r="B289" s="100"/>
      <c r="C289" s="77" t="s">
        <v>130</v>
      </c>
      <c r="D289" s="26">
        <v>135</v>
      </c>
      <c r="E289" s="25">
        <v>1.6021837170661999E-2</v>
      </c>
      <c r="F289" s="81"/>
    </row>
    <row r="290" spans="2:6" ht="15" customHeight="1">
      <c r="B290" s="100"/>
      <c r="C290" s="77" t="s">
        <v>134</v>
      </c>
      <c r="D290" s="26">
        <v>8</v>
      </c>
      <c r="E290" s="25">
        <v>9.4944220270599998E-4</v>
      </c>
      <c r="F290" s="81"/>
    </row>
    <row r="291" spans="2:6" ht="15" customHeight="1">
      <c r="B291" s="100"/>
      <c r="C291" s="77" t="s">
        <v>140</v>
      </c>
      <c r="D291" s="26">
        <v>1</v>
      </c>
      <c r="E291" s="25">
        <v>1.1868027533799999E-4</v>
      </c>
      <c r="F291" s="81"/>
    </row>
    <row r="292" spans="2:6" ht="15" customHeight="1">
      <c r="B292" s="100"/>
      <c r="C292" s="77" t="s">
        <v>136</v>
      </c>
      <c r="D292" s="26">
        <v>34</v>
      </c>
      <c r="E292" s="25">
        <v>4.0351293615000002E-3</v>
      </c>
      <c r="F292" s="81"/>
    </row>
    <row r="293" spans="2:6" ht="15" customHeight="1">
      <c r="B293" s="100"/>
      <c r="C293" s="77" t="s">
        <v>137</v>
      </c>
      <c r="D293" s="26">
        <v>16</v>
      </c>
      <c r="E293" s="25">
        <v>1.898884405412E-3</v>
      </c>
      <c r="F293" s="81"/>
    </row>
    <row r="294" spans="2:6" ht="15" customHeight="1">
      <c r="B294" s="101"/>
      <c r="C294" s="24" t="s">
        <v>12</v>
      </c>
      <c r="D294" s="23">
        <v>1730</v>
      </c>
      <c r="E294" s="22">
        <v>0.205316876335153</v>
      </c>
      <c r="F294" s="82"/>
    </row>
    <row r="295" spans="2:6" ht="15" customHeight="1">
      <c r="B295" s="99" t="s">
        <v>117</v>
      </c>
      <c r="C295" s="77" t="s">
        <v>127</v>
      </c>
      <c r="D295" s="26">
        <v>20</v>
      </c>
      <c r="E295" s="25">
        <v>2.3736055067650002E-3</v>
      </c>
      <c r="F295" s="81"/>
    </row>
    <row r="296" spans="2:6" ht="15" customHeight="1">
      <c r="B296" s="100"/>
      <c r="C296" s="77" t="s">
        <v>131</v>
      </c>
      <c r="D296" s="26">
        <v>3</v>
      </c>
      <c r="E296" s="25">
        <v>3.5604082601500001E-4</v>
      </c>
      <c r="F296" s="81"/>
    </row>
    <row r="297" spans="2:6" ht="15" customHeight="1">
      <c r="B297" s="100"/>
      <c r="C297" s="77" t="s">
        <v>128</v>
      </c>
      <c r="D297" s="26">
        <v>4</v>
      </c>
      <c r="E297" s="25">
        <v>4.7472110135299999E-4</v>
      </c>
      <c r="F297" s="81"/>
    </row>
    <row r="298" spans="2:6" ht="15" customHeight="1">
      <c r="B298" s="100"/>
      <c r="C298" s="77" t="s">
        <v>129</v>
      </c>
      <c r="D298" s="26">
        <v>1</v>
      </c>
      <c r="E298" s="25">
        <v>1.1868027533799999E-4</v>
      </c>
      <c r="F298" s="81"/>
    </row>
    <row r="299" spans="2:6" ht="15" customHeight="1">
      <c r="B299" s="100"/>
      <c r="C299" s="77" t="s">
        <v>133</v>
      </c>
      <c r="D299" s="26">
        <v>4</v>
      </c>
      <c r="E299" s="25">
        <v>4.7472110135299999E-4</v>
      </c>
      <c r="F299" s="81"/>
    </row>
    <row r="300" spans="2:6" ht="15" customHeight="1">
      <c r="B300" s="100"/>
      <c r="C300" s="77" t="s">
        <v>130</v>
      </c>
      <c r="D300" s="26">
        <v>14</v>
      </c>
      <c r="E300" s="25">
        <v>1.661523854735E-3</v>
      </c>
      <c r="F300" s="81"/>
    </row>
    <row r="301" spans="2:6" ht="15" customHeight="1">
      <c r="B301" s="100"/>
      <c r="C301" s="77" t="s">
        <v>136</v>
      </c>
      <c r="D301" s="26">
        <v>1</v>
      </c>
      <c r="E301" s="25">
        <v>1.1868027533799999E-4</v>
      </c>
      <c r="F301" s="81"/>
    </row>
    <row r="302" spans="2:6" ht="15" customHeight="1">
      <c r="B302" s="100"/>
      <c r="C302" s="77" t="s">
        <v>137</v>
      </c>
      <c r="D302" s="26">
        <v>6</v>
      </c>
      <c r="E302" s="25">
        <v>7.1208165202899995E-4</v>
      </c>
      <c r="F302" s="81"/>
    </row>
    <row r="303" spans="2:6" ht="15" customHeight="1">
      <c r="B303" s="101"/>
      <c r="C303" s="24" t="s">
        <v>12</v>
      </c>
      <c r="D303" s="23">
        <v>53</v>
      </c>
      <c r="E303" s="22">
        <v>6.2900545929269998E-3</v>
      </c>
      <c r="F303" s="82"/>
    </row>
    <row r="304" spans="2:6" ht="15" customHeight="1">
      <c r="B304" s="99" t="s">
        <v>119</v>
      </c>
      <c r="C304" s="77" t="s">
        <v>127</v>
      </c>
      <c r="D304" s="26">
        <v>24</v>
      </c>
      <c r="E304" s="25">
        <v>2.8483266081179999E-3</v>
      </c>
      <c r="F304" s="81"/>
    </row>
    <row r="305" spans="2:6" ht="15" customHeight="1">
      <c r="B305" s="100"/>
      <c r="C305" s="77" t="s">
        <v>134</v>
      </c>
      <c r="D305" s="26">
        <v>1</v>
      </c>
      <c r="E305" s="25">
        <v>1.1868027533799999E-4</v>
      </c>
      <c r="F305" s="81"/>
    </row>
    <row r="306" spans="2:6" ht="15" customHeight="1">
      <c r="B306" s="101"/>
      <c r="C306" s="24" t="s">
        <v>12</v>
      </c>
      <c r="D306" s="23">
        <v>25</v>
      </c>
      <c r="E306" s="22">
        <v>2.9670068834560001E-3</v>
      </c>
      <c r="F306" s="82"/>
    </row>
    <row r="307" spans="2:6" ht="15" customHeight="1">
      <c r="B307" s="99" t="s">
        <v>121</v>
      </c>
      <c r="C307" s="77" t="s">
        <v>127</v>
      </c>
      <c r="D307" s="26">
        <v>37</v>
      </c>
      <c r="E307" s="25">
        <v>4.3911701875149999E-3</v>
      </c>
      <c r="F307" s="81"/>
    </row>
    <row r="308" spans="2:6" ht="15" customHeight="1">
      <c r="B308" s="100"/>
      <c r="C308" s="77" t="s">
        <v>128</v>
      </c>
      <c r="D308" s="26">
        <v>6</v>
      </c>
      <c r="E308" s="25">
        <v>7.1208165202899995E-4</v>
      </c>
      <c r="F308" s="81"/>
    </row>
    <row r="309" spans="2:6" ht="15" customHeight="1">
      <c r="B309" s="100"/>
      <c r="C309" s="77" t="s">
        <v>132</v>
      </c>
      <c r="D309" s="26">
        <v>1</v>
      </c>
      <c r="E309" s="25">
        <v>1.1868027533799999E-4</v>
      </c>
      <c r="F309" s="81"/>
    </row>
    <row r="310" spans="2:6" ht="15" customHeight="1">
      <c r="B310" s="100"/>
      <c r="C310" s="77" t="s">
        <v>129</v>
      </c>
      <c r="D310" s="26">
        <v>2</v>
      </c>
      <c r="E310" s="25">
        <v>2.3736055067599999E-4</v>
      </c>
      <c r="F310" s="81"/>
    </row>
    <row r="311" spans="2:6" ht="15" customHeight="1">
      <c r="B311" s="100"/>
      <c r="C311" s="77" t="s">
        <v>133</v>
      </c>
      <c r="D311" s="26">
        <v>11</v>
      </c>
      <c r="E311" s="25">
        <v>1.305483028721E-3</v>
      </c>
      <c r="F311" s="81"/>
    </row>
    <row r="312" spans="2:6" ht="15" customHeight="1">
      <c r="B312" s="100"/>
      <c r="C312" s="77" t="s">
        <v>130</v>
      </c>
      <c r="D312" s="26">
        <v>8</v>
      </c>
      <c r="E312" s="25">
        <v>9.4944220270599998E-4</v>
      </c>
      <c r="F312" s="81"/>
    </row>
    <row r="313" spans="2:6" ht="15" customHeight="1">
      <c r="B313" s="100"/>
      <c r="C313" s="77" t="s">
        <v>136</v>
      </c>
      <c r="D313" s="26">
        <v>8</v>
      </c>
      <c r="E313" s="25">
        <v>9.4944220270599998E-4</v>
      </c>
      <c r="F313" s="81"/>
    </row>
    <row r="314" spans="2:6" ht="15" customHeight="1">
      <c r="B314" s="101"/>
      <c r="C314" s="24" t="s">
        <v>12</v>
      </c>
      <c r="D314" s="23">
        <v>73</v>
      </c>
      <c r="E314" s="22">
        <v>8.6636600996910004E-3</v>
      </c>
      <c r="F314" s="82"/>
    </row>
    <row r="315" spans="2:6" ht="15" customHeight="1">
      <c r="B315" s="99" t="s">
        <v>123</v>
      </c>
      <c r="C315" s="77" t="s">
        <v>127</v>
      </c>
      <c r="D315" s="26">
        <v>26</v>
      </c>
      <c r="E315" s="25">
        <v>3.0856871587939998E-3</v>
      </c>
      <c r="F315" s="81"/>
    </row>
    <row r="316" spans="2:6" ht="15" customHeight="1">
      <c r="B316" s="100"/>
      <c r="C316" s="77" t="s">
        <v>131</v>
      </c>
      <c r="D316" s="26">
        <v>1</v>
      </c>
      <c r="E316" s="25">
        <v>1.1868027533799999E-4</v>
      </c>
      <c r="F316" s="81"/>
    </row>
    <row r="317" spans="2:6" ht="15" customHeight="1">
      <c r="B317" s="100"/>
      <c r="C317" s="77" t="s">
        <v>128</v>
      </c>
      <c r="D317" s="26">
        <v>5</v>
      </c>
      <c r="E317" s="25">
        <v>5.9340137669100003E-4</v>
      </c>
      <c r="F317" s="81"/>
    </row>
    <row r="318" spans="2:6" ht="15" customHeight="1">
      <c r="B318" s="100"/>
      <c r="C318" s="77" t="s">
        <v>138</v>
      </c>
      <c r="D318" s="26">
        <v>1</v>
      </c>
      <c r="E318" s="25">
        <v>1.1868027533799999E-4</v>
      </c>
      <c r="F318" s="81"/>
    </row>
    <row r="319" spans="2:6" ht="15" customHeight="1">
      <c r="B319" s="100"/>
      <c r="C319" s="77" t="s">
        <v>129</v>
      </c>
      <c r="D319" s="26">
        <v>1</v>
      </c>
      <c r="E319" s="25">
        <v>1.1868027533799999E-4</v>
      </c>
      <c r="F319" s="81"/>
    </row>
    <row r="320" spans="2:6" ht="15" customHeight="1">
      <c r="B320" s="100"/>
      <c r="C320" s="77" t="s">
        <v>133</v>
      </c>
      <c r="D320" s="26">
        <v>2</v>
      </c>
      <c r="E320" s="25">
        <v>2.3736055067599999E-4</v>
      </c>
      <c r="F320" s="81"/>
    </row>
    <row r="321" spans="2:6" ht="15" customHeight="1">
      <c r="B321" s="100"/>
      <c r="C321" s="77" t="s">
        <v>130</v>
      </c>
      <c r="D321" s="26">
        <v>2</v>
      </c>
      <c r="E321" s="25">
        <v>2.3736055067599999E-4</v>
      </c>
      <c r="F321" s="81"/>
    </row>
    <row r="322" spans="2:6" ht="15" customHeight="1">
      <c r="B322" s="100"/>
      <c r="C322" s="77" t="s">
        <v>134</v>
      </c>
      <c r="D322" s="26">
        <v>2</v>
      </c>
      <c r="E322" s="25">
        <v>2.3736055067599999E-4</v>
      </c>
      <c r="F322" s="81"/>
    </row>
    <row r="323" spans="2:6" ht="15" customHeight="1">
      <c r="B323" s="100"/>
      <c r="C323" s="77" t="s">
        <v>136</v>
      </c>
      <c r="D323" s="26">
        <v>3</v>
      </c>
      <c r="E323" s="25">
        <v>3.5604082601500001E-4</v>
      </c>
      <c r="F323" s="81"/>
    </row>
    <row r="324" spans="2:6" ht="15" customHeight="1">
      <c r="B324" s="101"/>
      <c r="C324" s="24" t="s">
        <v>12</v>
      </c>
      <c r="D324" s="23">
        <v>43</v>
      </c>
      <c r="E324" s="22">
        <v>5.1032518395439999E-3</v>
      </c>
      <c r="F324" s="82"/>
    </row>
    <row r="325" spans="2:6" ht="15" customHeight="1">
      <c r="B325" s="106" t="s">
        <v>125</v>
      </c>
      <c r="C325" s="27" t="s">
        <v>127</v>
      </c>
      <c r="D325" s="26">
        <v>15</v>
      </c>
      <c r="E325" s="25">
        <v>1.780204130074E-3</v>
      </c>
      <c r="F325" s="81"/>
    </row>
    <row r="326" spans="2:6" ht="15" customHeight="1">
      <c r="B326" s="106"/>
      <c r="C326" s="27" t="s">
        <v>129</v>
      </c>
      <c r="D326" s="26">
        <v>1</v>
      </c>
      <c r="E326" s="25">
        <v>1.1868027533799999E-4</v>
      </c>
      <c r="F326" s="81"/>
    </row>
    <row r="327" spans="2:6" ht="15" customHeight="1">
      <c r="B327" s="106"/>
      <c r="C327" s="27" t="s">
        <v>133</v>
      </c>
      <c r="D327" s="26">
        <v>2</v>
      </c>
      <c r="E327" s="25">
        <v>2.3736055067599999E-4</v>
      </c>
      <c r="F327" s="81"/>
    </row>
    <row r="328" spans="2:6" ht="15" customHeight="1">
      <c r="B328" s="106"/>
      <c r="C328" s="27" t="s">
        <v>130</v>
      </c>
      <c r="D328" s="26">
        <v>4</v>
      </c>
      <c r="E328" s="25">
        <v>4.7472110135299999E-4</v>
      </c>
      <c r="F328" s="81"/>
    </row>
    <row r="329" spans="2:6" ht="15" customHeight="1">
      <c r="B329" s="107"/>
      <c r="C329" s="24" t="s">
        <v>12</v>
      </c>
      <c r="D329" s="23">
        <v>22</v>
      </c>
      <c r="E329" s="22">
        <v>2.610966057441E-3</v>
      </c>
      <c r="F329" s="82"/>
    </row>
    <row r="330" spans="2:6" ht="15" customHeight="1">
      <c r="B330" s="108" t="s">
        <v>12</v>
      </c>
      <c r="C330" s="109"/>
      <c r="D330" s="66">
        <v>8426</v>
      </c>
      <c r="E330" s="67">
        <v>1</v>
      </c>
      <c r="F330" s="83"/>
    </row>
    <row r="332" spans="2:6" ht="15" customHeight="1">
      <c r="B332" s="17" t="s">
        <v>44</v>
      </c>
    </row>
    <row r="333" spans="2:6" ht="15" customHeight="1">
      <c r="B333" s="18" t="s">
        <v>3</v>
      </c>
    </row>
    <row r="334" spans="2:6" ht="15" customHeight="1">
      <c r="B334" s="19" t="s">
        <v>45</v>
      </c>
    </row>
    <row r="335" spans="2:6" ht="15" customHeight="1">
      <c r="B335" s="17" t="s">
        <v>4</v>
      </c>
    </row>
    <row r="336" spans="2:6" ht="15" customHeight="1">
      <c r="B336" s="17" t="s">
        <v>46</v>
      </c>
    </row>
  </sheetData>
  <mergeCells count="47">
    <mergeCell ref="B304:B306"/>
    <mergeCell ref="B307:B314"/>
    <mergeCell ref="B315:B324"/>
    <mergeCell ref="B325:B329"/>
    <mergeCell ref="B330:C330"/>
    <mergeCell ref="B219:B228"/>
    <mergeCell ref="B229:B230"/>
    <mergeCell ref="B231:B237"/>
    <mergeCell ref="B238:B250"/>
    <mergeCell ref="B251:B254"/>
    <mergeCell ref="B187:B193"/>
    <mergeCell ref="B194:B204"/>
    <mergeCell ref="B205:B207"/>
    <mergeCell ref="B208:B215"/>
    <mergeCell ref="B216:B218"/>
    <mergeCell ref="B152:B159"/>
    <mergeCell ref="B160:B167"/>
    <mergeCell ref="B168:B175"/>
    <mergeCell ref="B176:B183"/>
    <mergeCell ref="B184:B186"/>
    <mergeCell ref="B115:B122"/>
    <mergeCell ref="B10:B13"/>
    <mergeCell ref="B14:B15"/>
    <mergeCell ref="B16:B24"/>
    <mergeCell ref="B25:B36"/>
    <mergeCell ref="B37:B49"/>
    <mergeCell ref="B50:B59"/>
    <mergeCell ref="B60:B61"/>
    <mergeCell ref="B62:B63"/>
    <mergeCell ref="B64:B66"/>
    <mergeCell ref="B67:B78"/>
    <mergeCell ref="B295:B303"/>
    <mergeCell ref="B7:E8"/>
    <mergeCell ref="B255:B259"/>
    <mergeCell ref="B260:B266"/>
    <mergeCell ref="B267:B271"/>
    <mergeCell ref="B272:B279"/>
    <mergeCell ref="B280:B294"/>
    <mergeCell ref="B123:B132"/>
    <mergeCell ref="B133:B141"/>
    <mergeCell ref="B142:B145"/>
    <mergeCell ref="B146:B149"/>
    <mergeCell ref="B150:B151"/>
    <mergeCell ref="B79:B85"/>
    <mergeCell ref="B86:B91"/>
    <mergeCell ref="B92:B103"/>
    <mergeCell ref="B104:B11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6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6">
    <tabColor rgb="FFFFFF00"/>
  </sheetPr>
  <dimension ref="A1:E413"/>
  <sheetViews>
    <sheetView showGridLines="0" view="pageBreakPreview" topLeftCell="A390" zoomScale="85" zoomScaleNormal="100" zoomScaleSheetLayoutView="85" workbookViewId="0">
      <selection activeCell="F9" sqref="F9"/>
    </sheetView>
  </sheetViews>
  <sheetFormatPr baseColWidth="10" defaultColWidth="35" defaultRowHeight="15" customHeight="1"/>
  <cols>
    <col min="1" max="1" width="1" style="20" customWidth="1"/>
    <col min="2" max="2" width="22.81640625" style="21" customWidth="1"/>
    <col min="3" max="3" width="37.453125" style="21" customWidth="1"/>
    <col min="4" max="4" width="14.26953125" style="21" customWidth="1"/>
    <col min="5" max="5" width="16.81640625" style="21" customWidth="1"/>
    <col min="6" max="16384" width="35" style="20"/>
  </cols>
  <sheetData>
    <row r="1" spans="1:5" s="31" customFormat="1" ht="12" customHeight="1">
      <c r="B1" s="34"/>
      <c r="C1" s="33"/>
      <c r="D1" s="33"/>
      <c r="E1" s="33"/>
    </row>
    <row r="2" spans="1:5" s="31" customFormat="1" ht="15" customHeight="1">
      <c r="C2" s="36"/>
    </row>
    <row r="3" spans="1:5" s="31" customFormat="1" ht="15" customHeight="1">
      <c r="C3" s="36"/>
    </row>
    <row r="4" spans="1:5" s="31" customFormat="1" ht="30" customHeight="1">
      <c r="C4" s="36"/>
      <c r="D4" s="35"/>
    </row>
    <row r="5" spans="1:5" s="31" customFormat="1" ht="15" customHeight="1">
      <c r="C5" s="36"/>
      <c r="D5" s="35"/>
    </row>
    <row r="6" spans="1:5" s="31" customFormat="1" ht="24" customHeight="1">
      <c r="B6" s="34"/>
      <c r="C6" s="33"/>
      <c r="D6" s="33"/>
      <c r="E6" s="33"/>
    </row>
    <row r="7" spans="1:5" s="31" customFormat="1" ht="26.25" customHeight="1">
      <c r="A7" s="32"/>
      <c r="B7" s="102"/>
      <c r="C7" s="102"/>
      <c r="D7" s="102"/>
      <c r="E7" s="102"/>
    </row>
    <row r="8" spans="1:5" s="31" customFormat="1" ht="33" customHeight="1">
      <c r="A8" s="32"/>
      <c r="B8" s="102"/>
      <c r="C8" s="102"/>
      <c r="D8" s="102"/>
      <c r="E8" s="102"/>
    </row>
    <row r="9" spans="1:5" s="1" customFormat="1" ht="40.5" customHeight="1">
      <c r="B9" s="28" t="s">
        <v>5</v>
      </c>
      <c r="C9" s="30" t="s">
        <v>7</v>
      </c>
      <c r="D9" s="29" t="s">
        <v>1</v>
      </c>
      <c r="E9" s="28" t="s">
        <v>2</v>
      </c>
    </row>
    <row r="10" spans="1:5" ht="14.5">
      <c r="B10" s="99" t="s">
        <v>213</v>
      </c>
      <c r="C10" s="78" t="s">
        <v>127</v>
      </c>
      <c r="D10" s="72">
        <v>57</v>
      </c>
      <c r="E10" s="73">
        <v>6.7647756942799996E-3</v>
      </c>
    </row>
    <row r="11" spans="1:5" ht="14.5">
      <c r="B11" s="100"/>
      <c r="C11" s="78" t="s">
        <v>131</v>
      </c>
      <c r="D11" s="72">
        <v>2</v>
      </c>
      <c r="E11" s="73">
        <v>2.3736055067599999E-4</v>
      </c>
    </row>
    <row r="12" spans="1:5" ht="14.5">
      <c r="B12" s="100"/>
      <c r="C12" s="78" t="s">
        <v>128</v>
      </c>
      <c r="D12" s="72">
        <v>3</v>
      </c>
      <c r="E12" s="73">
        <v>3.5604082601500001E-4</v>
      </c>
    </row>
    <row r="13" spans="1:5" ht="14.5">
      <c r="B13" s="100"/>
      <c r="C13" s="78" t="s">
        <v>138</v>
      </c>
      <c r="D13" s="72">
        <v>9</v>
      </c>
      <c r="E13" s="73">
        <v>1.0681224780439999E-3</v>
      </c>
    </row>
    <row r="14" spans="1:5" ht="14.5">
      <c r="B14" s="100"/>
      <c r="C14" s="78" t="s">
        <v>129</v>
      </c>
      <c r="D14" s="72">
        <v>20</v>
      </c>
      <c r="E14" s="73">
        <v>2.3736055067650002E-3</v>
      </c>
    </row>
    <row r="15" spans="1:5" ht="42">
      <c r="B15" s="100"/>
      <c r="C15" s="78" t="s">
        <v>135</v>
      </c>
      <c r="D15" s="72">
        <v>2</v>
      </c>
      <c r="E15" s="73">
        <v>2.3736055067599999E-4</v>
      </c>
    </row>
    <row r="16" spans="1:5" ht="14.5">
      <c r="B16" s="100"/>
      <c r="C16" s="78" t="s">
        <v>133</v>
      </c>
      <c r="D16" s="72">
        <v>6</v>
      </c>
      <c r="E16" s="73">
        <v>7.1208165202899995E-4</v>
      </c>
    </row>
    <row r="17" spans="2:5" ht="14.5">
      <c r="B17" s="100"/>
      <c r="C17" s="78" t="s">
        <v>130</v>
      </c>
      <c r="D17" s="72">
        <v>9</v>
      </c>
      <c r="E17" s="73">
        <v>1.0681224780439999E-3</v>
      </c>
    </row>
    <row r="18" spans="2:5" ht="14.5">
      <c r="B18" s="100"/>
      <c r="C18" s="78" t="s">
        <v>137</v>
      </c>
      <c r="D18" s="72">
        <v>3</v>
      </c>
      <c r="E18" s="73">
        <v>3.5604082601500001E-4</v>
      </c>
    </row>
    <row r="19" spans="2:5" ht="14.5">
      <c r="B19" s="101"/>
      <c r="C19" s="24" t="s">
        <v>12</v>
      </c>
      <c r="D19" s="23">
        <v>111</v>
      </c>
      <c r="E19" s="22">
        <v>1.3173510562545E-2</v>
      </c>
    </row>
    <row r="20" spans="2:5" ht="14.5">
      <c r="B20" s="99" t="s">
        <v>214</v>
      </c>
      <c r="C20" s="78" t="s">
        <v>127</v>
      </c>
      <c r="D20" s="72">
        <v>125</v>
      </c>
      <c r="E20" s="73">
        <v>1.4835034417279999E-2</v>
      </c>
    </row>
    <row r="21" spans="2:5" ht="14.5">
      <c r="B21" s="100"/>
      <c r="C21" s="78" t="s">
        <v>131</v>
      </c>
      <c r="D21" s="72">
        <v>18</v>
      </c>
      <c r="E21" s="73">
        <v>2.1362449560879998E-3</v>
      </c>
    </row>
    <row r="22" spans="2:5" ht="14.5">
      <c r="B22" s="100"/>
      <c r="C22" s="78" t="s">
        <v>128</v>
      </c>
      <c r="D22" s="72">
        <v>24</v>
      </c>
      <c r="E22" s="73">
        <v>2.8483266081179999E-3</v>
      </c>
    </row>
    <row r="23" spans="2:5" ht="14.5">
      <c r="B23" s="100"/>
      <c r="C23" s="78" t="s">
        <v>132</v>
      </c>
      <c r="D23" s="72">
        <v>1</v>
      </c>
      <c r="E23" s="73">
        <v>1.1868027533799999E-4</v>
      </c>
    </row>
    <row r="24" spans="2:5" ht="14.5">
      <c r="B24" s="100"/>
      <c r="C24" s="78" t="s">
        <v>129</v>
      </c>
      <c r="D24" s="72">
        <v>22</v>
      </c>
      <c r="E24" s="73">
        <v>2.610966057441E-3</v>
      </c>
    </row>
    <row r="25" spans="2:5" ht="14.5">
      <c r="B25" s="100"/>
      <c r="C25" s="78" t="s">
        <v>133</v>
      </c>
      <c r="D25" s="72">
        <v>11</v>
      </c>
      <c r="E25" s="73">
        <v>1.305483028721E-3</v>
      </c>
    </row>
    <row r="26" spans="2:5" ht="14.5">
      <c r="B26" s="100"/>
      <c r="C26" s="78" t="s">
        <v>130</v>
      </c>
      <c r="D26" s="72">
        <v>8</v>
      </c>
      <c r="E26" s="73">
        <v>9.4944220270599998E-4</v>
      </c>
    </row>
    <row r="27" spans="2:5" ht="14.5">
      <c r="B27" s="101"/>
      <c r="C27" s="24" t="s">
        <v>12</v>
      </c>
      <c r="D27" s="23">
        <v>209</v>
      </c>
      <c r="E27" s="22">
        <v>2.4804177545691999E-2</v>
      </c>
    </row>
    <row r="28" spans="2:5" ht="14.5">
      <c r="B28" s="99" t="s">
        <v>215</v>
      </c>
      <c r="C28" s="78" t="s">
        <v>127</v>
      </c>
      <c r="D28" s="72">
        <v>69</v>
      </c>
      <c r="E28" s="73">
        <v>8.1889389983380006E-3</v>
      </c>
    </row>
    <row r="29" spans="2:5" ht="14.5">
      <c r="B29" s="100"/>
      <c r="C29" s="78" t="s">
        <v>131</v>
      </c>
      <c r="D29" s="72">
        <v>2</v>
      </c>
      <c r="E29" s="73">
        <v>2.3736055067599999E-4</v>
      </c>
    </row>
    <row r="30" spans="2:5" ht="14.5">
      <c r="B30" s="100"/>
      <c r="C30" s="78" t="s">
        <v>128</v>
      </c>
      <c r="D30" s="72">
        <v>50</v>
      </c>
      <c r="E30" s="73">
        <v>5.9340137669120002E-3</v>
      </c>
    </row>
    <row r="31" spans="2:5" ht="14.5">
      <c r="B31" s="100"/>
      <c r="C31" s="78" t="s">
        <v>132</v>
      </c>
      <c r="D31" s="72">
        <v>1</v>
      </c>
      <c r="E31" s="73">
        <v>1.1868027533799999E-4</v>
      </c>
    </row>
    <row r="32" spans="2:5" ht="14.5">
      <c r="B32" s="100"/>
      <c r="C32" s="78" t="s">
        <v>129</v>
      </c>
      <c r="D32" s="72">
        <v>7</v>
      </c>
      <c r="E32" s="73">
        <v>8.3076192736799995E-4</v>
      </c>
    </row>
    <row r="33" spans="2:5" ht="14.5">
      <c r="B33" s="100"/>
      <c r="C33" s="78" t="s">
        <v>133</v>
      </c>
      <c r="D33" s="72">
        <v>8</v>
      </c>
      <c r="E33" s="73">
        <v>9.4944220270599998E-4</v>
      </c>
    </row>
    <row r="34" spans="2:5" ht="14.5">
      <c r="B34" s="100"/>
      <c r="C34" s="78" t="s">
        <v>130</v>
      </c>
      <c r="D34" s="72">
        <v>7</v>
      </c>
      <c r="E34" s="73">
        <v>8.3076192736799995E-4</v>
      </c>
    </row>
    <row r="35" spans="2:5" ht="14.5">
      <c r="B35" s="100"/>
      <c r="C35" s="78" t="s">
        <v>134</v>
      </c>
      <c r="D35" s="72">
        <v>1</v>
      </c>
      <c r="E35" s="73">
        <v>1.1868027533799999E-4</v>
      </c>
    </row>
    <row r="36" spans="2:5" ht="14.5">
      <c r="B36" s="100"/>
      <c r="C36" s="78" t="s">
        <v>136</v>
      </c>
      <c r="D36" s="72">
        <v>1</v>
      </c>
      <c r="E36" s="73">
        <v>1.1868027533799999E-4</v>
      </c>
    </row>
    <row r="37" spans="2:5" ht="14.5">
      <c r="B37" s="101"/>
      <c r="C37" s="24" t="s">
        <v>12</v>
      </c>
      <c r="D37" s="23">
        <v>146</v>
      </c>
      <c r="E37" s="22">
        <v>1.7327320199383E-2</v>
      </c>
    </row>
    <row r="38" spans="2:5" ht="14.5">
      <c r="B38" s="99" t="s">
        <v>216</v>
      </c>
      <c r="C38" s="78" t="s">
        <v>127</v>
      </c>
      <c r="D38" s="72">
        <v>23</v>
      </c>
      <c r="E38" s="73">
        <v>2.7296463327790002E-3</v>
      </c>
    </row>
    <row r="39" spans="2:5" ht="14.5">
      <c r="B39" s="100"/>
      <c r="C39" s="78" t="s">
        <v>128</v>
      </c>
      <c r="D39" s="72">
        <v>19</v>
      </c>
      <c r="E39" s="73">
        <v>2.254925231427E-3</v>
      </c>
    </row>
    <row r="40" spans="2:5" ht="14.5">
      <c r="B40" s="100"/>
      <c r="C40" s="78" t="s">
        <v>132</v>
      </c>
      <c r="D40" s="72">
        <v>1</v>
      </c>
      <c r="E40" s="73">
        <v>1.1868027533799999E-4</v>
      </c>
    </row>
    <row r="41" spans="2:5" ht="42">
      <c r="B41" s="100"/>
      <c r="C41" s="78" t="s">
        <v>135</v>
      </c>
      <c r="D41" s="72">
        <v>1</v>
      </c>
      <c r="E41" s="73">
        <v>1.1868027533799999E-4</v>
      </c>
    </row>
    <row r="42" spans="2:5" ht="14.5">
      <c r="B42" s="100"/>
      <c r="C42" s="78" t="s">
        <v>130</v>
      </c>
      <c r="D42" s="72">
        <v>6</v>
      </c>
      <c r="E42" s="73">
        <v>7.1208165202899995E-4</v>
      </c>
    </row>
    <row r="43" spans="2:5" ht="14.5">
      <c r="B43" s="101"/>
      <c r="C43" s="24" t="s">
        <v>12</v>
      </c>
      <c r="D43" s="23">
        <v>50</v>
      </c>
      <c r="E43" s="22">
        <v>5.9340137669120002E-3</v>
      </c>
    </row>
    <row r="44" spans="2:5" ht="14.5">
      <c r="B44" s="99" t="s">
        <v>217</v>
      </c>
      <c r="C44" s="78" t="s">
        <v>127</v>
      </c>
      <c r="D44" s="72">
        <v>7</v>
      </c>
      <c r="E44" s="73">
        <v>8.3076192736799995E-4</v>
      </c>
    </row>
    <row r="45" spans="2:5" ht="14.5">
      <c r="B45" s="100"/>
      <c r="C45" s="78" t="s">
        <v>128</v>
      </c>
      <c r="D45" s="72">
        <v>1</v>
      </c>
      <c r="E45" s="73">
        <v>1.1868027533799999E-4</v>
      </c>
    </row>
    <row r="46" spans="2:5" ht="14.5">
      <c r="B46" s="101"/>
      <c r="C46" s="24" t="s">
        <v>12</v>
      </c>
      <c r="D46" s="23">
        <v>8</v>
      </c>
      <c r="E46" s="22">
        <v>9.4944220270599998E-4</v>
      </c>
    </row>
    <row r="47" spans="2:5" ht="14.5">
      <c r="B47" s="99" t="s">
        <v>218</v>
      </c>
      <c r="C47" s="78" t="s">
        <v>127</v>
      </c>
      <c r="D47" s="72">
        <v>7</v>
      </c>
      <c r="E47" s="73">
        <v>8.3076192736799995E-4</v>
      </c>
    </row>
    <row r="48" spans="2:5" ht="14.5">
      <c r="B48" s="100"/>
      <c r="C48" s="78" t="s">
        <v>128</v>
      </c>
      <c r="D48" s="72">
        <v>1</v>
      </c>
      <c r="E48" s="73">
        <v>1.1868027533799999E-4</v>
      </c>
    </row>
    <row r="49" spans="2:5" ht="14.5">
      <c r="B49" s="100"/>
      <c r="C49" s="78" t="s">
        <v>134</v>
      </c>
      <c r="D49" s="72">
        <v>1</v>
      </c>
      <c r="E49" s="73">
        <v>1.1868027533799999E-4</v>
      </c>
    </row>
    <row r="50" spans="2:5" ht="14.5">
      <c r="B50" s="101"/>
      <c r="C50" s="24" t="s">
        <v>12</v>
      </c>
      <c r="D50" s="23">
        <v>9</v>
      </c>
      <c r="E50" s="22">
        <v>1.0681224780439999E-3</v>
      </c>
    </row>
    <row r="51" spans="2:5" ht="14.5">
      <c r="B51" s="99" t="s">
        <v>219</v>
      </c>
      <c r="C51" s="78" t="s">
        <v>127</v>
      </c>
      <c r="D51" s="72">
        <v>3</v>
      </c>
      <c r="E51" s="73">
        <v>3.5604082601500001E-4</v>
      </c>
    </row>
    <row r="52" spans="2:5" ht="14.5">
      <c r="B52" s="101"/>
      <c r="C52" s="24" t="s">
        <v>12</v>
      </c>
      <c r="D52" s="23">
        <v>3</v>
      </c>
      <c r="E52" s="22">
        <v>3.5604082601500001E-4</v>
      </c>
    </row>
    <row r="53" spans="2:5" ht="14.5">
      <c r="B53" s="99" t="s">
        <v>220</v>
      </c>
      <c r="C53" s="78" t="s">
        <v>127</v>
      </c>
      <c r="D53" s="72">
        <v>836</v>
      </c>
      <c r="E53" s="73">
        <v>9.9216710182767995E-2</v>
      </c>
    </row>
    <row r="54" spans="2:5" ht="14.5">
      <c r="B54" s="100"/>
      <c r="C54" s="78" t="s">
        <v>131</v>
      </c>
      <c r="D54" s="72">
        <v>88</v>
      </c>
      <c r="E54" s="73">
        <v>1.0443864229764999E-2</v>
      </c>
    </row>
    <row r="55" spans="2:5" ht="14.5">
      <c r="B55" s="100"/>
      <c r="C55" s="78" t="s">
        <v>128</v>
      </c>
      <c r="D55" s="72">
        <v>210</v>
      </c>
      <c r="E55" s="73">
        <v>2.4922857821030001E-2</v>
      </c>
    </row>
    <row r="56" spans="2:5" ht="14.5">
      <c r="B56" s="100"/>
      <c r="C56" s="78" t="s">
        <v>138</v>
      </c>
      <c r="D56" s="72">
        <v>4</v>
      </c>
      <c r="E56" s="73">
        <v>4.7472110135299999E-4</v>
      </c>
    </row>
    <row r="57" spans="2:5" ht="14.5">
      <c r="B57" s="100"/>
      <c r="C57" s="78" t="s">
        <v>132</v>
      </c>
      <c r="D57" s="72">
        <v>24</v>
      </c>
      <c r="E57" s="73">
        <v>2.8483266081179999E-3</v>
      </c>
    </row>
    <row r="58" spans="2:5" ht="14.5">
      <c r="B58" s="100"/>
      <c r="C58" s="78" t="s">
        <v>129</v>
      </c>
      <c r="D58" s="72">
        <v>81</v>
      </c>
      <c r="E58" s="73">
        <v>9.6131023023969999E-3</v>
      </c>
    </row>
    <row r="59" spans="2:5" ht="14.5">
      <c r="B59" s="100"/>
      <c r="C59" s="78" t="s">
        <v>133</v>
      </c>
      <c r="D59" s="72">
        <v>51</v>
      </c>
      <c r="E59" s="73">
        <v>6.0526940422500003E-3</v>
      </c>
    </row>
    <row r="60" spans="2:5" ht="14.5">
      <c r="B60" s="100"/>
      <c r="C60" s="78" t="s">
        <v>130</v>
      </c>
      <c r="D60" s="72">
        <v>37</v>
      </c>
      <c r="E60" s="73">
        <v>4.3911701875149999E-3</v>
      </c>
    </row>
    <row r="61" spans="2:5" ht="14.5">
      <c r="B61" s="100"/>
      <c r="C61" s="78" t="s">
        <v>134</v>
      </c>
      <c r="D61" s="72">
        <v>40</v>
      </c>
      <c r="E61" s="73">
        <v>4.7472110135300003E-3</v>
      </c>
    </row>
    <row r="62" spans="2:5" ht="14.5">
      <c r="B62" s="100"/>
      <c r="C62" s="78" t="s">
        <v>136</v>
      </c>
      <c r="D62" s="72">
        <v>2</v>
      </c>
      <c r="E62" s="73">
        <v>2.3736055067599999E-4</v>
      </c>
    </row>
    <row r="63" spans="2:5" ht="14.5">
      <c r="B63" s="100"/>
      <c r="C63" s="78" t="s">
        <v>137</v>
      </c>
      <c r="D63" s="72">
        <v>5</v>
      </c>
      <c r="E63" s="73">
        <v>5.9340137669100003E-4</v>
      </c>
    </row>
    <row r="64" spans="2:5" ht="14.5">
      <c r="B64" s="101"/>
      <c r="C64" s="24" t="s">
        <v>12</v>
      </c>
      <c r="D64" s="23">
        <v>1378</v>
      </c>
      <c r="E64" s="22">
        <v>0.16354141941609299</v>
      </c>
    </row>
    <row r="65" spans="2:5" ht="14.5">
      <c r="B65" s="99" t="s">
        <v>221</v>
      </c>
      <c r="C65" s="78" t="s">
        <v>127</v>
      </c>
      <c r="D65" s="72">
        <v>529</v>
      </c>
      <c r="E65" s="73">
        <v>6.2781865653928001E-2</v>
      </c>
    </row>
    <row r="66" spans="2:5" ht="14.5">
      <c r="B66" s="100"/>
      <c r="C66" s="78" t="s">
        <v>131</v>
      </c>
      <c r="D66" s="72">
        <v>56</v>
      </c>
      <c r="E66" s="73">
        <v>6.6460954189410002E-3</v>
      </c>
    </row>
    <row r="67" spans="2:5" ht="14.5">
      <c r="B67" s="100"/>
      <c r="C67" s="78" t="s">
        <v>128</v>
      </c>
      <c r="D67" s="72">
        <v>12</v>
      </c>
      <c r="E67" s="73">
        <v>1.424163304059E-3</v>
      </c>
    </row>
    <row r="68" spans="2:5" ht="14.5">
      <c r="B68" s="100"/>
      <c r="C68" s="78" t="s">
        <v>138</v>
      </c>
      <c r="D68" s="72">
        <v>9</v>
      </c>
      <c r="E68" s="73">
        <v>1.0681224780439999E-3</v>
      </c>
    </row>
    <row r="69" spans="2:5" ht="14.5">
      <c r="B69" s="100"/>
      <c r="C69" s="78" t="s">
        <v>132</v>
      </c>
      <c r="D69" s="72">
        <v>16</v>
      </c>
      <c r="E69" s="73">
        <v>1.898884405412E-3</v>
      </c>
    </row>
    <row r="70" spans="2:5" ht="14.5">
      <c r="B70" s="100"/>
      <c r="C70" s="78" t="s">
        <v>129</v>
      </c>
      <c r="D70" s="72">
        <v>49</v>
      </c>
      <c r="E70" s="73">
        <v>5.815333491574E-3</v>
      </c>
    </row>
    <row r="71" spans="2:5" ht="14.5">
      <c r="B71" s="100"/>
      <c r="C71" s="78" t="s">
        <v>133</v>
      </c>
      <c r="D71" s="72">
        <v>76</v>
      </c>
      <c r="E71" s="73">
        <v>9.019700925706E-3</v>
      </c>
    </row>
    <row r="72" spans="2:5" ht="14.5">
      <c r="B72" s="100"/>
      <c r="C72" s="78" t="s">
        <v>130</v>
      </c>
      <c r="D72" s="72">
        <v>73</v>
      </c>
      <c r="E72" s="73">
        <v>8.6636600996910004E-3</v>
      </c>
    </row>
    <row r="73" spans="2:5" ht="14.5">
      <c r="B73" s="100"/>
      <c r="C73" s="78" t="s">
        <v>134</v>
      </c>
      <c r="D73" s="72">
        <v>3</v>
      </c>
      <c r="E73" s="73">
        <v>3.5604082601500001E-4</v>
      </c>
    </row>
    <row r="74" spans="2:5" ht="14.5">
      <c r="B74" s="100"/>
      <c r="C74" s="78" t="s">
        <v>140</v>
      </c>
      <c r="D74" s="72">
        <v>1</v>
      </c>
      <c r="E74" s="73">
        <v>1.1868027533799999E-4</v>
      </c>
    </row>
    <row r="75" spans="2:5" ht="14.5">
      <c r="B75" s="100"/>
      <c r="C75" s="78" t="s">
        <v>136</v>
      </c>
      <c r="D75" s="72">
        <v>2</v>
      </c>
      <c r="E75" s="73">
        <v>2.3736055067599999E-4</v>
      </c>
    </row>
    <row r="76" spans="2:5" ht="14.5">
      <c r="B76" s="100"/>
      <c r="C76" s="78" t="s">
        <v>137</v>
      </c>
      <c r="D76" s="72">
        <v>3</v>
      </c>
      <c r="E76" s="73">
        <v>3.5604082601500001E-4</v>
      </c>
    </row>
    <row r="77" spans="2:5" ht="14.5">
      <c r="B77" s="101"/>
      <c r="C77" s="24" t="s">
        <v>12</v>
      </c>
      <c r="D77" s="23">
        <v>829</v>
      </c>
      <c r="E77" s="22">
        <v>9.8385948255399994E-2</v>
      </c>
    </row>
    <row r="78" spans="2:5" ht="14.5">
      <c r="B78" s="99" t="s">
        <v>222</v>
      </c>
      <c r="C78" s="78" t="s">
        <v>127</v>
      </c>
      <c r="D78" s="72">
        <v>2</v>
      </c>
      <c r="E78" s="73">
        <v>2.3736055067599999E-4</v>
      </c>
    </row>
    <row r="79" spans="2:5" ht="14.5">
      <c r="B79" s="101"/>
      <c r="C79" s="24" t="s">
        <v>12</v>
      </c>
      <c r="D79" s="23">
        <v>2</v>
      </c>
      <c r="E79" s="22">
        <v>2.3736055067599999E-4</v>
      </c>
    </row>
    <row r="80" spans="2:5" ht="14.5">
      <c r="B80" s="99" t="s">
        <v>223</v>
      </c>
      <c r="C80" s="78" t="s">
        <v>127</v>
      </c>
      <c r="D80" s="72">
        <v>285</v>
      </c>
      <c r="E80" s="73">
        <v>3.3823878471397999E-2</v>
      </c>
    </row>
    <row r="81" spans="2:5" ht="14.5">
      <c r="B81" s="100"/>
      <c r="C81" s="78" t="s">
        <v>131</v>
      </c>
      <c r="D81" s="72">
        <v>20</v>
      </c>
      <c r="E81" s="73">
        <v>2.3736055067650002E-3</v>
      </c>
    </row>
    <row r="82" spans="2:5" ht="14.5">
      <c r="B82" s="100"/>
      <c r="C82" s="78" t="s">
        <v>128</v>
      </c>
      <c r="D82" s="72">
        <v>36</v>
      </c>
      <c r="E82" s="73">
        <v>4.2724899121769997E-3</v>
      </c>
    </row>
    <row r="83" spans="2:5" ht="14.5">
      <c r="B83" s="100"/>
      <c r="C83" s="78" t="s">
        <v>138</v>
      </c>
      <c r="D83" s="72">
        <v>24</v>
      </c>
      <c r="E83" s="73">
        <v>2.8483266081179999E-3</v>
      </c>
    </row>
    <row r="84" spans="2:5" ht="14.5">
      <c r="B84" s="100"/>
      <c r="C84" s="78" t="s">
        <v>129</v>
      </c>
      <c r="D84" s="72">
        <v>69</v>
      </c>
      <c r="E84" s="73">
        <v>8.1889389983380006E-3</v>
      </c>
    </row>
    <row r="85" spans="2:5" ht="14.5">
      <c r="B85" s="100"/>
      <c r="C85" s="78" t="s">
        <v>133</v>
      </c>
      <c r="D85" s="72">
        <v>44</v>
      </c>
      <c r="E85" s="73">
        <v>5.2219321148830001E-3</v>
      </c>
    </row>
    <row r="86" spans="2:5" ht="14.5">
      <c r="B86" s="100"/>
      <c r="C86" s="78" t="s">
        <v>130</v>
      </c>
      <c r="D86" s="72">
        <v>129</v>
      </c>
      <c r="E86" s="73">
        <v>1.5309755518633001E-2</v>
      </c>
    </row>
    <row r="87" spans="2:5" ht="14.5">
      <c r="B87" s="100"/>
      <c r="C87" s="78" t="s">
        <v>134</v>
      </c>
      <c r="D87" s="72">
        <v>10</v>
      </c>
      <c r="E87" s="73">
        <v>1.1868027533820001E-3</v>
      </c>
    </row>
    <row r="88" spans="2:5" ht="14.5">
      <c r="B88" s="100"/>
      <c r="C88" s="78" t="s">
        <v>137</v>
      </c>
      <c r="D88" s="72">
        <v>17</v>
      </c>
      <c r="E88" s="73">
        <v>2.0175646807500001E-3</v>
      </c>
    </row>
    <row r="89" spans="2:5" ht="14.5">
      <c r="B89" s="101"/>
      <c r="C89" s="24" t="s">
        <v>12</v>
      </c>
      <c r="D89" s="23">
        <v>634</v>
      </c>
      <c r="E89" s="22">
        <v>7.5243294564442995E-2</v>
      </c>
    </row>
    <row r="90" spans="2:5" ht="14.5">
      <c r="B90" s="99" t="s">
        <v>224</v>
      </c>
      <c r="C90" s="78" t="s">
        <v>127</v>
      </c>
      <c r="D90" s="72">
        <v>64</v>
      </c>
      <c r="E90" s="73">
        <v>7.5955376216469998E-3</v>
      </c>
    </row>
    <row r="91" spans="2:5" ht="14.5">
      <c r="B91" s="100"/>
      <c r="C91" s="78" t="s">
        <v>131</v>
      </c>
      <c r="D91" s="72">
        <v>4</v>
      </c>
      <c r="E91" s="73">
        <v>4.7472110135299999E-4</v>
      </c>
    </row>
    <row r="92" spans="2:5" ht="14.5">
      <c r="B92" s="100"/>
      <c r="C92" s="78" t="s">
        <v>128</v>
      </c>
      <c r="D92" s="72">
        <v>10</v>
      </c>
      <c r="E92" s="73">
        <v>1.1868027533820001E-3</v>
      </c>
    </row>
    <row r="93" spans="2:5" ht="14.5">
      <c r="B93" s="100"/>
      <c r="C93" s="78" t="s">
        <v>138</v>
      </c>
      <c r="D93" s="72">
        <v>2</v>
      </c>
      <c r="E93" s="73">
        <v>2.3736055067599999E-4</v>
      </c>
    </row>
    <row r="94" spans="2:5" ht="14.5">
      <c r="B94" s="100"/>
      <c r="C94" s="78" t="s">
        <v>132</v>
      </c>
      <c r="D94" s="72">
        <v>1</v>
      </c>
      <c r="E94" s="73">
        <v>1.1868027533799999E-4</v>
      </c>
    </row>
    <row r="95" spans="2:5" ht="14.5">
      <c r="B95" s="100"/>
      <c r="C95" s="78" t="s">
        <v>129</v>
      </c>
      <c r="D95" s="72">
        <v>11</v>
      </c>
      <c r="E95" s="73">
        <v>1.305483028721E-3</v>
      </c>
    </row>
    <row r="96" spans="2:5" ht="14.5">
      <c r="B96" s="100"/>
      <c r="C96" s="78" t="s">
        <v>133</v>
      </c>
      <c r="D96" s="72">
        <v>7</v>
      </c>
      <c r="E96" s="73">
        <v>8.3076192736799995E-4</v>
      </c>
    </row>
    <row r="97" spans="2:5" ht="14.5">
      <c r="B97" s="100"/>
      <c r="C97" s="78" t="s">
        <v>130</v>
      </c>
      <c r="D97" s="72">
        <v>4</v>
      </c>
      <c r="E97" s="73">
        <v>4.7472110135299999E-4</v>
      </c>
    </row>
    <row r="98" spans="2:5" ht="14.5">
      <c r="B98" s="100"/>
      <c r="C98" s="78" t="s">
        <v>134</v>
      </c>
      <c r="D98" s="72">
        <v>2</v>
      </c>
      <c r="E98" s="73">
        <v>2.3736055067599999E-4</v>
      </c>
    </row>
    <row r="99" spans="2:5" ht="14.5">
      <c r="B99" s="101"/>
      <c r="C99" s="24" t="s">
        <v>12</v>
      </c>
      <c r="D99" s="23">
        <v>105</v>
      </c>
      <c r="E99" s="22">
        <v>1.2461428910515E-2</v>
      </c>
    </row>
    <row r="100" spans="2:5" ht="14.5">
      <c r="B100" s="99" t="s">
        <v>225</v>
      </c>
      <c r="C100" s="78" t="s">
        <v>127</v>
      </c>
      <c r="D100" s="72">
        <v>20</v>
      </c>
      <c r="E100" s="73">
        <v>2.3736055067650002E-3</v>
      </c>
    </row>
    <row r="101" spans="2:5" ht="14.5">
      <c r="B101" s="100"/>
      <c r="C101" s="78" t="s">
        <v>128</v>
      </c>
      <c r="D101" s="72">
        <v>1</v>
      </c>
      <c r="E101" s="73">
        <v>1.1868027533799999E-4</v>
      </c>
    </row>
    <row r="102" spans="2:5" ht="14.5">
      <c r="B102" s="100"/>
      <c r="C102" s="78" t="s">
        <v>138</v>
      </c>
      <c r="D102" s="72">
        <v>1</v>
      </c>
      <c r="E102" s="73">
        <v>1.1868027533799999E-4</v>
      </c>
    </row>
    <row r="103" spans="2:5" ht="14.5">
      <c r="B103" s="100"/>
      <c r="C103" s="78" t="s">
        <v>129</v>
      </c>
      <c r="D103" s="72">
        <v>3</v>
      </c>
      <c r="E103" s="73">
        <v>3.5604082601500001E-4</v>
      </c>
    </row>
    <row r="104" spans="2:5" ht="14.5">
      <c r="B104" s="100"/>
      <c r="C104" s="78" t="s">
        <v>133</v>
      </c>
      <c r="D104" s="72">
        <v>1</v>
      </c>
      <c r="E104" s="73">
        <v>1.1868027533799999E-4</v>
      </c>
    </row>
    <row r="105" spans="2:5" ht="14.5">
      <c r="B105" s="100"/>
      <c r="C105" s="78" t="s">
        <v>130</v>
      </c>
      <c r="D105" s="72">
        <v>4</v>
      </c>
      <c r="E105" s="73">
        <v>4.7472110135299999E-4</v>
      </c>
    </row>
    <row r="106" spans="2:5" ht="14.5">
      <c r="B106" s="100"/>
      <c r="C106" s="78" t="s">
        <v>137</v>
      </c>
      <c r="D106" s="72">
        <v>2</v>
      </c>
      <c r="E106" s="73">
        <v>2.3736055067599999E-4</v>
      </c>
    </row>
    <row r="107" spans="2:5" ht="14.5">
      <c r="B107" s="101"/>
      <c r="C107" s="24" t="s">
        <v>12</v>
      </c>
      <c r="D107" s="23">
        <v>32</v>
      </c>
      <c r="E107" s="22">
        <v>3.7977688108239999E-3</v>
      </c>
    </row>
    <row r="108" spans="2:5" ht="14.5">
      <c r="B108" s="99" t="s">
        <v>226</v>
      </c>
      <c r="C108" s="78" t="s">
        <v>127</v>
      </c>
      <c r="D108" s="72">
        <v>13</v>
      </c>
      <c r="E108" s="73">
        <v>1.5428435793969999E-3</v>
      </c>
    </row>
    <row r="109" spans="2:5" ht="14.5">
      <c r="B109" s="100"/>
      <c r="C109" s="78" t="s">
        <v>129</v>
      </c>
      <c r="D109" s="72">
        <v>2</v>
      </c>
      <c r="E109" s="73">
        <v>2.3736055067599999E-4</v>
      </c>
    </row>
    <row r="110" spans="2:5" ht="14.5">
      <c r="B110" s="100"/>
      <c r="C110" s="78" t="s">
        <v>133</v>
      </c>
      <c r="D110" s="72">
        <v>1</v>
      </c>
      <c r="E110" s="73">
        <v>1.1868027533799999E-4</v>
      </c>
    </row>
    <row r="111" spans="2:5" ht="14.5">
      <c r="B111" s="100"/>
      <c r="C111" s="78" t="s">
        <v>130</v>
      </c>
      <c r="D111" s="72">
        <v>2</v>
      </c>
      <c r="E111" s="73">
        <v>2.3736055067599999E-4</v>
      </c>
    </row>
    <row r="112" spans="2:5" ht="14.5">
      <c r="B112" s="101"/>
      <c r="C112" s="24" t="s">
        <v>12</v>
      </c>
      <c r="D112" s="23">
        <v>18</v>
      </c>
      <c r="E112" s="22">
        <v>2.1362449560879998E-3</v>
      </c>
    </row>
    <row r="113" spans="2:5" ht="14.5">
      <c r="B113" s="99" t="s">
        <v>227</v>
      </c>
      <c r="C113" s="78" t="s">
        <v>127</v>
      </c>
      <c r="D113" s="72">
        <v>93</v>
      </c>
      <c r="E113" s="73">
        <v>1.1037265606455999E-2</v>
      </c>
    </row>
    <row r="114" spans="2:5" ht="14.5">
      <c r="B114" s="100"/>
      <c r="C114" s="78" t="s">
        <v>131</v>
      </c>
      <c r="D114" s="72">
        <v>2</v>
      </c>
      <c r="E114" s="73">
        <v>2.3736055067599999E-4</v>
      </c>
    </row>
    <row r="115" spans="2:5" ht="14.5">
      <c r="B115" s="100"/>
      <c r="C115" s="78" t="s">
        <v>128</v>
      </c>
      <c r="D115" s="72">
        <v>10</v>
      </c>
      <c r="E115" s="73">
        <v>1.1868027533820001E-3</v>
      </c>
    </row>
    <row r="116" spans="2:5" ht="14.5">
      <c r="B116" s="100"/>
      <c r="C116" s="78" t="s">
        <v>138</v>
      </c>
      <c r="D116" s="72">
        <v>4</v>
      </c>
      <c r="E116" s="73">
        <v>4.7472110135299999E-4</v>
      </c>
    </row>
    <row r="117" spans="2:5" ht="14.5">
      <c r="B117" s="100"/>
      <c r="C117" s="78" t="s">
        <v>129</v>
      </c>
      <c r="D117" s="72">
        <v>12</v>
      </c>
      <c r="E117" s="73">
        <v>1.424163304059E-3</v>
      </c>
    </row>
    <row r="118" spans="2:5" ht="42">
      <c r="B118" s="100"/>
      <c r="C118" s="78" t="s">
        <v>135</v>
      </c>
      <c r="D118" s="72">
        <v>1</v>
      </c>
      <c r="E118" s="73">
        <v>1.1868027533799999E-4</v>
      </c>
    </row>
    <row r="119" spans="2:5" ht="14.5">
      <c r="B119" s="100"/>
      <c r="C119" s="78" t="s">
        <v>133</v>
      </c>
      <c r="D119" s="72">
        <v>3</v>
      </c>
      <c r="E119" s="73">
        <v>3.5604082601500001E-4</v>
      </c>
    </row>
    <row r="120" spans="2:5" ht="14.5">
      <c r="B120" s="100"/>
      <c r="C120" s="78" t="s">
        <v>130</v>
      </c>
      <c r="D120" s="72">
        <v>8</v>
      </c>
      <c r="E120" s="73">
        <v>9.4944220270599998E-4</v>
      </c>
    </row>
    <row r="121" spans="2:5" ht="14.5">
      <c r="B121" s="100"/>
      <c r="C121" s="78" t="s">
        <v>134</v>
      </c>
      <c r="D121" s="72">
        <v>1</v>
      </c>
      <c r="E121" s="73">
        <v>1.1868027533799999E-4</v>
      </c>
    </row>
    <row r="122" spans="2:5" ht="14.5">
      <c r="B122" s="100"/>
      <c r="C122" s="78" t="s">
        <v>136</v>
      </c>
      <c r="D122" s="72">
        <v>3</v>
      </c>
      <c r="E122" s="73">
        <v>3.5604082601500001E-4</v>
      </c>
    </row>
    <row r="123" spans="2:5" ht="14.5">
      <c r="B123" s="100"/>
      <c r="C123" s="78" t="s">
        <v>137</v>
      </c>
      <c r="D123" s="72">
        <v>1</v>
      </c>
      <c r="E123" s="73">
        <v>1.1868027533799999E-4</v>
      </c>
    </row>
    <row r="124" spans="2:5" ht="14.5">
      <c r="B124" s="101"/>
      <c r="C124" s="24" t="s">
        <v>12</v>
      </c>
      <c r="D124" s="23">
        <v>138</v>
      </c>
      <c r="E124" s="22">
        <v>1.6377877996677E-2</v>
      </c>
    </row>
    <row r="125" spans="2:5" ht="14.5">
      <c r="B125" s="99" t="s">
        <v>228</v>
      </c>
      <c r="C125" s="78" t="s">
        <v>127</v>
      </c>
      <c r="D125" s="72">
        <v>272</v>
      </c>
      <c r="E125" s="73">
        <v>3.2281034892001001E-2</v>
      </c>
    </row>
    <row r="126" spans="2:5" ht="14.5">
      <c r="B126" s="100"/>
      <c r="C126" s="78" t="s">
        <v>131</v>
      </c>
      <c r="D126" s="72">
        <v>42</v>
      </c>
      <c r="E126" s="73">
        <v>4.9845715642059998E-3</v>
      </c>
    </row>
    <row r="127" spans="2:5" ht="14.5">
      <c r="B127" s="100"/>
      <c r="C127" s="78" t="s">
        <v>128</v>
      </c>
      <c r="D127" s="72">
        <v>13</v>
      </c>
      <c r="E127" s="73">
        <v>1.5428435793969999E-3</v>
      </c>
    </row>
    <row r="128" spans="2:5" ht="14.5">
      <c r="B128" s="100"/>
      <c r="C128" s="78" t="s">
        <v>138</v>
      </c>
      <c r="D128" s="72">
        <v>5</v>
      </c>
      <c r="E128" s="73">
        <v>5.9340137669100003E-4</v>
      </c>
    </row>
    <row r="129" spans="2:5" ht="14.5">
      <c r="B129" s="100"/>
      <c r="C129" s="78" t="s">
        <v>139</v>
      </c>
      <c r="D129" s="72">
        <v>1</v>
      </c>
      <c r="E129" s="73">
        <v>1.1868027533799999E-4</v>
      </c>
    </row>
    <row r="130" spans="2:5" ht="14.5">
      <c r="B130" s="100"/>
      <c r="C130" s="78" t="s">
        <v>132</v>
      </c>
      <c r="D130" s="72">
        <v>5</v>
      </c>
      <c r="E130" s="73">
        <v>5.9340137669100003E-4</v>
      </c>
    </row>
    <row r="131" spans="2:5" ht="14.5">
      <c r="B131" s="100"/>
      <c r="C131" s="78" t="s">
        <v>129</v>
      </c>
      <c r="D131" s="72">
        <v>22</v>
      </c>
      <c r="E131" s="73">
        <v>2.610966057441E-3</v>
      </c>
    </row>
    <row r="132" spans="2:5" ht="42">
      <c r="B132" s="100"/>
      <c r="C132" s="78" t="s">
        <v>135</v>
      </c>
      <c r="D132" s="72">
        <v>4</v>
      </c>
      <c r="E132" s="73">
        <v>4.7472110135299999E-4</v>
      </c>
    </row>
    <row r="133" spans="2:5" ht="14.5">
      <c r="B133" s="100"/>
      <c r="C133" s="78" t="s">
        <v>133</v>
      </c>
      <c r="D133" s="72">
        <v>67</v>
      </c>
      <c r="E133" s="73">
        <v>7.9515784476620003E-3</v>
      </c>
    </row>
    <row r="134" spans="2:5" ht="14.5">
      <c r="B134" s="100"/>
      <c r="C134" s="78" t="s">
        <v>130</v>
      </c>
      <c r="D134" s="72">
        <v>40</v>
      </c>
      <c r="E134" s="73">
        <v>4.7472110135300003E-3</v>
      </c>
    </row>
    <row r="135" spans="2:5" ht="14.5">
      <c r="B135" s="100"/>
      <c r="C135" s="78" t="s">
        <v>134</v>
      </c>
      <c r="D135" s="72">
        <v>2</v>
      </c>
      <c r="E135" s="73">
        <v>2.3736055067599999E-4</v>
      </c>
    </row>
    <row r="136" spans="2:5" ht="14.5">
      <c r="B136" s="100"/>
      <c r="C136" s="78" t="s">
        <v>136</v>
      </c>
      <c r="D136" s="72">
        <v>32</v>
      </c>
      <c r="E136" s="73">
        <v>3.7977688108239999E-3</v>
      </c>
    </row>
    <row r="137" spans="2:5" ht="14.5">
      <c r="B137" s="100"/>
      <c r="C137" s="78" t="s">
        <v>137</v>
      </c>
      <c r="D137" s="72">
        <v>8</v>
      </c>
      <c r="E137" s="73">
        <v>9.4944220270599998E-4</v>
      </c>
    </row>
    <row r="138" spans="2:5" ht="14.5">
      <c r="B138" s="101"/>
      <c r="C138" s="24" t="s">
        <v>12</v>
      </c>
      <c r="D138" s="23">
        <v>513</v>
      </c>
      <c r="E138" s="22">
        <v>6.0882981248516002E-2</v>
      </c>
    </row>
    <row r="139" spans="2:5" ht="14.5">
      <c r="B139" s="99" t="s">
        <v>229</v>
      </c>
      <c r="C139" s="78" t="s">
        <v>127</v>
      </c>
      <c r="D139" s="72">
        <v>70</v>
      </c>
      <c r="E139" s="73">
        <v>8.3076192736769999E-3</v>
      </c>
    </row>
    <row r="140" spans="2:5" ht="14.5">
      <c r="B140" s="100"/>
      <c r="C140" s="78" t="s">
        <v>131</v>
      </c>
      <c r="D140" s="72">
        <v>1</v>
      </c>
      <c r="E140" s="73">
        <v>1.1868027533799999E-4</v>
      </c>
    </row>
    <row r="141" spans="2:5" ht="14.5">
      <c r="B141" s="100"/>
      <c r="C141" s="78" t="s">
        <v>128</v>
      </c>
      <c r="D141" s="72">
        <v>4</v>
      </c>
      <c r="E141" s="73">
        <v>4.7472110135299999E-4</v>
      </c>
    </row>
    <row r="142" spans="2:5" ht="14.5">
      <c r="B142" s="100"/>
      <c r="C142" s="78" t="s">
        <v>132</v>
      </c>
      <c r="D142" s="72">
        <v>3</v>
      </c>
      <c r="E142" s="73">
        <v>3.5604082601500001E-4</v>
      </c>
    </row>
    <row r="143" spans="2:5" ht="14.5">
      <c r="B143" s="100"/>
      <c r="C143" s="78" t="s">
        <v>129</v>
      </c>
      <c r="D143" s="72">
        <v>5</v>
      </c>
      <c r="E143" s="73">
        <v>5.9340137669100003E-4</v>
      </c>
    </row>
    <row r="144" spans="2:5" ht="14.5">
      <c r="B144" s="100"/>
      <c r="C144" s="78" t="s">
        <v>133</v>
      </c>
      <c r="D144" s="72">
        <v>14</v>
      </c>
      <c r="E144" s="73">
        <v>1.661523854735E-3</v>
      </c>
    </row>
    <row r="145" spans="2:5" ht="14.5">
      <c r="B145" s="100"/>
      <c r="C145" s="78" t="s">
        <v>130</v>
      </c>
      <c r="D145" s="72">
        <v>3</v>
      </c>
      <c r="E145" s="73">
        <v>3.5604082601500001E-4</v>
      </c>
    </row>
    <row r="146" spans="2:5" ht="14.5">
      <c r="B146" s="100"/>
      <c r="C146" s="78" t="s">
        <v>134</v>
      </c>
      <c r="D146" s="72">
        <v>9</v>
      </c>
      <c r="E146" s="73">
        <v>1.0681224780439999E-3</v>
      </c>
    </row>
    <row r="147" spans="2:5" ht="14.5">
      <c r="B147" s="100"/>
      <c r="C147" s="78" t="s">
        <v>137</v>
      </c>
      <c r="D147" s="72">
        <v>2</v>
      </c>
      <c r="E147" s="73">
        <v>2.3736055067599999E-4</v>
      </c>
    </row>
    <row r="148" spans="2:5" ht="14.5">
      <c r="B148" s="101"/>
      <c r="C148" s="24" t="s">
        <v>12</v>
      </c>
      <c r="D148" s="23">
        <v>111</v>
      </c>
      <c r="E148" s="22">
        <v>1.3173510562545E-2</v>
      </c>
    </row>
    <row r="149" spans="2:5" ht="14.5">
      <c r="B149" s="99" t="s">
        <v>230</v>
      </c>
      <c r="C149" s="78" t="s">
        <v>127</v>
      </c>
      <c r="D149" s="72">
        <v>99</v>
      </c>
      <c r="E149" s="73">
        <v>1.1749347258486E-2</v>
      </c>
    </row>
    <row r="150" spans="2:5" ht="14.5">
      <c r="B150" s="100"/>
      <c r="C150" s="78" t="s">
        <v>131</v>
      </c>
      <c r="D150" s="72">
        <v>1</v>
      </c>
      <c r="E150" s="73">
        <v>1.1868027533799999E-4</v>
      </c>
    </row>
    <row r="151" spans="2:5" ht="14.5">
      <c r="B151" s="100"/>
      <c r="C151" s="78" t="s">
        <v>128</v>
      </c>
      <c r="D151" s="72">
        <v>33</v>
      </c>
      <c r="E151" s="73">
        <v>3.9164490861620001E-3</v>
      </c>
    </row>
    <row r="152" spans="2:5" ht="14.5">
      <c r="B152" s="100"/>
      <c r="C152" s="78" t="s">
        <v>138</v>
      </c>
      <c r="D152" s="72">
        <v>2</v>
      </c>
      <c r="E152" s="73">
        <v>2.3736055067599999E-4</v>
      </c>
    </row>
    <row r="153" spans="2:5" ht="14.5">
      <c r="B153" s="100"/>
      <c r="C153" s="78" t="s">
        <v>129</v>
      </c>
      <c r="D153" s="72">
        <v>14</v>
      </c>
      <c r="E153" s="73">
        <v>1.661523854735E-3</v>
      </c>
    </row>
    <row r="154" spans="2:5" ht="14.5">
      <c r="B154" s="100"/>
      <c r="C154" s="78" t="s">
        <v>133</v>
      </c>
      <c r="D154" s="72">
        <v>11</v>
      </c>
      <c r="E154" s="73">
        <v>1.305483028721E-3</v>
      </c>
    </row>
    <row r="155" spans="2:5" ht="14.5">
      <c r="B155" s="100"/>
      <c r="C155" s="78" t="s">
        <v>130</v>
      </c>
      <c r="D155" s="72">
        <v>20</v>
      </c>
      <c r="E155" s="73">
        <v>2.3736055067650002E-3</v>
      </c>
    </row>
    <row r="156" spans="2:5" ht="14.5">
      <c r="B156" s="100"/>
      <c r="C156" s="78" t="s">
        <v>134</v>
      </c>
      <c r="D156" s="72">
        <v>4</v>
      </c>
      <c r="E156" s="73">
        <v>4.7472110135299999E-4</v>
      </c>
    </row>
    <row r="157" spans="2:5" ht="14.5">
      <c r="B157" s="100"/>
      <c r="C157" s="78" t="s">
        <v>137</v>
      </c>
      <c r="D157" s="72">
        <v>2</v>
      </c>
      <c r="E157" s="73">
        <v>2.3736055067599999E-4</v>
      </c>
    </row>
    <row r="158" spans="2:5" ht="14.5">
      <c r="B158" s="101"/>
      <c r="C158" s="24" t="s">
        <v>12</v>
      </c>
      <c r="D158" s="23">
        <v>186</v>
      </c>
      <c r="E158" s="22">
        <v>2.2074531212911998E-2</v>
      </c>
    </row>
    <row r="159" spans="2:5" ht="14.5">
      <c r="B159" s="99" t="s">
        <v>231</v>
      </c>
      <c r="C159" s="78" t="s">
        <v>127</v>
      </c>
      <c r="D159" s="72">
        <v>4</v>
      </c>
      <c r="E159" s="73">
        <v>4.7472110135299999E-4</v>
      </c>
    </row>
    <row r="160" spans="2:5" ht="14.5">
      <c r="B160" s="100"/>
      <c r="C160" s="78" t="s">
        <v>128</v>
      </c>
      <c r="D160" s="72">
        <v>1</v>
      </c>
      <c r="E160" s="73">
        <v>1.1868027533799999E-4</v>
      </c>
    </row>
    <row r="161" spans="2:5" ht="14.5">
      <c r="B161" s="100"/>
      <c r="C161" s="78" t="s">
        <v>138</v>
      </c>
      <c r="D161" s="72">
        <v>2</v>
      </c>
      <c r="E161" s="73">
        <v>2.3736055067599999E-4</v>
      </c>
    </row>
    <row r="162" spans="2:5" ht="14.5">
      <c r="B162" s="101"/>
      <c r="C162" s="24" t="s">
        <v>12</v>
      </c>
      <c r="D162" s="23">
        <v>7</v>
      </c>
      <c r="E162" s="22">
        <v>8.3076192736799995E-4</v>
      </c>
    </row>
    <row r="163" spans="2:5" ht="14.5">
      <c r="B163" s="99" t="s">
        <v>232</v>
      </c>
      <c r="C163" s="78" t="s">
        <v>127</v>
      </c>
      <c r="D163" s="72">
        <v>66</v>
      </c>
      <c r="E163" s="73">
        <v>7.8328981723240002E-3</v>
      </c>
    </row>
    <row r="164" spans="2:5" ht="14.5">
      <c r="B164" s="100"/>
      <c r="C164" s="78" t="s">
        <v>131</v>
      </c>
      <c r="D164" s="72">
        <v>4</v>
      </c>
      <c r="E164" s="73">
        <v>4.7472110135299999E-4</v>
      </c>
    </row>
    <row r="165" spans="2:5" ht="14.5">
      <c r="B165" s="100"/>
      <c r="C165" s="78" t="s">
        <v>128</v>
      </c>
      <c r="D165" s="72">
        <v>6</v>
      </c>
      <c r="E165" s="73">
        <v>7.1208165202899995E-4</v>
      </c>
    </row>
    <row r="166" spans="2:5" ht="14.5">
      <c r="B166" s="100"/>
      <c r="C166" s="78" t="s">
        <v>138</v>
      </c>
      <c r="D166" s="72">
        <v>9</v>
      </c>
      <c r="E166" s="73">
        <v>1.0681224780439999E-3</v>
      </c>
    </row>
    <row r="167" spans="2:5" ht="14.5">
      <c r="B167" s="100"/>
      <c r="C167" s="78" t="s">
        <v>129</v>
      </c>
      <c r="D167" s="72">
        <v>4</v>
      </c>
      <c r="E167" s="73">
        <v>4.7472110135299999E-4</v>
      </c>
    </row>
    <row r="168" spans="2:5" ht="14.5">
      <c r="B168" s="100"/>
      <c r="C168" s="78" t="s">
        <v>133</v>
      </c>
      <c r="D168" s="72">
        <v>5</v>
      </c>
      <c r="E168" s="73">
        <v>5.9340137669100003E-4</v>
      </c>
    </row>
    <row r="169" spans="2:5" ht="14.5">
      <c r="B169" s="100"/>
      <c r="C169" s="78" t="s">
        <v>130</v>
      </c>
      <c r="D169" s="72">
        <v>15</v>
      </c>
      <c r="E169" s="73">
        <v>1.780204130074E-3</v>
      </c>
    </row>
    <row r="170" spans="2:5" ht="14.5">
      <c r="B170" s="100"/>
      <c r="C170" s="78" t="s">
        <v>136</v>
      </c>
      <c r="D170" s="72">
        <v>4</v>
      </c>
      <c r="E170" s="73">
        <v>4.7472110135299999E-4</v>
      </c>
    </row>
    <row r="171" spans="2:5" ht="14.5">
      <c r="B171" s="100"/>
      <c r="C171" s="78" t="s">
        <v>137</v>
      </c>
      <c r="D171" s="72">
        <v>1</v>
      </c>
      <c r="E171" s="73">
        <v>1.1868027533799999E-4</v>
      </c>
    </row>
    <row r="172" spans="2:5" ht="14.5">
      <c r="B172" s="101"/>
      <c r="C172" s="24" t="s">
        <v>12</v>
      </c>
      <c r="D172" s="23">
        <v>114</v>
      </c>
      <c r="E172" s="22">
        <v>1.3529551388559E-2</v>
      </c>
    </row>
    <row r="173" spans="2:5" ht="14.5">
      <c r="B173" s="99" t="s">
        <v>233</v>
      </c>
      <c r="C173" s="78" t="s">
        <v>127</v>
      </c>
      <c r="D173" s="72">
        <v>209</v>
      </c>
      <c r="E173" s="73">
        <v>2.4804177545691999E-2</v>
      </c>
    </row>
    <row r="174" spans="2:5" ht="14.5">
      <c r="B174" s="100"/>
      <c r="C174" s="78" t="s">
        <v>131</v>
      </c>
      <c r="D174" s="72">
        <v>15</v>
      </c>
      <c r="E174" s="73">
        <v>1.780204130074E-3</v>
      </c>
    </row>
    <row r="175" spans="2:5" ht="14.5">
      <c r="B175" s="100"/>
      <c r="C175" s="78" t="s">
        <v>128</v>
      </c>
      <c r="D175" s="72">
        <v>54</v>
      </c>
      <c r="E175" s="73">
        <v>6.408734868265E-3</v>
      </c>
    </row>
    <row r="176" spans="2:5" ht="14.5">
      <c r="B176" s="100"/>
      <c r="C176" s="78" t="s">
        <v>132</v>
      </c>
      <c r="D176" s="72">
        <v>2</v>
      </c>
      <c r="E176" s="73">
        <v>2.3736055067599999E-4</v>
      </c>
    </row>
    <row r="177" spans="2:5" ht="14.5">
      <c r="B177" s="100"/>
      <c r="C177" s="78" t="s">
        <v>129</v>
      </c>
      <c r="D177" s="72">
        <v>16</v>
      </c>
      <c r="E177" s="73">
        <v>1.898884405412E-3</v>
      </c>
    </row>
    <row r="178" spans="2:5" ht="42">
      <c r="B178" s="100"/>
      <c r="C178" s="78" t="s">
        <v>135</v>
      </c>
      <c r="D178" s="72">
        <v>4</v>
      </c>
      <c r="E178" s="73">
        <v>4.7472110135299999E-4</v>
      </c>
    </row>
    <row r="179" spans="2:5" ht="14.5">
      <c r="B179" s="100"/>
      <c r="C179" s="78" t="s">
        <v>133</v>
      </c>
      <c r="D179" s="72">
        <v>44</v>
      </c>
      <c r="E179" s="73">
        <v>5.2219321148830001E-3</v>
      </c>
    </row>
    <row r="180" spans="2:5" ht="14.5">
      <c r="B180" s="100"/>
      <c r="C180" s="78" t="s">
        <v>130</v>
      </c>
      <c r="D180" s="72">
        <v>100</v>
      </c>
      <c r="E180" s="73">
        <v>1.1868027533824E-2</v>
      </c>
    </row>
    <row r="181" spans="2:5" ht="14.5">
      <c r="B181" s="100"/>
      <c r="C181" s="78" t="s">
        <v>134</v>
      </c>
      <c r="D181" s="72">
        <v>16</v>
      </c>
      <c r="E181" s="73">
        <v>1.898884405412E-3</v>
      </c>
    </row>
    <row r="182" spans="2:5" ht="14.5">
      <c r="B182" s="100"/>
      <c r="C182" s="78" t="s">
        <v>136</v>
      </c>
      <c r="D182" s="72">
        <v>3</v>
      </c>
      <c r="E182" s="73">
        <v>3.5604082601500001E-4</v>
      </c>
    </row>
    <row r="183" spans="2:5" ht="14.5">
      <c r="B183" s="100"/>
      <c r="C183" s="78" t="s">
        <v>137</v>
      </c>
      <c r="D183" s="72">
        <v>1</v>
      </c>
      <c r="E183" s="73">
        <v>1.1868027533799999E-4</v>
      </c>
    </row>
    <row r="184" spans="2:5" ht="14.5">
      <c r="B184" s="101"/>
      <c r="C184" s="24" t="s">
        <v>12</v>
      </c>
      <c r="D184" s="23">
        <v>464</v>
      </c>
      <c r="E184" s="22">
        <v>5.5067647756942999E-2</v>
      </c>
    </row>
    <row r="185" spans="2:5" ht="14.5">
      <c r="B185" s="99" t="s">
        <v>234</v>
      </c>
      <c r="C185" s="78" t="s">
        <v>127</v>
      </c>
      <c r="D185" s="72">
        <v>375</v>
      </c>
      <c r="E185" s="73">
        <v>4.4505103251839997E-2</v>
      </c>
    </row>
    <row r="186" spans="2:5" ht="14.5">
      <c r="B186" s="100"/>
      <c r="C186" s="78" t="s">
        <v>131</v>
      </c>
      <c r="D186" s="72">
        <v>15</v>
      </c>
      <c r="E186" s="73">
        <v>1.780204130074E-3</v>
      </c>
    </row>
    <row r="187" spans="2:5" ht="14.5">
      <c r="B187" s="100"/>
      <c r="C187" s="78" t="s">
        <v>128</v>
      </c>
      <c r="D187" s="72">
        <v>58</v>
      </c>
      <c r="E187" s="73">
        <v>6.8834559696179997E-3</v>
      </c>
    </row>
    <row r="188" spans="2:5" ht="14.5">
      <c r="B188" s="100"/>
      <c r="C188" s="78" t="s">
        <v>138</v>
      </c>
      <c r="D188" s="72">
        <v>4</v>
      </c>
      <c r="E188" s="73">
        <v>4.7472110135299999E-4</v>
      </c>
    </row>
    <row r="189" spans="2:5" ht="14.5">
      <c r="B189" s="100"/>
      <c r="C189" s="78" t="s">
        <v>129</v>
      </c>
      <c r="D189" s="72">
        <v>36</v>
      </c>
      <c r="E189" s="73">
        <v>4.2724899121769997E-3</v>
      </c>
    </row>
    <row r="190" spans="2:5" ht="14.5">
      <c r="B190" s="100"/>
      <c r="C190" s="78" t="s">
        <v>133</v>
      </c>
      <c r="D190" s="72">
        <v>31</v>
      </c>
      <c r="E190" s="73">
        <v>3.6790885354850002E-3</v>
      </c>
    </row>
    <row r="191" spans="2:5" ht="14.5">
      <c r="B191" s="100"/>
      <c r="C191" s="78" t="s">
        <v>130</v>
      </c>
      <c r="D191" s="72">
        <v>58</v>
      </c>
      <c r="E191" s="73">
        <v>6.8834559696179997E-3</v>
      </c>
    </row>
    <row r="192" spans="2:5" ht="14.5">
      <c r="B192" s="100"/>
      <c r="C192" s="78" t="s">
        <v>134</v>
      </c>
      <c r="D192" s="72">
        <v>3</v>
      </c>
      <c r="E192" s="73">
        <v>3.5604082601500001E-4</v>
      </c>
    </row>
    <row r="193" spans="2:5" ht="14.5">
      <c r="B193" s="100"/>
      <c r="C193" s="78" t="s">
        <v>136</v>
      </c>
      <c r="D193" s="72">
        <v>23</v>
      </c>
      <c r="E193" s="73">
        <v>2.7296463327790002E-3</v>
      </c>
    </row>
    <row r="194" spans="2:5" ht="14.5">
      <c r="B194" s="100"/>
      <c r="C194" s="78" t="s">
        <v>137</v>
      </c>
      <c r="D194" s="72">
        <v>30</v>
      </c>
      <c r="E194" s="73">
        <v>3.560408260147E-3</v>
      </c>
    </row>
    <row r="195" spans="2:5" ht="14.5">
      <c r="B195" s="101"/>
      <c r="C195" s="24" t="s">
        <v>12</v>
      </c>
      <c r="D195" s="23">
        <v>633</v>
      </c>
      <c r="E195" s="22">
        <v>7.5124614289104996E-2</v>
      </c>
    </row>
    <row r="196" spans="2:5" ht="14.5">
      <c r="B196" s="99" t="s">
        <v>235</v>
      </c>
      <c r="C196" s="78" t="s">
        <v>127</v>
      </c>
      <c r="D196" s="72">
        <v>42</v>
      </c>
      <c r="E196" s="73">
        <v>4.9845715642059998E-3</v>
      </c>
    </row>
    <row r="197" spans="2:5" ht="14.5">
      <c r="B197" s="100"/>
      <c r="C197" s="78" t="s">
        <v>131</v>
      </c>
      <c r="D197" s="72">
        <v>4</v>
      </c>
      <c r="E197" s="73">
        <v>4.7472110135299999E-4</v>
      </c>
    </row>
    <row r="198" spans="2:5" ht="14.5">
      <c r="B198" s="100"/>
      <c r="C198" s="78" t="s">
        <v>128</v>
      </c>
      <c r="D198" s="72">
        <v>2</v>
      </c>
      <c r="E198" s="73">
        <v>2.3736055067599999E-4</v>
      </c>
    </row>
    <row r="199" spans="2:5" ht="14.5">
      <c r="B199" s="100"/>
      <c r="C199" s="78" t="s">
        <v>129</v>
      </c>
      <c r="D199" s="72">
        <v>3</v>
      </c>
      <c r="E199" s="73">
        <v>3.5604082601500001E-4</v>
      </c>
    </row>
    <row r="200" spans="2:5" ht="14.5">
      <c r="B200" s="100"/>
      <c r="C200" s="78" t="s">
        <v>133</v>
      </c>
      <c r="D200" s="72">
        <v>4</v>
      </c>
      <c r="E200" s="73">
        <v>4.7472110135299999E-4</v>
      </c>
    </row>
    <row r="201" spans="2:5" ht="14.5">
      <c r="B201" s="100"/>
      <c r="C201" s="78" t="s">
        <v>130</v>
      </c>
      <c r="D201" s="72">
        <v>1</v>
      </c>
      <c r="E201" s="73">
        <v>1.1868027533799999E-4</v>
      </c>
    </row>
    <row r="202" spans="2:5" ht="14.5">
      <c r="B202" s="100"/>
      <c r="C202" s="78" t="s">
        <v>137</v>
      </c>
      <c r="D202" s="72">
        <v>1</v>
      </c>
      <c r="E202" s="73">
        <v>1.1868027533799999E-4</v>
      </c>
    </row>
    <row r="203" spans="2:5" ht="14.5">
      <c r="B203" s="101"/>
      <c r="C203" s="24" t="s">
        <v>12</v>
      </c>
      <c r="D203" s="23">
        <v>57</v>
      </c>
      <c r="E203" s="22">
        <v>6.7647756942799996E-3</v>
      </c>
    </row>
    <row r="204" spans="2:5" ht="14.5">
      <c r="B204" s="99" t="s">
        <v>236</v>
      </c>
      <c r="C204" s="78" t="s">
        <v>127</v>
      </c>
      <c r="D204" s="72">
        <v>29</v>
      </c>
      <c r="E204" s="73">
        <v>3.4417279848089999E-3</v>
      </c>
    </row>
    <row r="205" spans="2:5" ht="14.5">
      <c r="B205" s="100"/>
      <c r="C205" s="78" t="s">
        <v>131</v>
      </c>
      <c r="D205" s="72">
        <v>4</v>
      </c>
      <c r="E205" s="73">
        <v>4.7472110135299999E-4</v>
      </c>
    </row>
    <row r="206" spans="2:5" ht="14.5">
      <c r="B206" s="100"/>
      <c r="C206" s="78" t="s">
        <v>128</v>
      </c>
      <c r="D206" s="72">
        <v>5</v>
      </c>
      <c r="E206" s="73">
        <v>5.9340137669100003E-4</v>
      </c>
    </row>
    <row r="207" spans="2:5" ht="14.5">
      <c r="B207" s="100"/>
      <c r="C207" s="78" t="s">
        <v>138</v>
      </c>
      <c r="D207" s="72">
        <v>1</v>
      </c>
      <c r="E207" s="73">
        <v>1.1868027533799999E-4</v>
      </c>
    </row>
    <row r="208" spans="2:5" ht="14.5">
      <c r="B208" s="100"/>
      <c r="C208" s="78" t="s">
        <v>132</v>
      </c>
      <c r="D208" s="72">
        <v>2</v>
      </c>
      <c r="E208" s="73">
        <v>2.3736055067599999E-4</v>
      </c>
    </row>
    <row r="209" spans="2:5" ht="14.5">
      <c r="B209" s="100"/>
      <c r="C209" s="78" t="s">
        <v>129</v>
      </c>
      <c r="D209" s="72">
        <v>6</v>
      </c>
      <c r="E209" s="73">
        <v>7.1208165202899995E-4</v>
      </c>
    </row>
    <row r="210" spans="2:5" ht="14.5">
      <c r="B210" s="100"/>
      <c r="C210" s="78" t="s">
        <v>133</v>
      </c>
      <c r="D210" s="72">
        <v>5</v>
      </c>
      <c r="E210" s="73">
        <v>5.9340137669100003E-4</v>
      </c>
    </row>
    <row r="211" spans="2:5" ht="14.5">
      <c r="B211" s="100"/>
      <c r="C211" s="78" t="s">
        <v>130</v>
      </c>
      <c r="D211" s="72">
        <v>5</v>
      </c>
      <c r="E211" s="73">
        <v>5.9340137669100003E-4</v>
      </c>
    </row>
    <row r="212" spans="2:5" ht="14.5">
      <c r="B212" s="100"/>
      <c r="C212" s="78" t="s">
        <v>134</v>
      </c>
      <c r="D212" s="72">
        <v>1</v>
      </c>
      <c r="E212" s="73">
        <v>1.1868027533799999E-4</v>
      </c>
    </row>
    <row r="213" spans="2:5" ht="14.5">
      <c r="B213" s="100"/>
      <c r="C213" s="78" t="s">
        <v>136</v>
      </c>
      <c r="D213" s="72">
        <v>1</v>
      </c>
      <c r="E213" s="73">
        <v>1.1868027533799999E-4</v>
      </c>
    </row>
    <row r="214" spans="2:5" ht="14.5">
      <c r="B214" s="101"/>
      <c r="C214" s="24" t="s">
        <v>12</v>
      </c>
      <c r="D214" s="23">
        <v>59</v>
      </c>
      <c r="E214" s="22">
        <v>7.0021362449559999E-3</v>
      </c>
    </row>
    <row r="215" spans="2:5" ht="14.5">
      <c r="B215" s="99" t="s">
        <v>237</v>
      </c>
      <c r="C215" s="78" t="s">
        <v>127</v>
      </c>
      <c r="D215" s="72">
        <v>23</v>
      </c>
      <c r="E215" s="73">
        <v>2.7296463327790002E-3</v>
      </c>
    </row>
    <row r="216" spans="2:5" ht="14.5">
      <c r="B216" s="100"/>
      <c r="C216" s="78" t="s">
        <v>131</v>
      </c>
      <c r="D216" s="72">
        <v>1</v>
      </c>
      <c r="E216" s="73">
        <v>1.1868027533799999E-4</v>
      </c>
    </row>
    <row r="217" spans="2:5" ht="14.5">
      <c r="B217" s="100"/>
      <c r="C217" s="78" t="s">
        <v>128</v>
      </c>
      <c r="D217" s="72">
        <v>2</v>
      </c>
      <c r="E217" s="73">
        <v>2.3736055067599999E-4</v>
      </c>
    </row>
    <row r="218" spans="2:5" ht="14.5">
      <c r="B218" s="100"/>
      <c r="C218" s="78" t="s">
        <v>138</v>
      </c>
      <c r="D218" s="72">
        <v>1</v>
      </c>
      <c r="E218" s="73">
        <v>1.1868027533799999E-4</v>
      </c>
    </row>
    <row r="219" spans="2:5" ht="14.5">
      <c r="B219" s="100"/>
      <c r="C219" s="78" t="s">
        <v>129</v>
      </c>
      <c r="D219" s="72">
        <v>2</v>
      </c>
      <c r="E219" s="73">
        <v>2.3736055067599999E-4</v>
      </c>
    </row>
    <row r="220" spans="2:5" ht="14.5">
      <c r="B220" s="100"/>
      <c r="C220" s="78" t="s">
        <v>133</v>
      </c>
      <c r="D220" s="72">
        <v>2</v>
      </c>
      <c r="E220" s="73">
        <v>2.3736055067599999E-4</v>
      </c>
    </row>
    <row r="221" spans="2:5" ht="14.5">
      <c r="B221" s="100"/>
      <c r="C221" s="78" t="s">
        <v>130</v>
      </c>
      <c r="D221" s="72">
        <v>2</v>
      </c>
      <c r="E221" s="73">
        <v>2.3736055067599999E-4</v>
      </c>
    </row>
    <row r="222" spans="2:5" ht="14.5">
      <c r="B222" s="100"/>
      <c r="C222" s="78" t="s">
        <v>134</v>
      </c>
      <c r="D222" s="72">
        <v>2</v>
      </c>
      <c r="E222" s="73">
        <v>2.3736055067599999E-4</v>
      </c>
    </row>
    <row r="223" spans="2:5" ht="14.5">
      <c r="B223" s="100"/>
      <c r="C223" s="78" t="s">
        <v>136</v>
      </c>
      <c r="D223" s="72">
        <v>3</v>
      </c>
      <c r="E223" s="73">
        <v>3.5604082601500001E-4</v>
      </c>
    </row>
    <row r="224" spans="2:5" ht="14.5">
      <c r="B224" s="101"/>
      <c r="C224" s="24" t="s">
        <v>12</v>
      </c>
      <c r="D224" s="23">
        <v>38</v>
      </c>
      <c r="E224" s="22">
        <v>4.509850462853E-3</v>
      </c>
    </row>
    <row r="225" spans="2:5" ht="14.5">
      <c r="B225" s="99" t="s">
        <v>238</v>
      </c>
      <c r="C225" s="78" t="s">
        <v>127</v>
      </c>
      <c r="D225" s="72">
        <v>12</v>
      </c>
      <c r="E225" s="73">
        <v>1.424163304059E-3</v>
      </c>
    </row>
    <row r="226" spans="2:5" ht="14.5">
      <c r="B226" s="100"/>
      <c r="C226" s="78" t="s">
        <v>131</v>
      </c>
      <c r="D226" s="72">
        <v>1</v>
      </c>
      <c r="E226" s="73">
        <v>1.1868027533799999E-4</v>
      </c>
    </row>
    <row r="227" spans="2:5" ht="14.5">
      <c r="B227" s="100"/>
      <c r="C227" s="78" t="s">
        <v>128</v>
      </c>
      <c r="D227" s="72">
        <v>5</v>
      </c>
      <c r="E227" s="73">
        <v>5.9340137669100003E-4</v>
      </c>
    </row>
    <row r="228" spans="2:5" ht="14.5">
      <c r="B228" s="100"/>
      <c r="C228" s="78" t="s">
        <v>129</v>
      </c>
      <c r="D228" s="72">
        <v>3</v>
      </c>
      <c r="E228" s="73">
        <v>3.5604082601500001E-4</v>
      </c>
    </row>
    <row r="229" spans="2:5" ht="14.5">
      <c r="B229" s="100"/>
      <c r="C229" s="78" t="s">
        <v>133</v>
      </c>
      <c r="D229" s="72">
        <v>1</v>
      </c>
      <c r="E229" s="73">
        <v>1.1868027533799999E-4</v>
      </c>
    </row>
    <row r="230" spans="2:5" ht="14.5">
      <c r="B230" s="100"/>
      <c r="C230" s="78" t="s">
        <v>130</v>
      </c>
      <c r="D230" s="72">
        <v>5</v>
      </c>
      <c r="E230" s="73">
        <v>5.9340137669100003E-4</v>
      </c>
    </row>
    <row r="231" spans="2:5" ht="14.5">
      <c r="B231" s="100"/>
      <c r="C231" s="78" t="s">
        <v>137</v>
      </c>
      <c r="D231" s="72">
        <v>1</v>
      </c>
      <c r="E231" s="73">
        <v>1.1868027533799999E-4</v>
      </c>
    </row>
    <row r="232" spans="2:5" ht="14.5">
      <c r="B232" s="101"/>
      <c r="C232" s="24" t="s">
        <v>12</v>
      </c>
      <c r="D232" s="23">
        <v>28</v>
      </c>
      <c r="E232" s="22">
        <v>3.3230477094710002E-3</v>
      </c>
    </row>
    <row r="233" spans="2:5" ht="14.5">
      <c r="B233" s="99" t="s">
        <v>239</v>
      </c>
      <c r="C233" s="78" t="s">
        <v>127</v>
      </c>
      <c r="D233" s="72">
        <v>6</v>
      </c>
      <c r="E233" s="73">
        <v>7.1208165202899995E-4</v>
      </c>
    </row>
    <row r="234" spans="2:5" ht="14.5">
      <c r="B234" s="100"/>
      <c r="C234" s="78" t="s">
        <v>131</v>
      </c>
      <c r="D234" s="72">
        <v>1</v>
      </c>
      <c r="E234" s="73">
        <v>1.1868027533799999E-4</v>
      </c>
    </row>
    <row r="235" spans="2:5" ht="14.5">
      <c r="B235" s="101"/>
      <c r="C235" s="24" t="s">
        <v>12</v>
      </c>
      <c r="D235" s="23">
        <v>7</v>
      </c>
      <c r="E235" s="22">
        <v>8.3076192736799995E-4</v>
      </c>
    </row>
    <row r="236" spans="2:5" ht="14.5">
      <c r="B236" s="99" t="s">
        <v>240</v>
      </c>
      <c r="C236" s="78" t="s">
        <v>127</v>
      </c>
      <c r="D236" s="72">
        <v>292</v>
      </c>
      <c r="E236" s="73">
        <v>3.4654640398766E-2</v>
      </c>
    </row>
    <row r="237" spans="2:5" ht="14.5">
      <c r="B237" s="100"/>
      <c r="C237" s="78" t="s">
        <v>131</v>
      </c>
      <c r="D237" s="72">
        <v>34</v>
      </c>
      <c r="E237" s="73">
        <v>4.0351293615000002E-3</v>
      </c>
    </row>
    <row r="238" spans="2:5" ht="14.5">
      <c r="B238" s="100"/>
      <c r="C238" s="78" t="s">
        <v>128</v>
      </c>
      <c r="D238" s="72">
        <v>336</v>
      </c>
      <c r="E238" s="73">
        <v>3.9876572513647998E-2</v>
      </c>
    </row>
    <row r="239" spans="2:5" ht="14.5">
      <c r="B239" s="100"/>
      <c r="C239" s="78" t="s">
        <v>138</v>
      </c>
      <c r="D239" s="72">
        <v>6</v>
      </c>
      <c r="E239" s="73">
        <v>7.1208165202899995E-4</v>
      </c>
    </row>
    <row r="240" spans="2:5" ht="14.5">
      <c r="B240" s="100"/>
      <c r="C240" s="78" t="s">
        <v>132</v>
      </c>
      <c r="D240" s="72">
        <v>12</v>
      </c>
      <c r="E240" s="73">
        <v>1.424163304059E-3</v>
      </c>
    </row>
    <row r="241" spans="2:5" ht="14.5">
      <c r="B241" s="100"/>
      <c r="C241" s="78" t="s">
        <v>129</v>
      </c>
      <c r="D241" s="72">
        <v>22</v>
      </c>
      <c r="E241" s="73">
        <v>2.610966057441E-3</v>
      </c>
    </row>
    <row r="242" spans="2:5" ht="42">
      <c r="B242" s="100"/>
      <c r="C242" s="78" t="s">
        <v>135</v>
      </c>
      <c r="D242" s="72">
        <v>8</v>
      </c>
      <c r="E242" s="73">
        <v>9.4944220270599998E-4</v>
      </c>
    </row>
    <row r="243" spans="2:5" ht="14.5">
      <c r="B243" s="100"/>
      <c r="C243" s="78" t="s">
        <v>133</v>
      </c>
      <c r="D243" s="72">
        <v>57</v>
      </c>
      <c r="E243" s="73">
        <v>6.7647756942799996E-3</v>
      </c>
    </row>
    <row r="244" spans="2:5" ht="14.5">
      <c r="B244" s="100"/>
      <c r="C244" s="78" t="s">
        <v>130</v>
      </c>
      <c r="D244" s="72">
        <v>256</v>
      </c>
      <c r="E244" s="73">
        <v>3.0382150486588998E-2</v>
      </c>
    </row>
    <row r="245" spans="2:5" ht="14.5">
      <c r="B245" s="100"/>
      <c r="C245" s="78" t="s">
        <v>134</v>
      </c>
      <c r="D245" s="72">
        <v>1</v>
      </c>
      <c r="E245" s="73">
        <v>1.1868027533799999E-4</v>
      </c>
    </row>
    <row r="246" spans="2:5" ht="14.5">
      <c r="B246" s="100"/>
      <c r="C246" s="78" t="s">
        <v>136</v>
      </c>
      <c r="D246" s="72">
        <v>8</v>
      </c>
      <c r="E246" s="73">
        <v>9.4944220270599998E-4</v>
      </c>
    </row>
    <row r="247" spans="2:5" ht="14.5">
      <c r="B247" s="100"/>
      <c r="C247" s="78" t="s">
        <v>137</v>
      </c>
      <c r="D247" s="72">
        <v>4</v>
      </c>
      <c r="E247" s="73">
        <v>4.7472110135299999E-4</v>
      </c>
    </row>
    <row r="248" spans="2:5" ht="14.5">
      <c r="B248" s="101"/>
      <c r="C248" s="24" t="s">
        <v>12</v>
      </c>
      <c r="D248" s="23">
        <v>1036</v>
      </c>
      <c r="E248" s="22">
        <v>0.122952765250415</v>
      </c>
    </row>
    <row r="249" spans="2:5" ht="14.5">
      <c r="B249" s="99" t="s">
        <v>241</v>
      </c>
      <c r="C249" s="78" t="s">
        <v>127</v>
      </c>
      <c r="D249" s="72">
        <v>44</v>
      </c>
      <c r="E249" s="73">
        <v>5.2219321148830001E-3</v>
      </c>
    </row>
    <row r="250" spans="2:5" ht="14.5">
      <c r="B250" s="100"/>
      <c r="C250" s="78" t="s">
        <v>131</v>
      </c>
      <c r="D250" s="72">
        <v>1</v>
      </c>
      <c r="E250" s="73">
        <v>1.1868027533799999E-4</v>
      </c>
    </row>
    <row r="251" spans="2:5" ht="14.5">
      <c r="B251" s="100"/>
      <c r="C251" s="78" t="s">
        <v>128</v>
      </c>
      <c r="D251" s="72">
        <v>1</v>
      </c>
      <c r="E251" s="73">
        <v>1.1868027533799999E-4</v>
      </c>
    </row>
    <row r="252" spans="2:5" ht="14.5">
      <c r="B252" s="100"/>
      <c r="C252" s="78" t="s">
        <v>132</v>
      </c>
      <c r="D252" s="72">
        <v>1</v>
      </c>
      <c r="E252" s="73">
        <v>1.1868027533799999E-4</v>
      </c>
    </row>
    <row r="253" spans="2:5" ht="14.5">
      <c r="B253" s="100"/>
      <c r="C253" s="78" t="s">
        <v>129</v>
      </c>
      <c r="D253" s="72">
        <v>8</v>
      </c>
      <c r="E253" s="73">
        <v>9.4944220270599998E-4</v>
      </c>
    </row>
    <row r="254" spans="2:5" ht="14.5">
      <c r="B254" s="100"/>
      <c r="C254" s="78" t="s">
        <v>133</v>
      </c>
      <c r="D254" s="72">
        <v>7</v>
      </c>
      <c r="E254" s="73">
        <v>8.3076192736799995E-4</v>
      </c>
    </row>
    <row r="255" spans="2:5" ht="14.5">
      <c r="B255" s="100"/>
      <c r="C255" s="78" t="s">
        <v>130</v>
      </c>
      <c r="D255" s="72">
        <v>30</v>
      </c>
      <c r="E255" s="73">
        <v>3.560408260147E-3</v>
      </c>
    </row>
    <row r="256" spans="2:5" ht="14.5">
      <c r="B256" s="100"/>
      <c r="C256" s="78" t="s">
        <v>134</v>
      </c>
      <c r="D256" s="72">
        <v>2</v>
      </c>
      <c r="E256" s="73">
        <v>2.3736055067599999E-4</v>
      </c>
    </row>
    <row r="257" spans="2:5" ht="14.5">
      <c r="B257" s="100"/>
      <c r="C257" s="78" t="s">
        <v>137</v>
      </c>
      <c r="D257" s="72">
        <v>1</v>
      </c>
      <c r="E257" s="73">
        <v>1.1868027533799999E-4</v>
      </c>
    </row>
    <row r="258" spans="2:5" ht="14.5">
      <c r="B258" s="101"/>
      <c r="C258" s="24" t="s">
        <v>12</v>
      </c>
      <c r="D258" s="23">
        <v>95</v>
      </c>
      <c r="E258" s="22">
        <v>1.1274626157133E-2</v>
      </c>
    </row>
    <row r="259" spans="2:5" ht="14.5">
      <c r="B259" s="99" t="s">
        <v>242</v>
      </c>
      <c r="C259" s="78" t="s">
        <v>127</v>
      </c>
      <c r="D259" s="72">
        <v>76</v>
      </c>
      <c r="E259" s="73">
        <v>9.019700925706E-3</v>
      </c>
    </row>
    <row r="260" spans="2:5" ht="14.5">
      <c r="B260" s="100"/>
      <c r="C260" s="78" t="s">
        <v>131</v>
      </c>
      <c r="D260" s="72">
        <v>5</v>
      </c>
      <c r="E260" s="73">
        <v>5.9340137669100003E-4</v>
      </c>
    </row>
    <row r="261" spans="2:5" ht="14.5">
      <c r="B261" s="100"/>
      <c r="C261" s="78" t="s">
        <v>128</v>
      </c>
      <c r="D261" s="72">
        <v>2</v>
      </c>
      <c r="E261" s="73">
        <v>2.3736055067599999E-4</v>
      </c>
    </row>
    <row r="262" spans="2:5" ht="14.5">
      <c r="B262" s="100"/>
      <c r="C262" s="78" t="s">
        <v>132</v>
      </c>
      <c r="D262" s="72">
        <v>7</v>
      </c>
      <c r="E262" s="73">
        <v>8.3076192736799995E-4</v>
      </c>
    </row>
    <row r="263" spans="2:5" ht="14.5">
      <c r="B263" s="100"/>
      <c r="C263" s="78" t="s">
        <v>129</v>
      </c>
      <c r="D263" s="72">
        <v>6</v>
      </c>
      <c r="E263" s="73">
        <v>7.1208165202899995E-4</v>
      </c>
    </row>
    <row r="264" spans="2:5" ht="14.5">
      <c r="B264" s="100"/>
      <c r="C264" s="78" t="s">
        <v>133</v>
      </c>
      <c r="D264" s="72">
        <v>10</v>
      </c>
      <c r="E264" s="73">
        <v>1.1868027533820001E-3</v>
      </c>
    </row>
    <row r="265" spans="2:5" ht="14.5">
      <c r="B265" s="100"/>
      <c r="C265" s="78" t="s">
        <v>130</v>
      </c>
      <c r="D265" s="72">
        <v>9</v>
      </c>
      <c r="E265" s="73">
        <v>1.0681224780439999E-3</v>
      </c>
    </row>
    <row r="266" spans="2:5" ht="14.5">
      <c r="B266" s="100"/>
      <c r="C266" s="78" t="s">
        <v>134</v>
      </c>
      <c r="D266" s="72">
        <v>1</v>
      </c>
      <c r="E266" s="73">
        <v>1.1868027533799999E-4</v>
      </c>
    </row>
    <row r="267" spans="2:5" ht="14.5">
      <c r="B267" s="100"/>
      <c r="C267" s="78" t="s">
        <v>137</v>
      </c>
      <c r="D267" s="72">
        <v>1</v>
      </c>
      <c r="E267" s="73">
        <v>1.1868027533799999E-4</v>
      </c>
    </row>
    <row r="268" spans="2:5" ht="14.5">
      <c r="B268" s="101"/>
      <c r="C268" s="24" t="s">
        <v>12</v>
      </c>
      <c r="D268" s="23">
        <v>117</v>
      </c>
      <c r="E268" s="22">
        <v>1.3885592214574E-2</v>
      </c>
    </row>
    <row r="269" spans="2:5" ht="14.5">
      <c r="B269" s="99" t="s">
        <v>243</v>
      </c>
      <c r="C269" s="78" t="s">
        <v>127</v>
      </c>
      <c r="D269" s="72">
        <v>79</v>
      </c>
      <c r="E269" s="73">
        <v>9.3757417517209996E-3</v>
      </c>
    </row>
    <row r="270" spans="2:5" ht="14.5">
      <c r="B270" s="100"/>
      <c r="C270" s="78" t="s">
        <v>128</v>
      </c>
      <c r="D270" s="72">
        <v>4</v>
      </c>
      <c r="E270" s="73">
        <v>4.7472110135299999E-4</v>
      </c>
    </row>
    <row r="271" spans="2:5" ht="14.5">
      <c r="B271" s="100"/>
      <c r="C271" s="78" t="s">
        <v>138</v>
      </c>
      <c r="D271" s="72">
        <v>6</v>
      </c>
      <c r="E271" s="73">
        <v>7.1208165202899995E-4</v>
      </c>
    </row>
    <row r="272" spans="2:5" ht="14.5">
      <c r="B272" s="100"/>
      <c r="C272" s="78" t="s">
        <v>129</v>
      </c>
      <c r="D272" s="72">
        <v>8</v>
      </c>
      <c r="E272" s="73">
        <v>9.4944220270599998E-4</v>
      </c>
    </row>
    <row r="273" spans="2:5" ht="14.5">
      <c r="B273" s="100"/>
      <c r="C273" s="78" t="s">
        <v>133</v>
      </c>
      <c r="D273" s="72">
        <v>2</v>
      </c>
      <c r="E273" s="73">
        <v>2.3736055067599999E-4</v>
      </c>
    </row>
    <row r="274" spans="2:5" ht="14.5">
      <c r="B274" s="100"/>
      <c r="C274" s="78" t="s">
        <v>130</v>
      </c>
      <c r="D274" s="72">
        <v>10</v>
      </c>
      <c r="E274" s="73">
        <v>1.1868027533820001E-3</v>
      </c>
    </row>
    <row r="275" spans="2:5" ht="14.5">
      <c r="B275" s="100"/>
      <c r="C275" s="78" t="s">
        <v>137</v>
      </c>
      <c r="D275" s="72">
        <v>2</v>
      </c>
      <c r="E275" s="73">
        <v>2.3736055067599999E-4</v>
      </c>
    </row>
    <row r="276" spans="2:5" ht="14.5">
      <c r="B276" s="101"/>
      <c r="C276" s="24" t="s">
        <v>12</v>
      </c>
      <c r="D276" s="23">
        <v>111</v>
      </c>
      <c r="E276" s="22">
        <v>1.3173510562545E-2</v>
      </c>
    </row>
    <row r="277" spans="2:5" ht="14.5">
      <c r="B277" s="99" t="s">
        <v>244</v>
      </c>
      <c r="C277" s="78" t="s">
        <v>127</v>
      </c>
      <c r="D277" s="72">
        <v>63</v>
      </c>
      <c r="E277" s="73">
        <v>7.4768573463089997E-3</v>
      </c>
    </row>
    <row r="278" spans="2:5" ht="14.5">
      <c r="B278" s="100"/>
      <c r="C278" s="78" t="s">
        <v>131</v>
      </c>
      <c r="D278" s="72">
        <v>3</v>
      </c>
      <c r="E278" s="73">
        <v>3.5604082601500001E-4</v>
      </c>
    </row>
    <row r="279" spans="2:5" ht="14.5">
      <c r="B279" s="100"/>
      <c r="C279" s="78" t="s">
        <v>128</v>
      </c>
      <c r="D279" s="72">
        <v>4</v>
      </c>
      <c r="E279" s="73">
        <v>4.7472110135299999E-4</v>
      </c>
    </row>
    <row r="280" spans="2:5" ht="14.5">
      <c r="B280" s="100"/>
      <c r="C280" s="78" t="s">
        <v>132</v>
      </c>
      <c r="D280" s="72">
        <v>1</v>
      </c>
      <c r="E280" s="73">
        <v>1.1868027533799999E-4</v>
      </c>
    </row>
    <row r="281" spans="2:5" ht="14.5">
      <c r="B281" s="100"/>
      <c r="C281" s="78" t="s">
        <v>129</v>
      </c>
      <c r="D281" s="72">
        <v>9</v>
      </c>
      <c r="E281" s="73">
        <v>1.0681224780439999E-3</v>
      </c>
    </row>
    <row r="282" spans="2:5" ht="14.5">
      <c r="B282" s="100"/>
      <c r="C282" s="78" t="s">
        <v>133</v>
      </c>
      <c r="D282" s="72">
        <v>2</v>
      </c>
      <c r="E282" s="73">
        <v>2.3736055067599999E-4</v>
      </c>
    </row>
    <row r="283" spans="2:5" ht="14.5">
      <c r="B283" s="100"/>
      <c r="C283" s="78" t="s">
        <v>130</v>
      </c>
      <c r="D283" s="72">
        <v>5</v>
      </c>
      <c r="E283" s="73">
        <v>5.9340137669100003E-4</v>
      </c>
    </row>
    <row r="284" spans="2:5" ht="14.5">
      <c r="B284" s="100"/>
      <c r="C284" s="78" t="s">
        <v>134</v>
      </c>
      <c r="D284" s="72">
        <v>1</v>
      </c>
      <c r="E284" s="73">
        <v>1.1868027533799999E-4</v>
      </c>
    </row>
    <row r="285" spans="2:5" ht="14.5">
      <c r="B285" s="101"/>
      <c r="C285" s="24" t="s">
        <v>12</v>
      </c>
      <c r="D285" s="23">
        <v>88</v>
      </c>
      <c r="E285" s="22">
        <v>1.0443864229764999E-2</v>
      </c>
    </row>
    <row r="286" spans="2:5" ht="14.5">
      <c r="B286" s="99" t="s">
        <v>245</v>
      </c>
      <c r="C286" s="78" t="s">
        <v>127</v>
      </c>
      <c r="D286" s="72">
        <v>8</v>
      </c>
      <c r="E286" s="73">
        <v>9.4944220270599998E-4</v>
      </c>
    </row>
    <row r="287" spans="2:5" ht="14.5">
      <c r="B287" s="100"/>
      <c r="C287" s="78" t="s">
        <v>128</v>
      </c>
      <c r="D287" s="72">
        <v>1</v>
      </c>
      <c r="E287" s="73">
        <v>1.1868027533799999E-4</v>
      </c>
    </row>
    <row r="288" spans="2:5" ht="14.5">
      <c r="B288" s="100"/>
      <c r="C288" s="78" t="s">
        <v>132</v>
      </c>
      <c r="D288" s="72">
        <v>1</v>
      </c>
      <c r="E288" s="73">
        <v>1.1868027533799999E-4</v>
      </c>
    </row>
    <row r="289" spans="2:5" ht="14.5">
      <c r="B289" s="100"/>
      <c r="C289" s="78" t="s">
        <v>133</v>
      </c>
      <c r="D289" s="72">
        <v>1</v>
      </c>
      <c r="E289" s="73">
        <v>1.1868027533799999E-4</v>
      </c>
    </row>
    <row r="290" spans="2:5" ht="14.5">
      <c r="B290" s="100"/>
      <c r="C290" s="78" t="s">
        <v>130</v>
      </c>
      <c r="D290" s="72">
        <v>2</v>
      </c>
      <c r="E290" s="73">
        <v>2.3736055067599999E-4</v>
      </c>
    </row>
    <row r="291" spans="2:5" ht="14.5">
      <c r="B291" s="101"/>
      <c r="C291" s="24" t="s">
        <v>12</v>
      </c>
      <c r="D291" s="23">
        <v>13</v>
      </c>
      <c r="E291" s="22">
        <v>1.5428435793969999E-3</v>
      </c>
    </row>
    <row r="292" spans="2:5" ht="14.5">
      <c r="B292" s="99" t="s">
        <v>246</v>
      </c>
      <c r="C292" s="78" t="s">
        <v>127</v>
      </c>
      <c r="D292" s="72">
        <v>17</v>
      </c>
      <c r="E292" s="73">
        <v>2.0175646807500001E-3</v>
      </c>
    </row>
    <row r="293" spans="2:5" ht="14.5">
      <c r="B293" s="100"/>
      <c r="C293" s="78" t="s">
        <v>131</v>
      </c>
      <c r="D293" s="72">
        <v>1</v>
      </c>
      <c r="E293" s="73">
        <v>1.1868027533799999E-4</v>
      </c>
    </row>
    <row r="294" spans="2:5" ht="14.5">
      <c r="B294" s="100"/>
      <c r="C294" s="78" t="s">
        <v>128</v>
      </c>
      <c r="D294" s="72">
        <v>1</v>
      </c>
      <c r="E294" s="73">
        <v>1.1868027533799999E-4</v>
      </c>
    </row>
    <row r="295" spans="2:5" ht="14.5">
      <c r="B295" s="100"/>
      <c r="C295" s="78" t="s">
        <v>133</v>
      </c>
      <c r="D295" s="72">
        <v>1</v>
      </c>
      <c r="E295" s="73">
        <v>1.1868027533799999E-4</v>
      </c>
    </row>
    <row r="296" spans="2:5" ht="14.5">
      <c r="B296" s="100"/>
      <c r="C296" s="78" t="s">
        <v>130</v>
      </c>
      <c r="D296" s="72">
        <v>3</v>
      </c>
      <c r="E296" s="73">
        <v>3.5604082601500001E-4</v>
      </c>
    </row>
    <row r="297" spans="2:5" ht="14.5">
      <c r="B297" s="101"/>
      <c r="C297" s="24" t="s">
        <v>12</v>
      </c>
      <c r="D297" s="23">
        <v>23</v>
      </c>
      <c r="E297" s="22">
        <v>2.7296463327790002E-3</v>
      </c>
    </row>
    <row r="298" spans="2:5" ht="14.5">
      <c r="B298" s="99" t="s">
        <v>247</v>
      </c>
      <c r="C298" s="78" t="s">
        <v>127</v>
      </c>
      <c r="D298" s="72">
        <v>109</v>
      </c>
      <c r="E298" s="73">
        <v>1.2936150011868E-2</v>
      </c>
    </row>
    <row r="299" spans="2:5" ht="14.5">
      <c r="B299" s="100"/>
      <c r="C299" s="78" t="s">
        <v>131</v>
      </c>
      <c r="D299" s="72">
        <v>14</v>
      </c>
      <c r="E299" s="73">
        <v>1.661523854735E-3</v>
      </c>
    </row>
    <row r="300" spans="2:5" ht="14.5">
      <c r="B300" s="100"/>
      <c r="C300" s="78" t="s">
        <v>128</v>
      </c>
      <c r="D300" s="72">
        <v>23</v>
      </c>
      <c r="E300" s="73">
        <v>2.7296463327790002E-3</v>
      </c>
    </row>
    <row r="301" spans="2:5" ht="14.5">
      <c r="B301" s="100"/>
      <c r="C301" s="78" t="s">
        <v>132</v>
      </c>
      <c r="D301" s="72">
        <v>1</v>
      </c>
      <c r="E301" s="73">
        <v>1.1868027533799999E-4</v>
      </c>
    </row>
    <row r="302" spans="2:5" ht="14.5">
      <c r="B302" s="100"/>
      <c r="C302" s="78" t="s">
        <v>129</v>
      </c>
      <c r="D302" s="72">
        <v>8</v>
      </c>
      <c r="E302" s="73">
        <v>9.4944220270599998E-4</v>
      </c>
    </row>
    <row r="303" spans="2:5" ht="14.5">
      <c r="B303" s="100"/>
      <c r="C303" s="78" t="s">
        <v>133</v>
      </c>
      <c r="D303" s="72">
        <v>10</v>
      </c>
      <c r="E303" s="73">
        <v>1.1868027533820001E-3</v>
      </c>
    </row>
    <row r="304" spans="2:5" ht="14.5">
      <c r="B304" s="100"/>
      <c r="C304" s="78" t="s">
        <v>130</v>
      </c>
      <c r="D304" s="72">
        <v>14</v>
      </c>
      <c r="E304" s="73">
        <v>1.661523854735E-3</v>
      </c>
    </row>
    <row r="305" spans="2:5" ht="14.5">
      <c r="B305" s="100"/>
      <c r="C305" s="78" t="s">
        <v>134</v>
      </c>
      <c r="D305" s="72">
        <v>2</v>
      </c>
      <c r="E305" s="73">
        <v>2.3736055067599999E-4</v>
      </c>
    </row>
    <row r="306" spans="2:5" ht="14.5">
      <c r="B306" s="100"/>
      <c r="C306" s="78" t="s">
        <v>137</v>
      </c>
      <c r="D306" s="72">
        <v>3</v>
      </c>
      <c r="E306" s="73">
        <v>3.5604082601500001E-4</v>
      </c>
    </row>
    <row r="307" spans="2:5" ht="14.5">
      <c r="B307" s="101"/>
      <c r="C307" s="24" t="s">
        <v>12</v>
      </c>
      <c r="D307" s="23">
        <v>184</v>
      </c>
      <c r="E307" s="22">
        <v>2.1837170662236002E-2</v>
      </c>
    </row>
    <row r="308" spans="2:5" ht="14.5">
      <c r="B308" s="99" t="s">
        <v>248</v>
      </c>
      <c r="C308" s="78" t="s">
        <v>127</v>
      </c>
      <c r="D308" s="72">
        <v>56</v>
      </c>
      <c r="E308" s="73">
        <v>6.6460954189410002E-3</v>
      </c>
    </row>
    <row r="309" spans="2:5" ht="14.5">
      <c r="B309" s="100"/>
      <c r="C309" s="78" t="s">
        <v>131</v>
      </c>
      <c r="D309" s="72">
        <v>4</v>
      </c>
      <c r="E309" s="73">
        <v>4.7472110135299999E-4</v>
      </c>
    </row>
    <row r="310" spans="2:5" ht="14.5">
      <c r="B310" s="100"/>
      <c r="C310" s="78" t="s">
        <v>128</v>
      </c>
      <c r="D310" s="72">
        <v>3</v>
      </c>
      <c r="E310" s="73">
        <v>3.5604082601500001E-4</v>
      </c>
    </row>
    <row r="311" spans="2:5" ht="14.5">
      <c r="B311" s="100"/>
      <c r="C311" s="78" t="s">
        <v>138</v>
      </c>
      <c r="D311" s="72">
        <v>8</v>
      </c>
      <c r="E311" s="73">
        <v>9.4944220270599998E-4</v>
      </c>
    </row>
    <row r="312" spans="2:5" ht="14.5">
      <c r="B312" s="100"/>
      <c r="C312" s="78" t="s">
        <v>129</v>
      </c>
      <c r="D312" s="72">
        <v>5</v>
      </c>
      <c r="E312" s="73">
        <v>5.9340137669100003E-4</v>
      </c>
    </row>
    <row r="313" spans="2:5" ht="14.5">
      <c r="B313" s="100"/>
      <c r="C313" s="78" t="s">
        <v>133</v>
      </c>
      <c r="D313" s="72">
        <v>4</v>
      </c>
      <c r="E313" s="73">
        <v>4.7472110135299999E-4</v>
      </c>
    </row>
    <row r="314" spans="2:5" ht="14.5">
      <c r="B314" s="100"/>
      <c r="C314" s="78" t="s">
        <v>130</v>
      </c>
      <c r="D314" s="72">
        <v>14</v>
      </c>
      <c r="E314" s="73">
        <v>1.661523854735E-3</v>
      </c>
    </row>
    <row r="315" spans="2:5" ht="14.5">
      <c r="B315" s="100"/>
      <c r="C315" s="78" t="s">
        <v>134</v>
      </c>
      <c r="D315" s="72">
        <v>2</v>
      </c>
      <c r="E315" s="73">
        <v>2.3736055067599999E-4</v>
      </c>
    </row>
    <row r="316" spans="2:5" ht="14.5">
      <c r="B316" s="100"/>
      <c r="C316" s="78" t="s">
        <v>137</v>
      </c>
      <c r="D316" s="72">
        <v>3</v>
      </c>
      <c r="E316" s="73">
        <v>3.5604082601500001E-4</v>
      </c>
    </row>
    <row r="317" spans="2:5" ht="14.5">
      <c r="B317" s="101"/>
      <c r="C317" s="24" t="s">
        <v>12</v>
      </c>
      <c r="D317" s="23">
        <v>99</v>
      </c>
      <c r="E317" s="22">
        <v>1.1749347258486E-2</v>
      </c>
    </row>
    <row r="318" spans="2:5" ht="14.5">
      <c r="B318" s="99" t="s">
        <v>249</v>
      </c>
      <c r="C318" s="78" t="s">
        <v>127</v>
      </c>
      <c r="D318" s="72">
        <v>34</v>
      </c>
      <c r="E318" s="73">
        <v>4.0351293615000002E-3</v>
      </c>
    </row>
    <row r="319" spans="2:5" ht="14.5">
      <c r="B319" s="100"/>
      <c r="C319" s="78" t="s">
        <v>131</v>
      </c>
      <c r="D319" s="72">
        <v>2</v>
      </c>
      <c r="E319" s="73">
        <v>2.3736055067599999E-4</v>
      </c>
    </row>
    <row r="320" spans="2:5" ht="14.5">
      <c r="B320" s="100"/>
      <c r="C320" s="78" t="s">
        <v>128</v>
      </c>
      <c r="D320" s="72">
        <v>2</v>
      </c>
      <c r="E320" s="73">
        <v>2.3736055067599999E-4</v>
      </c>
    </row>
    <row r="321" spans="2:5" ht="14.5">
      <c r="B321" s="100"/>
      <c r="C321" s="78" t="s">
        <v>132</v>
      </c>
      <c r="D321" s="72">
        <v>1</v>
      </c>
      <c r="E321" s="73">
        <v>1.1868027533799999E-4</v>
      </c>
    </row>
    <row r="322" spans="2:5" ht="14.5">
      <c r="B322" s="100"/>
      <c r="C322" s="78" t="s">
        <v>129</v>
      </c>
      <c r="D322" s="72">
        <v>10</v>
      </c>
      <c r="E322" s="73">
        <v>1.1868027533820001E-3</v>
      </c>
    </row>
    <row r="323" spans="2:5" ht="14.5">
      <c r="B323" s="100"/>
      <c r="C323" s="78" t="s">
        <v>133</v>
      </c>
      <c r="D323" s="72">
        <v>1</v>
      </c>
      <c r="E323" s="73">
        <v>1.1868027533799999E-4</v>
      </c>
    </row>
    <row r="324" spans="2:5" ht="14.5">
      <c r="B324" s="100"/>
      <c r="C324" s="78" t="s">
        <v>130</v>
      </c>
      <c r="D324" s="72">
        <v>3</v>
      </c>
      <c r="E324" s="73">
        <v>3.5604082601500001E-4</v>
      </c>
    </row>
    <row r="325" spans="2:5" ht="14.5">
      <c r="B325" s="100"/>
      <c r="C325" s="78" t="s">
        <v>134</v>
      </c>
      <c r="D325" s="72">
        <v>1</v>
      </c>
      <c r="E325" s="73">
        <v>1.1868027533799999E-4</v>
      </c>
    </row>
    <row r="326" spans="2:5" ht="14.5">
      <c r="B326" s="101"/>
      <c r="C326" s="24" t="s">
        <v>12</v>
      </c>
      <c r="D326" s="23">
        <v>54</v>
      </c>
      <c r="E326" s="22">
        <v>6.408734868265E-3</v>
      </c>
    </row>
    <row r="327" spans="2:5" ht="14.5">
      <c r="B327" s="99" t="s">
        <v>250</v>
      </c>
      <c r="C327" s="78" t="s">
        <v>127</v>
      </c>
      <c r="D327" s="72">
        <v>24</v>
      </c>
      <c r="E327" s="73">
        <v>2.8483266081179999E-3</v>
      </c>
    </row>
    <row r="328" spans="2:5" ht="14.5">
      <c r="B328" s="100"/>
      <c r="C328" s="78" t="s">
        <v>131</v>
      </c>
      <c r="D328" s="72">
        <v>3</v>
      </c>
      <c r="E328" s="73">
        <v>3.5604082601500001E-4</v>
      </c>
    </row>
    <row r="329" spans="2:5" ht="14.5">
      <c r="B329" s="100"/>
      <c r="C329" s="78" t="s">
        <v>128</v>
      </c>
      <c r="D329" s="72">
        <v>4</v>
      </c>
      <c r="E329" s="73">
        <v>4.7472110135299999E-4</v>
      </c>
    </row>
    <row r="330" spans="2:5" ht="14.5">
      <c r="B330" s="100"/>
      <c r="C330" s="78" t="s">
        <v>129</v>
      </c>
      <c r="D330" s="72">
        <v>1</v>
      </c>
      <c r="E330" s="73">
        <v>1.1868027533799999E-4</v>
      </c>
    </row>
    <row r="331" spans="2:5" ht="14.5">
      <c r="B331" s="100"/>
      <c r="C331" s="78" t="s">
        <v>133</v>
      </c>
      <c r="D331" s="72">
        <v>5</v>
      </c>
      <c r="E331" s="73">
        <v>5.9340137669100003E-4</v>
      </c>
    </row>
    <row r="332" spans="2:5" ht="14.5">
      <c r="B332" s="100"/>
      <c r="C332" s="78" t="s">
        <v>130</v>
      </c>
      <c r="D332" s="72">
        <v>15</v>
      </c>
      <c r="E332" s="73">
        <v>1.780204130074E-3</v>
      </c>
    </row>
    <row r="333" spans="2:5" ht="14.5">
      <c r="B333" s="100"/>
      <c r="C333" s="78" t="s">
        <v>136</v>
      </c>
      <c r="D333" s="72">
        <v>1</v>
      </c>
      <c r="E333" s="73">
        <v>1.1868027533799999E-4</v>
      </c>
    </row>
    <row r="334" spans="2:5" ht="14.5">
      <c r="B334" s="100"/>
      <c r="C334" s="78" t="s">
        <v>137</v>
      </c>
      <c r="D334" s="72">
        <v>6</v>
      </c>
      <c r="E334" s="73">
        <v>7.1208165202899995E-4</v>
      </c>
    </row>
    <row r="335" spans="2:5" ht="14.5">
      <c r="B335" s="101"/>
      <c r="C335" s="24" t="s">
        <v>12</v>
      </c>
      <c r="D335" s="23">
        <v>59</v>
      </c>
      <c r="E335" s="22">
        <v>7.0021362449559999E-3</v>
      </c>
    </row>
    <row r="336" spans="2:5" ht="14.5">
      <c r="B336" s="99" t="s">
        <v>251</v>
      </c>
      <c r="C336" s="78" t="s">
        <v>127</v>
      </c>
      <c r="D336" s="72">
        <v>60</v>
      </c>
      <c r="E336" s="73">
        <v>7.120816520294E-3</v>
      </c>
    </row>
    <row r="337" spans="2:5" ht="14.5">
      <c r="B337" s="100"/>
      <c r="C337" s="78" t="s">
        <v>131</v>
      </c>
      <c r="D337" s="72">
        <v>6</v>
      </c>
      <c r="E337" s="73">
        <v>7.1208165202899995E-4</v>
      </c>
    </row>
    <row r="338" spans="2:5" ht="14.5">
      <c r="B338" s="100"/>
      <c r="C338" s="78" t="s">
        <v>128</v>
      </c>
      <c r="D338" s="72">
        <v>6</v>
      </c>
      <c r="E338" s="73">
        <v>7.1208165202899995E-4</v>
      </c>
    </row>
    <row r="339" spans="2:5" ht="14.5">
      <c r="B339" s="100"/>
      <c r="C339" s="78" t="s">
        <v>129</v>
      </c>
      <c r="D339" s="72">
        <v>4</v>
      </c>
      <c r="E339" s="73">
        <v>4.7472110135299999E-4</v>
      </c>
    </row>
    <row r="340" spans="2:5" ht="14.5">
      <c r="B340" s="100"/>
      <c r="C340" s="78" t="s">
        <v>133</v>
      </c>
      <c r="D340" s="72">
        <v>4</v>
      </c>
      <c r="E340" s="73">
        <v>4.7472110135299999E-4</v>
      </c>
    </row>
    <row r="341" spans="2:5" ht="14.5">
      <c r="B341" s="100"/>
      <c r="C341" s="78" t="s">
        <v>130</v>
      </c>
      <c r="D341" s="72">
        <v>5</v>
      </c>
      <c r="E341" s="73">
        <v>5.9340137669100003E-4</v>
      </c>
    </row>
    <row r="342" spans="2:5" ht="14.5">
      <c r="B342" s="100"/>
      <c r="C342" s="78" t="s">
        <v>137</v>
      </c>
      <c r="D342" s="72">
        <v>2</v>
      </c>
      <c r="E342" s="73">
        <v>2.3736055067599999E-4</v>
      </c>
    </row>
    <row r="343" spans="2:5" ht="14.5">
      <c r="B343" s="101"/>
      <c r="C343" s="24" t="s">
        <v>12</v>
      </c>
      <c r="D343" s="23">
        <v>87</v>
      </c>
      <c r="E343" s="22">
        <v>1.0325183954426999E-2</v>
      </c>
    </row>
    <row r="344" spans="2:5" ht="14.5">
      <c r="B344" s="99" t="s">
        <v>252</v>
      </c>
      <c r="C344" s="78" t="s">
        <v>127</v>
      </c>
      <c r="D344" s="72">
        <v>117</v>
      </c>
      <c r="E344" s="73">
        <v>1.3885592214574E-2</v>
      </c>
    </row>
    <row r="345" spans="2:5" ht="14.5">
      <c r="B345" s="100"/>
      <c r="C345" s="78" t="s">
        <v>131</v>
      </c>
      <c r="D345" s="72">
        <v>10</v>
      </c>
      <c r="E345" s="73">
        <v>1.1868027533820001E-3</v>
      </c>
    </row>
    <row r="346" spans="2:5" ht="14.5">
      <c r="B346" s="100"/>
      <c r="C346" s="78" t="s">
        <v>128</v>
      </c>
      <c r="D346" s="72">
        <v>24</v>
      </c>
      <c r="E346" s="73">
        <v>2.8483266081179999E-3</v>
      </c>
    </row>
    <row r="347" spans="2:5" ht="14.5">
      <c r="B347" s="100"/>
      <c r="C347" s="78" t="s">
        <v>138</v>
      </c>
      <c r="D347" s="72">
        <v>2</v>
      </c>
      <c r="E347" s="73">
        <v>2.3736055067599999E-4</v>
      </c>
    </row>
    <row r="348" spans="2:5" ht="14.5">
      <c r="B348" s="100"/>
      <c r="C348" s="78" t="s">
        <v>129</v>
      </c>
      <c r="D348" s="72">
        <v>10</v>
      </c>
      <c r="E348" s="73">
        <v>1.1868027533820001E-3</v>
      </c>
    </row>
    <row r="349" spans="2:5" ht="14.5">
      <c r="B349" s="100"/>
      <c r="C349" s="78" t="s">
        <v>133</v>
      </c>
      <c r="D349" s="72">
        <v>7</v>
      </c>
      <c r="E349" s="73">
        <v>8.3076192736799995E-4</v>
      </c>
    </row>
    <row r="350" spans="2:5" ht="14.5">
      <c r="B350" s="100"/>
      <c r="C350" s="78" t="s">
        <v>130</v>
      </c>
      <c r="D350" s="72">
        <v>10</v>
      </c>
      <c r="E350" s="73">
        <v>1.1868027533820001E-3</v>
      </c>
    </row>
    <row r="351" spans="2:5" ht="14.5">
      <c r="B351" s="100"/>
      <c r="C351" s="78" t="s">
        <v>134</v>
      </c>
      <c r="D351" s="72">
        <v>2</v>
      </c>
      <c r="E351" s="73">
        <v>2.3736055067599999E-4</v>
      </c>
    </row>
    <row r="352" spans="2:5" ht="14.5">
      <c r="B352" s="100"/>
      <c r="C352" s="78" t="s">
        <v>136</v>
      </c>
      <c r="D352" s="72">
        <v>1</v>
      </c>
      <c r="E352" s="73">
        <v>1.1868027533799999E-4</v>
      </c>
    </row>
    <row r="353" spans="2:5" ht="14.5">
      <c r="B353" s="100"/>
      <c r="C353" s="78" t="s">
        <v>137</v>
      </c>
      <c r="D353" s="72">
        <v>5</v>
      </c>
      <c r="E353" s="73">
        <v>5.9340137669100003E-4</v>
      </c>
    </row>
    <row r="354" spans="2:5" ht="14.5">
      <c r="B354" s="101"/>
      <c r="C354" s="24" t="s">
        <v>12</v>
      </c>
      <c r="D354" s="23">
        <v>188</v>
      </c>
      <c r="E354" s="22">
        <v>2.2311891763589001E-2</v>
      </c>
    </row>
    <row r="355" spans="2:5" ht="14.5">
      <c r="B355" s="99" t="s">
        <v>253</v>
      </c>
      <c r="C355" s="78" t="s">
        <v>127</v>
      </c>
      <c r="D355" s="72">
        <v>21</v>
      </c>
      <c r="E355" s="73">
        <v>2.4922857821029999E-3</v>
      </c>
    </row>
    <row r="356" spans="2:5" ht="14.5">
      <c r="B356" s="100"/>
      <c r="C356" s="78" t="s">
        <v>131</v>
      </c>
      <c r="D356" s="72">
        <v>1</v>
      </c>
      <c r="E356" s="73">
        <v>1.1868027533799999E-4</v>
      </c>
    </row>
    <row r="357" spans="2:5" ht="14.5">
      <c r="B357" s="100"/>
      <c r="C357" s="78" t="s">
        <v>138</v>
      </c>
      <c r="D357" s="72">
        <v>3</v>
      </c>
      <c r="E357" s="73">
        <v>3.5604082601500001E-4</v>
      </c>
    </row>
    <row r="358" spans="2:5" ht="14.5">
      <c r="B358" s="100"/>
      <c r="C358" s="78" t="s">
        <v>129</v>
      </c>
      <c r="D358" s="72">
        <v>6</v>
      </c>
      <c r="E358" s="73">
        <v>7.1208165202899995E-4</v>
      </c>
    </row>
    <row r="359" spans="2:5" ht="14.5">
      <c r="B359" s="100"/>
      <c r="C359" s="78" t="s">
        <v>133</v>
      </c>
      <c r="D359" s="72">
        <v>2</v>
      </c>
      <c r="E359" s="73">
        <v>2.3736055067599999E-4</v>
      </c>
    </row>
    <row r="360" spans="2:5" ht="14.5">
      <c r="B360" s="100"/>
      <c r="C360" s="78" t="s">
        <v>130</v>
      </c>
      <c r="D360" s="72">
        <v>1</v>
      </c>
      <c r="E360" s="73">
        <v>1.1868027533799999E-4</v>
      </c>
    </row>
    <row r="361" spans="2:5" ht="14.5">
      <c r="B361" s="100"/>
      <c r="C361" s="78" t="s">
        <v>137</v>
      </c>
      <c r="D361" s="72">
        <v>1</v>
      </c>
      <c r="E361" s="73">
        <v>1.1868027533799999E-4</v>
      </c>
    </row>
    <row r="362" spans="2:5" ht="14.5">
      <c r="B362" s="101"/>
      <c r="C362" s="24" t="s">
        <v>12</v>
      </c>
      <c r="D362" s="23">
        <v>35</v>
      </c>
      <c r="E362" s="22">
        <v>4.1538096368380004E-3</v>
      </c>
    </row>
    <row r="363" spans="2:5" ht="14.5">
      <c r="B363" s="99" t="s">
        <v>254</v>
      </c>
      <c r="C363" s="78" t="s">
        <v>127</v>
      </c>
      <c r="D363" s="72">
        <v>21</v>
      </c>
      <c r="E363" s="73">
        <v>2.4922857821029999E-3</v>
      </c>
    </row>
    <row r="364" spans="2:5" ht="14.5">
      <c r="B364" s="100"/>
      <c r="C364" s="78" t="s">
        <v>131</v>
      </c>
      <c r="D364" s="72">
        <v>2</v>
      </c>
      <c r="E364" s="73">
        <v>2.3736055067599999E-4</v>
      </c>
    </row>
    <row r="365" spans="2:5" ht="14.5">
      <c r="B365" s="100"/>
      <c r="C365" s="78" t="s">
        <v>128</v>
      </c>
      <c r="D365" s="72">
        <v>3</v>
      </c>
      <c r="E365" s="73">
        <v>3.5604082601500001E-4</v>
      </c>
    </row>
    <row r="366" spans="2:5" ht="14.5">
      <c r="B366" s="100"/>
      <c r="C366" s="78" t="s">
        <v>129</v>
      </c>
      <c r="D366" s="72">
        <v>2</v>
      </c>
      <c r="E366" s="73">
        <v>2.3736055067599999E-4</v>
      </c>
    </row>
    <row r="367" spans="2:5" ht="14.5">
      <c r="B367" s="100"/>
      <c r="C367" s="78" t="s">
        <v>133</v>
      </c>
      <c r="D367" s="72">
        <v>1</v>
      </c>
      <c r="E367" s="73">
        <v>1.1868027533799999E-4</v>
      </c>
    </row>
    <row r="368" spans="2:5" ht="14.5">
      <c r="B368" s="100"/>
      <c r="C368" s="78" t="s">
        <v>130</v>
      </c>
      <c r="D368" s="72">
        <v>2</v>
      </c>
      <c r="E368" s="73">
        <v>2.3736055067599999E-4</v>
      </c>
    </row>
    <row r="369" spans="2:5" ht="14.5">
      <c r="B369" s="101"/>
      <c r="C369" s="24" t="s">
        <v>12</v>
      </c>
      <c r="D369" s="23">
        <v>31</v>
      </c>
      <c r="E369" s="22">
        <v>3.6790885354850002E-3</v>
      </c>
    </row>
    <row r="370" spans="2:5" ht="14.5">
      <c r="B370" s="99" t="s">
        <v>255</v>
      </c>
      <c r="C370" s="78" t="s">
        <v>127</v>
      </c>
      <c r="D370" s="72">
        <v>51</v>
      </c>
      <c r="E370" s="73">
        <v>6.0526940422500003E-3</v>
      </c>
    </row>
    <row r="371" spans="2:5" ht="14.5">
      <c r="B371" s="100"/>
      <c r="C371" s="78" t="s">
        <v>131</v>
      </c>
      <c r="D371" s="72">
        <v>4</v>
      </c>
      <c r="E371" s="73">
        <v>4.7472110135299999E-4</v>
      </c>
    </row>
    <row r="372" spans="2:5" ht="14.5">
      <c r="B372" s="100"/>
      <c r="C372" s="78" t="s">
        <v>128</v>
      </c>
      <c r="D372" s="72">
        <v>20</v>
      </c>
      <c r="E372" s="73">
        <v>2.3736055067650002E-3</v>
      </c>
    </row>
    <row r="373" spans="2:5" ht="14.5">
      <c r="B373" s="100"/>
      <c r="C373" s="78" t="s">
        <v>138</v>
      </c>
      <c r="D373" s="72">
        <v>3</v>
      </c>
      <c r="E373" s="73">
        <v>3.5604082601500001E-4</v>
      </c>
    </row>
    <row r="374" spans="2:5" ht="14.5">
      <c r="B374" s="100"/>
      <c r="C374" s="78" t="s">
        <v>129</v>
      </c>
      <c r="D374" s="72">
        <v>1</v>
      </c>
      <c r="E374" s="73">
        <v>1.1868027533799999E-4</v>
      </c>
    </row>
    <row r="375" spans="2:5" ht="14.5">
      <c r="B375" s="100"/>
      <c r="C375" s="78" t="s">
        <v>133</v>
      </c>
      <c r="D375" s="72">
        <v>4</v>
      </c>
      <c r="E375" s="73">
        <v>4.7472110135299999E-4</v>
      </c>
    </row>
    <row r="376" spans="2:5" ht="14.5">
      <c r="B376" s="100"/>
      <c r="C376" s="78" t="s">
        <v>130</v>
      </c>
      <c r="D376" s="72">
        <v>9</v>
      </c>
      <c r="E376" s="73">
        <v>1.0681224780439999E-3</v>
      </c>
    </row>
    <row r="377" spans="2:5" ht="14.5">
      <c r="B377" s="101"/>
      <c r="C377" s="24" t="s">
        <v>12</v>
      </c>
      <c r="D377" s="23">
        <v>92</v>
      </c>
      <c r="E377" s="22">
        <v>1.0918585331118001E-2</v>
      </c>
    </row>
    <row r="378" spans="2:5" ht="14.5">
      <c r="B378" s="99" t="s">
        <v>256</v>
      </c>
      <c r="C378" s="78" t="s">
        <v>127</v>
      </c>
      <c r="D378" s="72">
        <v>72</v>
      </c>
      <c r="E378" s="73">
        <v>8.5449798243530002E-3</v>
      </c>
    </row>
    <row r="379" spans="2:5" ht="14.5">
      <c r="B379" s="100"/>
      <c r="C379" s="78" t="s">
        <v>131</v>
      </c>
      <c r="D379" s="72">
        <v>4</v>
      </c>
      <c r="E379" s="73">
        <v>4.7472110135299999E-4</v>
      </c>
    </row>
    <row r="380" spans="2:5" ht="14.5">
      <c r="B380" s="100"/>
      <c r="C380" s="78" t="s">
        <v>128</v>
      </c>
      <c r="D380" s="72">
        <v>17</v>
      </c>
      <c r="E380" s="73">
        <v>2.0175646807500001E-3</v>
      </c>
    </row>
    <row r="381" spans="2:5" ht="14.5">
      <c r="B381" s="100"/>
      <c r="C381" s="78" t="s">
        <v>138</v>
      </c>
      <c r="D381" s="72">
        <v>2</v>
      </c>
      <c r="E381" s="73">
        <v>2.3736055067599999E-4</v>
      </c>
    </row>
    <row r="382" spans="2:5" ht="14.5">
      <c r="B382" s="100"/>
      <c r="C382" s="78" t="s">
        <v>132</v>
      </c>
      <c r="D382" s="72">
        <v>1</v>
      </c>
      <c r="E382" s="73">
        <v>1.1868027533799999E-4</v>
      </c>
    </row>
    <row r="383" spans="2:5" ht="14.5">
      <c r="B383" s="100"/>
      <c r="C383" s="78" t="s">
        <v>129</v>
      </c>
      <c r="D383" s="72">
        <v>7</v>
      </c>
      <c r="E383" s="73">
        <v>8.3076192736799995E-4</v>
      </c>
    </row>
    <row r="384" spans="2:5" ht="14.5">
      <c r="B384" s="100"/>
      <c r="C384" s="78" t="s">
        <v>133</v>
      </c>
      <c r="D384" s="72">
        <v>6</v>
      </c>
      <c r="E384" s="73">
        <v>7.1208165202899995E-4</v>
      </c>
    </row>
    <row r="385" spans="2:5" ht="14.5">
      <c r="B385" s="100"/>
      <c r="C385" s="78" t="s">
        <v>130</v>
      </c>
      <c r="D385" s="72">
        <v>14</v>
      </c>
      <c r="E385" s="73">
        <v>1.661523854735E-3</v>
      </c>
    </row>
    <row r="386" spans="2:5" ht="14.5">
      <c r="B386" s="100"/>
      <c r="C386" s="78" t="s">
        <v>134</v>
      </c>
      <c r="D386" s="72">
        <v>2</v>
      </c>
      <c r="E386" s="73">
        <v>2.3736055067599999E-4</v>
      </c>
    </row>
    <row r="387" spans="2:5" ht="14.5">
      <c r="B387" s="100"/>
      <c r="C387" s="78" t="s">
        <v>137</v>
      </c>
      <c r="D387" s="72">
        <v>4</v>
      </c>
      <c r="E387" s="73">
        <v>4.7472110135299999E-4</v>
      </c>
    </row>
    <row r="388" spans="2:5" ht="14.5">
      <c r="B388" s="101"/>
      <c r="C388" s="24" t="s">
        <v>12</v>
      </c>
      <c r="D388" s="23">
        <v>129</v>
      </c>
      <c r="E388" s="22">
        <v>1.5309755518633001E-2</v>
      </c>
    </row>
    <row r="389" spans="2:5" ht="14.5">
      <c r="B389" s="99" t="s">
        <v>257</v>
      </c>
      <c r="C389" s="78" t="s">
        <v>127</v>
      </c>
      <c r="D389" s="72">
        <v>31</v>
      </c>
      <c r="E389" s="73">
        <v>3.6790885354850002E-3</v>
      </c>
    </row>
    <row r="390" spans="2:5" ht="14.5">
      <c r="B390" s="100"/>
      <c r="C390" s="78" t="s">
        <v>128</v>
      </c>
      <c r="D390" s="72">
        <v>5</v>
      </c>
      <c r="E390" s="73">
        <v>5.9340137669100003E-4</v>
      </c>
    </row>
    <row r="391" spans="2:5" ht="14.5">
      <c r="B391" s="100"/>
      <c r="C391" s="78" t="s">
        <v>129</v>
      </c>
      <c r="D391" s="72">
        <v>2</v>
      </c>
      <c r="E391" s="73">
        <v>2.3736055067599999E-4</v>
      </c>
    </row>
    <row r="392" spans="2:5" ht="14.5">
      <c r="B392" s="100"/>
      <c r="C392" s="78" t="s">
        <v>133</v>
      </c>
      <c r="D392" s="72">
        <v>10</v>
      </c>
      <c r="E392" s="73">
        <v>1.1868027533820001E-3</v>
      </c>
    </row>
    <row r="393" spans="2:5" ht="14.5">
      <c r="B393" s="100"/>
      <c r="C393" s="78" t="s">
        <v>130</v>
      </c>
      <c r="D393" s="72">
        <v>7</v>
      </c>
      <c r="E393" s="73">
        <v>8.3076192736799995E-4</v>
      </c>
    </row>
    <row r="394" spans="2:5" ht="14.5">
      <c r="B394" s="100"/>
      <c r="C394" s="78" t="s">
        <v>136</v>
      </c>
      <c r="D394" s="72">
        <v>8</v>
      </c>
      <c r="E394" s="73">
        <v>9.4944220270599998E-4</v>
      </c>
    </row>
    <row r="395" spans="2:5" ht="14.5">
      <c r="B395" s="101"/>
      <c r="C395" s="24" t="s">
        <v>12</v>
      </c>
      <c r="D395" s="23">
        <v>63</v>
      </c>
      <c r="E395" s="22">
        <v>7.4768573463089997E-3</v>
      </c>
    </row>
    <row r="396" spans="2:5" ht="14.5">
      <c r="B396" s="99" t="s">
        <v>258</v>
      </c>
      <c r="C396" s="78" t="s">
        <v>127</v>
      </c>
      <c r="D396" s="72">
        <v>4</v>
      </c>
      <c r="E396" s="73">
        <v>4.7472110135299999E-4</v>
      </c>
    </row>
    <row r="397" spans="2:5" ht="14.5">
      <c r="B397" s="100"/>
      <c r="C397" s="78" t="s">
        <v>129</v>
      </c>
      <c r="D397" s="72">
        <v>1</v>
      </c>
      <c r="E397" s="73">
        <v>1.1868027533799999E-4</v>
      </c>
    </row>
    <row r="398" spans="2:5" ht="14.5">
      <c r="B398" s="101"/>
      <c r="C398" s="24" t="s">
        <v>12</v>
      </c>
      <c r="D398" s="23">
        <v>5</v>
      </c>
      <c r="E398" s="22">
        <v>5.9340137669100003E-4</v>
      </c>
    </row>
    <row r="399" spans="2:5" ht="14.5">
      <c r="B399" s="99" t="s">
        <v>121</v>
      </c>
      <c r="C399" s="78" t="s">
        <v>127</v>
      </c>
      <c r="D399" s="72">
        <v>23</v>
      </c>
      <c r="E399" s="73">
        <v>2.7296463327790002E-3</v>
      </c>
    </row>
    <row r="400" spans="2:5" ht="14.5">
      <c r="B400" s="100"/>
      <c r="C400" s="78" t="s">
        <v>131</v>
      </c>
      <c r="D400" s="72">
        <v>1</v>
      </c>
      <c r="E400" s="73">
        <v>1.1868027533799999E-4</v>
      </c>
    </row>
    <row r="401" spans="2:5" ht="14.5">
      <c r="B401" s="100"/>
      <c r="C401" s="78" t="s">
        <v>133</v>
      </c>
      <c r="D401" s="72">
        <v>1</v>
      </c>
      <c r="E401" s="73">
        <v>1.1868027533799999E-4</v>
      </c>
    </row>
    <row r="402" spans="2:5" ht="14.5">
      <c r="B402" s="100"/>
      <c r="C402" s="78" t="s">
        <v>130</v>
      </c>
      <c r="D402" s="72">
        <v>1</v>
      </c>
      <c r="E402" s="73">
        <v>1.1868027533799999E-4</v>
      </c>
    </row>
    <row r="403" spans="2:5" ht="14.5">
      <c r="B403" s="100"/>
      <c r="C403" s="78" t="s">
        <v>134</v>
      </c>
      <c r="D403" s="72">
        <v>1</v>
      </c>
      <c r="E403" s="73">
        <v>1.1868027533799999E-4</v>
      </c>
    </row>
    <row r="404" spans="2:5" ht="14.5">
      <c r="B404" s="101"/>
      <c r="C404" s="24" t="s">
        <v>12</v>
      </c>
      <c r="D404" s="23">
        <v>27</v>
      </c>
      <c r="E404" s="22">
        <v>3.2043674341319999E-3</v>
      </c>
    </row>
    <row r="405" spans="2:5" ht="14.5">
      <c r="B405" s="99" t="s">
        <v>259</v>
      </c>
      <c r="C405" s="27" t="s">
        <v>127</v>
      </c>
      <c r="D405" s="26">
        <v>1</v>
      </c>
      <c r="E405" s="25">
        <v>1.1868027533799999E-4</v>
      </c>
    </row>
    <row r="406" spans="2:5" ht="14.5">
      <c r="B406" s="101"/>
      <c r="C406" s="24" t="s">
        <v>12</v>
      </c>
      <c r="D406" s="23">
        <v>1</v>
      </c>
      <c r="E406" s="22">
        <v>1.1868027533799999E-4</v>
      </c>
    </row>
    <row r="407" spans="2:5">
      <c r="B407" s="108" t="s">
        <v>12</v>
      </c>
      <c r="C407" s="109"/>
      <c r="D407" s="66">
        <v>8426</v>
      </c>
      <c r="E407" s="67">
        <v>1</v>
      </c>
    </row>
    <row r="409" spans="2:5" ht="15" customHeight="1">
      <c r="B409" s="17" t="s">
        <v>44</v>
      </c>
    </row>
    <row r="410" spans="2:5" ht="15" customHeight="1">
      <c r="B410" s="18" t="s">
        <v>3</v>
      </c>
    </row>
    <row r="411" spans="2:5" ht="15" customHeight="1">
      <c r="B411" s="19" t="s">
        <v>45</v>
      </c>
    </row>
    <row r="412" spans="2:5" ht="15" customHeight="1">
      <c r="B412" s="17" t="s">
        <v>4</v>
      </c>
    </row>
    <row r="413" spans="2:5" ht="15" customHeight="1">
      <c r="B413" s="17" t="s">
        <v>46</v>
      </c>
    </row>
  </sheetData>
  <mergeCells count="50">
    <mergeCell ref="B405:B406"/>
    <mergeCell ref="B407:C407"/>
    <mergeCell ref="B370:B377"/>
    <mergeCell ref="B378:B388"/>
    <mergeCell ref="B389:B395"/>
    <mergeCell ref="B396:B398"/>
    <mergeCell ref="B399:B404"/>
    <mergeCell ref="B215:B224"/>
    <mergeCell ref="B225:B232"/>
    <mergeCell ref="B233:B235"/>
    <mergeCell ref="B236:B248"/>
    <mergeCell ref="B249:B258"/>
    <mergeCell ref="B163:B172"/>
    <mergeCell ref="B173:B184"/>
    <mergeCell ref="B185:B195"/>
    <mergeCell ref="B196:B203"/>
    <mergeCell ref="B204:B214"/>
    <mergeCell ref="B113:B124"/>
    <mergeCell ref="B125:B138"/>
    <mergeCell ref="B139:B148"/>
    <mergeCell ref="B149:B158"/>
    <mergeCell ref="B159:B162"/>
    <mergeCell ref="B10:B19"/>
    <mergeCell ref="B20:B27"/>
    <mergeCell ref="B28:B37"/>
    <mergeCell ref="B38:B43"/>
    <mergeCell ref="B44:B46"/>
    <mergeCell ref="B327:B335"/>
    <mergeCell ref="B336:B343"/>
    <mergeCell ref="B259:B268"/>
    <mergeCell ref="B269:B276"/>
    <mergeCell ref="B277:B285"/>
    <mergeCell ref="B286:B291"/>
    <mergeCell ref="B292:B297"/>
    <mergeCell ref="B344:B354"/>
    <mergeCell ref="B355:B362"/>
    <mergeCell ref="B363:B369"/>
    <mergeCell ref="B7:E8"/>
    <mergeCell ref="B47:B50"/>
    <mergeCell ref="B51:B52"/>
    <mergeCell ref="B53:B64"/>
    <mergeCell ref="B65:B77"/>
    <mergeCell ref="B78:B79"/>
    <mergeCell ref="B80:B89"/>
    <mergeCell ref="B90:B99"/>
    <mergeCell ref="B100:B107"/>
    <mergeCell ref="B108:B112"/>
    <mergeCell ref="B298:B307"/>
    <mergeCell ref="B308:B317"/>
    <mergeCell ref="B318:B326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Hoja7">
    <tabColor rgb="FF92D050"/>
  </sheetPr>
  <dimension ref="A1:D70"/>
  <sheetViews>
    <sheetView showGridLines="0" view="pageBreakPreview" topLeftCell="A32" zoomScale="115" zoomScaleNormal="100" zoomScaleSheetLayoutView="115" workbookViewId="0">
      <selection activeCell="D1" sqref="D1"/>
    </sheetView>
  </sheetViews>
  <sheetFormatPr baseColWidth="10" defaultColWidth="11.453125" defaultRowHeight="14.5"/>
  <cols>
    <col min="1" max="1" width="9.26953125" style="8" customWidth="1"/>
    <col min="2" max="2" width="40.54296875" style="8" customWidth="1"/>
    <col min="3" max="3" width="17.7265625" style="16" customWidth="1"/>
    <col min="4" max="4" width="17.7265625" style="8" customWidth="1"/>
    <col min="5" max="5" width="9.26953125" style="8" customWidth="1"/>
    <col min="6" max="6" width="5.7265625" style="8" customWidth="1"/>
    <col min="7" max="16384" width="11.453125" style="8"/>
  </cols>
  <sheetData>
    <row r="1" spans="2:4" s="1" customFormat="1" ht="15" customHeight="1">
      <c r="C1" s="2"/>
    </row>
    <row r="2" spans="2:4" s="1" customFormat="1" ht="15" customHeight="1">
      <c r="C2" s="2"/>
    </row>
    <row r="3" spans="2:4" s="1" customFormat="1" ht="15" customHeight="1">
      <c r="C3" s="2"/>
    </row>
    <row r="4" spans="2:4" s="1" customFormat="1" ht="30" customHeight="1">
      <c r="C4" s="2"/>
      <c r="D4" s="3"/>
    </row>
    <row r="5" spans="2:4" s="1" customFormat="1" ht="15" customHeight="1">
      <c r="C5" s="2"/>
      <c r="D5" s="3"/>
    </row>
    <row r="6" spans="2:4" s="1" customFormat="1" ht="15" customHeight="1">
      <c r="C6" s="2"/>
      <c r="D6" s="3"/>
    </row>
    <row r="7" spans="2:4" s="1" customFormat="1" ht="15" customHeight="1">
      <c r="B7" s="98" t="s">
        <v>37</v>
      </c>
      <c r="C7" s="98"/>
      <c r="D7" s="98"/>
    </row>
    <row r="8" spans="2:4" s="1" customFormat="1" ht="15" customHeight="1">
      <c r="B8" s="98"/>
      <c r="C8" s="98"/>
      <c r="D8" s="98"/>
    </row>
    <row r="9" spans="2:4" s="1" customFormat="1" ht="33" customHeight="1">
      <c r="B9" s="98"/>
      <c r="C9" s="98"/>
      <c r="D9" s="98"/>
    </row>
    <row r="10" spans="2:4" s="1" customFormat="1" ht="4.5" customHeight="1">
      <c r="B10" s="4"/>
      <c r="C10" s="4"/>
      <c r="D10" s="4"/>
    </row>
    <row r="11" spans="2:4" s="1" customFormat="1" ht="33" customHeight="1">
      <c r="B11" s="5" t="s">
        <v>10</v>
      </c>
      <c r="C11" s="6" t="s">
        <v>9</v>
      </c>
      <c r="D11" s="7" t="s">
        <v>2</v>
      </c>
    </row>
    <row r="12" spans="2:4" ht="15" customHeight="1">
      <c r="B12" s="9" t="s">
        <v>141</v>
      </c>
      <c r="C12" s="10">
        <v>1</v>
      </c>
      <c r="D12" s="11">
        <v>1.1868027533799999E-4</v>
      </c>
    </row>
    <row r="13" spans="2:4" ht="15" customHeight="1">
      <c r="B13" s="9" t="s">
        <v>142</v>
      </c>
      <c r="C13" s="10">
        <v>73</v>
      </c>
      <c r="D13" s="11">
        <v>8.6636600996910004E-3</v>
      </c>
    </row>
    <row r="14" spans="2:4" ht="15" customHeight="1">
      <c r="B14" s="9" t="s">
        <v>143</v>
      </c>
      <c r="C14" s="10">
        <v>24</v>
      </c>
      <c r="D14" s="11">
        <v>2.8483266081179999E-3</v>
      </c>
    </row>
    <row r="15" spans="2:4" ht="15" customHeight="1">
      <c r="B15" s="9" t="s">
        <v>144</v>
      </c>
      <c r="C15" s="10">
        <v>49</v>
      </c>
      <c r="D15" s="11">
        <v>5.815333491574E-3</v>
      </c>
    </row>
    <row r="16" spans="2:4" ht="15" customHeight="1">
      <c r="B16" s="9" t="s">
        <v>145</v>
      </c>
      <c r="C16" s="10">
        <v>80</v>
      </c>
      <c r="D16" s="11">
        <v>9.4944220270589998E-3</v>
      </c>
    </row>
    <row r="17" spans="2:4" ht="15" customHeight="1">
      <c r="B17" s="9" t="s">
        <v>146</v>
      </c>
      <c r="C17" s="10">
        <v>72</v>
      </c>
      <c r="D17" s="11">
        <v>8.5449798243530002E-3</v>
      </c>
    </row>
    <row r="18" spans="2:4" ht="15" customHeight="1">
      <c r="B18" s="9" t="s">
        <v>147</v>
      </c>
      <c r="C18" s="10">
        <v>90</v>
      </c>
      <c r="D18" s="11">
        <v>1.0681224780441E-2</v>
      </c>
    </row>
    <row r="19" spans="2:4" ht="15" customHeight="1">
      <c r="B19" s="9" t="s">
        <v>148</v>
      </c>
      <c r="C19" s="10">
        <v>535</v>
      </c>
      <c r="D19" s="11">
        <v>6.3493947305958004E-2</v>
      </c>
    </row>
    <row r="20" spans="2:4" ht="15" customHeight="1">
      <c r="B20" s="9" t="s">
        <v>149</v>
      </c>
      <c r="C20" s="10">
        <v>1059</v>
      </c>
      <c r="D20" s="11">
        <v>0.12568241158319499</v>
      </c>
    </row>
    <row r="21" spans="2:4" ht="15" customHeight="1">
      <c r="B21" s="9" t="s">
        <v>150</v>
      </c>
      <c r="C21" s="10">
        <v>116</v>
      </c>
      <c r="D21" s="11">
        <v>1.3766911939235999E-2</v>
      </c>
    </row>
    <row r="22" spans="2:4" ht="15" customHeight="1">
      <c r="B22" s="9" t="s">
        <v>151</v>
      </c>
      <c r="C22" s="10">
        <v>197</v>
      </c>
      <c r="D22" s="11">
        <v>2.3380014241632999E-2</v>
      </c>
    </row>
    <row r="23" spans="2:4" ht="15" customHeight="1">
      <c r="B23" s="9" t="s">
        <v>152</v>
      </c>
      <c r="C23" s="10">
        <v>479</v>
      </c>
      <c r="D23" s="11">
        <v>5.6847851887016E-2</v>
      </c>
    </row>
    <row r="24" spans="2:4" ht="15" customHeight="1">
      <c r="B24" s="9" t="s">
        <v>153</v>
      </c>
      <c r="C24" s="10">
        <v>3036</v>
      </c>
      <c r="D24" s="11">
        <v>0.36031331592689297</v>
      </c>
    </row>
    <row r="25" spans="2:4" ht="15" customHeight="1">
      <c r="B25" s="9" t="s">
        <v>154</v>
      </c>
      <c r="C25" s="10">
        <v>85</v>
      </c>
      <c r="D25" s="11">
        <v>1.008782340375E-2</v>
      </c>
    </row>
    <row r="26" spans="2:4" ht="15" customHeight="1">
      <c r="B26" s="9" t="s">
        <v>155</v>
      </c>
      <c r="C26" s="10">
        <v>462</v>
      </c>
      <c r="D26" s="11">
        <v>5.4830287206266003E-2</v>
      </c>
    </row>
    <row r="27" spans="2:4" ht="15" customHeight="1">
      <c r="B27" s="9" t="s">
        <v>156</v>
      </c>
      <c r="C27" s="10">
        <v>1675</v>
      </c>
      <c r="D27" s="11">
        <v>0.19878946119155</v>
      </c>
    </row>
    <row r="28" spans="2:4" ht="15" customHeight="1">
      <c r="B28" s="9" t="s">
        <v>157</v>
      </c>
      <c r="C28" s="10">
        <v>16</v>
      </c>
      <c r="D28" s="11">
        <v>1.898884405412E-3</v>
      </c>
    </row>
    <row r="29" spans="2:4" ht="15" customHeight="1">
      <c r="B29" s="9" t="s">
        <v>158</v>
      </c>
      <c r="C29" s="10">
        <v>21</v>
      </c>
      <c r="D29" s="11">
        <v>2.4922857821029999E-3</v>
      </c>
    </row>
    <row r="30" spans="2:4" ht="15" customHeight="1">
      <c r="B30" s="9" t="s">
        <v>159</v>
      </c>
      <c r="C30" s="10">
        <v>19</v>
      </c>
      <c r="D30" s="11">
        <v>2.254925231427E-3</v>
      </c>
    </row>
    <row r="31" spans="2:4" ht="15" customHeight="1">
      <c r="B31" s="9" t="s">
        <v>160</v>
      </c>
      <c r="C31" s="10">
        <v>6</v>
      </c>
      <c r="D31" s="11">
        <v>7.1208165202899995E-4</v>
      </c>
    </row>
    <row r="32" spans="2:4" ht="15" customHeight="1">
      <c r="B32" s="9" t="s">
        <v>161</v>
      </c>
      <c r="C32" s="10">
        <v>81</v>
      </c>
      <c r="D32" s="11">
        <v>9.6131023023969999E-3</v>
      </c>
    </row>
    <row r="33" spans="1:4" ht="15" customHeight="1">
      <c r="B33" s="9" t="s">
        <v>162</v>
      </c>
      <c r="C33" s="10">
        <v>235</v>
      </c>
      <c r="D33" s="11">
        <v>2.7889864704486001E-2</v>
      </c>
    </row>
    <row r="34" spans="1:4" ht="15" customHeight="1">
      <c r="B34" s="9" t="s">
        <v>163</v>
      </c>
      <c r="C34" s="10">
        <v>1</v>
      </c>
      <c r="D34" s="11">
        <v>1.1868027533799999E-4</v>
      </c>
    </row>
    <row r="35" spans="1:4" ht="15" customHeight="1">
      <c r="B35" s="9" t="s">
        <v>164</v>
      </c>
      <c r="C35" s="10">
        <v>12</v>
      </c>
      <c r="D35" s="11">
        <v>1.424163304059E-3</v>
      </c>
    </row>
    <row r="36" spans="1:4" ht="15" customHeight="1">
      <c r="B36" s="9" t="s">
        <v>165</v>
      </c>
      <c r="C36" s="10">
        <v>2</v>
      </c>
      <c r="D36" s="11">
        <v>2.3736055067599999E-4</v>
      </c>
    </row>
    <row r="37" spans="1:4" ht="15" customHeight="1">
      <c r="B37" s="13" t="s">
        <v>12</v>
      </c>
      <c r="C37" s="14">
        <v>8426</v>
      </c>
      <c r="D37" s="15">
        <v>1</v>
      </c>
    </row>
    <row r="38" spans="1:4">
      <c r="C38" s="8"/>
    </row>
    <row r="39" spans="1:4">
      <c r="A39" s="37"/>
      <c r="B39" s="17" t="s">
        <v>44</v>
      </c>
      <c r="C39" s="8"/>
    </row>
    <row r="40" spans="1:4">
      <c r="A40" s="37"/>
      <c r="B40" s="18" t="s">
        <v>3</v>
      </c>
      <c r="C40" s="8"/>
    </row>
    <row r="41" spans="1:4">
      <c r="A41" s="37"/>
      <c r="B41" s="19" t="s">
        <v>45</v>
      </c>
      <c r="C41" s="8"/>
    </row>
    <row r="42" spans="1:4">
      <c r="A42" s="37"/>
      <c r="B42" s="17" t="s">
        <v>4</v>
      </c>
      <c r="C42" s="8"/>
    </row>
    <row r="43" spans="1:4">
      <c r="A43" s="37"/>
      <c r="B43" s="17" t="s">
        <v>46</v>
      </c>
      <c r="C43" s="8"/>
    </row>
    <row r="44" spans="1:4">
      <c r="C44" s="8"/>
    </row>
    <row r="45" spans="1:4">
      <c r="C45" s="8"/>
    </row>
    <row r="46" spans="1:4">
      <c r="C46" s="8"/>
    </row>
    <row r="47" spans="1:4">
      <c r="C47" s="8"/>
    </row>
    <row r="48" spans="1:4">
      <c r="C48" s="8"/>
    </row>
    <row r="49" spans="3:3">
      <c r="C49" s="8"/>
    </row>
    <row r="50" spans="3:3">
      <c r="C50" s="8"/>
    </row>
    <row r="51" spans="3:3">
      <c r="C51" s="8"/>
    </row>
    <row r="52" spans="3:3">
      <c r="C52" s="8"/>
    </row>
    <row r="53" spans="3:3">
      <c r="C53" s="8"/>
    </row>
    <row r="54" spans="3:3">
      <c r="C54" s="8"/>
    </row>
    <row r="55" spans="3:3">
      <c r="C55" s="8"/>
    </row>
    <row r="56" spans="3:3">
      <c r="C56" s="8"/>
    </row>
    <row r="57" spans="3:3">
      <c r="C57" s="8"/>
    </row>
    <row r="58" spans="3:3">
      <c r="C58" s="8"/>
    </row>
    <row r="59" spans="3:3">
      <c r="C59" s="8"/>
    </row>
    <row r="60" spans="3:3">
      <c r="C60" s="8"/>
    </row>
    <row r="61" spans="3:3">
      <c r="C61" s="8"/>
    </row>
    <row r="62" spans="3:3">
      <c r="C62" s="8"/>
    </row>
    <row r="63" spans="3:3">
      <c r="C63" s="8"/>
    </row>
    <row r="64" spans="3:3">
      <c r="C64" s="8"/>
    </row>
    <row r="65" spans="3:3">
      <c r="C65" s="8"/>
    </row>
    <row r="66" spans="3:3">
      <c r="C66" s="8"/>
    </row>
    <row r="67" spans="3:3">
      <c r="C67" s="8"/>
    </row>
    <row r="68" spans="3:3">
      <c r="C68" s="8"/>
    </row>
    <row r="69" spans="3:3">
      <c r="C69" s="8"/>
    </row>
    <row r="70" spans="3:3">
      <c r="C70" s="8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8">
    <tabColor rgb="FF92D050"/>
  </sheetPr>
  <dimension ref="A1:E512"/>
  <sheetViews>
    <sheetView showGridLines="0" view="pageBreakPreview" zoomScale="85" zoomScaleNormal="110" zoomScaleSheetLayoutView="85" workbookViewId="0">
      <selection activeCell="B510" sqref="B510"/>
    </sheetView>
  </sheetViews>
  <sheetFormatPr baseColWidth="10" defaultColWidth="35" defaultRowHeight="15" customHeight="1"/>
  <cols>
    <col min="1" max="1" width="1" style="20" customWidth="1"/>
    <col min="2" max="2" width="22.81640625" style="21" customWidth="1"/>
    <col min="3" max="3" width="31.453125" style="21" customWidth="1"/>
    <col min="4" max="4" width="14.26953125" style="21" customWidth="1"/>
    <col min="5" max="5" width="16.81640625" style="21" customWidth="1"/>
    <col min="6" max="16384" width="35" style="20"/>
  </cols>
  <sheetData>
    <row r="1" spans="1:5" s="31" customFormat="1" ht="12" customHeight="1">
      <c r="B1" s="34"/>
      <c r="C1" s="33"/>
      <c r="D1" s="33"/>
      <c r="E1" s="33"/>
    </row>
    <row r="2" spans="1:5" s="31" customFormat="1" ht="15" customHeight="1">
      <c r="C2" s="36"/>
    </row>
    <row r="3" spans="1:5" s="31" customFormat="1" ht="15" customHeight="1">
      <c r="C3" s="36"/>
    </row>
    <row r="4" spans="1:5" s="31" customFormat="1" ht="30" customHeight="1">
      <c r="C4" s="36"/>
      <c r="D4" s="35"/>
    </row>
    <row r="5" spans="1:5" s="31" customFormat="1" ht="15" customHeight="1">
      <c r="C5" s="36"/>
      <c r="D5" s="35"/>
    </row>
    <row r="6" spans="1:5" s="31" customFormat="1" ht="24" customHeight="1">
      <c r="B6" s="34"/>
      <c r="C6" s="33"/>
      <c r="D6" s="33"/>
      <c r="E6" s="33"/>
    </row>
    <row r="7" spans="1:5" s="31" customFormat="1" ht="26.25" customHeight="1">
      <c r="A7" s="32"/>
      <c r="B7" s="102"/>
      <c r="C7" s="102"/>
      <c r="D7" s="102"/>
      <c r="E7" s="102"/>
    </row>
    <row r="8" spans="1:5" s="31" customFormat="1" ht="33" customHeight="1">
      <c r="A8" s="32"/>
      <c r="B8" s="102"/>
      <c r="C8" s="102"/>
      <c r="D8" s="102"/>
      <c r="E8" s="102"/>
    </row>
    <row r="9" spans="1:5" s="1" customFormat="1" ht="40.5" customHeight="1">
      <c r="B9" s="28" t="s">
        <v>11</v>
      </c>
      <c r="C9" s="30" t="s">
        <v>8</v>
      </c>
      <c r="D9" s="29" t="s">
        <v>1</v>
      </c>
      <c r="E9" s="28" t="s">
        <v>2</v>
      </c>
    </row>
    <row r="10" spans="1:5" ht="15" customHeight="1">
      <c r="B10" s="99" t="s">
        <v>141</v>
      </c>
      <c r="C10" s="78" t="s">
        <v>94</v>
      </c>
      <c r="D10" s="72">
        <v>1</v>
      </c>
      <c r="E10" s="73">
        <v>1.1868027533799999E-4</v>
      </c>
    </row>
    <row r="11" spans="1:5" ht="15" customHeight="1">
      <c r="B11" s="101"/>
      <c r="C11" s="24" t="s">
        <v>12</v>
      </c>
      <c r="D11" s="23">
        <v>1</v>
      </c>
      <c r="E11" s="22">
        <v>1.1868027533799999E-4</v>
      </c>
    </row>
    <row r="12" spans="1:5" ht="15" customHeight="1">
      <c r="B12" s="99" t="s">
        <v>142</v>
      </c>
      <c r="C12" s="78" t="s">
        <v>51</v>
      </c>
      <c r="D12" s="72">
        <v>3</v>
      </c>
      <c r="E12" s="73">
        <v>3.5604082601500001E-4</v>
      </c>
    </row>
    <row r="13" spans="1:5" ht="15" customHeight="1">
      <c r="B13" s="100"/>
      <c r="C13" s="78" t="s">
        <v>52</v>
      </c>
      <c r="D13" s="72">
        <v>3</v>
      </c>
      <c r="E13" s="73">
        <v>3.5604082601500001E-4</v>
      </c>
    </row>
    <row r="14" spans="1:5" ht="15" customHeight="1">
      <c r="B14" s="100"/>
      <c r="C14" s="78" t="s">
        <v>53</v>
      </c>
      <c r="D14" s="72">
        <v>20</v>
      </c>
      <c r="E14" s="73">
        <v>2.3736055067650002E-3</v>
      </c>
    </row>
    <row r="15" spans="1:5" ht="15" customHeight="1">
      <c r="B15" s="100"/>
      <c r="C15" s="78" t="s">
        <v>54</v>
      </c>
      <c r="D15" s="72">
        <v>3</v>
      </c>
      <c r="E15" s="73">
        <v>3.5604082601500001E-4</v>
      </c>
    </row>
    <row r="16" spans="1:5" ht="15" customHeight="1">
      <c r="B16" s="100"/>
      <c r="C16" s="78" t="s">
        <v>58</v>
      </c>
      <c r="D16" s="72">
        <v>4</v>
      </c>
      <c r="E16" s="73">
        <v>4.7472110135299999E-4</v>
      </c>
    </row>
    <row r="17" spans="2:5" ht="15" customHeight="1">
      <c r="B17" s="100"/>
      <c r="C17" s="78" t="s">
        <v>62</v>
      </c>
      <c r="D17" s="72">
        <v>11</v>
      </c>
      <c r="E17" s="73">
        <v>1.305483028721E-3</v>
      </c>
    </row>
    <row r="18" spans="2:5" ht="15" customHeight="1">
      <c r="B18" s="100"/>
      <c r="C18" s="78" t="s">
        <v>64</v>
      </c>
      <c r="D18" s="72">
        <v>3</v>
      </c>
      <c r="E18" s="73">
        <v>3.5604082601500001E-4</v>
      </c>
    </row>
    <row r="19" spans="2:5" ht="15" customHeight="1">
      <c r="B19" s="100"/>
      <c r="C19" s="78" t="s">
        <v>68</v>
      </c>
      <c r="D19" s="72">
        <v>1</v>
      </c>
      <c r="E19" s="73">
        <v>1.1868027533799999E-4</v>
      </c>
    </row>
    <row r="20" spans="2:5" ht="15" customHeight="1">
      <c r="B20" s="100"/>
      <c r="C20" s="78" t="s">
        <v>78</v>
      </c>
      <c r="D20" s="72">
        <v>2</v>
      </c>
      <c r="E20" s="73">
        <v>2.3736055067599999E-4</v>
      </c>
    </row>
    <row r="21" spans="2:5" ht="15" customHeight="1">
      <c r="B21" s="100"/>
      <c r="C21" s="78" t="s">
        <v>82</v>
      </c>
      <c r="D21" s="72">
        <v>1</v>
      </c>
      <c r="E21" s="73">
        <v>1.1868027533799999E-4</v>
      </c>
    </row>
    <row r="22" spans="2:5" ht="15" customHeight="1">
      <c r="B22" s="100"/>
      <c r="C22" s="78" t="s">
        <v>84</v>
      </c>
      <c r="D22" s="72">
        <v>2</v>
      </c>
      <c r="E22" s="73">
        <v>2.3736055067599999E-4</v>
      </c>
    </row>
    <row r="23" spans="2:5" ht="15" customHeight="1">
      <c r="B23" s="100"/>
      <c r="C23" s="78" t="s">
        <v>90</v>
      </c>
      <c r="D23" s="72">
        <v>2</v>
      </c>
      <c r="E23" s="73">
        <v>2.3736055067599999E-4</v>
      </c>
    </row>
    <row r="24" spans="2:5" ht="15" customHeight="1">
      <c r="B24" s="100"/>
      <c r="C24" s="78" t="s">
        <v>94</v>
      </c>
      <c r="D24" s="72">
        <v>2</v>
      </c>
      <c r="E24" s="73">
        <v>2.3736055067599999E-4</v>
      </c>
    </row>
    <row r="25" spans="2:5" ht="15" customHeight="1">
      <c r="B25" s="100"/>
      <c r="C25" s="78" t="s">
        <v>98</v>
      </c>
      <c r="D25" s="72">
        <v>2</v>
      </c>
      <c r="E25" s="73">
        <v>2.3736055067599999E-4</v>
      </c>
    </row>
    <row r="26" spans="2:5" ht="15" customHeight="1">
      <c r="B26" s="100"/>
      <c r="C26" s="78" t="s">
        <v>104</v>
      </c>
      <c r="D26" s="72">
        <v>5</v>
      </c>
      <c r="E26" s="73">
        <v>5.9340137669100003E-4</v>
      </c>
    </row>
    <row r="27" spans="2:5" ht="15" customHeight="1">
      <c r="B27" s="100"/>
      <c r="C27" s="78" t="s">
        <v>115</v>
      </c>
      <c r="D27" s="72">
        <v>5</v>
      </c>
      <c r="E27" s="73">
        <v>5.9340137669100003E-4</v>
      </c>
    </row>
    <row r="28" spans="2:5" ht="15" customHeight="1">
      <c r="B28" s="100"/>
      <c r="C28" s="78" t="s">
        <v>117</v>
      </c>
      <c r="D28" s="72">
        <v>1</v>
      </c>
      <c r="E28" s="73">
        <v>1.1868027533799999E-4</v>
      </c>
    </row>
    <row r="29" spans="2:5" ht="15" customHeight="1">
      <c r="B29" s="100"/>
      <c r="C29" s="78" t="s">
        <v>119</v>
      </c>
      <c r="D29" s="72">
        <v>1</v>
      </c>
      <c r="E29" s="73">
        <v>1.1868027533799999E-4</v>
      </c>
    </row>
    <row r="30" spans="2:5" ht="15" customHeight="1">
      <c r="B30" s="100"/>
      <c r="C30" s="78" t="s">
        <v>121</v>
      </c>
      <c r="D30" s="72">
        <v>1</v>
      </c>
      <c r="E30" s="73">
        <v>1.1868027533799999E-4</v>
      </c>
    </row>
    <row r="31" spans="2:5" ht="15" customHeight="1">
      <c r="B31" s="100"/>
      <c r="C31" s="78" t="s">
        <v>123</v>
      </c>
      <c r="D31" s="72">
        <v>1</v>
      </c>
      <c r="E31" s="73">
        <v>1.1868027533799999E-4</v>
      </c>
    </row>
    <row r="32" spans="2:5" ht="15" customHeight="1">
      <c r="B32" s="101"/>
      <c r="C32" s="24" t="s">
        <v>12</v>
      </c>
      <c r="D32" s="23">
        <v>73</v>
      </c>
      <c r="E32" s="22">
        <v>8.6636600996910004E-3</v>
      </c>
    </row>
    <row r="33" spans="2:5" ht="15" customHeight="1">
      <c r="B33" s="99" t="s">
        <v>143</v>
      </c>
      <c r="C33" s="78" t="s">
        <v>52</v>
      </c>
      <c r="D33" s="72">
        <v>1</v>
      </c>
      <c r="E33" s="73">
        <v>1.1868027533799999E-4</v>
      </c>
    </row>
    <row r="34" spans="2:5" ht="15" customHeight="1">
      <c r="B34" s="100"/>
      <c r="C34" s="78" t="s">
        <v>53</v>
      </c>
      <c r="D34" s="72">
        <v>9</v>
      </c>
      <c r="E34" s="73">
        <v>1.0681224780439999E-3</v>
      </c>
    </row>
    <row r="35" spans="2:5" ht="15" customHeight="1">
      <c r="B35" s="100"/>
      <c r="C35" s="78" t="s">
        <v>54</v>
      </c>
      <c r="D35" s="72">
        <v>2</v>
      </c>
      <c r="E35" s="73">
        <v>2.3736055067599999E-4</v>
      </c>
    </row>
    <row r="36" spans="2:5" ht="15" customHeight="1">
      <c r="B36" s="100"/>
      <c r="C36" s="78" t="s">
        <v>62</v>
      </c>
      <c r="D36" s="72">
        <v>3</v>
      </c>
      <c r="E36" s="73">
        <v>3.5604082601500001E-4</v>
      </c>
    </row>
    <row r="37" spans="2:5" ht="15" customHeight="1">
      <c r="B37" s="100"/>
      <c r="C37" s="78" t="s">
        <v>64</v>
      </c>
      <c r="D37" s="72">
        <v>1</v>
      </c>
      <c r="E37" s="73">
        <v>1.1868027533799999E-4</v>
      </c>
    </row>
    <row r="38" spans="2:5" ht="15" customHeight="1">
      <c r="B38" s="100"/>
      <c r="C38" s="78" t="s">
        <v>94</v>
      </c>
      <c r="D38" s="72">
        <v>2</v>
      </c>
      <c r="E38" s="73">
        <v>2.3736055067599999E-4</v>
      </c>
    </row>
    <row r="39" spans="2:5" ht="15" customHeight="1">
      <c r="B39" s="100"/>
      <c r="C39" s="78" t="s">
        <v>104</v>
      </c>
      <c r="D39" s="72">
        <v>2</v>
      </c>
      <c r="E39" s="73">
        <v>2.3736055067599999E-4</v>
      </c>
    </row>
    <row r="40" spans="2:5" ht="15" customHeight="1">
      <c r="B40" s="100"/>
      <c r="C40" s="78" t="s">
        <v>115</v>
      </c>
      <c r="D40" s="72">
        <v>4</v>
      </c>
      <c r="E40" s="73">
        <v>4.7472110135299999E-4</v>
      </c>
    </row>
    <row r="41" spans="2:5" ht="15" customHeight="1">
      <c r="B41" s="101"/>
      <c r="C41" s="24" t="s">
        <v>12</v>
      </c>
      <c r="D41" s="23">
        <v>24</v>
      </c>
      <c r="E41" s="22">
        <v>2.8483266081179999E-3</v>
      </c>
    </row>
    <row r="42" spans="2:5" ht="15" customHeight="1">
      <c r="B42" s="99" t="s">
        <v>144</v>
      </c>
      <c r="C42" s="78" t="s">
        <v>52</v>
      </c>
      <c r="D42" s="72">
        <v>4</v>
      </c>
      <c r="E42" s="73">
        <v>4.7472110135299999E-4</v>
      </c>
    </row>
    <row r="43" spans="2:5" ht="15" customHeight="1">
      <c r="B43" s="100"/>
      <c r="C43" s="78" t="s">
        <v>53</v>
      </c>
      <c r="D43" s="72">
        <v>8</v>
      </c>
      <c r="E43" s="73">
        <v>9.4944220270599998E-4</v>
      </c>
    </row>
    <row r="44" spans="2:5" ht="15" customHeight="1">
      <c r="B44" s="100"/>
      <c r="C44" s="78" t="s">
        <v>54</v>
      </c>
      <c r="D44" s="72">
        <v>8</v>
      </c>
      <c r="E44" s="73">
        <v>9.4944220270599998E-4</v>
      </c>
    </row>
    <row r="45" spans="2:5" ht="15" customHeight="1">
      <c r="B45" s="100"/>
      <c r="C45" s="78" t="s">
        <v>58</v>
      </c>
      <c r="D45" s="72">
        <v>2</v>
      </c>
      <c r="E45" s="73">
        <v>2.3736055067599999E-4</v>
      </c>
    </row>
    <row r="46" spans="2:5" ht="15" customHeight="1">
      <c r="B46" s="100"/>
      <c r="C46" s="78" t="s">
        <v>62</v>
      </c>
      <c r="D46" s="72">
        <v>2</v>
      </c>
      <c r="E46" s="73">
        <v>2.3736055067599999E-4</v>
      </c>
    </row>
    <row r="47" spans="2:5" ht="15" customHeight="1">
      <c r="B47" s="100"/>
      <c r="C47" s="78" t="s">
        <v>68</v>
      </c>
      <c r="D47" s="72">
        <v>1</v>
      </c>
      <c r="E47" s="73">
        <v>1.1868027533799999E-4</v>
      </c>
    </row>
    <row r="48" spans="2:5" ht="15" customHeight="1">
      <c r="B48" s="100"/>
      <c r="C48" s="78" t="s">
        <v>84</v>
      </c>
      <c r="D48" s="72">
        <v>1</v>
      </c>
      <c r="E48" s="73">
        <v>1.1868027533799999E-4</v>
      </c>
    </row>
    <row r="49" spans="2:5" ht="15" customHeight="1">
      <c r="B49" s="100"/>
      <c r="C49" s="78" t="s">
        <v>88</v>
      </c>
      <c r="D49" s="72">
        <v>1</v>
      </c>
      <c r="E49" s="73">
        <v>1.1868027533799999E-4</v>
      </c>
    </row>
    <row r="50" spans="2:5" ht="15" customHeight="1">
      <c r="B50" s="100"/>
      <c r="C50" s="78" t="s">
        <v>104</v>
      </c>
      <c r="D50" s="72">
        <v>9</v>
      </c>
      <c r="E50" s="73">
        <v>1.0681224780439999E-3</v>
      </c>
    </row>
    <row r="51" spans="2:5" ht="15" customHeight="1">
      <c r="B51" s="100"/>
      <c r="C51" s="78" t="s">
        <v>109</v>
      </c>
      <c r="D51" s="72">
        <v>1</v>
      </c>
      <c r="E51" s="73">
        <v>1.1868027533799999E-4</v>
      </c>
    </row>
    <row r="52" spans="2:5" ht="15" customHeight="1">
      <c r="B52" s="100"/>
      <c r="C52" s="78" t="s">
        <v>115</v>
      </c>
      <c r="D52" s="72">
        <v>10</v>
      </c>
      <c r="E52" s="73">
        <v>1.1868027533820001E-3</v>
      </c>
    </row>
    <row r="53" spans="2:5" ht="15" customHeight="1">
      <c r="B53" s="100"/>
      <c r="C53" s="78" t="s">
        <v>121</v>
      </c>
      <c r="D53" s="72">
        <v>1</v>
      </c>
      <c r="E53" s="73">
        <v>1.1868027533799999E-4</v>
      </c>
    </row>
    <row r="54" spans="2:5" ht="15" customHeight="1">
      <c r="B54" s="100"/>
      <c r="C54" s="78" t="s">
        <v>123</v>
      </c>
      <c r="D54" s="72">
        <v>1</v>
      </c>
      <c r="E54" s="73">
        <v>1.1868027533799999E-4</v>
      </c>
    </row>
    <row r="55" spans="2:5" ht="15" customHeight="1">
      <c r="B55" s="101"/>
      <c r="C55" s="24" t="s">
        <v>12</v>
      </c>
      <c r="D55" s="23">
        <v>49</v>
      </c>
      <c r="E55" s="22">
        <v>5.815333491574E-3</v>
      </c>
    </row>
    <row r="56" spans="2:5" ht="15" customHeight="1">
      <c r="B56" s="99" t="s">
        <v>145</v>
      </c>
      <c r="C56" s="78" t="s">
        <v>51</v>
      </c>
      <c r="D56" s="72">
        <v>1</v>
      </c>
      <c r="E56" s="73">
        <v>1.1868027533799999E-4</v>
      </c>
    </row>
    <row r="57" spans="2:5" ht="15" customHeight="1">
      <c r="B57" s="100"/>
      <c r="C57" s="78" t="s">
        <v>53</v>
      </c>
      <c r="D57" s="72">
        <v>14</v>
      </c>
      <c r="E57" s="73">
        <v>1.661523854735E-3</v>
      </c>
    </row>
    <row r="58" spans="2:5" ht="15" customHeight="1">
      <c r="B58" s="100"/>
      <c r="C58" s="78" t="s">
        <v>54</v>
      </c>
      <c r="D58" s="72">
        <v>9</v>
      </c>
      <c r="E58" s="73">
        <v>1.0681224780439999E-3</v>
      </c>
    </row>
    <row r="59" spans="2:5" ht="15" customHeight="1">
      <c r="B59" s="100"/>
      <c r="C59" s="78" t="s">
        <v>58</v>
      </c>
      <c r="D59" s="72">
        <v>2</v>
      </c>
      <c r="E59" s="73">
        <v>2.3736055067599999E-4</v>
      </c>
    </row>
    <row r="60" spans="2:5" ht="15" customHeight="1">
      <c r="B60" s="100"/>
      <c r="C60" s="78" t="s">
        <v>59</v>
      </c>
      <c r="D60" s="72">
        <v>2</v>
      </c>
      <c r="E60" s="73">
        <v>2.3736055067599999E-4</v>
      </c>
    </row>
    <row r="61" spans="2:5" ht="15" customHeight="1">
      <c r="B61" s="100"/>
      <c r="C61" s="78" t="s">
        <v>62</v>
      </c>
      <c r="D61" s="72">
        <v>5</v>
      </c>
      <c r="E61" s="73">
        <v>5.9340137669100003E-4</v>
      </c>
    </row>
    <row r="62" spans="2:5" ht="15" customHeight="1">
      <c r="B62" s="100"/>
      <c r="C62" s="78" t="s">
        <v>64</v>
      </c>
      <c r="D62" s="72">
        <v>8</v>
      </c>
      <c r="E62" s="73">
        <v>9.4944220270599998E-4</v>
      </c>
    </row>
    <row r="63" spans="2:5" ht="15" customHeight="1">
      <c r="B63" s="100"/>
      <c r="C63" s="78" t="s">
        <v>66</v>
      </c>
      <c r="D63" s="72">
        <v>4</v>
      </c>
      <c r="E63" s="73">
        <v>4.7472110135299999E-4</v>
      </c>
    </row>
    <row r="64" spans="2:5" ht="15" customHeight="1">
      <c r="B64" s="100"/>
      <c r="C64" s="78" t="s">
        <v>68</v>
      </c>
      <c r="D64" s="72">
        <v>1</v>
      </c>
      <c r="E64" s="73">
        <v>1.1868027533799999E-4</v>
      </c>
    </row>
    <row r="65" spans="2:5" ht="15" customHeight="1">
      <c r="B65" s="100"/>
      <c r="C65" s="78" t="s">
        <v>76</v>
      </c>
      <c r="D65" s="72">
        <v>1</v>
      </c>
      <c r="E65" s="73">
        <v>1.1868027533799999E-4</v>
      </c>
    </row>
    <row r="66" spans="2:5" ht="15" customHeight="1">
      <c r="B66" s="100"/>
      <c r="C66" s="78" t="s">
        <v>82</v>
      </c>
      <c r="D66" s="72">
        <v>1</v>
      </c>
      <c r="E66" s="73">
        <v>1.1868027533799999E-4</v>
      </c>
    </row>
    <row r="67" spans="2:5" ht="15" customHeight="1">
      <c r="B67" s="100"/>
      <c r="C67" s="78" t="s">
        <v>90</v>
      </c>
      <c r="D67" s="72">
        <v>1</v>
      </c>
      <c r="E67" s="73">
        <v>1.1868027533799999E-4</v>
      </c>
    </row>
    <row r="68" spans="2:5" ht="15" customHeight="1">
      <c r="B68" s="100"/>
      <c r="C68" s="78" t="s">
        <v>94</v>
      </c>
      <c r="D68" s="72">
        <v>1</v>
      </c>
      <c r="E68" s="73">
        <v>1.1868027533799999E-4</v>
      </c>
    </row>
    <row r="69" spans="2:5" ht="15" customHeight="1">
      <c r="B69" s="100"/>
      <c r="C69" s="78" t="s">
        <v>98</v>
      </c>
      <c r="D69" s="72">
        <v>1</v>
      </c>
      <c r="E69" s="73">
        <v>1.1868027533799999E-4</v>
      </c>
    </row>
    <row r="70" spans="2:5" ht="15" customHeight="1">
      <c r="B70" s="100"/>
      <c r="C70" s="78" t="s">
        <v>102</v>
      </c>
      <c r="D70" s="72">
        <v>1</v>
      </c>
      <c r="E70" s="73">
        <v>1.1868027533799999E-4</v>
      </c>
    </row>
    <row r="71" spans="2:5" ht="15" customHeight="1">
      <c r="B71" s="100"/>
      <c r="C71" s="78" t="s">
        <v>104</v>
      </c>
      <c r="D71" s="72">
        <v>14</v>
      </c>
      <c r="E71" s="73">
        <v>1.661523854735E-3</v>
      </c>
    </row>
    <row r="72" spans="2:5" ht="15" customHeight="1">
      <c r="B72" s="100"/>
      <c r="C72" s="78" t="s">
        <v>113</v>
      </c>
      <c r="D72" s="72">
        <v>2</v>
      </c>
      <c r="E72" s="73">
        <v>2.3736055067599999E-4</v>
      </c>
    </row>
    <row r="73" spans="2:5" ht="15" customHeight="1">
      <c r="B73" s="100"/>
      <c r="C73" s="78" t="s">
        <v>115</v>
      </c>
      <c r="D73" s="72">
        <v>11</v>
      </c>
      <c r="E73" s="73">
        <v>1.305483028721E-3</v>
      </c>
    </row>
    <row r="74" spans="2:5" ht="15" customHeight="1">
      <c r="B74" s="100"/>
      <c r="C74" s="78" t="s">
        <v>123</v>
      </c>
      <c r="D74" s="72">
        <v>1</v>
      </c>
      <c r="E74" s="73">
        <v>1.1868027533799999E-4</v>
      </c>
    </row>
    <row r="75" spans="2:5" ht="15" customHeight="1">
      <c r="B75" s="101"/>
      <c r="C75" s="24" t="s">
        <v>12</v>
      </c>
      <c r="D75" s="23">
        <v>80</v>
      </c>
      <c r="E75" s="22">
        <v>9.4944220270589998E-3</v>
      </c>
    </row>
    <row r="76" spans="2:5" ht="15" customHeight="1">
      <c r="B76" s="99" t="s">
        <v>146</v>
      </c>
      <c r="C76" s="78" t="s">
        <v>51</v>
      </c>
      <c r="D76" s="72">
        <v>1</v>
      </c>
      <c r="E76" s="73">
        <v>1.1868027533799999E-4</v>
      </c>
    </row>
    <row r="77" spans="2:5" ht="15" customHeight="1">
      <c r="B77" s="100"/>
      <c r="C77" s="78" t="s">
        <v>52</v>
      </c>
      <c r="D77" s="72">
        <v>2</v>
      </c>
      <c r="E77" s="73">
        <v>2.3736055067599999E-4</v>
      </c>
    </row>
    <row r="78" spans="2:5" ht="15" customHeight="1">
      <c r="B78" s="100"/>
      <c r="C78" s="78" t="s">
        <v>53</v>
      </c>
      <c r="D78" s="72">
        <v>11</v>
      </c>
      <c r="E78" s="73">
        <v>1.305483028721E-3</v>
      </c>
    </row>
    <row r="79" spans="2:5" ht="15" customHeight="1">
      <c r="B79" s="100"/>
      <c r="C79" s="78" t="s">
        <v>54</v>
      </c>
      <c r="D79" s="72">
        <v>8</v>
      </c>
      <c r="E79" s="73">
        <v>9.4944220270599998E-4</v>
      </c>
    </row>
    <row r="80" spans="2:5" ht="15" customHeight="1">
      <c r="B80" s="100"/>
      <c r="C80" s="78" t="s">
        <v>58</v>
      </c>
      <c r="D80" s="72">
        <v>2</v>
      </c>
      <c r="E80" s="73">
        <v>2.3736055067599999E-4</v>
      </c>
    </row>
    <row r="81" spans="2:5" ht="15" customHeight="1">
      <c r="B81" s="100"/>
      <c r="C81" s="78" t="s">
        <v>60</v>
      </c>
      <c r="D81" s="72">
        <v>1</v>
      </c>
      <c r="E81" s="73">
        <v>1.1868027533799999E-4</v>
      </c>
    </row>
    <row r="82" spans="2:5" ht="15" customHeight="1">
      <c r="B82" s="100"/>
      <c r="C82" s="78" t="s">
        <v>62</v>
      </c>
      <c r="D82" s="72">
        <v>5</v>
      </c>
      <c r="E82" s="73">
        <v>5.9340137669100003E-4</v>
      </c>
    </row>
    <row r="83" spans="2:5" ht="15" customHeight="1">
      <c r="B83" s="100"/>
      <c r="C83" s="78" t="s">
        <v>64</v>
      </c>
      <c r="D83" s="72">
        <v>1</v>
      </c>
      <c r="E83" s="73">
        <v>1.1868027533799999E-4</v>
      </c>
    </row>
    <row r="84" spans="2:5" ht="15" customHeight="1">
      <c r="B84" s="100"/>
      <c r="C84" s="78" t="s">
        <v>68</v>
      </c>
      <c r="D84" s="72">
        <v>1</v>
      </c>
      <c r="E84" s="73">
        <v>1.1868027533799999E-4</v>
      </c>
    </row>
    <row r="85" spans="2:5" ht="15" customHeight="1">
      <c r="B85" s="100"/>
      <c r="C85" s="78" t="s">
        <v>70</v>
      </c>
      <c r="D85" s="72">
        <v>1</v>
      </c>
      <c r="E85" s="73">
        <v>1.1868027533799999E-4</v>
      </c>
    </row>
    <row r="86" spans="2:5" ht="15" customHeight="1">
      <c r="B86" s="100"/>
      <c r="C86" s="78" t="s">
        <v>72</v>
      </c>
      <c r="D86" s="72">
        <v>1</v>
      </c>
      <c r="E86" s="73">
        <v>1.1868027533799999E-4</v>
      </c>
    </row>
    <row r="87" spans="2:5" ht="15" customHeight="1">
      <c r="B87" s="100"/>
      <c r="C87" s="78" t="s">
        <v>78</v>
      </c>
      <c r="D87" s="72">
        <v>1</v>
      </c>
      <c r="E87" s="73">
        <v>1.1868027533799999E-4</v>
      </c>
    </row>
    <row r="88" spans="2:5" ht="15" customHeight="1">
      <c r="B88" s="100"/>
      <c r="C88" s="78" t="s">
        <v>84</v>
      </c>
      <c r="D88" s="72">
        <v>2</v>
      </c>
      <c r="E88" s="73">
        <v>2.3736055067599999E-4</v>
      </c>
    </row>
    <row r="89" spans="2:5" ht="15" customHeight="1">
      <c r="B89" s="100"/>
      <c r="C89" s="78" t="s">
        <v>90</v>
      </c>
      <c r="D89" s="72">
        <v>3</v>
      </c>
      <c r="E89" s="73">
        <v>3.5604082601500001E-4</v>
      </c>
    </row>
    <row r="90" spans="2:5" ht="15" customHeight="1">
      <c r="B90" s="100"/>
      <c r="C90" s="78" t="s">
        <v>98</v>
      </c>
      <c r="D90" s="72">
        <v>3</v>
      </c>
      <c r="E90" s="73">
        <v>3.5604082601500001E-4</v>
      </c>
    </row>
    <row r="91" spans="2:5" ht="15" customHeight="1">
      <c r="B91" s="100"/>
      <c r="C91" s="78" t="s">
        <v>102</v>
      </c>
      <c r="D91" s="72">
        <v>2</v>
      </c>
      <c r="E91" s="73">
        <v>2.3736055067599999E-4</v>
      </c>
    </row>
    <row r="92" spans="2:5" ht="15" customHeight="1">
      <c r="B92" s="100"/>
      <c r="C92" s="78" t="s">
        <v>104</v>
      </c>
      <c r="D92" s="72">
        <v>9</v>
      </c>
      <c r="E92" s="73">
        <v>1.0681224780439999E-3</v>
      </c>
    </row>
    <row r="93" spans="2:5" ht="15" customHeight="1">
      <c r="B93" s="100"/>
      <c r="C93" s="78" t="s">
        <v>113</v>
      </c>
      <c r="D93" s="72">
        <v>1</v>
      </c>
      <c r="E93" s="73">
        <v>1.1868027533799999E-4</v>
      </c>
    </row>
    <row r="94" spans="2:5" ht="15" customHeight="1">
      <c r="B94" s="100"/>
      <c r="C94" s="78" t="s">
        <v>115</v>
      </c>
      <c r="D94" s="72">
        <v>17</v>
      </c>
      <c r="E94" s="73">
        <v>2.0175646807500001E-3</v>
      </c>
    </row>
    <row r="95" spans="2:5" ht="15" customHeight="1">
      <c r="B95" s="101"/>
      <c r="C95" s="24" t="s">
        <v>12</v>
      </c>
      <c r="D95" s="23">
        <v>72</v>
      </c>
      <c r="E95" s="22">
        <v>8.5449798243530002E-3</v>
      </c>
    </row>
    <row r="96" spans="2:5" ht="15" customHeight="1">
      <c r="B96" s="99" t="s">
        <v>147</v>
      </c>
      <c r="C96" s="78" t="s">
        <v>51</v>
      </c>
      <c r="D96" s="72">
        <v>1</v>
      </c>
      <c r="E96" s="73">
        <v>1.1868027533799999E-4</v>
      </c>
    </row>
    <row r="97" spans="2:5" ht="15" customHeight="1">
      <c r="B97" s="100"/>
      <c r="C97" s="78" t="s">
        <v>52</v>
      </c>
      <c r="D97" s="72">
        <v>1</v>
      </c>
      <c r="E97" s="73">
        <v>1.1868027533799999E-4</v>
      </c>
    </row>
    <row r="98" spans="2:5" ht="15" customHeight="1">
      <c r="B98" s="100"/>
      <c r="C98" s="78" t="s">
        <v>53</v>
      </c>
      <c r="D98" s="72">
        <v>23</v>
      </c>
      <c r="E98" s="73">
        <v>2.7296463327790002E-3</v>
      </c>
    </row>
    <row r="99" spans="2:5" ht="15" customHeight="1">
      <c r="B99" s="100"/>
      <c r="C99" s="78" t="s">
        <v>54</v>
      </c>
      <c r="D99" s="72">
        <v>9</v>
      </c>
      <c r="E99" s="73">
        <v>1.0681224780439999E-3</v>
      </c>
    </row>
    <row r="100" spans="2:5" ht="15" customHeight="1">
      <c r="B100" s="100"/>
      <c r="C100" s="78" t="s">
        <v>58</v>
      </c>
      <c r="D100" s="72">
        <v>2</v>
      </c>
      <c r="E100" s="73">
        <v>2.3736055067599999E-4</v>
      </c>
    </row>
    <row r="101" spans="2:5" ht="15" customHeight="1">
      <c r="B101" s="100"/>
      <c r="C101" s="78" t="s">
        <v>59</v>
      </c>
      <c r="D101" s="72">
        <v>1</v>
      </c>
      <c r="E101" s="73">
        <v>1.1868027533799999E-4</v>
      </c>
    </row>
    <row r="102" spans="2:5" ht="15" customHeight="1">
      <c r="B102" s="100"/>
      <c r="C102" s="78" t="s">
        <v>62</v>
      </c>
      <c r="D102" s="72">
        <v>9</v>
      </c>
      <c r="E102" s="73">
        <v>1.0681224780439999E-3</v>
      </c>
    </row>
    <row r="103" spans="2:5" ht="15" customHeight="1">
      <c r="B103" s="100"/>
      <c r="C103" s="78" t="s">
        <v>64</v>
      </c>
      <c r="D103" s="72">
        <v>5</v>
      </c>
      <c r="E103" s="73">
        <v>5.9340137669100003E-4</v>
      </c>
    </row>
    <row r="104" spans="2:5" ht="15" customHeight="1">
      <c r="B104" s="100"/>
      <c r="C104" s="78" t="s">
        <v>66</v>
      </c>
      <c r="D104" s="72">
        <v>1</v>
      </c>
      <c r="E104" s="73">
        <v>1.1868027533799999E-4</v>
      </c>
    </row>
    <row r="105" spans="2:5" ht="15" customHeight="1">
      <c r="B105" s="100"/>
      <c r="C105" s="78" t="s">
        <v>68</v>
      </c>
      <c r="D105" s="72">
        <v>2</v>
      </c>
      <c r="E105" s="73">
        <v>2.3736055067599999E-4</v>
      </c>
    </row>
    <row r="106" spans="2:5" ht="15" customHeight="1">
      <c r="B106" s="100"/>
      <c r="C106" s="78" t="s">
        <v>78</v>
      </c>
      <c r="D106" s="72">
        <v>1</v>
      </c>
      <c r="E106" s="73">
        <v>1.1868027533799999E-4</v>
      </c>
    </row>
    <row r="107" spans="2:5" ht="15" customHeight="1">
      <c r="B107" s="100"/>
      <c r="C107" s="78" t="s">
        <v>80</v>
      </c>
      <c r="D107" s="72">
        <v>3</v>
      </c>
      <c r="E107" s="73">
        <v>3.5604082601500001E-4</v>
      </c>
    </row>
    <row r="108" spans="2:5" ht="15" customHeight="1">
      <c r="B108" s="100"/>
      <c r="C108" s="78" t="s">
        <v>88</v>
      </c>
      <c r="D108" s="72">
        <v>1</v>
      </c>
      <c r="E108" s="73">
        <v>1.1868027533799999E-4</v>
      </c>
    </row>
    <row r="109" spans="2:5" ht="15" customHeight="1">
      <c r="B109" s="100"/>
      <c r="C109" s="78" t="s">
        <v>90</v>
      </c>
      <c r="D109" s="72">
        <v>1</v>
      </c>
      <c r="E109" s="73">
        <v>1.1868027533799999E-4</v>
      </c>
    </row>
    <row r="110" spans="2:5" ht="15" customHeight="1">
      <c r="B110" s="100"/>
      <c r="C110" s="78" t="s">
        <v>98</v>
      </c>
      <c r="D110" s="72">
        <v>4</v>
      </c>
      <c r="E110" s="73">
        <v>4.7472110135299999E-4</v>
      </c>
    </row>
    <row r="111" spans="2:5" ht="15" customHeight="1">
      <c r="B111" s="100"/>
      <c r="C111" s="78" t="s">
        <v>102</v>
      </c>
      <c r="D111" s="72">
        <v>2</v>
      </c>
      <c r="E111" s="73">
        <v>2.3736055067599999E-4</v>
      </c>
    </row>
    <row r="112" spans="2:5" ht="15" customHeight="1">
      <c r="B112" s="100"/>
      <c r="C112" s="78" t="s">
        <v>104</v>
      </c>
      <c r="D112" s="72">
        <v>6</v>
      </c>
      <c r="E112" s="73">
        <v>7.1208165202899995E-4</v>
      </c>
    </row>
    <row r="113" spans="2:5" ht="15" customHeight="1">
      <c r="B113" s="100"/>
      <c r="C113" s="78" t="s">
        <v>111</v>
      </c>
      <c r="D113" s="72">
        <v>1</v>
      </c>
      <c r="E113" s="73">
        <v>1.1868027533799999E-4</v>
      </c>
    </row>
    <row r="114" spans="2:5" ht="15" customHeight="1">
      <c r="B114" s="100"/>
      <c r="C114" s="78" t="s">
        <v>113</v>
      </c>
      <c r="D114" s="72">
        <v>5</v>
      </c>
      <c r="E114" s="73">
        <v>5.9340137669100003E-4</v>
      </c>
    </row>
    <row r="115" spans="2:5" ht="15" customHeight="1">
      <c r="B115" s="100"/>
      <c r="C115" s="78" t="s">
        <v>115</v>
      </c>
      <c r="D115" s="72">
        <v>10</v>
      </c>
      <c r="E115" s="73">
        <v>1.1868027533820001E-3</v>
      </c>
    </row>
    <row r="116" spans="2:5" ht="15" customHeight="1">
      <c r="B116" s="100"/>
      <c r="C116" s="78" t="s">
        <v>119</v>
      </c>
      <c r="D116" s="72">
        <v>1</v>
      </c>
      <c r="E116" s="73">
        <v>1.1868027533799999E-4</v>
      </c>
    </row>
    <row r="117" spans="2:5" ht="15" customHeight="1">
      <c r="B117" s="100"/>
      <c r="C117" s="78" t="s">
        <v>123</v>
      </c>
      <c r="D117" s="72">
        <v>1</v>
      </c>
      <c r="E117" s="73">
        <v>1.1868027533799999E-4</v>
      </c>
    </row>
    <row r="118" spans="2:5" ht="15" customHeight="1">
      <c r="B118" s="101"/>
      <c r="C118" s="24" t="s">
        <v>12</v>
      </c>
      <c r="D118" s="23">
        <v>90</v>
      </c>
      <c r="E118" s="22">
        <v>1.0681224780441E-2</v>
      </c>
    </row>
    <row r="119" spans="2:5" ht="15" customHeight="1">
      <c r="B119" s="99" t="s">
        <v>148</v>
      </c>
      <c r="C119" s="78" t="s">
        <v>49</v>
      </c>
      <c r="D119" s="72">
        <v>1</v>
      </c>
      <c r="E119" s="73">
        <v>1.1868027533799999E-4</v>
      </c>
    </row>
    <row r="120" spans="2:5" ht="15" customHeight="1">
      <c r="B120" s="100"/>
      <c r="C120" s="78" t="s">
        <v>51</v>
      </c>
      <c r="D120" s="72">
        <v>6</v>
      </c>
      <c r="E120" s="73">
        <v>7.1208165202899995E-4</v>
      </c>
    </row>
    <row r="121" spans="2:5" ht="15" customHeight="1">
      <c r="B121" s="100"/>
      <c r="C121" s="78" t="s">
        <v>52</v>
      </c>
      <c r="D121" s="72">
        <v>6</v>
      </c>
      <c r="E121" s="73">
        <v>7.1208165202899995E-4</v>
      </c>
    </row>
    <row r="122" spans="2:5" ht="15" customHeight="1">
      <c r="B122" s="100"/>
      <c r="C122" s="78" t="s">
        <v>53</v>
      </c>
      <c r="D122" s="72">
        <v>124</v>
      </c>
      <c r="E122" s="73">
        <v>1.4716354141942001E-2</v>
      </c>
    </row>
    <row r="123" spans="2:5" ht="15" customHeight="1">
      <c r="B123" s="100"/>
      <c r="C123" s="78" t="s">
        <v>54</v>
      </c>
      <c r="D123" s="72">
        <v>32</v>
      </c>
      <c r="E123" s="73">
        <v>3.7977688108239999E-3</v>
      </c>
    </row>
    <row r="124" spans="2:5" ht="15" customHeight="1">
      <c r="B124" s="100"/>
      <c r="C124" s="78" t="s">
        <v>58</v>
      </c>
      <c r="D124" s="72">
        <v>10</v>
      </c>
      <c r="E124" s="73">
        <v>1.1868027533820001E-3</v>
      </c>
    </row>
    <row r="125" spans="2:5" ht="15" customHeight="1">
      <c r="B125" s="100"/>
      <c r="C125" s="78" t="s">
        <v>59</v>
      </c>
      <c r="D125" s="72">
        <v>4</v>
      </c>
      <c r="E125" s="73">
        <v>4.7472110135299999E-4</v>
      </c>
    </row>
    <row r="126" spans="2:5" ht="15" customHeight="1">
      <c r="B126" s="100"/>
      <c r="C126" s="78" t="s">
        <v>60</v>
      </c>
      <c r="D126" s="72">
        <v>4</v>
      </c>
      <c r="E126" s="73">
        <v>4.7472110135299999E-4</v>
      </c>
    </row>
    <row r="127" spans="2:5" ht="15" customHeight="1">
      <c r="B127" s="100"/>
      <c r="C127" s="78" t="s">
        <v>62</v>
      </c>
      <c r="D127" s="72">
        <v>41</v>
      </c>
      <c r="E127" s="73">
        <v>4.8658912888679996E-3</v>
      </c>
    </row>
    <row r="128" spans="2:5" ht="15" customHeight="1">
      <c r="B128" s="100"/>
      <c r="C128" s="78" t="s">
        <v>64</v>
      </c>
      <c r="D128" s="72">
        <v>30</v>
      </c>
      <c r="E128" s="73">
        <v>3.560408260147E-3</v>
      </c>
    </row>
    <row r="129" spans="2:5" ht="15" customHeight="1">
      <c r="B129" s="100"/>
      <c r="C129" s="78" t="s">
        <v>66</v>
      </c>
      <c r="D129" s="72">
        <v>3</v>
      </c>
      <c r="E129" s="73">
        <v>3.5604082601500001E-4</v>
      </c>
    </row>
    <row r="130" spans="2:5" ht="15" customHeight="1">
      <c r="B130" s="100"/>
      <c r="C130" s="78" t="s">
        <v>68</v>
      </c>
      <c r="D130" s="72">
        <v>10</v>
      </c>
      <c r="E130" s="73">
        <v>1.1868027533820001E-3</v>
      </c>
    </row>
    <row r="131" spans="2:5" ht="15" customHeight="1">
      <c r="B131" s="100"/>
      <c r="C131" s="78" t="s">
        <v>70</v>
      </c>
      <c r="D131" s="72">
        <v>6</v>
      </c>
      <c r="E131" s="73">
        <v>7.1208165202899995E-4</v>
      </c>
    </row>
    <row r="132" spans="2:5" ht="15" customHeight="1">
      <c r="B132" s="100"/>
      <c r="C132" s="78" t="s">
        <v>72</v>
      </c>
      <c r="D132" s="72">
        <v>1</v>
      </c>
      <c r="E132" s="73">
        <v>1.1868027533799999E-4</v>
      </c>
    </row>
    <row r="133" spans="2:5" ht="15" customHeight="1">
      <c r="B133" s="100"/>
      <c r="C133" s="78" t="s">
        <v>78</v>
      </c>
      <c r="D133" s="72">
        <v>6</v>
      </c>
      <c r="E133" s="73">
        <v>7.1208165202899995E-4</v>
      </c>
    </row>
    <row r="134" spans="2:5" ht="15" customHeight="1">
      <c r="B134" s="100"/>
      <c r="C134" s="78" t="s">
        <v>80</v>
      </c>
      <c r="D134" s="72">
        <v>2</v>
      </c>
      <c r="E134" s="73">
        <v>2.3736055067599999E-4</v>
      </c>
    </row>
    <row r="135" spans="2:5" ht="15" customHeight="1">
      <c r="B135" s="100"/>
      <c r="C135" s="78" t="s">
        <v>82</v>
      </c>
      <c r="D135" s="72">
        <v>1</v>
      </c>
      <c r="E135" s="73">
        <v>1.1868027533799999E-4</v>
      </c>
    </row>
    <row r="136" spans="2:5" ht="15" customHeight="1">
      <c r="B136" s="100"/>
      <c r="C136" s="78" t="s">
        <v>84</v>
      </c>
      <c r="D136" s="72">
        <v>2</v>
      </c>
      <c r="E136" s="73">
        <v>2.3736055067599999E-4</v>
      </c>
    </row>
    <row r="137" spans="2:5" ht="15" customHeight="1">
      <c r="B137" s="100"/>
      <c r="C137" s="78" t="s">
        <v>88</v>
      </c>
      <c r="D137" s="72">
        <v>1</v>
      </c>
      <c r="E137" s="73">
        <v>1.1868027533799999E-4</v>
      </c>
    </row>
    <row r="138" spans="2:5" ht="15" customHeight="1">
      <c r="B138" s="100"/>
      <c r="C138" s="78" t="s">
        <v>90</v>
      </c>
      <c r="D138" s="72">
        <v>10</v>
      </c>
      <c r="E138" s="73">
        <v>1.1868027533820001E-3</v>
      </c>
    </row>
    <row r="139" spans="2:5" ht="15" customHeight="1">
      <c r="B139" s="100"/>
      <c r="C139" s="78" t="s">
        <v>94</v>
      </c>
      <c r="D139" s="72">
        <v>10</v>
      </c>
      <c r="E139" s="73">
        <v>1.1868027533820001E-3</v>
      </c>
    </row>
    <row r="140" spans="2:5" ht="15" customHeight="1">
      <c r="B140" s="100"/>
      <c r="C140" s="78" t="s">
        <v>98</v>
      </c>
      <c r="D140" s="72">
        <v>7</v>
      </c>
      <c r="E140" s="73">
        <v>8.3076192736799995E-4</v>
      </c>
    </row>
    <row r="141" spans="2:5" ht="15" customHeight="1">
      <c r="B141" s="100"/>
      <c r="C141" s="78" t="s">
        <v>102</v>
      </c>
      <c r="D141" s="72">
        <v>4</v>
      </c>
      <c r="E141" s="73">
        <v>4.7472110135299999E-4</v>
      </c>
    </row>
    <row r="142" spans="2:5" ht="15" customHeight="1">
      <c r="B142" s="100"/>
      <c r="C142" s="78" t="s">
        <v>104</v>
      </c>
      <c r="D142" s="72">
        <v>69</v>
      </c>
      <c r="E142" s="73">
        <v>8.1889389983380006E-3</v>
      </c>
    </row>
    <row r="143" spans="2:5" ht="15" customHeight="1">
      <c r="B143" s="100"/>
      <c r="C143" s="78" t="s">
        <v>108</v>
      </c>
      <c r="D143" s="72">
        <v>2</v>
      </c>
      <c r="E143" s="73">
        <v>2.3736055067599999E-4</v>
      </c>
    </row>
    <row r="144" spans="2:5" ht="15" customHeight="1">
      <c r="B144" s="100"/>
      <c r="C144" s="78" t="s">
        <v>109</v>
      </c>
      <c r="D144" s="72">
        <v>1</v>
      </c>
      <c r="E144" s="73">
        <v>1.1868027533799999E-4</v>
      </c>
    </row>
    <row r="145" spans="2:5" ht="15" customHeight="1">
      <c r="B145" s="100"/>
      <c r="C145" s="78" t="s">
        <v>113</v>
      </c>
      <c r="D145" s="72">
        <v>10</v>
      </c>
      <c r="E145" s="73">
        <v>1.1868027533820001E-3</v>
      </c>
    </row>
    <row r="146" spans="2:5" ht="15" customHeight="1">
      <c r="B146" s="100"/>
      <c r="C146" s="78" t="s">
        <v>115</v>
      </c>
      <c r="D146" s="72">
        <v>117</v>
      </c>
      <c r="E146" s="73">
        <v>1.3885592214574E-2</v>
      </c>
    </row>
    <row r="147" spans="2:5" ht="15" customHeight="1">
      <c r="B147" s="100"/>
      <c r="C147" s="78" t="s">
        <v>117</v>
      </c>
      <c r="D147" s="72">
        <v>4</v>
      </c>
      <c r="E147" s="73">
        <v>4.7472110135299999E-4</v>
      </c>
    </row>
    <row r="148" spans="2:5" ht="15" customHeight="1">
      <c r="B148" s="100"/>
      <c r="C148" s="78" t="s">
        <v>119</v>
      </c>
      <c r="D148" s="72">
        <v>2</v>
      </c>
      <c r="E148" s="73">
        <v>2.3736055067599999E-4</v>
      </c>
    </row>
    <row r="149" spans="2:5" ht="15" customHeight="1">
      <c r="B149" s="100"/>
      <c r="C149" s="78" t="s">
        <v>121</v>
      </c>
      <c r="D149" s="72">
        <v>4</v>
      </c>
      <c r="E149" s="73">
        <v>4.7472110135299999E-4</v>
      </c>
    </row>
    <row r="150" spans="2:5" ht="15" customHeight="1">
      <c r="B150" s="100"/>
      <c r="C150" s="78" t="s">
        <v>125</v>
      </c>
      <c r="D150" s="72">
        <v>5</v>
      </c>
      <c r="E150" s="73">
        <v>5.9340137669100003E-4</v>
      </c>
    </row>
    <row r="151" spans="2:5" ht="15" customHeight="1">
      <c r="B151" s="101"/>
      <c r="C151" s="24" t="s">
        <v>12</v>
      </c>
      <c r="D151" s="23">
        <v>535</v>
      </c>
      <c r="E151" s="22">
        <v>6.3493947305958004E-2</v>
      </c>
    </row>
    <row r="152" spans="2:5" ht="15" customHeight="1">
      <c r="B152" s="99" t="s">
        <v>149</v>
      </c>
      <c r="C152" s="78" t="s">
        <v>51</v>
      </c>
      <c r="D152" s="72">
        <v>7</v>
      </c>
      <c r="E152" s="73">
        <v>8.3076192736799995E-4</v>
      </c>
    </row>
    <row r="153" spans="2:5" ht="15" customHeight="1">
      <c r="B153" s="100"/>
      <c r="C153" s="78" t="s">
        <v>52</v>
      </c>
      <c r="D153" s="72">
        <v>19</v>
      </c>
      <c r="E153" s="73">
        <v>2.254925231427E-3</v>
      </c>
    </row>
    <row r="154" spans="2:5" ht="15" customHeight="1">
      <c r="B154" s="100"/>
      <c r="C154" s="78" t="s">
        <v>53</v>
      </c>
      <c r="D154" s="72">
        <v>200</v>
      </c>
      <c r="E154" s="73">
        <v>2.3736055067648001E-2</v>
      </c>
    </row>
    <row r="155" spans="2:5" ht="15" customHeight="1">
      <c r="B155" s="100"/>
      <c r="C155" s="78" t="s">
        <v>54</v>
      </c>
      <c r="D155" s="72">
        <v>59</v>
      </c>
      <c r="E155" s="73">
        <v>7.0021362449559999E-3</v>
      </c>
    </row>
    <row r="156" spans="2:5" ht="15" customHeight="1">
      <c r="B156" s="100"/>
      <c r="C156" s="78" t="s">
        <v>58</v>
      </c>
      <c r="D156" s="72">
        <v>20</v>
      </c>
      <c r="E156" s="73">
        <v>2.3736055067650002E-3</v>
      </c>
    </row>
    <row r="157" spans="2:5" ht="15" customHeight="1">
      <c r="B157" s="100"/>
      <c r="C157" s="78" t="s">
        <v>59</v>
      </c>
      <c r="D157" s="72">
        <v>20</v>
      </c>
      <c r="E157" s="73">
        <v>2.3736055067650002E-3</v>
      </c>
    </row>
    <row r="158" spans="2:5" ht="15" customHeight="1">
      <c r="B158" s="100"/>
      <c r="C158" s="78" t="s">
        <v>60</v>
      </c>
      <c r="D158" s="72">
        <v>4</v>
      </c>
      <c r="E158" s="73">
        <v>4.7472110135299999E-4</v>
      </c>
    </row>
    <row r="159" spans="2:5" ht="15" customHeight="1">
      <c r="B159" s="100"/>
      <c r="C159" s="78" t="s">
        <v>62</v>
      </c>
      <c r="D159" s="72">
        <v>175</v>
      </c>
      <c r="E159" s="73">
        <v>2.0769048184192E-2</v>
      </c>
    </row>
    <row r="160" spans="2:5" ht="15" customHeight="1">
      <c r="B160" s="100"/>
      <c r="C160" s="78" t="s">
        <v>64</v>
      </c>
      <c r="D160" s="72">
        <v>70</v>
      </c>
      <c r="E160" s="73">
        <v>8.3076192736769999E-3</v>
      </c>
    </row>
    <row r="161" spans="2:5" ht="15" customHeight="1">
      <c r="B161" s="100"/>
      <c r="C161" s="78" t="s">
        <v>66</v>
      </c>
      <c r="D161" s="72">
        <v>1</v>
      </c>
      <c r="E161" s="73">
        <v>1.1868027533799999E-4</v>
      </c>
    </row>
    <row r="162" spans="2:5" ht="15" customHeight="1">
      <c r="B162" s="100"/>
      <c r="C162" s="78" t="s">
        <v>68</v>
      </c>
      <c r="D162" s="72">
        <v>21</v>
      </c>
      <c r="E162" s="73">
        <v>2.4922857821029999E-3</v>
      </c>
    </row>
    <row r="163" spans="2:5" ht="15" customHeight="1">
      <c r="B163" s="100"/>
      <c r="C163" s="78" t="s">
        <v>70</v>
      </c>
      <c r="D163" s="72">
        <v>21</v>
      </c>
      <c r="E163" s="73">
        <v>2.4922857821029999E-3</v>
      </c>
    </row>
    <row r="164" spans="2:5" ht="15" customHeight="1">
      <c r="B164" s="100"/>
      <c r="C164" s="78" t="s">
        <v>72</v>
      </c>
      <c r="D164" s="72">
        <v>1</v>
      </c>
      <c r="E164" s="73">
        <v>1.1868027533799999E-4</v>
      </c>
    </row>
    <row r="165" spans="2:5" ht="15" customHeight="1">
      <c r="B165" s="100"/>
      <c r="C165" s="78" t="s">
        <v>74</v>
      </c>
      <c r="D165" s="72">
        <v>1</v>
      </c>
      <c r="E165" s="73">
        <v>1.1868027533799999E-4</v>
      </c>
    </row>
    <row r="166" spans="2:5" ht="15" customHeight="1">
      <c r="B166" s="100"/>
      <c r="C166" s="78" t="s">
        <v>76</v>
      </c>
      <c r="D166" s="72">
        <v>1</v>
      </c>
      <c r="E166" s="73">
        <v>1.1868027533799999E-4</v>
      </c>
    </row>
    <row r="167" spans="2:5" ht="15" customHeight="1">
      <c r="B167" s="100"/>
      <c r="C167" s="78" t="s">
        <v>78</v>
      </c>
      <c r="D167" s="72">
        <v>6</v>
      </c>
      <c r="E167" s="73">
        <v>7.1208165202899995E-4</v>
      </c>
    </row>
    <row r="168" spans="2:5" ht="15" customHeight="1">
      <c r="B168" s="100"/>
      <c r="C168" s="78" t="s">
        <v>80</v>
      </c>
      <c r="D168" s="72">
        <v>8</v>
      </c>
      <c r="E168" s="73">
        <v>9.4944220270599998E-4</v>
      </c>
    </row>
    <row r="169" spans="2:5" ht="15" customHeight="1">
      <c r="B169" s="100"/>
      <c r="C169" s="78" t="s">
        <v>82</v>
      </c>
      <c r="D169" s="72">
        <v>3</v>
      </c>
      <c r="E169" s="73">
        <v>3.5604082601500001E-4</v>
      </c>
    </row>
    <row r="170" spans="2:5" ht="15" customHeight="1">
      <c r="B170" s="100"/>
      <c r="C170" s="78" t="s">
        <v>84</v>
      </c>
      <c r="D170" s="72">
        <v>6</v>
      </c>
      <c r="E170" s="73">
        <v>7.1208165202899995E-4</v>
      </c>
    </row>
    <row r="171" spans="2:5" ht="15" customHeight="1">
      <c r="B171" s="100"/>
      <c r="C171" s="78" t="s">
        <v>86</v>
      </c>
      <c r="D171" s="72">
        <v>2</v>
      </c>
      <c r="E171" s="73">
        <v>2.3736055067599999E-4</v>
      </c>
    </row>
    <row r="172" spans="2:5" ht="15" customHeight="1">
      <c r="B172" s="100"/>
      <c r="C172" s="78" t="s">
        <v>88</v>
      </c>
      <c r="D172" s="72">
        <v>7</v>
      </c>
      <c r="E172" s="73">
        <v>8.3076192736799995E-4</v>
      </c>
    </row>
    <row r="173" spans="2:5" ht="15" customHeight="1">
      <c r="B173" s="100"/>
      <c r="C173" s="78" t="s">
        <v>90</v>
      </c>
      <c r="D173" s="72">
        <v>16</v>
      </c>
      <c r="E173" s="73">
        <v>1.898884405412E-3</v>
      </c>
    </row>
    <row r="174" spans="2:5" ht="15" customHeight="1">
      <c r="B174" s="100"/>
      <c r="C174" s="78" t="s">
        <v>94</v>
      </c>
      <c r="D174" s="72">
        <v>11</v>
      </c>
      <c r="E174" s="73">
        <v>1.305483028721E-3</v>
      </c>
    </row>
    <row r="175" spans="2:5" ht="15" customHeight="1">
      <c r="B175" s="100"/>
      <c r="C175" s="78" t="s">
        <v>98</v>
      </c>
      <c r="D175" s="72">
        <v>27</v>
      </c>
      <c r="E175" s="73">
        <v>3.2043674341319999E-3</v>
      </c>
    </row>
    <row r="176" spans="2:5" ht="15" customHeight="1">
      <c r="B176" s="100"/>
      <c r="C176" s="78" t="s">
        <v>102</v>
      </c>
      <c r="D176" s="72">
        <v>5</v>
      </c>
      <c r="E176" s="73">
        <v>5.9340137669100003E-4</v>
      </c>
    </row>
    <row r="177" spans="2:5" ht="15" customHeight="1">
      <c r="B177" s="100"/>
      <c r="C177" s="78" t="s">
        <v>104</v>
      </c>
      <c r="D177" s="72">
        <v>152</v>
      </c>
      <c r="E177" s="73">
        <v>1.8039401851412E-2</v>
      </c>
    </row>
    <row r="178" spans="2:5" ht="15" customHeight="1">
      <c r="B178" s="100"/>
      <c r="C178" s="78" t="s">
        <v>106</v>
      </c>
      <c r="D178" s="72">
        <v>1</v>
      </c>
      <c r="E178" s="73">
        <v>1.1868027533799999E-4</v>
      </c>
    </row>
    <row r="179" spans="2:5" ht="15" customHeight="1">
      <c r="B179" s="100"/>
      <c r="C179" s="78" t="s">
        <v>108</v>
      </c>
      <c r="D179" s="72">
        <v>1</v>
      </c>
      <c r="E179" s="73">
        <v>1.1868027533799999E-4</v>
      </c>
    </row>
    <row r="180" spans="2:5" ht="15" customHeight="1">
      <c r="B180" s="100"/>
      <c r="C180" s="78" t="s">
        <v>111</v>
      </c>
      <c r="D180" s="72">
        <v>1</v>
      </c>
      <c r="E180" s="73">
        <v>1.1868027533799999E-4</v>
      </c>
    </row>
    <row r="181" spans="2:5" ht="15" customHeight="1">
      <c r="B181" s="100"/>
      <c r="C181" s="78" t="s">
        <v>113</v>
      </c>
      <c r="D181" s="72">
        <v>14</v>
      </c>
      <c r="E181" s="73">
        <v>1.661523854735E-3</v>
      </c>
    </row>
    <row r="182" spans="2:5" ht="15" customHeight="1">
      <c r="B182" s="100"/>
      <c r="C182" s="78" t="s">
        <v>115</v>
      </c>
      <c r="D182" s="72">
        <v>157</v>
      </c>
      <c r="E182" s="73">
        <v>1.8632803228103002E-2</v>
      </c>
    </row>
    <row r="183" spans="2:5" ht="15" customHeight="1">
      <c r="B183" s="100"/>
      <c r="C183" s="78" t="s">
        <v>117</v>
      </c>
      <c r="D183" s="72">
        <v>7</v>
      </c>
      <c r="E183" s="73">
        <v>8.3076192736799995E-4</v>
      </c>
    </row>
    <row r="184" spans="2:5" ht="15" customHeight="1">
      <c r="B184" s="100"/>
      <c r="C184" s="78" t="s">
        <v>119</v>
      </c>
      <c r="D184" s="72">
        <v>2</v>
      </c>
      <c r="E184" s="73">
        <v>2.3736055067599999E-4</v>
      </c>
    </row>
    <row r="185" spans="2:5" ht="15" customHeight="1">
      <c r="B185" s="100"/>
      <c r="C185" s="78" t="s">
        <v>121</v>
      </c>
      <c r="D185" s="72">
        <v>6</v>
      </c>
      <c r="E185" s="73">
        <v>7.1208165202899995E-4</v>
      </c>
    </row>
    <row r="186" spans="2:5" ht="15" customHeight="1">
      <c r="B186" s="100"/>
      <c r="C186" s="78" t="s">
        <v>123</v>
      </c>
      <c r="D186" s="72">
        <v>7</v>
      </c>
      <c r="E186" s="73">
        <v>8.3076192736799995E-4</v>
      </c>
    </row>
    <row r="187" spans="2:5" ht="15" customHeight="1">
      <c r="B187" s="101"/>
      <c r="C187" s="24" t="s">
        <v>12</v>
      </c>
      <c r="D187" s="23">
        <v>1059</v>
      </c>
      <c r="E187" s="22">
        <v>0.12568241158319499</v>
      </c>
    </row>
    <row r="188" spans="2:5" ht="15" customHeight="1">
      <c r="B188" s="99" t="s">
        <v>150</v>
      </c>
      <c r="C188" s="78" t="s">
        <v>52</v>
      </c>
      <c r="D188" s="72">
        <v>1</v>
      </c>
      <c r="E188" s="73">
        <v>1.1868027533799999E-4</v>
      </c>
    </row>
    <row r="189" spans="2:5" ht="15" customHeight="1">
      <c r="B189" s="100"/>
      <c r="C189" s="78" t="s">
        <v>53</v>
      </c>
      <c r="D189" s="72">
        <v>21</v>
      </c>
      <c r="E189" s="73">
        <v>2.4922857821029999E-3</v>
      </c>
    </row>
    <row r="190" spans="2:5" ht="15" customHeight="1">
      <c r="B190" s="100"/>
      <c r="C190" s="78" t="s">
        <v>54</v>
      </c>
      <c r="D190" s="72">
        <v>13</v>
      </c>
      <c r="E190" s="73">
        <v>1.5428435793969999E-3</v>
      </c>
    </row>
    <row r="191" spans="2:5" ht="15" customHeight="1">
      <c r="B191" s="100"/>
      <c r="C191" s="78" t="s">
        <v>58</v>
      </c>
      <c r="D191" s="72">
        <v>1</v>
      </c>
      <c r="E191" s="73">
        <v>1.1868027533799999E-4</v>
      </c>
    </row>
    <row r="192" spans="2:5" ht="15" customHeight="1">
      <c r="B192" s="100"/>
      <c r="C192" s="78" t="s">
        <v>59</v>
      </c>
      <c r="D192" s="72">
        <v>3</v>
      </c>
      <c r="E192" s="73">
        <v>3.5604082601500001E-4</v>
      </c>
    </row>
    <row r="193" spans="2:5" ht="15" customHeight="1">
      <c r="B193" s="100"/>
      <c r="C193" s="78" t="s">
        <v>62</v>
      </c>
      <c r="D193" s="72">
        <v>5</v>
      </c>
      <c r="E193" s="73">
        <v>5.9340137669100003E-4</v>
      </c>
    </row>
    <row r="194" spans="2:5" ht="15" customHeight="1">
      <c r="B194" s="100"/>
      <c r="C194" s="78" t="s">
        <v>64</v>
      </c>
      <c r="D194" s="72">
        <v>4</v>
      </c>
      <c r="E194" s="73">
        <v>4.7472110135299999E-4</v>
      </c>
    </row>
    <row r="195" spans="2:5" ht="15" customHeight="1">
      <c r="B195" s="100"/>
      <c r="C195" s="78" t="s">
        <v>68</v>
      </c>
      <c r="D195" s="72">
        <v>3</v>
      </c>
      <c r="E195" s="73">
        <v>3.5604082601500001E-4</v>
      </c>
    </row>
    <row r="196" spans="2:5" ht="15" customHeight="1">
      <c r="B196" s="100"/>
      <c r="C196" s="78" t="s">
        <v>80</v>
      </c>
      <c r="D196" s="72">
        <v>2</v>
      </c>
      <c r="E196" s="73">
        <v>2.3736055067599999E-4</v>
      </c>
    </row>
    <row r="197" spans="2:5" ht="15" customHeight="1">
      <c r="B197" s="100"/>
      <c r="C197" s="78" t="s">
        <v>84</v>
      </c>
      <c r="D197" s="72">
        <v>2</v>
      </c>
      <c r="E197" s="73">
        <v>2.3736055067599999E-4</v>
      </c>
    </row>
    <row r="198" spans="2:5" ht="15" customHeight="1">
      <c r="B198" s="100"/>
      <c r="C198" s="78" t="s">
        <v>86</v>
      </c>
      <c r="D198" s="72">
        <v>1</v>
      </c>
      <c r="E198" s="73">
        <v>1.1868027533799999E-4</v>
      </c>
    </row>
    <row r="199" spans="2:5" ht="15" customHeight="1">
      <c r="B199" s="100"/>
      <c r="C199" s="78" t="s">
        <v>90</v>
      </c>
      <c r="D199" s="72">
        <v>2</v>
      </c>
      <c r="E199" s="73">
        <v>2.3736055067599999E-4</v>
      </c>
    </row>
    <row r="200" spans="2:5" ht="15" customHeight="1">
      <c r="B200" s="100"/>
      <c r="C200" s="78" t="s">
        <v>94</v>
      </c>
      <c r="D200" s="72">
        <v>1</v>
      </c>
      <c r="E200" s="73">
        <v>1.1868027533799999E-4</v>
      </c>
    </row>
    <row r="201" spans="2:5" ht="15" customHeight="1">
      <c r="B201" s="100"/>
      <c r="C201" s="78" t="s">
        <v>96</v>
      </c>
      <c r="D201" s="72">
        <v>1</v>
      </c>
      <c r="E201" s="73">
        <v>1.1868027533799999E-4</v>
      </c>
    </row>
    <row r="202" spans="2:5" ht="15" customHeight="1">
      <c r="B202" s="100"/>
      <c r="C202" s="78" t="s">
        <v>98</v>
      </c>
      <c r="D202" s="72">
        <v>2</v>
      </c>
      <c r="E202" s="73">
        <v>2.3736055067599999E-4</v>
      </c>
    </row>
    <row r="203" spans="2:5" ht="15" customHeight="1">
      <c r="B203" s="100"/>
      <c r="C203" s="78" t="s">
        <v>102</v>
      </c>
      <c r="D203" s="72">
        <v>1</v>
      </c>
      <c r="E203" s="73">
        <v>1.1868027533799999E-4</v>
      </c>
    </row>
    <row r="204" spans="2:5" ht="15" customHeight="1">
      <c r="B204" s="100"/>
      <c r="C204" s="78" t="s">
        <v>104</v>
      </c>
      <c r="D204" s="72">
        <v>23</v>
      </c>
      <c r="E204" s="73">
        <v>2.7296463327790002E-3</v>
      </c>
    </row>
    <row r="205" spans="2:5" ht="15" customHeight="1">
      <c r="B205" s="100"/>
      <c r="C205" s="78" t="s">
        <v>109</v>
      </c>
      <c r="D205" s="72">
        <v>1</v>
      </c>
      <c r="E205" s="73">
        <v>1.1868027533799999E-4</v>
      </c>
    </row>
    <row r="206" spans="2:5" ht="15" customHeight="1">
      <c r="B206" s="100"/>
      <c r="C206" s="78" t="s">
        <v>111</v>
      </c>
      <c r="D206" s="72">
        <v>1</v>
      </c>
      <c r="E206" s="73">
        <v>1.1868027533799999E-4</v>
      </c>
    </row>
    <row r="207" spans="2:5" ht="15" customHeight="1">
      <c r="B207" s="100"/>
      <c r="C207" s="78" t="s">
        <v>113</v>
      </c>
      <c r="D207" s="72">
        <v>5</v>
      </c>
      <c r="E207" s="73">
        <v>5.9340137669100003E-4</v>
      </c>
    </row>
    <row r="208" spans="2:5" ht="15" customHeight="1">
      <c r="B208" s="100"/>
      <c r="C208" s="78" t="s">
        <v>115</v>
      </c>
      <c r="D208" s="72">
        <v>23</v>
      </c>
      <c r="E208" s="73">
        <v>2.7296463327790002E-3</v>
      </c>
    </row>
    <row r="209" spans="2:5" ht="15" customHeight="1">
      <c r="B209" s="101"/>
      <c r="C209" s="24" t="s">
        <v>12</v>
      </c>
      <c r="D209" s="23">
        <v>116</v>
      </c>
      <c r="E209" s="22">
        <v>1.3766911939235999E-2</v>
      </c>
    </row>
    <row r="210" spans="2:5" ht="15" customHeight="1">
      <c r="B210" s="99" t="s">
        <v>151</v>
      </c>
      <c r="C210" s="78" t="s">
        <v>49</v>
      </c>
      <c r="D210" s="72">
        <v>1</v>
      </c>
      <c r="E210" s="73">
        <v>1.1868027533799999E-4</v>
      </c>
    </row>
    <row r="211" spans="2:5" ht="15" customHeight="1">
      <c r="B211" s="100"/>
      <c r="C211" s="78" t="s">
        <v>51</v>
      </c>
      <c r="D211" s="72">
        <v>3</v>
      </c>
      <c r="E211" s="73">
        <v>3.5604082601500001E-4</v>
      </c>
    </row>
    <row r="212" spans="2:5" ht="15" customHeight="1">
      <c r="B212" s="100"/>
      <c r="C212" s="78" t="s">
        <v>52</v>
      </c>
      <c r="D212" s="72">
        <v>4</v>
      </c>
      <c r="E212" s="73">
        <v>4.7472110135299999E-4</v>
      </c>
    </row>
    <row r="213" spans="2:5" ht="15" customHeight="1">
      <c r="B213" s="100"/>
      <c r="C213" s="78" t="s">
        <v>53</v>
      </c>
      <c r="D213" s="72">
        <v>31</v>
      </c>
      <c r="E213" s="73">
        <v>3.6790885354850002E-3</v>
      </c>
    </row>
    <row r="214" spans="2:5" ht="15" customHeight="1">
      <c r="B214" s="100"/>
      <c r="C214" s="78" t="s">
        <v>54</v>
      </c>
      <c r="D214" s="72">
        <v>25</v>
      </c>
      <c r="E214" s="73">
        <v>2.9670068834560001E-3</v>
      </c>
    </row>
    <row r="215" spans="2:5" ht="15" customHeight="1">
      <c r="B215" s="100"/>
      <c r="C215" s="78" t="s">
        <v>58</v>
      </c>
      <c r="D215" s="72">
        <v>3</v>
      </c>
      <c r="E215" s="73">
        <v>3.5604082601500001E-4</v>
      </c>
    </row>
    <row r="216" spans="2:5" ht="15" customHeight="1">
      <c r="B216" s="100"/>
      <c r="C216" s="78" t="s">
        <v>59</v>
      </c>
      <c r="D216" s="72">
        <v>5</v>
      </c>
      <c r="E216" s="73">
        <v>5.9340137669100003E-4</v>
      </c>
    </row>
    <row r="217" spans="2:5" ht="15" customHeight="1">
      <c r="B217" s="100"/>
      <c r="C217" s="78" t="s">
        <v>60</v>
      </c>
      <c r="D217" s="72">
        <v>2</v>
      </c>
      <c r="E217" s="73">
        <v>2.3736055067599999E-4</v>
      </c>
    </row>
    <row r="218" spans="2:5" ht="15" customHeight="1">
      <c r="B218" s="100"/>
      <c r="C218" s="78" t="s">
        <v>62</v>
      </c>
      <c r="D218" s="72">
        <v>11</v>
      </c>
      <c r="E218" s="73">
        <v>1.305483028721E-3</v>
      </c>
    </row>
    <row r="219" spans="2:5" ht="15" customHeight="1">
      <c r="B219" s="100"/>
      <c r="C219" s="78" t="s">
        <v>64</v>
      </c>
      <c r="D219" s="72">
        <v>8</v>
      </c>
      <c r="E219" s="73">
        <v>9.4944220270599998E-4</v>
      </c>
    </row>
    <row r="220" spans="2:5" ht="15" customHeight="1">
      <c r="B220" s="100"/>
      <c r="C220" s="78" t="s">
        <v>66</v>
      </c>
      <c r="D220" s="72">
        <v>2</v>
      </c>
      <c r="E220" s="73">
        <v>2.3736055067599999E-4</v>
      </c>
    </row>
    <row r="221" spans="2:5" ht="15" customHeight="1">
      <c r="B221" s="100"/>
      <c r="C221" s="78" t="s">
        <v>68</v>
      </c>
      <c r="D221" s="72">
        <v>7</v>
      </c>
      <c r="E221" s="73">
        <v>8.3076192736799995E-4</v>
      </c>
    </row>
    <row r="222" spans="2:5" ht="15" customHeight="1">
      <c r="B222" s="100"/>
      <c r="C222" s="78" t="s">
        <v>70</v>
      </c>
      <c r="D222" s="72">
        <v>3</v>
      </c>
      <c r="E222" s="73">
        <v>3.5604082601500001E-4</v>
      </c>
    </row>
    <row r="223" spans="2:5" ht="15" customHeight="1">
      <c r="B223" s="100"/>
      <c r="C223" s="78" t="s">
        <v>72</v>
      </c>
      <c r="D223" s="72">
        <v>1</v>
      </c>
      <c r="E223" s="73">
        <v>1.1868027533799999E-4</v>
      </c>
    </row>
    <row r="224" spans="2:5" ht="15" customHeight="1">
      <c r="B224" s="100"/>
      <c r="C224" s="78" t="s">
        <v>78</v>
      </c>
      <c r="D224" s="72">
        <v>5</v>
      </c>
      <c r="E224" s="73">
        <v>5.9340137669100003E-4</v>
      </c>
    </row>
    <row r="225" spans="2:5" ht="15" customHeight="1">
      <c r="B225" s="100"/>
      <c r="C225" s="78" t="s">
        <v>84</v>
      </c>
      <c r="D225" s="72">
        <v>1</v>
      </c>
      <c r="E225" s="73">
        <v>1.1868027533799999E-4</v>
      </c>
    </row>
    <row r="226" spans="2:5" ht="15" customHeight="1">
      <c r="B226" s="100"/>
      <c r="C226" s="78" t="s">
        <v>86</v>
      </c>
      <c r="D226" s="72">
        <v>1</v>
      </c>
      <c r="E226" s="73">
        <v>1.1868027533799999E-4</v>
      </c>
    </row>
    <row r="227" spans="2:5" ht="15" customHeight="1">
      <c r="B227" s="100"/>
      <c r="C227" s="78" t="s">
        <v>88</v>
      </c>
      <c r="D227" s="72">
        <v>1</v>
      </c>
      <c r="E227" s="73">
        <v>1.1868027533799999E-4</v>
      </c>
    </row>
    <row r="228" spans="2:5" ht="15" customHeight="1">
      <c r="B228" s="100"/>
      <c r="C228" s="78" t="s">
        <v>90</v>
      </c>
      <c r="D228" s="72">
        <v>3</v>
      </c>
      <c r="E228" s="73">
        <v>3.5604082601500001E-4</v>
      </c>
    </row>
    <row r="229" spans="2:5" ht="15" customHeight="1">
      <c r="B229" s="100"/>
      <c r="C229" s="78" t="s">
        <v>94</v>
      </c>
      <c r="D229" s="72">
        <v>1</v>
      </c>
      <c r="E229" s="73">
        <v>1.1868027533799999E-4</v>
      </c>
    </row>
    <row r="230" spans="2:5" ht="15" customHeight="1">
      <c r="B230" s="100"/>
      <c r="C230" s="78" t="s">
        <v>96</v>
      </c>
      <c r="D230" s="72">
        <v>1</v>
      </c>
      <c r="E230" s="73">
        <v>1.1868027533799999E-4</v>
      </c>
    </row>
    <row r="231" spans="2:5" ht="15" customHeight="1">
      <c r="B231" s="100"/>
      <c r="C231" s="78" t="s">
        <v>98</v>
      </c>
      <c r="D231" s="72">
        <v>4</v>
      </c>
      <c r="E231" s="73">
        <v>4.7472110135299999E-4</v>
      </c>
    </row>
    <row r="232" spans="2:5" ht="15" customHeight="1">
      <c r="B232" s="100"/>
      <c r="C232" s="78" t="s">
        <v>102</v>
      </c>
      <c r="D232" s="72">
        <v>2</v>
      </c>
      <c r="E232" s="73">
        <v>2.3736055067599999E-4</v>
      </c>
    </row>
    <row r="233" spans="2:5" ht="15" customHeight="1">
      <c r="B233" s="100"/>
      <c r="C233" s="78" t="s">
        <v>104</v>
      </c>
      <c r="D233" s="72">
        <v>24</v>
      </c>
      <c r="E233" s="73">
        <v>2.8483266081179999E-3</v>
      </c>
    </row>
    <row r="234" spans="2:5" ht="15" customHeight="1">
      <c r="B234" s="100"/>
      <c r="C234" s="78" t="s">
        <v>109</v>
      </c>
      <c r="D234" s="72">
        <v>2</v>
      </c>
      <c r="E234" s="73">
        <v>2.3736055067599999E-4</v>
      </c>
    </row>
    <row r="235" spans="2:5" ht="15" customHeight="1">
      <c r="B235" s="100"/>
      <c r="C235" s="78" t="s">
        <v>113</v>
      </c>
      <c r="D235" s="72">
        <v>3</v>
      </c>
      <c r="E235" s="73">
        <v>3.5604082601500001E-4</v>
      </c>
    </row>
    <row r="236" spans="2:5" ht="15" customHeight="1">
      <c r="B236" s="100"/>
      <c r="C236" s="78" t="s">
        <v>115</v>
      </c>
      <c r="D236" s="72">
        <v>41</v>
      </c>
      <c r="E236" s="73">
        <v>4.8658912888679996E-3</v>
      </c>
    </row>
    <row r="237" spans="2:5" ht="15" customHeight="1">
      <c r="B237" s="100"/>
      <c r="C237" s="78" t="s">
        <v>119</v>
      </c>
      <c r="D237" s="72">
        <v>1</v>
      </c>
      <c r="E237" s="73">
        <v>1.1868027533799999E-4</v>
      </c>
    </row>
    <row r="238" spans="2:5" ht="15" customHeight="1">
      <c r="B238" s="100"/>
      <c r="C238" s="78" t="s">
        <v>121</v>
      </c>
      <c r="D238" s="72">
        <v>1</v>
      </c>
      <c r="E238" s="73">
        <v>1.1868027533799999E-4</v>
      </c>
    </row>
    <row r="239" spans="2:5" ht="15" customHeight="1">
      <c r="B239" s="101"/>
      <c r="C239" s="24" t="s">
        <v>12</v>
      </c>
      <c r="D239" s="23">
        <v>197</v>
      </c>
      <c r="E239" s="22">
        <v>2.3380014241632999E-2</v>
      </c>
    </row>
    <row r="240" spans="2:5" ht="15" customHeight="1">
      <c r="B240" s="99" t="s">
        <v>152</v>
      </c>
      <c r="C240" s="78" t="s">
        <v>51</v>
      </c>
      <c r="D240" s="72">
        <v>7</v>
      </c>
      <c r="E240" s="73">
        <v>8.3076192736799995E-4</v>
      </c>
    </row>
    <row r="241" spans="2:5" ht="15" customHeight="1">
      <c r="B241" s="100"/>
      <c r="C241" s="78" t="s">
        <v>52</v>
      </c>
      <c r="D241" s="72">
        <v>15</v>
      </c>
      <c r="E241" s="73">
        <v>1.780204130074E-3</v>
      </c>
    </row>
    <row r="242" spans="2:5" ht="15" customHeight="1">
      <c r="B242" s="100"/>
      <c r="C242" s="78" t="s">
        <v>53</v>
      </c>
      <c r="D242" s="72">
        <v>62</v>
      </c>
      <c r="E242" s="73">
        <v>7.3581770709710004E-3</v>
      </c>
    </row>
    <row r="243" spans="2:5" ht="15" customHeight="1">
      <c r="B243" s="100"/>
      <c r="C243" s="78" t="s">
        <v>54</v>
      </c>
      <c r="D243" s="72">
        <v>63</v>
      </c>
      <c r="E243" s="73">
        <v>7.4768573463089997E-3</v>
      </c>
    </row>
    <row r="244" spans="2:5" ht="15" customHeight="1">
      <c r="B244" s="100"/>
      <c r="C244" s="78" t="s">
        <v>58</v>
      </c>
      <c r="D244" s="72">
        <v>8</v>
      </c>
      <c r="E244" s="73">
        <v>9.4944220270599998E-4</v>
      </c>
    </row>
    <row r="245" spans="2:5" ht="15" customHeight="1">
      <c r="B245" s="100"/>
      <c r="C245" s="78" t="s">
        <v>59</v>
      </c>
      <c r="D245" s="72">
        <v>4</v>
      </c>
      <c r="E245" s="73">
        <v>4.7472110135299999E-4</v>
      </c>
    </row>
    <row r="246" spans="2:5" ht="15" customHeight="1">
      <c r="B246" s="100"/>
      <c r="C246" s="78" t="s">
        <v>62</v>
      </c>
      <c r="D246" s="72">
        <v>32</v>
      </c>
      <c r="E246" s="73">
        <v>3.7977688108239999E-3</v>
      </c>
    </row>
    <row r="247" spans="2:5" ht="15" customHeight="1">
      <c r="B247" s="100"/>
      <c r="C247" s="78" t="s">
        <v>64</v>
      </c>
      <c r="D247" s="72">
        <v>24</v>
      </c>
      <c r="E247" s="73">
        <v>2.8483266081179999E-3</v>
      </c>
    </row>
    <row r="248" spans="2:5" ht="15" customHeight="1">
      <c r="B248" s="100"/>
      <c r="C248" s="78" t="s">
        <v>66</v>
      </c>
      <c r="D248" s="72">
        <v>3</v>
      </c>
      <c r="E248" s="73">
        <v>3.5604082601500001E-4</v>
      </c>
    </row>
    <row r="249" spans="2:5" ht="15" customHeight="1">
      <c r="B249" s="100"/>
      <c r="C249" s="78" t="s">
        <v>68</v>
      </c>
      <c r="D249" s="72">
        <v>13</v>
      </c>
      <c r="E249" s="73">
        <v>1.5428435793969999E-3</v>
      </c>
    </row>
    <row r="250" spans="2:5" ht="15" customHeight="1">
      <c r="B250" s="100"/>
      <c r="C250" s="78" t="s">
        <v>70</v>
      </c>
      <c r="D250" s="72">
        <v>4</v>
      </c>
      <c r="E250" s="73">
        <v>4.7472110135299999E-4</v>
      </c>
    </row>
    <row r="251" spans="2:5" ht="15" customHeight="1">
      <c r="B251" s="100"/>
      <c r="C251" s="78" t="s">
        <v>72</v>
      </c>
      <c r="D251" s="72">
        <v>1</v>
      </c>
      <c r="E251" s="73">
        <v>1.1868027533799999E-4</v>
      </c>
    </row>
    <row r="252" spans="2:5" ht="15" customHeight="1">
      <c r="B252" s="100"/>
      <c r="C252" s="78" t="s">
        <v>78</v>
      </c>
      <c r="D252" s="72">
        <v>6</v>
      </c>
      <c r="E252" s="73">
        <v>7.1208165202899995E-4</v>
      </c>
    </row>
    <row r="253" spans="2:5" ht="15" customHeight="1">
      <c r="B253" s="100"/>
      <c r="C253" s="78" t="s">
        <v>80</v>
      </c>
      <c r="D253" s="72">
        <v>1</v>
      </c>
      <c r="E253" s="73">
        <v>1.1868027533799999E-4</v>
      </c>
    </row>
    <row r="254" spans="2:5" ht="15" customHeight="1">
      <c r="B254" s="100"/>
      <c r="C254" s="78" t="s">
        <v>82</v>
      </c>
      <c r="D254" s="72">
        <v>1</v>
      </c>
      <c r="E254" s="73">
        <v>1.1868027533799999E-4</v>
      </c>
    </row>
    <row r="255" spans="2:5" ht="15" customHeight="1">
      <c r="B255" s="100"/>
      <c r="C255" s="78" t="s">
        <v>84</v>
      </c>
      <c r="D255" s="72">
        <v>3</v>
      </c>
      <c r="E255" s="73">
        <v>3.5604082601500001E-4</v>
      </c>
    </row>
    <row r="256" spans="2:5" ht="15" customHeight="1">
      <c r="B256" s="100"/>
      <c r="C256" s="78" t="s">
        <v>88</v>
      </c>
      <c r="D256" s="72">
        <v>5</v>
      </c>
      <c r="E256" s="73">
        <v>5.9340137669100003E-4</v>
      </c>
    </row>
    <row r="257" spans="2:5" ht="15" customHeight="1">
      <c r="B257" s="100"/>
      <c r="C257" s="78" t="s">
        <v>90</v>
      </c>
      <c r="D257" s="72">
        <v>11</v>
      </c>
      <c r="E257" s="73">
        <v>1.305483028721E-3</v>
      </c>
    </row>
    <row r="258" spans="2:5" ht="15" customHeight="1">
      <c r="B258" s="100"/>
      <c r="C258" s="78" t="s">
        <v>94</v>
      </c>
      <c r="D258" s="72">
        <v>2</v>
      </c>
      <c r="E258" s="73">
        <v>2.3736055067599999E-4</v>
      </c>
    </row>
    <row r="259" spans="2:5" ht="15" customHeight="1">
      <c r="B259" s="100"/>
      <c r="C259" s="78" t="s">
        <v>98</v>
      </c>
      <c r="D259" s="72">
        <v>6</v>
      </c>
      <c r="E259" s="73">
        <v>7.1208165202899995E-4</v>
      </c>
    </row>
    <row r="260" spans="2:5" ht="15" customHeight="1">
      <c r="B260" s="100"/>
      <c r="C260" s="78" t="s">
        <v>102</v>
      </c>
      <c r="D260" s="72">
        <v>3</v>
      </c>
      <c r="E260" s="73">
        <v>3.5604082601500001E-4</v>
      </c>
    </row>
    <row r="261" spans="2:5" ht="15" customHeight="1">
      <c r="B261" s="100"/>
      <c r="C261" s="78" t="s">
        <v>104</v>
      </c>
      <c r="D261" s="72">
        <v>50</v>
      </c>
      <c r="E261" s="73">
        <v>5.9340137669120002E-3</v>
      </c>
    </row>
    <row r="262" spans="2:5" ht="15" customHeight="1">
      <c r="B262" s="100"/>
      <c r="C262" s="78" t="s">
        <v>106</v>
      </c>
      <c r="D262" s="72">
        <v>2</v>
      </c>
      <c r="E262" s="73">
        <v>2.3736055067599999E-4</v>
      </c>
    </row>
    <row r="263" spans="2:5" ht="15" customHeight="1">
      <c r="B263" s="100"/>
      <c r="C263" s="78" t="s">
        <v>109</v>
      </c>
      <c r="D263" s="72">
        <v>2</v>
      </c>
      <c r="E263" s="73">
        <v>2.3736055067599999E-4</v>
      </c>
    </row>
    <row r="264" spans="2:5" ht="15" customHeight="1">
      <c r="B264" s="100"/>
      <c r="C264" s="78" t="s">
        <v>113</v>
      </c>
      <c r="D264" s="72">
        <v>13</v>
      </c>
      <c r="E264" s="73">
        <v>1.5428435793969999E-3</v>
      </c>
    </row>
    <row r="265" spans="2:5" ht="15" customHeight="1">
      <c r="B265" s="100"/>
      <c r="C265" s="78" t="s">
        <v>115</v>
      </c>
      <c r="D265" s="72">
        <v>124</v>
      </c>
      <c r="E265" s="73">
        <v>1.4716354141942001E-2</v>
      </c>
    </row>
    <row r="266" spans="2:5" ht="15" customHeight="1">
      <c r="B266" s="100"/>
      <c r="C266" s="78" t="s">
        <v>117</v>
      </c>
      <c r="D266" s="72">
        <v>4</v>
      </c>
      <c r="E266" s="73">
        <v>4.7472110135299999E-4</v>
      </c>
    </row>
    <row r="267" spans="2:5" ht="15" customHeight="1">
      <c r="B267" s="100"/>
      <c r="C267" s="78" t="s">
        <v>119</v>
      </c>
      <c r="D267" s="72">
        <v>2</v>
      </c>
      <c r="E267" s="73">
        <v>2.3736055067599999E-4</v>
      </c>
    </row>
    <row r="268" spans="2:5" ht="15" customHeight="1">
      <c r="B268" s="100"/>
      <c r="C268" s="78" t="s">
        <v>121</v>
      </c>
      <c r="D268" s="72">
        <v>5</v>
      </c>
      <c r="E268" s="73">
        <v>5.9340137669100003E-4</v>
      </c>
    </row>
    <row r="269" spans="2:5" ht="15" customHeight="1">
      <c r="B269" s="100"/>
      <c r="C269" s="78" t="s">
        <v>123</v>
      </c>
      <c r="D269" s="72">
        <v>1</v>
      </c>
      <c r="E269" s="73">
        <v>1.1868027533799999E-4</v>
      </c>
    </row>
    <row r="270" spans="2:5" ht="15" customHeight="1">
      <c r="B270" s="100"/>
      <c r="C270" s="78" t="s">
        <v>125</v>
      </c>
      <c r="D270" s="72">
        <v>2</v>
      </c>
      <c r="E270" s="73">
        <v>2.3736055067599999E-4</v>
      </c>
    </row>
    <row r="271" spans="2:5" ht="15" customHeight="1">
      <c r="B271" s="101"/>
      <c r="C271" s="24" t="s">
        <v>12</v>
      </c>
      <c r="D271" s="23">
        <v>479</v>
      </c>
      <c r="E271" s="22">
        <v>5.6847851887016E-2</v>
      </c>
    </row>
    <row r="272" spans="2:5" ht="15" customHeight="1">
      <c r="B272" s="99" t="s">
        <v>153</v>
      </c>
      <c r="C272" s="78" t="s">
        <v>49</v>
      </c>
      <c r="D272" s="72">
        <v>8</v>
      </c>
      <c r="E272" s="73">
        <v>9.4944220270599998E-4</v>
      </c>
    </row>
    <row r="273" spans="2:5" ht="15" customHeight="1">
      <c r="B273" s="100"/>
      <c r="C273" s="78" t="s">
        <v>50</v>
      </c>
      <c r="D273" s="72">
        <v>1</v>
      </c>
      <c r="E273" s="73">
        <v>1.1868027533799999E-4</v>
      </c>
    </row>
    <row r="274" spans="2:5" ht="15" customHeight="1">
      <c r="B274" s="100"/>
      <c r="C274" s="78" t="s">
        <v>51</v>
      </c>
      <c r="D274" s="72">
        <v>35</v>
      </c>
      <c r="E274" s="73">
        <v>4.1538096368380004E-3</v>
      </c>
    </row>
    <row r="275" spans="2:5" ht="15" customHeight="1">
      <c r="B275" s="100"/>
      <c r="C275" s="78" t="s">
        <v>52</v>
      </c>
      <c r="D275" s="72">
        <v>66</v>
      </c>
      <c r="E275" s="73">
        <v>7.8328981723240002E-3</v>
      </c>
    </row>
    <row r="276" spans="2:5" ht="15" customHeight="1">
      <c r="B276" s="100"/>
      <c r="C276" s="78" t="s">
        <v>53</v>
      </c>
      <c r="D276" s="72">
        <v>468</v>
      </c>
      <c r="E276" s="73">
        <v>5.5542368858295998E-2</v>
      </c>
    </row>
    <row r="277" spans="2:5" ht="15" customHeight="1">
      <c r="B277" s="100"/>
      <c r="C277" s="78" t="s">
        <v>54</v>
      </c>
      <c r="D277" s="72">
        <v>229</v>
      </c>
      <c r="E277" s="73">
        <v>2.7177783052457001E-2</v>
      </c>
    </row>
    <row r="278" spans="2:5" ht="15" customHeight="1">
      <c r="B278" s="100"/>
      <c r="C278" s="78" t="s">
        <v>55</v>
      </c>
      <c r="D278" s="72">
        <v>1</v>
      </c>
      <c r="E278" s="73">
        <v>1.1868027533799999E-4</v>
      </c>
    </row>
    <row r="279" spans="2:5" ht="15" customHeight="1">
      <c r="B279" s="100"/>
      <c r="C279" s="78" t="s">
        <v>56</v>
      </c>
      <c r="D279" s="72">
        <v>2</v>
      </c>
      <c r="E279" s="73">
        <v>2.3736055067599999E-4</v>
      </c>
    </row>
    <row r="280" spans="2:5" ht="15" customHeight="1">
      <c r="B280" s="100"/>
      <c r="C280" s="78" t="s">
        <v>58</v>
      </c>
      <c r="D280" s="72">
        <v>68</v>
      </c>
      <c r="E280" s="73">
        <v>8.0702587230000004E-3</v>
      </c>
    </row>
    <row r="281" spans="2:5" ht="15" customHeight="1">
      <c r="B281" s="100"/>
      <c r="C281" s="78" t="s">
        <v>59</v>
      </c>
      <c r="D281" s="72">
        <v>37</v>
      </c>
      <c r="E281" s="73">
        <v>4.3911701875149999E-3</v>
      </c>
    </row>
    <row r="282" spans="2:5" ht="15" customHeight="1">
      <c r="B282" s="100"/>
      <c r="C282" s="78" t="s">
        <v>60</v>
      </c>
      <c r="D282" s="72">
        <v>12</v>
      </c>
      <c r="E282" s="73">
        <v>1.424163304059E-3</v>
      </c>
    </row>
    <row r="283" spans="2:5" ht="15" customHeight="1">
      <c r="B283" s="100"/>
      <c r="C283" s="78" t="s">
        <v>62</v>
      </c>
      <c r="D283" s="72">
        <v>356</v>
      </c>
      <c r="E283" s="73">
        <v>4.2250178020412997E-2</v>
      </c>
    </row>
    <row r="284" spans="2:5" ht="15" customHeight="1">
      <c r="B284" s="100"/>
      <c r="C284" s="78" t="s">
        <v>64</v>
      </c>
      <c r="D284" s="72">
        <v>169</v>
      </c>
      <c r="E284" s="73">
        <v>2.0056966532162001E-2</v>
      </c>
    </row>
    <row r="285" spans="2:5" ht="15" customHeight="1">
      <c r="B285" s="100"/>
      <c r="C285" s="78" t="s">
        <v>66</v>
      </c>
      <c r="D285" s="72">
        <v>12</v>
      </c>
      <c r="E285" s="73">
        <v>1.424163304059E-3</v>
      </c>
    </row>
    <row r="286" spans="2:5" ht="15" customHeight="1">
      <c r="B286" s="100"/>
      <c r="C286" s="78" t="s">
        <v>68</v>
      </c>
      <c r="D286" s="72">
        <v>46</v>
      </c>
      <c r="E286" s="73">
        <v>5.4592926655590004E-3</v>
      </c>
    </row>
    <row r="287" spans="2:5" ht="15" customHeight="1">
      <c r="B287" s="100"/>
      <c r="C287" s="78" t="s">
        <v>70</v>
      </c>
      <c r="D287" s="72">
        <v>24</v>
      </c>
      <c r="E287" s="73">
        <v>2.8483266081179999E-3</v>
      </c>
    </row>
    <row r="288" spans="2:5" ht="15" customHeight="1">
      <c r="B288" s="100"/>
      <c r="C288" s="78" t="s">
        <v>72</v>
      </c>
      <c r="D288" s="72">
        <v>4</v>
      </c>
      <c r="E288" s="73">
        <v>4.7472110135299999E-4</v>
      </c>
    </row>
    <row r="289" spans="2:5" ht="15" customHeight="1">
      <c r="B289" s="100"/>
      <c r="C289" s="78" t="s">
        <v>74</v>
      </c>
      <c r="D289" s="72">
        <v>4</v>
      </c>
      <c r="E289" s="73">
        <v>4.7472110135299999E-4</v>
      </c>
    </row>
    <row r="290" spans="2:5" ht="15" customHeight="1">
      <c r="B290" s="100"/>
      <c r="C290" s="78" t="s">
        <v>78</v>
      </c>
      <c r="D290" s="72">
        <v>26</v>
      </c>
      <c r="E290" s="73">
        <v>3.0856871587939998E-3</v>
      </c>
    </row>
    <row r="291" spans="2:5" ht="15" customHeight="1">
      <c r="B291" s="100"/>
      <c r="C291" s="78" t="s">
        <v>80</v>
      </c>
      <c r="D291" s="72">
        <v>13</v>
      </c>
      <c r="E291" s="73">
        <v>1.5428435793969999E-3</v>
      </c>
    </row>
    <row r="292" spans="2:5" ht="15" customHeight="1">
      <c r="B292" s="100"/>
      <c r="C292" s="78" t="s">
        <v>82</v>
      </c>
      <c r="D292" s="72">
        <v>3</v>
      </c>
      <c r="E292" s="73">
        <v>3.5604082601500001E-4</v>
      </c>
    </row>
    <row r="293" spans="2:5" ht="15" customHeight="1">
      <c r="B293" s="100"/>
      <c r="C293" s="78" t="s">
        <v>84</v>
      </c>
      <c r="D293" s="72">
        <v>22</v>
      </c>
      <c r="E293" s="73">
        <v>2.610966057441E-3</v>
      </c>
    </row>
    <row r="294" spans="2:5" ht="15" customHeight="1">
      <c r="B294" s="100"/>
      <c r="C294" s="78" t="s">
        <v>86</v>
      </c>
      <c r="D294" s="72">
        <v>4</v>
      </c>
      <c r="E294" s="73">
        <v>4.7472110135299999E-4</v>
      </c>
    </row>
    <row r="295" spans="2:5" ht="15" customHeight="1">
      <c r="B295" s="100"/>
      <c r="C295" s="78" t="s">
        <v>88</v>
      </c>
      <c r="D295" s="72">
        <v>21</v>
      </c>
      <c r="E295" s="73">
        <v>2.4922857821029999E-3</v>
      </c>
    </row>
    <row r="296" spans="2:5" ht="15" customHeight="1">
      <c r="B296" s="100"/>
      <c r="C296" s="78" t="s">
        <v>90</v>
      </c>
      <c r="D296" s="72">
        <v>48</v>
      </c>
      <c r="E296" s="73">
        <v>5.6966532162349998E-3</v>
      </c>
    </row>
    <row r="297" spans="2:5" ht="15" customHeight="1">
      <c r="B297" s="100"/>
      <c r="C297" s="78" t="s">
        <v>92</v>
      </c>
      <c r="D297" s="72">
        <v>2</v>
      </c>
      <c r="E297" s="73">
        <v>2.3736055067599999E-4</v>
      </c>
    </row>
    <row r="298" spans="2:5" ht="15" customHeight="1">
      <c r="B298" s="100"/>
      <c r="C298" s="78" t="s">
        <v>94</v>
      </c>
      <c r="D298" s="72">
        <v>27</v>
      </c>
      <c r="E298" s="73">
        <v>3.2043674341319999E-3</v>
      </c>
    </row>
    <row r="299" spans="2:5" ht="15" customHeight="1">
      <c r="B299" s="100"/>
      <c r="C299" s="78" t="s">
        <v>98</v>
      </c>
      <c r="D299" s="72">
        <v>47</v>
      </c>
      <c r="E299" s="73">
        <v>5.5779729408969997E-3</v>
      </c>
    </row>
    <row r="300" spans="2:5" ht="15" customHeight="1">
      <c r="B300" s="100"/>
      <c r="C300" s="78" t="s">
        <v>100</v>
      </c>
      <c r="D300" s="72">
        <v>3</v>
      </c>
      <c r="E300" s="73">
        <v>3.5604082601500001E-4</v>
      </c>
    </row>
    <row r="301" spans="2:5" ht="15" customHeight="1">
      <c r="B301" s="100"/>
      <c r="C301" s="78" t="s">
        <v>102</v>
      </c>
      <c r="D301" s="72">
        <v>18</v>
      </c>
      <c r="E301" s="73">
        <v>2.1362449560879998E-3</v>
      </c>
    </row>
    <row r="302" spans="2:5" ht="15" customHeight="1">
      <c r="B302" s="100"/>
      <c r="C302" s="78" t="s">
        <v>104</v>
      </c>
      <c r="D302" s="72">
        <v>452</v>
      </c>
      <c r="E302" s="73">
        <v>5.3643484452883999E-2</v>
      </c>
    </row>
    <row r="303" spans="2:5" ht="15" customHeight="1">
      <c r="B303" s="100"/>
      <c r="C303" s="78" t="s">
        <v>106</v>
      </c>
      <c r="D303" s="72">
        <v>4</v>
      </c>
      <c r="E303" s="73">
        <v>4.7472110135299999E-4</v>
      </c>
    </row>
    <row r="304" spans="2:5" ht="15" customHeight="1">
      <c r="B304" s="100"/>
      <c r="C304" s="78" t="s">
        <v>108</v>
      </c>
      <c r="D304" s="72">
        <v>6</v>
      </c>
      <c r="E304" s="73">
        <v>7.1208165202899995E-4</v>
      </c>
    </row>
    <row r="305" spans="2:5" ht="15" customHeight="1">
      <c r="B305" s="100"/>
      <c r="C305" s="78" t="s">
        <v>109</v>
      </c>
      <c r="D305" s="72">
        <v>17</v>
      </c>
      <c r="E305" s="73">
        <v>2.0175646807500001E-3</v>
      </c>
    </row>
    <row r="306" spans="2:5" ht="15" customHeight="1">
      <c r="B306" s="100"/>
      <c r="C306" s="78" t="s">
        <v>111</v>
      </c>
      <c r="D306" s="72">
        <v>2</v>
      </c>
      <c r="E306" s="73">
        <v>2.3736055067599999E-4</v>
      </c>
    </row>
    <row r="307" spans="2:5" ht="15" customHeight="1">
      <c r="B307" s="100"/>
      <c r="C307" s="78" t="s">
        <v>113</v>
      </c>
      <c r="D307" s="72">
        <v>71</v>
      </c>
      <c r="E307" s="73">
        <v>8.4262995490150001E-3</v>
      </c>
    </row>
    <row r="308" spans="2:5" ht="15" customHeight="1">
      <c r="B308" s="100"/>
      <c r="C308" s="78" t="s">
        <v>115</v>
      </c>
      <c r="D308" s="72">
        <v>621</v>
      </c>
      <c r="E308" s="73">
        <v>7.3700450985046004E-2</v>
      </c>
    </row>
    <row r="309" spans="2:5" ht="15" customHeight="1">
      <c r="B309" s="100"/>
      <c r="C309" s="78" t="s">
        <v>117</v>
      </c>
      <c r="D309" s="72">
        <v>19</v>
      </c>
      <c r="E309" s="73">
        <v>2.254925231427E-3</v>
      </c>
    </row>
    <row r="310" spans="2:5" ht="15" customHeight="1">
      <c r="B310" s="100"/>
      <c r="C310" s="78" t="s">
        <v>119</v>
      </c>
      <c r="D310" s="72">
        <v>13</v>
      </c>
      <c r="E310" s="73">
        <v>1.5428435793969999E-3</v>
      </c>
    </row>
    <row r="311" spans="2:5" ht="15" customHeight="1">
      <c r="B311" s="100"/>
      <c r="C311" s="78" t="s">
        <v>121</v>
      </c>
      <c r="D311" s="72">
        <v>32</v>
      </c>
      <c r="E311" s="73">
        <v>3.7977688108239999E-3</v>
      </c>
    </row>
    <row r="312" spans="2:5" ht="15" customHeight="1">
      <c r="B312" s="100"/>
      <c r="C312" s="78" t="s">
        <v>123</v>
      </c>
      <c r="D312" s="72">
        <v>13</v>
      </c>
      <c r="E312" s="73">
        <v>1.5428435793969999E-3</v>
      </c>
    </row>
    <row r="313" spans="2:5" ht="15" customHeight="1">
      <c r="B313" s="100"/>
      <c r="C313" s="78" t="s">
        <v>125</v>
      </c>
      <c r="D313" s="72">
        <v>10</v>
      </c>
      <c r="E313" s="73">
        <v>1.1868027533820001E-3</v>
      </c>
    </row>
    <row r="314" spans="2:5" ht="15" customHeight="1">
      <c r="B314" s="101"/>
      <c r="C314" s="24" t="s">
        <v>12</v>
      </c>
      <c r="D314" s="23">
        <v>3036</v>
      </c>
      <c r="E314" s="22">
        <v>0.36031331592689297</v>
      </c>
    </row>
    <row r="315" spans="2:5" ht="15" customHeight="1">
      <c r="B315" s="99" t="s">
        <v>154</v>
      </c>
      <c r="C315" s="78" t="s">
        <v>51</v>
      </c>
      <c r="D315" s="72">
        <v>2</v>
      </c>
      <c r="E315" s="73">
        <v>2.3736055067599999E-4</v>
      </c>
    </row>
    <row r="316" spans="2:5" ht="15" customHeight="1">
      <c r="B316" s="100"/>
      <c r="C316" s="78" t="s">
        <v>52</v>
      </c>
      <c r="D316" s="72">
        <v>3</v>
      </c>
      <c r="E316" s="73">
        <v>3.5604082601500001E-4</v>
      </c>
    </row>
    <row r="317" spans="2:5" ht="15" customHeight="1">
      <c r="B317" s="100"/>
      <c r="C317" s="78" t="s">
        <v>53</v>
      </c>
      <c r="D317" s="72">
        <v>19</v>
      </c>
      <c r="E317" s="73">
        <v>2.254925231427E-3</v>
      </c>
    </row>
    <row r="318" spans="2:5" ht="15" customHeight="1">
      <c r="B318" s="100"/>
      <c r="C318" s="78" t="s">
        <v>54</v>
      </c>
      <c r="D318" s="72">
        <v>2</v>
      </c>
      <c r="E318" s="73">
        <v>2.3736055067599999E-4</v>
      </c>
    </row>
    <row r="319" spans="2:5" ht="15" customHeight="1">
      <c r="B319" s="100"/>
      <c r="C319" s="78" t="s">
        <v>55</v>
      </c>
      <c r="D319" s="72">
        <v>1</v>
      </c>
      <c r="E319" s="73">
        <v>1.1868027533799999E-4</v>
      </c>
    </row>
    <row r="320" spans="2:5" ht="15" customHeight="1">
      <c r="B320" s="100"/>
      <c r="C320" s="78" t="s">
        <v>58</v>
      </c>
      <c r="D320" s="72">
        <v>1</v>
      </c>
      <c r="E320" s="73">
        <v>1.1868027533799999E-4</v>
      </c>
    </row>
    <row r="321" spans="2:5" ht="15" customHeight="1">
      <c r="B321" s="100"/>
      <c r="C321" s="78" t="s">
        <v>59</v>
      </c>
      <c r="D321" s="72">
        <v>4</v>
      </c>
      <c r="E321" s="73">
        <v>4.7472110135299999E-4</v>
      </c>
    </row>
    <row r="322" spans="2:5" ht="15" customHeight="1">
      <c r="B322" s="100"/>
      <c r="C322" s="78" t="s">
        <v>62</v>
      </c>
      <c r="D322" s="72">
        <v>8</v>
      </c>
      <c r="E322" s="73">
        <v>9.4944220270599998E-4</v>
      </c>
    </row>
    <row r="323" spans="2:5" ht="15" customHeight="1">
      <c r="B323" s="100"/>
      <c r="C323" s="78" t="s">
        <v>64</v>
      </c>
      <c r="D323" s="72">
        <v>5</v>
      </c>
      <c r="E323" s="73">
        <v>5.9340137669100003E-4</v>
      </c>
    </row>
    <row r="324" spans="2:5" ht="15" customHeight="1">
      <c r="B324" s="100"/>
      <c r="C324" s="78" t="s">
        <v>66</v>
      </c>
      <c r="D324" s="72">
        <v>1</v>
      </c>
      <c r="E324" s="73">
        <v>1.1868027533799999E-4</v>
      </c>
    </row>
    <row r="325" spans="2:5" ht="15" customHeight="1">
      <c r="B325" s="100"/>
      <c r="C325" s="78" t="s">
        <v>68</v>
      </c>
      <c r="D325" s="72">
        <v>2</v>
      </c>
      <c r="E325" s="73">
        <v>2.3736055067599999E-4</v>
      </c>
    </row>
    <row r="326" spans="2:5" ht="15" customHeight="1">
      <c r="B326" s="100"/>
      <c r="C326" s="78" t="s">
        <v>78</v>
      </c>
      <c r="D326" s="72">
        <v>1</v>
      </c>
      <c r="E326" s="73">
        <v>1.1868027533799999E-4</v>
      </c>
    </row>
    <row r="327" spans="2:5" ht="15" customHeight="1">
      <c r="B327" s="100"/>
      <c r="C327" s="78" t="s">
        <v>88</v>
      </c>
      <c r="D327" s="72">
        <v>1</v>
      </c>
      <c r="E327" s="73">
        <v>1.1868027533799999E-4</v>
      </c>
    </row>
    <row r="328" spans="2:5" ht="15" customHeight="1">
      <c r="B328" s="100"/>
      <c r="C328" s="78" t="s">
        <v>90</v>
      </c>
      <c r="D328" s="72">
        <v>1</v>
      </c>
      <c r="E328" s="73">
        <v>1.1868027533799999E-4</v>
      </c>
    </row>
    <row r="329" spans="2:5" ht="15" customHeight="1">
      <c r="B329" s="100"/>
      <c r="C329" s="78" t="s">
        <v>94</v>
      </c>
      <c r="D329" s="72">
        <v>1</v>
      </c>
      <c r="E329" s="73">
        <v>1.1868027533799999E-4</v>
      </c>
    </row>
    <row r="330" spans="2:5" ht="15" customHeight="1">
      <c r="B330" s="100"/>
      <c r="C330" s="78" t="s">
        <v>102</v>
      </c>
      <c r="D330" s="72">
        <v>1</v>
      </c>
      <c r="E330" s="73">
        <v>1.1868027533799999E-4</v>
      </c>
    </row>
    <row r="331" spans="2:5" ht="15" customHeight="1">
      <c r="B331" s="100"/>
      <c r="C331" s="78" t="s">
        <v>104</v>
      </c>
      <c r="D331" s="72">
        <v>8</v>
      </c>
      <c r="E331" s="73">
        <v>9.4944220270599998E-4</v>
      </c>
    </row>
    <row r="332" spans="2:5" ht="15" customHeight="1">
      <c r="B332" s="100"/>
      <c r="C332" s="78" t="s">
        <v>115</v>
      </c>
      <c r="D332" s="72">
        <v>22</v>
      </c>
      <c r="E332" s="73">
        <v>2.610966057441E-3</v>
      </c>
    </row>
    <row r="333" spans="2:5" ht="15" customHeight="1">
      <c r="B333" s="100"/>
      <c r="C333" s="78" t="s">
        <v>123</v>
      </c>
      <c r="D333" s="72">
        <v>2</v>
      </c>
      <c r="E333" s="73">
        <v>2.3736055067599999E-4</v>
      </c>
    </row>
    <row r="334" spans="2:5" ht="15" customHeight="1">
      <c r="B334" s="101"/>
      <c r="C334" s="24" t="s">
        <v>12</v>
      </c>
      <c r="D334" s="23">
        <v>85</v>
      </c>
      <c r="E334" s="22">
        <v>1.008782340375E-2</v>
      </c>
    </row>
    <row r="335" spans="2:5" ht="15" customHeight="1">
      <c r="B335" s="99" t="s">
        <v>155</v>
      </c>
      <c r="C335" s="78" t="s">
        <v>49</v>
      </c>
      <c r="D335" s="72">
        <v>2</v>
      </c>
      <c r="E335" s="73">
        <v>2.3736055067599999E-4</v>
      </c>
    </row>
    <row r="336" spans="2:5" ht="15" customHeight="1">
      <c r="B336" s="100"/>
      <c r="C336" s="78" t="s">
        <v>51</v>
      </c>
      <c r="D336" s="72">
        <v>5</v>
      </c>
      <c r="E336" s="73">
        <v>5.9340137669100003E-4</v>
      </c>
    </row>
    <row r="337" spans="2:5" ht="15" customHeight="1">
      <c r="B337" s="100"/>
      <c r="C337" s="78" t="s">
        <v>52</v>
      </c>
      <c r="D337" s="72">
        <v>8</v>
      </c>
      <c r="E337" s="73">
        <v>9.4944220270599998E-4</v>
      </c>
    </row>
    <row r="338" spans="2:5" ht="15" customHeight="1">
      <c r="B338" s="100"/>
      <c r="C338" s="78" t="s">
        <v>53</v>
      </c>
      <c r="D338" s="72">
        <v>82</v>
      </c>
      <c r="E338" s="73">
        <v>9.7317825777359993E-3</v>
      </c>
    </row>
    <row r="339" spans="2:5" ht="15" customHeight="1">
      <c r="B339" s="100"/>
      <c r="C339" s="78" t="s">
        <v>54</v>
      </c>
      <c r="D339" s="72">
        <v>42</v>
      </c>
      <c r="E339" s="73">
        <v>4.9845715642059998E-3</v>
      </c>
    </row>
    <row r="340" spans="2:5" ht="15" customHeight="1">
      <c r="B340" s="100"/>
      <c r="C340" s="78" t="s">
        <v>58</v>
      </c>
      <c r="D340" s="72">
        <v>13</v>
      </c>
      <c r="E340" s="73">
        <v>1.5428435793969999E-3</v>
      </c>
    </row>
    <row r="341" spans="2:5" ht="15" customHeight="1">
      <c r="B341" s="100"/>
      <c r="C341" s="78" t="s">
        <v>59</v>
      </c>
      <c r="D341" s="72">
        <v>8</v>
      </c>
      <c r="E341" s="73">
        <v>9.4944220270599998E-4</v>
      </c>
    </row>
    <row r="342" spans="2:5" ht="15" customHeight="1">
      <c r="B342" s="100"/>
      <c r="C342" s="78" t="s">
        <v>60</v>
      </c>
      <c r="D342" s="72">
        <v>3</v>
      </c>
      <c r="E342" s="73">
        <v>3.5604082601500001E-4</v>
      </c>
    </row>
    <row r="343" spans="2:5" ht="15" customHeight="1">
      <c r="B343" s="100"/>
      <c r="C343" s="78" t="s">
        <v>62</v>
      </c>
      <c r="D343" s="72">
        <v>31</v>
      </c>
      <c r="E343" s="73">
        <v>3.6790885354850002E-3</v>
      </c>
    </row>
    <row r="344" spans="2:5" ht="15" customHeight="1">
      <c r="B344" s="100"/>
      <c r="C344" s="78" t="s">
        <v>64</v>
      </c>
      <c r="D344" s="72">
        <v>35</v>
      </c>
      <c r="E344" s="73">
        <v>4.1538096368380004E-3</v>
      </c>
    </row>
    <row r="345" spans="2:5" ht="15" customHeight="1">
      <c r="B345" s="100"/>
      <c r="C345" s="78" t="s">
        <v>66</v>
      </c>
      <c r="D345" s="72">
        <v>1</v>
      </c>
      <c r="E345" s="73">
        <v>1.1868027533799999E-4</v>
      </c>
    </row>
    <row r="346" spans="2:5" ht="15" customHeight="1">
      <c r="B346" s="100"/>
      <c r="C346" s="78" t="s">
        <v>68</v>
      </c>
      <c r="D346" s="72">
        <v>10</v>
      </c>
      <c r="E346" s="73">
        <v>1.1868027533820001E-3</v>
      </c>
    </row>
    <row r="347" spans="2:5" ht="15" customHeight="1">
      <c r="B347" s="100"/>
      <c r="C347" s="78" t="s">
        <v>70</v>
      </c>
      <c r="D347" s="72">
        <v>6</v>
      </c>
      <c r="E347" s="73">
        <v>7.1208165202899995E-4</v>
      </c>
    </row>
    <row r="348" spans="2:5" ht="15" customHeight="1">
      <c r="B348" s="100"/>
      <c r="C348" s="78" t="s">
        <v>74</v>
      </c>
      <c r="D348" s="72">
        <v>1</v>
      </c>
      <c r="E348" s="73">
        <v>1.1868027533799999E-4</v>
      </c>
    </row>
    <row r="349" spans="2:5" ht="15" customHeight="1">
      <c r="B349" s="100"/>
      <c r="C349" s="78" t="s">
        <v>78</v>
      </c>
      <c r="D349" s="72">
        <v>3</v>
      </c>
      <c r="E349" s="73">
        <v>3.5604082601500001E-4</v>
      </c>
    </row>
    <row r="350" spans="2:5" ht="15" customHeight="1">
      <c r="B350" s="100"/>
      <c r="C350" s="78" t="s">
        <v>80</v>
      </c>
      <c r="D350" s="72">
        <v>2</v>
      </c>
      <c r="E350" s="73">
        <v>2.3736055067599999E-4</v>
      </c>
    </row>
    <row r="351" spans="2:5" ht="15" customHeight="1">
      <c r="B351" s="100"/>
      <c r="C351" s="78" t="s">
        <v>82</v>
      </c>
      <c r="D351" s="72">
        <v>2</v>
      </c>
      <c r="E351" s="73">
        <v>2.3736055067599999E-4</v>
      </c>
    </row>
    <row r="352" spans="2:5" ht="15" customHeight="1">
      <c r="B352" s="100"/>
      <c r="C352" s="78" t="s">
        <v>84</v>
      </c>
      <c r="D352" s="72">
        <v>3</v>
      </c>
      <c r="E352" s="73">
        <v>3.5604082601500001E-4</v>
      </c>
    </row>
    <row r="353" spans="2:5" ht="15" customHeight="1">
      <c r="B353" s="100"/>
      <c r="C353" s="78" t="s">
        <v>88</v>
      </c>
      <c r="D353" s="72">
        <v>2</v>
      </c>
      <c r="E353" s="73">
        <v>2.3736055067599999E-4</v>
      </c>
    </row>
    <row r="354" spans="2:5" ht="15" customHeight="1">
      <c r="B354" s="100"/>
      <c r="C354" s="78" t="s">
        <v>90</v>
      </c>
      <c r="D354" s="72">
        <v>8</v>
      </c>
      <c r="E354" s="73">
        <v>9.4944220270599998E-4</v>
      </c>
    </row>
    <row r="355" spans="2:5" ht="15" customHeight="1">
      <c r="B355" s="100"/>
      <c r="C355" s="78" t="s">
        <v>94</v>
      </c>
      <c r="D355" s="72">
        <v>4</v>
      </c>
      <c r="E355" s="73">
        <v>4.7472110135299999E-4</v>
      </c>
    </row>
    <row r="356" spans="2:5" ht="15" customHeight="1">
      <c r="B356" s="100"/>
      <c r="C356" s="78" t="s">
        <v>98</v>
      </c>
      <c r="D356" s="72">
        <v>7</v>
      </c>
      <c r="E356" s="73">
        <v>8.3076192736799995E-4</v>
      </c>
    </row>
    <row r="357" spans="2:5" ht="15" customHeight="1">
      <c r="B357" s="100"/>
      <c r="C357" s="78" t="s">
        <v>100</v>
      </c>
      <c r="D357" s="72">
        <v>1</v>
      </c>
      <c r="E357" s="73">
        <v>1.1868027533799999E-4</v>
      </c>
    </row>
    <row r="358" spans="2:5" ht="15" customHeight="1">
      <c r="B358" s="100"/>
      <c r="C358" s="78" t="s">
        <v>102</v>
      </c>
      <c r="D358" s="72">
        <v>1</v>
      </c>
      <c r="E358" s="73">
        <v>1.1868027533799999E-4</v>
      </c>
    </row>
    <row r="359" spans="2:5" ht="15" customHeight="1">
      <c r="B359" s="100"/>
      <c r="C359" s="78" t="s">
        <v>104</v>
      </c>
      <c r="D359" s="72">
        <v>64</v>
      </c>
      <c r="E359" s="73">
        <v>7.5955376216469998E-3</v>
      </c>
    </row>
    <row r="360" spans="2:5" ht="15" customHeight="1">
      <c r="B360" s="100"/>
      <c r="C360" s="78" t="s">
        <v>109</v>
      </c>
      <c r="D360" s="72">
        <v>2</v>
      </c>
      <c r="E360" s="73">
        <v>2.3736055067599999E-4</v>
      </c>
    </row>
    <row r="361" spans="2:5" ht="15" customHeight="1">
      <c r="B361" s="100"/>
      <c r="C361" s="78" t="s">
        <v>113</v>
      </c>
      <c r="D361" s="72">
        <v>9</v>
      </c>
      <c r="E361" s="73">
        <v>1.0681224780439999E-3</v>
      </c>
    </row>
    <row r="362" spans="2:5" ht="15" customHeight="1">
      <c r="B362" s="100"/>
      <c r="C362" s="78" t="s">
        <v>115</v>
      </c>
      <c r="D362" s="72">
        <v>99</v>
      </c>
      <c r="E362" s="73">
        <v>1.1749347258486E-2</v>
      </c>
    </row>
    <row r="363" spans="2:5" ht="15" customHeight="1">
      <c r="B363" s="100"/>
      <c r="C363" s="78" t="s">
        <v>117</v>
      </c>
      <c r="D363" s="72">
        <v>3</v>
      </c>
      <c r="E363" s="73">
        <v>3.5604082601500001E-4</v>
      </c>
    </row>
    <row r="364" spans="2:5" ht="15" customHeight="1">
      <c r="B364" s="100"/>
      <c r="C364" s="78" t="s">
        <v>121</v>
      </c>
      <c r="D364" s="72">
        <v>2</v>
      </c>
      <c r="E364" s="73">
        <v>2.3736055067599999E-4</v>
      </c>
    </row>
    <row r="365" spans="2:5" ht="15" customHeight="1">
      <c r="B365" s="100"/>
      <c r="C365" s="78" t="s">
        <v>123</v>
      </c>
      <c r="D365" s="72">
        <v>1</v>
      </c>
      <c r="E365" s="73">
        <v>1.1868027533799999E-4</v>
      </c>
    </row>
    <row r="366" spans="2:5" ht="15" customHeight="1">
      <c r="B366" s="100"/>
      <c r="C366" s="78" t="s">
        <v>125</v>
      </c>
      <c r="D366" s="72">
        <v>2</v>
      </c>
      <c r="E366" s="73">
        <v>2.3736055067599999E-4</v>
      </c>
    </row>
    <row r="367" spans="2:5" ht="15" customHeight="1">
      <c r="B367" s="101"/>
      <c r="C367" s="24" t="s">
        <v>12</v>
      </c>
      <c r="D367" s="23">
        <v>462</v>
      </c>
      <c r="E367" s="22">
        <v>5.4830287206266003E-2</v>
      </c>
    </row>
    <row r="368" spans="2:5" ht="15" customHeight="1">
      <c r="B368" s="99" t="s">
        <v>156</v>
      </c>
      <c r="C368" s="78" t="s">
        <v>49</v>
      </c>
      <c r="D368" s="72">
        <v>3</v>
      </c>
      <c r="E368" s="73">
        <v>3.5604082601500001E-4</v>
      </c>
    </row>
    <row r="369" spans="2:5" ht="15" customHeight="1">
      <c r="B369" s="100"/>
      <c r="C369" s="78" t="s">
        <v>51</v>
      </c>
      <c r="D369" s="72">
        <v>17</v>
      </c>
      <c r="E369" s="73">
        <v>2.0175646807500001E-3</v>
      </c>
    </row>
    <row r="370" spans="2:5" ht="15" customHeight="1">
      <c r="B370" s="100"/>
      <c r="C370" s="78" t="s">
        <v>52</v>
      </c>
      <c r="D370" s="72">
        <v>48</v>
      </c>
      <c r="E370" s="73">
        <v>5.6966532162349998E-3</v>
      </c>
    </row>
    <row r="371" spans="2:5" ht="15" customHeight="1">
      <c r="B371" s="100"/>
      <c r="C371" s="78" t="s">
        <v>53</v>
      </c>
      <c r="D371" s="72">
        <v>273</v>
      </c>
      <c r="E371" s="73">
        <v>3.2399715167338999E-2</v>
      </c>
    </row>
    <row r="372" spans="2:5" ht="15" customHeight="1">
      <c r="B372" s="100"/>
      <c r="C372" s="78" t="s">
        <v>54</v>
      </c>
      <c r="D372" s="72">
        <v>101</v>
      </c>
      <c r="E372" s="73">
        <v>1.1986707809162001E-2</v>
      </c>
    </row>
    <row r="373" spans="2:5" ht="15" customHeight="1">
      <c r="B373" s="100"/>
      <c r="C373" s="78" t="s">
        <v>57</v>
      </c>
      <c r="D373" s="72">
        <v>1</v>
      </c>
      <c r="E373" s="73">
        <v>1.1868027533799999E-4</v>
      </c>
    </row>
    <row r="374" spans="2:5" ht="15" customHeight="1">
      <c r="B374" s="100"/>
      <c r="C374" s="78" t="s">
        <v>58</v>
      </c>
      <c r="D374" s="72">
        <v>33</v>
      </c>
      <c r="E374" s="73">
        <v>3.9164490861620001E-3</v>
      </c>
    </row>
    <row r="375" spans="2:5" ht="15" customHeight="1">
      <c r="B375" s="100"/>
      <c r="C375" s="78" t="s">
        <v>59</v>
      </c>
      <c r="D375" s="72">
        <v>23</v>
      </c>
      <c r="E375" s="73">
        <v>2.7296463327790002E-3</v>
      </c>
    </row>
    <row r="376" spans="2:5" ht="15" customHeight="1">
      <c r="B376" s="100"/>
      <c r="C376" s="78" t="s">
        <v>60</v>
      </c>
      <c r="D376" s="72">
        <v>7</v>
      </c>
      <c r="E376" s="73">
        <v>8.3076192736799995E-4</v>
      </c>
    </row>
    <row r="377" spans="2:5" ht="15" customHeight="1">
      <c r="B377" s="100"/>
      <c r="C377" s="78" t="s">
        <v>62</v>
      </c>
      <c r="D377" s="72">
        <v>182</v>
      </c>
      <c r="E377" s="73">
        <v>2.1599810111558999E-2</v>
      </c>
    </row>
    <row r="378" spans="2:5" ht="15" customHeight="1">
      <c r="B378" s="100"/>
      <c r="C378" s="78" t="s">
        <v>64</v>
      </c>
      <c r="D378" s="72">
        <v>86</v>
      </c>
      <c r="E378" s="73">
        <v>1.0206503679089001E-2</v>
      </c>
    </row>
    <row r="379" spans="2:5" ht="15" customHeight="1">
      <c r="B379" s="100"/>
      <c r="C379" s="78" t="s">
        <v>66</v>
      </c>
      <c r="D379" s="72">
        <v>7</v>
      </c>
      <c r="E379" s="73">
        <v>8.3076192736799995E-4</v>
      </c>
    </row>
    <row r="380" spans="2:5" ht="15" customHeight="1">
      <c r="B380" s="100"/>
      <c r="C380" s="78" t="s">
        <v>68</v>
      </c>
      <c r="D380" s="72">
        <v>24</v>
      </c>
      <c r="E380" s="73">
        <v>2.8483266081179999E-3</v>
      </c>
    </row>
    <row r="381" spans="2:5" ht="15" customHeight="1">
      <c r="B381" s="100"/>
      <c r="C381" s="78" t="s">
        <v>70</v>
      </c>
      <c r="D381" s="72">
        <v>15</v>
      </c>
      <c r="E381" s="73">
        <v>1.780204130074E-3</v>
      </c>
    </row>
    <row r="382" spans="2:5" ht="15" customHeight="1">
      <c r="B382" s="100"/>
      <c r="C382" s="78" t="s">
        <v>72</v>
      </c>
      <c r="D382" s="72">
        <v>2</v>
      </c>
      <c r="E382" s="73">
        <v>2.3736055067599999E-4</v>
      </c>
    </row>
    <row r="383" spans="2:5" ht="15" customHeight="1">
      <c r="B383" s="100"/>
      <c r="C383" s="78" t="s">
        <v>76</v>
      </c>
      <c r="D383" s="72">
        <v>1</v>
      </c>
      <c r="E383" s="73">
        <v>1.1868027533799999E-4</v>
      </c>
    </row>
    <row r="384" spans="2:5" ht="15" customHeight="1">
      <c r="B384" s="100"/>
      <c r="C384" s="78" t="s">
        <v>78</v>
      </c>
      <c r="D384" s="72">
        <v>3</v>
      </c>
      <c r="E384" s="73">
        <v>3.5604082601500001E-4</v>
      </c>
    </row>
    <row r="385" spans="2:5" ht="15" customHeight="1">
      <c r="B385" s="100"/>
      <c r="C385" s="78" t="s">
        <v>80</v>
      </c>
      <c r="D385" s="72">
        <v>7</v>
      </c>
      <c r="E385" s="73">
        <v>8.3076192736799995E-4</v>
      </c>
    </row>
    <row r="386" spans="2:5" ht="15" customHeight="1">
      <c r="B386" s="100"/>
      <c r="C386" s="78" t="s">
        <v>82</v>
      </c>
      <c r="D386" s="72">
        <v>10</v>
      </c>
      <c r="E386" s="73">
        <v>1.1868027533820001E-3</v>
      </c>
    </row>
    <row r="387" spans="2:5" ht="15" customHeight="1">
      <c r="B387" s="100"/>
      <c r="C387" s="78" t="s">
        <v>84</v>
      </c>
      <c r="D387" s="72">
        <v>11</v>
      </c>
      <c r="E387" s="73">
        <v>1.305483028721E-3</v>
      </c>
    </row>
    <row r="388" spans="2:5" ht="15" customHeight="1">
      <c r="B388" s="100"/>
      <c r="C388" s="78" t="s">
        <v>86</v>
      </c>
      <c r="D388" s="72">
        <v>1</v>
      </c>
      <c r="E388" s="73">
        <v>1.1868027533799999E-4</v>
      </c>
    </row>
    <row r="389" spans="2:5" ht="15" customHeight="1">
      <c r="B389" s="100"/>
      <c r="C389" s="78" t="s">
        <v>88</v>
      </c>
      <c r="D389" s="72">
        <v>15</v>
      </c>
      <c r="E389" s="73">
        <v>1.780204130074E-3</v>
      </c>
    </row>
    <row r="390" spans="2:5" ht="15" customHeight="1">
      <c r="B390" s="100"/>
      <c r="C390" s="78" t="s">
        <v>90</v>
      </c>
      <c r="D390" s="72">
        <v>28</v>
      </c>
      <c r="E390" s="73">
        <v>3.3230477094710002E-3</v>
      </c>
    </row>
    <row r="391" spans="2:5" ht="15" customHeight="1">
      <c r="B391" s="100"/>
      <c r="C391" s="78" t="s">
        <v>92</v>
      </c>
      <c r="D391" s="72">
        <v>1</v>
      </c>
      <c r="E391" s="73">
        <v>1.1868027533799999E-4</v>
      </c>
    </row>
    <row r="392" spans="2:5" ht="15" customHeight="1">
      <c r="B392" s="100"/>
      <c r="C392" s="78" t="s">
        <v>94</v>
      </c>
      <c r="D392" s="72">
        <v>15</v>
      </c>
      <c r="E392" s="73">
        <v>1.780204130074E-3</v>
      </c>
    </row>
    <row r="393" spans="2:5" ht="15" customHeight="1">
      <c r="B393" s="100"/>
      <c r="C393" s="78" t="s">
        <v>98</v>
      </c>
      <c r="D393" s="72">
        <v>24</v>
      </c>
      <c r="E393" s="73">
        <v>2.8483266081179999E-3</v>
      </c>
    </row>
    <row r="394" spans="2:5" ht="15" customHeight="1">
      <c r="B394" s="100"/>
      <c r="C394" s="78" t="s">
        <v>100</v>
      </c>
      <c r="D394" s="72">
        <v>1</v>
      </c>
      <c r="E394" s="73">
        <v>1.1868027533799999E-4</v>
      </c>
    </row>
    <row r="395" spans="2:5" ht="15" customHeight="1">
      <c r="B395" s="100"/>
      <c r="C395" s="78" t="s">
        <v>102</v>
      </c>
      <c r="D395" s="72">
        <v>9</v>
      </c>
      <c r="E395" s="73">
        <v>1.0681224780439999E-3</v>
      </c>
    </row>
    <row r="396" spans="2:5" ht="15" customHeight="1">
      <c r="B396" s="100"/>
      <c r="C396" s="78" t="s">
        <v>104</v>
      </c>
      <c r="D396" s="72">
        <v>252</v>
      </c>
      <c r="E396" s="73">
        <v>2.9907429385235999E-2</v>
      </c>
    </row>
    <row r="397" spans="2:5" ht="15" customHeight="1">
      <c r="B397" s="100"/>
      <c r="C397" s="78" t="s">
        <v>106</v>
      </c>
      <c r="D397" s="72">
        <v>1</v>
      </c>
      <c r="E397" s="73">
        <v>1.1868027533799999E-4</v>
      </c>
    </row>
    <row r="398" spans="2:5" ht="15" customHeight="1">
      <c r="B398" s="100"/>
      <c r="C398" s="78" t="s">
        <v>108</v>
      </c>
      <c r="D398" s="72">
        <v>2</v>
      </c>
      <c r="E398" s="73">
        <v>2.3736055067599999E-4</v>
      </c>
    </row>
    <row r="399" spans="2:5" ht="15" customHeight="1">
      <c r="B399" s="100"/>
      <c r="C399" s="78" t="s">
        <v>109</v>
      </c>
      <c r="D399" s="72">
        <v>9</v>
      </c>
      <c r="E399" s="73">
        <v>1.0681224780439999E-3</v>
      </c>
    </row>
    <row r="400" spans="2:5" ht="15" customHeight="1">
      <c r="B400" s="100"/>
      <c r="C400" s="78" t="s">
        <v>113</v>
      </c>
      <c r="D400" s="72">
        <v>33</v>
      </c>
      <c r="E400" s="73">
        <v>3.9164490861620001E-3</v>
      </c>
    </row>
    <row r="401" spans="2:5" ht="15" customHeight="1">
      <c r="B401" s="100"/>
      <c r="C401" s="78" t="s">
        <v>115</v>
      </c>
      <c r="D401" s="72">
        <v>389</v>
      </c>
      <c r="E401" s="73">
        <v>4.6166627106575001E-2</v>
      </c>
    </row>
    <row r="402" spans="2:5" ht="15" customHeight="1">
      <c r="B402" s="100"/>
      <c r="C402" s="78" t="s">
        <v>117</v>
      </c>
      <c r="D402" s="72">
        <v>9</v>
      </c>
      <c r="E402" s="73">
        <v>1.0681224780439999E-3</v>
      </c>
    </row>
    <row r="403" spans="2:5" ht="15" customHeight="1">
      <c r="B403" s="100"/>
      <c r="C403" s="78" t="s">
        <v>119</v>
      </c>
      <c r="D403" s="72">
        <v>3</v>
      </c>
      <c r="E403" s="73">
        <v>3.5604082601500001E-4</v>
      </c>
    </row>
    <row r="404" spans="2:5" ht="15" customHeight="1">
      <c r="B404" s="100"/>
      <c r="C404" s="78" t="s">
        <v>121</v>
      </c>
      <c r="D404" s="72">
        <v>16</v>
      </c>
      <c r="E404" s="73">
        <v>1.898884405412E-3</v>
      </c>
    </row>
    <row r="405" spans="2:5" ht="15" customHeight="1">
      <c r="B405" s="100"/>
      <c r="C405" s="78" t="s">
        <v>123</v>
      </c>
      <c r="D405" s="72">
        <v>12</v>
      </c>
      <c r="E405" s="73">
        <v>1.424163304059E-3</v>
      </c>
    </row>
    <row r="406" spans="2:5" ht="15" customHeight="1">
      <c r="B406" s="100"/>
      <c r="C406" s="78" t="s">
        <v>125</v>
      </c>
      <c r="D406" s="72">
        <v>1</v>
      </c>
      <c r="E406" s="73">
        <v>1.1868027533799999E-4</v>
      </c>
    </row>
    <row r="407" spans="2:5" ht="15" customHeight="1">
      <c r="B407" s="101"/>
      <c r="C407" s="24" t="s">
        <v>12</v>
      </c>
      <c r="D407" s="23">
        <v>1675</v>
      </c>
      <c r="E407" s="22">
        <v>0.19878946119155</v>
      </c>
    </row>
    <row r="408" spans="2:5" ht="15" customHeight="1">
      <c r="B408" s="99" t="s">
        <v>157</v>
      </c>
      <c r="C408" s="78" t="s">
        <v>53</v>
      </c>
      <c r="D408" s="72">
        <v>2</v>
      </c>
      <c r="E408" s="73">
        <v>2.3736055067599999E-4</v>
      </c>
    </row>
    <row r="409" spans="2:5" ht="15" customHeight="1">
      <c r="B409" s="100"/>
      <c r="C409" s="78" t="s">
        <v>64</v>
      </c>
      <c r="D409" s="72">
        <v>1</v>
      </c>
      <c r="E409" s="73">
        <v>1.1868027533799999E-4</v>
      </c>
    </row>
    <row r="410" spans="2:5" ht="15" customHeight="1">
      <c r="B410" s="100"/>
      <c r="C410" s="78" t="s">
        <v>68</v>
      </c>
      <c r="D410" s="72">
        <v>1</v>
      </c>
      <c r="E410" s="73">
        <v>1.1868027533799999E-4</v>
      </c>
    </row>
    <row r="411" spans="2:5" ht="15" customHeight="1">
      <c r="B411" s="100"/>
      <c r="C411" s="78" t="s">
        <v>88</v>
      </c>
      <c r="D411" s="72">
        <v>1</v>
      </c>
      <c r="E411" s="73">
        <v>1.1868027533799999E-4</v>
      </c>
    </row>
    <row r="412" spans="2:5" ht="15" customHeight="1">
      <c r="B412" s="100"/>
      <c r="C412" s="78" t="s">
        <v>90</v>
      </c>
      <c r="D412" s="72">
        <v>1</v>
      </c>
      <c r="E412" s="73">
        <v>1.1868027533799999E-4</v>
      </c>
    </row>
    <row r="413" spans="2:5" ht="15" customHeight="1">
      <c r="B413" s="100"/>
      <c r="C413" s="78" t="s">
        <v>104</v>
      </c>
      <c r="D413" s="72">
        <v>3</v>
      </c>
      <c r="E413" s="73">
        <v>3.5604082601500001E-4</v>
      </c>
    </row>
    <row r="414" spans="2:5" ht="15" customHeight="1">
      <c r="B414" s="100"/>
      <c r="C414" s="78" t="s">
        <v>115</v>
      </c>
      <c r="D414" s="72">
        <v>7</v>
      </c>
      <c r="E414" s="73">
        <v>8.3076192736799995E-4</v>
      </c>
    </row>
    <row r="415" spans="2:5" ht="15" customHeight="1">
      <c r="B415" s="101"/>
      <c r="C415" s="24" t="s">
        <v>12</v>
      </c>
      <c r="D415" s="23">
        <v>16</v>
      </c>
      <c r="E415" s="22">
        <v>1.898884405412E-3</v>
      </c>
    </row>
    <row r="416" spans="2:5" ht="15" customHeight="1">
      <c r="B416" s="99" t="s">
        <v>158</v>
      </c>
      <c r="C416" s="78" t="s">
        <v>51</v>
      </c>
      <c r="D416" s="72">
        <v>1</v>
      </c>
      <c r="E416" s="73">
        <v>1.1868027533799999E-4</v>
      </c>
    </row>
    <row r="417" spans="2:5" ht="15" customHeight="1">
      <c r="B417" s="100"/>
      <c r="C417" s="78" t="s">
        <v>53</v>
      </c>
      <c r="D417" s="72">
        <v>3</v>
      </c>
      <c r="E417" s="73">
        <v>3.5604082601500001E-4</v>
      </c>
    </row>
    <row r="418" spans="2:5" ht="15" customHeight="1">
      <c r="B418" s="100"/>
      <c r="C418" s="78" t="s">
        <v>54</v>
      </c>
      <c r="D418" s="72">
        <v>1</v>
      </c>
      <c r="E418" s="73">
        <v>1.1868027533799999E-4</v>
      </c>
    </row>
    <row r="419" spans="2:5" ht="15" customHeight="1">
      <c r="B419" s="100"/>
      <c r="C419" s="78" t="s">
        <v>62</v>
      </c>
      <c r="D419" s="72">
        <v>2</v>
      </c>
      <c r="E419" s="73">
        <v>2.3736055067599999E-4</v>
      </c>
    </row>
    <row r="420" spans="2:5" ht="15" customHeight="1">
      <c r="B420" s="100"/>
      <c r="C420" s="78" t="s">
        <v>64</v>
      </c>
      <c r="D420" s="72">
        <v>3</v>
      </c>
      <c r="E420" s="73">
        <v>3.5604082601500001E-4</v>
      </c>
    </row>
    <row r="421" spans="2:5" ht="15" customHeight="1">
      <c r="B421" s="100"/>
      <c r="C421" s="78" t="s">
        <v>70</v>
      </c>
      <c r="D421" s="72">
        <v>1</v>
      </c>
      <c r="E421" s="73">
        <v>1.1868027533799999E-4</v>
      </c>
    </row>
    <row r="422" spans="2:5" ht="15" customHeight="1">
      <c r="B422" s="100"/>
      <c r="C422" s="78" t="s">
        <v>90</v>
      </c>
      <c r="D422" s="72">
        <v>1</v>
      </c>
      <c r="E422" s="73">
        <v>1.1868027533799999E-4</v>
      </c>
    </row>
    <row r="423" spans="2:5" ht="15" customHeight="1">
      <c r="B423" s="100"/>
      <c r="C423" s="78" t="s">
        <v>94</v>
      </c>
      <c r="D423" s="72">
        <v>1</v>
      </c>
      <c r="E423" s="73">
        <v>1.1868027533799999E-4</v>
      </c>
    </row>
    <row r="424" spans="2:5" ht="15" customHeight="1">
      <c r="B424" s="100"/>
      <c r="C424" s="78" t="s">
        <v>104</v>
      </c>
      <c r="D424" s="72">
        <v>2</v>
      </c>
      <c r="E424" s="73">
        <v>2.3736055067599999E-4</v>
      </c>
    </row>
    <row r="425" spans="2:5" ht="15" customHeight="1">
      <c r="B425" s="100"/>
      <c r="C425" s="78" t="s">
        <v>109</v>
      </c>
      <c r="D425" s="72">
        <v>1</v>
      </c>
      <c r="E425" s="73">
        <v>1.1868027533799999E-4</v>
      </c>
    </row>
    <row r="426" spans="2:5" ht="15" customHeight="1">
      <c r="B426" s="100"/>
      <c r="C426" s="78" t="s">
        <v>115</v>
      </c>
      <c r="D426" s="72">
        <v>5</v>
      </c>
      <c r="E426" s="73">
        <v>5.9340137669100003E-4</v>
      </c>
    </row>
    <row r="427" spans="2:5" ht="15" customHeight="1">
      <c r="B427" s="101"/>
      <c r="C427" s="24" t="s">
        <v>12</v>
      </c>
      <c r="D427" s="23">
        <v>21</v>
      </c>
      <c r="E427" s="22">
        <v>2.4922857821029999E-3</v>
      </c>
    </row>
    <row r="428" spans="2:5" ht="15" customHeight="1">
      <c r="B428" s="99" t="s">
        <v>159</v>
      </c>
      <c r="C428" s="78" t="s">
        <v>51</v>
      </c>
      <c r="D428" s="72">
        <v>1</v>
      </c>
      <c r="E428" s="73">
        <v>1.1868027533799999E-4</v>
      </c>
    </row>
    <row r="429" spans="2:5" ht="15" customHeight="1">
      <c r="B429" s="100"/>
      <c r="C429" s="78" t="s">
        <v>52</v>
      </c>
      <c r="D429" s="72">
        <v>1</v>
      </c>
      <c r="E429" s="73">
        <v>1.1868027533799999E-4</v>
      </c>
    </row>
    <row r="430" spans="2:5" ht="15" customHeight="1">
      <c r="B430" s="100"/>
      <c r="C430" s="78" t="s">
        <v>53</v>
      </c>
      <c r="D430" s="72">
        <v>3</v>
      </c>
      <c r="E430" s="73">
        <v>3.5604082601500001E-4</v>
      </c>
    </row>
    <row r="431" spans="2:5" ht="15" customHeight="1">
      <c r="B431" s="100"/>
      <c r="C431" s="78" t="s">
        <v>54</v>
      </c>
      <c r="D431" s="72">
        <v>4</v>
      </c>
      <c r="E431" s="73">
        <v>4.7472110135299999E-4</v>
      </c>
    </row>
    <row r="432" spans="2:5" ht="15" customHeight="1">
      <c r="B432" s="100"/>
      <c r="C432" s="78" t="s">
        <v>62</v>
      </c>
      <c r="D432" s="72">
        <v>2</v>
      </c>
      <c r="E432" s="73">
        <v>2.3736055067599999E-4</v>
      </c>
    </row>
    <row r="433" spans="2:5" ht="15" customHeight="1">
      <c r="B433" s="100"/>
      <c r="C433" s="78" t="s">
        <v>64</v>
      </c>
      <c r="D433" s="72">
        <v>2</v>
      </c>
      <c r="E433" s="73">
        <v>2.3736055067599999E-4</v>
      </c>
    </row>
    <row r="434" spans="2:5" ht="15" customHeight="1">
      <c r="B434" s="100"/>
      <c r="C434" s="78" t="s">
        <v>90</v>
      </c>
      <c r="D434" s="72">
        <v>2</v>
      </c>
      <c r="E434" s="73">
        <v>2.3736055067599999E-4</v>
      </c>
    </row>
    <row r="435" spans="2:5" ht="15" customHeight="1">
      <c r="B435" s="100"/>
      <c r="C435" s="78" t="s">
        <v>104</v>
      </c>
      <c r="D435" s="72">
        <v>1</v>
      </c>
      <c r="E435" s="73">
        <v>1.1868027533799999E-4</v>
      </c>
    </row>
    <row r="436" spans="2:5" ht="15" customHeight="1">
      <c r="B436" s="100"/>
      <c r="C436" s="78" t="s">
        <v>115</v>
      </c>
      <c r="D436" s="72">
        <v>3</v>
      </c>
      <c r="E436" s="73">
        <v>3.5604082601500001E-4</v>
      </c>
    </row>
    <row r="437" spans="2:5" ht="15" customHeight="1">
      <c r="B437" s="101"/>
      <c r="C437" s="24" t="s">
        <v>12</v>
      </c>
      <c r="D437" s="23">
        <v>19</v>
      </c>
      <c r="E437" s="22">
        <v>2.254925231427E-3</v>
      </c>
    </row>
    <row r="438" spans="2:5" ht="15" customHeight="1">
      <c r="B438" s="99" t="s">
        <v>160</v>
      </c>
      <c r="C438" s="78" t="s">
        <v>53</v>
      </c>
      <c r="D438" s="72">
        <v>2</v>
      </c>
      <c r="E438" s="73">
        <v>2.3736055067599999E-4</v>
      </c>
    </row>
    <row r="439" spans="2:5" ht="15" customHeight="1">
      <c r="B439" s="100"/>
      <c r="C439" s="78" t="s">
        <v>68</v>
      </c>
      <c r="D439" s="72">
        <v>1</v>
      </c>
      <c r="E439" s="73">
        <v>1.1868027533799999E-4</v>
      </c>
    </row>
    <row r="440" spans="2:5" ht="15" customHeight="1">
      <c r="B440" s="100"/>
      <c r="C440" s="78" t="s">
        <v>78</v>
      </c>
      <c r="D440" s="72">
        <v>1</v>
      </c>
      <c r="E440" s="73">
        <v>1.1868027533799999E-4</v>
      </c>
    </row>
    <row r="441" spans="2:5" ht="15" customHeight="1">
      <c r="B441" s="100"/>
      <c r="C441" s="78" t="s">
        <v>96</v>
      </c>
      <c r="D441" s="72">
        <v>1</v>
      </c>
      <c r="E441" s="73">
        <v>1.1868027533799999E-4</v>
      </c>
    </row>
    <row r="442" spans="2:5" ht="15" customHeight="1">
      <c r="B442" s="100"/>
      <c r="C442" s="78" t="s">
        <v>104</v>
      </c>
      <c r="D442" s="72">
        <v>1</v>
      </c>
      <c r="E442" s="73">
        <v>1.1868027533799999E-4</v>
      </c>
    </row>
    <row r="443" spans="2:5" ht="15" customHeight="1">
      <c r="B443" s="101"/>
      <c r="C443" s="24" t="s">
        <v>12</v>
      </c>
      <c r="D443" s="23">
        <v>6</v>
      </c>
      <c r="E443" s="22">
        <v>7.1208165202899995E-4</v>
      </c>
    </row>
    <row r="444" spans="2:5" ht="15" customHeight="1">
      <c r="B444" s="99" t="s">
        <v>161</v>
      </c>
      <c r="C444" s="78" t="s">
        <v>49</v>
      </c>
      <c r="D444" s="72">
        <v>2</v>
      </c>
      <c r="E444" s="73">
        <v>2.3736055067599999E-4</v>
      </c>
    </row>
    <row r="445" spans="2:5" ht="15" customHeight="1">
      <c r="B445" s="100"/>
      <c r="C445" s="78" t="s">
        <v>52</v>
      </c>
      <c r="D445" s="72">
        <v>1</v>
      </c>
      <c r="E445" s="73">
        <v>1.1868027533799999E-4</v>
      </c>
    </row>
    <row r="446" spans="2:5" ht="15" customHeight="1">
      <c r="B446" s="100"/>
      <c r="C446" s="78" t="s">
        <v>53</v>
      </c>
      <c r="D446" s="72">
        <v>14</v>
      </c>
      <c r="E446" s="73">
        <v>1.661523854735E-3</v>
      </c>
    </row>
    <row r="447" spans="2:5" ht="15" customHeight="1">
      <c r="B447" s="100"/>
      <c r="C447" s="78" t="s">
        <v>54</v>
      </c>
      <c r="D447" s="72">
        <v>5</v>
      </c>
      <c r="E447" s="73">
        <v>5.9340137669100003E-4</v>
      </c>
    </row>
    <row r="448" spans="2:5" ht="15" customHeight="1">
      <c r="B448" s="100"/>
      <c r="C448" s="78" t="s">
        <v>58</v>
      </c>
      <c r="D448" s="72">
        <v>4</v>
      </c>
      <c r="E448" s="73">
        <v>4.7472110135299999E-4</v>
      </c>
    </row>
    <row r="449" spans="2:5" ht="15" customHeight="1">
      <c r="B449" s="100"/>
      <c r="C449" s="78" t="s">
        <v>62</v>
      </c>
      <c r="D449" s="72">
        <v>9</v>
      </c>
      <c r="E449" s="73">
        <v>1.0681224780439999E-3</v>
      </c>
    </row>
    <row r="450" spans="2:5" ht="15" customHeight="1">
      <c r="B450" s="100"/>
      <c r="C450" s="78" t="s">
        <v>64</v>
      </c>
      <c r="D450" s="72">
        <v>3</v>
      </c>
      <c r="E450" s="73">
        <v>3.5604082601500001E-4</v>
      </c>
    </row>
    <row r="451" spans="2:5" ht="15" customHeight="1">
      <c r="B451" s="100"/>
      <c r="C451" s="78" t="s">
        <v>68</v>
      </c>
      <c r="D451" s="72">
        <v>2</v>
      </c>
      <c r="E451" s="73">
        <v>2.3736055067599999E-4</v>
      </c>
    </row>
    <row r="452" spans="2:5" ht="15" customHeight="1">
      <c r="B452" s="100"/>
      <c r="C452" s="78" t="s">
        <v>80</v>
      </c>
      <c r="D452" s="72">
        <v>1</v>
      </c>
      <c r="E452" s="73">
        <v>1.1868027533799999E-4</v>
      </c>
    </row>
    <row r="453" spans="2:5" ht="15" customHeight="1">
      <c r="B453" s="100"/>
      <c r="C453" s="78" t="s">
        <v>84</v>
      </c>
      <c r="D453" s="72">
        <v>1</v>
      </c>
      <c r="E453" s="73">
        <v>1.1868027533799999E-4</v>
      </c>
    </row>
    <row r="454" spans="2:5" ht="15" customHeight="1">
      <c r="B454" s="100"/>
      <c r="C454" s="78" t="s">
        <v>90</v>
      </c>
      <c r="D454" s="72">
        <v>1</v>
      </c>
      <c r="E454" s="73">
        <v>1.1868027533799999E-4</v>
      </c>
    </row>
    <row r="455" spans="2:5" ht="15" customHeight="1">
      <c r="B455" s="100"/>
      <c r="C455" s="78" t="s">
        <v>94</v>
      </c>
      <c r="D455" s="72">
        <v>2</v>
      </c>
      <c r="E455" s="73">
        <v>2.3736055067599999E-4</v>
      </c>
    </row>
    <row r="456" spans="2:5" ht="15" customHeight="1">
      <c r="B456" s="100"/>
      <c r="C456" s="78" t="s">
        <v>98</v>
      </c>
      <c r="D456" s="72">
        <v>2</v>
      </c>
      <c r="E456" s="73">
        <v>2.3736055067599999E-4</v>
      </c>
    </row>
    <row r="457" spans="2:5" ht="15" customHeight="1">
      <c r="B457" s="100"/>
      <c r="C457" s="78" t="s">
        <v>104</v>
      </c>
      <c r="D457" s="72">
        <v>15</v>
      </c>
      <c r="E457" s="73">
        <v>1.780204130074E-3</v>
      </c>
    </row>
    <row r="458" spans="2:5" ht="15" customHeight="1">
      <c r="B458" s="100"/>
      <c r="C458" s="78" t="s">
        <v>115</v>
      </c>
      <c r="D458" s="72">
        <v>13</v>
      </c>
      <c r="E458" s="73">
        <v>1.5428435793969999E-3</v>
      </c>
    </row>
    <row r="459" spans="2:5" ht="15" customHeight="1">
      <c r="B459" s="100"/>
      <c r="C459" s="78" t="s">
        <v>117</v>
      </c>
      <c r="D459" s="72">
        <v>1</v>
      </c>
      <c r="E459" s="73">
        <v>1.1868027533799999E-4</v>
      </c>
    </row>
    <row r="460" spans="2:5" ht="15" customHeight="1">
      <c r="B460" s="100"/>
      <c r="C460" s="78" t="s">
        <v>121</v>
      </c>
      <c r="D460" s="72">
        <v>2</v>
      </c>
      <c r="E460" s="73">
        <v>2.3736055067599999E-4</v>
      </c>
    </row>
    <row r="461" spans="2:5" ht="15" customHeight="1">
      <c r="B461" s="100"/>
      <c r="C461" s="78" t="s">
        <v>123</v>
      </c>
      <c r="D461" s="72">
        <v>1</v>
      </c>
      <c r="E461" s="73">
        <v>1.1868027533799999E-4</v>
      </c>
    </row>
    <row r="462" spans="2:5" ht="15" customHeight="1">
      <c r="B462" s="100"/>
      <c r="C462" s="78" t="s">
        <v>125</v>
      </c>
      <c r="D462" s="72">
        <v>2</v>
      </c>
      <c r="E462" s="73">
        <v>2.3736055067599999E-4</v>
      </c>
    </row>
    <row r="463" spans="2:5" ht="15" customHeight="1">
      <c r="B463" s="101"/>
      <c r="C463" s="24" t="s">
        <v>12</v>
      </c>
      <c r="D463" s="23">
        <v>81</v>
      </c>
      <c r="E463" s="22">
        <v>9.6131023023969999E-3</v>
      </c>
    </row>
    <row r="464" spans="2:5" ht="15" customHeight="1">
      <c r="B464" s="99" t="s">
        <v>162</v>
      </c>
      <c r="C464" s="78" t="s">
        <v>51</v>
      </c>
      <c r="D464" s="72">
        <v>2</v>
      </c>
      <c r="E464" s="73">
        <v>2.3736055067599999E-4</v>
      </c>
    </row>
    <row r="465" spans="2:5" ht="15" customHeight="1">
      <c r="B465" s="100"/>
      <c r="C465" s="78" t="s">
        <v>52</v>
      </c>
      <c r="D465" s="72">
        <v>6</v>
      </c>
      <c r="E465" s="73">
        <v>7.1208165202899995E-4</v>
      </c>
    </row>
    <row r="466" spans="2:5" ht="15" customHeight="1">
      <c r="B466" s="100"/>
      <c r="C466" s="78" t="s">
        <v>53</v>
      </c>
      <c r="D466" s="72">
        <v>41</v>
      </c>
      <c r="E466" s="73">
        <v>4.8658912888679996E-3</v>
      </c>
    </row>
    <row r="467" spans="2:5" ht="15" customHeight="1">
      <c r="B467" s="100"/>
      <c r="C467" s="78" t="s">
        <v>54</v>
      </c>
      <c r="D467" s="72">
        <v>9</v>
      </c>
      <c r="E467" s="73">
        <v>1.0681224780439999E-3</v>
      </c>
    </row>
    <row r="468" spans="2:5" ht="15" customHeight="1">
      <c r="B468" s="100"/>
      <c r="C468" s="78" t="s">
        <v>57</v>
      </c>
      <c r="D468" s="72">
        <v>1</v>
      </c>
      <c r="E468" s="73">
        <v>1.1868027533799999E-4</v>
      </c>
    </row>
    <row r="469" spans="2:5" ht="15" customHeight="1">
      <c r="B469" s="100"/>
      <c r="C469" s="78" t="s">
        <v>58</v>
      </c>
      <c r="D469" s="72">
        <v>4</v>
      </c>
      <c r="E469" s="73">
        <v>4.7472110135299999E-4</v>
      </c>
    </row>
    <row r="470" spans="2:5" ht="15" customHeight="1">
      <c r="B470" s="100"/>
      <c r="C470" s="78" t="s">
        <v>59</v>
      </c>
      <c r="D470" s="72">
        <v>3</v>
      </c>
      <c r="E470" s="73">
        <v>3.5604082601500001E-4</v>
      </c>
    </row>
    <row r="471" spans="2:5" ht="15" customHeight="1">
      <c r="B471" s="100"/>
      <c r="C471" s="78" t="s">
        <v>60</v>
      </c>
      <c r="D471" s="72">
        <v>1</v>
      </c>
      <c r="E471" s="73">
        <v>1.1868027533799999E-4</v>
      </c>
    </row>
    <row r="472" spans="2:5" ht="15" customHeight="1">
      <c r="B472" s="100"/>
      <c r="C472" s="78" t="s">
        <v>62</v>
      </c>
      <c r="D472" s="72">
        <v>32</v>
      </c>
      <c r="E472" s="73">
        <v>3.7977688108239999E-3</v>
      </c>
    </row>
    <row r="473" spans="2:5" ht="15" customHeight="1">
      <c r="B473" s="100"/>
      <c r="C473" s="78" t="s">
        <v>64</v>
      </c>
      <c r="D473" s="72">
        <v>9</v>
      </c>
      <c r="E473" s="73">
        <v>1.0681224780439999E-3</v>
      </c>
    </row>
    <row r="474" spans="2:5" ht="15" customHeight="1">
      <c r="B474" s="100"/>
      <c r="C474" s="78" t="s">
        <v>66</v>
      </c>
      <c r="D474" s="72">
        <v>1</v>
      </c>
      <c r="E474" s="73">
        <v>1.1868027533799999E-4</v>
      </c>
    </row>
    <row r="475" spans="2:5" ht="15" customHeight="1">
      <c r="B475" s="100"/>
      <c r="C475" s="78" t="s">
        <v>68</v>
      </c>
      <c r="D475" s="72">
        <v>3</v>
      </c>
      <c r="E475" s="73">
        <v>3.5604082601500001E-4</v>
      </c>
    </row>
    <row r="476" spans="2:5" ht="15" customHeight="1">
      <c r="B476" s="100"/>
      <c r="C476" s="78" t="s">
        <v>70</v>
      </c>
      <c r="D476" s="72">
        <v>1</v>
      </c>
      <c r="E476" s="73">
        <v>1.1868027533799999E-4</v>
      </c>
    </row>
    <row r="477" spans="2:5" ht="15" customHeight="1">
      <c r="B477" s="100"/>
      <c r="C477" s="78" t="s">
        <v>78</v>
      </c>
      <c r="D477" s="72">
        <v>3</v>
      </c>
      <c r="E477" s="73">
        <v>3.5604082601500001E-4</v>
      </c>
    </row>
    <row r="478" spans="2:5" ht="15" customHeight="1">
      <c r="B478" s="100"/>
      <c r="C478" s="78" t="s">
        <v>80</v>
      </c>
      <c r="D478" s="72">
        <v>3</v>
      </c>
      <c r="E478" s="73">
        <v>3.5604082601500001E-4</v>
      </c>
    </row>
    <row r="479" spans="2:5" ht="15" customHeight="1">
      <c r="B479" s="100"/>
      <c r="C479" s="78" t="s">
        <v>90</v>
      </c>
      <c r="D479" s="72">
        <v>4</v>
      </c>
      <c r="E479" s="73">
        <v>4.7472110135299999E-4</v>
      </c>
    </row>
    <row r="480" spans="2:5" ht="15" customHeight="1">
      <c r="B480" s="100"/>
      <c r="C480" s="78" t="s">
        <v>92</v>
      </c>
      <c r="D480" s="72">
        <v>2</v>
      </c>
      <c r="E480" s="73">
        <v>2.3736055067599999E-4</v>
      </c>
    </row>
    <row r="481" spans="2:5" ht="15" customHeight="1">
      <c r="B481" s="100"/>
      <c r="C481" s="78" t="s">
        <v>94</v>
      </c>
      <c r="D481" s="72">
        <v>5</v>
      </c>
      <c r="E481" s="73">
        <v>5.9340137669100003E-4</v>
      </c>
    </row>
    <row r="482" spans="2:5" ht="15" customHeight="1">
      <c r="B482" s="100"/>
      <c r="C482" s="78" t="s">
        <v>96</v>
      </c>
      <c r="D482" s="72">
        <v>1</v>
      </c>
      <c r="E482" s="73">
        <v>1.1868027533799999E-4</v>
      </c>
    </row>
    <row r="483" spans="2:5" ht="15" customHeight="1">
      <c r="B483" s="100"/>
      <c r="C483" s="78" t="s">
        <v>98</v>
      </c>
      <c r="D483" s="72">
        <v>2</v>
      </c>
      <c r="E483" s="73">
        <v>2.3736055067599999E-4</v>
      </c>
    </row>
    <row r="484" spans="2:5" ht="15" customHeight="1">
      <c r="B484" s="100"/>
      <c r="C484" s="78" t="s">
        <v>104</v>
      </c>
      <c r="D484" s="72">
        <v>36</v>
      </c>
      <c r="E484" s="73">
        <v>4.2724899121769997E-3</v>
      </c>
    </row>
    <row r="485" spans="2:5" ht="15" customHeight="1">
      <c r="B485" s="100"/>
      <c r="C485" s="78" t="s">
        <v>109</v>
      </c>
      <c r="D485" s="72">
        <v>3</v>
      </c>
      <c r="E485" s="73">
        <v>3.5604082601500001E-4</v>
      </c>
    </row>
    <row r="486" spans="2:5" ht="15" customHeight="1">
      <c r="B486" s="100"/>
      <c r="C486" s="78" t="s">
        <v>113</v>
      </c>
      <c r="D486" s="72">
        <v>6</v>
      </c>
      <c r="E486" s="73">
        <v>7.1208165202899995E-4</v>
      </c>
    </row>
    <row r="487" spans="2:5" ht="15" customHeight="1">
      <c r="B487" s="100"/>
      <c r="C487" s="78" t="s">
        <v>115</v>
      </c>
      <c r="D487" s="72">
        <v>49</v>
      </c>
      <c r="E487" s="73">
        <v>5.815333491574E-3</v>
      </c>
    </row>
    <row r="488" spans="2:5" ht="15" customHeight="1">
      <c r="B488" s="100"/>
      <c r="C488" s="78" t="s">
        <v>117</v>
      </c>
      <c r="D488" s="72">
        <v>5</v>
      </c>
      <c r="E488" s="73">
        <v>5.9340137669100003E-4</v>
      </c>
    </row>
    <row r="489" spans="2:5" ht="15" customHeight="1">
      <c r="B489" s="100"/>
      <c r="C489" s="78" t="s">
        <v>121</v>
      </c>
      <c r="D489" s="72">
        <v>2</v>
      </c>
      <c r="E489" s="73">
        <v>2.3736055067599999E-4</v>
      </c>
    </row>
    <row r="490" spans="2:5" ht="15" customHeight="1">
      <c r="B490" s="100"/>
      <c r="C490" s="78" t="s">
        <v>123</v>
      </c>
      <c r="D490" s="72">
        <v>1</v>
      </c>
      <c r="E490" s="73">
        <v>1.1868027533799999E-4</v>
      </c>
    </row>
    <row r="491" spans="2:5" ht="15" customHeight="1">
      <c r="B491" s="101"/>
      <c r="C491" s="24" t="s">
        <v>12</v>
      </c>
      <c r="D491" s="23">
        <v>235</v>
      </c>
      <c r="E491" s="22">
        <v>2.7889864704486001E-2</v>
      </c>
    </row>
    <row r="492" spans="2:5" ht="15" customHeight="1">
      <c r="B492" s="99" t="s">
        <v>163</v>
      </c>
      <c r="C492" s="78" t="s">
        <v>68</v>
      </c>
      <c r="D492" s="72">
        <v>1</v>
      </c>
      <c r="E492" s="73">
        <v>1.1868027533799999E-4</v>
      </c>
    </row>
    <row r="493" spans="2:5" ht="15" customHeight="1">
      <c r="B493" s="101"/>
      <c r="C493" s="24" t="s">
        <v>12</v>
      </c>
      <c r="D493" s="23">
        <v>1</v>
      </c>
      <c r="E493" s="22">
        <v>1.1868027533799999E-4</v>
      </c>
    </row>
    <row r="494" spans="2:5" ht="15" customHeight="1">
      <c r="B494" s="99" t="s">
        <v>164</v>
      </c>
      <c r="C494" s="78" t="s">
        <v>53</v>
      </c>
      <c r="D494" s="72">
        <v>2</v>
      </c>
      <c r="E494" s="73">
        <v>2.3736055067599999E-4</v>
      </c>
    </row>
    <row r="495" spans="2:5" ht="15" customHeight="1">
      <c r="B495" s="100"/>
      <c r="C495" s="78" t="s">
        <v>78</v>
      </c>
      <c r="D495" s="72">
        <v>1</v>
      </c>
      <c r="E495" s="73">
        <v>1.1868027533799999E-4</v>
      </c>
    </row>
    <row r="496" spans="2:5" ht="15" customHeight="1">
      <c r="B496" s="100"/>
      <c r="C496" s="78" t="s">
        <v>90</v>
      </c>
      <c r="D496" s="72">
        <v>1</v>
      </c>
      <c r="E496" s="73">
        <v>1.1868027533799999E-4</v>
      </c>
    </row>
    <row r="497" spans="2:5" ht="15" customHeight="1">
      <c r="B497" s="100"/>
      <c r="C497" s="78" t="s">
        <v>94</v>
      </c>
      <c r="D497" s="72">
        <v>1</v>
      </c>
      <c r="E497" s="73">
        <v>1.1868027533799999E-4</v>
      </c>
    </row>
    <row r="498" spans="2:5" ht="15" customHeight="1">
      <c r="B498" s="100"/>
      <c r="C498" s="78" t="s">
        <v>104</v>
      </c>
      <c r="D498" s="72">
        <v>2</v>
      </c>
      <c r="E498" s="73">
        <v>2.3736055067599999E-4</v>
      </c>
    </row>
    <row r="499" spans="2:5" ht="15" customHeight="1">
      <c r="B499" s="100"/>
      <c r="C499" s="78" t="s">
        <v>115</v>
      </c>
      <c r="D499" s="72">
        <v>3</v>
      </c>
      <c r="E499" s="73">
        <v>3.5604082601500001E-4</v>
      </c>
    </row>
    <row r="500" spans="2:5" ht="15" customHeight="1">
      <c r="B500" s="100"/>
      <c r="C500" s="78" t="s">
        <v>121</v>
      </c>
      <c r="D500" s="72">
        <v>1</v>
      </c>
      <c r="E500" s="73">
        <v>1.1868027533799999E-4</v>
      </c>
    </row>
    <row r="501" spans="2:5" ht="15" customHeight="1">
      <c r="B501" s="100"/>
      <c r="C501" s="78" t="s">
        <v>123</v>
      </c>
      <c r="D501" s="72">
        <v>1</v>
      </c>
      <c r="E501" s="73">
        <v>1.1868027533799999E-4</v>
      </c>
    </row>
    <row r="502" spans="2:5" ht="15" customHeight="1">
      <c r="B502" s="101"/>
      <c r="C502" s="24" t="s">
        <v>12</v>
      </c>
      <c r="D502" s="23">
        <v>12</v>
      </c>
      <c r="E502" s="22">
        <v>1.424163304059E-3</v>
      </c>
    </row>
    <row r="503" spans="2:5" ht="15" customHeight="1">
      <c r="B503" s="99" t="s">
        <v>165</v>
      </c>
      <c r="C503" s="78" t="s">
        <v>53</v>
      </c>
      <c r="D503" s="72">
        <v>1</v>
      </c>
      <c r="E503" s="73">
        <v>1.1868027533799999E-4</v>
      </c>
    </row>
    <row r="504" spans="2:5" ht="15" customHeight="1">
      <c r="B504" s="100"/>
      <c r="C504" s="78" t="s">
        <v>108</v>
      </c>
      <c r="D504" s="72">
        <v>1</v>
      </c>
      <c r="E504" s="73">
        <v>1.1868027533799999E-4</v>
      </c>
    </row>
    <row r="505" spans="2:5" ht="15" customHeight="1">
      <c r="B505" s="101"/>
      <c r="C505" s="24" t="s">
        <v>12</v>
      </c>
      <c r="D505" s="23">
        <v>2</v>
      </c>
      <c r="E505" s="22">
        <v>2.3736055067599999E-4</v>
      </c>
    </row>
    <row r="506" spans="2:5" ht="15" customHeight="1">
      <c r="B506" s="108" t="s">
        <v>12</v>
      </c>
      <c r="C506" s="109"/>
      <c r="D506" s="66">
        <v>8426</v>
      </c>
      <c r="E506" s="67">
        <v>1</v>
      </c>
    </row>
    <row r="508" spans="2:5" ht="15" customHeight="1">
      <c r="B508" s="17" t="s">
        <v>44</v>
      </c>
    </row>
    <row r="509" spans="2:5" ht="15" customHeight="1">
      <c r="B509" s="18" t="s">
        <v>3</v>
      </c>
    </row>
    <row r="510" spans="2:5" ht="15" customHeight="1">
      <c r="B510" s="19" t="s">
        <v>45</v>
      </c>
    </row>
    <row r="511" spans="2:5" ht="15" customHeight="1">
      <c r="B511" s="17" t="s">
        <v>4</v>
      </c>
    </row>
    <row r="512" spans="2:5" ht="15" customHeight="1">
      <c r="B512" s="17" t="s">
        <v>46</v>
      </c>
    </row>
  </sheetData>
  <mergeCells count="27">
    <mergeCell ref="B492:B493"/>
    <mergeCell ref="B494:B502"/>
    <mergeCell ref="B503:B505"/>
    <mergeCell ref="B506:C506"/>
    <mergeCell ref="B315:B334"/>
    <mergeCell ref="B335:B367"/>
    <mergeCell ref="B368:B407"/>
    <mergeCell ref="B408:B415"/>
    <mergeCell ref="B416:B427"/>
    <mergeCell ref="B444:B463"/>
    <mergeCell ref="B464:B491"/>
    <mergeCell ref="B438:B443"/>
    <mergeCell ref="B7:E8"/>
    <mergeCell ref="B210:B239"/>
    <mergeCell ref="B240:B271"/>
    <mergeCell ref="B272:B314"/>
    <mergeCell ref="B428:B437"/>
    <mergeCell ref="B76:B95"/>
    <mergeCell ref="B96:B118"/>
    <mergeCell ref="B119:B151"/>
    <mergeCell ref="B152:B187"/>
    <mergeCell ref="B188:B209"/>
    <mergeCell ref="B10:B11"/>
    <mergeCell ref="B12:B32"/>
    <mergeCell ref="B33:B41"/>
    <mergeCell ref="B42:B55"/>
    <mergeCell ref="B56:B75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9">
    <tabColor rgb="FF92D050"/>
  </sheetPr>
  <dimension ref="A1:E662"/>
  <sheetViews>
    <sheetView showGridLines="0" view="pageBreakPreview" zoomScale="85" zoomScaleNormal="85" zoomScaleSheetLayoutView="85" workbookViewId="0">
      <selection activeCell="C17" sqref="C17"/>
    </sheetView>
  </sheetViews>
  <sheetFormatPr baseColWidth="10" defaultColWidth="35" defaultRowHeight="15" customHeight="1"/>
  <cols>
    <col min="1" max="1" width="1" style="20" customWidth="1"/>
    <col min="2" max="2" width="22.81640625" style="21" customWidth="1"/>
    <col min="3" max="3" width="39.1796875" style="21" customWidth="1"/>
    <col min="4" max="4" width="14.26953125" style="21" customWidth="1"/>
    <col min="5" max="5" width="16.81640625" style="21" customWidth="1"/>
    <col min="6" max="16384" width="35" style="20"/>
  </cols>
  <sheetData>
    <row r="1" spans="1:5" s="31" customFormat="1" ht="12" customHeight="1">
      <c r="B1" s="34"/>
      <c r="C1" s="33"/>
      <c r="D1" s="33"/>
      <c r="E1" s="33"/>
    </row>
    <row r="2" spans="1:5" s="31" customFormat="1" ht="15" customHeight="1">
      <c r="C2" s="36"/>
    </row>
    <row r="3" spans="1:5" s="31" customFormat="1" ht="15" customHeight="1">
      <c r="C3" s="36"/>
    </row>
    <row r="4" spans="1:5" s="31" customFormat="1" ht="30" customHeight="1">
      <c r="C4" s="36"/>
      <c r="D4" s="35"/>
    </row>
    <row r="5" spans="1:5" s="31" customFormat="1" ht="15" customHeight="1">
      <c r="C5" s="36"/>
      <c r="D5" s="35"/>
    </row>
    <row r="6" spans="1:5" s="31" customFormat="1" ht="24" customHeight="1">
      <c r="B6" s="34"/>
      <c r="C6" s="33"/>
      <c r="D6" s="33"/>
      <c r="E6" s="33"/>
    </row>
    <row r="7" spans="1:5" s="31" customFormat="1" ht="26.25" customHeight="1">
      <c r="A7" s="32"/>
      <c r="B7" s="102"/>
      <c r="C7" s="102"/>
      <c r="D7" s="102"/>
      <c r="E7" s="102"/>
    </row>
    <row r="8" spans="1:5" s="31" customFormat="1" ht="33" customHeight="1">
      <c r="A8" s="32"/>
      <c r="B8" s="102"/>
      <c r="C8" s="102"/>
      <c r="D8" s="102"/>
      <c r="E8" s="102"/>
    </row>
    <row r="9" spans="1:5" s="1" customFormat="1" ht="40.5" customHeight="1">
      <c r="B9" s="28" t="s">
        <v>5</v>
      </c>
      <c r="C9" s="30" t="s">
        <v>10</v>
      </c>
      <c r="D9" s="29" t="s">
        <v>1</v>
      </c>
      <c r="E9" s="28" t="s">
        <v>2</v>
      </c>
    </row>
    <row r="10" spans="1:5" ht="15" customHeight="1">
      <c r="B10" s="99" t="s">
        <v>213</v>
      </c>
      <c r="C10" s="78" t="s">
        <v>141</v>
      </c>
      <c r="D10" s="72">
        <v>1</v>
      </c>
      <c r="E10" s="73">
        <v>1.1868027533799999E-4</v>
      </c>
    </row>
    <row r="11" spans="1:5" ht="15" customHeight="1">
      <c r="B11" s="100"/>
      <c r="C11" s="78" t="s">
        <v>142</v>
      </c>
      <c r="D11" s="72">
        <v>1</v>
      </c>
      <c r="E11" s="73">
        <v>1.1868027533799999E-4</v>
      </c>
    </row>
    <row r="12" spans="1:5" ht="15" customHeight="1">
      <c r="B12" s="100"/>
      <c r="C12" s="78" t="s">
        <v>143</v>
      </c>
      <c r="D12" s="72">
        <v>2</v>
      </c>
      <c r="E12" s="73">
        <v>2.3736055067599999E-4</v>
      </c>
    </row>
    <row r="13" spans="1:5" ht="15" customHeight="1">
      <c r="B13" s="100"/>
      <c r="C13" s="78" t="s">
        <v>145</v>
      </c>
      <c r="D13" s="72">
        <v>1</v>
      </c>
      <c r="E13" s="73">
        <v>1.1868027533799999E-4</v>
      </c>
    </row>
    <row r="14" spans="1:5" ht="15" customHeight="1">
      <c r="B14" s="100"/>
      <c r="C14" s="78" t="s">
        <v>148</v>
      </c>
      <c r="D14" s="72">
        <v>9</v>
      </c>
      <c r="E14" s="73">
        <v>1.0681224780439999E-3</v>
      </c>
    </row>
    <row r="15" spans="1:5" ht="15" customHeight="1">
      <c r="B15" s="100"/>
      <c r="C15" s="78" t="s">
        <v>149</v>
      </c>
      <c r="D15" s="72">
        <v>16</v>
      </c>
      <c r="E15" s="73">
        <v>1.898884405412E-3</v>
      </c>
    </row>
    <row r="16" spans="1:5" ht="15" customHeight="1">
      <c r="B16" s="100"/>
      <c r="C16" s="78" t="s">
        <v>150</v>
      </c>
      <c r="D16" s="72">
        <v>1</v>
      </c>
      <c r="E16" s="73">
        <v>1.1868027533799999E-4</v>
      </c>
    </row>
    <row r="17" spans="2:5" ht="15" customHeight="1">
      <c r="B17" s="100"/>
      <c r="C17" s="78" t="s">
        <v>151</v>
      </c>
      <c r="D17" s="72">
        <v>2</v>
      </c>
      <c r="E17" s="73">
        <v>2.3736055067599999E-4</v>
      </c>
    </row>
    <row r="18" spans="2:5" ht="15" customHeight="1">
      <c r="B18" s="100"/>
      <c r="C18" s="78" t="s">
        <v>152</v>
      </c>
      <c r="D18" s="72">
        <v>4</v>
      </c>
      <c r="E18" s="73">
        <v>4.7472110135299999E-4</v>
      </c>
    </row>
    <row r="19" spans="2:5" ht="15" customHeight="1">
      <c r="B19" s="100"/>
      <c r="C19" s="78" t="s">
        <v>153</v>
      </c>
      <c r="D19" s="72">
        <v>37</v>
      </c>
      <c r="E19" s="73">
        <v>4.3911701875149999E-3</v>
      </c>
    </row>
    <row r="20" spans="2:5" ht="15" customHeight="1">
      <c r="B20" s="100"/>
      <c r="C20" s="78" t="s">
        <v>154</v>
      </c>
      <c r="D20" s="72">
        <v>1</v>
      </c>
      <c r="E20" s="73">
        <v>1.1868027533799999E-4</v>
      </c>
    </row>
    <row r="21" spans="2:5" ht="15" customHeight="1">
      <c r="B21" s="100"/>
      <c r="C21" s="78" t="s">
        <v>155</v>
      </c>
      <c r="D21" s="72">
        <v>7</v>
      </c>
      <c r="E21" s="73">
        <v>8.3076192736799995E-4</v>
      </c>
    </row>
    <row r="22" spans="2:5" ht="15" customHeight="1">
      <c r="B22" s="100"/>
      <c r="C22" s="78" t="s">
        <v>156</v>
      </c>
      <c r="D22" s="72">
        <v>19</v>
      </c>
      <c r="E22" s="73">
        <v>2.254925231427E-3</v>
      </c>
    </row>
    <row r="23" spans="2:5" ht="15" customHeight="1">
      <c r="B23" s="100"/>
      <c r="C23" s="78" t="s">
        <v>161</v>
      </c>
      <c r="D23" s="72">
        <v>2</v>
      </c>
      <c r="E23" s="73">
        <v>2.3736055067599999E-4</v>
      </c>
    </row>
    <row r="24" spans="2:5" ht="15" customHeight="1">
      <c r="B24" s="100"/>
      <c r="C24" s="78" t="s">
        <v>162</v>
      </c>
      <c r="D24" s="72">
        <v>7</v>
      </c>
      <c r="E24" s="73">
        <v>8.3076192736799995E-4</v>
      </c>
    </row>
    <row r="25" spans="2:5" ht="15" customHeight="1">
      <c r="B25" s="100"/>
      <c r="C25" s="78" t="s">
        <v>164</v>
      </c>
      <c r="D25" s="72">
        <v>1</v>
      </c>
      <c r="E25" s="73">
        <v>1.1868027533799999E-4</v>
      </c>
    </row>
    <row r="26" spans="2:5" ht="15" customHeight="1">
      <c r="B26" s="101"/>
      <c r="C26" s="24" t="s">
        <v>12</v>
      </c>
      <c r="D26" s="23">
        <v>111</v>
      </c>
      <c r="E26" s="22">
        <v>1.3173510562545E-2</v>
      </c>
    </row>
    <row r="27" spans="2:5" ht="15" customHeight="1">
      <c r="B27" s="99" t="s">
        <v>214</v>
      </c>
      <c r="C27" s="78" t="s">
        <v>145</v>
      </c>
      <c r="D27" s="72">
        <v>3</v>
      </c>
      <c r="E27" s="73">
        <v>3.5604082601500001E-4</v>
      </c>
    </row>
    <row r="28" spans="2:5" ht="15" customHeight="1">
      <c r="B28" s="100"/>
      <c r="C28" s="78" t="s">
        <v>146</v>
      </c>
      <c r="D28" s="72">
        <v>1</v>
      </c>
      <c r="E28" s="73">
        <v>1.1868027533799999E-4</v>
      </c>
    </row>
    <row r="29" spans="2:5" ht="15" customHeight="1">
      <c r="B29" s="100"/>
      <c r="C29" s="78" t="s">
        <v>147</v>
      </c>
      <c r="D29" s="72">
        <v>4</v>
      </c>
      <c r="E29" s="73">
        <v>4.7472110135299999E-4</v>
      </c>
    </row>
    <row r="30" spans="2:5" ht="15" customHeight="1">
      <c r="B30" s="100"/>
      <c r="C30" s="78" t="s">
        <v>148</v>
      </c>
      <c r="D30" s="72">
        <v>8</v>
      </c>
      <c r="E30" s="73">
        <v>9.4944220270599998E-4</v>
      </c>
    </row>
    <row r="31" spans="2:5" ht="15" customHeight="1">
      <c r="B31" s="100"/>
      <c r="C31" s="78" t="s">
        <v>149</v>
      </c>
      <c r="D31" s="72">
        <v>30</v>
      </c>
      <c r="E31" s="73">
        <v>3.560408260147E-3</v>
      </c>
    </row>
    <row r="32" spans="2:5" ht="15" customHeight="1">
      <c r="B32" s="100"/>
      <c r="C32" s="78" t="s">
        <v>150</v>
      </c>
      <c r="D32" s="72">
        <v>4</v>
      </c>
      <c r="E32" s="73">
        <v>4.7472110135299999E-4</v>
      </c>
    </row>
    <row r="33" spans="2:5" ht="15" customHeight="1">
      <c r="B33" s="100"/>
      <c r="C33" s="78" t="s">
        <v>151</v>
      </c>
      <c r="D33" s="72">
        <v>7</v>
      </c>
      <c r="E33" s="73">
        <v>8.3076192736799995E-4</v>
      </c>
    </row>
    <row r="34" spans="2:5" ht="15" customHeight="1">
      <c r="B34" s="100"/>
      <c r="C34" s="78" t="s">
        <v>152</v>
      </c>
      <c r="D34" s="72">
        <v>11</v>
      </c>
      <c r="E34" s="73">
        <v>1.305483028721E-3</v>
      </c>
    </row>
    <row r="35" spans="2:5" ht="15" customHeight="1">
      <c r="B35" s="100"/>
      <c r="C35" s="78" t="s">
        <v>153</v>
      </c>
      <c r="D35" s="72">
        <v>78</v>
      </c>
      <c r="E35" s="73">
        <v>9.2570614763829995E-3</v>
      </c>
    </row>
    <row r="36" spans="2:5" ht="15" customHeight="1">
      <c r="B36" s="100"/>
      <c r="C36" s="78" t="s">
        <v>154</v>
      </c>
      <c r="D36" s="72">
        <v>4</v>
      </c>
      <c r="E36" s="73">
        <v>4.7472110135299999E-4</v>
      </c>
    </row>
    <row r="37" spans="2:5" ht="15" customHeight="1">
      <c r="B37" s="100"/>
      <c r="C37" s="78" t="s">
        <v>155</v>
      </c>
      <c r="D37" s="72">
        <v>16</v>
      </c>
      <c r="E37" s="73">
        <v>1.898884405412E-3</v>
      </c>
    </row>
    <row r="38" spans="2:5" ht="15" customHeight="1">
      <c r="B38" s="100"/>
      <c r="C38" s="78" t="s">
        <v>156</v>
      </c>
      <c r="D38" s="72">
        <v>37</v>
      </c>
      <c r="E38" s="73">
        <v>4.3911701875149999E-3</v>
      </c>
    </row>
    <row r="39" spans="2:5" ht="15" customHeight="1">
      <c r="B39" s="100"/>
      <c r="C39" s="78" t="s">
        <v>161</v>
      </c>
      <c r="D39" s="72">
        <v>2</v>
      </c>
      <c r="E39" s="73">
        <v>2.3736055067599999E-4</v>
      </c>
    </row>
    <row r="40" spans="2:5" ht="15" customHeight="1">
      <c r="B40" s="100"/>
      <c r="C40" s="78" t="s">
        <v>162</v>
      </c>
      <c r="D40" s="72">
        <v>4</v>
      </c>
      <c r="E40" s="73">
        <v>4.7472110135299999E-4</v>
      </c>
    </row>
    <row r="41" spans="2:5" ht="15" customHeight="1">
      <c r="B41" s="101"/>
      <c r="C41" s="24" t="s">
        <v>12</v>
      </c>
      <c r="D41" s="23">
        <v>209</v>
      </c>
      <c r="E41" s="22">
        <v>2.4804177545691999E-2</v>
      </c>
    </row>
    <row r="42" spans="2:5" ht="15" customHeight="1">
      <c r="B42" s="99" t="s">
        <v>215</v>
      </c>
      <c r="C42" s="78" t="s">
        <v>142</v>
      </c>
      <c r="D42" s="72">
        <v>1</v>
      </c>
      <c r="E42" s="73">
        <v>1.1868027533799999E-4</v>
      </c>
    </row>
    <row r="43" spans="2:5" ht="15" customHeight="1">
      <c r="B43" s="100"/>
      <c r="C43" s="78" t="s">
        <v>143</v>
      </c>
      <c r="D43" s="72">
        <v>1</v>
      </c>
      <c r="E43" s="73">
        <v>1.1868027533799999E-4</v>
      </c>
    </row>
    <row r="44" spans="2:5" ht="15" customHeight="1">
      <c r="B44" s="100"/>
      <c r="C44" s="78" t="s">
        <v>144</v>
      </c>
      <c r="D44" s="72">
        <v>1</v>
      </c>
      <c r="E44" s="73">
        <v>1.1868027533799999E-4</v>
      </c>
    </row>
    <row r="45" spans="2:5" ht="15" customHeight="1">
      <c r="B45" s="100"/>
      <c r="C45" s="78" t="s">
        <v>145</v>
      </c>
      <c r="D45" s="72">
        <v>1</v>
      </c>
      <c r="E45" s="73">
        <v>1.1868027533799999E-4</v>
      </c>
    </row>
    <row r="46" spans="2:5" ht="15" customHeight="1">
      <c r="B46" s="100"/>
      <c r="C46" s="78" t="s">
        <v>146</v>
      </c>
      <c r="D46" s="72">
        <v>2</v>
      </c>
      <c r="E46" s="73">
        <v>2.3736055067599999E-4</v>
      </c>
    </row>
    <row r="47" spans="2:5" ht="15" customHeight="1">
      <c r="B47" s="100"/>
      <c r="C47" s="78" t="s">
        <v>147</v>
      </c>
      <c r="D47" s="72">
        <v>1</v>
      </c>
      <c r="E47" s="73">
        <v>1.1868027533799999E-4</v>
      </c>
    </row>
    <row r="48" spans="2:5" ht="15" customHeight="1">
      <c r="B48" s="100"/>
      <c r="C48" s="78" t="s">
        <v>148</v>
      </c>
      <c r="D48" s="72">
        <v>11</v>
      </c>
      <c r="E48" s="73">
        <v>1.305483028721E-3</v>
      </c>
    </row>
    <row r="49" spans="2:5" ht="15" customHeight="1">
      <c r="B49" s="100"/>
      <c r="C49" s="78" t="s">
        <v>149</v>
      </c>
      <c r="D49" s="72">
        <v>14</v>
      </c>
      <c r="E49" s="73">
        <v>1.661523854735E-3</v>
      </c>
    </row>
    <row r="50" spans="2:5" ht="15" customHeight="1">
      <c r="B50" s="100"/>
      <c r="C50" s="78" t="s">
        <v>150</v>
      </c>
      <c r="D50" s="72">
        <v>2</v>
      </c>
      <c r="E50" s="73">
        <v>2.3736055067599999E-4</v>
      </c>
    </row>
    <row r="51" spans="2:5" ht="15" customHeight="1">
      <c r="B51" s="100"/>
      <c r="C51" s="78" t="s">
        <v>151</v>
      </c>
      <c r="D51" s="72">
        <v>6</v>
      </c>
      <c r="E51" s="73">
        <v>7.1208165202899995E-4</v>
      </c>
    </row>
    <row r="52" spans="2:5" ht="15" customHeight="1">
      <c r="B52" s="100"/>
      <c r="C52" s="78" t="s">
        <v>152</v>
      </c>
      <c r="D52" s="72">
        <v>12</v>
      </c>
      <c r="E52" s="73">
        <v>1.424163304059E-3</v>
      </c>
    </row>
    <row r="53" spans="2:5" ht="15" customHeight="1">
      <c r="B53" s="100"/>
      <c r="C53" s="78" t="s">
        <v>153</v>
      </c>
      <c r="D53" s="72">
        <v>45</v>
      </c>
      <c r="E53" s="73">
        <v>5.3406123902210003E-3</v>
      </c>
    </row>
    <row r="54" spans="2:5" ht="15" customHeight="1">
      <c r="B54" s="100"/>
      <c r="C54" s="78" t="s">
        <v>154</v>
      </c>
      <c r="D54" s="72">
        <v>1</v>
      </c>
      <c r="E54" s="73">
        <v>1.1868027533799999E-4</v>
      </c>
    </row>
    <row r="55" spans="2:5" ht="15" customHeight="1">
      <c r="B55" s="100"/>
      <c r="C55" s="78" t="s">
        <v>155</v>
      </c>
      <c r="D55" s="72">
        <v>7</v>
      </c>
      <c r="E55" s="73">
        <v>8.3076192736799995E-4</v>
      </c>
    </row>
    <row r="56" spans="2:5" ht="15" customHeight="1">
      <c r="B56" s="100"/>
      <c r="C56" s="78" t="s">
        <v>156</v>
      </c>
      <c r="D56" s="72">
        <v>32</v>
      </c>
      <c r="E56" s="73">
        <v>3.7977688108239999E-3</v>
      </c>
    </row>
    <row r="57" spans="2:5" ht="15" customHeight="1">
      <c r="B57" s="100"/>
      <c r="C57" s="78" t="s">
        <v>157</v>
      </c>
      <c r="D57" s="72">
        <v>2</v>
      </c>
      <c r="E57" s="73">
        <v>2.3736055067599999E-4</v>
      </c>
    </row>
    <row r="58" spans="2:5" ht="15" customHeight="1">
      <c r="B58" s="100"/>
      <c r="C58" s="78" t="s">
        <v>158</v>
      </c>
      <c r="D58" s="72">
        <v>1</v>
      </c>
      <c r="E58" s="73">
        <v>1.1868027533799999E-4</v>
      </c>
    </row>
    <row r="59" spans="2:5" ht="15" customHeight="1">
      <c r="B59" s="100"/>
      <c r="C59" s="78" t="s">
        <v>161</v>
      </c>
      <c r="D59" s="72">
        <v>2</v>
      </c>
      <c r="E59" s="73">
        <v>2.3736055067599999E-4</v>
      </c>
    </row>
    <row r="60" spans="2:5" ht="15" customHeight="1">
      <c r="B60" s="100"/>
      <c r="C60" s="78" t="s">
        <v>162</v>
      </c>
      <c r="D60" s="72">
        <v>3</v>
      </c>
      <c r="E60" s="73">
        <v>3.5604082601500001E-4</v>
      </c>
    </row>
    <row r="61" spans="2:5" ht="15" customHeight="1">
      <c r="B61" s="100"/>
      <c r="C61" s="78" t="s">
        <v>164</v>
      </c>
      <c r="D61" s="72">
        <v>1</v>
      </c>
      <c r="E61" s="73">
        <v>1.1868027533799999E-4</v>
      </c>
    </row>
    <row r="62" spans="2:5" ht="15" customHeight="1">
      <c r="B62" s="101"/>
      <c r="C62" s="24" t="s">
        <v>12</v>
      </c>
      <c r="D62" s="23">
        <v>146</v>
      </c>
      <c r="E62" s="22">
        <v>1.7327320199383E-2</v>
      </c>
    </row>
    <row r="63" spans="2:5" ht="15" customHeight="1">
      <c r="B63" s="99" t="s">
        <v>216</v>
      </c>
      <c r="C63" s="78" t="s">
        <v>146</v>
      </c>
      <c r="D63" s="72">
        <v>1</v>
      </c>
      <c r="E63" s="73">
        <v>1.1868027533799999E-4</v>
      </c>
    </row>
    <row r="64" spans="2:5" ht="15" customHeight="1">
      <c r="B64" s="100"/>
      <c r="C64" s="78" t="s">
        <v>148</v>
      </c>
      <c r="D64" s="72">
        <v>5</v>
      </c>
      <c r="E64" s="73">
        <v>5.9340137669100003E-4</v>
      </c>
    </row>
    <row r="65" spans="2:5" ht="15" customHeight="1">
      <c r="B65" s="100"/>
      <c r="C65" s="78" t="s">
        <v>149</v>
      </c>
      <c r="D65" s="72">
        <v>7</v>
      </c>
      <c r="E65" s="73">
        <v>8.3076192736799995E-4</v>
      </c>
    </row>
    <row r="66" spans="2:5" ht="15" customHeight="1">
      <c r="B66" s="100"/>
      <c r="C66" s="78" t="s">
        <v>150</v>
      </c>
      <c r="D66" s="72">
        <v>1</v>
      </c>
      <c r="E66" s="73">
        <v>1.1868027533799999E-4</v>
      </c>
    </row>
    <row r="67" spans="2:5" ht="15" customHeight="1">
      <c r="B67" s="100"/>
      <c r="C67" s="78" t="s">
        <v>151</v>
      </c>
      <c r="D67" s="72">
        <v>3</v>
      </c>
      <c r="E67" s="73">
        <v>3.5604082601500001E-4</v>
      </c>
    </row>
    <row r="68" spans="2:5" ht="15" customHeight="1">
      <c r="B68" s="100"/>
      <c r="C68" s="78" t="s">
        <v>153</v>
      </c>
      <c r="D68" s="72">
        <v>20</v>
      </c>
      <c r="E68" s="73">
        <v>2.3736055067650002E-3</v>
      </c>
    </row>
    <row r="69" spans="2:5" ht="15" customHeight="1">
      <c r="B69" s="100"/>
      <c r="C69" s="78" t="s">
        <v>155</v>
      </c>
      <c r="D69" s="72">
        <v>3</v>
      </c>
      <c r="E69" s="73">
        <v>3.5604082601500001E-4</v>
      </c>
    </row>
    <row r="70" spans="2:5" ht="15" customHeight="1">
      <c r="B70" s="100"/>
      <c r="C70" s="78" t="s">
        <v>156</v>
      </c>
      <c r="D70" s="72">
        <v>9</v>
      </c>
      <c r="E70" s="73">
        <v>1.0681224780439999E-3</v>
      </c>
    </row>
    <row r="71" spans="2:5" ht="15" customHeight="1">
      <c r="B71" s="100"/>
      <c r="C71" s="78" t="s">
        <v>162</v>
      </c>
      <c r="D71" s="72">
        <v>1</v>
      </c>
      <c r="E71" s="73">
        <v>1.1868027533799999E-4</v>
      </c>
    </row>
    <row r="72" spans="2:5" ht="15" customHeight="1">
      <c r="B72" s="101"/>
      <c r="C72" s="24" t="s">
        <v>12</v>
      </c>
      <c r="D72" s="23">
        <v>50</v>
      </c>
      <c r="E72" s="22">
        <v>5.9340137669120002E-3</v>
      </c>
    </row>
    <row r="73" spans="2:5" ht="15" customHeight="1">
      <c r="B73" s="99" t="s">
        <v>217</v>
      </c>
      <c r="C73" s="78" t="s">
        <v>145</v>
      </c>
      <c r="D73" s="72">
        <v>1</v>
      </c>
      <c r="E73" s="73">
        <v>1.1868027533799999E-4</v>
      </c>
    </row>
    <row r="74" spans="2:5" ht="15" customHeight="1">
      <c r="B74" s="100"/>
      <c r="C74" s="78" t="s">
        <v>149</v>
      </c>
      <c r="D74" s="72">
        <v>2</v>
      </c>
      <c r="E74" s="73">
        <v>2.3736055067599999E-4</v>
      </c>
    </row>
    <row r="75" spans="2:5" ht="15" customHeight="1">
      <c r="B75" s="100"/>
      <c r="C75" s="78" t="s">
        <v>153</v>
      </c>
      <c r="D75" s="72">
        <v>2</v>
      </c>
      <c r="E75" s="73">
        <v>2.3736055067599999E-4</v>
      </c>
    </row>
    <row r="76" spans="2:5" ht="15" customHeight="1">
      <c r="B76" s="100"/>
      <c r="C76" s="78" t="s">
        <v>154</v>
      </c>
      <c r="D76" s="72">
        <v>1</v>
      </c>
      <c r="E76" s="73">
        <v>1.1868027533799999E-4</v>
      </c>
    </row>
    <row r="77" spans="2:5" ht="15" customHeight="1">
      <c r="B77" s="100"/>
      <c r="C77" s="78" t="s">
        <v>156</v>
      </c>
      <c r="D77" s="72">
        <v>2</v>
      </c>
      <c r="E77" s="73">
        <v>2.3736055067599999E-4</v>
      </c>
    </row>
    <row r="78" spans="2:5" ht="15" customHeight="1">
      <c r="B78" s="101"/>
      <c r="C78" s="24" t="s">
        <v>12</v>
      </c>
      <c r="D78" s="23">
        <v>8</v>
      </c>
      <c r="E78" s="22">
        <v>9.4944220270599998E-4</v>
      </c>
    </row>
    <row r="79" spans="2:5" ht="15" customHeight="1">
      <c r="B79" s="99" t="s">
        <v>218</v>
      </c>
      <c r="C79" s="78" t="s">
        <v>146</v>
      </c>
      <c r="D79" s="72">
        <v>1</v>
      </c>
      <c r="E79" s="73">
        <v>1.1868027533799999E-4</v>
      </c>
    </row>
    <row r="80" spans="2:5" ht="15" customHeight="1">
      <c r="B80" s="100"/>
      <c r="C80" s="78" t="s">
        <v>148</v>
      </c>
      <c r="D80" s="72">
        <v>1</v>
      </c>
      <c r="E80" s="73">
        <v>1.1868027533799999E-4</v>
      </c>
    </row>
    <row r="81" spans="2:5" ht="15" customHeight="1">
      <c r="B81" s="100"/>
      <c r="C81" s="78" t="s">
        <v>149</v>
      </c>
      <c r="D81" s="72">
        <v>2</v>
      </c>
      <c r="E81" s="73">
        <v>2.3736055067599999E-4</v>
      </c>
    </row>
    <row r="82" spans="2:5" ht="15" customHeight="1">
      <c r="B82" s="100"/>
      <c r="C82" s="78" t="s">
        <v>153</v>
      </c>
      <c r="D82" s="72">
        <v>2</v>
      </c>
      <c r="E82" s="73">
        <v>2.3736055067599999E-4</v>
      </c>
    </row>
    <row r="83" spans="2:5" ht="15" customHeight="1">
      <c r="B83" s="100"/>
      <c r="C83" s="78" t="s">
        <v>156</v>
      </c>
      <c r="D83" s="72">
        <v>2</v>
      </c>
      <c r="E83" s="73">
        <v>2.3736055067599999E-4</v>
      </c>
    </row>
    <row r="84" spans="2:5" ht="15" customHeight="1">
      <c r="B84" s="100"/>
      <c r="C84" s="78" t="s">
        <v>162</v>
      </c>
      <c r="D84" s="72">
        <v>1</v>
      </c>
      <c r="E84" s="73">
        <v>1.1868027533799999E-4</v>
      </c>
    </row>
    <row r="85" spans="2:5" ht="15" customHeight="1">
      <c r="B85" s="101"/>
      <c r="C85" s="24" t="s">
        <v>12</v>
      </c>
      <c r="D85" s="23">
        <v>9</v>
      </c>
      <c r="E85" s="22">
        <v>1.0681224780439999E-3</v>
      </c>
    </row>
    <row r="86" spans="2:5" ht="15" customHeight="1">
      <c r="B86" s="99" t="s">
        <v>219</v>
      </c>
      <c r="C86" s="78" t="s">
        <v>149</v>
      </c>
      <c r="D86" s="72">
        <v>1</v>
      </c>
      <c r="E86" s="73">
        <v>1.1868027533799999E-4</v>
      </c>
    </row>
    <row r="87" spans="2:5" ht="15" customHeight="1">
      <c r="B87" s="100"/>
      <c r="C87" s="78" t="s">
        <v>161</v>
      </c>
      <c r="D87" s="72">
        <v>1</v>
      </c>
      <c r="E87" s="73">
        <v>1.1868027533799999E-4</v>
      </c>
    </row>
    <row r="88" spans="2:5" ht="15" customHeight="1">
      <c r="B88" s="100"/>
      <c r="C88" s="78" t="s">
        <v>162</v>
      </c>
      <c r="D88" s="72">
        <v>1</v>
      </c>
      <c r="E88" s="73">
        <v>1.1868027533799999E-4</v>
      </c>
    </row>
    <row r="89" spans="2:5" ht="15" customHeight="1">
      <c r="B89" s="101"/>
      <c r="C89" s="24" t="s">
        <v>12</v>
      </c>
      <c r="D89" s="23">
        <v>3</v>
      </c>
      <c r="E89" s="22">
        <v>3.5604082601500001E-4</v>
      </c>
    </row>
    <row r="90" spans="2:5" ht="15" customHeight="1">
      <c r="B90" s="99" t="s">
        <v>220</v>
      </c>
      <c r="C90" s="78" t="s">
        <v>142</v>
      </c>
      <c r="D90" s="72">
        <v>13</v>
      </c>
      <c r="E90" s="73">
        <v>1.5428435793969999E-3</v>
      </c>
    </row>
    <row r="91" spans="2:5" ht="15" customHeight="1">
      <c r="B91" s="100"/>
      <c r="C91" s="78" t="s">
        <v>143</v>
      </c>
      <c r="D91" s="72">
        <v>4</v>
      </c>
      <c r="E91" s="73">
        <v>4.7472110135299999E-4</v>
      </c>
    </row>
    <row r="92" spans="2:5" ht="15" customHeight="1">
      <c r="B92" s="100"/>
      <c r="C92" s="78" t="s">
        <v>144</v>
      </c>
      <c r="D92" s="72">
        <v>2</v>
      </c>
      <c r="E92" s="73">
        <v>2.3736055067599999E-4</v>
      </c>
    </row>
    <row r="93" spans="2:5" ht="15" customHeight="1">
      <c r="B93" s="100"/>
      <c r="C93" s="78" t="s">
        <v>145</v>
      </c>
      <c r="D93" s="72">
        <v>11</v>
      </c>
      <c r="E93" s="73">
        <v>1.305483028721E-3</v>
      </c>
    </row>
    <row r="94" spans="2:5" ht="15" customHeight="1">
      <c r="B94" s="100"/>
      <c r="C94" s="78" t="s">
        <v>146</v>
      </c>
      <c r="D94" s="72">
        <v>6</v>
      </c>
      <c r="E94" s="73">
        <v>7.1208165202899995E-4</v>
      </c>
    </row>
    <row r="95" spans="2:5" ht="15" customHeight="1">
      <c r="B95" s="100"/>
      <c r="C95" s="78" t="s">
        <v>147</v>
      </c>
      <c r="D95" s="72">
        <v>15</v>
      </c>
      <c r="E95" s="73">
        <v>1.780204130074E-3</v>
      </c>
    </row>
    <row r="96" spans="2:5" ht="15" customHeight="1">
      <c r="B96" s="100"/>
      <c r="C96" s="78" t="s">
        <v>148</v>
      </c>
      <c r="D96" s="72">
        <v>67</v>
      </c>
      <c r="E96" s="73">
        <v>7.9515784476620003E-3</v>
      </c>
    </row>
    <row r="97" spans="2:5" ht="15" customHeight="1">
      <c r="B97" s="100"/>
      <c r="C97" s="78" t="s">
        <v>149</v>
      </c>
      <c r="D97" s="72">
        <v>256</v>
      </c>
      <c r="E97" s="73">
        <v>3.0382150486588998E-2</v>
      </c>
    </row>
    <row r="98" spans="2:5" ht="15" customHeight="1">
      <c r="B98" s="100"/>
      <c r="C98" s="78" t="s">
        <v>150</v>
      </c>
      <c r="D98" s="72">
        <v>10</v>
      </c>
      <c r="E98" s="73">
        <v>1.1868027533820001E-3</v>
      </c>
    </row>
    <row r="99" spans="2:5" ht="15" customHeight="1">
      <c r="B99" s="100"/>
      <c r="C99" s="78" t="s">
        <v>151</v>
      </c>
      <c r="D99" s="72">
        <v>20</v>
      </c>
      <c r="E99" s="73">
        <v>2.3736055067650002E-3</v>
      </c>
    </row>
    <row r="100" spans="2:5" ht="15" customHeight="1">
      <c r="B100" s="100"/>
      <c r="C100" s="78" t="s">
        <v>152</v>
      </c>
      <c r="D100" s="72">
        <v>55</v>
      </c>
      <c r="E100" s="73">
        <v>6.5274151436030001E-3</v>
      </c>
    </row>
    <row r="101" spans="2:5" ht="15" customHeight="1">
      <c r="B101" s="100"/>
      <c r="C101" s="78" t="s">
        <v>153</v>
      </c>
      <c r="D101" s="72">
        <v>524</v>
      </c>
      <c r="E101" s="73">
        <v>6.2188464277237003E-2</v>
      </c>
    </row>
    <row r="102" spans="2:5" ht="15" customHeight="1">
      <c r="B102" s="100"/>
      <c r="C102" s="78" t="s">
        <v>154</v>
      </c>
      <c r="D102" s="72">
        <v>12</v>
      </c>
      <c r="E102" s="73">
        <v>1.424163304059E-3</v>
      </c>
    </row>
    <row r="103" spans="2:5" ht="15" customHeight="1">
      <c r="B103" s="100"/>
      <c r="C103" s="78" t="s">
        <v>155</v>
      </c>
      <c r="D103" s="72">
        <v>62</v>
      </c>
      <c r="E103" s="73">
        <v>7.3581770709710004E-3</v>
      </c>
    </row>
    <row r="104" spans="2:5" ht="15" customHeight="1">
      <c r="B104" s="100"/>
      <c r="C104" s="78" t="s">
        <v>156</v>
      </c>
      <c r="D104" s="72">
        <v>257</v>
      </c>
      <c r="E104" s="73">
        <v>3.0500830761927E-2</v>
      </c>
    </row>
    <row r="105" spans="2:5" ht="15" customHeight="1">
      <c r="B105" s="100"/>
      <c r="C105" s="78" t="s">
        <v>157</v>
      </c>
      <c r="D105" s="72">
        <v>1</v>
      </c>
      <c r="E105" s="73">
        <v>1.1868027533799999E-4</v>
      </c>
    </row>
    <row r="106" spans="2:5" ht="15" customHeight="1">
      <c r="B106" s="100"/>
      <c r="C106" s="78" t="s">
        <v>158</v>
      </c>
      <c r="D106" s="72">
        <v>4</v>
      </c>
      <c r="E106" s="73">
        <v>4.7472110135299999E-4</v>
      </c>
    </row>
    <row r="107" spans="2:5" ht="15" customHeight="1">
      <c r="B107" s="100"/>
      <c r="C107" s="78" t="s">
        <v>159</v>
      </c>
      <c r="D107" s="72">
        <v>4</v>
      </c>
      <c r="E107" s="73">
        <v>4.7472110135299999E-4</v>
      </c>
    </row>
    <row r="108" spans="2:5" ht="15" customHeight="1">
      <c r="B108" s="100"/>
      <c r="C108" s="78" t="s">
        <v>161</v>
      </c>
      <c r="D108" s="72">
        <v>12</v>
      </c>
      <c r="E108" s="73">
        <v>1.424163304059E-3</v>
      </c>
    </row>
    <row r="109" spans="2:5" ht="15" customHeight="1">
      <c r="B109" s="100"/>
      <c r="C109" s="78" t="s">
        <v>162</v>
      </c>
      <c r="D109" s="72">
        <v>41</v>
      </c>
      <c r="E109" s="73">
        <v>4.8658912888679996E-3</v>
      </c>
    </row>
    <row r="110" spans="2:5" ht="15" customHeight="1">
      <c r="B110" s="100"/>
      <c r="C110" s="78" t="s">
        <v>164</v>
      </c>
      <c r="D110" s="72">
        <v>2</v>
      </c>
      <c r="E110" s="73">
        <v>2.3736055067599999E-4</v>
      </c>
    </row>
    <row r="111" spans="2:5" ht="15" customHeight="1">
      <c r="B111" s="101"/>
      <c r="C111" s="24" t="s">
        <v>12</v>
      </c>
      <c r="D111" s="23">
        <v>1378</v>
      </c>
      <c r="E111" s="22">
        <v>0.16354141941609299</v>
      </c>
    </row>
    <row r="112" spans="2:5" ht="15" customHeight="1">
      <c r="B112" s="99" t="s">
        <v>221</v>
      </c>
      <c r="C112" s="78" t="s">
        <v>142</v>
      </c>
      <c r="D112" s="72">
        <v>1</v>
      </c>
      <c r="E112" s="73">
        <v>1.1868027533799999E-4</v>
      </c>
    </row>
    <row r="113" spans="2:5" ht="15" customHeight="1">
      <c r="B113" s="100"/>
      <c r="C113" s="78" t="s">
        <v>144</v>
      </c>
      <c r="D113" s="72">
        <v>4</v>
      </c>
      <c r="E113" s="73">
        <v>4.7472110135299999E-4</v>
      </c>
    </row>
    <row r="114" spans="2:5" ht="15" customHeight="1">
      <c r="B114" s="100"/>
      <c r="C114" s="78" t="s">
        <v>145</v>
      </c>
      <c r="D114" s="72">
        <v>6</v>
      </c>
      <c r="E114" s="73">
        <v>7.1208165202899995E-4</v>
      </c>
    </row>
    <row r="115" spans="2:5" ht="15" customHeight="1">
      <c r="B115" s="100"/>
      <c r="C115" s="78" t="s">
        <v>146</v>
      </c>
      <c r="D115" s="72">
        <v>5</v>
      </c>
      <c r="E115" s="73">
        <v>5.9340137669100003E-4</v>
      </c>
    </row>
    <row r="116" spans="2:5" ht="15" customHeight="1">
      <c r="B116" s="100"/>
      <c r="C116" s="78" t="s">
        <v>147</v>
      </c>
      <c r="D116" s="72">
        <v>4</v>
      </c>
      <c r="E116" s="73">
        <v>4.7472110135299999E-4</v>
      </c>
    </row>
    <row r="117" spans="2:5" ht="15" customHeight="1">
      <c r="B117" s="100"/>
      <c r="C117" s="78" t="s">
        <v>148</v>
      </c>
      <c r="D117" s="72">
        <v>48</v>
      </c>
      <c r="E117" s="73">
        <v>5.6966532162349998E-3</v>
      </c>
    </row>
    <row r="118" spans="2:5" ht="15" customHeight="1">
      <c r="B118" s="100"/>
      <c r="C118" s="78" t="s">
        <v>149</v>
      </c>
      <c r="D118" s="72">
        <v>66</v>
      </c>
      <c r="E118" s="73">
        <v>7.8328981723240002E-3</v>
      </c>
    </row>
    <row r="119" spans="2:5" ht="15" customHeight="1">
      <c r="B119" s="100"/>
      <c r="C119" s="78" t="s">
        <v>150</v>
      </c>
      <c r="D119" s="72">
        <v>12</v>
      </c>
      <c r="E119" s="73">
        <v>1.424163304059E-3</v>
      </c>
    </row>
    <row r="120" spans="2:5" ht="15" customHeight="1">
      <c r="B120" s="100"/>
      <c r="C120" s="78" t="s">
        <v>151</v>
      </c>
      <c r="D120" s="72">
        <v>22</v>
      </c>
      <c r="E120" s="73">
        <v>2.610966057441E-3</v>
      </c>
    </row>
    <row r="121" spans="2:5" ht="15" customHeight="1">
      <c r="B121" s="100"/>
      <c r="C121" s="78" t="s">
        <v>152</v>
      </c>
      <c r="D121" s="72">
        <v>61</v>
      </c>
      <c r="E121" s="73">
        <v>7.2394967956330002E-3</v>
      </c>
    </row>
    <row r="122" spans="2:5" ht="15" customHeight="1">
      <c r="B122" s="100"/>
      <c r="C122" s="78" t="s">
        <v>153</v>
      </c>
      <c r="D122" s="72">
        <v>305</v>
      </c>
      <c r="E122" s="73">
        <v>3.6197483978162998E-2</v>
      </c>
    </row>
    <row r="123" spans="2:5" ht="15" customHeight="1">
      <c r="B123" s="100"/>
      <c r="C123" s="78" t="s">
        <v>154</v>
      </c>
      <c r="D123" s="72">
        <v>9</v>
      </c>
      <c r="E123" s="73">
        <v>1.0681224780439999E-3</v>
      </c>
    </row>
    <row r="124" spans="2:5" ht="15" customHeight="1">
      <c r="B124" s="100"/>
      <c r="C124" s="78" t="s">
        <v>155</v>
      </c>
      <c r="D124" s="72">
        <v>48</v>
      </c>
      <c r="E124" s="73">
        <v>5.6966532162349998E-3</v>
      </c>
    </row>
    <row r="125" spans="2:5" ht="15" customHeight="1">
      <c r="B125" s="100"/>
      <c r="C125" s="78" t="s">
        <v>156</v>
      </c>
      <c r="D125" s="72">
        <v>208</v>
      </c>
      <c r="E125" s="73">
        <v>2.4685497270354E-2</v>
      </c>
    </row>
    <row r="126" spans="2:5" ht="15" customHeight="1">
      <c r="B126" s="100"/>
      <c r="C126" s="78" t="s">
        <v>157</v>
      </c>
      <c r="D126" s="72">
        <v>2</v>
      </c>
      <c r="E126" s="73">
        <v>2.3736055067599999E-4</v>
      </c>
    </row>
    <row r="127" spans="2:5" ht="15" customHeight="1">
      <c r="B127" s="100"/>
      <c r="C127" s="78" t="s">
        <v>158</v>
      </c>
      <c r="D127" s="72">
        <v>1</v>
      </c>
      <c r="E127" s="73">
        <v>1.1868027533799999E-4</v>
      </c>
    </row>
    <row r="128" spans="2:5" ht="15" customHeight="1">
      <c r="B128" s="100"/>
      <c r="C128" s="78" t="s">
        <v>159</v>
      </c>
      <c r="D128" s="72">
        <v>3</v>
      </c>
      <c r="E128" s="73">
        <v>3.5604082601500001E-4</v>
      </c>
    </row>
    <row r="129" spans="2:5" ht="15" customHeight="1">
      <c r="B129" s="100"/>
      <c r="C129" s="78" t="s">
        <v>161</v>
      </c>
      <c r="D129" s="72">
        <v>5</v>
      </c>
      <c r="E129" s="73">
        <v>5.9340137669100003E-4</v>
      </c>
    </row>
    <row r="130" spans="2:5" ht="15" customHeight="1">
      <c r="B130" s="100"/>
      <c r="C130" s="78" t="s">
        <v>162</v>
      </c>
      <c r="D130" s="72">
        <v>19</v>
      </c>
      <c r="E130" s="73">
        <v>2.254925231427E-3</v>
      </c>
    </row>
    <row r="131" spans="2:5" ht="15" customHeight="1">
      <c r="B131" s="101"/>
      <c r="C131" s="24" t="s">
        <v>12</v>
      </c>
      <c r="D131" s="23">
        <v>829</v>
      </c>
      <c r="E131" s="22">
        <v>9.8385948255399994E-2</v>
      </c>
    </row>
    <row r="132" spans="2:5" ht="15" customHeight="1">
      <c r="B132" s="99" t="s">
        <v>222</v>
      </c>
      <c r="C132" s="78" t="s">
        <v>149</v>
      </c>
      <c r="D132" s="72">
        <v>1</v>
      </c>
      <c r="E132" s="73">
        <v>1.1868027533799999E-4</v>
      </c>
    </row>
    <row r="133" spans="2:5" ht="15" customHeight="1">
      <c r="B133" s="100"/>
      <c r="C133" s="78" t="s">
        <v>155</v>
      </c>
      <c r="D133" s="72">
        <v>1</v>
      </c>
      <c r="E133" s="73">
        <v>1.1868027533799999E-4</v>
      </c>
    </row>
    <row r="134" spans="2:5" ht="15" customHeight="1">
      <c r="B134" s="101"/>
      <c r="C134" s="24" t="s">
        <v>12</v>
      </c>
      <c r="D134" s="23">
        <v>2</v>
      </c>
      <c r="E134" s="22">
        <v>2.3736055067599999E-4</v>
      </c>
    </row>
    <row r="135" spans="2:5" ht="15" customHeight="1">
      <c r="B135" s="99" t="s">
        <v>223</v>
      </c>
      <c r="C135" s="78" t="s">
        <v>142</v>
      </c>
      <c r="D135" s="72">
        <v>3</v>
      </c>
      <c r="E135" s="73">
        <v>3.5604082601500001E-4</v>
      </c>
    </row>
    <row r="136" spans="2:5" ht="15" customHeight="1">
      <c r="B136" s="100"/>
      <c r="C136" s="78" t="s">
        <v>143</v>
      </c>
      <c r="D136" s="72">
        <v>2</v>
      </c>
      <c r="E136" s="73">
        <v>2.3736055067599999E-4</v>
      </c>
    </row>
    <row r="137" spans="2:5" ht="15" customHeight="1">
      <c r="B137" s="100"/>
      <c r="C137" s="78" t="s">
        <v>144</v>
      </c>
      <c r="D137" s="72">
        <v>8</v>
      </c>
      <c r="E137" s="73">
        <v>9.4944220270599998E-4</v>
      </c>
    </row>
    <row r="138" spans="2:5" ht="15" customHeight="1">
      <c r="B138" s="100"/>
      <c r="C138" s="78" t="s">
        <v>145</v>
      </c>
      <c r="D138" s="72">
        <v>9</v>
      </c>
      <c r="E138" s="73">
        <v>1.0681224780439999E-3</v>
      </c>
    </row>
    <row r="139" spans="2:5" ht="15" customHeight="1">
      <c r="B139" s="100"/>
      <c r="C139" s="78" t="s">
        <v>146</v>
      </c>
      <c r="D139" s="72">
        <v>8</v>
      </c>
      <c r="E139" s="73">
        <v>9.4944220270599998E-4</v>
      </c>
    </row>
    <row r="140" spans="2:5" ht="15" customHeight="1">
      <c r="B140" s="100"/>
      <c r="C140" s="78" t="s">
        <v>147</v>
      </c>
      <c r="D140" s="72">
        <v>9</v>
      </c>
      <c r="E140" s="73">
        <v>1.0681224780439999E-3</v>
      </c>
    </row>
    <row r="141" spans="2:5" ht="15" customHeight="1">
      <c r="B141" s="100"/>
      <c r="C141" s="78" t="s">
        <v>148</v>
      </c>
      <c r="D141" s="72">
        <v>35</v>
      </c>
      <c r="E141" s="73">
        <v>4.1538096368380004E-3</v>
      </c>
    </row>
    <row r="142" spans="2:5" ht="15" customHeight="1">
      <c r="B142" s="100"/>
      <c r="C142" s="78" t="s">
        <v>149</v>
      </c>
      <c r="D142" s="72">
        <v>55</v>
      </c>
      <c r="E142" s="73">
        <v>6.5274151436030001E-3</v>
      </c>
    </row>
    <row r="143" spans="2:5" ht="15" customHeight="1">
      <c r="B143" s="100"/>
      <c r="C143" s="78" t="s">
        <v>150</v>
      </c>
      <c r="D143" s="72">
        <v>13</v>
      </c>
      <c r="E143" s="73">
        <v>1.5428435793969999E-3</v>
      </c>
    </row>
    <row r="144" spans="2:5" ht="15" customHeight="1">
      <c r="B144" s="100"/>
      <c r="C144" s="78" t="s">
        <v>151</v>
      </c>
      <c r="D144" s="72">
        <v>25</v>
      </c>
      <c r="E144" s="73">
        <v>2.9670068834560001E-3</v>
      </c>
    </row>
    <row r="145" spans="2:5" ht="15" customHeight="1">
      <c r="B145" s="100"/>
      <c r="C145" s="78" t="s">
        <v>152</v>
      </c>
      <c r="D145" s="72">
        <v>64</v>
      </c>
      <c r="E145" s="73">
        <v>7.5955376216469998E-3</v>
      </c>
    </row>
    <row r="146" spans="2:5" ht="15" customHeight="1">
      <c r="B146" s="100"/>
      <c r="C146" s="78" t="s">
        <v>153</v>
      </c>
      <c r="D146" s="72">
        <v>236</v>
      </c>
      <c r="E146" s="73">
        <v>2.8008544979824E-2</v>
      </c>
    </row>
    <row r="147" spans="2:5" ht="15" customHeight="1">
      <c r="B147" s="100"/>
      <c r="C147" s="78" t="s">
        <v>154</v>
      </c>
      <c r="D147" s="72">
        <v>2</v>
      </c>
      <c r="E147" s="73">
        <v>2.3736055067599999E-4</v>
      </c>
    </row>
    <row r="148" spans="2:5" ht="15" customHeight="1">
      <c r="B148" s="100"/>
      <c r="C148" s="78" t="s">
        <v>155</v>
      </c>
      <c r="D148" s="72">
        <v>42</v>
      </c>
      <c r="E148" s="73">
        <v>4.9845715642059998E-3</v>
      </c>
    </row>
    <row r="149" spans="2:5" ht="15" customHeight="1">
      <c r="B149" s="100"/>
      <c r="C149" s="78" t="s">
        <v>156</v>
      </c>
      <c r="D149" s="72">
        <v>102</v>
      </c>
      <c r="E149" s="73">
        <v>1.2105388084500001E-2</v>
      </c>
    </row>
    <row r="150" spans="2:5" ht="15" customHeight="1">
      <c r="B150" s="100"/>
      <c r="C150" s="78" t="s">
        <v>158</v>
      </c>
      <c r="D150" s="72">
        <v>1</v>
      </c>
      <c r="E150" s="73">
        <v>1.1868027533799999E-4</v>
      </c>
    </row>
    <row r="151" spans="2:5" ht="15" customHeight="1">
      <c r="B151" s="100"/>
      <c r="C151" s="78" t="s">
        <v>159</v>
      </c>
      <c r="D151" s="72">
        <v>4</v>
      </c>
      <c r="E151" s="73">
        <v>4.7472110135299999E-4</v>
      </c>
    </row>
    <row r="152" spans="2:5" ht="15" customHeight="1">
      <c r="B152" s="100"/>
      <c r="C152" s="78" t="s">
        <v>161</v>
      </c>
      <c r="D152" s="72">
        <v>7</v>
      </c>
      <c r="E152" s="73">
        <v>8.3076192736799995E-4</v>
      </c>
    </row>
    <row r="153" spans="2:5" ht="15" customHeight="1">
      <c r="B153" s="100"/>
      <c r="C153" s="78" t="s">
        <v>162</v>
      </c>
      <c r="D153" s="72">
        <v>9</v>
      </c>
      <c r="E153" s="73">
        <v>1.0681224780439999E-3</v>
      </c>
    </row>
    <row r="154" spans="2:5" ht="15" customHeight="1">
      <c r="B154" s="101"/>
      <c r="C154" s="24" t="s">
        <v>12</v>
      </c>
      <c r="D154" s="23">
        <v>634</v>
      </c>
      <c r="E154" s="22">
        <v>7.5243294564442995E-2</v>
      </c>
    </row>
    <row r="155" spans="2:5" ht="15" customHeight="1">
      <c r="B155" s="99" t="s">
        <v>224</v>
      </c>
      <c r="C155" s="78" t="s">
        <v>142</v>
      </c>
      <c r="D155" s="72">
        <v>2</v>
      </c>
      <c r="E155" s="73">
        <v>2.3736055067599999E-4</v>
      </c>
    </row>
    <row r="156" spans="2:5" ht="15" customHeight="1">
      <c r="B156" s="100"/>
      <c r="C156" s="78" t="s">
        <v>145</v>
      </c>
      <c r="D156" s="72">
        <v>1</v>
      </c>
      <c r="E156" s="73">
        <v>1.1868027533799999E-4</v>
      </c>
    </row>
    <row r="157" spans="2:5" ht="15" customHeight="1">
      <c r="B157" s="100"/>
      <c r="C157" s="78" t="s">
        <v>146</v>
      </c>
      <c r="D157" s="72">
        <v>4</v>
      </c>
      <c r="E157" s="73">
        <v>4.7472110135299999E-4</v>
      </c>
    </row>
    <row r="158" spans="2:5" ht="15" customHeight="1">
      <c r="B158" s="100"/>
      <c r="C158" s="78" t="s">
        <v>147</v>
      </c>
      <c r="D158" s="72">
        <v>1</v>
      </c>
      <c r="E158" s="73">
        <v>1.1868027533799999E-4</v>
      </c>
    </row>
    <row r="159" spans="2:5" ht="15" customHeight="1">
      <c r="B159" s="100"/>
      <c r="C159" s="78" t="s">
        <v>148</v>
      </c>
      <c r="D159" s="72">
        <v>9</v>
      </c>
      <c r="E159" s="73">
        <v>1.0681224780439999E-3</v>
      </c>
    </row>
    <row r="160" spans="2:5" ht="15" customHeight="1">
      <c r="B160" s="100"/>
      <c r="C160" s="78" t="s">
        <v>149</v>
      </c>
      <c r="D160" s="72">
        <v>9</v>
      </c>
      <c r="E160" s="73">
        <v>1.0681224780439999E-3</v>
      </c>
    </row>
    <row r="161" spans="2:5" ht="15" customHeight="1">
      <c r="B161" s="100"/>
      <c r="C161" s="78" t="s">
        <v>151</v>
      </c>
      <c r="D161" s="72">
        <v>7</v>
      </c>
      <c r="E161" s="73">
        <v>8.3076192736799995E-4</v>
      </c>
    </row>
    <row r="162" spans="2:5" ht="15" customHeight="1">
      <c r="B162" s="100"/>
      <c r="C162" s="78" t="s">
        <v>152</v>
      </c>
      <c r="D162" s="72">
        <v>9</v>
      </c>
      <c r="E162" s="73">
        <v>1.0681224780439999E-3</v>
      </c>
    </row>
    <row r="163" spans="2:5" ht="15" customHeight="1">
      <c r="B163" s="100"/>
      <c r="C163" s="78" t="s">
        <v>153</v>
      </c>
      <c r="D163" s="72">
        <v>42</v>
      </c>
      <c r="E163" s="73">
        <v>4.9845715642059998E-3</v>
      </c>
    </row>
    <row r="164" spans="2:5" ht="15" customHeight="1">
      <c r="B164" s="100"/>
      <c r="C164" s="78" t="s">
        <v>154</v>
      </c>
      <c r="D164" s="72">
        <v>2</v>
      </c>
      <c r="E164" s="73">
        <v>2.3736055067599999E-4</v>
      </c>
    </row>
    <row r="165" spans="2:5" ht="15" customHeight="1">
      <c r="B165" s="100"/>
      <c r="C165" s="78" t="s">
        <v>155</v>
      </c>
      <c r="D165" s="72">
        <v>4</v>
      </c>
      <c r="E165" s="73">
        <v>4.7472110135299999E-4</v>
      </c>
    </row>
    <row r="166" spans="2:5" ht="15" customHeight="1">
      <c r="B166" s="100"/>
      <c r="C166" s="78" t="s">
        <v>156</v>
      </c>
      <c r="D166" s="72">
        <v>11</v>
      </c>
      <c r="E166" s="73">
        <v>1.305483028721E-3</v>
      </c>
    </row>
    <row r="167" spans="2:5" ht="15" customHeight="1">
      <c r="B167" s="100"/>
      <c r="C167" s="78" t="s">
        <v>160</v>
      </c>
      <c r="D167" s="72">
        <v>1</v>
      </c>
      <c r="E167" s="73">
        <v>1.1868027533799999E-4</v>
      </c>
    </row>
    <row r="168" spans="2:5" ht="15" customHeight="1">
      <c r="B168" s="100"/>
      <c r="C168" s="78" t="s">
        <v>162</v>
      </c>
      <c r="D168" s="72">
        <v>3</v>
      </c>
      <c r="E168" s="73">
        <v>3.5604082601500001E-4</v>
      </c>
    </row>
    <row r="169" spans="2:5" ht="15" customHeight="1">
      <c r="B169" s="101"/>
      <c r="C169" s="24" t="s">
        <v>12</v>
      </c>
      <c r="D169" s="23">
        <v>105</v>
      </c>
      <c r="E169" s="22">
        <v>1.2461428910515E-2</v>
      </c>
    </row>
    <row r="170" spans="2:5" ht="15" customHeight="1">
      <c r="B170" s="99" t="s">
        <v>225</v>
      </c>
      <c r="C170" s="78" t="s">
        <v>142</v>
      </c>
      <c r="D170" s="72">
        <v>1</v>
      </c>
      <c r="E170" s="73">
        <v>1.1868027533799999E-4</v>
      </c>
    </row>
    <row r="171" spans="2:5" ht="15" customHeight="1">
      <c r="B171" s="100"/>
      <c r="C171" s="78" t="s">
        <v>144</v>
      </c>
      <c r="D171" s="72">
        <v>1</v>
      </c>
      <c r="E171" s="73">
        <v>1.1868027533799999E-4</v>
      </c>
    </row>
    <row r="172" spans="2:5" ht="15" customHeight="1">
      <c r="B172" s="100"/>
      <c r="C172" s="78" t="s">
        <v>146</v>
      </c>
      <c r="D172" s="72">
        <v>2</v>
      </c>
      <c r="E172" s="73">
        <v>2.3736055067599999E-4</v>
      </c>
    </row>
    <row r="173" spans="2:5" ht="15" customHeight="1">
      <c r="B173" s="100"/>
      <c r="C173" s="78" t="s">
        <v>148</v>
      </c>
      <c r="D173" s="72">
        <v>4</v>
      </c>
      <c r="E173" s="73">
        <v>4.7472110135299999E-4</v>
      </c>
    </row>
    <row r="174" spans="2:5" ht="15" customHeight="1">
      <c r="B174" s="100"/>
      <c r="C174" s="78" t="s">
        <v>151</v>
      </c>
      <c r="D174" s="72">
        <v>1</v>
      </c>
      <c r="E174" s="73">
        <v>1.1868027533799999E-4</v>
      </c>
    </row>
    <row r="175" spans="2:5" ht="15" customHeight="1">
      <c r="B175" s="100"/>
      <c r="C175" s="78" t="s">
        <v>153</v>
      </c>
      <c r="D175" s="72">
        <v>11</v>
      </c>
      <c r="E175" s="73">
        <v>1.305483028721E-3</v>
      </c>
    </row>
    <row r="176" spans="2:5" ht="15" customHeight="1">
      <c r="B176" s="100"/>
      <c r="C176" s="78" t="s">
        <v>154</v>
      </c>
      <c r="D176" s="72">
        <v>3</v>
      </c>
      <c r="E176" s="73">
        <v>3.5604082601500001E-4</v>
      </c>
    </row>
    <row r="177" spans="2:5" ht="15" customHeight="1">
      <c r="B177" s="100"/>
      <c r="C177" s="78" t="s">
        <v>155</v>
      </c>
      <c r="D177" s="72">
        <v>2</v>
      </c>
      <c r="E177" s="73">
        <v>2.3736055067599999E-4</v>
      </c>
    </row>
    <row r="178" spans="2:5" ht="15" customHeight="1">
      <c r="B178" s="100"/>
      <c r="C178" s="78" t="s">
        <v>156</v>
      </c>
      <c r="D178" s="72">
        <v>3</v>
      </c>
      <c r="E178" s="73">
        <v>3.5604082601500001E-4</v>
      </c>
    </row>
    <row r="179" spans="2:5" ht="15" customHeight="1">
      <c r="B179" s="100"/>
      <c r="C179" s="78" t="s">
        <v>157</v>
      </c>
      <c r="D179" s="72">
        <v>1</v>
      </c>
      <c r="E179" s="73">
        <v>1.1868027533799999E-4</v>
      </c>
    </row>
    <row r="180" spans="2:5" ht="15" customHeight="1">
      <c r="B180" s="100"/>
      <c r="C180" s="78" t="s">
        <v>158</v>
      </c>
      <c r="D180" s="72">
        <v>1</v>
      </c>
      <c r="E180" s="73">
        <v>1.1868027533799999E-4</v>
      </c>
    </row>
    <row r="181" spans="2:5" ht="15" customHeight="1">
      <c r="B181" s="100"/>
      <c r="C181" s="78" t="s">
        <v>161</v>
      </c>
      <c r="D181" s="72">
        <v>1</v>
      </c>
      <c r="E181" s="73">
        <v>1.1868027533799999E-4</v>
      </c>
    </row>
    <row r="182" spans="2:5" ht="15" customHeight="1">
      <c r="B182" s="100"/>
      <c r="C182" s="78" t="s">
        <v>162</v>
      </c>
      <c r="D182" s="72">
        <v>1</v>
      </c>
      <c r="E182" s="73">
        <v>1.1868027533799999E-4</v>
      </c>
    </row>
    <row r="183" spans="2:5" ht="15" customHeight="1">
      <c r="B183" s="101"/>
      <c r="C183" s="24" t="s">
        <v>12</v>
      </c>
      <c r="D183" s="23">
        <v>32</v>
      </c>
      <c r="E183" s="22">
        <v>3.7977688108239999E-3</v>
      </c>
    </row>
    <row r="184" spans="2:5" ht="15" customHeight="1">
      <c r="B184" s="99" t="s">
        <v>226</v>
      </c>
      <c r="C184" s="78" t="s">
        <v>148</v>
      </c>
      <c r="D184" s="72">
        <v>2</v>
      </c>
      <c r="E184" s="73">
        <v>2.3736055067599999E-4</v>
      </c>
    </row>
    <row r="185" spans="2:5" ht="15" customHeight="1">
      <c r="B185" s="100"/>
      <c r="C185" s="78" t="s">
        <v>149</v>
      </c>
      <c r="D185" s="72">
        <v>1</v>
      </c>
      <c r="E185" s="73">
        <v>1.1868027533799999E-4</v>
      </c>
    </row>
    <row r="186" spans="2:5" ht="15" customHeight="1">
      <c r="B186" s="100"/>
      <c r="C186" s="78" t="s">
        <v>153</v>
      </c>
      <c r="D186" s="72">
        <v>11</v>
      </c>
      <c r="E186" s="73">
        <v>1.305483028721E-3</v>
      </c>
    </row>
    <row r="187" spans="2:5" ht="15" customHeight="1">
      <c r="B187" s="100"/>
      <c r="C187" s="78" t="s">
        <v>156</v>
      </c>
      <c r="D187" s="72">
        <v>3</v>
      </c>
      <c r="E187" s="73">
        <v>3.5604082601500001E-4</v>
      </c>
    </row>
    <row r="188" spans="2:5" ht="15" customHeight="1">
      <c r="B188" s="100"/>
      <c r="C188" s="78" t="s">
        <v>165</v>
      </c>
      <c r="D188" s="72">
        <v>1</v>
      </c>
      <c r="E188" s="73">
        <v>1.1868027533799999E-4</v>
      </c>
    </row>
    <row r="189" spans="2:5" ht="15" customHeight="1">
      <c r="B189" s="101"/>
      <c r="C189" s="24" t="s">
        <v>12</v>
      </c>
      <c r="D189" s="23">
        <v>18</v>
      </c>
      <c r="E189" s="22">
        <v>2.1362449560879998E-3</v>
      </c>
    </row>
    <row r="190" spans="2:5" ht="15" customHeight="1">
      <c r="B190" s="99" t="s">
        <v>227</v>
      </c>
      <c r="C190" s="78" t="s">
        <v>142</v>
      </c>
      <c r="D190" s="72">
        <v>4</v>
      </c>
      <c r="E190" s="73">
        <v>4.7472110135299999E-4</v>
      </c>
    </row>
    <row r="191" spans="2:5" ht="15" customHeight="1">
      <c r="B191" s="100"/>
      <c r="C191" s="78" t="s">
        <v>143</v>
      </c>
      <c r="D191" s="72">
        <v>1</v>
      </c>
      <c r="E191" s="73">
        <v>1.1868027533799999E-4</v>
      </c>
    </row>
    <row r="192" spans="2:5" ht="15" customHeight="1">
      <c r="B192" s="100"/>
      <c r="C192" s="78" t="s">
        <v>145</v>
      </c>
      <c r="D192" s="72">
        <v>1</v>
      </c>
      <c r="E192" s="73">
        <v>1.1868027533799999E-4</v>
      </c>
    </row>
    <row r="193" spans="2:5" ht="15" customHeight="1">
      <c r="B193" s="100"/>
      <c r="C193" s="78" t="s">
        <v>147</v>
      </c>
      <c r="D193" s="72">
        <v>4</v>
      </c>
      <c r="E193" s="73">
        <v>4.7472110135299999E-4</v>
      </c>
    </row>
    <row r="194" spans="2:5" ht="15" customHeight="1">
      <c r="B194" s="100"/>
      <c r="C194" s="78" t="s">
        <v>148</v>
      </c>
      <c r="D194" s="72">
        <v>17</v>
      </c>
      <c r="E194" s="73">
        <v>2.0175646807500001E-3</v>
      </c>
    </row>
    <row r="195" spans="2:5" ht="15" customHeight="1">
      <c r="B195" s="100"/>
      <c r="C195" s="78" t="s">
        <v>149</v>
      </c>
      <c r="D195" s="72">
        <v>19</v>
      </c>
      <c r="E195" s="73">
        <v>2.254925231427E-3</v>
      </c>
    </row>
    <row r="196" spans="2:5" ht="15" customHeight="1">
      <c r="B196" s="100"/>
      <c r="C196" s="78" t="s">
        <v>150</v>
      </c>
      <c r="D196" s="72">
        <v>3</v>
      </c>
      <c r="E196" s="73">
        <v>3.5604082601500001E-4</v>
      </c>
    </row>
    <row r="197" spans="2:5" ht="15" customHeight="1">
      <c r="B197" s="100"/>
      <c r="C197" s="78" t="s">
        <v>151</v>
      </c>
      <c r="D197" s="72">
        <v>4</v>
      </c>
      <c r="E197" s="73">
        <v>4.7472110135299999E-4</v>
      </c>
    </row>
    <row r="198" spans="2:5" ht="15" customHeight="1">
      <c r="B198" s="100"/>
      <c r="C198" s="78" t="s">
        <v>152</v>
      </c>
      <c r="D198" s="72">
        <v>6</v>
      </c>
      <c r="E198" s="73">
        <v>7.1208165202899995E-4</v>
      </c>
    </row>
    <row r="199" spans="2:5" ht="15" customHeight="1">
      <c r="B199" s="100"/>
      <c r="C199" s="78" t="s">
        <v>153</v>
      </c>
      <c r="D199" s="72">
        <v>43</v>
      </c>
      <c r="E199" s="73">
        <v>5.1032518395439999E-3</v>
      </c>
    </row>
    <row r="200" spans="2:5" ht="15" customHeight="1">
      <c r="B200" s="100"/>
      <c r="C200" s="78" t="s">
        <v>155</v>
      </c>
      <c r="D200" s="72">
        <v>8</v>
      </c>
      <c r="E200" s="73">
        <v>9.4944220270599998E-4</v>
      </c>
    </row>
    <row r="201" spans="2:5" ht="15" customHeight="1">
      <c r="B201" s="100"/>
      <c r="C201" s="78" t="s">
        <v>156</v>
      </c>
      <c r="D201" s="72">
        <v>19</v>
      </c>
      <c r="E201" s="73">
        <v>2.254925231427E-3</v>
      </c>
    </row>
    <row r="202" spans="2:5" ht="15" customHeight="1">
      <c r="B202" s="100"/>
      <c r="C202" s="78" t="s">
        <v>158</v>
      </c>
      <c r="D202" s="72">
        <v>1</v>
      </c>
      <c r="E202" s="73">
        <v>1.1868027533799999E-4</v>
      </c>
    </row>
    <row r="203" spans="2:5" ht="15" customHeight="1">
      <c r="B203" s="100"/>
      <c r="C203" s="78" t="s">
        <v>161</v>
      </c>
      <c r="D203" s="72">
        <v>4</v>
      </c>
      <c r="E203" s="73">
        <v>4.7472110135299999E-4</v>
      </c>
    </row>
    <row r="204" spans="2:5" ht="15" customHeight="1">
      <c r="B204" s="100"/>
      <c r="C204" s="78" t="s">
        <v>162</v>
      </c>
      <c r="D204" s="72">
        <v>3</v>
      </c>
      <c r="E204" s="73">
        <v>3.5604082601500001E-4</v>
      </c>
    </row>
    <row r="205" spans="2:5" ht="15" customHeight="1">
      <c r="B205" s="100"/>
      <c r="C205" s="78" t="s">
        <v>164</v>
      </c>
      <c r="D205" s="72">
        <v>1</v>
      </c>
      <c r="E205" s="73">
        <v>1.1868027533799999E-4</v>
      </c>
    </row>
    <row r="206" spans="2:5" ht="15" customHeight="1">
      <c r="B206" s="101"/>
      <c r="C206" s="24" t="s">
        <v>12</v>
      </c>
      <c r="D206" s="23">
        <v>138</v>
      </c>
      <c r="E206" s="22">
        <v>1.6377877996677E-2</v>
      </c>
    </row>
    <row r="207" spans="2:5" ht="15" customHeight="1">
      <c r="B207" s="99" t="s">
        <v>228</v>
      </c>
      <c r="C207" s="78" t="s">
        <v>142</v>
      </c>
      <c r="D207" s="72">
        <v>2</v>
      </c>
      <c r="E207" s="73">
        <v>2.3736055067599999E-4</v>
      </c>
    </row>
    <row r="208" spans="2:5" ht="15" customHeight="1">
      <c r="B208" s="100"/>
      <c r="C208" s="78" t="s">
        <v>143</v>
      </c>
      <c r="D208" s="72">
        <v>2</v>
      </c>
      <c r="E208" s="73">
        <v>2.3736055067599999E-4</v>
      </c>
    </row>
    <row r="209" spans="2:5" ht="15" customHeight="1">
      <c r="B209" s="100"/>
      <c r="C209" s="78" t="s">
        <v>144</v>
      </c>
      <c r="D209" s="72">
        <v>4</v>
      </c>
      <c r="E209" s="73">
        <v>4.7472110135299999E-4</v>
      </c>
    </row>
    <row r="210" spans="2:5" ht="15" customHeight="1">
      <c r="B210" s="100"/>
      <c r="C210" s="78" t="s">
        <v>145</v>
      </c>
      <c r="D210" s="72">
        <v>2</v>
      </c>
      <c r="E210" s="73">
        <v>2.3736055067599999E-4</v>
      </c>
    </row>
    <row r="211" spans="2:5" ht="15" customHeight="1">
      <c r="B211" s="100"/>
      <c r="C211" s="78" t="s">
        <v>146</v>
      </c>
      <c r="D211" s="72">
        <v>7</v>
      </c>
      <c r="E211" s="73">
        <v>8.3076192736799995E-4</v>
      </c>
    </row>
    <row r="212" spans="2:5" ht="15" customHeight="1">
      <c r="B212" s="100"/>
      <c r="C212" s="78" t="s">
        <v>147</v>
      </c>
      <c r="D212" s="72">
        <v>5</v>
      </c>
      <c r="E212" s="73">
        <v>5.9340137669100003E-4</v>
      </c>
    </row>
    <row r="213" spans="2:5" ht="15" customHeight="1">
      <c r="B213" s="100"/>
      <c r="C213" s="78" t="s">
        <v>148</v>
      </c>
      <c r="D213" s="72">
        <v>42</v>
      </c>
      <c r="E213" s="73">
        <v>4.9845715642059998E-3</v>
      </c>
    </row>
    <row r="214" spans="2:5" ht="15" customHeight="1">
      <c r="B214" s="100"/>
      <c r="C214" s="78" t="s">
        <v>149</v>
      </c>
      <c r="D214" s="72">
        <v>51</v>
      </c>
      <c r="E214" s="73">
        <v>6.0526940422500003E-3</v>
      </c>
    </row>
    <row r="215" spans="2:5" ht="15" customHeight="1">
      <c r="B215" s="100"/>
      <c r="C215" s="78" t="s">
        <v>150</v>
      </c>
      <c r="D215" s="72">
        <v>7</v>
      </c>
      <c r="E215" s="73">
        <v>8.3076192736799995E-4</v>
      </c>
    </row>
    <row r="216" spans="2:5" ht="15" customHeight="1">
      <c r="B216" s="100"/>
      <c r="C216" s="78" t="s">
        <v>151</v>
      </c>
      <c r="D216" s="72">
        <v>6</v>
      </c>
      <c r="E216" s="73">
        <v>7.1208165202899995E-4</v>
      </c>
    </row>
    <row r="217" spans="2:5" ht="15" customHeight="1">
      <c r="B217" s="100"/>
      <c r="C217" s="78" t="s">
        <v>152</v>
      </c>
      <c r="D217" s="72">
        <v>34</v>
      </c>
      <c r="E217" s="73">
        <v>4.0351293615000002E-3</v>
      </c>
    </row>
    <row r="218" spans="2:5" ht="15" customHeight="1">
      <c r="B218" s="100"/>
      <c r="C218" s="78" t="s">
        <v>153</v>
      </c>
      <c r="D218" s="72">
        <v>192</v>
      </c>
      <c r="E218" s="73">
        <v>2.2786612864942001E-2</v>
      </c>
    </row>
    <row r="219" spans="2:5" ht="15" customHeight="1">
      <c r="B219" s="100"/>
      <c r="C219" s="78" t="s">
        <v>154</v>
      </c>
      <c r="D219" s="72">
        <v>8</v>
      </c>
      <c r="E219" s="73">
        <v>9.4944220270599998E-4</v>
      </c>
    </row>
    <row r="220" spans="2:5" ht="15" customHeight="1">
      <c r="B220" s="100"/>
      <c r="C220" s="78" t="s">
        <v>155</v>
      </c>
      <c r="D220" s="72">
        <v>27</v>
      </c>
      <c r="E220" s="73">
        <v>3.2043674341319999E-3</v>
      </c>
    </row>
    <row r="221" spans="2:5" ht="15" customHeight="1">
      <c r="B221" s="100"/>
      <c r="C221" s="78" t="s">
        <v>156</v>
      </c>
      <c r="D221" s="72">
        <v>99</v>
      </c>
      <c r="E221" s="73">
        <v>1.1749347258486E-2</v>
      </c>
    </row>
    <row r="222" spans="2:5" ht="15" customHeight="1">
      <c r="B222" s="100"/>
      <c r="C222" s="78" t="s">
        <v>158</v>
      </c>
      <c r="D222" s="72">
        <v>2</v>
      </c>
      <c r="E222" s="73">
        <v>2.3736055067599999E-4</v>
      </c>
    </row>
    <row r="223" spans="2:5" ht="15" customHeight="1">
      <c r="B223" s="100"/>
      <c r="C223" s="78" t="s">
        <v>161</v>
      </c>
      <c r="D223" s="72">
        <v>4</v>
      </c>
      <c r="E223" s="73">
        <v>4.7472110135299999E-4</v>
      </c>
    </row>
    <row r="224" spans="2:5" ht="15" customHeight="1">
      <c r="B224" s="100"/>
      <c r="C224" s="78" t="s">
        <v>162</v>
      </c>
      <c r="D224" s="72">
        <v>19</v>
      </c>
      <c r="E224" s="73">
        <v>2.254925231427E-3</v>
      </c>
    </row>
    <row r="225" spans="2:5" ht="15" customHeight="1">
      <c r="B225" s="101"/>
      <c r="C225" s="24" t="s">
        <v>12</v>
      </c>
      <c r="D225" s="23">
        <v>513</v>
      </c>
      <c r="E225" s="22">
        <v>6.0882981248516002E-2</v>
      </c>
    </row>
    <row r="226" spans="2:5" ht="15" customHeight="1">
      <c r="B226" s="99" t="s">
        <v>229</v>
      </c>
      <c r="C226" s="78" t="s">
        <v>142</v>
      </c>
      <c r="D226" s="72">
        <v>1</v>
      </c>
      <c r="E226" s="73">
        <v>1.1868027533799999E-4</v>
      </c>
    </row>
    <row r="227" spans="2:5" ht="15" customHeight="1">
      <c r="B227" s="100"/>
      <c r="C227" s="78" t="s">
        <v>145</v>
      </c>
      <c r="D227" s="72">
        <v>2</v>
      </c>
      <c r="E227" s="73">
        <v>2.3736055067599999E-4</v>
      </c>
    </row>
    <row r="228" spans="2:5" ht="15" customHeight="1">
      <c r="B228" s="100"/>
      <c r="C228" s="78" t="s">
        <v>147</v>
      </c>
      <c r="D228" s="72">
        <v>1</v>
      </c>
      <c r="E228" s="73">
        <v>1.1868027533799999E-4</v>
      </c>
    </row>
    <row r="229" spans="2:5" ht="15" customHeight="1">
      <c r="B229" s="100"/>
      <c r="C229" s="78" t="s">
        <v>148</v>
      </c>
      <c r="D229" s="72">
        <v>10</v>
      </c>
      <c r="E229" s="73">
        <v>1.1868027533820001E-3</v>
      </c>
    </row>
    <row r="230" spans="2:5" ht="15" customHeight="1">
      <c r="B230" s="100"/>
      <c r="C230" s="78" t="s">
        <v>149</v>
      </c>
      <c r="D230" s="72">
        <v>14</v>
      </c>
      <c r="E230" s="73">
        <v>1.661523854735E-3</v>
      </c>
    </row>
    <row r="231" spans="2:5" ht="15" customHeight="1">
      <c r="B231" s="100"/>
      <c r="C231" s="78" t="s">
        <v>150</v>
      </c>
      <c r="D231" s="72">
        <v>1</v>
      </c>
      <c r="E231" s="73">
        <v>1.1868027533799999E-4</v>
      </c>
    </row>
    <row r="232" spans="2:5" ht="15" customHeight="1">
      <c r="B232" s="100"/>
      <c r="C232" s="78" t="s">
        <v>151</v>
      </c>
      <c r="D232" s="72">
        <v>2</v>
      </c>
      <c r="E232" s="73">
        <v>2.3736055067599999E-4</v>
      </c>
    </row>
    <row r="233" spans="2:5" ht="15" customHeight="1">
      <c r="B233" s="100"/>
      <c r="C233" s="78" t="s">
        <v>152</v>
      </c>
      <c r="D233" s="72">
        <v>4</v>
      </c>
      <c r="E233" s="73">
        <v>4.7472110135299999E-4</v>
      </c>
    </row>
    <row r="234" spans="2:5" ht="15" customHeight="1">
      <c r="B234" s="100"/>
      <c r="C234" s="78" t="s">
        <v>153</v>
      </c>
      <c r="D234" s="72">
        <v>28</v>
      </c>
      <c r="E234" s="73">
        <v>3.3230477094710002E-3</v>
      </c>
    </row>
    <row r="235" spans="2:5" ht="15" customHeight="1">
      <c r="B235" s="100"/>
      <c r="C235" s="78" t="s">
        <v>154</v>
      </c>
      <c r="D235" s="72">
        <v>1</v>
      </c>
      <c r="E235" s="73">
        <v>1.1868027533799999E-4</v>
      </c>
    </row>
    <row r="236" spans="2:5" ht="15" customHeight="1">
      <c r="B236" s="100"/>
      <c r="C236" s="78" t="s">
        <v>155</v>
      </c>
      <c r="D236" s="72">
        <v>10</v>
      </c>
      <c r="E236" s="73">
        <v>1.1868027533820001E-3</v>
      </c>
    </row>
    <row r="237" spans="2:5" ht="15" customHeight="1">
      <c r="B237" s="100"/>
      <c r="C237" s="78" t="s">
        <v>156</v>
      </c>
      <c r="D237" s="72">
        <v>33</v>
      </c>
      <c r="E237" s="73">
        <v>3.9164490861620001E-3</v>
      </c>
    </row>
    <row r="238" spans="2:5" ht="15" customHeight="1">
      <c r="B238" s="100"/>
      <c r="C238" s="78" t="s">
        <v>158</v>
      </c>
      <c r="D238" s="72">
        <v>2</v>
      </c>
      <c r="E238" s="73">
        <v>2.3736055067599999E-4</v>
      </c>
    </row>
    <row r="239" spans="2:5" ht="15" customHeight="1">
      <c r="B239" s="100"/>
      <c r="C239" s="78" t="s">
        <v>162</v>
      </c>
      <c r="D239" s="72">
        <v>2</v>
      </c>
      <c r="E239" s="73">
        <v>2.3736055067599999E-4</v>
      </c>
    </row>
    <row r="240" spans="2:5" ht="15" customHeight="1">
      <c r="B240" s="101"/>
      <c r="C240" s="24" t="s">
        <v>12</v>
      </c>
      <c r="D240" s="23">
        <v>111</v>
      </c>
      <c r="E240" s="22">
        <v>1.3173510562545E-2</v>
      </c>
    </row>
    <row r="241" spans="2:5" ht="15" customHeight="1">
      <c r="B241" s="99" t="s">
        <v>230</v>
      </c>
      <c r="C241" s="78" t="s">
        <v>142</v>
      </c>
      <c r="D241" s="72">
        <v>3</v>
      </c>
      <c r="E241" s="73">
        <v>3.5604082601500001E-4</v>
      </c>
    </row>
    <row r="242" spans="2:5" ht="15" customHeight="1">
      <c r="B242" s="100"/>
      <c r="C242" s="78" t="s">
        <v>144</v>
      </c>
      <c r="D242" s="72">
        <v>2</v>
      </c>
      <c r="E242" s="73">
        <v>2.3736055067599999E-4</v>
      </c>
    </row>
    <row r="243" spans="2:5" ht="15" customHeight="1">
      <c r="B243" s="100"/>
      <c r="C243" s="78" t="s">
        <v>145</v>
      </c>
      <c r="D243" s="72">
        <v>1</v>
      </c>
      <c r="E243" s="73">
        <v>1.1868027533799999E-4</v>
      </c>
    </row>
    <row r="244" spans="2:5" ht="15" customHeight="1">
      <c r="B244" s="100"/>
      <c r="C244" s="78" t="s">
        <v>146</v>
      </c>
      <c r="D244" s="72">
        <v>3</v>
      </c>
      <c r="E244" s="73">
        <v>3.5604082601500001E-4</v>
      </c>
    </row>
    <row r="245" spans="2:5" ht="15" customHeight="1">
      <c r="B245" s="100"/>
      <c r="C245" s="78" t="s">
        <v>147</v>
      </c>
      <c r="D245" s="72">
        <v>2</v>
      </c>
      <c r="E245" s="73">
        <v>2.3736055067599999E-4</v>
      </c>
    </row>
    <row r="246" spans="2:5" ht="15" customHeight="1">
      <c r="B246" s="100"/>
      <c r="C246" s="78" t="s">
        <v>148</v>
      </c>
      <c r="D246" s="72">
        <v>11</v>
      </c>
      <c r="E246" s="73">
        <v>1.305483028721E-3</v>
      </c>
    </row>
    <row r="247" spans="2:5" ht="15" customHeight="1">
      <c r="B247" s="100"/>
      <c r="C247" s="78" t="s">
        <v>149</v>
      </c>
      <c r="D247" s="72">
        <v>24</v>
      </c>
      <c r="E247" s="73">
        <v>2.8483266081179999E-3</v>
      </c>
    </row>
    <row r="248" spans="2:5" ht="15" customHeight="1">
      <c r="B248" s="100"/>
      <c r="C248" s="78" t="s">
        <v>150</v>
      </c>
      <c r="D248" s="72">
        <v>4</v>
      </c>
      <c r="E248" s="73">
        <v>4.7472110135299999E-4</v>
      </c>
    </row>
    <row r="249" spans="2:5" ht="15" customHeight="1">
      <c r="B249" s="100"/>
      <c r="C249" s="78" t="s">
        <v>151</v>
      </c>
      <c r="D249" s="72">
        <v>8</v>
      </c>
      <c r="E249" s="73">
        <v>9.4944220270599998E-4</v>
      </c>
    </row>
    <row r="250" spans="2:5" ht="15" customHeight="1">
      <c r="B250" s="100"/>
      <c r="C250" s="78" t="s">
        <v>152</v>
      </c>
      <c r="D250" s="72">
        <v>17</v>
      </c>
      <c r="E250" s="73">
        <v>2.0175646807500001E-3</v>
      </c>
    </row>
    <row r="251" spans="2:5" ht="15" customHeight="1">
      <c r="B251" s="100"/>
      <c r="C251" s="78" t="s">
        <v>153</v>
      </c>
      <c r="D251" s="72">
        <v>60</v>
      </c>
      <c r="E251" s="73">
        <v>7.120816520294E-3</v>
      </c>
    </row>
    <row r="252" spans="2:5" ht="15" customHeight="1">
      <c r="B252" s="100"/>
      <c r="C252" s="78" t="s">
        <v>154</v>
      </c>
      <c r="D252" s="72">
        <v>1</v>
      </c>
      <c r="E252" s="73">
        <v>1.1868027533799999E-4</v>
      </c>
    </row>
    <row r="253" spans="2:5" ht="15" customHeight="1">
      <c r="B253" s="100"/>
      <c r="C253" s="78" t="s">
        <v>155</v>
      </c>
      <c r="D253" s="72">
        <v>12</v>
      </c>
      <c r="E253" s="73">
        <v>1.424163304059E-3</v>
      </c>
    </row>
    <row r="254" spans="2:5" ht="15" customHeight="1">
      <c r="B254" s="100"/>
      <c r="C254" s="78" t="s">
        <v>156</v>
      </c>
      <c r="D254" s="72">
        <v>29</v>
      </c>
      <c r="E254" s="73">
        <v>3.4417279848089999E-3</v>
      </c>
    </row>
    <row r="255" spans="2:5" ht="15" customHeight="1">
      <c r="B255" s="100"/>
      <c r="C255" s="78" t="s">
        <v>157</v>
      </c>
      <c r="D255" s="72">
        <v>1</v>
      </c>
      <c r="E255" s="73">
        <v>1.1868027533799999E-4</v>
      </c>
    </row>
    <row r="256" spans="2:5" ht="15" customHeight="1">
      <c r="B256" s="100"/>
      <c r="C256" s="78" t="s">
        <v>160</v>
      </c>
      <c r="D256" s="72">
        <v>1</v>
      </c>
      <c r="E256" s="73">
        <v>1.1868027533799999E-4</v>
      </c>
    </row>
    <row r="257" spans="2:5" ht="15" customHeight="1">
      <c r="B257" s="100"/>
      <c r="C257" s="78" t="s">
        <v>161</v>
      </c>
      <c r="D257" s="72">
        <v>3</v>
      </c>
      <c r="E257" s="73">
        <v>3.5604082601500001E-4</v>
      </c>
    </row>
    <row r="258" spans="2:5" ht="15" customHeight="1">
      <c r="B258" s="100"/>
      <c r="C258" s="78" t="s">
        <v>162</v>
      </c>
      <c r="D258" s="72">
        <v>3</v>
      </c>
      <c r="E258" s="73">
        <v>3.5604082601500001E-4</v>
      </c>
    </row>
    <row r="259" spans="2:5" ht="15" customHeight="1">
      <c r="B259" s="100"/>
      <c r="C259" s="78" t="s">
        <v>163</v>
      </c>
      <c r="D259" s="72">
        <v>1</v>
      </c>
      <c r="E259" s="73">
        <v>1.1868027533799999E-4</v>
      </c>
    </row>
    <row r="260" spans="2:5" ht="15" customHeight="1">
      <c r="B260" s="101"/>
      <c r="C260" s="24" t="s">
        <v>12</v>
      </c>
      <c r="D260" s="23">
        <v>186</v>
      </c>
      <c r="E260" s="22">
        <v>2.2074531212911998E-2</v>
      </c>
    </row>
    <row r="261" spans="2:5" ht="15" customHeight="1">
      <c r="B261" s="99" t="s">
        <v>231</v>
      </c>
      <c r="C261" s="78" t="s">
        <v>148</v>
      </c>
      <c r="D261" s="72">
        <v>1</v>
      </c>
      <c r="E261" s="73">
        <v>1.1868027533799999E-4</v>
      </c>
    </row>
    <row r="262" spans="2:5" ht="15" customHeight="1">
      <c r="B262" s="100"/>
      <c r="C262" s="78" t="s">
        <v>152</v>
      </c>
      <c r="D262" s="72">
        <v>1</v>
      </c>
      <c r="E262" s="73">
        <v>1.1868027533799999E-4</v>
      </c>
    </row>
    <row r="263" spans="2:5" ht="15" customHeight="1">
      <c r="B263" s="100"/>
      <c r="C263" s="78" t="s">
        <v>153</v>
      </c>
      <c r="D263" s="72">
        <v>1</v>
      </c>
      <c r="E263" s="73">
        <v>1.1868027533799999E-4</v>
      </c>
    </row>
    <row r="264" spans="2:5" ht="15" customHeight="1">
      <c r="B264" s="100"/>
      <c r="C264" s="78" t="s">
        <v>155</v>
      </c>
      <c r="D264" s="72">
        <v>2</v>
      </c>
      <c r="E264" s="73">
        <v>2.3736055067599999E-4</v>
      </c>
    </row>
    <row r="265" spans="2:5" ht="15" customHeight="1">
      <c r="B265" s="100"/>
      <c r="C265" s="78" t="s">
        <v>156</v>
      </c>
      <c r="D265" s="72">
        <v>2</v>
      </c>
      <c r="E265" s="73">
        <v>2.3736055067599999E-4</v>
      </c>
    </row>
    <row r="266" spans="2:5" ht="15" customHeight="1">
      <c r="B266" s="101"/>
      <c r="C266" s="24" t="s">
        <v>12</v>
      </c>
      <c r="D266" s="23">
        <v>7</v>
      </c>
      <c r="E266" s="22">
        <v>8.3076192736799995E-4</v>
      </c>
    </row>
    <row r="267" spans="2:5" ht="15" customHeight="1">
      <c r="B267" s="99" t="s">
        <v>232</v>
      </c>
      <c r="C267" s="78" t="s">
        <v>142</v>
      </c>
      <c r="D267" s="72">
        <v>1</v>
      </c>
      <c r="E267" s="73">
        <v>1.1868027533799999E-4</v>
      </c>
    </row>
    <row r="268" spans="2:5" ht="15" customHeight="1">
      <c r="B268" s="100"/>
      <c r="C268" s="78" t="s">
        <v>145</v>
      </c>
      <c r="D268" s="72">
        <v>1</v>
      </c>
      <c r="E268" s="73">
        <v>1.1868027533799999E-4</v>
      </c>
    </row>
    <row r="269" spans="2:5" ht="15" customHeight="1">
      <c r="B269" s="100"/>
      <c r="C269" s="78" t="s">
        <v>146</v>
      </c>
      <c r="D269" s="72">
        <v>2</v>
      </c>
      <c r="E269" s="73">
        <v>2.3736055067599999E-4</v>
      </c>
    </row>
    <row r="270" spans="2:5" ht="15" customHeight="1">
      <c r="B270" s="100"/>
      <c r="C270" s="78" t="s">
        <v>147</v>
      </c>
      <c r="D270" s="72">
        <v>1</v>
      </c>
      <c r="E270" s="73">
        <v>1.1868027533799999E-4</v>
      </c>
    </row>
    <row r="271" spans="2:5" ht="15" customHeight="1">
      <c r="B271" s="100"/>
      <c r="C271" s="78" t="s">
        <v>148</v>
      </c>
      <c r="D271" s="72">
        <v>8</v>
      </c>
      <c r="E271" s="73">
        <v>9.4944220270599998E-4</v>
      </c>
    </row>
    <row r="272" spans="2:5" ht="15" customHeight="1">
      <c r="B272" s="100"/>
      <c r="C272" s="78" t="s">
        <v>149</v>
      </c>
      <c r="D272" s="72">
        <v>11</v>
      </c>
      <c r="E272" s="73">
        <v>1.305483028721E-3</v>
      </c>
    </row>
    <row r="273" spans="2:5" ht="15" customHeight="1">
      <c r="B273" s="100"/>
      <c r="C273" s="78" t="s">
        <v>150</v>
      </c>
      <c r="D273" s="72">
        <v>2</v>
      </c>
      <c r="E273" s="73">
        <v>2.3736055067599999E-4</v>
      </c>
    </row>
    <row r="274" spans="2:5" ht="15" customHeight="1">
      <c r="B274" s="100"/>
      <c r="C274" s="78" t="s">
        <v>151</v>
      </c>
      <c r="D274" s="72">
        <v>2</v>
      </c>
      <c r="E274" s="73">
        <v>2.3736055067599999E-4</v>
      </c>
    </row>
    <row r="275" spans="2:5" ht="15" customHeight="1">
      <c r="B275" s="100"/>
      <c r="C275" s="78" t="s">
        <v>152</v>
      </c>
      <c r="D275" s="72">
        <v>9</v>
      </c>
      <c r="E275" s="73">
        <v>1.0681224780439999E-3</v>
      </c>
    </row>
    <row r="276" spans="2:5" ht="15" customHeight="1">
      <c r="B276" s="100"/>
      <c r="C276" s="78" t="s">
        <v>153</v>
      </c>
      <c r="D276" s="72">
        <v>38</v>
      </c>
      <c r="E276" s="73">
        <v>4.509850462853E-3</v>
      </c>
    </row>
    <row r="277" spans="2:5" ht="15" customHeight="1">
      <c r="B277" s="100"/>
      <c r="C277" s="78" t="s">
        <v>154</v>
      </c>
      <c r="D277" s="72">
        <v>1</v>
      </c>
      <c r="E277" s="73">
        <v>1.1868027533799999E-4</v>
      </c>
    </row>
    <row r="278" spans="2:5" ht="15" customHeight="1">
      <c r="B278" s="100"/>
      <c r="C278" s="78" t="s">
        <v>155</v>
      </c>
      <c r="D278" s="72">
        <v>5</v>
      </c>
      <c r="E278" s="73">
        <v>5.9340137669100003E-4</v>
      </c>
    </row>
    <row r="279" spans="2:5" ht="15" customHeight="1">
      <c r="B279" s="100"/>
      <c r="C279" s="78" t="s">
        <v>156</v>
      </c>
      <c r="D279" s="72">
        <v>26</v>
      </c>
      <c r="E279" s="73">
        <v>3.0856871587939998E-3</v>
      </c>
    </row>
    <row r="280" spans="2:5" ht="15" customHeight="1">
      <c r="B280" s="100"/>
      <c r="C280" s="78" t="s">
        <v>157</v>
      </c>
      <c r="D280" s="72">
        <v>1</v>
      </c>
      <c r="E280" s="73">
        <v>1.1868027533799999E-4</v>
      </c>
    </row>
    <row r="281" spans="2:5" ht="15" customHeight="1">
      <c r="B281" s="100"/>
      <c r="C281" s="78" t="s">
        <v>159</v>
      </c>
      <c r="D281" s="72">
        <v>2</v>
      </c>
      <c r="E281" s="73">
        <v>2.3736055067599999E-4</v>
      </c>
    </row>
    <row r="282" spans="2:5" ht="15" customHeight="1">
      <c r="B282" s="100"/>
      <c r="C282" s="78" t="s">
        <v>162</v>
      </c>
      <c r="D282" s="72">
        <v>3</v>
      </c>
      <c r="E282" s="73">
        <v>3.5604082601500001E-4</v>
      </c>
    </row>
    <row r="283" spans="2:5" ht="15" customHeight="1">
      <c r="B283" s="100"/>
      <c r="C283" s="78" t="s">
        <v>164</v>
      </c>
      <c r="D283" s="72">
        <v>1</v>
      </c>
      <c r="E283" s="73">
        <v>1.1868027533799999E-4</v>
      </c>
    </row>
    <row r="284" spans="2:5" ht="15" customHeight="1">
      <c r="B284" s="101"/>
      <c r="C284" s="24" t="s">
        <v>12</v>
      </c>
      <c r="D284" s="23">
        <v>114</v>
      </c>
      <c r="E284" s="22">
        <v>1.3529551388559E-2</v>
      </c>
    </row>
    <row r="285" spans="2:5" ht="15" customHeight="1">
      <c r="B285" s="99" t="s">
        <v>233</v>
      </c>
      <c r="C285" s="78" t="s">
        <v>142</v>
      </c>
      <c r="D285" s="72">
        <v>4</v>
      </c>
      <c r="E285" s="73">
        <v>4.7472110135299999E-4</v>
      </c>
    </row>
    <row r="286" spans="2:5" ht="15" customHeight="1">
      <c r="B286" s="100"/>
      <c r="C286" s="78" t="s">
        <v>143</v>
      </c>
      <c r="D286" s="72">
        <v>1</v>
      </c>
      <c r="E286" s="73">
        <v>1.1868027533799999E-4</v>
      </c>
    </row>
    <row r="287" spans="2:5" ht="15" customHeight="1">
      <c r="B287" s="100"/>
      <c r="C287" s="78" t="s">
        <v>144</v>
      </c>
      <c r="D287" s="72">
        <v>5</v>
      </c>
      <c r="E287" s="73">
        <v>5.9340137669100003E-4</v>
      </c>
    </row>
    <row r="288" spans="2:5" ht="15" customHeight="1">
      <c r="B288" s="100"/>
      <c r="C288" s="78" t="s">
        <v>145</v>
      </c>
      <c r="D288" s="72">
        <v>1</v>
      </c>
      <c r="E288" s="73">
        <v>1.1868027533799999E-4</v>
      </c>
    </row>
    <row r="289" spans="2:5" ht="15" customHeight="1">
      <c r="B289" s="100"/>
      <c r="C289" s="78" t="s">
        <v>146</v>
      </c>
      <c r="D289" s="72">
        <v>4</v>
      </c>
      <c r="E289" s="73">
        <v>4.7472110135299999E-4</v>
      </c>
    </row>
    <row r="290" spans="2:5" ht="15" customHeight="1">
      <c r="B290" s="100"/>
      <c r="C290" s="78" t="s">
        <v>147</v>
      </c>
      <c r="D290" s="72">
        <v>4</v>
      </c>
      <c r="E290" s="73">
        <v>4.7472110135299999E-4</v>
      </c>
    </row>
    <row r="291" spans="2:5" ht="15" customHeight="1">
      <c r="B291" s="100"/>
      <c r="C291" s="78" t="s">
        <v>148</v>
      </c>
      <c r="D291" s="72">
        <v>21</v>
      </c>
      <c r="E291" s="73">
        <v>2.4922857821029999E-3</v>
      </c>
    </row>
    <row r="292" spans="2:5" ht="15" customHeight="1">
      <c r="B292" s="100"/>
      <c r="C292" s="78" t="s">
        <v>149</v>
      </c>
      <c r="D292" s="72">
        <v>46</v>
      </c>
      <c r="E292" s="73">
        <v>5.4592926655590004E-3</v>
      </c>
    </row>
    <row r="293" spans="2:5" ht="15" customHeight="1">
      <c r="B293" s="100"/>
      <c r="C293" s="78" t="s">
        <v>150</v>
      </c>
      <c r="D293" s="72">
        <v>10</v>
      </c>
      <c r="E293" s="73">
        <v>1.1868027533820001E-3</v>
      </c>
    </row>
    <row r="294" spans="2:5" ht="15" customHeight="1">
      <c r="B294" s="100"/>
      <c r="C294" s="78" t="s">
        <v>151</v>
      </c>
      <c r="D294" s="72">
        <v>12</v>
      </c>
      <c r="E294" s="73">
        <v>1.424163304059E-3</v>
      </c>
    </row>
    <row r="295" spans="2:5" ht="15" customHeight="1">
      <c r="B295" s="100"/>
      <c r="C295" s="78" t="s">
        <v>152</v>
      </c>
      <c r="D295" s="72">
        <v>37</v>
      </c>
      <c r="E295" s="73">
        <v>4.3911701875149999E-3</v>
      </c>
    </row>
    <row r="296" spans="2:5" ht="15" customHeight="1">
      <c r="B296" s="100"/>
      <c r="C296" s="78" t="s">
        <v>153</v>
      </c>
      <c r="D296" s="72">
        <v>162</v>
      </c>
      <c r="E296" s="73">
        <v>1.9226204604794999E-2</v>
      </c>
    </row>
    <row r="297" spans="2:5" ht="15" customHeight="1">
      <c r="B297" s="100"/>
      <c r="C297" s="78" t="s">
        <v>154</v>
      </c>
      <c r="D297" s="72">
        <v>5</v>
      </c>
      <c r="E297" s="73">
        <v>5.9340137669100003E-4</v>
      </c>
    </row>
    <row r="298" spans="2:5" ht="15" customHeight="1">
      <c r="B298" s="100"/>
      <c r="C298" s="78" t="s">
        <v>155</v>
      </c>
      <c r="D298" s="72">
        <v>15</v>
      </c>
      <c r="E298" s="73">
        <v>1.780204130074E-3</v>
      </c>
    </row>
    <row r="299" spans="2:5" ht="15" customHeight="1">
      <c r="B299" s="100"/>
      <c r="C299" s="78" t="s">
        <v>156</v>
      </c>
      <c r="D299" s="72">
        <v>112</v>
      </c>
      <c r="E299" s="73">
        <v>1.3292190837883E-2</v>
      </c>
    </row>
    <row r="300" spans="2:5" ht="15" customHeight="1">
      <c r="B300" s="100"/>
      <c r="C300" s="78" t="s">
        <v>157</v>
      </c>
      <c r="D300" s="72">
        <v>1</v>
      </c>
      <c r="E300" s="73">
        <v>1.1868027533799999E-4</v>
      </c>
    </row>
    <row r="301" spans="2:5" ht="15" customHeight="1">
      <c r="B301" s="100"/>
      <c r="C301" s="78" t="s">
        <v>159</v>
      </c>
      <c r="D301" s="72">
        <v>1</v>
      </c>
      <c r="E301" s="73">
        <v>1.1868027533799999E-4</v>
      </c>
    </row>
    <row r="302" spans="2:5" ht="15" customHeight="1">
      <c r="B302" s="100"/>
      <c r="C302" s="78" t="s">
        <v>161</v>
      </c>
      <c r="D302" s="72">
        <v>5</v>
      </c>
      <c r="E302" s="73">
        <v>5.9340137669100003E-4</v>
      </c>
    </row>
    <row r="303" spans="2:5" ht="15" customHeight="1">
      <c r="B303" s="100"/>
      <c r="C303" s="78" t="s">
        <v>162</v>
      </c>
      <c r="D303" s="72">
        <v>17</v>
      </c>
      <c r="E303" s="73">
        <v>2.0175646807500001E-3</v>
      </c>
    </row>
    <row r="304" spans="2:5" ht="15" customHeight="1">
      <c r="B304" s="100"/>
      <c r="C304" s="78" t="s">
        <v>164</v>
      </c>
      <c r="D304" s="72">
        <v>1</v>
      </c>
      <c r="E304" s="73">
        <v>1.1868027533799999E-4</v>
      </c>
    </row>
    <row r="305" spans="2:5" ht="15" customHeight="1">
      <c r="B305" s="101"/>
      <c r="C305" s="24" t="s">
        <v>12</v>
      </c>
      <c r="D305" s="23">
        <v>464</v>
      </c>
      <c r="E305" s="22">
        <v>5.5067647756942999E-2</v>
      </c>
    </row>
    <row r="306" spans="2:5" ht="15" customHeight="1">
      <c r="B306" s="99" t="s">
        <v>234</v>
      </c>
      <c r="C306" s="78" t="s">
        <v>142</v>
      </c>
      <c r="D306" s="72">
        <v>7</v>
      </c>
      <c r="E306" s="73">
        <v>8.3076192736799995E-4</v>
      </c>
    </row>
    <row r="307" spans="2:5" ht="15" customHeight="1">
      <c r="B307" s="100"/>
      <c r="C307" s="78" t="s">
        <v>143</v>
      </c>
      <c r="D307" s="72">
        <v>4</v>
      </c>
      <c r="E307" s="73">
        <v>4.7472110135299999E-4</v>
      </c>
    </row>
    <row r="308" spans="2:5" ht="15" customHeight="1">
      <c r="B308" s="100"/>
      <c r="C308" s="78" t="s">
        <v>144</v>
      </c>
      <c r="D308" s="72">
        <v>5</v>
      </c>
      <c r="E308" s="73">
        <v>5.9340137669100003E-4</v>
      </c>
    </row>
    <row r="309" spans="2:5" ht="15" customHeight="1">
      <c r="B309" s="100"/>
      <c r="C309" s="78" t="s">
        <v>145</v>
      </c>
      <c r="D309" s="72">
        <v>6</v>
      </c>
      <c r="E309" s="73">
        <v>7.1208165202899995E-4</v>
      </c>
    </row>
    <row r="310" spans="2:5" ht="15" customHeight="1">
      <c r="B310" s="100"/>
      <c r="C310" s="78" t="s">
        <v>146</v>
      </c>
      <c r="D310" s="72">
        <v>1</v>
      </c>
      <c r="E310" s="73">
        <v>1.1868027533799999E-4</v>
      </c>
    </row>
    <row r="311" spans="2:5" ht="15" customHeight="1">
      <c r="B311" s="100"/>
      <c r="C311" s="78" t="s">
        <v>147</v>
      </c>
      <c r="D311" s="72">
        <v>13</v>
      </c>
      <c r="E311" s="73">
        <v>1.5428435793969999E-3</v>
      </c>
    </row>
    <row r="312" spans="2:5" ht="15" customHeight="1">
      <c r="B312" s="100"/>
      <c r="C312" s="78" t="s">
        <v>148</v>
      </c>
      <c r="D312" s="72">
        <v>46</v>
      </c>
      <c r="E312" s="73">
        <v>5.4592926655590004E-3</v>
      </c>
    </row>
    <row r="313" spans="2:5" ht="15" customHeight="1">
      <c r="B313" s="100"/>
      <c r="C313" s="78" t="s">
        <v>149</v>
      </c>
      <c r="D313" s="72">
        <v>97</v>
      </c>
      <c r="E313" s="73">
        <v>1.1511986707809001E-2</v>
      </c>
    </row>
    <row r="314" spans="2:5" ht="15" customHeight="1">
      <c r="B314" s="100"/>
      <c r="C314" s="78" t="s">
        <v>150</v>
      </c>
      <c r="D314" s="72">
        <v>10</v>
      </c>
      <c r="E314" s="73">
        <v>1.1868027533820001E-3</v>
      </c>
    </row>
    <row r="315" spans="2:5" ht="15" customHeight="1">
      <c r="B315" s="100"/>
      <c r="C315" s="78" t="s">
        <v>151</v>
      </c>
      <c r="D315" s="72">
        <v>10</v>
      </c>
      <c r="E315" s="73">
        <v>1.1868027533820001E-3</v>
      </c>
    </row>
    <row r="316" spans="2:5" ht="15" customHeight="1">
      <c r="B316" s="100"/>
      <c r="C316" s="78" t="s">
        <v>152</v>
      </c>
      <c r="D316" s="72">
        <v>27</v>
      </c>
      <c r="E316" s="73">
        <v>3.2043674341319999E-3</v>
      </c>
    </row>
    <row r="317" spans="2:5" ht="15" customHeight="1">
      <c r="B317" s="100"/>
      <c r="C317" s="78" t="s">
        <v>153</v>
      </c>
      <c r="D317" s="72">
        <v>208</v>
      </c>
      <c r="E317" s="73">
        <v>2.4685497270354E-2</v>
      </c>
    </row>
    <row r="318" spans="2:5" ht="15" customHeight="1">
      <c r="B318" s="100"/>
      <c r="C318" s="78" t="s">
        <v>154</v>
      </c>
      <c r="D318" s="72">
        <v>7</v>
      </c>
      <c r="E318" s="73">
        <v>8.3076192736799995E-4</v>
      </c>
    </row>
    <row r="319" spans="2:5" ht="15" customHeight="1">
      <c r="B319" s="100"/>
      <c r="C319" s="78" t="s">
        <v>155</v>
      </c>
      <c r="D319" s="72">
        <v>33</v>
      </c>
      <c r="E319" s="73">
        <v>3.9164490861620001E-3</v>
      </c>
    </row>
    <row r="320" spans="2:5" ht="15" customHeight="1">
      <c r="B320" s="100"/>
      <c r="C320" s="78" t="s">
        <v>156</v>
      </c>
      <c r="D320" s="72">
        <v>131</v>
      </c>
      <c r="E320" s="73">
        <v>1.5547116069308999E-2</v>
      </c>
    </row>
    <row r="321" spans="2:5" ht="15" customHeight="1">
      <c r="B321" s="100"/>
      <c r="C321" s="78" t="s">
        <v>157</v>
      </c>
      <c r="D321" s="72">
        <v>2</v>
      </c>
      <c r="E321" s="73">
        <v>2.3736055067599999E-4</v>
      </c>
    </row>
    <row r="322" spans="2:5" ht="15" customHeight="1">
      <c r="B322" s="100"/>
      <c r="C322" s="78" t="s">
        <v>158</v>
      </c>
      <c r="D322" s="72">
        <v>1</v>
      </c>
      <c r="E322" s="73">
        <v>1.1868027533799999E-4</v>
      </c>
    </row>
    <row r="323" spans="2:5" ht="15" customHeight="1">
      <c r="B323" s="100"/>
      <c r="C323" s="78" t="s">
        <v>159</v>
      </c>
      <c r="D323" s="72">
        <v>1</v>
      </c>
      <c r="E323" s="73">
        <v>1.1868027533799999E-4</v>
      </c>
    </row>
    <row r="324" spans="2:5" ht="15" customHeight="1">
      <c r="B324" s="100"/>
      <c r="C324" s="78" t="s">
        <v>160</v>
      </c>
      <c r="D324" s="72">
        <v>1</v>
      </c>
      <c r="E324" s="73">
        <v>1.1868027533799999E-4</v>
      </c>
    </row>
    <row r="325" spans="2:5" ht="15" customHeight="1">
      <c r="B325" s="100"/>
      <c r="C325" s="78" t="s">
        <v>161</v>
      </c>
      <c r="D325" s="72">
        <v>5</v>
      </c>
      <c r="E325" s="73">
        <v>5.9340137669100003E-4</v>
      </c>
    </row>
    <row r="326" spans="2:5" ht="15" customHeight="1">
      <c r="B326" s="100"/>
      <c r="C326" s="78" t="s">
        <v>162</v>
      </c>
      <c r="D326" s="72">
        <v>18</v>
      </c>
      <c r="E326" s="73">
        <v>2.1362449560879998E-3</v>
      </c>
    </row>
    <row r="327" spans="2:5" ht="15" customHeight="1">
      <c r="B327" s="101"/>
      <c r="C327" s="24" t="s">
        <v>12</v>
      </c>
      <c r="D327" s="23">
        <v>633</v>
      </c>
      <c r="E327" s="22">
        <v>7.5124614289104996E-2</v>
      </c>
    </row>
    <row r="328" spans="2:5" ht="15" customHeight="1">
      <c r="B328" s="99" t="s">
        <v>235</v>
      </c>
      <c r="C328" s="78" t="s">
        <v>142</v>
      </c>
      <c r="D328" s="72">
        <v>1</v>
      </c>
      <c r="E328" s="73">
        <v>1.1868027533799999E-4</v>
      </c>
    </row>
    <row r="329" spans="2:5" ht="15" customHeight="1">
      <c r="B329" s="100"/>
      <c r="C329" s="78" t="s">
        <v>148</v>
      </c>
      <c r="D329" s="72">
        <v>5</v>
      </c>
      <c r="E329" s="73">
        <v>5.9340137669100003E-4</v>
      </c>
    </row>
    <row r="330" spans="2:5" ht="15" customHeight="1">
      <c r="B330" s="100"/>
      <c r="C330" s="78" t="s">
        <v>149</v>
      </c>
      <c r="D330" s="72">
        <v>7</v>
      </c>
      <c r="E330" s="73">
        <v>8.3076192736799995E-4</v>
      </c>
    </row>
    <row r="331" spans="2:5" ht="15" customHeight="1">
      <c r="B331" s="100"/>
      <c r="C331" s="78" t="s">
        <v>150</v>
      </c>
      <c r="D331" s="72">
        <v>1</v>
      </c>
      <c r="E331" s="73">
        <v>1.1868027533799999E-4</v>
      </c>
    </row>
    <row r="332" spans="2:5" ht="15" customHeight="1">
      <c r="B332" s="100"/>
      <c r="C332" s="78" t="s">
        <v>151</v>
      </c>
      <c r="D332" s="72">
        <v>1</v>
      </c>
      <c r="E332" s="73">
        <v>1.1868027533799999E-4</v>
      </c>
    </row>
    <row r="333" spans="2:5" ht="15" customHeight="1">
      <c r="B333" s="100"/>
      <c r="C333" s="78" t="s">
        <v>152</v>
      </c>
      <c r="D333" s="72">
        <v>5</v>
      </c>
      <c r="E333" s="73">
        <v>5.9340137669100003E-4</v>
      </c>
    </row>
    <row r="334" spans="2:5" ht="15" customHeight="1">
      <c r="B334" s="100"/>
      <c r="C334" s="78" t="s">
        <v>153</v>
      </c>
      <c r="D334" s="72">
        <v>19</v>
      </c>
      <c r="E334" s="73">
        <v>2.254925231427E-3</v>
      </c>
    </row>
    <row r="335" spans="2:5" ht="15" customHeight="1">
      <c r="B335" s="100"/>
      <c r="C335" s="78" t="s">
        <v>155</v>
      </c>
      <c r="D335" s="72">
        <v>3</v>
      </c>
      <c r="E335" s="73">
        <v>3.5604082601500001E-4</v>
      </c>
    </row>
    <row r="336" spans="2:5" ht="15" customHeight="1">
      <c r="B336" s="100"/>
      <c r="C336" s="78" t="s">
        <v>156</v>
      </c>
      <c r="D336" s="72">
        <v>11</v>
      </c>
      <c r="E336" s="73">
        <v>1.305483028721E-3</v>
      </c>
    </row>
    <row r="337" spans="2:5" ht="15" customHeight="1">
      <c r="B337" s="100"/>
      <c r="C337" s="78" t="s">
        <v>157</v>
      </c>
      <c r="D337" s="72">
        <v>1</v>
      </c>
      <c r="E337" s="73">
        <v>1.1868027533799999E-4</v>
      </c>
    </row>
    <row r="338" spans="2:5" ht="15" customHeight="1">
      <c r="B338" s="100"/>
      <c r="C338" s="78" t="s">
        <v>158</v>
      </c>
      <c r="D338" s="72">
        <v>1</v>
      </c>
      <c r="E338" s="73">
        <v>1.1868027533799999E-4</v>
      </c>
    </row>
    <row r="339" spans="2:5" ht="15" customHeight="1">
      <c r="B339" s="100"/>
      <c r="C339" s="78" t="s">
        <v>162</v>
      </c>
      <c r="D339" s="72">
        <v>1</v>
      </c>
      <c r="E339" s="73">
        <v>1.1868027533799999E-4</v>
      </c>
    </row>
    <row r="340" spans="2:5" ht="15" customHeight="1">
      <c r="B340" s="100"/>
      <c r="C340" s="78" t="s">
        <v>164</v>
      </c>
      <c r="D340" s="72">
        <v>1</v>
      </c>
      <c r="E340" s="73">
        <v>1.1868027533799999E-4</v>
      </c>
    </row>
    <row r="341" spans="2:5" ht="15" customHeight="1">
      <c r="B341" s="101"/>
      <c r="C341" s="24" t="s">
        <v>12</v>
      </c>
      <c r="D341" s="23">
        <v>57</v>
      </c>
      <c r="E341" s="22">
        <v>6.7647756942799996E-3</v>
      </c>
    </row>
    <row r="342" spans="2:5" ht="15" customHeight="1">
      <c r="B342" s="99" t="s">
        <v>236</v>
      </c>
      <c r="C342" s="78" t="s">
        <v>142</v>
      </c>
      <c r="D342" s="72">
        <v>2</v>
      </c>
      <c r="E342" s="73">
        <v>2.3736055067599999E-4</v>
      </c>
    </row>
    <row r="343" spans="2:5" ht="15" customHeight="1">
      <c r="B343" s="100"/>
      <c r="C343" s="78" t="s">
        <v>144</v>
      </c>
      <c r="D343" s="72">
        <v>1</v>
      </c>
      <c r="E343" s="73">
        <v>1.1868027533799999E-4</v>
      </c>
    </row>
    <row r="344" spans="2:5" ht="15" customHeight="1">
      <c r="B344" s="100"/>
      <c r="C344" s="78" t="s">
        <v>145</v>
      </c>
      <c r="D344" s="72">
        <v>1</v>
      </c>
      <c r="E344" s="73">
        <v>1.1868027533799999E-4</v>
      </c>
    </row>
    <row r="345" spans="2:5" ht="15" customHeight="1">
      <c r="B345" s="100"/>
      <c r="C345" s="78" t="s">
        <v>148</v>
      </c>
      <c r="D345" s="72">
        <v>4</v>
      </c>
      <c r="E345" s="73">
        <v>4.7472110135299999E-4</v>
      </c>
    </row>
    <row r="346" spans="2:5" ht="15" customHeight="1">
      <c r="B346" s="100"/>
      <c r="C346" s="78" t="s">
        <v>149</v>
      </c>
      <c r="D346" s="72">
        <v>5</v>
      </c>
      <c r="E346" s="73">
        <v>5.9340137669100003E-4</v>
      </c>
    </row>
    <row r="347" spans="2:5" ht="15" customHeight="1">
      <c r="B347" s="100"/>
      <c r="C347" s="78" t="s">
        <v>150</v>
      </c>
      <c r="D347" s="72">
        <v>1</v>
      </c>
      <c r="E347" s="73">
        <v>1.1868027533799999E-4</v>
      </c>
    </row>
    <row r="348" spans="2:5" ht="15" customHeight="1">
      <c r="B348" s="100"/>
      <c r="C348" s="78" t="s">
        <v>152</v>
      </c>
      <c r="D348" s="72">
        <v>2</v>
      </c>
      <c r="E348" s="73">
        <v>2.3736055067599999E-4</v>
      </c>
    </row>
    <row r="349" spans="2:5" ht="15" customHeight="1">
      <c r="B349" s="100"/>
      <c r="C349" s="78" t="s">
        <v>153</v>
      </c>
      <c r="D349" s="72">
        <v>20</v>
      </c>
      <c r="E349" s="73">
        <v>2.3736055067650002E-3</v>
      </c>
    </row>
    <row r="350" spans="2:5" ht="15" customHeight="1">
      <c r="B350" s="100"/>
      <c r="C350" s="78" t="s">
        <v>154</v>
      </c>
      <c r="D350" s="72">
        <v>1</v>
      </c>
      <c r="E350" s="73">
        <v>1.1868027533799999E-4</v>
      </c>
    </row>
    <row r="351" spans="2:5" ht="15" customHeight="1">
      <c r="B351" s="100"/>
      <c r="C351" s="78" t="s">
        <v>155</v>
      </c>
      <c r="D351" s="72">
        <v>5</v>
      </c>
      <c r="E351" s="73">
        <v>5.9340137669100003E-4</v>
      </c>
    </row>
    <row r="352" spans="2:5" ht="15" customHeight="1">
      <c r="B352" s="100"/>
      <c r="C352" s="78" t="s">
        <v>156</v>
      </c>
      <c r="D352" s="72">
        <v>14</v>
      </c>
      <c r="E352" s="73">
        <v>1.661523854735E-3</v>
      </c>
    </row>
    <row r="353" spans="2:5" ht="15" customHeight="1">
      <c r="B353" s="100"/>
      <c r="C353" s="78" t="s">
        <v>161</v>
      </c>
      <c r="D353" s="72">
        <v>1</v>
      </c>
      <c r="E353" s="73">
        <v>1.1868027533799999E-4</v>
      </c>
    </row>
    <row r="354" spans="2:5" ht="15" customHeight="1">
      <c r="B354" s="100"/>
      <c r="C354" s="78" t="s">
        <v>162</v>
      </c>
      <c r="D354" s="72">
        <v>2</v>
      </c>
      <c r="E354" s="73">
        <v>2.3736055067599999E-4</v>
      </c>
    </row>
    <row r="355" spans="2:5" ht="15" customHeight="1">
      <c r="B355" s="101"/>
      <c r="C355" s="24" t="s">
        <v>12</v>
      </c>
      <c r="D355" s="23">
        <v>59</v>
      </c>
      <c r="E355" s="22">
        <v>7.0021362449559999E-3</v>
      </c>
    </row>
    <row r="356" spans="2:5" ht="15" customHeight="1">
      <c r="B356" s="99" t="s">
        <v>237</v>
      </c>
      <c r="C356" s="78" t="s">
        <v>142</v>
      </c>
      <c r="D356" s="72">
        <v>1</v>
      </c>
      <c r="E356" s="73">
        <v>1.1868027533799999E-4</v>
      </c>
    </row>
    <row r="357" spans="2:5" ht="15" customHeight="1">
      <c r="B357" s="100"/>
      <c r="C357" s="78" t="s">
        <v>144</v>
      </c>
      <c r="D357" s="72">
        <v>1</v>
      </c>
      <c r="E357" s="73">
        <v>1.1868027533799999E-4</v>
      </c>
    </row>
    <row r="358" spans="2:5" ht="15" customHeight="1">
      <c r="B358" s="100"/>
      <c r="C358" s="78" t="s">
        <v>145</v>
      </c>
      <c r="D358" s="72">
        <v>1</v>
      </c>
      <c r="E358" s="73">
        <v>1.1868027533799999E-4</v>
      </c>
    </row>
    <row r="359" spans="2:5" ht="15" customHeight="1">
      <c r="B359" s="100"/>
      <c r="C359" s="78" t="s">
        <v>147</v>
      </c>
      <c r="D359" s="72">
        <v>1</v>
      </c>
      <c r="E359" s="73">
        <v>1.1868027533799999E-4</v>
      </c>
    </row>
    <row r="360" spans="2:5" ht="15" customHeight="1">
      <c r="B360" s="100"/>
      <c r="C360" s="78" t="s">
        <v>149</v>
      </c>
      <c r="D360" s="72">
        <v>7</v>
      </c>
      <c r="E360" s="73">
        <v>8.3076192736799995E-4</v>
      </c>
    </row>
    <row r="361" spans="2:5" ht="15" customHeight="1">
      <c r="B361" s="100"/>
      <c r="C361" s="78" t="s">
        <v>152</v>
      </c>
      <c r="D361" s="72">
        <v>2</v>
      </c>
      <c r="E361" s="73">
        <v>2.3736055067599999E-4</v>
      </c>
    </row>
    <row r="362" spans="2:5" ht="15" customHeight="1">
      <c r="B362" s="100"/>
      <c r="C362" s="78" t="s">
        <v>153</v>
      </c>
      <c r="D362" s="72">
        <v>11</v>
      </c>
      <c r="E362" s="73">
        <v>1.305483028721E-3</v>
      </c>
    </row>
    <row r="363" spans="2:5" ht="15" customHeight="1">
      <c r="B363" s="100"/>
      <c r="C363" s="78" t="s">
        <v>154</v>
      </c>
      <c r="D363" s="72">
        <v>2</v>
      </c>
      <c r="E363" s="73">
        <v>2.3736055067599999E-4</v>
      </c>
    </row>
    <row r="364" spans="2:5" ht="15" customHeight="1">
      <c r="B364" s="100"/>
      <c r="C364" s="78" t="s">
        <v>155</v>
      </c>
      <c r="D364" s="72">
        <v>1</v>
      </c>
      <c r="E364" s="73">
        <v>1.1868027533799999E-4</v>
      </c>
    </row>
    <row r="365" spans="2:5" ht="15" customHeight="1">
      <c r="B365" s="100"/>
      <c r="C365" s="78" t="s">
        <v>156</v>
      </c>
      <c r="D365" s="72">
        <v>9</v>
      </c>
      <c r="E365" s="73">
        <v>1.0681224780439999E-3</v>
      </c>
    </row>
    <row r="366" spans="2:5" ht="15" customHeight="1">
      <c r="B366" s="100"/>
      <c r="C366" s="78" t="s">
        <v>161</v>
      </c>
      <c r="D366" s="72">
        <v>1</v>
      </c>
      <c r="E366" s="73">
        <v>1.1868027533799999E-4</v>
      </c>
    </row>
    <row r="367" spans="2:5" ht="15" customHeight="1">
      <c r="B367" s="100"/>
      <c r="C367" s="78" t="s">
        <v>162</v>
      </c>
      <c r="D367" s="72">
        <v>1</v>
      </c>
      <c r="E367" s="73">
        <v>1.1868027533799999E-4</v>
      </c>
    </row>
    <row r="368" spans="2:5" ht="15" customHeight="1">
      <c r="B368" s="101"/>
      <c r="C368" s="24" t="s">
        <v>12</v>
      </c>
      <c r="D368" s="23">
        <v>38</v>
      </c>
      <c r="E368" s="22">
        <v>4.509850462853E-3</v>
      </c>
    </row>
    <row r="369" spans="2:5" ht="15" customHeight="1">
      <c r="B369" s="99" t="s">
        <v>238</v>
      </c>
      <c r="C369" s="78" t="s">
        <v>142</v>
      </c>
      <c r="D369" s="72">
        <v>1</v>
      </c>
      <c r="E369" s="73">
        <v>1.1868027533799999E-4</v>
      </c>
    </row>
    <row r="370" spans="2:5" ht="15" customHeight="1">
      <c r="B370" s="100"/>
      <c r="C370" s="78" t="s">
        <v>145</v>
      </c>
      <c r="D370" s="72">
        <v>1</v>
      </c>
      <c r="E370" s="73">
        <v>1.1868027533799999E-4</v>
      </c>
    </row>
    <row r="371" spans="2:5" ht="15" customHeight="1">
      <c r="B371" s="100"/>
      <c r="C371" s="78" t="s">
        <v>146</v>
      </c>
      <c r="D371" s="72">
        <v>1</v>
      </c>
      <c r="E371" s="73">
        <v>1.1868027533799999E-4</v>
      </c>
    </row>
    <row r="372" spans="2:5" ht="15" customHeight="1">
      <c r="B372" s="100"/>
      <c r="C372" s="78" t="s">
        <v>148</v>
      </c>
      <c r="D372" s="72">
        <v>1</v>
      </c>
      <c r="E372" s="73">
        <v>1.1868027533799999E-4</v>
      </c>
    </row>
    <row r="373" spans="2:5" ht="15" customHeight="1">
      <c r="B373" s="100"/>
      <c r="C373" s="78" t="s">
        <v>149</v>
      </c>
      <c r="D373" s="72">
        <v>3</v>
      </c>
      <c r="E373" s="73">
        <v>3.5604082601500001E-4</v>
      </c>
    </row>
    <row r="374" spans="2:5" ht="15" customHeight="1">
      <c r="B374" s="100"/>
      <c r="C374" s="78" t="s">
        <v>151</v>
      </c>
      <c r="D374" s="72">
        <v>2</v>
      </c>
      <c r="E374" s="73">
        <v>2.3736055067599999E-4</v>
      </c>
    </row>
    <row r="375" spans="2:5" ht="15" customHeight="1">
      <c r="B375" s="100"/>
      <c r="C375" s="78" t="s">
        <v>152</v>
      </c>
      <c r="D375" s="72">
        <v>2</v>
      </c>
      <c r="E375" s="73">
        <v>2.3736055067599999E-4</v>
      </c>
    </row>
    <row r="376" spans="2:5" ht="15" customHeight="1">
      <c r="B376" s="100"/>
      <c r="C376" s="78" t="s">
        <v>153</v>
      </c>
      <c r="D376" s="72">
        <v>6</v>
      </c>
      <c r="E376" s="73">
        <v>7.1208165202899995E-4</v>
      </c>
    </row>
    <row r="377" spans="2:5" ht="15" customHeight="1">
      <c r="B377" s="100"/>
      <c r="C377" s="78" t="s">
        <v>155</v>
      </c>
      <c r="D377" s="72">
        <v>2</v>
      </c>
      <c r="E377" s="73">
        <v>2.3736055067599999E-4</v>
      </c>
    </row>
    <row r="378" spans="2:5" ht="15" customHeight="1">
      <c r="B378" s="100"/>
      <c r="C378" s="78" t="s">
        <v>156</v>
      </c>
      <c r="D378" s="72">
        <v>8</v>
      </c>
      <c r="E378" s="73">
        <v>9.4944220270599998E-4</v>
      </c>
    </row>
    <row r="379" spans="2:5" ht="15" customHeight="1">
      <c r="B379" s="100"/>
      <c r="C379" s="78" t="s">
        <v>161</v>
      </c>
      <c r="D379" s="72">
        <v>1</v>
      </c>
      <c r="E379" s="73">
        <v>1.1868027533799999E-4</v>
      </c>
    </row>
    <row r="380" spans="2:5" ht="15" customHeight="1">
      <c r="B380" s="101"/>
      <c r="C380" s="24" t="s">
        <v>12</v>
      </c>
      <c r="D380" s="23">
        <v>28</v>
      </c>
      <c r="E380" s="22">
        <v>3.3230477094710002E-3</v>
      </c>
    </row>
    <row r="381" spans="2:5" ht="15" customHeight="1">
      <c r="B381" s="99" t="s">
        <v>239</v>
      </c>
      <c r="C381" s="78" t="s">
        <v>150</v>
      </c>
      <c r="D381" s="72">
        <v>1</v>
      </c>
      <c r="E381" s="73">
        <v>1.1868027533799999E-4</v>
      </c>
    </row>
    <row r="382" spans="2:5" ht="15" customHeight="1">
      <c r="B382" s="100"/>
      <c r="C382" s="78" t="s">
        <v>151</v>
      </c>
      <c r="D382" s="72">
        <v>1</v>
      </c>
      <c r="E382" s="73">
        <v>1.1868027533799999E-4</v>
      </c>
    </row>
    <row r="383" spans="2:5" ht="15" customHeight="1">
      <c r="B383" s="100"/>
      <c r="C383" s="78" t="s">
        <v>153</v>
      </c>
      <c r="D383" s="72">
        <v>1</v>
      </c>
      <c r="E383" s="73">
        <v>1.1868027533799999E-4</v>
      </c>
    </row>
    <row r="384" spans="2:5" ht="15" customHeight="1">
      <c r="B384" s="100"/>
      <c r="C384" s="78" t="s">
        <v>160</v>
      </c>
      <c r="D384" s="72">
        <v>1</v>
      </c>
      <c r="E384" s="73">
        <v>1.1868027533799999E-4</v>
      </c>
    </row>
    <row r="385" spans="2:5" ht="15" customHeight="1">
      <c r="B385" s="100"/>
      <c r="C385" s="78" t="s">
        <v>162</v>
      </c>
      <c r="D385" s="72">
        <v>3</v>
      </c>
      <c r="E385" s="73">
        <v>3.5604082601500001E-4</v>
      </c>
    </row>
    <row r="386" spans="2:5" ht="15" customHeight="1">
      <c r="B386" s="101"/>
      <c r="C386" s="24" t="s">
        <v>12</v>
      </c>
      <c r="D386" s="23">
        <v>7</v>
      </c>
      <c r="E386" s="22">
        <v>8.3076192736799995E-4</v>
      </c>
    </row>
    <row r="387" spans="2:5" ht="15" customHeight="1">
      <c r="B387" s="99" t="s">
        <v>240</v>
      </c>
      <c r="C387" s="78" t="s">
        <v>142</v>
      </c>
      <c r="D387" s="72">
        <v>4</v>
      </c>
      <c r="E387" s="73">
        <v>4.7472110135299999E-4</v>
      </c>
    </row>
    <row r="388" spans="2:5" ht="15" customHeight="1">
      <c r="B388" s="100"/>
      <c r="C388" s="78" t="s">
        <v>143</v>
      </c>
      <c r="D388" s="72">
        <v>2</v>
      </c>
      <c r="E388" s="73">
        <v>2.3736055067599999E-4</v>
      </c>
    </row>
    <row r="389" spans="2:5" ht="15" customHeight="1">
      <c r="B389" s="100"/>
      <c r="C389" s="78" t="s">
        <v>144</v>
      </c>
      <c r="D389" s="72">
        <v>8</v>
      </c>
      <c r="E389" s="73">
        <v>9.4944220270599998E-4</v>
      </c>
    </row>
    <row r="390" spans="2:5" ht="15" customHeight="1">
      <c r="B390" s="100"/>
      <c r="C390" s="78" t="s">
        <v>145</v>
      </c>
      <c r="D390" s="72">
        <v>14</v>
      </c>
      <c r="E390" s="73">
        <v>1.661523854735E-3</v>
      </c>
    </row>
    <row r="391" spans="2:5" ht="15" customHeight="1">
      <c r="B391" s="100"/>
      <c r="C391" s="78" t="s">
        <v>146</v>
      </c>
      <c r="D391" s="72">
        <v>7</v>
      </c>
      <c r="E391" s="73">
        <v>8.3076192736799995E-4</v>
      </c>
    </row>
    <row r="392" spans="2:5" ht="15" customHeight="1">
      <c r="B392" s="100"/>
      <c r="C392" s="78" t="s">
        <v>147</v>
      </c>
      <c r="D392" s="72">
        <v>5</v>
      </c>
      <c r="E392" s="73">
        <v>5.9340137669100003E-4</v>
      </c>
    </row>
    <row r="393" spans="2:5" ht="15" customHeight="1">
      <c r="B393" s="100"/>
      <c r="C393" s="78" t="s">
        <v>148</v>
      </c>
      <c r="D393" s="72">
        <v>64</v>
      </c>
      <c r="E393" s="73">
        <v>7.5955376216469998E-3</v>
      </c>
    </row>
    <row r="394" spans="2:5" ht="15" customHeight="1">
      <c r="B394" s="100"/>
      <c r="C394" s="78" t="s">
        <v>149</v>
      </c>
      <c r="D394" s="72">
        <v>133</v>
      </c>
      <c r="E394" s="73">
        <v>1.5784476619985999E-2</v>
      </c>
    </row>
    <row r="395" spans="2:5" ht="15" customHeight="1">
      <c r="B395" s="100"/>
      <c r="C395" s="78" t="s">
        <v>150</v>
      </c>
      <c r="D395" s="72">
        <v>18</v>
      </c>
      <c r="E395" s="73">
        <v>2.1362449560879998E-3</v>
      </c>
    </row>
    <row r="396" spans="2:5" ht="15" customHeight="1">
      <c r="B396" s="100"/>
      <c r="C396" s="78" t="s">
        <v>151</v>
      </c>
      <c r="D396" s="72">
        <v>19</v>
      </c>
      <c r="E396" s="73">
        <v>2.254925231427E-3</v>
      </c>
    </row>
    <row r="397" spans="2:5" ht="15" customHeight="1">
      <c r="B397" s="100"/>
      <c r="C397" s="78" t="s">
        <v>152</v>
      </c>
      <c r="D397" s="72">
        <v>32</v>
      </c>
      <c r="E397" s="73">
        <v>3.7977688108239999E-3</v>
      </c>
    </row>
    <row r="398" spans="2:5" ht="15" customHeight="1">
      <c r="B398" s="100"/>
      <c r="C398" s="78" t="s">
        <v>153</v>
      </c>
      <c r="D398" s="72">
        <v>402</v>
      </c>
      <c r="E398" s="73">
        <v>4.7709470685971998E-2</v>
      </c>
    </row>
    <row r="399" spans="2:5" ht="15" customHeight="1">
      <c r="B399" s="100"/>
      <c r="C399" s="78" t="s">
        <v>154</v>
      </c>
      <c r="D399" s="72">
        <v>7</v>
      </c>
      <c r="E399" s="73">
        <v>8.3076192736799995E-4</v>
      </c>
    </row>
    <row r="400" spans="2:5" ht="15" customHeight="1">
      <c r="B400" s="100"/>
      <c r="C400" s="78" t="s">
        <v>155</v>
      </c>
      <c r="D400" s="72">
        <v>59</v>
      </c>
      <c r="E400" s="73">
        <v>7.0021362449559999E-3</v>
      </c>
    </row>
    <row r="401" spans="2:5" ht="15" customHeight="1">
      <c r="B401" s="100"/>
      <c r="C401" s="78" t="s">
        <v>156</v>
      </c>
      <c r="D401" s="72">
        <v>212</v>
      </c>
      <c r="E401" s="73">
        <v>2.5160218371707E-2</v>
      </c>
    </row>
    <row r="402" spans="2:5" ht="15" customHeight="1">
      <c r="B402" s="100"/>
      <c r="C402" s="78" t="s">
        <v>157</v>
      </c>
      <c r="D402" s="72">
        <v>2</v>
      </c>
      <c r="E402" s="73">
        <v>2.3736055067599999E-4</v>
      </c>
    </row>
    <row r="403" spans="2:5" ht="15" customHeight="1">
      <c r="B403" s="100"/>
      <c r="C403" s="78" t="s">
        <v>158</v>
      </c>
      <c r="D403" s="72">
        <v>2</v>
      </c>
      <c r="E403" s="73">
        <v>2.3736055067599999E-4</v>
      </c>
    </row>
    <row r="404" spans="2:5" ht="15" customHeight="1">
      <c r="B404" s="100"/>
      <c r="C404" s="78" t="s">
        <v>159</v>
      </c>
      <c r="D404" s="72">
        <v>1</v>
      </c>
      <c r="E404" s="73">
        <v>1.1868027533799999E-4</v>
      </c>
    </row>
    <row r="405" spans="2:5" ht="15" customHeight="1">
      <c r="B405" s="100"/>
      <c r="C405" s="78" t="s">
        <v>160</v>
      </c>
      <c r="D405" s="72">
        <v>1</v>
      </c>
      <c r="E405" s="73">
        <v>1.1868027533799999E-4</v>
      </c>
    </row>
    <row r="406" spans="2:5" ht="15" customHeight="1">
      <c r="B406" s="100"/>
      <c r="C406" s="78" t="s">
        <v>161</v>
      </c>
      <c r="D406" s="72">
        <v>11</v>
      </c>
      <c r="E406" s="73">
        <v>1.305483028721E-3</v>
      </c>
    </row>
    <row r="407" spans="2:5" ht="15" customHeight="1">
      <c r="B407" s="100"/>
      <c r="C407" s="78" t="s">
        <v>162</v>
      </c>
      <c r="D407" s="72">
        <v>32</v>
      </c>
      <c r="E407" s="73">
        <v>3.7977688108239999E-3</v>
      </c>
    </row>
    <row r="408" spans="2:5" ht="15" customHeight="1">
      <c r="B408" s="100"/>
      <c r="C408" s="78" t="s">
        <v>164</v>
      </c>
      <c r="D408" s="72">
        <v>1</v>
      </c>
      <c r="E408" s="73">
        <v>1.1868027533799999E-4</v>
      </c>
    </row>
    <row r="409" spans="2:5" ht="15" customHeight="1">
      <c r="B409" s="101"/>
      <c r="C409" s="24" t="s">
        <v>12</v>
      </c>
      <c r="D409" s="23">
        <v>1036</v>
      </c>
      <c r="E409" s="22">
        <v>0.122952765250415</v>
      </c>
    </row>
    <row r="410" spans="2:5" ht="15" customHeight="1">
      <c r="B410" s="99" t="s">
        <v>241</v>
      </c>
      <c r="C410" s="78" t="s">
        <v>144</v>
      </c>
      <c r="D410" s="72">
        <v>1</v>
      </c>
      <c r="E410" s="73">
        <v>1.1868027533799999E-4</v>
      </c>
    </row>
    <row r="411" spans="2:5" ht="15" customHeight="1">
      <c r="B411" s="100"/>
      <c r="C411" s="78" t="s">
        <v>145</v>
      </c>
      <c r="D411" s="72">
        <v>4</v>
      </c>
      <c r="E411" s="73">
        <v>4.7472110135299999E-4</v>
      </c>
    </row>
    <row r="412" spans="2:5" ht="15" customHeight="1">
      <c r="B412" s="100"/>
      <c r="C412" s="78" t="s">
        <v>147</v>
      </c>
      <c r="D412" s="72">
        <v>2</v>
      </c>
      <c r="E412" s="73">
        <v>2.3736055067599999E-4</v>
      </c>
    </row>
    <row r="413" spans="2:5" ht="15" customHeight="1">
      <c r="B413" s="100"/>
      <c r="C413" s="78" t="s">
        <v>148</v>
      </c>
      <c r="D413" s="72">
        <v>4</v>
      </c>
      <c r="E413" s="73">
        <v>4.7472110135299999E-4</v>
      </c>
    </row>
    <row r="414" spans="2:5" ht="15" customHeight="1">
      <c r="B414" s="100"/>
      <c r="C414" s="78" t="s">
        <v>149</v>
      </c>
      <c r="D414" s="72">
        <v>9</v>
      </c>
      <c r="E414" s="73">
        <v>1.0681224780439999E-3</v>
      </c>
    </row>
    <row r="415" spans="2:5" ht="15" customHeight="1">
      <c r="B415" s="100"/>
      <c r="C415" s="78" t="s">
        <v>151</v>
      </c>
      <c r="D415" s="72">
        <v>3</v>
      </c>
      <c r="E415" s="73">
        <v>3.5604082601500001E-4</v>
      </c>
    </row>
    <row r="416" spans="2:5" ht="15" customHeight="1">
      <c r="B416" s="100"/>
      <c r="C416" s="78" t="s">
        <v>152</v>
      </c>
      <c r="D416" s="72">
        <v>7</v>
      </c>
      <c r="E416" s="73">
        <v>8.3076192736799995E-4</v>
      </c>
    </row>
    <row r="417" spans="2:5" ht="15" customHeight="1">
      <c r="B417" s="100"/>
      <c r="C417" s="78" t="s">
        <v>153</v>
      </c>
      <c r="D417" s="72">
        <v>35</v>
      </c>
      <c r="E417" s="73">
        <v>4.1538096368380004E-3</v>
      </c>
    </row>
    <row r="418" spans="2:5" ht="15" customHeight="1">
      <c r="B418" s="100"/>
      <c r="C418" s="78" t="s">
        <v>154</v>
      </c>
      <c r="D418" s="72">
        <v>1</v>
      </c>
      <c r="E418" s="73">
        <v>1.1868027533799999E-4</v>
      </c>
    </row>
    <row r="419" spans="2:5" ht="15" customHeight="1">
      <c r="B419" s="100"/>
      <c r="C419" s="78" t="s">
        <v>155</v>
      </c>
      <c r="D419" s="72">
        <v>4</v>
      </c>
      <c r="E419" s="73">
        <v>4.7472110135299999E-4</v>
      </c>
    </row>
    <row r="420" spans="2:5" ht="15" customHeight="1">
      <c r="B420" s="100"/>
      <c r="C420" s="78" t="s">
        <v>156</v>
      </c>
      <c r="D420" s="72">
        <v>23</v>
      </c>
      <c r="E420" s="73">
        <v>2.7296463327790002E-3</v>
      </c>
    </row>
    <row r="421" spans="2:5" ht="15" customHeight="1">
      <c r="B421" s="100"/>
      <c r="C421" s="78" t="s">
        <v>157</v>
      </c>
      <c r="D421" s="72">
        <v>1</v>
      </c>
      <c r="E421" s="73">
        <v>1.1868027533799999E-4</v>
      </c>
    </row>
    <row r="422" spans="2:5" ht="15" customHeight="1">
      <c r="B422" s="100"/>
      <c r="C422" s="78" t="s">
        <v>162</v>
      </c>
      <c r="D422" s="72">
        <v>1</v>
      </c>
      <c r="E422" s="73">
        <v>1.1868027533799999E-4</v>
      </c>
    </row>
    <row r="423" spans="2:5" ht="15" customHeight="1">
      <c r="B423" s="101"/>
      <c r="C423" s="24" t="s">
        <v>12</v>
      </c>
      <c r="D423" s="23">
        <v>95</v>
      </c>
      <c r="E423" s="22">
        <v>1.1274626157133E-2</v>
      </c>
    </row>
    <row r="424" spans="2:5" ht="15" customHeight="1">
      <c r="B424" s="99" t="s">
        <v>242</v>
      </c>
      <c r="C424" s="78" t="s">
        <v>142</v>
      </c>
      <c r="D424" s="72">
        <v>2</v>
      </c>
      <c r="E424" s="73">
        <v>2.3736055067599999E-4</v>
      </c>
    </row>
    <row r="425" spans="2:5" ht="15" customHeight="1">
      <c r="B425" s="100"/>
      <c r="C425" s="78" t="s">
        <v>144</v>
      </c>
      <c r="D425" s="72">
        <v>1</v>
      </c>
      <c r="E425" s="73">
        <v>1.1868027533799999E-4</v>
      </c>
    </row>
    <row r="426" spans="2:5" ht="15" customHeight="1">
      <c r="B426" s="100"/>
      <c r="C426" s="78" t="s">
        <v>145</v>
      </c>
      <c r="D426" s="72">
        <v>1</v>
      </c>
      <c r="E426" s="73">
        <v>1.1868027533799999E-4</v>
      </c>
    </row>
    <row r="427" spans="2:5" ht="15" customHeight="1">
      <c r="B427" s="100"/>
      <c r="C427" s="78" t="s">
        <v>146</v>
      </c>
      <c r="D427" s="72">
        <v>2</v>
      </c>
      <c r="E427" s="73">
        <v>2.3736055067599999E-4</v>
      </c>
    </row>
    <row r="428" spans="2:5" ht="15" customHeight="1">
      <c r="B428" s="100"/>
      <c r="C428" s="78" t="s">
        <v>147</v>
      </c>
      <c r="D428" s="72">
        <v>2</v>
      </c>
      <c r="E428" s="73">
        <v>2.3736055067599999E-4</v>
      </c>
    </row>
    <row r="429" spans="2:5" ht="15" customHeight="1">
      <c r="B429" s="100"/>
      <c r="C429" s="78" t="s">
        <v>148</v>
      </c>
      <c r="D429" s="72">
        <v>6</v>
      </c>
      <c r="E429" s="73">
        <v>7.1208165202899995E-4</v>
      </c>
    </row>
    <row r="430" spans="2:5" ht="15" customHeight="1">
      <c r="B430" s="100"/>
      <c r="C430" s="78" t="s">
        <v>149</v>
      </c>
      <c r="D430" s="72">
        <v>14</v>
      </c>
      <c r="E430" s="73">
        <v>1.661523854735E-3</v>
      </c>
    </row>
    <row r="431" spans="2:5" ht="15" customHeight="1">
      <c r="B431" s="100"/>
      <c r="C431" s="78" t="s">
        <v>151</v>
      </c>
      <c r="D431" s="72">
        <v>4</v>
      </c>
      <c r="E431" s="73">
        <v>4.7472110135299999E-4</v>
      </c>
    </row>
    <row r="432" spans="2:5" ht="15" customHeight="1">
      <c r="B432" s="100"/>
      <c r="C432" s="78" t="s">
        <v>152</v>
      </c>
      <c r="D432" s="72">
        <v>6</v>
      </c>
      <c r="E432" s="73">
        <v>7.1208165202899995E-4</v>
      </c>
    </row>
    <row r="433" spans="2:5" ht="15" customHeight="1">
      <c r="B433" s="100"/>
      <c r="C433" s="78" t="s">
        <v>153</v>
      </c>
      <c r="D433" s="72">
        <v>47</v>
      </c>
      <c r="E433" s="73">
        <v>5.5779729408969997E-3</v>
      </c>
    </row>
    <row r="434" spans="2:5" ht="15" customHeight="1">
      <c r="B434" s="100"/>
      <c r="C434" s="78" t="s">
        <v>155</v>
      </c>
      <c r="D434" s="72">
        <v>8</v>
      </c>
      <c r="E434" s="73">
        <v>9.4944220270599998E-4</v>
      </c>
    </row>
    <row r="435" spans="2:5" ht="15" customHeight="1">
      <c r="B435" s="100"/>
      <c r="C435" s="78" t="s">
        <v>156</v>
      </c>
      <c r="D435" s="72">
        <v>20</v>
      </c>
      <c r="E435" s="73">
        <v>2.3736055067650002E-3</v>
      </c>
    </row>
    <row r="436" spans="2:5" ht="15" customHeight="1">
      <c r="B436" s="100"/>
      <c r="C436" s="78" t="s">
        <v>161</v>
      </c>
      <c r="D436" s="72">
        <v>2</v>
      </c>
      <c r="E436" s="73">
        <v>2.3736055067599999E-4</v>
      </c>
    </row>
    <row r="437" spans="2:5" ht="15" customHeight="1">
      <c r="B437" s="100"/>
      <c r="C437" s="78" t="s">
        <v>162</v>
      </c>
      <c r="D437" s="72">
        <v>2</v>
      </c>
      <c r="E437" s="73">
        <v>2.3736055067599999E-4</v>
      </c>
    </row>
    <row r="438" spans="2:5" ht="15" customHeight="1">
      <c r="B438" s="101"/>
      <c r="C438" s="24" t="s">
        <v>12</v>
      </c>
      <c r="D438" s="23">
        <v>117</v>
      </c>
      <c r="E438" s="22">
        <v>1.3885592214574E-2</v>
      </c>
    </row>
    <row r="439" spans="2:5" ht="15" customHeight="1">
      <c r="B439" s="99" t="s">
        <v>243</v>
      </c>
      <c r="C439" s="78" t="s">
        <v>142</v>
      </c>
      <c r="D439" s="72">
        <v>2</v>
      </c>
      <c r="E439" s="73">
        <v>2.3736055067599999E-4</v>
      </c>
    </row>
    <row r="440" spans="2:5" ht="15" customHeight="1">
      <c r="B440" s="100"/>
      <c r="C440" s="78" t="s">
        <v>145</v>
      </c>
      <c r="D440" s="72">
        <v>3</v>
      </c>
      <c r="E440" s="73">
        <v>3.5604082601500001E-4</v>
      </c>
    </row>
    <row r="441" spans="2:5" ht="15" customHeight="1">
      <c r="B441" s="100"/>
      <c r="C441" s="78" t="s">
        <v>146</v>
      </c>
      <c r="D441" s="72">
        <v>1</v>
      </c>
      <c r="E441" s="73">
        <v>1.1868027533799999E-4</v>
      </c>
    </row>
    <row r="442" spans="2:5" ht="15" customHeight="1">
      <c r="B442" s="100"/>
      <c r="C442" s="78" t="s">
        <v>147</v>
      </c>
      <c r="D442" s="72">
        <v>1</v>
      </c>
      <c r="E442" s="73">
        <v>1.1868027533799999E-4</v>
      </c>
    </row>
    <row r="443" spans="2:5" ht="15" customHeight="1">
      <c r="B443" s="100"/>
      <c r="C443" s="78" t="s">
        <v>148</v>
      </c>
      <c r="D443" s="72">
        <v>14</v>
      </c>
      <c r="E443" s="73">
        <v>1.661523854735E-3</v>
      </c>
    </row>
    <row r="444" spans="2:5" ht="15" customHeight="1">
      <c r="B444" s="100"/>
      <c r="C444" s="78" t="s">
        <v>149</v>
      </c>
      <c r="D444" s="72">
        <v>13</v>
      </c>
      <c r="E444" s="73">
        <v>1.5428435793969999E-3</v>
      </c>
    </row>
    <row r="445" spans="2:5" ht="15" customHeight="1">
      <c r="B445" s="100"/>
      <c r="C445" s="78" t="s">
        <v>151</v>
      </c>
      <c r="D445" s="72">
        <v>5</v>
      </c>
      <c r="E445" s="73">
        <v>5.9340137669100003E-4</v>
      </c>
    </row>
    <row r="446" spans="2:5" ht="15" customHeight="1">
      <c r="B446" s="100"/>
      <c r="C446" s="78" t="s">
        <v>152</v>
      </c>
      <c r="D446" s="72">
        <v>8</v>
      </c>
      <c r="E446" s="73">
        <v>9.4944220270599998E-4</v>
      </c>
    </row>
    <row r="447" spans="2:5" ht="15" customHeight="1">
      <c r="B447" s="100"/>
      <c r="C447" s="78" t="s">
        <v>153</v>
      </c>
      <c r="D447" s="72">
        <v>32</v>
      </c>
      <c r="E447" s="73">
        <v>3.7977688108239999E-3</v>
      </c>
    </row>
    <row r="448" spans="2:5" ht="15" customHeight="1">
      <c r="B448" s="100"/>
      <c r="C448" s="78" t="s">
        <v>155</v>
      </c>
      <c r="D448" s="72">
        <v>7</v>
      </c>
      <c r="E448" s="73">
        <v>8.3076192736799995E-4</v>
      </c>
    </row>
    <row r="449" spans="2:5" ht="15" customHeight="1">
      <c r="B449" s="100"/>
      <c r="C449" s="78" t="s">
        <v>156</v>
      </c>
      <c r="D449" s="72">
        <v>21</v>
      </c>
      <c r="E449" s="73">
        <v>2.4922857821029999E-3</v>
      </c>
    </row>
    <row r="450" spans="2:5" ht="15" customHeight="1">
      <c r="B450" s="100"/>
      <c r="C450" s="78" t="s">
        <v>158</v>
      </c>
      <c r="D450" s="72">
        <v>1</v>
      </c>
      <c r="E450" s="73">
        <v>1.1868027533799999E-4</v>
      </c>
    </row>
    <row r="451" spans="2:5" ht="15" customHeight="1">
      <c r="B451" s="100"/>
      <c r="C451" s="78" t="s">
        <v>162</v>
      </c>
      <c r="D451" s="72">
        <v>3</v>
      </c>
      <c r="E451" s="73">
        <v>3.5604082601500001E-4</v>
      </c>
    </row>
    <row r="452" spans="2:5" ht="15" customHeight="1">
      <c r="B452" s="101"/>
      <c r="C452" s="24" t="s">
        <v>12</v>
      </c>
      <c r="D452" s="23">
        <v>111</v>
      </c>
      <c r="E452" s="22">
        <v>1.3173510562545E-2</v>
      </c>
    </row>
    <row r="453" spans="2:5" ht="15" customHeight="1">
      <c r="B453" s="99" t="s">
        <v>244</v>
      </c>
      <c r="C453" s="78" t="s">
        <v>142</v>
      </c>
      <c r="D453" s="72">
        <v>2</v>
      </c>
      <c r="E453" s="73">
        <v>2.3736055067599999E-4</v>
      </c>
    </row>
    <row r="454" spans="2:5" ht="15" customHeight="1">
      <c r="B454" s="100"/>
      <c r="C454" s="78" t="s">
        <v>145</v>
      </c>
      <c r="D454" s="72">
        <v>1</v>
      </c>
      <c r="E454" s="73">
        <v>1.1868027533799999E-4</v>
      </c>
    </row>
    <row r="455" spans="2:5" ht="15" customHeight="1">
      <c r="B455" s="100"/>
      <c r="C455" s="78" t="s">
        <v>146</v>
      </c>
      <c r="D455" s="72">
        <v>1</v>
      </c>
      <c r="E455" s="73">
        <v>1.1868027533799999E-4</v>
      </c>
    </row>
    <row r="456" spans="2:5" ht="15" customHeight="1">
      <c r="B456" s="100"/>
      <c r="C456" s="78" t="s">
        <v>147</v>
      </c>
      <c r="D456" s="72">
        <v>1</v>
      </c>
      <c r="E456" s="73">
        <v>1.1868027533799999E-4</v>
      </c>
    </row>
    <row r="457" spans="2:5" ht="15" customHeight="1">
      <c r="B457" s="100"/>
      <c r="C457" s="78" t="s">
        <v>148</v>
      </c>
      <c r="D457" s="72">
        <v>6</v>
      </c>
      <c r="E457" s="73">
        <v>7.1208165202899995E-4</v>
      </c>
    </row>
    <row r="458" spans="2:5" ht="15" customHeight="1">
      <c r="B458" s="100"/>
      <c r="C458" s="78" t="s">
        <v>149</v>
      </c>
      <c r="D458" s="72">
        <v>7</v>
      </c>
      <c r="E458" s="73">
        <v>8.3076192736799995E-4</v>
      </c>
    </row>
    <row r="459" spans="2:5" ht="15" customHeight="1">
      <c r="B459" s="100"/>
      <c r="C459" s="78" t="s">
        <v>151</v>
      </c>
      <c r="D459" s="72">
        <v>3</v>
      </c>
      <c r="E459" s="73">
        <v>3.5604082601500001E-4</v>
      </c>
    </row>
    <row r="460" spans="2:5" ht="15" customHeight="1">
      <c r="B460" s="100"/>
      <c r="C460" s="78" t="s">
        <v>152</v>
      </c>
      <c r="D460" s="72">
        <v>7</v>
      </c>
      <c r="E460" s="73">
        <v>8.3076192736799995E-4</v>
      </c>
    </row>
    <row r="461" spans="2:5" ht="15" customHeight="1">
      <c r="B461" s="100"/>
      <c r="C461" s="78" t="s">
        <v>153</v>
      </c>
      <c r="D461" s="72">
        <v>36</v>
      </c>
      <c r="E461" s="73">
        <v>4.2724899121769997E-3</v>
      </c>
    </row>
    <row r="462" spans="2:5" ht="15" customHeight="1">
      <c r="B462" s="100"/>
      <c r="C462" s="78" t="s">
        <v>154</v>
      </c>
      <c r="D462" s="72">
        <v>2</v>
      </c>
      <c r="E462" s="73">
        <v>2.3736055067599999E-4</v>
      </c>
    </row>
    <row r="463" spans="2:5" ht="15" customHeight="1">
      <c r="B463" s="100"/>
      <c r="C463" s="78" t="s">
        <v>155</v>
      </c>
      <c r="D463" s="72">
        <v>3</v>
      </c>
      <c r="E463" s="73">
        <v>3.5604082601500001E-4</v>
      </c>
    </row>
    <row r="464" spans="2:5" ht="15" customHeight="1">
      <c r="B464" s="100"/>
      <c r="C464" s="78" t="s">
        <v>156</v>
      </c>
      <c r="D464" s="72">
        <v>17</v>
      </c>
      <c r="E464" s="73">
        <v>2.0175646807500001E-3</v>
      </c>
    </row>
    <row r="465" spans="2:5" ht="15" customHeight="1">
      <c r="B465" s="100"/>
      <c r="C465" s="78" t="s">
        <v>159</v>
      </c>
      <c r="D465" s="72">
        <v>1</v>
      </c>
      <c r="E465" s="73">
        <v>1.1868027533799999E-4</v>
      </c>
    </row>
    <row r="466" spans="2:5" ht="15" customHeight="1">
      <c r="B466" s="100"/>
      <c r="C466" s="78" t="s">
        <v>162</v>
      </c>
      <c r="D466" s="72">
        <v>1</v>
      </c>
      <c r="E466" s="73">
        <v>1.1868027533799999E-4</v>
      </c>
    </row>
    <row r="467" spans="2:5" ht="15" customHeight="1">
      <c r="B467" s="101"/>
      <c r="C467" s="24" t="s">
        <v>12</v>
      </c>
      <c r="D467" s="23">
        <v>88</v>
      </c>
      <c r="E467" s="22">
        <v>1.0443864229764999E-2</v>
      </c>
    </row>
    <row r="468" spans="2:5" ht="15" customHeight="1">
      <c r="B468" s="99" t="s">
        <v>245</v>
      </c>
      <c r="C468" s="78" t="s">
        <v>148</v>
      </c>
      <c r="D468" s="72">
        <v>1</v>
      </c>
      <c r="E468" s="73">
        <v>1.1868027533799999E-4</v>
      </c>
    </row>
    <row r="469" spans="2:5" ht="15" customHeight="1">
      <c r="B469" s="100"/>
      <c r="C469" s="78" t="s">
        <v>149</v>
      </c>
      <c r="D469" s="72">
        <v>1</v>
      </c>
      <c r="E469" s="73">
        <v>1.1868027533799999E-4</v>
      </c>
    </row>
    <row r="470" spans="2:5" ht="15" customHeight="1">
      <c r="B470" s="100"/>
      <c r="C470" s="78" t="s">
        <v>152</v>
      </c>
      <c r="D470" s="72">
        <v>3</v>
      </c>
      <c r="E470" s="73">
        <v>3.5604082601500001E-4</v>
      </c>
    </row>
    <row r="471" spans="2:5" ht="15" customHeight="1">
      <c r="B471" s="100"/>
      <c r="C471" s="78" t="s">
        <v>153</v>
      </c>
      <c r="D471" s="72">
        <v>5</v>
      </c>
      <c r="E471" s="73">
        <v>5.9340137669100003E-4</v>
      </c>
    </row>
    <row r="472" spans="2:5" ht="15" customHeight="1">
      <c r="B472" s="100"/>
      <c r="C472" s="78" t="s">
        <v>156</v>
      </c>
      <c r="D472" s="72">
        <v>2</v>
      </c>
      <c r="E472" s="73">
        <v>2.3736055067599999E-4</v>
      </c>
    </row>
    <row r="473" spans="2:5" ht="15" customHeight="1">
      <c r="B473" s="100"/>
      <c r="C473" s="78" t="s">
        <v>161</v>
      </c>
      <c r="D473" s="72">
        <v>1</v>
      </c>
      <c r="E473" s="73">
        <v>1.1868027533799999E-4</v>
      </c>
    </row>
    <row r="474" spans="2:5" ht="15" customHeight="1">
      <c r="B474" s="101"/>
      <c r="C474" s="24" t="s">
        <v>12</v>
      </c>
      <c r="D474" s="23">
        <v>13</v>
      </c>
      <c r="E474" s="22">
        <v>1.5428435793969999E-3</v>
      </c>
    </row>
    <row r="475" spans="2:5" ht="15" customHeight="1">
      <c r="B475" s="99" t="s">
        <v>246</v>
      </c>
      <c r="C475" s="78" t="s">
        <v>148</v>
      </c>
      <c r="D475" s="72">
        <v>4</v>
      </c>
      <c r="E475" s="73">
        <v>4.7472110135299999E-4</v>
      </c>
    </row>
    <row r="476" spans="2:5" ht="15" customHeight="1">
      <c r="B476" s="100"/>
      <c r="C476" s="78" t="s">
        <v>149</v>
      </c>
      <c r="D476" s="72">
        <v>2</v>
      </c>
      <c r="E476" s="73">
        <v>2.3736055067599999E-4</v>
      </c>
    </row>
    <row r="477" spans="2:5" ht="15" customHeight="1">
      <c r="B477" s="100"/>
      <c r="C477" s="78" t="s">
        <v>153</v>
      </c>
      <c r="D477" s="72">
        <v>6</v>
      </c>
      <c r="E477" s="73">
        <v>7.1208165202899995E-4</v>
      </c>
    </row>
    <row r="478" spans="2:5" ht="15" customHeight="1">
      <c r="B478" s="100"/>
      <c r="C478" s="78" t="s">
        <v>155</v>
      </c>
      <c r="D478" s="72">
        <v>2</v>
      </c>
      <c r="E478" s="73">
        <v>2.3736055067599999E-4</v>
      </c>
    </row>
    <row r="479" spans="2:5" ht="15" customHeight="1">
      <c r="B479" s="100"/>
      <c r="C479" s="78" t="s">
        <v>156</v>
      </c>
      <c r="D479" s="72">
        <v>8</v>
      </c>
      <c r="E479" s="73">
        <v>9.4944220270599998E-4</v>
      </c>
    </row>
    <row r="480" spans="2:5" ht="15" customHeight="1">
      <c r="B480" s="100"/>
      <c r="C480" s="78" t="s">
        <v>157</v>
      </c>
      <c r="D480" s="72">
        <v>1</v>
      </c>
      <c r="E480" s="73">
        <v>1.1868027533799999E-4</v>
      </c>
    </row>
    <row r="481" spans="2:5" ht="15" customHeight="1">
      <c r="B481" s="101"/>
      <c r="C481" s="24" t="s">
        <v>12</v>
      </c>
      <c r="D481" s="23">
        <v>23</v>
      </c>
      <c r="E481" s="22">
        <v>2.7296463327790002E-3</v>
      </c>
    </row>
    <row r="482" spans="2:5" ht="15" customHeight="1">
      <c r="B482" s="99" t="s">
        <v>247</v>
      </c>
      <c r="C482" s="78" t="s">
        <v>142</v>
      </c>
      <c r="D482" s="72">
        <v>2</v>
      </c>
      <c r="E482" s="73">
        <v>2.3736055067599999E-4</v>
      </c>
    </row>
    <row r="483" spans="2:5" ht="15" customHeight="1">
      <c r="B483" s="100"/>
      <c r="C483" s="78" t="s">
        <v>144</v>
      </c>
      <c r="D483" s="72">
        <v>1</v>
      </c>
      <c r="E483" s="73">
        <v>1.1868027533799999E-4</v>
      </c>
    </row>
    <row r="484" spans="2:5" ht="15" customHeight="1">
      <c r="B484" s="100"/>
      <c r="C484" s="78" t="s">
        <v>145</v>
      </c>
      <c r="D484" s="72">
        <v>1</v>
      </c>
      <c r="E484" s="73">
        <v>1.1868027533799999E-4</v>
      </c>
    </row>
    <row r="485" spans="2:5" ht="15" customHeight="1">
      <c r="B485" s="100"/>
      <c r="C485" s="78" t="s">
        <v>146</v>
      </c>
      <c r="D485" s="72">
        <v>3</v>
      </c>
      <c r="E485" s="73">
        <v>3.5604082601500001E-4</v>
      </c>
    </row>
    <row r="486" spans="2:5" ht="15" customHeight="1">
      <c r="B486" s="100"/>
      <c r="C486" s="78" t="s">
        <v>147</v>
      </c>
      <c r="D486" s="72">
        <v>4</v>
      </c>
      <c r="E486" s="73">
        <v>4.7472110135299999E-4</v>
      </c>
    </row>
    <row r="487" spans="2:5" ht="15" customHeight="1">
      <c r="B487" s="100"/>
      <c r="C487" s="78" t="s">
        <v>148</v>
      </c>
      <c r="D487" s="72">
        <v>8</v>
      </c>
      <c r="E487" s="73">
        <v>9.4944220270599998E-4</v>
      </c>
    </row>
    <row r="488" spans="2:5" ht="15" customHeight="1">
      <c r="B488" s="100"/>
      <c r="C488" s="78" t="s">
        <v>149</v>
      </c>
      <c r="D488" s="72">
        <v>29</v>
      </c>
      <c r="E488" s="73">
        <v>3.4417279848089999E-3</v>
      </c>
    </row>
    <row r="489" spans="2:5" ht="15" customHeight="1">
      <c r="B489" s="100"/>
      <c r="C489" s="78" t="s">
        <v>150</v>
      </c>
      <c r="D489" s="72">
        <v>3</v>
      </c>
      <c r="E489" s="73">
        <v>3.5604082601500001E-4</v>
      </c>
    </row>
    <row r="490" spans="2:5" ht="15" customHeight="1">
      <c r="B490" s="100"/>
      <c r="C490" s="78" t="s">
        <v>151</v>
      </c>
      <c r="D490" s="72">
        <v>6</v>
      </c>
      <c r="E490" s="73">
        <v>7.1208165202899995E-4</v>
      </c>
    </row>
    <row r="491" spans="2:5" ht="15" customHeight="1">
      <c r="B491" s="100"/>
      <c r="C491" s="78" t="s">
        <v>152</v>
      </c>
      <c r="D491" s="72">
        <v>9</v>
      </c>
      <c r="E491" s="73">
        <v>1.0681224780439999E-3</v>
      </c>
    </row>
    <row r="492" spans="2:5" ht="15" customHeight="1">
      <c r="B492" s="100"/>
      <c r="C492" s="78" t="s">
        <v>153</v>
      </c>
      <c r="D492" s="72">
        <v>66</v>
      </c>
      <c r="E492" s="73">
        <v>7.8328981723240002E-3</v>
      </c>
    </row>
    <row r="493" spans="2:5" ht="15" customHeight="1">
      <c r="B493" s="100"/>
      <c r="C493" s="78" t="s">
        <v>155</v>
      </c>
      <c r="D493" s="72">
        <v>9</v>
      </c>
      <c r="E493" s="73">
        <v>1.0681224780439999E-3</v>
      </c>
    </row>
    <row r="494" spans="2:5" ht="15" customHeight="1">
      <c r="B494" s="100"/>
      <c r="C494" s="78" t="s">
        <v>156</v>
      </c>
      <c r="D494" s="72">
        <v>36</v>
      </c>
      <c r="E494" s="73">
        <v>4.2724899121769997E-3</v>
      </c>
    </row>
    <row r="495" spans="2:5" ht="15" customHeight="1">
      <c r="B495" s="100"/>
      <c r="C495" s="78" t="s">
        <v>158</v>
      </c>
      <c r="D495" s="72">
        <v>1</v>
      </c>
      <c r="E495" s="73">
        <v>1.1868027533799999E-4</v>
      </c>
    </row>
    <row r="496" spans="2:5" ht="15" customHeight="1">
      <c r="B496" s="100"/>
      <c r="C496" s="78" t="s">
        <v>161</v>
      </c>
      <c r="D496" s="72">
        <v>2</v>
      </c>
      <c r="E496" s="73">
        <v>2.3736055067599999E-4</v>
      </c>
    </row>
    <row r="497" spans="2:5" ht="15" customHeight="1">
      <c r="B497" s="100"/>
      <c r="C497" s="78" t="s">
        <v>162</v>
      </c>
      <c r="D497" s="72">
        <v>4</v>
      </c>
      <c r="E497" s="73">
        <v>4.7472110135299999E-4</v>
      </c>
    </row>
    <row r="498" spans="2:5" ht="15" customHeight="1">
      <c r="B498" s="101"/>
      <c r="C498" s="24" t="s">
        <v>12</v>
      </c>
      <c r="D498" s="23">
        <v>184</v>
      </c>
      <c r="E498" s="22">
        <v>2.1837170662236002E-2</v>
      </c>
    </row>
    <row r="499" spans="2:5" ht="15" customHeight="1">
      <c r="B499" s="99" t="s">
        <v>248</v>
      </c>
      <c r="C499" s="78" t="s">
        <v>142</v>
      </c>
      <c r="D499" s="72">
        <v>1</v>
      </c>
      <c r="E499" s="73">
        <v>1.1868027533799999E-4</v>
      </c>
    </row>
    <row r="500" spans="2:5" ht="15" customHeight="1">
      <c r="B500" s="100"/>
      <c r="C500" s="78" t="s">
        <v>145</v>
      </c>
      <c r="D500" s="72">
        <v>1</v>
      </c>
      <c r="E500" s="73">
        <v>1.1868027533799999E-4</v>
      </c>
    </row>
    <row r="501" spans="2:5" ht="15" customHeight="1">
      <c r="B501" s="100"/>
      <c r="C501" s="78" t="s">
        <v>146</v>
      </c>
      <c r="D501" s="72">
        <v>1</v>
      </c>
      <c r="E501" s="73">
        <v>1.1868027533799999E-4</v>
      </c>
    </row>
    <row r="502" spans="2:5" ht="15" customHeight="1">
      <c r="B502" s="100"/>
      <c r="C502" s="78" t="s">
        <v>148</v>
      </c>
      <c r="D502" s="72">
        <v>11</v>
      </c>
      <c r="E502" s="73">
        <v>1.305483028721E-3</v>
      </c>
    </row>
    <row r="503" spans="2:5" ht="15" customHeight="1">
      <c r="B503" s="100"/>
      <c r="C503" s="78" t="s">
        <v>149</v>
      </c>
      <c r="D503" s="72">
        <v>12</v>
      </c>
      <c r="E503" s="73">
        <v>1.424163304059E-3</v>
      </c>
    </row>
    <row r="504" spans="2:5" ht="15" customHeight="1">
      <c r="B504" s="100"/>
      <c r="C504" s="78" t="s">
        <v>151</v>
      </c>
      <c r="D504" s="72">
        <v>3</v>
      </c>
      <c r="E504" s="73">
        <v>3.5604082601500001E-4</v>
      </c>
    </row>
    <row r="505" spans="2:5" ht="15" customHeight="1">
      <c r="B505" s="100"/>
      <c r="C505" s="78" t="s">
        <v>152</v>
      </c>
      <c r="D505" s="72">
        <v>7</v>
      </c>
      <c r="E505" s="73">
        <v>8.3076192736799995E-4</v>
      </c>
    </row>
    <row r="506" spans="2:5" ht="15" customHeight="1">
      <c r="B506" s="100"/>
      <c r="C506" s="78" t="s">
        <v>153</v>
      </c>
      <c r="D506" s="72">
        <v>29</v>
      </c>
      <c r="E506" s="73">
        <v>3.4417279848089999E-3</v>
      </c>
    </row>
    <row r="507" spans="2:5" ht="15" customHeight="1">
      <c r="B507" s="100"/>
      <c r="C507" s="78" t="s">
        <v>154</v>
      </c>
      <c r="D507" s="72">
        <v>2</v>
      </c>
      <c r="E507" s="73">
        <v>2.3736055067599999E-4</v>
      </c>
    </row>
    <row r="508" spans="2:5" ht="15" customHeight="1">
      <c r="B508" s="100"/>
      <c r="C508" s="78" t="s">
        <v>155</v>
      </c>
      <c r="D508" s="72">
        <v>6</v>
      </c>
      <c r="E508" s="73">
        <v>7.1208165202899995E-4</v>
      </c>
    </row>
    <row r="509" spans="2:5" ht="15" customHeight="1">
      <c r="B509" s="100"/>
      <c r="C509" s="78" t="s">
        <v>156</v>
      </c>
      <c r="D509" s="72">
        <v>20</v>
      </c>
      <c r="E509" s="73">
        <v>2.3736055067650002E-3</v>
      </c>
    </row>
    <row r="510" spans="2:5" ht="15" customHeight="1">
      <c r="B510" s="100"/>
      <c r="C510" s="78" t="s">
        <v>158</v>
      </c>
      <c r="D510" s="72">
        <v>1</v>
      </c>
      <c r="E510" s="73">
        <v>1.1868027533799999E-4</v>
      </c>
    </row>
    <row r="511" spans="2:5" ht="15" customHeight="1">
      <c r="B511" s="100"/>
      <c r="C511" s="78" t="s">
        <v>161</v>
      </c>
      <c r="D511" s="72">
        <v>1</v>
      </c>
      <c r="E511" s="73">
        <v>1.1868027533799999E-4</v>
      </c>
    </row>
    <row r="512" spans="2:5" ht="15" customHeight="1">
      <c r="B512" s="100"/>
      <c r="C512" s="78" t="s">
        <v>162</v>
      </c>
      <c r="D512" s="72">
        <v>3</v>
      </c>
      <c r="E512" s="73">
        <v>3.5604082601500001E-4</v>
      </c>
    </row>
    <row r="513" spans="2:5" ht="15" customHeight="1">
      <c r="B513" s="100"/>
      <c r="C513" s="78" t="s">
        <v>164</v>
      </c>
      <c r="D513" s="72">
        <v>1</v>
      </c>
      <c r="E513" s="73">
        <v>1.1868027533799999E-4</v>
      </c>
    </row>
    <row r="514" spans="2:5" ht="15" customHeight="1">
      <c r="B514" s="101"/>
      <c r="C514" s="24" t="s">
        <v>12</v>
      </c>
      <c r="D514" s="23">
        <v>99</v>
      </c>
      <c r="E514" s="22">
        <v>1.1749347258486E-2</v>
      </c>
    </row>
    <row r="515" spans="2:5" ht="15" customHeight="1">
      <c r="B515" s="99" t="s">
        <v>249</v>
      </c>
      <c r="C515" s="78" t="s">
        <v>147</v>
      </c>
      <c r="D515" s="72">
        <v>4</v>
      </c>
      <c r="E515" s="73">
        <v>4.7472110135299999E-4</v>
      </c>
    </row>
    <row r="516" spans="2:5" ht="15" customHeight="1">
      <c r="B516" s="100"/>
      <c r="C516" s="78" t="s">
        <v>148</v>
      </c>
      <c r="D516" s="72">
        <v>2</v>
      </c>
      <c r="E516" s="73">
        <v>2.3736055067599999E-4</v>
      </c>
    </row>
    <row r="517" spans="2:5" ht="15" customHeight="1">
      <c r="B517" s="100"/>
      <c r="C517" s="78" t="s">
        <v>149</v>
      </c>
      <c r="D517" s="72">
        <v>10</v>
      </c>
      <c r="E517" s="73">
        <v>1.1868027533820001E-3</v>
      </c>
    </row>
    <row r="518" spans="2:5" ht="15" customHeight="1">
      <c r="B518" s="100"/>
      <c r="C518" s="78" t="s">
        <v>150</v>
      </c>
      <c r="D518" s="72">
        <v>3</v>
      </c>
      <c r="E518" s="73">
        <v>3.5604082601500001E-4</v>
      </c>
    </row>
    <row r="519" spans="2:5" ht="15" customHeight="1">
      <c r="B519" s="100"/>
      <c r="C519" s="78" t="s">
        <v>152</v>
      </c>
      <c r="D519" s="72">
        <v>1</v>
      </c>
      <c r="E519" s="73">
        <v>1.1868027533799999E-4</v>
      </c>
    </row>
    <row r="520" spans="2:5" ht="15" customHeight="1">
      <c r="B520" s="100"/>
      <c r="C520" s="78" t="s">
        <v>153</v>
      </c>
      <c r="D520" s="72">
        <v>18</v>
      </c>
      <c r="E520" s="73">
        <v>2.1362449560879998E-3</v>
      </c>
    </row>
    <row r="521" spans="2:5" ht="15" customHeight="1">
      <c r="B521" s="100"/>
      <c r="C521" s="78" t="s">
        <v>154</v>
      </c>
      <c r="D521" s="72">
        <v>1</v>
      </c>
      <c r="E521" s="73">
        <v>1.1868027533799999E-4</v>
      </c>
    </row>
    <row r="522" spans="2:5" ht="15" customHeight="1">
      <c r="B522" s="100"/>
      <c r="C522" s="78" t="s">
        <v>155</v>
      </c>
      <c r="D522" s="72">
        <v>3</v>
      </c>
      <c r="E522" s="73">
        <v>3.5604082601500001E-4</v>
      </c>
    </row>
    <row r="523" spans="2:5" ht="15" customHeight="1">
      <c r="B523" s="100"/>
      <c r="C523" s="78" t="s">
        <v>156</v>
      </c>
      <c r="D523" s="72">
        <v>8</v>
      </c>
      <c r="E523" s="73">
        <v>9.4944220270599998E-4</v>
      </c>
    </row>
    <row r="524" spans="2:5" ht="15" customHeight="1">
      <c r="B524" s="100"/>
      <c r="C524" s="78" t="s">
        <v>161</v>
      </c>
      <c r="D524" s="72">
        <v>1</v>
      </c>
      <c r="E524" s="73">
        <v>1.1868027533799999E-4</v>
      </c>
    </row>
    <row r="525" spans="2:5" ht="15" customHeight="1">
      <c r="B525" s="100"/>
      <c r="C525" s="78" t="s">
        <v>162</v>
      </c>
      <c r="D525" s="72">
        <v>3</v>
      </c>
      <c r="E525" s="73">
        <v>3.5604082601500001E-4</v>
      </c>
    </row>
    <row r="526" spans="2:5" ht="15" customHeight="1">
      <c r="B526" s="101"/>
      <c r="C526" s="24" t="s">
        <v>12</v>
      </c>
      <c r="D526" s="23">
        <v>54</v>
      </c>
      <c r="E526" s="22">
        <v>6.408734868265E-3</v>
      </c>
    </row>
    <row r="527" spans="2:5" ht="15" customHeight="1">
      <c r="B527" s="99" t="s">
        <v>250</v>
      </c>
      <c r="C527" s="78" t="s">
        <v>142</v>
      </c>
      <c r="D527" s="72">
        <v>1</v>
      </c>
      <c r="E527" s="73">
        <v>1.1868027533799999E-4</v>
      </c>
    </row>
    <row r="528" spans="2:5" ht="15" customHeight="1">
      <c r="B528" s="100"/>
      <c r="C528" s="78" t="s">
        <v>148</v>
      </c>
      <c r="D528" s="72">
        <v>6</v>
      </c>
      <c r="E528" s="73">
        <v>7.1208165202899995E-4</v>
      </c>
    </row>
    <row r="529" spans="2:5" ht="15" customHeight="1">
      <c r="B529" s="100"/>
      <c r="C529" s="78" t="s">
        <v>149</v>
      </c>
      <c r="D529" s="72">
        <v>8</v>
      </c>
      <c r="E529" s="73">
        <v>9.4944220270599998E-4</v>
      </c>
    </row>
    <row r="530" spans="2:5" ht="15" customHeight="1">
      <c r="B530" s="100"/>
      <c r="C530" s="78" t="s">
        <v>152</v>
      </c>
      <c r="D530" s="72">
        <v>4</v>
      </c>
      <c r="E530" s="73">
        <v>4.7472110135299999E-4</v>
      </c>
    </row>
    <row r="531" spans="2:5" ht="15" customHeight="1">
      <c r="B531" s="100"/>
      <c r="C531" s="78" t="s">
        <v>153</v>
      </c>
      <c r="D531" s="72">
        <v>20</v>
      </c>
      <c r="E531" s="73">
        <v>2.3736055067650002E-3</v>
      </c>
    </row>
    <row r="532" spans="2:5" ht="15" customHeight="1">
      <c r="B532" s="100"/>
      <c r="C532" s="78" t="s">
        <v>155</v>
      </c>
      <c r="D532" s="72">
        <v>5</v>
      </c>
      <c r="E532" s="73">
        <v>5.9340137669100003E-4</v>
      </c>
    </row>
    <row r="533" spans="2:5" ht="15" customHeight="1">
      <c r="B533" s="100"/>
      <c r="C533" s="78" t="s">
        <v>156</v>
      </c>
      <c r="D533" s="72">
        <v>9</v>
      </c>
      <c r="E533" s="73">
        <v>1.0681224780439999E-3</v>
      </c>
    </row>
    <row r="534" spans="2:5" ht="15" customHeight="1">
      <c r="B534" s="100"/>
      <c r="C534" s="78" t="s">
        <v>161</v>
      </c>
      <c r="D534" s="72">
        <v>1</v>
      </c>
      <c r="E534" s="73">
        <v>1.1868027533799999E-4</v>
      </c>
    </row>
    <row r="535" spans="2:5" ht="15" customHeight="1">
      <c r="B535" s="100"/>
      <c r="C535" s="78" t="s">
        <v>162</v>
      </c>
      <c r="D535" s="72">
        <v>5</v>
      </c>
      <c r="E535" s="73">
        <v>5.9340137669100003E-4</v>
      </c>
    </row>
    <row r="536" spans="2:5" ht="15" customHeight="1">
      <c r="B536" s="101"/>
      <c r="C536" s="24" t="s">
        <v>12</v>
      </c>
      <c r="D536" s="23">
        <v>59</v>
      </c>
      <c r="E536" s="22">
        <v>7.0021362449559999E-3</v>
      </c>
    </row>
    <row r="537" spans="2:5" ht="15" customHeight="1">
      <c r="B537" s="99" t="s">
        <v>251</v>
      </c>
      <c r="C537" s="78" t="s">
        <v>143</v>
      </c>
      <c r="D537" s="72">
        <v>1</v>
      </c>
      <c r="E537" s="73">
        <v>1.1868027533799999E-4</v>
      </c>
    </row>
    <row r="538" spans="2:5" ht="15" customHeight="1">
      <c r="B538" s="100"/>
      <c r="C538" s="78" t="s">
        <v>145</v>
      </c>
      <c r="D538" s="72">
        <v>2</v>
      </c>
      <c r="E538" s="73">
        <v>2.3736055067599999E-4</v>
      </c>
    </row>
    <row r="539" spans="2:5" ht="15" customHeight="1">
      <c r="B539" s="100"/>
      <c r="C539" s="78" t="s">
        <v>148</v>
      </c>
      <c r="D539" s="72">
        <v>3</v>
      </c>
      <c r="E539" s="73">
        <v>3.5604082601500001E-4</v>
      </c>
    </row>
    <row r="540" spans="2:5" ht="15" customHeight="1">
      <c r="B540" s="100"/>
      <c r="C540" s="78" t="s">
        <v>149</v>
      </c>
      <c r="D540" s="72">
        <v>9</v>
      </c>
      <c r="E540" s="73">
        <v>1.0681224780439999E-3</v>
      </c>
    </row>
    <row r="541" spans="2:5" ht="15" customHeight="1">
      <c r="B541" s="100"/>
      <c r="C541" s="78" t="s">
        <v>151</v>
      </c>
      <c r="D541" s="72">
        <v>1</v>
      </c>
      <c r="E541" s="73">
        <v>1.1868027533799999E-4</v>
      </c>
    </row>
    <row r="542" spans="2:5" ht="15" customHeight="1">
      <c r="B542" s="100"/>
      <c r="C542" s="78" t="s">
        <v>152</v>
      </c>
      <c r="D542" s="72">
        <v>10</v>
      </c>
      <c r="E542" s="73">
        <v>1.1868027533820001E-3</v>
      </c>
    </row>
    <row r="543" spans="2:5" ht="15" customHeight="1">
      <c r="B543" s="100"/>
      <c r="C543" s="78" t="s">
        <v>153</v>
      </c>
      <c r="D543" s="72">
        <v>30</v>
      </c>
      <c r="E543" s="73">
        <v>3.560408260147E-3</v>
      </c>
    </row>
    <row r="544" spans="2:5" ht="15" customHeight="1">
      <c r="B544" s="100"/>
      <c r="C544" s="78" t="s">
        <v>154</v>
      </c>
      <c r="D544" s="72">
        <v>1</v>
      </c>
      <c r="E544" s="73">
        <v>1.1868027533799999E-4</v>
      </c>
    </row>
    <row r="545" spans="2:5" ht="15" customHeight="1">
      <c r="B545" s="100"/>
      <c r="C545" s="78" t="s">
        <v>155</v>
      </c>
      <c r="D545" s="72">
        <v>5</v>
      </c>
      <c r="E545" s="73">
        <v>5.9340137669100003E-4</v>
      </c>
    </row>
    <row r="546" spans="2:5" ht="15" customHeight="1">
      <c r="B546" s="100"/>
      <c r="C546" s="78" t="s">
        <v>156</v>
      </c>
      <c r="D546" s="72">
        <v>22</v>
      </c>
      <c r="E546" s="73">
        <v>2.610966057441E-3</v>
      </c>
    </row>
    <row r="547" spans="2:5" ht="15" customHeight="1">
      <c r="B547" s="100"/>
      <c r="C547" s="78" t="s">
        <v>161</v>
      </c>
      <c r="D547" s="72">
        <v>1</v>
      </c>
      <c r="E547" s="73">
        <v>1.1868027533799999E-4</v>
      </c>
    </row>
    <row r="548" spans="2:5" ht="15" customHeight="1">
      <c r="B548" s="100"/>
      <c r="C548" s="78" t="s">
        <v>162</v>
      </c>
      <c r="D548" s="72">
        <v>1</v>
      </c>
      <c r="E548" s="73">
        <v>1.1868027533799999E-4</v>
      </c>
    </row>
    <row r="549" spans="2:5" ht="15" customHeight="1">
      <c r="B549" s="100"/>
      <c r="C549" s="78" t="s">
        <v>164</v>
      </c>
      <c r="D549" s="72">
        <v>1</v>
      </c>
      <c r="E549" s="73">
        <v>1.1868027533799999E-4</v>
      </c>
    </row>
    <row r="550" spans="2:5" ht="15" customHeight="1">
      <c r="B550" s="101"/>
      <c r="C550" s="24" t="s">
        <v>12</v>
      </c>
      <c r="D550" s="23">
        <v>87</v>
      </c>
      <c r="E550" s="22">
        <v>1.0325183954426999E-2</v>
      </c>
    </row>
    <row r="551" spans="2:5" ht="15" customHeight="1">
      <c r="B551" s="99" t="s">
        <v>252</v>
      </c>
      <c r="C551" s="78" t="s">
        <v>142</v>
      </c>
      <c r="D551" s="72">
        <v>1</v>
      </c>
      <c r="E551" s="73">
        <v>1.1868027533799999E-4</v>
      </c>
    </row>
    <row r="552" spans="2:5" ht="15" customHeight="1">
      <c r="B552" s="100"/>
      <c r="C552" s="78" t="s">
        <v>143</v>
      </c>
      <c r="D552" s="72">
        <v>1</v>
      </c>
      <c r="E552" s="73">
        <v>1.1868027533799999E-4</v>
      </c>
    </row>
    <row r="553" spans="2:5" ht="15" customHeight="1">
      <c r="B553" s="100"/>
      <c r="C553" s="78" t="s">
        <v>144</v>
      </c>
      <c r="D553" s="72">
        <v>1</v>
      </c>
      <c r="E553" s="73">
        <v>1.1868027533799999E-4</v>
      </c>
    </row>
    <row r="554" spans="2:5" ht="15" customHeight="1">
      <c r="B554" s="100"/>
      <c r="C554" s="78" t="s">
        <v>145</v>
      </c>
      <c r="D554" s="72">
        <v>2</v>
      </c>
      <c r="E554" s="73">
        <v>2.3736055067599999E-4</v>
      </c>
    </row>
    <row r="555" spans="2:5" ht="15" customHeight="1">
      <c r="B555" s="100"/>
      <c r="C555" s="78" t="s">
        <v>146</v>
      </c>
      <c r="D555" s="72">
        <v>5</v>
      </c>
      <c r="E555" s="73">
        <v>5.9340137669100003E-4</v>
      </c>
    </row>
    <row r="556" spans="2:5" ht="15" customHeight="1">
      <c r="B556" s="100"/>
      <c r="C556" s="78" t="s">
        <v>147</v>
      </c>
      <c r="D556" s="72">
        <v>1</v>
      </c>
      <c r="E556" s="73">
        <v>1.1868027533799999E-4</v>
      </c>
    </row>
    <row r="557" spans="2:5" ht="15" customHeight="1">
      <c r="B557" s="100"/>
      <c r="C557" s="78" t="s">
        <v>148</v>
      </c>
      <c r="D557" s="72">
        <v>20</v>
      </c>
      <c r="E557" s="73">
        <v>2.3736055067650002E-3</v>
      </c>
    </row>
    <row r="558" spans="2:5" ht="15" customHeight="1">
      <c r="B558" s="100"/>
      <c r="C558" s="78" t="s">
        <v>149</v>
      </c>
      <c r="D558" s="72">
        <v>17</v>
      </c>
      <c r="E558" s="73">
        <v>2.0175646807500001E-3</v>
      </c>
    </row>
    <row r="559" spans="2:5" ht="15" customHeight="1">
      <c r="B559" s="100"/>
      <c r="C559" s="78" t="s">
        <v>150</v>
      </c>
      <c r="D559" s="72">
        <v>2</v>
      </c>
      <c r="E559" s="73">
        <v>2.3736055067599999E-4</v>
      </c>
    </row>
    <row r="560" spans="2:5" ht="15" customHeight="1">
      <c r="B560" s="100"/>
      <c r="C560" s="78" t="s">
        <v>151</v>
      </c>
      <c r="D560" s="72">
        <v>5</v>
      </c>
      <c r="E560" s="73">
        <v>5.9340137669100003E-4</v>
      </c>
    </row>
    <row r="561" spans="2:5" ht="15" customHeight="1">
      <c r="B561" s="100"/>
      <c r="C561" s="78" t="s">
        <v>152</v>
      </c>
      <c r="D561" s="72">
        <v>12</v>
      </c>
      <c r="E561" s="73">
        <v>1.424163304059E-3</v>
      </c>
    </row>
    <row r="562" spans="2:5" ht="15" customHeight="1">
      <c r="B562" s="100"/>
      <c r="C562" s="78" t="s">
        <v>153</v>
      </c>
      <c r="D562" s="72">
        <v>56</v>
      </c>
      <c r="E562" s="73">
        <v>6.6460954189410002E-3</v>
      </c>
    </row>
    <row r="563" spans="2:5" ht="15" customHeight="1">
      <c r="B563" s="100"/>
      <c r="C563" s="78" t="s">
        <v>154</v>
      </c>
      <c r="D563" s="72">
        <v>6</v>
      </c>
      <c r="E563" s="73">
        <v>7.1208165202899995E-4</v>
      </c>
    </row>
    <row r="564" spans="2:5" ht="15" customHeight="1">
      <c r="B564" s="100"/>
      <c r="C564" s="78" t="s">
        <v>155</v>
      </c>
      <c r="D564" s="72">
        <v>12</v>
      </c>
      <c r="E564" s="73">
        <v>1.424163304059E-3</v>
      </c>
    </row>
    <row r="565" spans="2:5" ht="15" customHeight="1">
      <c r="B565" s="100"/>
      <c r="C565" s="78" t="s">
        <v>156</v>
      </c>
      <c r="D565" s="72">
        <v>39</v>
      </c>
      <c r="E565" s="73">
        <v>4.6285307381910001E-3</v>
      </c>
    </row>
    <row r="566" spans="2:5" ht="15" customHeight="1">
      <c r="B566" s="100"/>
      <c r="C566" s="78" t="s">
        <v>159</v>
      </c>
      <c r="D566" s="72">
        <v>1</v>
      </c>
      <c r="E566" s="73">
        <v>1.1868027533799999E-4</v>
      </c>
    </row>
    <row r="567" spans="2:5" ht="15" customHeight="1">
      <c r="B567" s="100"/>
      <c r="C567" s="78" t="s">
        <v>161</v>
      </c>
      <c r="D567" s="72">
        <v>1</v>
      </c>
      <c r="E567" s="73">
        <v>1.1868027533799999E-4</v>
      </c>
    </row>
    <row r="568" spans="2:5" ht="15" customHeight="1">
      <c r="B568" s="100"/>
      <c r="C568" s="78" t="s">
        <v>162</v>
      </c>
      <c r="D568" s="72">
        <v>6</v>
      </c>
      <c r="E568" s="73">
        <v>7.1208165202899995E-4</v>
      </c>
    </row>
    <row r="569" spans="2:5" ht="15" customHeight="1">
      <c r="B569" s="101"/>
      <c r="C569" s="24" t="s">
        <v>12</v>
      </c>
      <c r="D569" s="23">
        <v>188</v>
      </c>
      <c r="E569" s="22">
        <v>2.2311891763589001E-2</v>
      </c>
    </row>
    <row r="570" spans="2:5" ht="15" customHeight="1">
      <c r="B570" s="99" t="s">
        <v>253</v>
      </c>
      <c r="C570" s="78" t="s">
        <v>145</v>
      </c>
      <c r="D570" s="72">
        <v>1</v>
      </c>
      <c r="E570" s="73">
        <v>1.1868027533799999E-4</v>
      </c>
    </row>
    <row r="571" spans="2:5" ht="15" customHeight="1">
      <c r="B571" s="100"/>
      <c r="C571" s="78" t="s">
        <v>146</v>
      </c>
      <c r="D571" s="72">
        <v>1</v>
      </c>
      <c r="E571" s="73">
        <v>1.1868027533799999E-4</v>
      </c>
    </row>
    <row r="572" spans="2:5" ht="15" customHeight="1">
      <c r="B572" s="100"/>
      <c r="C572" s="78" t="s">
        <v>148</v>
      </c>
      <c r="D572" s="72">
        <v>1</v>
      </c>
      <c r="E572" s="73">
        <v>1.1868027533799999E-4</v>
      </c>
    </row>
    <row r="573" spans="2:5" ht="15" customHeight="1">
      <c r="B573" s="100"/>
      <c r="C573" s="78" t="s">
        <v>149</v>
      </c>
      <c r="D573" s="72">
        <v>6</v>
      </c>
      <c r="E573" s="73">
        <v>7.1208165202899995E-4</v>
      </c>
    </row>
    <row r="574" spans="2:5" ht="15" customHeight="1">
      <c r="B574" s="100"/>
      <c r="C574" s="78" t="s">
        <v>152</v>
      </c>
      <c r="D574" s="72">
        <v>1</v>
      </c>
      <c r="E574" s="73">
        <v>1.1868027533799999E-4</v>
      </c>
    </row>
    <row r="575" spans="2:5" ht="15" customHeight="1">
      <c r="B575" s="100"/>
      <c r="C575" s="78" t="s">
        <v>153</v>
      </c>
      <c r="D575" s="72">
        <v>17</v>
      </c>
      <c r="E575" s="73">
        <v>2.0175646807500001E-3</v>
      </c>
    </row>
    <row r="576" spans="2:5" ht="15" customHeight="1">
      <c r="B576" s="100"/>
      <c r="C576" s="78" t="s">
        <v>155</v>
      </c>
      <c r="D576" s="72">
        <v>2</v>
      </c>
      <c r="E576" s="73">
        <v>2.3736055067599999E-4</v>
      </c>
    </row>
    <row r="577" spans="2:5" ht="15" customHeight="1">
      <c r="B577" s="100"/>
      <c r="C577" s="78" t="s">
        <v>156</v>
      </c>
      <c r="D577" s="72">
        <v>6</v>
      </c>
      <c r="E577" s="73">
        <v>7.1208165202899995E-4</v>
      </c>
    </row>
    <row r="578" spans="2:5" ht="15" customHeight="1">
      <c r="B578" s="101"/>
      <c r="C578" s="24" t="s">
        <v>12</v>
      </c>
      <c r="D578" s="23">
        <v>35</v>
      </c>
      <c r="E578" s="22">
        <v>4.1538096368380004E-3</v>
      </c>
    </row>
    <row r="579" spans="2:5" ht="15" customHeight="1">
      <c r="B579" s="99" t="s">
        <v>254</v>
      </c>
      <c r="C579" s="78" t="s">
        <v>142</v>
      </c>
      <c r="D579" s="72">
        <v>1</v>
      </c>
      <c r="E579" s="73">
        <v>1.1868027533799999E-4</v>
      </c>
    </row>
    <row r="580" spans="2:5" ht="15" customHeight="1">
      <c r="B580" s="100"/>
      <c r="C580" s="78" t="s">
        <v>144</v>
      </c>
      <c r="D580" s="72">
        <v>1</v>
      </c>
      <c r="E580" s="73">
        <v>1.1868027533799999E-4</v>
      </c>
    </row>
    <row r="581" spans="2:5" ht="15" customHeight="1">
      <c r="B581" s="100"/>
      <c r="C581" s="78" t="s">
        <v>148</v>
      </c>
      <c r="D581" s="72">
        <v>2</v>
      </c>
      <c r="E581" s="73">
        <v>2.3736055067599999E-4</v>
      </c>
    </row>
    <row r="582" spans="2:5" ht="15" customHeight="1">
      <c r="B582" s="100"/>
      <c r="C582" s="78" t="s">
        <v>149</v>
      </c>
      <c r="D582" s="72">
        <v>6</v>
      </c>
      <c r="E582" s="73">
        <v>7.1208165202899995E-4</v>
      </c>
    </row>
    <row r="583" spans="2:5" ht="15" customHeight="1">
      <c r="B583" s="100"/>
      <c r="C583" s="78" t="s">
        <v>150</v>
      </c>
      <c r="D583" s="72">
        <v>1</v>
      </c>
      <c r="E583" s="73">
        <v>1.1868027533799999E-4</v>
      </c>
    </row>
    <row r="584" spans="2:5" ht="15" customHeight="1">
      <c r="B584" s="100"/>
      <c r="C584" s="78" t="s">
        <v>151</v>
      </c>
      <c r="D584" s="72">
        <v>2</v>
      </c>
      <c r="E584" s="73">
        <v>2.3736055067599999E-4</v>
      </c>
    </row>
    <row r="585" spans="2:5" ht="15" customHeight="1">
      <c r="B585" s="100"/>
      <c r="C585" s="78" t="s">
        <v>153</v>
      </c>
      <c r="D585" s="72">
        <v>11</v>
      </c>
      <c r="E585" s="73">
        <v>1.305483028721E-3</v>
      </c>
    </row>
    <row r="586" spans="2:5" ht="15" customHeight="1">
      <c r="B586" s="100"/>
      <c r="C586" s="78" t="s">
        <v>155</v>
      </c>
      <c r="D586" s="72">
        <v>3</v>
      </c>
      <c r="E586" s="73">
        <v>3.5604082601500001E-4</v>
      </c>
    </row>
    <row r="587" spans="2:5" ht="15" customHeight="1">
      <c r="B587" s="100"/>
      <c r="C587" s="78" t="s">
        <v>156</v>
      </c>
      <c r="D587" s="72">
        <v>2</v>
      </c>
      <c r="E587" s="73">
        <v>2.3736055067599999E-4</v>
      </c>
    </row>
    <row r="588" spans="2:5" ht="15" customHeight="1">
      <c r="B588" s="100"/>
      <c r="C588" s="78" t="s">
        <v>160</v>
      </c>
      <c r="D588" s="72">
        <v>1</v>
      </c>
      <c r="E588" s="73">
        <v>1.1868027533799999E-4</v>
      </c>
    </row>
    <row r="589" spans="2:5" ht="15" customHeight="1">
      <c r="B589" s="100"/>
      <c r="C589" s="78" t="s">
        <v>161</v>
      </c>
      <c r="D589" s="72">
        <v>1</v>
      </c>
      <c r="E589" s="73">
        <v>1.1868027533799999E-4</v>
      </c>
    </row>
    <row r="590" spans="2:5" ht="15" customHeight="1">
      <c r="B590" s="101"/>
      <c r="C590" s="24" t="s">
        <v>12</v>
      </c>
      <c r="D590" s="23">
        <v>31</v>
      </c>
      <c r="E590" s="22">
        <v>3.6790885354850002E-3</v>
      </c>
    </row>
    <row r="591" spans="2:5" ht="15" customHeight="1">
      <c r="B591" s="99" t="s">
        <v>255</v>
      </c>
      <c r="C591" s="78" t="s">
        <v>142</v>
      </c>
      <c r="D591" s="72">
        <v>3</v>
      </c>
      <c r="E591" s="73">
        <v>3.5604082601500001E-4</v>
      </c>
    </row>
    <row r="592" spans="2:5" ht="15" customHeight="1">
      <c r="B592" s="100"/>
      <c r="C592" s="78" t="s">
        <v>143</v>
      </c>
      <c r="D592" s="72">
        <v>1</v>
      </c>
      <c r="E592" s="73">
        <v>1.1868027533799999E-4</v>
      </c>
    </row>
    <row r="593" spans="2:5" ht="15" customHeight="1">
      <c r="B593" s="100"/>
      <c r="C593" s="78" t="s">
        <v>144</v>
      </c>
      <c r="D593" s="72">
        <v>1</v>
      </c>
      <c r="E593" s="73">
        <v>1.1868027533799999E-4</v>
      </c>
    </row>
    <row r="594" spans="2:5" ht="15" customHeight="1">
      <c r="B594" s="100"/>
      <c r="C594" s="78" t="s">
        <v>146</v>
      </c>
      <c r="D594" s="72">
        <v>1</v>
      </c>
      <c r="E594" s="73">
        <v>1.1868027533799999E-4</v>
      </c>
    </row>
    <row r="595" spans="2:5" ht="15" customHeight="1">
      <c r="B595" s="100"/>
      <c r="C595" s="78" t="s">
        <v>147</v>
      </c>
      <c r="D595" s="72">
        <v>1</v>
      </c>
      <c r="E595" s="73">
        <v>1.1868027533799999E-4</v>
      </c>
    </row>
    <row r="596" spans="2:5" ht="15" customHeight="1">
      <c r="B596" s="100"/>
      <c r="C596" s="78" t="s">
        <v>148</v>
      </c>
      <c r="D596" s="72">
        <v>7</v>
      </c>
      <c r="E596" s="73">
        <v>8.3076192736799995E-4</v>
      </c>
    </row>
    <row r="597" spans="2:5" ht="15" customHeight="1">
      <c r="B597" s="100"/>
      <c r="C597" s="78" t="s">
        <v>149</v>
      </c>
      <c r="D597" s="72">
        <v>11</v>
      </c>
      <c r="E597" s="73">
        <v>1.305483028721E-3</v>
      </c>
    </row>
    <row r="598" spans="2:5" ht="15" customHeight="1">
      <c r="B598" s="100"/>
      <c r="C598" s="78" t="s">
        <v>150</v>
      </c>
      <c r="D598" s="72">
        <v>4</v>
      </c>
      <c r="E598" s="73">
        <v>4.7472110135299999E-4</v>
      </c>
    </row>
    <row r="599" spans="2:5" ht="15" customHeight="1">
      <c r="B599" s="100"/>
      <c r="C599" s="78" t="s">
        <v>151</v>
      </c>
      <c r="D599" s="72">
        <v>2</v>
      </c>
      <c r="E599" s="73">
        <v>2.3736055067599999E-4</v>
      </c>
    </row>
    <row r="600" spans="2:5" ht="15" customHeight="1">
      <c r="B600" s="100"/>
      <c r="C600" s="78" t="s">
        <v>152</v>
      </c>
      <c r="D600" s="72">
        <v>3</v>
      </c>
      <c r="E600" s="73">
        <v>3.5604082601500001E-4</v>
      </c>
    </row>
    <row r="601" spans="2:5" ht="15" customHeight="1">
      <c r="B601" s="100"/>
      <c r="C601" s="78" t="s">
        <v>153</v>
      </c>
      <c r="D601" s="72">
        <v>31</v>
      </c>
      <c r="E601" s="73">
        <v>3.6790885354850002E-3</v>
      </c>
    </row>
    <row r="602" spans="2:5" ht="15" customHeight="1">
      <c r="B602" s="100"/>
      <c r="C602" s="78" t="s">
        <v>154</v>
      </c>
      <c r="D602" s="72">
        <v>2</v>
      </c>
      <c r="E602" s="73">
        <v>2.3736055067599999E-4</v>
      </c>
    </row>
    <row r="603" spans="2:5" ht="15" customHeight="1">
      <c r="B603" s="100"/>
      <c r="C603" s="78" t="s">
        <v>155</v>
      </c>
      <c r="D603" s="72">
        <v>10</v>
      </c>
      <c r="E603" s="73">
        <v>1.1868027533820001E-3</v>
      </c>
    </row>
    <row r="604" spans="2:5" ht="15" customHeight="1">
      <c r="B604" s="100"/>
      <c r="C604" s="78" t="s">
        <v>156</v>
      </c>
      <c r="D604" s="72">
        <v>9</v>
      </c>
      <c r="E604" s="73">
        <v>1.0681224780439999E-3</v>
      </c>
    </row>
    <row r="605" spans="2:5" ht="15" customHeight="1">
      <c r="B605" s="100"/>
      <c r="C605" s="78" t="s">
        <v>161</v>
      </c>
      <c r="D605" s="72">
        <v>1</v>
      </c>
      <c r="E605" s="73">
        <v>1.1868027533799999E-4</v>
      </c>
    </row>
    <row r="606" spans="2:5" ht="15" customHeight="1">
      <c r="B606" s="100"/>
      <c r="C606" s="78" t="s">
        <v>162</v>
      </c>
      <c r="D606" s="72">
        <v>5</v>
      </c>
      <c r="E606" s="73">
        <v>5.9340137669100003E-4</v>
      </c>
    </row>
    <row r="607" spans="2:5" ht="15" customHeight="1">
      <c r="B607" s="101"/>
      <c r="C607" s="24" t="s">
        <v>12</v>
      </c>
      <c r="D607" s="23">
        <v>92</v>
      </c>
      <c r="E607" s="22">
        <v>1.0918585331118001E-2</v>
      </c>
    </row>
    <row r="608" spans="2:5" ht="15" customHeight="1">
      <c r="B608" s="99" t="s">
        <v>256</v>
      </c>
      <c r="C608" s="78" t="s">
        <v>142</v>
      </c>
      <c r="D608" s="72">
        <v>2</v>
      </c>
      <c r="E608" s="73">
        <v>2.3736055067599999E-4</v>
      </c>
    </row>
    <row r="609" spans="2:5" ht="15" customHeight="1">
      <c r="B609" s="100"/>
      <c r="C609" s="78" t="s">
        <v>143</v>
      </c>
      <c r="D609" s="72">
        <v>2</v>
      </c>
      <c r="E609" s="73">
        <v>2.3736055067599999E-4</v>
      </c>
    </row>
    <row r="610" spans="2:5" ht="15" customHeight="1">
      <c r="B610" s="100"/>
      <c r="C610" s="78" t="s">
        <v>146</v>
      </c>
      <c r="D610" s="72">
        <v>2</v>
      </c>
      <c r="E610" s="73">
        <v>2.3736055067599999E-4</v>
      </c>
    </row>
    <row r="611" spans="2:5" ht="15" customHeight="1">
      <c r="B611" s="100"/>
      <c r="C611" s="78" t="s">
        <v>147</v>
      </c>
      <c r="D611" s="72">
        <v>3</v>
      </c>
      <c r="E611" s="73">
        <v>3.5604082601500001E-4</v>
      </c>
    </row>
    <row r="612" spans="2:5" ht="15" customHeight="1">
      <c r="B612" s="100"/>
      <c r="C612" s="78" t="s">
        <v>148</v>
      </c>
      <c r="D612" s="72">
        <v>7</v>
      </c>
      <c r="E612" s="73">
        <v>8.3076192736799995E-4</v>
      </c>
    </row>
    <row r="613" spans="2:5" ht="15" customHeight="1">
      <c r="B613" s="100"/>
      <c r="C613" s="78" t="s">
        <v>149</v>
      </c>
      <c r="D613" s="72">
        <v>21</v>
      </c>
      <c r="E613" s="73">
        <v>2.4922857821029999E-3</v>
      </c>
    </row>
    <row r="614" spans="2:5" ht="15" customHeight="1">
      <c r="B614" s="100"/>
      <c r="C614" s="78" t="s">
        <v>150</v>
      </c>
      <c r="D614" s="72">
        <v>2</v>
      </c>
      <c r="E614" s="73">
        <v>2.3736055067599999E-4</v>
      </c>
    </row>
    <row r="615" spans="2:5" ht="15" customHeight="1">
      <c r="B615" s="100"/>
      <c r="C615" s="78" t="s">
        <v>151</v>
      </c>
      <c r="D615" s="72">
        <v>2</v>
      </c>
      <c r="E615" s="73">
        <v>2.3736055067599999E-4</v>
      </c>
    </row>
    <row r="616" spans="2:5" ht="15" customHeight="1">
      <c r="B616" s="100"/>
      <c r="C616" s="78" t="s">
        <v>152</v>
      </c>
      <c r="D616" s="72">
        <v>1</v>
      </c>
      <c r="E616" s="73">
        <v>1.1868027533799999E-4</v>
      </c>
    </row>
    <row r="617" spans="2:5" ht="15" customHeight="1">
      <c r="B617" s="100"/>
      <c r="C617" s="78" t="s">
        <v>153</v>
      </c>
      <c r="D617" s="72">
        <v>49</v>
      </c>
      <c r="E617" s="73">
        <v>5.815333491574E-3</v>
      </c>
    </row>
    <row r="618" spans="2:5" ht="15" customHeight="1">
      <c r="B618" s="100"/>
      <c r="C618" s="78" t="s">
        <v>154</v>
      </c>
      <c r="D618" s="72">
        <v>2</v>
      </c>
      <c r="E618" s="73">
        <v>2.3736055067599999E-4</v>
      </c>
    </row>
    <row r="619" spans="2:5" ht="15" customHeight="1">
      <c r="B619" s="100"/>
      <c r="C619" s="78" t="s">
        <v>155</v>
      </c>
      <c r="D619" s="72">
        <v>4</v>
      </c>
      <c r="E619" s="73">
        <v>4.7472110135299999E-4</v>
      </c>
    </row>
    <row r="620" spans="2:5" ht="15" customHeight="1">
      <c r="B620" s="100"/>
      <c r="C620" s="78" t="s">
        <v>156</v>
      </c>
      <c r="D620" s="72">
        <v>26</v>
      </c>
      <c r="E620" s="73">
        <v>3.0856871587939998E-3</v>
      </c>
    </row>
    <row r="621" spans="2:5" ht="15" customHeight="1">
      <c r="B621" s="100"/>
      <c r="C621" s="78" t="s">
        <v>159</v>
      </c>
      <c r="D621" s="72">
        <v>1</v>
      </c>
      <c r="E621" s="73">
        <v>1.1868027533799999E-4</v>
      </c>
    </row>
    <row r="622" spans="2:5" ht="15" customHeight="1">
      <c r="B622" s="100"/>
      <c r="C622" s="78" t="s">
        <v>161</v>
      </c>
      <c r="D622" s="72">
        <v>1</v>
      </c>
      <c r="E622" s="73">
        <v>1.1868027533799999E-4</v>
      </c>
    </row>
    <row r="623" spans="2:5" ht="15" customHeight="1">
      <c r="B623" s="100"/>
      <c r="C623" s="78" t="s">
        <v>162</v>
      </c>
      <c r="D623" s="72">
        <v>3</v>
      </c>
      <c r="E623" s="73">
        <v>3.5604082601500001E-4</v>
      </c>
    </row>
    <row r="624" spans="2:5" ht="15" customHeight="1">
      <c r="B624" s="100"/>
      <c r="C624" s="78" t="s">
        <v>165</v>
      </c>
      <c r="D624" s="72">
        <v>1</v>
      </c>
      <c r="E624" s="73">
        <v>1.1868027533799999E-4</v>
      </c>
    </row>
    <row r="625" spans="2:5" ht="15" customHeight="1">
      <c r="B625" s="101"/>
      <c r="C625" s="24" t="s">
        <v>12</v>
      </c>
      <c r="D625" s="23">
        <v>129</v>
      </c>
      <c r="E625" s="22">
        <v>1.5309755518633001E-2</v>
      </c>
    </row>
    <row r="626" spans="2:5" ht="15" customHeight="1">
      <c r="B626" s="99" t="s">
        <v>257</v>
      </c>
      <c r="C626" s="78" t="s">
        <v>142</v>
      </c>
      <c r="D626" s="72">
        <v>1</v>
      </c>
      <c r="E626" s="73">
        <v>1.1868027533799999E-4</v>
      </c>
    </row>
    <row r="627" spans="2:5" ht="15" customHeight="1">
      <c r="B627" s="100"/>
      <c r="C627" s="78" t="s">
        <v>144</v>
      </c>
      <c r="D627" s="72">
        <v>1</v>
      </c>
      <c r="E627" s="73">
        <v>1.1868027533799999E-4</v>
      </c>
    </row>
    <row r="628" spans="2:5" ht="15" customHeight="1">
      <c r="B628" s="100"/>
      <c r="C628" s="78" t="s">
        <v>148</v>
      </c>
      <c r="D628" s="72">
        <v>2</v>
      </c>
      <c r="E628" s="73">
        <v>2.3736055067599999E-4</v>
      </c>
    </row>
    <row r="629" spans="2:5" ht="15" customHeight="1">
      <c r="B629" s="100"/>
      <c r="C629" s="78" t="s">
        <v>149</v>
      </c>
      <c r="D629" s="72">
        <v>5</v>
      </c>
      <c r="E629" s="73">
        <v>5.9340137669100003E-4</v>
      </c>
    </row>
    <row r="630" spans="2:5" ht="15" customHeight="1">
      <c r="B630" s="100"/>
      <c r="C630" s="78" t="s">
        <v>152</v>
      </c>
      <c r="D630" s="72">
        <v>4</v>
      </c>
      <c r="E630" s="73">
        <v>4.7472110135299999E-4</v>
      </c>
    </row>
    <row r="631" spans="2:5" ht="15" customHeight="1">
      <c r="B631" s="100"/>
      <c r="C631" s="78" t="s">
        <v>153</v>
      </c>
      <c r="D631" s="72">
        <v>30</v>
      </c>
      <c r="E631" s="73">
        <v>3.560408260147E-3</v>
      </c>
    </row>
    <row r="632" spans="2:5" ht="15" customHeight="1">
      <c r="B632" s="100"/>
      <c r="C632" s="78" t="s">
        <v>155</v>
      </c>
      <c r="D632" s="72">
        <v>2</v>
      </c>
      <c r="E632" s="73">
        <v>2.3736055067599999E-4</v>
      </c>
    </row>
    <row r="633" spans="2:5" ht="15" customHeight="1">
      <c r="B633" s="100"/>
      <c r="C633" s="78" t="s">
        <v>156</v>
      </c>
      <c r="D633" s="72">
        <v>14</v>
      </c>
      <c r="E633" s="73">
        <v>1.661523854735E-3</v>
      </c>
    </row>
    <row r="634" spans="2:5" ht="15" customHeight="1">
      <c r="B634" s="100"/>
      <c r="C634" s="78" t="s">
        <v>161</v>
      </c>
      <c r="D634" s="72">
        <v>1</v>
      </c>
      <c r="E634" s="73">
        <v>1.1868027533799999E-4</v>
      </c>
    </row>
    <row r="635" spans="2:5" ht="15" customHeight="1">
      <c r="B635" s="100"/>
      <c r="C635" s="78" t="s">
        <v>162</v>
      </c>
      <c r="D635" s="72">
        <v>2</v>
      </c>
      <c r="E635" s="73">
        <v>2.3736055067599999E-4</v>
      </c>
    </row>
    <row r="636" spans="2:5" ht="15" customHeight="1">
      <c r="B636" s="100"/>
      <c r="C636" s="78" t="s">
        <v>164</v>
      </c>
      <c r="D636" s="72">
        <v>1</v>
      </c>
      <c r="E636" s="73">
        <v>1.1868027533799999E-4</v>
      </c>
    </row>
    <row r="637" spans="2:5" ht="15" customHeight="1">
      <c r="B637" s="101"/>
      <c r="C637" s="24" t="s">
        <v>12</v>
      </c>
      <c r="D637" s="23">
        <v>63</v>
      </c>
      <c r="E637" s="22">
        <v>7.4768573463089997E-3</v>
      </c>
    </row>
    <row r="638" spans="2:5" ht="15" customHeight="1">
      <c r="B638" s="99" t="s">
        <v>258</v>
      </c>
      <c r="C638" s="78" t="s">
        <v>142</v>
      </c>
      <c r="D638" s="72">
        <v>1</v>
      </c>
      <c r="E638" s="73">
        <v>1.1868027533799999E-4</v>
      </c>
    </row>
    <row r="639" spans="2:5" ht="15" customHeight="1">
      <c r="B639" s="100"/>
      <c r="C639" s="78" t="s">
        <v>153</v>
      </c>
      <c r="D639" s="72">
        <v>1</v>
      </c>
      <c r="E639" s="73">
        <v>1.1868027533799999E-4</v>
      </c>
    </row>
    <row r="640" spans="2:5" ht="15" customHeight="1">
      <c r="B640" s="100"/>
      <c r="C640" s="78" t="s">
        <v>155</v>
      </c>
      <c r="D640" s="72">
        <v>2</v>
      </c>
      <c r="E640" s="73">
        <v>2.3736055067599999E-4</v>
      </c>
    </row>
    <row r="641" spans="2:5" ht="15" customHeight="1">
      <c r="B641" s="100"/>
      <c r="C641" s="78" t="s">
        <v>162</v>
      </c>
      <c r="D641" s="72">
        <v>1</v>
      </c>
      <c r="E641" s="73">
        <v>1.1868027533799999E-4</v>
      </c>
    </row>
    <row r="642" spans="2:5" ht="15" customHeight="1">
      <c r="B642" s="101"/>
      <c r="C642" s="24" t="s">
        <v>12</v>
      </c>
      <c r="D642" s="23">
        <v>5</v>
      </c>
      <c r="E642" s="22">
        <v>5.9340137669100003E-4</v>
      </c>
    </row>
    <row r="643" spans="2:5" ht="15" customHeight="1">
      <c r="B643" s="99" t="s">
        <v>121</v>
      </c>
      <c r="C643" s="78" t="s">
        <v>142</v>
      </c>
      <c r="D643" s="72">
        <v>1</v>
      </c>
      <c r="E643" s="73">
        <v>1.1868027533799999E-4</v>
      </c>
    </row>
    <row r="644" spans="2:5" ht="15" customHeight="1">
      <c r="B644" s="100"/>
      <c r="C644" s="78" t="s">
        <v>147</v>
      </c>
      <c r="D644" s="72">
        <v>1</v>
      </c>
      <c r="E644" s="73">
        <v>1.1868027533799999E-4</v>
      </c>
    </row>
    <row r="645" spans="2:5" ht="15" customHeight="1">
      <c r="B645" s="100"/>
      <c r="C645" s="78" t="s">
        <v>148</v>
      </c>
      <c r="D645" s="72">
        <v>2</v>
      </c>
      <c r="E645" s="73">
        <v>2.3736055067599999E-4</v>
      </c>
    </row>
    <row r="646" spans="2:5" ht="15" customHeight="1">
      <c r="B646" s="100"/>
      <c r="C646" s="78" t="s">
        <v>149</v>
      </c>
      <c r="D646" s="72">
        <v>2</v>
      </c>
      <c r="E646" s="73">
        <v>2.3736055067599999E-4</v>
      </c>
    </row>
    <row r="647" spans="2:5" ht="15" customHeight="1">
      <c r="B647" s="100"/>
      <c r="C647" s="78" t="s">
        <v>151</v>
      </c>
      <c r="D647" s="72">
        <v>1</v>
      </c>
      <c r="E647" s="73">
        <v>1.1868027533799999E-4</v>
      </c>
    </row>
    <row r="648" spans="2:5" ht="15" customHeight="1">
      <c r="B648" s="100"/>
      <c r="C648" s="78" t="s">
        <v>152</v>
      </c>
      <c r="D648" s="72">
        <v>2</v>
      </c>
      <c r="E648" s="73">
        <v>2.3736055067599999E-4</v>
      </c>
    </row>
    <row r="649" spans="2:5" ht="15" customHeight="1">
      <c r="B649" s="100"/>
      <c r="C649" s="78" t="s">
        <v>153</v>
      </c>
      <c r="D649" s="72">
        <v>13</v>
      </c>
      <c r="E649" s="73">
        <v>1.5428435793969999E-3</v>
      </c>
    </row>
    <row r="650" spans="2:5" ht="15" customHeight="1">
      <c r="B650" s="100"/>
      <c r="C650" s="78" t="s">
        <v>155</v>
      </c>
      <c r="D650" s="72">
        <v>1</v>
      </c>
      <c r="E650" s="73">
        <v>1.1868027533799999E-4</v>
      </c>
    </row>
    <row r="651" spans="2:5" ht="15" customHeight="1">
      <c r="B651" s="100"/>
      <c r="C651" s="78" t="s">
        <v>156</v>
      </c>
      <c r="D651" s="72">
        <v>3</v>
      </c>
      <c r="E651" s="73">
        <v>3.5604082601500001E-4</v>
      </c>
    </row>
    <row r="652" spans="2:5" ht="15" customHeight="1">
      <c r="B652" s="100"/>
      <c r="C652" s="78" t="s">
        <v>162</v>
      </c>
      <c r="D652" s="72">
        <v>1</v>
      </c>
      <c r="E652" s="73">
        <v>1.1868027533799999E-4</v>
      </c>
    </row>
    <row r="653" spans="2:5" ht="15" customHeight="1">
      <c r="B653" s="101"/>
      <c r="C653" s="24" t="s">
        <v>12</v>
      </c>
      <c r="D653" s="23">
        <v>27</v>
      </c>
      <c r="E653" s="22">
        <v>3.2043674341319999E-3</v>
      </c>
    </row>
    <row r="654" spans="2:5" ht="15" customHeight="1">
      <c r="B654" s="99" t="s">
        <v>259</v>
      </c>
      <c r="C654" s="27" t="s">
        <v>158</v>
      </c>
      <c r="D654" s="26">
        <v>1</v>
      </c>
      <c r="E654" s="25">
        <v>1.1868027533799999E-4</v>
      </c>
    </row>
    <row r="655" spans="2:5" ht="15" customHeight="1">
      <c r="B655" s="101"/>
      <c r="C655" s="24" t="s">
        <v>12</v>
      </c>
      <c r="D655" s="23">
        <v>1</v>
      </c>
      <c r="E655" s="22">
        <v>1.1868027533799999E-4</v>
      </c>
    </row>
    <row r="656" spans="2:5" ht="15" customHeight="1">
      <c r="B656" s="108" t="s">
        <v>12</v>
      </c>
      <c r="C656" s="109"/>
      <c r="D656" s="66">
        <v>8426</v>
      </c>
      <c r="E656" s="67">
        <v>1</v>
      </c>
    </row>
    <row r="658" spans="2:2" ht="15" customHeight="1">
      <c r="B658" s="17" t="s">
        <v>44</v>
      </c>
    </row>
    <row r="659" spans="2:2" ht="15" customHeight="1">
      <c r="B659" s="18" t="s">
        <v>3</v>
      </c>
    </row>
    <row r="660" spans="2:2" ht="15" customHeight="1">
      <c r="B660" s="19" t="s">
        <v>45</v>
      </c>
    </row>
    <row r="661" spans="2:2" ht="15" customHeight="1">
      <c r="B661" s="17" t="s">
        <v>4</v>
      </c>
    </row>
    <row r="662" spans="2:2" ht="15" customHeight="1">
      <c r="B662" s="17" t="s">
        <v>46</v>
      </c>
    </row>
  </sheetData>
  <mergeCells count="50">
    <mergeCell ref="B654:B655"/>
    <mergeCell ref="B656:C656"/>
    <mergeCell ref="B591:B607"/>
    <mergeCell ref="B608:B625"/>
    <mergeCell ref="B626:B637"/>
    <mergeCell ref="B638:B642"/>
    <mergeCell ref="B643:B653"/>
    <mergeCell ref="B306:B327"/>
    <mergeCell ref="B328:B341"/>
    <mergeCell ref="B342:B355"/>
    <mergeCell ref="B356:B368"/>
    <mergeCell ref="B369:B380"/>
    <mergeCell ref="B226:B240"/>
    <mergeCell ref="B241:B260"/>
    <mergeCell ref="B261:B266"/>
    <mergeCell ref="B267:B284"/>
    <mergeCell ref="B285:B305"/>
    <mergeCell ref="B155:B169"/>
    <mergeCell ref="B170:B183"/>
    <mergeCell ref="B184:B189"/>
    <mergeCell ref="B190:B206"/>
    <mergeCell ref="B207:B225"/>
    <mergeCell ref="B579:B590"/>
    <mergeCell ref="B439:B452"/>
    <mergeCell ref="B453:B467"/>
    <mergeCell ref="B468:B474"/>
    <mergeCell ref="B475:B481"/>
    <mergeCell ref="B482:B498"/>
    <mergeCell ref="B499:B514"/>
    <mergeCell ref="B515:B526"/>
    <mergeCell ref="B527:B536"/>
    <mergeCell ref="B537:B550"/>
    <mergeCell ref="B551:B569"/>
    <mergeCell ref="B570:B578"/>
    <mergeCell ref="B381:B386"/>
    <mergeCell ref="B387:B409"/>
    <mergeCell ref="B410:B423"/>
    <mergeCell ref="B424:B438"/>
    <mergeCell ref="B7:E8"/>
    <mergeCell ref="B10:B26"/>
    <mergeCell ref="B27:B41"/>
    <mergeCell ref="B42:B62"/>
    <mergeCell ref="B63:B72"/>
    <mergeCell ref="B73:B78"/>
    <mergeCell ref="B79:B85"/>
    <mergeCell ref="B86:B89"/>
    <mergeCell ref="B90:B111"/>
    <mergeCell ref="B112:B131"/>
    <mergeCell ref="B132:B134"/>
    <mergeCell ref="B135:B15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78" orientation="portrait" r:id="rId1"/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0">
    <tabColor theme="9" tint="0.39997558519241921"/>
  </sheetPr>
  <dimension ref="A1:D20"/>
  <sheetViews>
    <sheetView showGridLines="0" view="pageBreakPreview" zoomScale="115" zoomScaleNormal="100" zoomScaleSheetLayoutView="115" workbookViewId="0">
      <selection activeCell="B14" sqref="B12:D14"/>
    </sheetView>
  </sheetViews>
  <sheetFormatPr baseColWidth="10" defaultColWidth="11.453125" defaultRowHeight="14.5"/>
  <cols>
    <col min="1" max="1" width="9.26953125" style="8" customWidth="1"/>
    <col min="2" max="2" width="21.7265625" style="8" customWidth="1"/>
    <col min="3" max="3" width="17.7265625" style="16" customWidth="1"/>
    <col min="4" max="4" width="17.7265625" style="8" customWidth="1"/>
    <col min="5" max="5" width="9.26953125" style="8" customWidth="1"/>
    <col min="6" max="6" width="5.7265625" style="8" customWidth="1"/>
    <col min="7" max="16384" width="11.453125" style="8"/>
  </cols>
  <sheetData>
    <row r="1" spans="1:4" s="1" customFormat="1" ht="15" customHeight="1">
      <c r="C1" s="2"/>
    </row>
    <row r="2" spans="1:4" s="1" customFormat="1" ht="15" customHeight="1">
      <c r="C2" s="2"/>
    </row>
    <row r="3" spans="1:4" s="1" customFormat="1" ht="15" customHeight="1">
      <c r="C3" s="2"/>
    </row>
    <row r="4" spans="1:4" s="1" customFormat="1" ht="30" customHeight="1">
      <c r="C4" s="2"/>
      <c r="D4" s="3"/>
    </row>
    <row r="5" spans="1:4" s="1" customFormat="1" ht="15" customHeight="1">
      <c r="C5" s="2"/>
      <c r="D5" s="3"/>
    </row>
    <row r="6" spans="1:4" s="1" customFormat="1" ht="15" customHeight="1">
      <c r="C6" s="2"/>
      <c r="D6" s="3"/>
    </row>
    <row r="7" spans="1:4" s="1" customFormat="1" ht="15" customHeight="1">
      <c r="B7" s="98" t="s">
        <v>36</v>
      </c>
      <c r="C7" s="98"/>
      <c r="D7" s="98"/>
    </row>
    <row r="8" spans="1:4" s="1" customFormat="1" ht="15" customHeight="1">
      <c r="B8" s="98"/>
      <c r="C8" s="98"/>
      <c r="D8" s="98"/>
    </row>
    <row r="9" spans="1:4" s="1" customFormat="1" ht="33" customHeight="1">
      <c r="B9" s="98"/>
      <c r="C9" s="98"/>
      <c r="D9" s="98"/>
    </row>
    <row r="10" spans="1:4" s="1" customFormat="1" ht="4.5" customHeight="1">
      <c r="B10" s="4"/>
      <c r="C10" s="4"/>
      <c r="D10" s="4"/>
    </row>
    <row r="11" spans="1:4" s="1" customFormat="1" ht="33" customHeight="1">
      <c r="B11" s="5" t="s">
        <v>13</v>
      </c>
      <c r="C11" s="6" t="s">
        <v>1</v>
      </c>
      <c r="D11" s="7" t="s">
        <v>2</v>
      </c>
    </row>
    <row r="12" spans="1:4" ht="15" customHeight="1">
      <c r="B12" s="9" t="s">
        <v>47</v>
      </c>
      <c r="C12" s="10">
        <v>2583</v>
      </c>
      <c r="D12" s="11">
        <v>0.30655115119867099</v>
      </c>
    </row>
    <row r="13" spans="1:4" ht="15" customHeight="1">
      <c r="B13" s="9" t="s">
        <v>48</v>
      </c>
      <c r="C13" s="10">
        <v>5843</v>
      </c>
      <c r="D13" s="11">
        <v>0.69344884880132895</v>
      </c>
    </row>
    <row r="14" spans="1:4">
      <c r="B14" s="13" t="s">
        <v>12</v>
      </c>
      <c r="C14" s="14">
        <v>8426</v>
      </c>
      <c r="D14" s="15">
        <v>1</v>
      </c>
    </row>
    <row r="15" spans="1:4" s="12" customFormat="1">
      <c r="A15" s="8"/>
      <c r="C15" s="40"/>
      <c r="D15" s="40"/>
    </row>
    <row r="16" spans="1:4" s="12" customFormat="1">
      <c r="A16" s="8"/>
      <c r="B16" s="17" t="s">
        <v>44</v>
      </c>
      <c r="C16" s="40"/>
      <c r="D16" s="40"/>
    </row>
    <row r="17" spans="2:4">
      <c r="B17" s="18" t="s">
        <v>3</v>
      </c>
      <c r="C17" s="39"/>
      <c r="D17" s="39"/>
    </row>
    <row r="18" spans="2:4">
      <c r="B18" s="19" t="s">
        <v>45</v>
      </c>
      <c r="C18" s="38"/>
      <c r="D18" s="38"/>
    </row>
    <row r="19" spans="2:4">
      <c r="B19" s="17" t="s">
        <v>4</v>
      </c>
    </row>
    <row r="20" spans="2:4">
      <c r="B20" s="17" t="s">
        <v>46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1">
    <tabColor rgb="FF00B050"/>
  </sheetPr>
  <dimension ref="A1:F162"/>
  <sheetViews>
    <sheetView showGridLines="0" view="pageBreakPreview" zoomScaleNormal="100" zoomScaleSheetLayoutView="100" workbookViewId="0">
      <selection activeCell="B156" sqref="B156:C156"/>
    </sheetView>
  </sheetViews>
  <sheetFormatPr baseColWidth="10" defaultColWidth="11.453125" defaultRowHeight="10"/>
  <cols>
    <col min="1" max="1" width="5.7265625" style="1" customWidth="1"/>
    <col min="2" max="2" width="23" style="31" customWidth="1"/>
    <col min="3" max="3" width="20.26953125" style="31" customWidth="1"/>
    <col min="4" max="4" width="15.54296875" style="35" customWidth="1"/>
    <col min="5" max="5" width="15.1796875" style="31" bestFit="1" customWidth="1"/>
    <col min="6" max="6" width="5.7265625" style="1" customWidth="1"/>
    <col min="7" max="16384" width="11.453125" style="1"/>
  </cols>
  <sheetData>
    <row r="1" spans="2:6" s="8" customFormat="1" ht="14.5">
      <c r="B1" s="31"/>
      <c r="C1" s="31"/>
    </row>
    <row r="2" spans="2:6" s="31" customFormat="1">
      <c r="B2" s="42"/>
    </row>
    <row r="3" spans="2:6" ht="15" customHeight="1">
      <c r="B3" s="43"/>
      <c r="C3" s="2"/>
      <c r="D3" s="1"/>
      <c r="F3" s="31"/>
    </row>
    <row r="4" spans="2:6" ht="30" customHeight="1">
      <c r="B4" s="43"/>
      <c r="C4" s="2"/>
      <c r="D4" s="1"/>
      <c r="F4" s="31"/>
    </row>
    <row r="5" spans="2:6" ht="15" customHeight="1">
      <c r="B5" s="43"/>
      <c r="C5" s="2"/>
      <c r="D5" s="1"/>
      <c r="F5" s="31"/>
    </row>
    <row r="6" spans="2:6" s="31" customFormat="1" ht="10.5">
      <c r="B6" s="34"/>
      <c r="C6" s="33"/>
    </row>
    <row r="7" spans="2:6" s="31" customFormat="1">
      <c r="B7" s="42"/>
    </row>
    <row r="8" spans="2:6" s="8" customFormat="1" ht="15" customHeight="1">
      <c r="B8" s="98" t="s">
        <v>39</v>
      </c>
      <c r="C8" s="98"/>
      <c r="D8" s="98"/>
      <c r="E8" s="98"/>
    </row>
    <row r="9" spans="2:6" s="8" customFormat="1" ht="15" customHeight="1">
      <c r="B9" s="98"/>
      <c r="C9" s="98"/>
      <c r="D9" s="98"/>
      <c r="E9" s="98"/>
      <c r="F9" s="41"/>
    </row>
    <row r="10" spans="2:6" s="8" customFormat="1" ht="15" customHeight="1">
      <c r="B10" s="98"/>
      <c r="C10" s="98"/>
      <c r="D10" s="98"/>
      <c r="E10" s="98"/>
      <c r="F10" s="41"/>
    </row>
    <row r="11" spans="2:6" s="8" customFormat="1" ht="15" customHeight="1">
      <c r="B11" s="98"/>
      <c r="C11" s="98"/>
      <c r="D11" s="98"/>
      <c r="E11" s="98"/>
    </row>
    <row r="12" spans="2:6" s="8" customFormat="1" ht="15" customHeight="1">
      <c r="B12" s="56"/>
      <c r="C12" s="56"/>
      <c r="D12" s="56"/>
      <c r="E12" s="56"/>
    </row>
    <row r="13" spans="2:6" s="8" customFormat="1" ht="37" customHeight="1">
      <c r="B13" s="58" t="s">
        <v>5</v>
      </c>
      <c r="C13" s="58" t="s">
        <v>13</v>
      </c>
      <c r="D13" s="58" t="s">
        <v>1</v>
      </c>
      <c r="E13" s="58" t="s">
        <v>2</v>
      </c>
    </row>
    <row r="14" spans="2:6" ht="15" customHeight="1">
      <c r="B14" s="110" t="s">
        <v>213</v>
      </c>
      <c r="C14" s="59" t="s">
        <v>47</v>
      </c>
      <c r="D14" s="60">
        <v>32</v>
      </c>
      <c r="E14" s="61">
        <v>3.7977688108239999E-3</v>
      </c>
    </row>
    <row r="15" spans="2:6" ht="15" customHeight="1">
      <c r="B15" s="110"/>
      <c r="C15" s="59" t="s">
        <v>48</v>
      </c>
      <c r="D15" s="60">
        <v>79</v>
      </c>
      <c r="E15" s="61">
        <v>9.3757417517209996E-3</v>
      </c>
    </row>
    <row r="16" spans="2:6" ht="15" customHeight="1">
      <c r="B16" s="110"/>
      <c r="C16" s="88" t="s">
        <v>12</v>
      </c>
      <c r="D16" s="64">
        <v>111</v>
      </c>
      <c r="E16" s="65">
        <v>1.3173510562545E-2</v>
      </c>
    </row>
    <row r="17" spans="1:5" ht="15" customHeight="1">
      <c r="B17" s="110" t="s">
        <v>214</v>
      </c>
      <c r="C17" s="59" t="s">
        <v>47</v>
      </c>
      <c r="D17" s="60">
        <v>56</v>
      </c>
      <c r="E17" s="61">
        <v>6.6460954189410002E-3</v>
      </c>
    </row>
    <row r="18" spans="1:5" ht="15" customHeight="1">
      <c r="B18" s="110"/>
      <c r="C18" s="59" t="s">
        <v>48</v>
      </c>
      <c r="D18" s="60">
        <v>153</v>
      </c>
      <c r="E18" s="61">
        <v>1.8158082126751001E-2</v>
      </c>
    </row>
    <row r="19" spans="1:5" s="31" customFormat="1" ht="15" customHeight="1">
      <c r="A19" s="1"/>
      <c r="B19" s="110"/>
      <c r="C19" s="88" t="s">
        <v>12</v>
      </c>
      <c r="D19" s="64">
        <v>209</v>
      </c>
      <c r="E19" s="65">
        <v>2.4804177545691999E-2</v>
      </c>
    </row>
    <row r="20" spans="1:5" s="31" customFormat="1" ht="15" customHeight="1">
      <c r="A20" s="1"/>
      <c r="B20" s="110" t="s">
        <v>215</v>
      </c>
      <c r="C20" s="59" t="s">
        <v>47</v>
      </c>
      <c r="D20" s="60">
        <v>49</v>
      </c>
      <c r="E20" s="61">
        <v>5.815333491574E-3</v>
      </c>
    </row>
    <row r="21" spans="1:5" s="31" customFormat="1" ht="15" customHeight="1">
      <c r="A21" s="1"/>
      <c r="B21" s="110"/>
      <c r="C21" s="59" t="s">
        <v>48</v>
      </c>
      <c r="D21" s="60">
        <v>97</v>
      </c>
      <c r="E21" s="61">
        <v>1.1511986707809001E-2</v>
      </c>
    </row>
    <row r="22" spans="1:5" s="31" customFormat="1" ht="15" customHeight="1">
      <c r="A22" s="1"/>
      <c r="B22" s="110"/>
      <c r="C22" s="88" t="s">
        <v>12</v>
      </c>
      <c r="D22" s="64">
        <v>146</v>
      </c>
      <c r="E22" s="65">
        <v>1.7327320199383E-2</v>
      </c>
    </row>
    <row r="23" spans="1:5" s="31" customFormat="1" ht="15" customHeight="1">
      <c r="A23" s="1"/>
      <c r="B23" s="110" t="s">
        <v>216</v>
      </c>
      <c r="C23" s="59" t="s">
        <v>47</v>
      </c>
      <c r="D23" s="60">
        <v>20</v>
      </c>
      <c r="E23" s="61">
        <v>2.3736055067650002E-3</v>
      </c>
    </row>
    <row r="24" spans="1:5" ht="15" customHeight="1">
      <c r="B24" s="110"/>
      <c r="C24" s="59" t="s">
        <v>48</v>
      </c>
      <c r="D24" s="60">
        <v>30</v>
      </c>
      <c r="E24" s="61">
        <v>3.560408260147E-3</v>
      </c>
    </row>
    <row r="25" spans="1:5" ht="15" customHeight="1">
      <c r="B25" s="110"/>
      <c r="C25" s="88" t="s">
        <v>12</v>
      </c>
      <c r="D25" s="64">
        <v>50</v>
      </c>
      <c r="E25" s="65">
        <v>5.9340137669120002E-3</v>
      </c>
    </row>
    <row r="26" spans="1:5" ht="15" customHeight="1">
      <c r="B26" s="110" t="s">
        <v>217</v>
      </c>
      <c r="C26" s="59" t="s">
        <v>48</v>
      </c>
      <c r="D26" s="60">
        <v>8</v>
      </c>
      <c r="E26" s="61">
        <v>9.4944220270599998E-4</v>
      </c>
    </row>
    <row r="27" spans="1:5" ht="15" customHeight="1">
      <c r="B27" s="110"/>
      <c r="C27" s="88" t="s">
        <v>12</v>
      </c>
      <c r="D27" s="64">
        <v>8</v>
      </c>
      <c r="E27" s="65">
        <v>9.4944220270599998E-4</v>
      </c>
    </row>
    <row r="28" spans="1:5" ht="15" customHeight="1">
      <c r="B28" s="110" t="s">
        <v>218</v>
      </c>
      <c r="C28" s="59" t="s">
        <v>47</v>
      </c>
      <c r="D28" s="60">
        <v>6</v>
      </c>
      <c r="E28" s="61">
        <v>7.1208165202899995E-4</v>
      </c>
    </row>
    <row r="29" spans="1:5" ht="15" customHeight="1">
      <c r="B29" s="110"/>
      <c r="C29" s="59" t="s">
        <v>48</v>
      </c>
      <c r="D29" s="60">
        <v>3</v>
      </c>
      <c r="E29" s="61">
        <v>3.5604082601500001E-4</v>
      </c>
    </row>
    <row r="30" spans="1:5" ht="15" customHeight="1">
      <c r="B30" s="110"/>
      <c r="C30" s="88" t="s">
        <v>12</v>
      </c>
      <c r="D30" s="64">
        <v>9</v>
      </c>
      <c r="E30" s="65">
        <v>1.0681224780439999E-3</v>
      </c>
    </row>
    <row r="31" spans="1:5" ht="15" customHeight="1">
      <c r="B31" s="110" t="s">
        <v>219</v>
      </c>
      <c r="C31" s="59" t="s">
        <v>47</v>
      </c>
      <c r="D31" s="60">
        <v>1</v>
      </c>
      <c r="E31" s="61">
        <v>1.1868027533799999E-4</v>
      </c>
    </row>
    <row r="32" spans="1:5" ht="15" customHeight="1">
      <c r="B32" s="110"/>
      <c r="C32" s="59" t="s">
        <v>48</v>
      </c>
      <c r="D32" s="60">
        <v>2</v>
      </c>
      <c r="E32" s="61">
        <v>2.3736055067599999E-4</v>
      </c>
    </row>
    <row r="33" spans="2:5" ht="15" customHeight="1">
      <c r="B33" s="110"/>
      <c r="C33" s="88" t="s">
        <v>12</v>
      </c>
      <c r="D33" s="64">
        <v>3</v>
      </c>
      <c r="E33" s="65">
        <v>3.5604082601500001E-4</v>
      </c>
    </row>
    <row r="34" spans="2:5" ht="15" customHeight="1">
      <c r="B34" s="110" t="s">
        <v>220</v>
      </c>
      <c r="C34" s="59" t="s">
        <v>47</v>
      </c>
      <c r="D34" s="60">
        <v>450</v>
      </c>
      <c r="E34" s="61">
        <v>5.3406123902207003E-2</v>
      </c>
    </row>
    <row r="35" spans="2:5" ht="15" customHeight="1">
      <c r="B35" s="110"/>
      <c r="C35" s="59" t="s">
        <v>48</v>
      </c>
      <c r="D35" s="60">
        <v>928</v>
      </c>
      <c r="E35" s="61">
        <v>0.110135295513886</v>
      </c>
    </row>
    <row r="36" spans="2:5" ht="15" customHeight="1">
      <c r="B36" s="110"/>
      <c r="C36" s="88" t="s">
        <v>12</v>
      </c>
      <c r="D36" s="64">
        <v>1378</v>
      </c>
      <c r="E36" s="65">
        <v>0.16354141941609299</v>
      </c>
    </row>
    <row r="37" spans="2:5" ht="15" customHeight="1">
      <c r="B37" s="110" t="s">
        <v>221</v>
      </c>
      <c r="C37" s="59" t="s">
        <v>47</v>
      </c>
      <c r="D37" s="60">
        <v>201</v>
      </c>
      <c r="E37" s="61">
        <v>2.3854735342985999E-2</v>
      </c>
    </row>
    <row r="38" spans="2:5" ht="15" customHeight="1">
      <c r="B38" s="110"/>
      <c r="C38" s="59" t="s">
        <v>48</v>
      </c>
      <c r="D38" s="60">
        <v>628</v>
      </c>
      <c r="E38" s="61">
        <v>7.4531212912414005E-2</v>
      </c>
    </row>
    <row r="39" spans="2:5" ht="15" customHeight="1">
      <c r="B39" s="110"/>
      <c r="C39" s="88" t="s">
        <v>12</v>
      </c>
      <c r="D39" s="64">
        <v>829</v>
      </c>
      <c r="E39" s="65">
        <v>9.8385948255399994E-2</v>
      </c>
    </row>
    <row r="40" spans="2:5" ht="15" customHeight="1">
      <c r="B40" s="110" t="s">
        <v>222</v>
      </c>
      <c r="C40" s="59" t="s">
        <v>47</v>
      </c>
      <c r="D40" s="60">
        <v>1</v>
      </c>
      <c r="E40" s="61">
        <v>1.1868027533799999E-4</v>
      </c>
    </row>
    <row r="41" spans="2:5" ht="15" customHeight="1">
      <c r="B41" s="110"/>
      <c r="C41" s="59" t="s">
        <v>48</v>
      </c>
      <c r="D41" s="60">
        <v>1</v>
      </c>
      <c r="E41" s="61">
        <v>1.1868027533799999E-4</v>
      </c>
    </row>
    <row r="42" spans="2:5" ht="15" customHeight="1">
      <c r="B42" s="110"/>
      <c r="C42" s="88" t="s">
        <v>12</v>
      </c>
      <c r="D42" s="64">
        <v>2</v>
      </c>
      <c r="E42" s="65">
        <v>2.3736055067599999E-4</v>
      </c>
    </row>
    <row r="43" spans="2:5" ht="15" customHeight="1">
      <c r="B43" s="110" t="s">
        <v>223</v>
      </c>
      <c r="C43" s="59" t="s">
        <v>47</v>
      </c>
      <c r="D43" s="60">
        <v>158</v>
      </c>
      <c r="E43" s="61">
        <v>1.8751483503441999E-2</v>
      </c>
    </row>
    <row r="44" spans="2:5" ht="15" customHeight="1">
      <c r="B44" s="110"/>
      <c r="C44" s="59" t="s">
        <v>48</v>
      </c>
      <c r="D44" s="60">
        <v>476</v>
      </c>
      <c r="E44" s="61">
        <v>5.6491811061001998E-2</v>
      </c>
    </row>
    <row r="45" spans="2:5" ht="15" customHeight="1">
      <c r="B45" s="110"/>
      <c r="C45" s="88" t="s">
        <v>12</v>
      </c>
      <c r="D45" s="64">
        <v>634</v>
      </c>
      <c r="E45" s="65">
        <v>7.5243294564442995E-2</v>
      </c>
    </row>
    <row r="46" spans="2:5" ht="15" customHeight="1">
      <c r="B46" s="110" t="s">
        <v>224</v>
      </c>
      <c r="C46" s="59" t="s">
        <v>47</v>
      </c>
      <c r="D46" s="60">
        <v>23</v>
      </c>
      <c r="E46" s="61">
        <v>2.7296463327790002E-3</v>
      </c>
    </row>
    <row r="47" spans="2:5" ht="15" customHeight="1">
      <c r="B47" s="110"/>
      <c r="C47" s="59" t="s">
        <v>48</v>
      </c>
      <c r="D47" s="60">
        <v>82</v>
      </c>
      <c r="E47" s="61">
        <v>9.7317825777359993E-3</v>
      </c>
    </row>
    <row r="48" spans="2:5" ht="15" customHeight="1">
      <c r="B48" s="110"/>
      <c r="C48" s="88" t="s">
        <v>12</v>
      </c>
      <c r="D48" s="64">
        <v>105</v>
      </c>
      <c r="E48" s="65">
        <v>1.2461428910515E-2</v>
      </c>
    </row>
    <row r="49" spans="2:5" ht="15" customHeight="1">
      <c r="B49" s="110" t="s">
        <v>225</v>
      </c>
      <c r="C49" s="59" t="s">
        <v>47</v>
      </c>
      <c r="D49" s="60">
        <v>13</v>
      </c>
      <c r="E49" s="61">
        <v>1.5428435793969999E-3</v>
      </c>
    </row>
    <row r="50" spans="2:5" ht="15" customHeight="1">
      <c r="B50" s="110"/>
      <c r="C50" s="59" t="s">
        <v>48</v>
      </c>
      <c r="D50" s="60">
        <v>19</v>
      </c>
      <c r="E50" s="61">
        <v>2.254925231427E-3</v>
      </c>
    </row>
    <row r="51" spans="2:5" ht="15" customHeight="1">
      <c r="B51" s="110"/>
      <c r="C51" s="88" t="s">
        <v>12</v>
      </c>
      <c r="D51" s="64">
        <v>32</v>
      </c>
      <c r="E51" s="65">
        <v>3.7977688108239999E-3</v>
      </c>
    </row>
    <row r="52" spans="2:5" ht="15" customHeight="1">
      <c r="B52" s="110" t="s">
        <v>226</v>
      </c>
      <c r="C52" s="59" t="s">
        <v>47</v>
      </c>
      <c r="D52" s="60">
        <v>1</v>
      </c>
      <c r="E52" s="61">
        <v>1.1868027533799999E-4</v>
      </c>
    </row>
    <row r="53" spans="2:5" ht="15" customHeight="1">
      <c r="B53" s="110"/>
      <c r="C53" s="59" t="s">
        <v>48</v>
      </c>
      <c r="D53" s="60">
        <v>17</v>
      </c>
      <c r="E53" s="61">
        <v>2.0175646807500001E-3</v>
      </c>
    </row>
    <row r="54" spans="2:5" ht="15" customHeight="1">
      <c r="B54" s="110"/>
      <c r="C54" s="88" t="s">
        <v>12</v>
      </c>
      <c r="D54" s="64">
        <v>18</v>
      </c>
      <c r="E54" s="65">
        <v>2.1362449560879998E-3</v>
      </c>
    </row>
    <row r="55" spans="2:5" ht="15" customHeight="1">
      <c r="B55" s="110" t="s">
        <v>227</v>
      </c>
      <c r="C55" s="59" t="s">
        <v>47</v>
      </c>
      <c r="D55" s="60">
        <v>48</v>
      </c>
      <c r="E55" s="61">
        <v>5.6966532162349998E-3</v>
      </c>
    </row>
    <row r="56" spans="2:5" ht="15" customHeight="1">
      <c r="B56" s="110"/>
      <c r="C56" s="59" t="s">
        <v>48</v>
      </c>
      <c r="D56" s="60">
        <v>90</v>
      </c>
      <c r="E56" s="61">
        <v>1.0681224780441E-2</v>
      </c>
    </row>
    <row r="57" spans="2:5" ht="15" customHeight="1">
      <c r="B57" s="110"/>
      <c r="C57" s="88" t="s">
        <v>12</v>
      </c>
      <c r="D57" s="64">
        <v>138</v>
      </c>
      <c r="E57" s="65">
        <v>1.6377877996677E-2</v>
      </c>
    </row>
    <row r="58" spans="2:5" ht="15" customHeight="1">
      <c r="B58" s="110" t="s">
        <v>228</v>
      </c>
      <c r="C58" s="59" t="s">
        <v>47</v>
      </c>
      <c r="D58" s="60">
        <v>159</v>
      </c>
      <c r="E58" s="61">
        <v>1.8870163778780001E-2</v>
      </c>
    </row>
    <row r="59" spans="2:5" ht="15" customHeight="1">
      <c r="B59" s="110"/>
      <c r="C59" s="59" t="s">
        <v>48</v>
      </c>
      <c r="D59" s="60">
        <v>354</v>
      </c>
      <c r="E59" s="61">
        <v>4.2012817469737E-2</v>
      </c>
    </row>
    <row r="60" spans="2:5" ht="15" customHeight="1">
      <c r="B60" s="110"/>
      <c r="C60" s="88" t="s">
        <v>12</v>
      </c>
      <c r="D60" s="64">
        <v>513</v>
      </c>
      <c r="E60" s="65">
        <v>6.0882981248516002E-2</v>
      </c>
    </row>
    <row r="61" spans="2:5" ht="15" customHeight="1">
      <c r="B61" s="110" t="s">
        <v>229</v>
      </c>
      <c r="C61" s="59" t="s">
        <v>47</v>
      </c>
      <c r="D61" s="60">
        <v>42</v>
      </c>
      <c r="E61" s="61">
        <v>4.9845715642059998E-3</v>
      </c>
    </row>
    <row r="62" spans="2:5" ht="15" customHeight="1">
      <c r="B62" s="110"/>
      <c r="C62" s="59" t="s">
        <v>48</v>
      </c>
      <c r="D62" s="60">
        <v>69</v>
      </c>
      <c r="E62" s="61">
        <v>8.1889389983380006E-3</v>
      </c>
    </row>
    <row r="63" spans="2:5" ht="15" customHeight="1">
      <c r="B63" s="110"/>
      <c r="C63" s="88" t="s">
        <v>12</v>
      </c>
      <c r="D63" s="64">
        <v>111</v>
      </c>
      <c r="E63" s="65">
        <v>1.3173510562545E-2</v>
      </c>
    </row>
    <row r="64" spans="2:5" ht="15" customHeight="1">
      <c r="B64" s="110" t="s">
        <v>230</v>
      </c>
      <c r="C64" s="59" t="s">
        <v>47</v>
      </c>
      <c r="D64" s="60">
        <v>55</v>
      </c>
      <c r="E64" s="61">
        <v>6.5274151436030001E-3</v>
      </c>
    </row>
    <row r="65" spans="2:5" ht="15" customHeight="1">
      <c r="B65" s="110"/>
      <c r="C65" s="59" t="s">
        <v>48</v>
      </c>
      <c r="D65" s="60">
        <v>131</v>
      </c>
      <c r="E65" s="61">
        <v>1.5547116069308999E-2</v>
      </c>
    </row>
    <row r="66" spans="2:5" ht="15" customHeight="1">
      <c r="B66" s="110"/>
      <c r="C66" s="88" t="s">
        <v>12</v>
      </c>
      <c r="D66" s="64">
        <v>186</v>
      </c>
      <c r="E66" s="65">
        <v>2.2074531212911998E-2</v>
      </c>
    </row>
    <row r="67" spans="2:5" ht="15" customHeight="1">
      <c r="B67" s="110" t="s">
        <v>231</v>
      </c>
      <c r="C67" s="59" t="s">
        <v>47</v>
      </c>
      <c r="D67" s="60">
        <v>5</v>
      </c>
      <c r="E67" s="61">
        <v>5.9340137669100003E-4</v>
      </c>
    </row>
    <row r="68" spans="2:5" ht="15" customHeight="1">
      <c r="B68" s="110"/>
      <c r="C68" s="59" t="s">
        <v>48</v>
      </c>
      <c r="D68" s="60">
        <v>2</v>
      </c>
      <c r="E68" s="61">
        <v>2.3736055067599999E-4</v>
      </c>
    </row>
    <row r="69" spans="2:5" ht="15" customHeight="1">
      <c r="B69" s="110"/>
      <c r="C69" s="88" t="s">
        <v>12</v>
      </c>
      <c r="D69" s="64">
        <v>7</v>
      </c>
      <c r="E69" s="65">
        <v>8.3076192736799995E-4</v>
      </c>
    </row>
    <row r="70" spans="2:5" ht="15" customHeight="1">
      <c r="B70" s="110" t="s">
        <v>232</v>
      </c>
      <c r="C70" s="59" t="s">
        <v>47</v>
      </c>
      <c r="D70" s="60">
        <v>34</v>
      </c>
      <c r="E70" s="61">
        <v>4.0351293615000002E-3</v>
      </c>
    </row>
    <row r="71" spans="2:5" ht="15" customHeight="1">
      <c r="B71" s="110"/>
      <c r="C71" s="59" t="s">
        <v>48</v>
      </c>
      <c r="D71" s="60">
        <v>80</v>
      </c>
      <c r="E71" s="61">
        <v>9.4944220270589998E-3</v>
      </c>
    </row>
    <row r="72" spans="2:5" ht="15" customHeight="1">
      <c r="B72" s="110"/>
      <c r="C72" s="88" t="s">
        <v>12</v>
      </c>
      <c r="D72" s="64">
        <v>114</v>
      </c>
      <c r="E72" s="65">
        <v>1.3529551388559E-2</v>
      </c>
    </row>
    <row r="73" spans="2:5" ht="15" customHeight="1">
      <c r="B73" s="110" t="s">
        <v>233</v>
      </c>
      <c r="C73" s="59" t="s">
        <v>47</v>
      </c>
      <c r="D73" s="60">
        <v>133</v>
      </c>
      <c r="E73" s="61">
        <v>1.5784476619985999E-2</v>
      </c>
    </row>
    <row r="74" spans="2:5" ht="15" customHeight="1">
      <c r="B74" s="110"/>
      <c r="C74" s="59" t="s">
        <v>48</v>
      </c>
      <c r="D74" s="60">
        <v>331</v>
      </c>
      <c r="E74" s="61">
        <v>3.9283171136957E-2</v>
      </c>
    </row>
    <row r="75" spans="2:5" ht="15" customHeight="1">
      <c r="B75" s="110"/>
      <c r="C75" s="88" t="s">
        <v>12</v>
      </c>
      <c r="D75" s="64">
        <v>464</v>
      </c>
      <c r="E75" s="65">
        <v>5.5067647756942999E-2</v>
      </c>
    </row>
    <row r="76" spans="2:5" ht="15" customHeight="1">
      <c r="B76" s="110" t="s">
        <v>234</v>
      </c>
      <c r="C76" s="59" t="s">
        <v>47</v>
      </c>
      <c r="D76" s="60">
        <v>245</v>
      </c>
      <c r="E76" s="61">
        <v>2.9076667457869E-2</v>
      </c>
    </row>
    <row r="77" spans="2:5" ht="15" customHeight="1">
      <c r="B77" s="110"/>
      <c r="C77" s="59" t="s">
        <v>48</v>
      </c>
      <c r="D77" s="60">
        <v>388</v>
      </c>
      <c r="E77" s="61">
        <v>4.6047946831237002E-2</v>
      </c>
    </row>
    <row r="78" spans="2:5" ht="15" customHeight="1">
      <c r="B78" s="110"/>
      <c r="C78" s="88" t="s">
        <v>12</v>
      </c>
      <c r="D78" s="64">
        <v>633</v>
      </c>
      <c r="E78" s="65">
        <v>7.5124614289104996E-2</v>
      </c>
    </row>
    <row r="79" spans="2:5" ht="15" customHeight="1">
      <c r="B79" s="110" t="s">
        <v>235</v>
      </c>
      <c r="C79" s="59" t="s">
        <v>47</v>
      </c>
      <c r="D79" s="60">
        <v>19</v>
      </c>
      <c r="E79" s="61">
        <v>2.254925231427E-3</v>
      </c>
    </row>
    <row r="80" spans="2:5" ht="15" customHeight="1">
      <c r="B80" s="110"/>
      <c r="C80" s="59" t="s">
        <v>48</v>
      </c>
      <c r="D80" s="60">
        <v>38</v>
      </c>
      <c r="E80" s="61">
        <v>4.509850462853E-3</v>
      </c>
    </row>
    <row r="81" spans="2:5" ht="15" customHeight="1">
      <c r="B81" s="110"/>
      <c r="C81" s="88" t="s">
        <v>12</v>
      </c>
      <c r="D81" s="64">
        <v>57</v>
      </c>
      <c r="E81" s="65">
        <v>6.7647756942799996E-3</v>
      </c>
    </row>
    <row r="82" spans="2:5" ht="15" customHeight="1">
      <c r="B82" s="110" t="s">
        <v>236</v>
      </c>
      <c r="C82" s="59" t="s">
        <v>47</v>
      </c>
      <c r="D82" s="60">
        <v>18</v>
      </c>
      <c r="E82" s="61">
        <v>2.1362449560879998E-3</v>
      </c>
    </row>
    <row r="83" spans="2:5" ht="15" customHeight="1">
      <c r="B83" s="110"/>
      <c r="C83" s="59" t="s">
        <v>48</v>
      </c>
      <c r="D83" s="60">
        <v>41</v>
      </c>
      <c r="E83" s="61">
        <v>4.8658912888679996E-3</v>
      </c>
    </row>
    <row r="84" spans="2:5" ht="15" customHeight="1">
      <c r="B84" s="110"/>
      <c r="C84" s="88" t="s">
        <v>12</v>
      </c>
      <c r="D84" s="64">
        <v>59</v>
      </c>
      <c r="E84" s="65">
        <v>7.0021362449559999E-3</v>
      </c>
    </row>
    <row r="85" spans="2:5" ht="15" customHeight="1">
      <c r="B85" s="110" t="s">
        <v>237</v>
      </c>
      <c r="C85" s="59" t="s">
        <v>47</v>
      </c>
      <c r="D85" s="60">
        <v>15</v>
      </c>
      <c r="E85" s="61">
        <v>1.780204130074E-3</v>
      </c>
    </row>
    <row r="86" spans="2:5" ht="15" customHeight="1">
      <c r="B86" s="110"/>
      <c r="C86" s="59" t="s">
        <v>48</v>
      </c>
      <c r="D86" s="60">
        <v>23</v>
      </c>
      <c r="E86" s="61">
        <v>2.7296463327790002E-3</v>
      </c>
    </row>
    <row r="87" spans="2:5" ht="15" customHeight="1">
      <c r="B87" s="110"/>
      <c r="C87" s="88" t="s">
        <v>12</v>
      </c>
      <c r="D87" s="64">
        <v>38</v>
      </c>
      <c r="E87" s="65">
        <v>4.509850462853E-3</v>
      </c>
    </row>
    <row r="88" spans="2:5" ht="15" customHeight="1">
      <c r="B88" s="110" t="s">
        <v>238</v>
      </c>
      <c r="C88" s="59" t="s">
        <v>47</v>
      </c>
      <c r="D88" s="60">
        <v>4</v>
      </c>
      <c r="E88" s="61">
        <v>4.7472110135299999E-4</v>
      </c>
    </row>
    <row r="89" spans="2:5" ht="15" customHeight="1">
      <c r="B89" s="110"/>
      <c r="C89" s="59" t="s">
        <v>48</v>
      </c>
      <c r="D89" s="60">
        <v>24</v>
      </c>
      <c r="E89" s="61">
        <v>2.8483266081179999E-3</v>
      </c>
    </row>
    <row r="90" spans="2:5" ht="15" customHeight="1">
      <c r="B90" s="110"/>
      <c r="C90" s="88" t="s">
        <v>12</v>
      </c>
      <c r="D90" s="64">
        <v>28</v>
      </c>
      <c r="E90" s="65">
        <v>3.3230477094710002E-3</v>
      </c>
    </row>
    <row r="91" spans="2:5" ht="15" customHeight="1">
      <c r="B91" s="110" t="s">
        <v>239</v>
      </c>
      <c r="C91" s="59" t="s">
        <v>47</v>
      </c>
      <c r="D91" s="60">
        <v>2</v>
      </c>
      <c r="E91" s="61">
        <v>2.3736055067599999E-4</v>
      </c>
    </row>
    <row r="92" spans="2:5" ht="15" customHeight="1">
      <c r="B92" s="110"/>
      <c r="C92" s="59" t="s">
        <v>48</v>
      </c>
      <c r="D92" s="60">
        <v>5</v>
      </c>
      <c r="E92" s="61">
        <v>5.9340137669100003E-4</v>
      </c>
    </row>
    <row r="93" spans="2:5" ht="15" customHeight="1">
      <c r="B93" s="110"/>
      <c r="C93" s="88" t="s">
        <v>12</v>
      </c>
      <c r="D93" s="64">
        <v>7</v>
      </c>
      <c r="E93" s="65">
        <v>8.3076192736799995E-4</v>
      </c>
    </row>
    <row r="94" spans="2:5" ht="15" customHeight="1">
      <c r="B94" s="110" t="s">
        <v>240</v>
      </c>
      <c r="C94" s="59" t="s">
        <v>47</v>
      </c>
      <c r="D94" s="60">
        <v>314</v>
      </c>
      <c r="E94" s="61">
        <v>3.7265606456207002E-2</v>
      </c>
    </row>
    <row r="95" spans="2:5" ht="15" customHeight="1">
      <c r="B95" s="110"/>
      <c r="C95" s="59" t="s">
        <v>48</v>
      </c>
      <c r="D95" s="60">
        <v>722</v>
      </c>
      <c r="E95" s="61">
        <v>8.5687158794208004E-2</v>
      </c>
    </row>
    <row r="96" spans="2:5" ht="15" customHeight="1">
      <c r="B96" s="110"/>
      <c r="C96" s="88" t="s">
        <v>12</v>
      </c>
      <c r="D96" s="64">
        <v>1036</v>
      </c>
      <c r="E96" s="65">
        <v>0.122952765250415</v>
      </c>
    </row>
    <row r="97" spans="2:5" ht="15" customHeight="1">
      <c r="B97" s="110" t="s">
        <v>241</v>
      </c>
      <c r="C97" s="59" t="s">
        <v>47</v>
      </c>
      <c r="D97" s="60">
        <v>31</v>
      </c>
      <c r="E97" s="61">
        <v>3.6790885354850002E-3</v>
      </c>
    </row>
    <row r="98" spans="2:5" ht="15" customHeight="1">
      <c r="B98" s="110"/>
      <c r="C98" s="59" t="s">
        <v>48</v>
      </c>
      <c r="D98" s="60">
        <v>64</v>
      </c>
      <c r="E98" s="61">
        <v>7.5955376216469998E-3</v>
      </c>
    </row>
    <row r="99" spans="2:5" ht="15" customHeight="1">
      <c r="B99" s="110"/>
      <c r="C99" s="88" t="s">
        <v>12</v>
      </c>
      <c r="D99" s="64">
        <v>95</v>
      </c>
      <c r="E99" s="65">
        <v>1.1274626157133E-2</v>
      </c>
    </row>
    <row r="100" spans="2:5" ht="15" customHeight="1">
      <c r="B100" s="110" t="s">
        <v>242</v>
      </c>
      <c r="C100" s="59" t="s">
        <v>47</v>
      </c>
      <c r="D100" s="60">
        <v>20</v>
      </c>
      <c r="E100" s="61">
        <v>2.3736055067650002E-3</v>
      </c>
    </row>
    <row r="101" spans="2:5" ht="15" customHeight="1">
      <c r="B101" s="110"/>
      <c r="C101" s="59" t="s">
        <v>48</v>
      </c>
      <c r="D101" s="60">
        <v>97</v>
      </c>
      <c r="E101" s="61">
        <v>1.1511986707809001E-2</v>
      </c>
    </row>
    <row r="102" spans="2:5" ht="15" customHeight="1">
      <c r="B102" s="110"/>
      <c r="C102" s="88" t="s">
        <v>12</v>
      </c>
      <c r="D102" s="64">
        <v>117</v>
      </c>
      <c r="E102" s="65">
        <v>1.3885592214574E-2</v>
      </c>
    </row>
    <row r="103" spans="2:5" ht="15" customHeight="1">
      <c r="B103" s="110" t="s">
        <v>243</v>
      </c>
      <c r="C103" s="59" t="s">
        <v>47</v>
      </c>
      <c r="D103" s="60">
        <v>32</v>
      </c>
      <c r="E103" s="61">
        <v>3.7977688108239999E-3</v>
      </c>
    </row>
    <row r="104" spans="2:5" ht="15" customHeight="1">
      <c r="B104" s="110"/>
      <c r="C104" s="59" t="s">
        <v>48</v>
      </c>
      <c r="D104" s="60">
        <v>79</v>
      </c>
      <c r="E104" s="61">
        <v>9.3757417517209996E-3</v>
      </c>
    </row>
    <row r="105" spans="2:5" ht="15" customHeight="1">
      <c r="B105" s="110"/>
      <c r="C105" s="88" t="s">
        <v>12</v>
      </c>
      <c r="D105" s="64">
        <v>111</v>
      </c>
      <c r="E105" s="65">
        <v>1.3173510562545E-2</v>
      </c>
    </row>
    <row r="106" spans="2:5" ht="15" customHeight="1">
      <c r="B106" s="110" t="s">
        <v>244</v>
      </c>
      <c r="C106" s="59" t="s">
        <v>47</v>
      </c>
      <c r="D106" s="60">
        <v>28</v>
      </c>
      <c r="E106" s="61">
        <v>3.3230477094710002E-3</v>
      </c>
    </row>
    <row r="107" spans="2:5" ht="15" customHeight="1">
      <c r="B107" s="110"/>
      <c r="C107" s="59" t="s">
        <v>48</v>
      </c>
      <c r="D107" s="60">
        <v>60</v>
      </c>
      <c r="E107" s="61">
        <v>7.120816520294E-3</v>
      </c>
    </row>
    <row r="108" spans="2:5" ht="15" customHeight="1">
      <c r="B108" s="110"/>
      <c r="C108" s="88" t="s">
        <v>12</v>
      </c>
      <c r="D108" s="64">
        <v>88</v>
      </c>
      <c r="E108" s="65">
        <v>1.0443864229764999E-2</v>
      </c>
    </row>
    <row r="109" spans="2:5" ht="15" customHeight="1">
      <c r="B109" s="110" t="s">
        <v>245</v>
      </c>
      <c r="C109" s="59" t="s">
        <v>47</v>
      </c>
      <c r="D109" s="60">
        <v>5</v>
      </c>
      <c r="E109" s="61">
        <v>5.9340137669100003E-4</v>
      </c>
    </row>
    <row r="110" spans="2:5" ht="15" customHeight="1">
      <c r="B110" s="110"/>
      <c r="C110" s="59" t="s">
        <v>48</v>
      </c>
      <c r="D110" s="60">
        <v>8</v>
      </c>
      <c r="E110" s="61">
        <v>9.4944220270599998E-4</v>
      </c>
    </row>
    <row r="111" spans="2:5" ht="15" customHeight="1">
      <c r="B111" s="110"/>
      <c r="C111" s="88" t="s">
        <v>12</v>
      </c>
      <c r="D111" s="64">
        <v>13</v>
      </c>
      <c r="E111" s="65">
        <v>1.5428435793969999E-3</v>
      </c>
    </row>
    <row r="112" spans="2:5" ht="15" customHeight="1">
      <c r="B112" s="110" t="s">
        <v>246</v>
      </c>
      <c r="C112" s="59" t="s">
        <v>47</v>
      </c>
      <c r="D112" s="60">
        <v>5</v>
      </c>
      <c r="E112" s="61">
        <v>5.9340137669100003E-4</v>
      </c>
    </row>
    <row r="113" spans="2:5" ht="15" customHeight="1">
      <c r="B113" s="110"/>
      <c r="C113" s="59" t="s">
        <v>48</v>
      </c>
      <c r="D113" s="60">
        <v>18</v>
      </c>
      <c r="E113" s="61">
        <v>2.1362449560879998E-3</v>
      </c>
    </row>
    <row r="114" spans="2:5" ht="15" customHeight="1">
      <c r="B114" s="110"/>
      <c r="C114" s="88" t="s">
        <v>12</v>
      </c>
      <c r="D114" s="64">
        <v>23</v>
      </c>
      <c r="E114" s="65">
        <v>2.7296463327790002E-3</v>
      </c>
    </row>
    <row r="115" spans="2:5" ht="15" customHeight="1">
      <c r="B115" s="110" t="s">
        <v>247</v>
      </c>
      <c r="C115" s="59" t="s">
        <v>47</v>
      </c>
      <c r="D115" s="60">
        <v>55</v>
      </c>
      <c r="E115" s="61">
        <v>6.5274151436030001E-3</v>
      </c>
    </row>
    <row r="116" spans="2:5" ht="15" customHeight="1">
      <c r="B116" s="110"/>
      <c r="C116" s="59" t="s">
        <v>48</v>
      </c>
      <c r="D116" s="60">
        <v>129</v>
      </c>
      <c r="E116" s="61">
        <v>1.5309755518633001E-2</v>
      </c>
    </row>
    <row r="117" spans="2:5" ht="15" customHeight="1">
      <c r="B117" s="110"/>
      <c r="C117" s="88" t="s">
        <v>12</v>
      </c>
      <c r="D117" s="64">
        <v>184</v>
      </c>
      <c r="E117" s="65">
        <v>2.1837170662236002E-2</v>
      </c>
    </row>
    <row r="118" spans="2:5" ht="15" customHeight="1">
      <c r="B118" s="110" t="s">
        <v>248</v>
      </c>
      <c r="C118" s="59" t="s">
        <v>47</v>
      </c>
      <c r="D118" s="60">
        <v>27</v>
      </c>
      <c r="E118" s="61">
        <v>3.2043674341319999E-3</v>
      </c>
    </row>
    <row r="119" spans="2:5" ht="15" customHeight="1">
      <c r="B119" s="110"/>
      <c r="C119" s="59" t="s">
        <v>48</v>
      </c>
      <c r="D119" s="60">
        <v>72</v>
      </c>
      <c r="E119" s="61">
        <v>8.5449798243530002E-3</v>
      </c>
    </row>
    <row r="120" spans="2:5" ht="15" customHeight="1">
      <c r="B120" s="110"/>
      <c r="C120" s="88" t="s">
        <v>12</v>
      </c>
      <c r="D120" s="64">
        <v>99</v>
      </c>
      <c r="E120" s="65">
        <v>1.1749347258486E-2</v>
      </c>
    </row>
    <row r="121" spans="2:5" ht="15" customHeight="1">
      <c r="B121" s="110" t="s">
        <v>249</v>
      </c>
      <c r="C121" s="59" t="s">
        <v>47</v>
      </c>
      <c r="D121" s="60">
        <v>10</v>
      </c>
      <c r="E121" s="61">
        <v>1.1868027533820001E-3</v>
      </c>
    </row>
    <row r="122" spans="2:5" ht="15" customHeight="1">
      <c r="B122" s="110"/>
      <c r="C122" s="59" t="s">
        <v>48</v>
      </c>
      <c r="D122" s="60">
        <v>44</v>
      </c>
      <c r="E122" s="61">
        <v>5.2219321148830001E-3</v>
      </c>
    </row>
    <row r="123" spans="2:5" ht="15" customHeight="1">
      <c r="B123" s="110"/>
      <c r="C123" s="88" t="s">
        <v>12</v>
      </c>
      <c r="D123" s="64">
        <v>54</v>
      </c>
      <c r="E123" s="65">
        <v>6.408734868265E-3</v>
      </c>
    </row>
    <row r="124" spans="2:5" ht="15" customHeight="1">
      <c r="B124" s="110" t="s">
        <v>250</v>
      </c>
      <c r="C124" s="59" t="s">
        <v>47</v>
      </c>
      <c r="D124" s="60">
        <v>17</v>
      </c>
      <c r="E124" s="61">
        <v>2.0175646807500001E-3</v>
      </c>
    </row>
    <row r="125" spans="2:5" ht="15" customHeight="1">
      <c r="B125" s="110"/>
      <c r="C125" s="59" t="s">
        <v>48</v>
      </c>
      <c r="D125" s="60">
        <v>42</v>
      </c>
      <c r="E125" s="61">
        <v>4.9845715642059998E-3</v>
      </c>
    </row>
    <row r="126" spans="2:5" ht="15" customHeight="1">
      <c r="B126" s="110"/>
      <c r="C126" s="88" t="s">
        <v>12</v>
      </c>
      <c r="D126" s="64">
        <v>59</v>
      </c>
      <c r="E126" s="65">
        <v>7.0021362449559999E-3</v>
      </c>
    </row>
    <row r="127" spans="2:5" ht="15" customHeight="1">
      <c r="B127" s="110" t="s">
        <v>251</v>
      </c>
      <c r="C127" s="59" t="s">
        <v>47</v>
      </c>
      <c r="D127" s="60">
        <v>22</v>
      </c>
      <c r="E127" s="61">
        <v>2.610966057441E-3</v>
      </c>
    </row>
    <row r="128" spans="2:5" ht="15" customHeight="1">
      <c r="B128" s="110"/>
      <c r="C128" s="59" t="s">
        <v>48</v>
      </c>
      <c r="D128" s="60">
        <v>65</v>
      </c>
      <c r="E128" s="61">
        <v>7.714217896986E-3</v>
      </c>
    </row>
    <row r="129" spans="2:5" ht="15" customHeight="1">
      <c r="B129" s="110"/>
      <c r="C129" s="88" t="s">
        <v>12</v>
      </c>
      <c r="D129" s="64">
        <v>87</v>
      </c>
      <c r="E129" s="65">
        <v>1.0325183954426999E-2</v>
      </c>
    </row>
    <row r="130" spans="2:5" ht="15" customHeight="1">
      <c r="B130" s="110" t="s">
        <v>252</v>
      </c>
      <c r="C130" s="59" t="s">
        <v>47</v>
      </c>
      <c r="D130" s="60">
        <v>87</v>
      </c>
      <c r="E130" s="61">
        <v>1.0325183954426999E-2</v>
      </c>
    </row>
    <row r="131" spans="2:5" ht="15" customHeight="1">
      <c r="B131" s="110"/>
      <c r="C131" s="59" t="s">
        <v>48</v>
      </c>
      <c r="D131" s="60">
        <v>101</v>
      </c>
      <c r="E131" s="61">
        <v>1.1986707809162001E-2</v>
      </c>
    </row>
    <row r="132" spans="2:5" ht="15" customHeight="1">
      <c r="B132" s="110"/>
      <c r="C132" s="88" t="s">
        <v>12</v>
      </c>
      <c r="D132" s="64">
        <v>188</v>
      </c>
      <c r="E132" s="65">
        <v>2.2311891763589001E-2</v>
      </c>
    </row>
    <row r="133" spans="2:5" ht="15" customHeight="1">
      <c r="B133" s="110" t="s">
        <v>253</v>
      </c>
      <c r="C133" s="59" t="s">
        <v>47</v>
      </c>
      <c r="D133" s="60">
        <v>17</v>
      </c>
      <c r="E133" s="61">
        <v>2.0175646807500001E-3</v>
      </c>
    </row>
    <row r="134" spans="2:5" ht="15" customHeight="1">
      <c r="B134" s="110"/>
      <c r="C134" s="59" t="s">
        <v>48</v>
      </c>
      <c r="D134" s="60">
        <v>18</v>
      </c>
      <c r="E134" s="61">
        <v>2.1362449560879998E-3</v>
      </c>
    </row>
    <row r="135" spans="2:5" ht="15" customHeight="1">
      <c r="B135" s="110"/>
      <c r="C135" s="88" t="s">
        <v>12</v>
      </c>
      <c r="D135" s="64">
        <v>35</v>
      </c>
      <c r="E135" s="65">
        <v>4.1538096368380004E-3</v>
      </c>
    </row>
    <row r="136" spans="2:5" ht="15" customHeight="1">
      <c r="B136" s="110" t="s">
        <v>254</v>
      </c>
      <c r="C136" s="59" t="s">
        <v>47</v>
      </c>
      <c r="D136" s="60">
        <v>8</v>
      </c>
      <c r="E136" s="61">
        <v>9.4944220270599998E-4</v>
      </c>
    </row>
    <row r="137" spans="2:5" ht="15" customHeight="1">
      <c r="B137" s="110"/>
      <c r="C137" s="59" t="s">
        <v>48</v>
      </c>
      <c r="D137" s="60">
        <v>23</v>
      </c>
      <c r="E137" s="61">
        <v>2.7296463327790002E-3</v>
      </c>
    </row>
    <row r="138" spans="2:5" ht="15" customHeight="1">
      <c r="B138" s="110"/>
      <c r="C138" s="88" t="s">
        <v>12</v>
      </c>
      <c r="D138" s="64">
        <v>31</v>
      </c>
      <c r="E138" s="65">
        <v>3.6790885354850002E-3</v>
      </c>
    </row>
    <row r="139" spans="2:5" ht="15" customHeight="1">
      <c r="B139" s="110" t="s">
        <v>255</v>
      </c>
      <c r="C139" s="59" t="s">
        <v>47</v>
      </c>
      <c r="D139" s="60">
        <v>32</v>
      </c>
      <c r="E139" s="61">
        <v>3.7977688108239999E-3</v>
      </c>
    </row>
    <row r="140" spans="2:5" ht="15" customHeight="1">
      <c r="B140" s="110"/>
      <c r="C140" s="59" t="s">
        <v>48</v>
      </c>
      <c r="D140" s="60">
        <v>60</v>
      </c>
      <c r="E140" s="61">
        <v>7.120816520294E-3</v>
      </c>
    </row>
    <row r="141" spans="2:5" ht="15" customHeight="1">
      <c r="B141" s="110"/>
      <c r="C141" s="88" t="s">
        <v>12</v>
      </c>
      <c r="D141" s="64">
        <v>92</v>
      </c>
      <c r="E141" s="65">
        <v>1.0918585331118001E-2</v>
      </c>
    </row>
    <row r="142" spans="2:5" ht="15" customHeight="1">
      <c r="B142" s="110" t="s">
        <v>256</v>
      </c>
      <c r="C142" s="59" t="s">
        <v>47</v>
      </c>
      <c r="D142" s="60">
        <v>50</v>
      </c>
      <c r="E142" s="61">
        <v>5.9340137669120002E-3</v>
      </c>
    </row>
    <row r="143" spans="2:5" ht="15" customHeight="1">
      <c r="B143" s="110"/>
      <c r="C143" s="59" t="s">
        <v>48</v>
      </c>
      <c r="D143" s="60">
        <v>79</v>
      </c>
      <c r="E143" s="61">
        <v>9.3757417517209996E-3</v>
      </c>
    </row>
    <row r="144" spans="2:5" ht="15" customHeight="1">
      <c r="B144" s="110"/>
      <c r="C144" s="88" t="s">
        <v>12</v>
      </c>
      <c r="D144" s="64">
        <v>129</v>
      </c>
      <c r="E144" s="65">
        <v>1.5309755518633001E-2</v>
      </c>
    </row>
    <row r="145" spans="2:5" ht="15" customHeight="1">
      <c r="B145" s="110" t="s">
        <v>257</v>
      </c>
      <c r="C145" s="59" t="s">
        <v>47</v>
      </c>
      <c r="D145" s="60">
        <v>18</v>
      </c>
      <c r="E145" s="61">
        <v>2.1362449560879998E-3</v>
      </c>
    </row>
    <row r="146" spans="2:5" ht="15" customHeight="1">
      <c r="B146" s="110"/>
      <c r="C146" s="59" t="s">
        <v>48</v>
      </c>
      <c r="D146" s="60">
        <v>45</v>
      </c>
      <c r="E146" s="61">
        <v>5.3406123902210003E-3</v>
      </c>
    </row>
    <row r="147" spans="2:5" ht="15" customHeight="1">
      <c r="B147" s="110"/>
      <c r="C147" s="88" t="s">
        <v>12</v>
      </c>
      <c r="D147" s="64">
        <v>63</v>
      </c>
      <c r="E147" s="65">
        <v>7.4768573463089997E-3</v>
      </c>
    </row>
    <row r="148" spans="2:5" ht="15" customHeight="1">
      <c r="B148" s="110" t="s">
        <v>258</v>
      </c>
      <c r="C148" s="59" t="s">
        <v>47</v>
      </c>
      <c r="D148" s="60">
        <v>1</v>
      </c>
      <c r="E148" s="61">
        <v>1.1868027533799999E-4</v>
      </c>
    </row>
    <row r="149" spans="2:5" ht="15" customHeight="1">
      <c r="B149" s="110"/>
      <c r="C149" s="59" t="s">
        <v>48</v>
      </c>
      <c r="D149" s="60">
        <v>4</v>
      </c>
      <c r="E149" s="61">
        <v>4.7472110135299999E-4</v>
      </c>
    </row>
    <row r="150" spans="2:5" ht="15" customHeight="1">
      <c r="B150" s="110"/>
      <c r="C150" s="88" t="s">
        <v>12</v>
      </c>
      <c r="D150" s="64">
        <v>5</v>
      </c>
      <c r="E150" s="65">
        <v>5.9340137669100003E-4</v>
      </c>
    </row>
    <row r="151" spans="2:5" ht="15" customHeight="1">
      <c r="B151" s="111" t="s">
        <v>121</v>
      </c>
      <c r="C151" s="59" t="s">
        <v>47</v>
      </c>
      <c r="D151" s="60">
        <v>13</v>
      </c>
      <c r="E151" s="61">
        <v>1.5428435793969999E-3</v>
      </c>
    </row>
    <row r="152" spans="2:5" ht="15" customHeight="1">
      <c r="B152" s="111"/>
      <c r="C152" s="59" t="s">
        <v>48</v>
      </c>
      <c r="D152" s="60">
        <v>14</v>
      </c>
      <c r="E152" s="61">
        <v>1.661523854735E-3</v>
      </c>
    </row>
    <row r="153" spans="2:5" ht="15" customHeight="1">
      <c r="B153" s="111" t="s">
        <v>122</v>
      </c>
      <c r="C153" s="88" t="s">
        <v>12</v>
      </c>
      <c r="D153" s="64">
        <v>27</v>
      </c>
      <c r="E153" s="65">
        <v>3.2043674341319999E-3</v>
      </c>
    </row>
    <row r="154" spans="2:5" ht="15" customHeight="1">
      <c r="B154" s="110" t="s">
        <v>259</v>
      </c>
      <c r="C154" s="59" t="s">
        <v>47</v>
      </c>
      <c r="D154" s="60">
        <v>1</v>
      </c>
      <c r="E154" s="61">
        <v>1.1868027533799999E-4</v>
      </c>
    </row>
    <row r="155" spans="2:5" ht="15" customHeight="1">
      <c r="B155" s="110"/>
      <c r="C155" s="88" t="s">
        <v>12</v>
      </c>
      <c r="D155" s="64">
        <v>1</v>
      </c>
      <c r="E155" s="65">
        <v>1.1868027533799999E-4</v>
      </c>
    </row>
    <row r="156" spans="2:5" ht="15" customHeight="1">
      <c r="B156" s="112" t="s">
        <v>12</v>
      </c>
      <c r="C156" s="112"/>
      <c r="D156" s="62">
        <v>8426</v>
      </c>
      <c r="E156" s="63">
        <v>1</v>
      </c>
    </row>
    <row r="157" spans="2:5" ht="15" customHeight="1"/>
    <row r="158" spans="2:5" ht="15" customHeight="1">
      <c r="B158" s="17" t="s">
        <v>44</v>
      </c>
    </row>
    <row r="159" spans="2:5" ht="15" customHeight="1">
      <c r="B159" s="18" t="s">
        <v>3</v>
      </c>
    </row>
    <row r="160" spans="2:5" ht="15" customHeight="1">
      <c r="B160" s="19" t="s">
        <v>45</v>
      </c>
    </row>
    <row r="161" spans="2:2" ht="15" customHeight="1">
      <c r="B161" s="17" t="s">
        <v>4</v>
      </c>
    </row>
    <row r="162" spans="2:2" ht="15" customHeight="1">
      <c r="B162" s="17" t="s">
        <v>46</v>
      </c>
    </row>
  </sheetData>
  <mergeCells count="50">
    <mergeCell ref="B151:B153"/>
    <mergeCell ref="B154:B155"/>
    <mergeCell ref="B156:C156"/>
    <mergeCell ref="B127:B129"/>
    <mergeCell ref="B130:B132"/>
    <mergeCell ref="B133:B135"/>
    <mergeCell ref="B136:B138"/>
    <mergeCell ref="B139:B141"/>
    <mergeCell ref="B142:B144"/>
    <mergeCell ref="B145:B147"/>
    <mergeCell ref="B148:B150"/>
    <mergeCell ref="B112:B114"/>
    <mergeCell ref="B115:B117"/>
    <mergeCell ref="B118:B120"/>
    <mergeCell ref="B121:B123"/>
    <mergeCell ref="B124:B126"/>
    <mergeCell ref="B100:B102"/>
    <mergeCell ref="B103:B105"/>
    <mergeCell ref="B106:B108"/>
    <mergeCell ref="B109:B111"/>
    <mergeCell ref="B85:B87"/>
    <mergeCell ref="B88:B90"/>
    <mergeCell ref="B91:B93"/>
    <mergeCell ref="B94:B96"/>
    <mergeCell ref="B97:B99"/>
    <mergeCell ref="B73:B75"/>
    <mergeCell ref="B76:B78"/>
    <mergeCell ref="B79:B81"/>
    <mergeCell ref="B82:B84"/>
    <mergeCell ref="B58:B60"/>
    <mergeCell ref="B61:B63"/>
    <mergeCell ref="B64:B66"/>
    <mergeCell ref="B67:B69"/>
    <mergeCell ref="B70:B72"/>
    <mergeCell ref="B40:B42"/>
    <mergeCell ref="B28:B30"/>
    <mergeCell ref="B31:B33"/>
    <mergeCell ref="B34:B36"/>
    <mergeCell ref="B37:B39"/>
    <mergeCell ref="B43:B45"/>
    <mergeCell ref="B46:B48"/>
    <mergeCell ref="B49:B51"/>
    <mergeCell ref="B52:B54"/>
    <mergeCell ref="B55:B57"/>
    <mergeCell ref="B26:B27"/>
    <mergeCell ref="B8:E11"/>
    <mergeCell ref="B14:B16"/>
    <mergeCell ref="B17:B19"/>
    <mergeCell ref="B20:B22"/>
    <mergeCell ref="B23:B25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61" max="16383" man="1"/>
    <brk id="111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F149"/>
  <sheetViews>
    <sheetView showGridLines="0" view="pageBreakPreview" topLeftCell="A130" zoomScaleNormal="98" zoomScaleSheetLayoutView="100" workbookViewId="0">
      <selection activeCell="G8" sqref="G8"/>
    </sheetView>
  </sheetViews>
  <sheetFormatPr baseColWidth="10" defaultColWidth="11.453125" defaultRowHeight="10"/>
  <cols>
    <col min="1" max="1" width="5.7265625" style="1" customWidth="1"/>
    <col min="2" max="3" width="22.7265625" style="31" customWidth="1"/>
    <col min="4" max="4" width="15.7265625" style="35" customWidth="1"/>
    <col min="5" max="5" width="15.7265625" style="31" customWidth="1"/>
    <col min="6" max="6" width="5.7265625" style="1" customWidth="1"/>
    <col min="7" max="16384" width="11.453125" style="1"/>
  </cols>
  <sheetData>
    <row r="1" spans="2:6" s="8" customFormat="1" ht="14.5">
      <c r="B1" s="31"/>
      <c r="C1" s="31"/>
    </row>
    <row r="2" spans="2:6" s="31" customFormat="1">
      <c r="B2" s="42"/>
    </row>
    <row r="3" spans="2:6" ht="15" customHeight="1">
      <c r="B3" s="43"/>
      <c r="C3" s="2"/>
      <c r="D3" s="1"/>
      <c r="F3" s="31"/>
    </row>
    <row r="4" spans="2:6" ht="30" customHeight="1">
      <c r="B4" s="43"/>
      <c r="C4" s="2"/>
      <c r="D4" s="1"/>
      <c r="F4" s="31"/>
    </row>
    <row r="5" spans="2:6" ht="15" customHeight="1">
      <c r="B5" s="43"/>
      <c r="C5" s="2"/>
      <c r="D5" s="1"/>
      <c r="F5" s="31"/>
    </row>
    <row r="6" spans="2:6" s="31" customFormat="1" ht="10.5">
      <c r="B6" s="34"/>
      <c r="C6" s="33"/>
    </row>
    <row r="7" spans="2:6" s="31" customFormat="1">
      <c r="B7" s="42"/>
    </row>
    <row r="8" spans="2:6" s="8" customFormat="1" ht="15" customHeight="1">
      <c r="B8" s="98" t="s">
        <v>261</v>
      </c>
      <c r="C8" s="98"/>
      <c r="D8" s="98"/>
      <c r="E8" s="98"/>
    </row>
    <row r="9" spans="2:6" s="8" customFormat="1" ht="15" customHeight="1">
      <c r="B9" s="98"/>
      <c r="C9" s="98"/>
      <c r="D9" s="98"/>
      <c r="E9" s="98"/>
      <c r="F9" s="41"/>
    </row>
    <row r="10" spans="2:6" s="8" customFormat="1" ht="15" customHeight="1">
      <c r="B10" s="98"/>
      <c r="C10" s="98"/>
      <c r="D10" s="98"/>
      <c r="E10" s="98"/>
    </row>
    <row r="11" spans="2:6" s="8" customFormat="1" ht="15" customHeight="1">
      <c r="B11" s="56"/>
      <c r="C11" s="56"/>
      <c r="D11" s="56"/>
      <c r="E11" s="56"/>
    </row>
    <row r="12" spans="2:6" s="8" customFormat="1" ht="37" customHeight="1">
      <c r="B12" s="58" t="s">
        <v>8</v>
      </c>
      <c r="C12" s="58" t="s">
        <v>13</v>
      </c>
      <c r="D12" s="58" t="s">
        <v>1</v>
      </c>
      <c r="E12" s="58" t="s">
        <v>2</v>
      </c>
    </row>
    <row r="13" spans="2:6" s="84" customFormat="1" ht="15" customHeight="1">
      <c r="B13" s="113" t="s">
        <v>49</v>
      </c>
      <c r="C13" s="59" t="s">
        <v>47</v>
      </c>
      <c r="D13" s="60">
        <v>6</v>
      </c>
      <c r="E13" s="61">
        <v>1E-3</v>
      </c>
    </row>
    <row r="14" spans="2:6" s="84" customFormat="1" ht="15" customHeight="1">
      <c r="B14" s="113"/>
      <c r="C14" s="59" t="s">
        <v>48</v>
      </c>
      <c r="D14" s="60">
        <v>11</v>
      </c>
      <c r="E14" s="61">
        <v>1E-3</v>
      </c>
    </row>
    <row r="15" spans="2:6" s="84" customFormat="1" ht="15" customHeight="1">
      <c r="B15" s="113"/>
      <c r="C15" s="88" t="s">
        <v>12</v>
      </c>
      <c r="D15" s="64">
        <v>17</v>
      </c>
      <c r="E15" s="65">
        <v>2E-3</v>
      </c>
    </row>
    <row r="16" spans="2:6" s="84" customFormat="1" ht="15" customHeight="1">
      <c r="B16" s="111" t="s">
        <v>50</v>
      </c>
      <c r="C16" s="59" t="s">
        <v>47</v>
      </c>
      <c r="D16" s="60">
        <v>1</v>
      </c>
      <c r="E16" s="61">
        <v>0</v>
      </c>
    </row>
    <row r="17" spans="1:5" s="84" customFormat="1" ht="15" customHeight="1">
      <c r="B17" s="111"/>
      <c r="C17" s="88" t="s">
        <v>12</v>
      </c>
      <c r="D17" s="64">
        <v>1</v>
      </c>
      <c r="E17" s="65">
        <v>0</v>
      </c>
    </row>
    <row r="18" spans="1:5" s="85" customFormat="1" ht="15" customHeight="1">
      <c r="A18" s="84"/>
      <c r="B18" s="113" t="s">
        <v>51</v>
      </c>
      <c r="C18" s="59" t="s">
        <v>47</v>
      </c>
      <c r="D18" s="60">
        <v>30</v>
      </c>
      <c r="E18" s="61">
        <v>4.0000000000000001E-3</v>
      </c>
    </row>
    <row r="19" spans="1:5" s="85" customFormat="1" ht="15" customHeight="1">
      <c r="A19" s="84"/>
      <c r="B19" s="113"/>
      <c r="C19" s="59" t="s">
        <v>48</v>
      </c>
      <c r="D19" s="60">
        <v>62</v>
      </c>
      <c r="E19" s="61">
        <v>7.0000000000000001E-3</v>
      </c>
    </row>
    <row r="20" spans="1:5" s="85" customFormat="1" ht="15" customHeight="1">
      <c r="A20" s="84"/>
      <c r="B20" s="113"/>
      <c r="C20" s="88" t="s">
        <v>12</v>
      </c>
      <c r="D20" s="64">
        <v>92</v>
      </c>
      <c r="E20" s="65">
        <v>1.0999999999999999E-2</v>
      </c>
    </row>
    <row r="21" spans="1:5" s="85" customFormat="1" ht="15" customHeight="1">
      <c r="A21" s="84"/>
      <c r="B21" s="113" t="s">
        <v>52</v>
      </c>
      <c r="C21" s="59" t="s">
        <v>47</v>
      </c>
      <c r="D21" s="60">
        <v>54</v>
      </c>
      <c r="E21" s="61">
        <v>6.0000000000000001E-3</v>
      </c>
    </row>
    <row r="22" spans="1:5" s="85" customFormat="1" ht="15" customHeight="1">
      <c r="A22" s="84"/>
      <c r="B22" s="113"/>
      <c r="C22" s="59" t="s">
        <v>48</v>
      </c>
      <c r="D22" s="60">
        <v>135</v>
      </c>
      <c r="E22" s="61">
        <v>1.6E-2</v>
      </c>
    </row>
    <row r="23" spans="1:5" s="84" customFormat="1" ht="15" customHeight="1">
      <c r="B23" s="113"/>
      <c r="C23" s="88" t="s">
        <v>12</v>
      </c>
      <c r="D23" s="64">
        <v>189</v>
      </c>
      <c r="E23" s="65">
        <v>2.1999999999999999E-2</v>
      </c>
    </row>
    <row r="24" spans="1:5" s="84" customFormat="1" ht="15" customHeight="1">
      <c r="B24" s="113" t="s">
        <v>53</v>
      </c>
      <c r="C24" s="59" t="s">
        <v>47</v>
      </c>
      <c r="D24" s="60">
        <v>541</v>
      </c>
      <c r="E24" s="61">
        <v>6.4000000000000001E-2</v>
      </c>
    </row>
    <row r="25" spans="1:5" s="84" customFormat="1" ht="15" customHeight="1">
      <c r="B25" s="113"/>
      <c r="C25" s="59" t="s">
        <v>48</v>
      </c>
      <c r="D25" s="60">
        <v>892</v>
      </c>
      <c r="E25" s="61">
        <v>0.106</v>
      </c>
    </row>
    <row r="26" spans="1:5" s="84" customFormat="1" ht="15" customHeight="1">
      <c r="B26" s="113"/>
      <c r="C26" s="88" t="s">
        <v>12</v>
      </c>
      <c r="D26" s="64">
        <v>1433</v>
      </c>
      <c r="E26" s="65">
        <v>0.17</v>
      </c>
    </row>
    <row r="27" spans="1:5" s="84" customFormat="1" ht="15" customHeight="1">
      <c r="B27" s="113" t="s">
        <v>54</v>
      </c>
      <c r="C27" s="59" t="s">
        <v>47</v>
      </c>
      <c r="D27" s="60">
        <v>155</v>
      </c>
      <c r="E27" s="61">
        <v>1.7999999999999999E-2</v>
      </c>
    </row>
    <row r="28" spans="1:5" s="84" customFormat="1" ht="15" customHeight="1">
      <c r="B28" s="113"/>
      <c r="C28" s="59" t="s">
        <v>48</v>
      </c>
      <c r="D28" s="60">
        <v>469</v>
      </c>
      <c r="E28" s="61">
        <v>5.6000000000000001E-2</v>
      </c>
    </row>
    <row r="29" spans="1:5" s="84" customFormat="1" ht="15" customHeight="1">
      <c r="B29" s="113"/>
      <c r="C29" s="88" t="s">
        <v>12</v>
      </c>
      <c r="D29" s="64">
        <v>624</v>
      </c>
      <c r="E29" s="65">
        <v>7.3999999999999996E-2</v>
      </c>
    </row>
    <row r="30" spans="1:5" s="84" customFormat="1" ht="15" customHeight="1">
      <c r="B30" s="111" t="s">
        <v>55</v>
      </c>
      <c r="C30" s="59" t="s">
        <v>48</v>
      </c>
      <c r="D30" s="60">
        <v>2</v>
      </c>
      <c r="E30" s="61">
        <v>0</v>
      </c>
    </row>
    <row r="31" spans="1:5" s="84" customFormat="1" ht="15" customHeight="1">
      <c r="B31" s="111"/>
      <c r="C31" s="88" t="s">
        <v>12</v>
      </c>
      <c r="D31" s="64">
        <v>2</v>
      </c>
      <c r="E31" s="65">
        <v>0</v>
      </c>
    </row>
    <row r="32" spans="1:5" s="84" customFormat="1" ht="15" customHeight="1">
      <c r="B32" s="113" t="s">
        <v>56</v>
      </c>
      <c r="C32" s="59" t="s">
        <v>47</v>
      </c>
      <c r="D32" s="60">
        <v>1</v>
      </c>
      <c r="E32" s="61">
        <v>0</v>
      </c>
    </row>
    <row r="33" spans="2:5" s="84" customFormat="1" ht="15" customHeight="1">
      <c r="B33" s="113"/>
      <c r="C33" s="59" t="s">
        <v>48</v>
      </c>
      <c r="D33" s="60">
        <v>1</v>
      </c>
      <c r="E33" s="61">
        <v>0</v>
      </c>
    </row>
    <row r="34" spans="2:5" s="84" customFormat="1" ht="15" customHeight="1">
      <c r="B34" s="113"/>
      <c r="C34" s="88" t="s">
        <v>12</v>
      </c>
      <c r="D34" s="64">
        <v>2</v>
      </c>
      <c r="E34" s="65">
        <v>0</v>
      </c>
    </row>
    <row r="35" spans="2:5" s="84" customFormat="1" ht="15" customHeight="1">
      <c r="B35" s="113" t="s">
        <v>57</v>
      </c>
      <c r="C35" s="59" t="s">
        <v>47</v>
      </c>
      <c r="D35" s="60">
        <v>1</v>
      </c>
      <c r="E35" s="61">
        <v>0</v>
      </c>
    </row>
    <row r="36" spans="2:5" s="84" customFormat="1" ht="15" customHeight="1">
      <c r="B36" s="113"/>
      <c r="C36" s="59" t="s">
        <v>48</v>
      </c>
      <c r="D36" s="60">
        <v>1</v>
      </c>
      <c r="E36" s="61">
        <v>0</v>
      </c>
    </row>
    <row r="37" spans="2:5" s="84" customFormat="1" ht="15" customHeight="1">
      <c r="B37" s="113"/>
      <c r="C37" s="88" t="s">
        <v>12</v>
      </c>
      <c r="D37" s="64">
        <v>2</v>
      </c>
      <c r="E37" s="65">
        <v>0</v>
      </c>
    </row>
    <row r="38" spans="2:5" s="84" customFormat="1" ht="15" customHeight="1">
      <c r="B38" s="113" t="s">
        <v>58</v>
      </c>
      <c r="C38" s="59" t="s">
        <v>47</v>
      </c>
      <c r="D38" s="60">
        <v>39</v>
      </c>
      <c r="E38" s="61">
        <v>5.0000000000000001E-3</v>
      </c>
    </row>
    <row r="39" spans="2:5" s="84" customFormat="1" ht="15" customHeight="1">
      <c r="B39" s="113"/>
      <c r="C39" s="59" t="s">
        <v>48</v>
      </c>
      <c r="D39" s="60">
        <v>138</v>
      </c>
      <c r="E39" s="61">
        <v>1.6E-2</v>
      </c>
    </row>
    <row r="40" spans="2:5" s="84" customFormat="1" ht="15" customHeight="1">
      <c r="B40" s="113"/>
      <c r="C40" s="88" t="s">
        <v>12</v>
      </c>
      <c r="D40" s="64">
        <v>177</v>
      </c>
      <c r="E40" s="65">
        <v>2.1000000000000001E-2</v>
      </c>
    </row>
    <row r="41" spans="2:5" s="84" customFormat="1" ht="15" customHeight="1">
      <c r="B41" s="113" t="s">
        <v>59</v>
      </c>
      <c r="C41" s="59" t="s">
        <v>47</v>
      </c>
      <c r="D41" s="60">
        <v>38</v>
      </c>
      <c r="E41" s="61">
        <v>5.0000000000000001E-3</v>
      </c>
    </row>
    <row r="42" spans="2:5" s="84" customFormat="1" ht="15" customHeight="1">
      <c r="B42" s="113"/>
      <c r="C42" s="59" t="s">
        <v>48</v>
      </c>
      <c r="D42" s="60">
        <v>76</v>
      </c>
      <c r="E42" s="61">
        <v>8.9999999999999993E-3</v>
      </c>
    </row>
    <row r="43" spans="2:5" s="84" customFormat="1" ht="15" customHeight="1">
      <c r="B43" s="113"/>
      <c r="C43" s="88" t="s">
        <v>12</v>
      </c>
      <c r="D43" s="64">
        <v>114</v>
      </c>
      <c r="E43" s="65">
        <v>1.4E-2</v>
      </c>
    </row>
    <row r="44" spans="2:5" s="84" customFormat="1" ht="15" customHeight="1">
      <c r="B44" s="113" t="s">
        <v>60</v>
      </c>
      <c r="C44" s="59" t="s">
        <v>47</v>
      </c>
      <c r="D44" s="60">
        <v>16</v>
      </c>
      <c r="E44" s="61">
        <v>2E-3</v>
      </c>
    </row>
    <row r="45" spans="2:5" s="84" customFormat="1" ht="15" customHeight="1">
      <c r="B45" s="113"/>
      <c r="C45" s="59" t="s">
        <v>48</v>
      </c>
      <c r="D45" s="60">
        <v>18</v>
      </c>
      <c r="E45" s="61">
        <v>2E-3</v>
      </c>
    </row>
    <row r="46" spans="2:5" s="84" customFormat="1" ht="15" customHeight="1">
      <c r="B46" s="113" t="s">
        <v>61</v>
      </c>
      <c r="C46" s="88" t="s">
        <v>12</v>
      </c>
      <c r="D46" s="64">
        <v>34</v>
      </c>
      <c r="E46" s="65">
        <v>4.0000000000000001E-3</v>
      </c>
    </row>
    <row r="47" spans="2:5" s="84" customFormat="1" ht="15" customHeight="1">
      <c r="B47" s="113" t="s">
        <v>62</v>
      </c>
      <c r="C47" s="59" t="s">
        <v>47</v>
      </c>
      <c r="D47" s="60">
        <v>313</v>
      </c>
      <c r="E47" s="61">
        <v>3.6999999999999998E-2</v>
      </c>
    </row>
    <row r="48" spans="2:5" s="84" customFormat="1" ht="15" customHeight="1">
      <c r="B48" s="113"/>
      <c r="C48" s="59" t="s">
        <v>48</v>
      </c>
      <c r="D48" s="60">
        <v>608</v>
      </c>
      <c r="E48" s="61">
        <v>7.1999999999999995E-2</v>
      </c>
    </row>
    <row r="49" spans="2:5" s="84" customFormat="1" ht="15" customHeight="1">
      <c r="B49" s="113" t="s">
        <v>63</v>
      </c>
      <c r="C49" s="88" t="s">
        <v>12</v>
      </c>
      <c r="D49" s="64">
        <v>921</v>
      </c>
      <c r="E49" s="65">
        <v>0.109</v>
      </c>
    </row>
    <row r="50" spans="2:5" s="84" customFormat="1" ht="15" customHeight="1">
      <c r="B50" s="113" t="s">
        <v>64</v>
      </c>
      <c r="C50" s="59" t="s">
        <v>47</v>
      </c>
      <c r="D50" s="60">
        <v>133</v>
      </c>
      <c r="E50" s="61">
        <v>1.6E-2</v>
      </c>
    </row>
    <row r="51" spans="2:5" s="84" customFormat="1" ht="15" customHeight="1">
      <c r="B51" s="113"/>
      <c r="C51" s="59" t="s">
        <v>48</v>
      </c>
      <c r="D51" s="60">
        <v>334</v>
      </c>
      <c r="E51" s="61">
        <v>0.04</v>
      </c>
    </row>
    <row r="52" spans="2:5" s="84" customFormat="1" ht="15" customHeight="1">
      <c r="B52" s="113" t="s">
        <v>65</v>
      </c>
      <c r="C52" s="88" t="s">
        <v>12</v>
      </c>
      <c r="D52" s="64">
        <v>467</v>
      </c>
      <c r="E52" s="65">
        <v>5.5E-2</v>
      </c>
    </row>
    <row r="53" spans="2:5" s="84" customFormat="1" ht="15" customHeight="1">
      <c r="B53" s="113" t="s">
        <v>66</v>
      </c>
      <c r="C53" s="59" t="s">
        <v>47</v>
      </c>
      <c r="D53" s="60">
        <v>12</v>
      </c>
      <c r="E53" s="61">
        <v>1E-3</v>
      </c>
    </row>
    <row r="54" spans="2:5" s="84" customFormat="1" ht="15" customHeight="1">
      <c r="B54" s="113"/>
      <c r="C54" s="59" t="s">
        <v>48</v>
      </c>
      <c r="D54" s="60">
        <v>24</v>
      </c>
      <c r="E54" s="61">
        <v>3.0000000000000001E-3</v>
      </c>
    </row>
    <row r="55" spans="2:5" s="84" customFormat="1" ht="15" customHeight="1">
      <c r="B55" s="113" t="s">
        <v>67</v>
      </c>
      <c r="C55" s="88" t="s">
        <v>12</v>
      </c>
      <c r="D55" s="64">
        <v>36</v>
      </c>
      <c r="E55" s="65">
        <v>4.0000000000000001E-3</v>
      </c>
    </row>
    <row r="56" spans="2:5" s="84" customFormat="1" ht="15" customHeight="1">
      <c r="B56" s="113" t="s">
        <v>68</v>
      </c>
      <c r="C56" s="59" t="s">
        <v>47</v>
      </c>
      <c r="D56" s="60">
        <v>45</v>
      </c>
      <c r="E56" s="61">
        <v>5.0000000000000001E-3</v>
      </c>
    </row>
    <row r="57" spans="2:5" s="84" customFormat="1" ht="15" customHeight="1">
      <c r="B57" s="113"/>
      <c r="C57" s="59" t="s">
        <v>48</v>
      </c>
      <c r="D57" s="60">
        <v>105</v>
      </c>
      <c r="E57" s="61">
        <v>1.2E-2</v>
      </c>
    </row>
    <row r="58" spans="2:5" s="84" customFormat="1" ht="15" customHeight="1">
      <c r="B58" s="113" t="s">
        <v>69</v>
      </c>
      <c r="C58" s="88" t="s">
        <v>12</v>
      </c>
      <c r="D58" s="64">
        <v>150</v>
      </c>
      <c r="E58" s="65">
        <v>1.7999999999999999E-2</v>
      </c>
    </row>
    <row r="59" spans="2:5" s="84" customFormat="1" ht="15" customHeight="1">
      <c r="B59" s="113" t="s">
        <v>70</v>
      </c>
      <c r="C59" s="59" t="s">
        <v>47</v>
      </c>
      <c r="D59" s="60">
        <v>36</v>
      </c>
      <c r="E59" s="61">
        <v>4.0000000000000001E-3</v>
      </c>
    </row>
    <row r="60" spans="2:5" s="84" customFormat="1" ht="15" customHeight="1">
      <c r="B60" s="113"/>
      <c r="C60" s="59" t="s">
        <v>48</v>
      </c>
      <c r="D60" s="60">
        <v>46</v>
      </c>
      <c r="E60" s="61">
        <v>5.0000000000000001E-3</v>
      </c>
    </row>
    <row r="61" spans="2:5" s="84" customFormat="1" ht="15" customHeight="1">
      <c r="B61" s="113" t="s">
        <v>71</v>
      </c>
      <c r="C61" s="88" t="s">
        <v>12</v>
      </c>
      <c r="D61" s="64">
        <v>82</v>
      </c>
      <c r="E61" s="65">
        <v>0.01</v>
      </c>
    </row>
    <row r="62" spans="2:5" s="84" customFormat="1" ht="15" customHeight="1">
      <c r="B62" s="113" t="s">
        <v>72</v>
      </c>
      <c r="C62" s="59" t="s">
        <v>47</v>
      </c>
      <c r="D62" s="60">
        <v>1</v>
      </c>
      <c r="E62" s="61">
        <v>0</v>
      </c>
    </row>
    <row r="63" spans="2:5" s="84" customFormat="1" ht="15" customHeight="1">
      <c r="B63" s="113"/>
      <c r="C63" s="59" t="s">
        <v>48</v>
      </c>
      <c r="D63" s="60">
        <v>10</v>
      </c>
      <c r="E63" s="61">
        <v>1E-3</v>
      </c>
    </row>
    <row r="64" spans="2:5" s="84" customFormat="1" ht="15" customHeight="1">
      <c r="B64" s="113" t="s">
        <v>73</v>
      </c>
      <c r="C64" s="88" t="s">
        <v>12</v>
      </c>
      <c r="D64" s="64">
        <v>11</v>
      </c>
      <c r="E64" s="65">
        <v>1E-3</v>
      </c>
    </row>
    <row r="65" spans="2:5" s="84" customFormat="1" ht="15" customHeight="1">
      <c r="B65" s="113" t="s">
        <v>74</v>
      </c>
      <c r="C65" s="59" t="s">
        <v>47</v>
      </c>
      <c r="D65" s="60">
        <v>2</v>
      </c>
      <c r="E65" s="61">
        <v>0</v>
      </c>
    </row>
    <row r="66" spans="2:5" s="84" customFormat="1" ht="15" customHeight="1">
      <c r="B66" s="113"/>
      <c r="C66" s="59" t="s">
        <v>48</v>
      </c>
      <c r="D66" s="60">
        <v>4</v>
      </c>
      <c r="E66" s="61">
        <v>0</v>
      </c>
    </row>
    <row r="67" spans="2:5" s="84" customFormat="1" ht="15" customHeight="1">
      <c r="B67" s="113" t="s">
        <v>75</v>
      </c>
      <c r="C67" s="88" t="s">
        <v>12</v>
      </c>
      <c r="D67" s="64">
        <v>6</v>
      </c>
      <c r="E67" s="65">
        <v>1E-3</v>
      </c>
    </row>
    <row r="68" spans="2:5" s="84" customFormat="1" ht="15" customHeight="1">
      <c r="B68" s="111" t="s">
        <v>76</v>
      </c>
      <c r="C68" s="59" t="s">
        <v>48</v>
      </c>
      <c r="D68" s="60">
        <v>3</v>
      </c>
      <c r="E68" s="61">
        <v>0</v>
      </c>
    </row>
    <row r="69" spans="2:5" s="84" customFormat="1" ht="15" customHeight="1">
      <c r="B69" s="111" t="s">
        <v>77</v>
      </c>
      <c r="C69" s="88" t="s">
        <v>12</v>
      </c>
      <c r="D69" s="64">
        <v>3</v>
      </c>
      <c r="E69" s="65">
        <v>0</v>
      </c>
    </row>
    <row r="70" spans="2:5" s="84" customFormat="1" ht="15" customHeight="1">
      <c r="B70" s="113" t="s">
        <v>78</v>
      </c>
      <c r="C70" s="59" t="s">
        <v>47</v>
      </c>
      <c r="D70" s="60">
        <v>17</v>
      </c>
      <c r="E70" s="61">
        <v>2E-3</v>
      </c>
    </row>
    <row r="71" spans="2:5" s="84" customFormat="1" ht="15" customHeight="1">
      <c r="B71" s="113"/>
      <c r="C71" s="59" t="s">
        <v>48</v>
      </c>
      <c r="D71" s="60">
        <v>48</v>
      </c>
      <c r="E71" s="61">
        <v>6.0000000000000001E-3</v>
      </c>
    </row>
    <row r="72" spans="2:5" s="84" customFormat="1" ht="15" customHeight="1">
      <c r="B72" s="113" t="s">
        <v>79</v>
      </c>
      <c r="C72" s="88" t="s">
        <v>12</v>
      </c>
      <c r="D72" s="64">
        <v>65</v>
      </c>
      <c r="E72" s="65">
        <v>8.0000000000000002E-3</v>
      </c>
    </row>
    <row r="73" spans="2:5" s="84" customFormat="1" ht="15" customHeight="1">
      <c r="B73" s="113" t="s">
        <v>80</v>
      </c>
      <c r="C73" s="59" t="s">
        <v>47</v>
      </c>
      <c r="D73" s="60">
        <v>8</v>
      </c>
      <c r="E73" s="61">
        <v>1E-3</v>
      </c>
    </row>
    <row r="74" spans="2:5" s="84" customFormat="1" ht="15" customHeight="1">
      <c r="B74" s="113"/>
      <c r="C74" s="59" t="s">
        <v>48</v>
      </c>
      <c r="D74" s="60">
        <v>34</v>
      </c>
      <c r="E74" s="61">
        <v>4.0000000000000001E-3</v>
      </c>
    </row>
    <row r="75" spans="2:5" s="84" customFormat="1" ht="15" customHeight="1">
      <c r="B75" s="113" t="s">
        <v>81</v>
      </c>
      <c r="C75" s="88" t="s">
        <v>12</v>
      </c>
      <c r="D75" s="64">
        <v>42</v>
      </c>
      <c r="E75" s="65">
        <v>5.0000000000000001E-3</v>
      </c>
    </row>
    <row r="76" spans="2:5" s="84" customFormat="1" ht="15" customHeight="1">
      <c r="B76" s="113" t="s">
        <v>82</v>
      </c>
      <c r="C76" s="59" t="s">
        <v>47</v>
      </c>
      <c r="D76" s="60">
        <v>2</v>
      </c>
      <c r="E76" s="61">
        <v>0</v>
      </c>
    </row>
    <row r="77" spans="2:5" s="84" customFormat="1" ht="15" customHeight="1">
      <c r="B77" s="113"/>
      <c r="C77" s="59" t="s">
        <v>48</v>
      </c>
      <c r="D77" s="60">
        <v>20</v>
      </c>
      <c r="E77" s="61">
        <v>2E-3</v>
      </c>
    </row>
    <row r="78" spans="2:5" s="84" customFormat="1" ht="15" customHeight="1">
      <c r="B78" s="113" t="s">
        <v>83</v>
      </c>
      <c r="C78" s="88" t="s">
        <v>12</v>
      </c>
      <c r="D78" s="64">
        <v>22</v>
      </c>
      <c r="E78" s="65">
        <v>3.0000000000000001E-3</v>
      </c>
    </row>
    <row r="79" spans="2:5" s="84" customFormat="1" ht="15" customHeight="1">
      <c r="B79" s="113" t="s">
        <v>84</v>
      </c>
      <c r="C79" s="59" t="s">
        <v>47</v>
      </c>
      <c r="D79" s="60">
        <v>14</v>
      </c>
      <c r="E79" s="61">
        <v>2E-3</v>
      </c>
    </row>
    <row r="80" spans="2:5" s="84" customFormat="1" ht="15" customHeight="1">
      <c r="B80" s="113"/>
      <c r="C80" s="59" t="s">
        <v>48</v>
      </c>
      <c r="D80" s="60">
        <v>42</v>
      </c>
      <c r="E80" s="61">
        <v>5.0000000000000001E-3</v>
      </c>
    </row>
    <row r="81" spans="2:5" s="84" customFormat="1" ht="15" customHeight="1">
      <c r="B81" s="113" t="s">
        <v>85</v>
      </c>
      <c r="C81" s="88" t="s">
        <v>12</v>
      </c>
      <c r="D81" s="64">
        <v>56</v>
      </c>
      <c r="E81" s="65">
        <v>7.0000000000000001E-3</v>
      </c>
    </row>
    <row r="82" spans="2:5" s="84" customFormat="1" ht="15" customHeight="1">
      <c r="B82" s="113" t="s">
        <v>86</v>
      </c>
      <c r="C82" s="59" t="s">
        <v>47</v>
      </c>
      <c r="D82" s="60">
        <v>3</v>
      </c>
      <c r="E82" s="61">
        <v>0</v>
      </c>
    </row>
    <row r="83" spans="2:5" s="84" customFormat="1" ht="15" customHeight="1">
      <c r="B83" s="113"/>
      <c r="C83" s="59" t="s">
        <v>48</v>
      </c>
      <c r="D83" s="60">
        <v>6</v>
      </c>
      <c r="E83" s="61">
        <v>1E-3</v>
      </c>
    </row>
    <row r="84" spans="2:5" s="84" customFormat="1" ht="15" customHeight="1">
      <c r="B84" s="113" t="s">
        <v>87</v>
      </c>
      <c r="C84" s="88" t="s">
        <v>12</v>
      </c>
      <c r="D84" s="64">
        <v>9</v>
      </c>
      <c r="E84" s="65">
        <v>1E-3</v>
      </c>
    </row>
    <row r="85" spans="2:5" s="84" customFormat="1" ht="15" customHeight="1">
      <c r="B85" s="113" t="s">
        <v>88</v>
      </c>
      <c r="C85" s="59" t="s">
        <v>47</v>
      </c>
      <c r="D85" s="60">
        <v>19</v>
      </c>
      <c r="E85" s="61">
        <v>2E-3</v>
      </c>
    </row>
    <row r="86" spans="2:5" s="84" customFormat="1" ht="15" customHeight="1">
      <c r="B86" s="113"/>
      <c r="C86" s="59" t="s">
        <v>48</v>
      </c>
      <c r="D86" s="60">
        <v>37</v>
      </c>
      <c r="E86" s="61">
        <v>4.0000000000000001E-3</v>
      </c>
    </row>
    <row r="87" spans="2:5" s="84" customFormat="1" ht="15" customHeight="1">
      <c r="B87" s="113" t="s">
        <v>89</v>
      </c>
      <c r="C87" s="88" t="s">
        <v>12</v>
      </c>
      <c r="D87" s="64">
        <v>56</v>
      </c>
      <c r="E87" s="65">
        <v>7.0000000000000001E-3</v>
      </c>
    </row>
    <row r="88" spans="2:5" s="84" customFormat="1" ht="15" customHeight="1">
      <c r="B88" s="113" t="s">
        <v>90</v>
      </c>
      <c r="C88" s="59" t="s">
        <v>47</v>
      </c>
      <c r="D88" s="60">
        <v>41</v>
      </c>
      <c r="E88" s="61">
        <v>5.0000000000000001E-3</v>
      </c>
    </row>
    <row r="89" spans="2:5" s="84" customFormat="1" ht="15" customHeight="1">
      <c r="B89" s="113"/>
      <c r="C89" s="59" t="s">
        <v>48</v>
      </c>
      <c r="D89" s="60">
        <v>103</v>
      </c>
      <c r="E89" s="61">
        <v>1.2E-2</v>
      </c>
    </row>
    <row r="90" spans="2:5" s="84" customFormat="1" ht="15" customHeight="1">
      <c r="B90" s="113" t="s">
        <v>91</v>
      </c>
      <c r="C90" s="88" t="s">
        <v>12</v>
      </c>
      <c r="D90" s="64">
        <v>144</v>
      </c>
      <c r="E90" s="65">
        <v>1.7000000000000001E-2</v>
      </c>
    </row>
    <row r="91" spans="2:5" s="84" customFormat="1" ht="15" customHeight="1">
      <c r="B91" s="113" t="s">
        <v>92</v>
      </c>
      <c r="C91" s="59" t="s">
        <v>47</v>
      </c>
      <c r="D91" s="60">
        <v>1</v>
      </c>
      <c r="E91" s="61">
        <v>0</v>
      </c>
    </row>
    <row r="92" spans="2:5" s="84" customFormat="1" ht="15" customHeight="1">
      <c r="B92" s="113"/>
      <c r="C92" s="59" t="s">
        <v>48</v>
      </c>
      <c r="D92" s="60">
        <v>4</v>
      </c>
      <c r="E92" s="61">
        <v>0</v>
      </c>
    </row>
    <row r="93" spans="2:5" s="84" customFormat="1" ht="15" customHeight="1">
      <c r="B93" s="113" t="s">
        <v>93</v>
      </c>
      <c r="C93" s="88" t="s">
        <v>12</v>
      </c>
      <c r="D93" s="64">
        <v>5</v>
      </c>
      <c r="E93" s="65">
        <v>1E-3</v>
      </c>
    </row>
    <row r="94" spans="2:5" s="84" customFormat="1" ht="15" customHeight="1">
      <c r="B94" s="113" t="s">
        <v>94</v>
      </c>
      <c r="C94" s="59" t="s">
        <v>47</v>
      </c>
      <c r="D94" s="60">
        <v>28</v>
      </c>
      <c r="E94" s="61">
        <v>3.0000000000000001E-3</v>
      </c>
    </row>
    <row r="95" spans="2:5" s="84" customFormat="1" ht="15" customHeight="1">
      <c r="B95" s="113"/>
      <c r="C95" s="59" t="s">
        <v>48</v>
      </c>
      <c r="D95" s="60">
        <v>59</v>
      </c>
      <c r="E95" s="61">
        <v>7.0000000000000001E-3</v>
      </c>
    </row>
    <row r="96" spans="2:5" s="84" customFormat="1" ht="15" customHeight="1">
      <c r="B96" s="113" t="s">
        <v>95</v>
      </c>
      <c r="C96" s="88" t="s">
        <v>12</v>
      </c>
      <c r="D96" s="64">
        <v>87</v>
      </c>
      <c r="E96" s="65">
        <v>0.01</v>
      </c>
    </row>
    <row r="97" spans="2:5" s="84" customFormat="1" ht="15" customHeight="1">
      <c r="B97" s="113" t="s">
        <v>96</v>
      </c>
      <c r="C97" s="59" t="s">
        <v>47</v>
      </c>
      <c r="D97" s="60">
        <v>1</v>
      </c>
      <c r="E97" s="61">
        <v>0</v>
      </c>
    </row>
    <row r="98" spans="2:5" s="84" customFormat="1" ht="15" customHeight="1">
      <c r="B98" s="113"/>
      <c r="C98" s="59" t="s">
        <v>48</v>
      </c>
      <c r="D98" s="60">
        <v>3</v>
      </c>
      <c r="E98" s="61">
        <v>0</v>
      </c>
    </row>
    <row r="99" spans="2:5" s="84" customFormat="1" ht="15" customHeight="1">
      <c r="B99" s="113" t="s">
        <v>97</v>
      </c>
      <c r="C99" s="88" t="s">
        <v>12</v>
      </c>
      <c r="D99" s="64">
        <v>4</v>
      </c>
      <c r="E99" s="65">
        <v>0</v>
      </c>
    </row>
    <row r="100" spans="2:5" s="84" customFormat="1" ht="15" customHeight="1">
      <c r="B100" s="113" t="s">
        <v>98</v>
      </c>
      <c r="C100" s="59" t="s">
        <v>47</v>
      </c>
      <c r="D100" s="60">
        <v>45</v>
      </c>
      <c r="E100" s="61">
        <v>5.0000000000000001E-3</v>
      </c>
    </row>
    <row r="101" spans="2:5" s="84" customFormat="1" ht="15" customHeight="1">
      <c r="B101" s="113"/>
      <c r="C101" s="59" t="s">
        <v>48</v>
      </c>
      <c r="D101" s="60">
        <v>93</v>
      </c>
      <c r="E101" s="61">
        <v>1.0999999999999999E-2</v>
      </c>
    </row>
    <row r="102" spans="2:5" s="84" customFormat="1" ht="15" customHeight="1">
      <c r="B102" s="113" t="s">
        <v>99</v>
      </c>
      <c r="C102" s="88" t="s">
        <v>12</v>
      </c>
      <c r="D102" s="64">
        <v>138</v>
      </c>
      <c r="E102" s="65">
        <v>1.6E-2</v>
      </c>
    </row>
    <row r="103" spans="2:5" s="84" customFormat="1" ht="15" customHeight="1">
      <c r="B103" s="111" t="s">
        <v>100</v>
      </c>
      <c r="C103" s="59" t="s">
        <v>48</v>
      </c>
      <c r="D103" s="60">
        <v>5</v>
      </c>
      <c r="E103" s="61">
        <v>1E-3</v>
      </c>
    </row>
    <row r="104" spans="2:5" s="84" customFormat="1" ht="15" customHeight="1">
      <c r="B104" s="111" t="s">
        <v>101</v>
      </c>
      <c r="C104" s="88" t="s">
        <v>12</v>
      </c>
      <c r="D104" s="64">
        <v>5</v>
      </c>
      <c r="E104" s="65">
        <v>1E-3</v>
      </c>
    </row>
    <row r="105" spans="2:5" s="84" customFormat="1" ht="15" customHeight="1">
      <c r="B105" s="113" t="s">
        <v>102</v>
      </c>
      <c r="C105" s="59" t="s">
        <v>47</v>
      </c>
      <c r="D105" s="60">
        <v>13</v>
      </c>
      <c r="E105" s="61">
        <v>2E-3</v>
      </c>
    </row>
    <row r="106" spans="2:5" s="84" customFormat="1" ht="15" customHeight="1">
      <c r="B106" s="113"/>
      <c r="C106" s="59" t="s">
        <v>48</v>
      </c>
      <c r="D106" s="60">
        <v>36</v>
      </c>
      <c r="E106" s="61">
        <v>4.0000000000000001E-3</v>
      </c>
    </row>
    <row r="107" spans="2:5" s="84" customFormat="1" ht="15" customHeight="1">
      <c r="B107" s="113" t="s">
        <v>103</v>
      </c>
      <c r="C107" s="88" t="s">
        <v>12</v>
      </c>
      <c r="D107" s="64">
        <v>49</v>
      </c>
      <c r="E107" s="65">
        <v>6.0000000000000001E-3</v>
      </c>
    </row>
    <row r="108" spans="2:5" s="84" customFormat="1" ht="15" customHeight="1">
      <c r="B108" s="113" t="s">
        <v>104</v>
      </c>
      <c r="C108" s="59" t="s">
        <v>47</v>
      </c>
      <c r="D108" s="60">
        <v>368</v>
      </c>
      <c r="E108" s="61">
        <v>4.3999999999999997E-2</v>
      </c>
    </row>
    <row r="109" spans="2:5" s="84" customFormat="1" ht="15" customHeight="1">
      <c r="B109" s="113"/>
      <c r="C109" s="59" t="s">
        <v>48</v>
      </c>
      <c r="D109" s="60">
        <v>831</v>
      </c>
      <c r="E109" s="61">
        <v>9.9000000000000005E-2</v>
      </c>
    </row>
    <row r="110" spans="2:5" s="84" customFormat="1" ht="15" customHeight="1">
      <c r="B110" s="113" t="s">
        <v>105</v>
      </c>
      <c r="C110" s="88" t="s">
        <v>12</v>
      </c>
      <c r="D110" s="64">
        <v>1199</v>
      </c>
      <c r="E110" s="65">
        <v>0.14199999999999999</v>
      </c>
    </row>
    <row r="111" spans="2:5" s="84" customFormat="1" ht="15" customHeight="1">
      <c r="B111" s="113" t="s">
        <v>106</v>
      </c>
      <c r="C111" s="59" t="s">
        <v>47</v>
      </c>
      <c r="D111" s="60">
        <v>2</v>
      </c>
      <c r="E111" s="61">
        <v>0</v>
      </c>
    </row>
    <row r="112" spans="2:5" s="84" customFormat="1" ht="15" customHeight="1">
      <c r="B112" s="113"/>
      <c r="C112" s="59" t="s">
        <v>48</v>
      </c>
      <c r="D112" s="60">
        <v>6</v>
      </c>
      <c r="E112" s="61">
        <v>1E-3</v>
      </c>
    </row>
    <row r="113" spans="2:5" s="84" customFormat="1" ht="15" customHeight="1">
      <c r="B113" s="113" t="s">
        <v>107</v>
      </c>
      <c r="C113" s="88" t="s">
        <v>12</v>
      </c>
      <c r="D113" s="64">
        <v>8</v>
      </c>
      <c r="E113" s="65">
        <v>1E-3</v>
      </c>
    </row>
    <row r="114" spans="2:5" s="84" customFormat="1" ht="15" customHeight="1">
      <c r="B114" s="111" t="s">
        <v>108</v>
      </c>
      <c r="C114" s="59" t="s">
        <v>48</v>
      </c>
      <c r="D114" s="60">
        <v>12</v>
      </c>
      <c r="E114" s="61">
        <v>1E-3</v>
      </c>
    </row>
    <row r="115" spans="2:5" s="84" customFormat="1" ht="15" customHeight="1">
      <c r="B115" s="111"/>
      <c r="C115" s="88" t="s">
        <v>12</v>
      </c>
      <c r="D115" s="64">
        <v>12</v>
      </c>
      <c r="E115" s="65">
        <v>1E-3</v>
      </c>
    </row>
    <row r="116" spans="2:5" s="84" customFormat="1" ht="15" customHeight="1">
      <c r="B116" s="113" t="s">
        <v>109</v>
      </c>
      <c r="C116" s="59" t="s">
        <v>47</v>
      </c>
      <c r="D116" s="60">
        <v>11</v>
      </c>
      <c r="E116" s="61">
        <v>1E-3</v>
      </c>
    </row>
    <row r="117" spans="2:5" s="84" customFormat="1" ht="15" customHeight="1">
      <c r="B117" s="113"/>
      <c r="C117" s="59" t="s">
        <v>48</v>
      </c>
      <c r="D117" s="60">
        <v>28</v>
      </c>
      <c r="E117" s="61">
        <v>3.0000000000000001E-3</v>
      </c>
    </row>
    <row r="118" spans="2:5" s="84" customFormat="1" ht="15" customHeight="1">
      <c r="B118" s="113" t="s">
        <v>110</v>
      </c>
      <c r="C118" s="88" t="s">
        <v>12</v>
      </c>
      <c r="D118" s="64">
        <v>39</v>
      </c>
      <c r="E118" s="65">
        <v>5.0000000000000001E-3</v>
      </c>
    </row>
    <row r="119" spans="2:5" s="84" customFormat="1" ht="15" customHeight="1">
      <c r="B119" s="113" t="s">
        <v>111</v>
      </c>
      <c r="C119" s="59" t="s">
        <v>47</v>
      </c>
      <c r="D119" s="60">
        <v>1</v>
      </c>
      <c r="E119" s="61">
        <v>0</v>
      </c>
    </row>
    <row r="120" spans="2:5" s="84" customFormat="1" ht="15" customHeight="1">
      <c r="B120" s="113"/>
      <c r="C120" s="59" t="s">
        <v>48</v>
      </c>
      <c r="D120" s="60">
        <v>4</v>
      </c>
      <c r="E120" s="61">
        <v>0</v>
      </c>
    </row>
    <row r="121" spans="2:5" s="84" customFormat="1" ht="15" customHeight="1">
      <c r="B121" s="113" t="s">
        <v>112</v>
      </c>
      <c r="C121" s="88" t="s">
        <v>12</v>
      </c>
      <c r="D121" s="64">
        <v>5</v>
      </c>
      <c r="E121" s="65">
        <v>1E-3</v>
      </c>
    </row>
    <row r="122" spans="2:5" s="84" customFormat="1" ht="15" customHeight="1">
      <c r="B122" s="113" t="s">
        <v>113</v>
      </c>
      <c r="C122" s="59" t="s">
        <v>47</v>
      </c>
      <c r="D122" s="60">
        <v>33</v>
      </c>
      <c r="E122" s="61">
        <v>4.0000000000000001E-3</v>
      </c>
    </row>
    <row r="123" spans="2:5" s="84" customFormat="1" ht="15" customHeight="1">
      <c r="B123" s="113"/>
      <c r="C123" s="59" t="s">
        <v>48</v>
      </c>
      <c r="D123" s="60">
        <v>139</v>
      </c>
      <c r="E123" s="61">
        <v>1.6E-2</v>
      </c>
    </row>
    <row r="124" spans="2:5" s="84" customFormat="1" ht="15" customHeight="1">
      <c r="B124" s="113" t="s">
        <v>114</v>
      </c>
      <c r="C124" s="88" t="s">
        <v>12</v>
      </c>
      <c r="D124" s="64">
        <v>172</v>
      </c>
      <c r="E124" s="65">
        <v>0.02</v>
      </c>
    </row>
    <row r="125" spans="2:5" s="84" customFormat="1" ht="15" customHeight="1">
      <c r="B125" s="113" t="s">
        <v>115</v>
      </c>
      <c r="C125" s="59" t="s">
        <v>47</v>
      </c>
      <c r="D125" s="60">
        <v>484</v>
      </c>
      <c r="E125" s="61">
        <v>5.7000000000000002E-2</v>
      </c>
    </row>
    <row r="126" spans="2:5" s="84" customFormat="1" ht="15" customHeight="1">
      <c r="B126" s="113"/>
      <c r="C126" s="59" t="s">
        <v>48</v>
      </c>
      <c r="D126" s="60">
        <v>1246</v>
      </c>
      <c r="E126" s="61">
        <v>0.14799999999999999</v>
      </c>
    </row>
    <row r="127" spans="2:5" s="84" customFormat="1" ht="15" customHeight="1">
      <c r="B127" s="113" t="s">
        <v>116</v>
      </c>
      <c r="C127" s="88" t="s">
        <v>12</v>
      </c>
      <c r="D127" s="64">
        <v>1730</v>
      </c>
      <c r="E127" s="65">
        <v>0.20499999999999999</v>
      </c>
    </row>
    <row r="128" spans="2:5" s="84" customFormat="1" ht="15" customHeight="1">
      <c r="B128" s="113" t="s">
        <v>117</v>
      </c>
      <c r="C128" s="59" t="s">
        <v>47</v>
      </c>
      <c r="D128" s="60">
        <v>15</v>
      </c>
      <c r="E128" s="61">
        <v>2E-3</v>
      </c>
    </row>
    <row r="129" spans="2:5" s="84" customFormat="1" ht="15" customHeight="1">
      <c r="B129" s="113"/>
      <c r="C129" s="59" t="s">
        <v>48</v>
      </c>
      <c r="D129" s="60">
        <v>38</v>
      </c>
      <c r="E129" s="61">
        <v>5.0000000000000001E-3</v>
      </c>
    </row>
    <row r="130" spans="2:5" s="84" customFormat="1" ht="15" customHeight="1">
      <c r="B130" s="113" t="s">
        <v>118</v>
      </c>
      <c r="C130" s="88" t="s">
        <v>12</v>
      </c>
      <c r="D130" s="64">
        <v>53</v>
      </c>
      <c r="E130" s="65">
        <v>6.0000000000000001E-3</v>
      </c>
    </row>
    <row r="131" spans="2:5" s="84" customFormat="1" ht="15" customHeight="1">
      <c r="B131" s="113" t="s">
        <v>119</v>
      </c>
      <c r="C131" s="59" t="s">
        <v>47</v>
      </c>
      <c r="D131" s="60">
        <v>10</v>
      </c>
      <c r="E131" s="61">
        <v>1E-3</v>
      </c>
    </row>
    <row r="132" spans="2:5" s="84" customFormat="1" ht="15" customHeight="1">
      <c r="B132" s="113"/>
      <c r="C132" s="59" t="s">
        <v>48</v>
      </c>
      <c r="D132" s="60">
        <v>15</v>
      </c>
      <c r="E132" s="61">
        <v>2E-3</v>
      </c>
    </row>
    <row r="133" spans="2:5" s="84" customFormat="1" ht="15" customHeight="1">
      <c r="B133" s="113" t="s">
        <v>120</v>
      </c>
      <c r="C133" s="88" t="s">
        <v>12</v>
      </c>
      <c r="D133" s="64">
        <v>25</v>
      </c>
      <c r="E133" s="65">
        <v>3.0000000000000001E-3</v>
      </c>
    </row>
    <row r="134" spans="2:5" s="84" customFormat="1" ht="15" customHeight="1">
      <c r="B134" s="113" t="s">
        <v>121</v>
      </c>
      <c r="C134" s="59" t="s">
        <v>47</v>
      </c>
      <c r="D134" s="60">
        <v>21</v>
      </c>
      <c r="E134" s="61">
        <v>2E-3</v>
      </c>
    </row>
    <row r="135" spans="2:5" s="84" customFormat="1" ht="15" customHeight="1">
      <c r="B135" s="113"/>
      <c r="C135" s="59" t="s">
        <v>48</v>
      </c>
      <c r="D135" s="60">
        <v>52</v>
      </c>
      <c r="E135" s="61">
        <v>6.0000000000000001E-3</v>
      </c>
    </row>
    <row r="136" spans="2:5" s="84" customFormat="1" ht="15" customHeight="1">
      <c r="B136" s="113" t="s">
        <v>122</v>
      </c>
      <c r="C136" s="88" t="s">
        <v>12</v>
      </c>
      <c r="D136" s="64">
        <v>73</v>
      </c>
      <c r="E136" s="65">
        <v>8.9999999999999993E-3</v>
      </c>
    </row>
    <row r="137" spans="2:5" s="84" customFormat="1" ht="15" customHeight="1">
      <c r="B137" s="113" t="s">
        <v>123</v>
      </c>
      <c r="C137" s="59" t="s">
        <v>47</v>
      </c>
      <c r="D137" s="60">
        <v>16</v>
      </c>
      <c r="E137" s="61">
        <v>2E-3</v>
      </c>
    </row>
    <row r="138" spans="2:5" s="84" customFormat="1" ht="15" customHeight="1">
      <c r="B138" s="113"/>
      <c r="C138" s="59" t="s">
        <v>48</v>
      </c>
      <c r="D138" s="60">
        <v>27</v>
      </c>
      <c r="E138" s="61">
        <v>3.0000000000000001E-3</v>
      </c>
    </row>
    <row r="139" spans="2:5" s="84" customFormat="1" ht="15" customHeight="1">
      <c r="B139" s="113" t="s">
        <v>124</v>
      </c>
      <c r="C139" s="88" t="s">
        <v>12</v>
      </c>
      <c r="D139" s="64">
        <v>43</v>
      </c>
      <c r="E139" s="65">
        <v>5.0000000000000001E-3</v>
      </c>
    </row>
    <row r="140" spans="2:5" s="84" customFormat="1" ht="15" customHeight="1">
      <c r="B140" s="113" t="s">
        <v>125</v>
      </c>
      <c r="C140" s="59" t="s">
        <v>47</v>
      </c>
      <c r="D140" s="60">
        <v>6</v>
      </c>
      <c r="E140" s="61">
        <v>1E-3</v>
      </c>
    </row>
    <row r="141" spans="2:5" s="84" customFormat="1" ht="15" customHeight="1">
      <c r="B141" s="113"/>
      <c r="C141" s="59" t="s">
        <v>48</v>
      </c>
      <c r="D141" s="60">
        <v>16</v>
      </c>
      <c r="E141" s="61">
        <v>2E-3</v>
      </c>
    </row>
    <row r="142" spans="2:5" s="84" customFormat="1" ht="15" customHeight="1">
      <c r="B142" s="113" t="s">
        <v>126</v>
      </c>
      <c r="C142" s="88" t="s">
        <v>12</v>
      </c>
      <c r="D142" s="64">
        <v>22</v>
      </c>
      <c r="E142" s="65">
        <v>3.0000000000000001E-3</v>
      </c>
    </row>
    <row r="143" spans="2:5" s="84" customFormat="1" ht="15" customHeight="1">
      <c r="B143" s="114" t="s">
        <v>12</v>
      </c>
      <c r="C143" s="115"/>
      <c r="D143" s="62">
        <v>8426</v>
      </c>
      <c r="E143" s="63">
        <v>1</v>
      </c>
    </row>
    <row r="144" spans="2:5" s="84" customFormat="1" ht="15" customHeight="1">
      <c r="B144" s="85"/>
      <c r="C144" s="85"/>
      <c r="D144" s="86"/>
      <c r="E144" s="85"/>
    </row>
    <row r="145" spans="2:5" s="84" customFormat="1" ht="15" customHeight="1">
      <c r="B145" s="17" t="s">
        <v>44</v>
      </c>
      <c r="C145" s="85"/>
      <c r="D145" s="86"/>
      <c r="E145" s="85"/>
    </row>
    <row r="146" spans="2:5" s="84" customFormat="1" ht="15" customHeight="1">
      <c r="B146" s="18" t="s">
        <v>3</v>
      </c>
      <c r="C146" s="85"/>
      <c r="D146" s="86"/>
      <c r="E146" s="85"/>
    </row>
    <row r="147" spans="2:5" s="84" customFormat="1" ht="15" customHeight="1">
      <c r="B147" s="19" t="s">
        <v>45</v>
      </c>
      <c r="C147" s="85"/>
      <c r="D147" s="86"/>
      <c r="E147" s="85"/>
    </row>
    <row r="148" spans="2:5" s="84" customFormat="1" ht="15" customHeight="1">
      <c r="B148" s="17" t="s">
        <v>4</v>
      </c>
      <c r="C148" s="85"/>
      <c r="D148" s="86"/>
      <c r="E148" s="85"/>
    </row>
    <row r="149" spans="2:5" s="84" customFormat="1" ht="15" customHeight="1">
      <c r="B149" s="17" t="s">
        <v>46</v>
      </c>
      <c r="C149" s="85"/>
      <c r="D149" s="86"/>
      <c r="E149" s="85"/>
    </row>
  </sheetData>
  <mergeCells count="47">
    <mergeCell ref="B24:B26"/>
    <mergeCell ref="B8:E10"/>
    <mergeCell ref="B13:B15"/>
    <mergeCell ref="B16:B17"/>
    <mergeCell ref="B18:B20"/>
    <mergeCell ref="B21:B23"/>
    <mergeCell ref="B41:B43"/>
    <mergeCell ref="B44:B46"/>
    <mergeCell ref="B47:B49"/>
    <mergeCell ref="B50:B52"/>
    <mergeCell ref="B27:B29"/>
    <mergeCell ref="B30:B31"/>
    <mergeCell ref="B32:B34"/>
    <mergeCell ref="B35:B37"/>
    <mergeCell ref="B38:B40"/>
    <mergeCell ref="B143:C143"/>
    <mergeCell ref="B91:B93"/>
    <mergeCell ref="B94:B96"/>
    <mergeCell ref="B97:B99"/>
    <mergeCell ref="B100:B102"/>
    <mergeCell ref="B140:B142"/>
    <mergeCell ref="B114:B115"/>
    <mergeCell ref="B116:B118"/>
    <mergeCell ref="B119:B121"/>
    <mergeCell ref="B122:B124"/>
    <mergeCell ref="B125:B127"/>
    <mergeCell ref="B128:B130"/>
    <mergeCell ref="B131:B133"/>
    <mergeCell ref="B134:B136"/>
    <mergeCell ref="B137:B139"/>
    <mergeCell ref="B53:B55"/>
    <mergeCell ref="B56:B58"/>
    <mergeCell ref="B59:B61"/>
    <mergeCell ref="B62:B64"/>
    <mergeCell ref="B65:B67"/>
    <mergeCell ref="B68:B69"/>
    <mergeCell ref="B103:B104"/>
    <mergeCell ref="B105:B107"/>
    <mergeCell ref="B108:B110"/>
    <mergeCell ref="B111:B113"/>
    <mergeCell ref="B79:B81"/>
    <mergeCell ref="B82:B84"/>
    <mergeCell ref="B85:B87"/>
    <mergeCell ref="B88:B90"/>
    <mergeCell ref="B73:B75"/>
    <mergeCell ref="B76:B78"/>
    <mergeCell ref="B70:B72"/>
  </mergeCells>
  <printOptions horizontalCentered="1"/>
  <pageMargins left="0.74803149606299213" right="0.74803149606299213" top="0.98425196850393704" bottom="0.98425196850393704" header="0.51181102362204722" footer="0.51181102362204722"/>
  <pageSetup scale="61" orientation="portrait" r:id="rId1"/>
  <headerFooter>
    <oddFooter>&amp;C&amp;P de &amp;N</oddFooter>
  </headerFooter>
  <rowBreaks count="2" manualBreakCount="2">
    <brk id="60" max="16383" man="1"/>
    <brk id="110" max="16383" man="1"/>
  </rowBreaks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12">
    <tabColor rgb="FF00B0F0"/>
  </sheetPr>
  <dimension ref="B1:K33"/>
  <sheetViews>
    <sheetView showGridLines="0" view="pageBreakPreview" topLeftCell="A11" zoomScaleNormal="100" zoomScaleSheetLayoutView="100" workbookViewId="0">
      <selection activeCell="G12" sqref="G12"/>
    </sheetView>
  </sheetViews>
  <sheetFormatPr baseColWidth="10" defaultColWidth="11.453125" defaultRowHeight="10"/>
  <cols>
    <col min="1" max="1" width="5.7265625" style="1" customWidth="1"/>
    <col min="2" max="2" width="19" style="31" customWidth="1"/>
    <col min="3" max="3" width="24" style="31" customWidth="1"/>
    <col min="4" max="4" width="17.1796875" style="35" customWidth="1"/>
    <col min="5" max="5" width="16.54296875" style="35" customWidth="1"/>
    <col min="6" max="6" width="16.54296875" style="31" customWidth="1"/>
    <col min="7" max="7" width="5.7265625" style="1" customWidth="1"/>
    <col min="8" max="16384" width="11.453125" style="1"/>
  </cols>
  <sheetData>
    <row r="1" spans="2:7" s="8" customFormat="1" ht="14.5">
      <c r="B1" s="31"/>
      <c r="C1" s="31"/>
    </row>
    <row r="2" spans="2:7" s="31" customFormat="1">
      <c r="B2" s="42"/>
    </row>
    <row r="3" spans="2:7" ht="15" customHeight="1">
      <c r="B3" s="43"/>
      <c r="C3" s="2"/>
      <c r="D3" s="1"/>
      <c r="E3" s="1"/>
      <c r="G3" s="31"/>
    </row>
    <row r="4" spans="2:7" ht="30" customHeight="1">
      <c r="B4" s="43"/>
      <c r="C4" s="2"/>
      <c r="D4" s="1"/>
      <c r="E4" s="1"/>
      <c r="G4" s="31"/>
    </row>
    <row r="5" spans="2:7" ht="15" customHeight="1">
      <c r="B5" s="43"/>
      <c r="C5" s="2"/>
      <c r="D5" s="1"/>
      <c r="E5" s="1"/>
      <c r="G5" s="31"/>
    </row>
    <row r="6" spans="2:7" s="31" customFormat="1" ht="10.5">
      <c r="B6" s="34"/>
      <c r="C6" s="33"/>
    </row>
    <row r="7" spans="2:7" s="31" customFormat="1">
      <c r="B7" s="42"/>
    </row>
    <row r="8" spans="2:7" s="8" customFormat="1" ht="15" customHeight="1">
      <c r="B8" s="116" t="s">
        <v>270</v>
      </c>
      <c r="C8" s="117"/>
      <c r="D8" s="117"/>
      <c r="E8" s="117"/>
      <c r="F8" s="117"/>
    </row>
    <row r="9" spans="2:7" s="8" customFormat="1" ht="15" customHeight="1">
      <c r="B9" s="117"/>
      <c r="C9" s="117"/>
      <c r="D9" s="117"/>
      <c r="E9" s="117"/>
      <c r="F9" s="117"/>
      <c r="G9" s="41"/>
    </row>
    <row r="10" spans="2:7" s="8" customFormat="1" ht="15" customHeight="1">
      <c r="B10" s="117"/>
      <c r="C10" s="117"/>
      <c r="D10" s="117"/>
      <c r="E10" s="117"/>
      <c r="F10" s="117"/>
      <c r="G10" s="41"/>
    </row>
    <row r="11" spans="2:7" s="8" customFormat="1" ht="15.5" customHeight="1">
      <c r="B11" s="118"/>
      <c r="C11" s="118"/>
      <c r="D11" s="118"/>
      <c r="E11" s="118"/>
      <c r="F11" s="118"/>
    </row>
    <row r="12" spans="2:7" s="8" customFormat="1" ht="41" customHeight="1">
      <c r="B12" s="70" t="s">
        <v>13</v>
      </c>
      <c r="C12" s="70" t="s">
        <v>16</v>
      </c>
      <c r="D12" s="70" t="s">
        <v>1</v>
      </c>
      <c r="E12" s="70" t="s">
        <v>15</v>
      </c>
      <c r="F12" s="70" t="s">
        <v>14</v>
      </c>
    </row>
    <row r="13" spans="2:7" ht="14">
      <c r="B13" s="110" t="s">
        <v>47</v>
      </c>
      <c r="C13" s="87" t="s">
        <v>262</v>
      </c>
      <c r="D13" s="72">
        <v>13</v>
      </c>
      <c r="E13" s="73">
        <v>5.0329074719320001E-3</v>
      </c>
      <c r="F13" s="69">
        <f>D13/$D$27</f>
        <v>1.5428435793971042E-3</v>
      </c>
    </row>
    <row r="14" spans="2:7" ht="14">
      <c r="B14" s="110"/>
      <c r="C14" s="87" t="s">
        <v>263</v>
      </c>
      <c r="D14" s="72">
        <v>425</v>
      </c>
      <c r="E14" s="73">
        <v>0.16453735965931099</v>
      </c>
      <c r="F14" s="69">
        <f t="shared" ref="F14:F27" si="0">D14/$D$27</f>
        <v>5.0439117018751485E-2</v>
      </c>
    </row>
    <row r="15" spans="2:7" ht="14">
      <c r="B15" s="110"/>
      <c r="C15" s="87" t="s">
        <v>264</v>
      </c>
      <c r="D15" s="72">
        <v>730</v>
      </c>
      <c r="E15" s="73">
        <v>0.282617111885405</v>
      </c>
      <c r="F15" s="69">
        <f t="shared" si="0"/>
        <v>8.6636600996914309E-2</v>
      </c>
    </row>
    <row r="16" spans="2:7" ht="14">
      <c r="B16" s="110"/>
      <c r="C16" s="87" t="s">
        <v>265</v>
      </c>
      <c r="D16" s="72">
        <v>842</v>
      </c>
      <c r="E16" s="73">
        <v>0.32597754548974101</v>
      </c>
      <c r="F16" s="69">
        <f t="shared" si="0"/>
        <v>9.9928791834797054E-2</v>
      </c>
    </row>
    <row r="17" spans="2:11" ht="14">
      <c r="B17" s="110"/>
      <c r="C17" s="87" t="s">
        <v>266</v>
      </c>
      <c r="D17" s="72">
        <v>519</v>
      </c>
      <c r="E17" s="73">
        <v>0.200929152148664</v>
      </c>
      <c r="F17" s="69">
        <f t="shared" si="0"/>
        <v>6.1595062900545929E-2</v>
      </c>
    </row>
    <row r="18" spans="2:11" ht="14">
      <c r="B18" s="110"/>
      <c r="C18" s="87" t="s">
        <v>267</v>
      </c>
      <c r="D18" s="72">
        <v>45</v>
      </c>
      <c r="E18" s="73">
        <v>1.7421602787456001E-2</v>
      </c>
      <c r="F18" s="69">
        <f t="shared" si="0"/>
        <v>5.3406123902207453E-3</v>
      </c>
    </row>
    <row r="19" spans="2:11" ht="14">
      <c r="B19" s="110"/>
      <c r="C19" s="87" t="s">
        <v>268</v>
      </c>
      <c r="D19" s="72">
        <v>9</v>
      </c>
      <c r="E19" s="73">
        <v>3.4843205574909999E-3</v>
      </c>
      <c r="F19" s="69">
        <f t="shared" si="0"/>
        <v>1.0681224780441491E-3</v>
      </c>
    </row>
    <row r="20" spans="2:11" ht="14">
      <c r="B20" s="110" t="s">
        <v>48</v>
      </c>
      <c r="C20" s="87" t="s">
        <v>262</v>
      </c>
      <c r="D20" s="72">
        <v>16</v>
      </c>
      <c r="E20" s="73">
        <v>2.7383193564950001E-3</v>
      </c>
      <c r="F20" s="69">
        <f t="shared" si="0"/>
        <v>1.8988844054118206E-3</v>
      </c>
      <c r="K20" s="68"/>
    </row>
    <row r="21" spans="2:11" ht="14">
      <c r="B21" s="110"/>
      <c r="C21" s="87" t="s">
        <v>263</v>
      </c>
      <c r="D21" s="72">
        <v>1638</v>
      </c>
      <c r="E21" s="73">
        <v>0.28033544412117101</v>
      </c>
      <c r="F21" s="69">
        <f t="shared" si="0"/>
        <v>0.19439829100403513</v>
      </c>
    </row>
    <row r="22" spans="2:11" ht="14">
      <c r="B22" s="110"/>
      <c r="C22" s="87" t="s">
        <v>264</v>
      </c>
      <c r="D22" s="72">
        <v>1949</v>
      </c>
      <c r="E22" s="73">
        <v>0.333561526613041</v>
      </c>
      <c r="F22" s="69">
        <f t="shared" si="0"/>
        <v>0.2313078566342274</v>
      </c>
    </row>
    <row r="23" spans="2:11" ht="14">
      <c r="B23" s="110"/>
      <c r="C23" s="87" t="s">
        <v>265</v>
      </c>
      <c r="D23" s="72">
        <v>1403</v>
      </c>
      <c r="E23" s="73">
        <v>0.240116378572651</v>
      </c>
      <c r="F23" s="69">
        <f t="shared" si="0"/>
        <v>0.16650842629954901</v>
      </c>
    </row>
    <row r="24" spans="2:11" ht="14">
      <c r="B24" s="110"/>
      <c r="C24" s="87" t="s">
        <v>266</v>
      </c>
      <c r="D24" s="72">
        <v>764</v>
      </c>
      <c r="E24" s="73">
        <v>0.130754749272634</v>
      </c>
      <c r="F24" s="69">
        <f t="shared" si="0"/>
        <v>9.0671730358414429E-2</v>
      </c>
    </row>
    <row r="25" spans="2:11" ht="14">
      <c r="B25" s="110"/>
      <c r="C25" s="87" t="s">
        <v>267</v>
      </c>
      <c r="D25" s="72">
        <v>65</v>
      </c>
      <c r="E25" s="73">
        <v>1.1124422385761E-2</v>
      </c>
      <c r="F25" s="69">
        <f t="shared" si="0"/>
        <v>7.7142178969855212E-3</v>
      </c>
    </row>
    <row r="26" spans="2:11" ht="14">
      <c r="B26" s="110"/>
      <c r="C26" s="87" t="s">
        <v>268</v>
      </c>
      <c r="D26" s="72">
        <v>8</v>
      </c>
      <c r="E26" s="73">
        <v>1.369159678247E-3</v>
      </c>
      <c r="F26" s="71">
        <f t="shared" si="0"/>
        <v>9.4944220270591032E-4</v>
      </c>
    </row>
    <row r="27" spans="2:11" ht="14">
      <c r="B27" s="112" t="s">
        <v>12</v>
      </c>
      <c r="C27" s="112"/>
      <c r="D27" s="62">
        <v>8426</v>
      </c>
      <c r="E27" s="63">
        <v>1</v>
      </c>
      <c r="F27" s="63">
        <f t="shared" si="0"/>
        <v>1</v>
      </c>
    </row>
    <row r="28" spans="2:11" ht="15" customHeight="1"/>
    <row r="29" spans="2:11" ht="15" customHeight="1">
      <c r="B29" s="17" t="s">
        <v>44</v>
      </c>
    </row>
    <row r="30" spans="2:11" ht="15" customHeight="1">
      <c r="B30" s="18" t="s">
        <v>3</v>
      </c>
    </row>
    <row r="31" spans="2:11" ht="15" customHeight="1">
      <c r="B31" s="19" t="s">
        <v>45</v>
      </c>
    </row>
    <row r="32" spans="2:11" ht="15" customHeight="1">
      <c r="B32" s="17" t="s">
        <v>4</v>
      </c>
    </row>
    <row r="33" spans="2:2" ht="15" customHeight="1">
      <c r="B33" s="17" t="s">
        <v>46</v>
      </c>
    </row>
  </sheetData>
  <mergeCells count="4">
    <mergeCell ref="B8:F11"/>
    <mergeCell ref="B13:B19"/>
    <mergeCell ref="B20:B26"/>
    <mergeCell ref="B27:C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Plantilla_PorMunicipio1">
    <tabColor rgb="FF7030A0"/>
  </sheetPr>
  <dimension ref="B1:D65"/>
  <sheetViews>
    <sheetView showGridLines="0" tabSelected="1" view="pageBreakPreview" topLeftCell="A47" zoomScale="115" zoomScaleNormal="85" zoomScaleSheetLayoutView="115" workbookViewId="0">
      <selection activeCell="E11" sqref="E11"/>
    </sheetView>
  </sheetViews>
  <sheetFormatPr baseColWidth="10" defaultColWidth="11.453125" defaultRowHeight="14.5"/>
  <cols>
    <col min="1" max="1" width="9.26953125" style="8" customWidth="1"/>
    <col min="2" max="2" width="41.1796875" style="8" customWidth="1"/>
    <col min="3" max="3" width="17.7265625" style="16" customWidth="1"/>
    <col min="4" max="4" width="17.7265625" style="8" customWidth="1"/>
    <col min="5" max="5" width="9.26953125" style="8" customWidth="1"/>
    <col min="6" max="6" width="5.7265625" style="8" customWidth="1"/>
    <col min="7" max="16384" width="11.453125" style="8"/>
  </cols>
  <sheetData>
    <row r="1" spans="2:4" s="1" customFormat="1" ht="15" customHeight="1">
      <c r="C1" s="2"/>
    </row>
    <row r="2" spans="2:4" s="1" customFormat="1" ht="15" customHeight="1">
      <c r="C2" s="2"/>
    </row>
    <row r="3" spans="2:4" s="1" customFormat="1" ht="15" customHeight="1">
      <c r="C3" s="2"/>
    </row>
    <row r="4" spans="2:4" s="1" customFormat="1" ht="30" customHeight="1">
      <c r="C4" s="2"/>
      <c r="D4" s="3"/>
    </row>
    <row r="5" spans="2:4" s="1" customFormat="1" ht="15" customHeight="1">
      <c r="C5" s="2"/>
      <c r="D5" s="3"/>
    </row>
    <row r="6" spans="2:4" s="1" customFormat="1" ht="15" customHeight="1">
      <c r="C6" s="2"/>
      <c r="D6" s="3"/>
    </row>
    <row r="7" spans="2:4" s="1" customFormat="1" ht="15" customHeight="1">
      <c r="B7" s="98" t="s">
        <v>269</v>
      </c>
      <c r="C7" s="98"/>
      <c r="D7" s="98"/>
    </row>
    <row r="8" spans="2:4" s="1" customFormat="1" ht="15" customHeight="1">
      <c r="B8" s="98"/>
      <c r="C8" s="98"/>
      <c r="D8" s="98"/>
    </row>
    <row r="9" spans="2:4" s="1" customFormat="1" ht="33" customHeight="1">
      <c r="B9" s="98"/>
      <c r="C9" s="98"/>
      <c r="D9" s="98"/>
    </row>
    <row r="10" spans="2:4" s="1" customFormat="1" ht="4.5" customHeight="1">
      <c r="B10" s="4"/>
      <c r="C10" s="4"/>
      <c r="D10" s="4"/>
    </row>
    <row r="11" spans="2:4" s="1" customFormat="1" ht="33" customHeight="1">
      <c r="B11" s="5" t="s">
        <v>17</v>
      </c>
      <c r="C11" s="6" t="s">
        <v>1</v>
      </c>
      <c r="D11" s="7" t="s">
        <v>2</v>
      </c>
    </row>
    <row r="12" spans="2:4">
      <c r="B12" s="9" t="s">
        <v>166</v>
      </c>
      <c r="C12" s="10">
        <v>5373</v>
      </c>
      <c r="D12" s="11">
        <v>0.63766911939235704</v>
      </c>
    </row>
    <row r="13" spans="2:4">
      <c r="B13" s="9" t="s">
        <v>167</v>
      </c>
      <c r="C13" s="10">
        <v>1349</v>
      </c>
      <c r="D13" s="11">
        <v>0.160099691431284</v>
      </c>
    </row>
    <row r="14" spans="2:4">
      <c r="B14" s="9" t="s">
        <v>168</v>
      </c>
      <c r="C14" s="10">
        <v>500</v>
      </c>
      <c r="D14" s="11">
        <v>5.9340137669118997E-2</v>
      </c>
    </row>
    <row r="15" spans="2:4">
      <c r="B15" s="9" t="s">
        <v>169</v>
      </c>
      <c r="C15" s="10">
        <v>317</v>
      </c>
      <c r="D15" s="11">
        <v>3.7621647282221997E-2</v>
      </c>
    </row>
    <row r="16" spans="2:4">
      <c r="B16" s="9" t="s">
        <v>170</v>
      </c>
      <c r="C16" s="10">
        <v>177</v>
      </c>
      <c r="D16" s="11">
        <v>2.1006408734868001E-2</v>
      </c>
    </row>
    <row r="17" spans="2:4" ht="28">
      <c r="B17" s="9" t="s">
        <v>171</v>
      </c>
      <c r="C17" s="10">
        <v>152</v>
      </c>
      <c r="D17" s="11">
        <v>1.8039401851412E-2</v>
      </c>
    </row>
    <row r="18" spans="2:4">
      <c r="B18" s="9" t="s">
        <v>172</v>
      </c>
      <c r="C18" s="10">
        <v>98</v>
      </c>
      <c r="D18" s="11">
        <v>1.1630666983146999E-2</v>
      </c>
    </row>
    <row r="19" spans="2:4">
      <c r="B19" s="9" t="s">
        <v>173</v>
      </c>
      <c r="C19" s="10">
        <v>68</v>
      </c>
      <c r="D19" s="11">
        <v>8.0702587230000004E-3</v>
      </c>
    </row>
    <row r="20" spans="2:4">
      <c r="B20" s="9" t="s">
        <v>174</v>
      </c>
      <c r="C20" s="10">
        <v>47</v>
      </c>
      <c r="D20" s="11">
        <v>5.5779729408969997E-3</v>
      </c>
    </row>
    <row r="21" spans="2:4">
      <c r="B21" s="9" t="s">
        <v>175</v>
      </c>
      <c r="C21" s="10">
        <v>43</v>
      </c>
      <c r="D21" s="11">
        <v>5.1032518395439999E-3</v>
      </c>
    </row>
    <row r="22" spans="2:4">
      <c r="B22" s="9" t="s">
        <v>176</v>
      </c>
      <c r="C22" s="10">
        <v>33</v>
      </c>
      <c r="D22" s="11">
        <v>3.9164490861620001E-3</v>
      </c>
    </row>
    <row r="23" spans="2:4">
      <c r="B23" s="9" t="s">
        <v>177</v>
      </c>
      <c r="C23" s="10">
        <v>30</v>
      </c>
      <c r="D23" s="11">
        <v>3.560408260147E-3</v>
      </c>
    </row>
    <row r="24" spans="2:4">
      <c r="B24" s="9" t="s">
        <v>178</v>
      </c>
      <c r="C24" s="10">
        <v>30</v>
      </c>
      <c r="D24" s="11">
        <v>3.560408260147E-3</v>
      </c>
    </row>
    <row r="25" spans="2:4">
      <c r="B25" s="9" t="s">
        <v>179</v>
      </c>
      <c r="C25" s="10">
        <v>27</v>
      </c>
      <c r="D25" s="11">
        <v>3.2043674341319999E-3</v>
      </c>
    </row>
    <row r="26" spans="2:4">
      <c r="B26" s="9" t="s">
        <v>180</v>
      </c>
      <c r="C26" s="10">
        <v>24</v>
      </c>
      <c r="D26" s="11">
        <v>2.8483266081179999E-3</v>
      </c>
    </row>
    <row r="27" spans="2:4">
      <c r="B27" s="9" t="s">
        <v>181</v>
      </c>
      <c r="C27" s="10">
        <v>18</v>
      </c>
      <c r="D27" s="11">
        <v>2.1362449560879998E-3</v>
      </c>
    </row>
    <row r="28" spans="2:4">
      <c r="B28" s="9" t="s">
        <v>182</v>
      </c>
      <c r="C28" s="10">
        <v>17</v>
      </c>
      <c r="D28" s="11">
        <v>2.0175646807500001E-3</v>
      </c>
    </row>
    <row r="29" spans="2:4">
      <c r="B29" s="9" t="s">
        <v>183</v>
      </c>
      <c r="C29" s="10">
        <v>17</v>
      </c>
      <c r="D29" s="11">
        <v>2.0175646807500001E-3</v>
      </c>
    </row>
    <row r="30" spans="2:4">
      <c r="B30" s="9" t="s">
        <v>184</v>
      </c>
      <c r="C30" s="10">
        <v>15</v>
      </c>
      <c r="D30" s="11">
        <v>1.780204130074E-3</v>
      </c>
    </row>
    <row r="31" spans="2:4">
      <c r="B31" s="9" t="s">
        <v>185</v>
      </c>
      <c r="C31" s="10">
        <v>14</v>
      </c>
      <c r="D31" s="11">
        <v>1.661523854735E-3</v>
      </c>
    </row>
    <row r="32" spans="2:4">
      <c r="B32" s="9" t="s">
        <v>186</v>
      </c>
      <c r="C32" s="10">
        <v>13</v>
      </c>
      <c r="D32" s="11">
        <v>1.5428435793969999E-3</v>
      </c>
    </row>
    <row r="33" spans="2:4">
      <c r="B33" s="9" t="s">
        <v>187</v>
      </c>
      <c r="C33" s="10">
        <v>11</v>
      </c>
      <c r="D33" s="11">
        <v>1.305483028721E-3</v>
      </c>
    </row>
    <row r="34" spans="2:4">
      <c r="B34" s="9" t="s">
        <v>188</v>
      </c>
      <c r="C34" s="10">
        <v>8</v>
      </c>
      <c r="D34" s="11">
        <v>9.4944220270599998E-4</v>
      </c>
    </row>
    <row r="35" spans="2:4">
      <c r="B35" s="9" t="s">
        <v>189</v>
      </c>
      <c r="C35" s="10">
        <v>8</v>
      </c>
      <c r="D35" s="11">
        <v>9.4944220270599998E-4</v>
      </c>
    </row>
    <row r="36" spans="2:4">
      <c r="B36" s="9" t="s">
        <v>190</v>
      </c>
      <c r="C36" s="10">
        <v>3</v>
      </c>
      <c r="D36" s="11">
        <v>3.5604082601500001E-4</v>
      </c>
    </row>
    <row r="37" spans="2:4">
      <c r="B37" s="9" t="s">
        <v>191</v>
      </c>
      <c r="C37" s="10">
        <v>3</v>
      </c>
      <c r="D37" s="11">
        <v>3.5604082601500001E-4</v>
      </c>
    </row>
    <row r="38" spans="2:4">
      <c r="B38" s="9" t="s">
        <v>192</v>
      </c>
      <c r="C38" s="10">
        <v>3</v>
      </c>
      <c r="D38" s="11">
        <v>3.5604082601500001E-4</v>
      </c>
    </row>
    <row r="39" spans="2:4">
      <c r="B39" s="9" t="s">
        <v>193</v>
      </c>
      <c r="C39" s="10">
        <v>3</v>
      </c>
      <c r="D39" s="11">
        <v>3.5604082601500001E-4</v>
      </c>
    </row>
    <row r="40" spans="2:4">
      <c r="B40" s="9" t="s">
        <v>194</v>
      </c>
      <c r="C40" s="10">
        <v>3</v>
      </c>
      <c r="D40" s="11">
        <v>3.5604082601500001E-4</v>
      </c>
    </row>
    <row r="41" spans="2:4">
      <c r="B41" s="9" t="s">
        <v>195</v>
      </c>
      <c r="C41" s="10">
        <v>2</v>
      </c>
      <c r="D41" s="11">
        <v>2.3736055067599999E-4</v>
      </c>
    </row>
    <row r="42" spans="2:4">
      <c r="B42" s="9" t="s">
        <v>196</v>
      </c>
      <c r="C42" s="10">
        <v>2</v>
      </c>
      <c r="D42" s="11">
        <v>2.3736055067599999E-4</v>
      </c>
    </row>
    <row r="43" spans="2:4">
      <c r="B43" s="9" t="s">
        <v>163</v>
      </c>
      <c r="C43" s="10">
        <v>2</v>
      </c>
      <c r="D43" s="11">
        <v>2.3736055067599999E-4</v>
      </c>
    </row>
    <row r="44" spans="2:4">
      <c r="B44" s="9" t="s">
        <v>197</v>
      </c>
      <c r="C44" s="10">
        <v>2</v>
      </c>
      <c r="D44" s="11">
        <v>2.3736055067599999E-4</v>
      </c>
    </row>
    <row r="45" spans="2:4">
      <c r="B45" s="9" t="s">
        <v>198</v>
      </c>
      <c r="C45" s="10">
        <v>1</v>
      </c>
      <c r="D45" s="11">
        <v>1.1868027533799999E-4</v>
      </c>
    </row>
    <row r="46" spans="2:4">
      <c r="B46" s="9" t="s">
        <v>199</v>
      </c>
      <c r="C46" s="10">
        <v>1</v>
      </c>
      <c r="D46" s="11">
        <v>1.1868027533799999E-4</v>
      </c>
    </row>
    <row r="47" spans="2:4">
      <c r="B47" s="9" t="s">
        <v>200</v>
      </c>
      <c r="C47" s="10">
        <v>1</v>
      </c>
      <c r="D47" s="11">
        <v>1.1868027533799999E-4</v>
      </c>
    </row>
    <row r="48" spans="2:4">
      <c r="B48" s="9" t="s">
        <v>201</v>
      </c>
      <c r="C48" s="10">
        <v>1</v>
      </c>
      <c r="D48" s="11">
        <v>1.1868027533799999E-4</v>
      </c>
    </row>
    <row r="49" spans="2:4">
      <c r="B49" s="9" t="s">
        <v>202</v>
      </c>
      <c r="C49" s="10">
        <v>1</v>
      </c>
      <c r="D49" s="11">
        <v>1.1868027533799999E-4</v>
      </c>
    </row>
    <row r="50" spans="2:4">
      <c r="B50" s="9" t="s">
        <v>203</v>
      </c>
      <c r="C50" s="10">
        <v>1</v>
      </c>
      <c r="D50" s="11">
        <v>1.1868027533799999E-4</v>
      </c>
    </row>
    <row r="51" spans="2:4">
      <c r="B51" s="9" t="s">
        <v>204</v>
      </c>
      <c r="C51" s="10">
        <v>1</v>
      </c>
      <c r="D51" s="11">
        <v>1.1868027533799999E-4</v>
      </c>
    </row>
    <row r="52" spans="2:4">
      <c r="B52" s="9" t="s">
        <v>205</v>
      </c>
      <c r="C52" s="10">
        <v>1</v>
      </c>
      <c r="D52" s="11">
        <v>1.1868027533799999E-4</v>
      </c>
    </row>
    <row r="53" spans="2:4">
      <c r="B53" s="9" t="s">
        <v>206</v>
      </c>
      <c r="C53" s="10">
        <v>1</v>
      </c>
      <c r="D53" s="11">
        <v>1.1868027533799999E-4</v>
      </c>
    </row>
    <row r="54" spans="2:4">
      <c r="B54" s="9" t="s">
        <v>207</v>
      </c>
      <c r="C54" s="10">
        <v>1</v>
      </c>
      <c r="D54" s="11">
        <v>1.1868027533799999E-4</v>
      </c>
    </row>
    <row r="55" spans="2:4">
      <c r="B55" s="9" t="s">
        <v>208</v>
      </c>
      <c r="C55" s="10">
        <v>1</v>
      </c>
      <c r="D55" s="11">
        <v>1.1868027533799999E-4</v>
      </c>
    </row>
    <row r="56" spans="2:4">
      <c r="B56" s="9" t="s">
        <v>209</v>
      </c>
      <c r="C56" s="10">
        <v>1</v>
      </c>
      <c r="D56" s="11">
        <v>1.1868027533799999E-4</v>
      </c>
    </row>
    <row r="57" spans="2:4">
      <c r="B57" s="9" t="s">
        <v>210</v>
      </c>
      <c r="C57" s="10">
        <v>1</v>
      </c>
      <c r="D57" s="11">
        <v>1.1868027533799999E-4</v>
      </c>
    </row>
    <row r="58" spans="2:4">
      <c r="B58" s="9" t="s">
        <v>211</v>
      </c>
      <c r="C58" s="10">
        <v>1</v>
      </c>
      <c r="D58" s="11">
        <v>1.1868027533799999E-4</v>
      </c>
    </row>
    <row r="59" spans="2:4">
      <c r="B59" s="13" t="s">
        <v>12</v>
      </c>
      <c r="C59" s="14">
        <v>8426</v>
      </c>
      <c r="D59" s="15">
        <v>1</v>
      </c>
    </row>
    <row r="61" spans="2:4">
      <c r="B61" s="17" t="s">
        <v>44</v>
      </c>
    </row>
    <row r="62" spans="2:4">
      <c r="B62" s="18" t="s">
        <v>3</v>
      </c>
    </row>
    <row r="63" spans="2:4">
      <c r="B63" s="19" t="s">
        <v>45</v>
      </c>
    </row>
    <row r="64" spans="2:4">
      <c r="B64" s="17" t="s">
        <v>4</v>
      </c>
    </row>
    <row r="65" spans="2:2">
      <c r="B65" s="17" t="s">
        <v>46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15</vt:i4>
      </vt:variant>
      <vt:variant>
        <vt:lpstr>Rangos con nombre</vt:lpstr>
      </vt:variant>
      <vt:variant>
        <vt:i4>21</vt:i4>
      </vt:variant>
    </vt:vector>
  </HeadingPairs>
  <TitlesOfParts>
    <vt:vector size="36" baseType="lpstr">
      <vt:lpstr>Índice</vt:lpstr>
      <vt:lpstr>Aguascalientes_EdoUsa</vt:lpstr>
      <vt:lpstr>Aguascalientes_Cons</vt:lpstr>
      <vt:lpstr>AguascalientesXCons</vt:lpstr>
      <vt:lpstr>Aguascalientes_EdoMun</vt:lpstr>
      <vt:lpstr>Aguascalientes_USAMuni</vt:lpstr>
      <vt:lpstr>Aguascalientes_MUNICIPIO</vt:lpstr>
      <vt:lpstr>Aguascalientes_educ_gral</vt:lpstr>
      <vt:lpstr>Aguascalientes_NivelE_Cons</vt:lpstr>
      <vt:lpstr>Aguascalientes_EducCons</vt:lpstr>
      <vt:lpstr>Aguascalientes_GenGral</vt:lpstr>
      <vt:lpstr>Aguascalientes_GENERO</vt:lpstr>
      <vt:lpstr>Aguascalientes_GENERO_EUA</vt:lpstr>
      <vt:lpstr>Aguascalientes_Gen_Edad</vt:lpstr>
      <vt:lpstr>Aguascalientes_ocup_gral</vt:lpstr>
      <vt:lpstr>Aguascalientes_educ_gral!Área_de_impresión</vt:lpstr>
      <vt:lpstr>Aguascalientes_EducCons!Área_de_impresión</vt:lpstr>
      <vt:lpstr>Aguascalientes_Gen_Edad!Área_de_impresión</vt:lpstr>
      <vt:lpstr>Aguascalientes_MUNICIPIO!Área_de_impresión</vt:lpstr>
      <vt:lpstr>Aguascalientes_NivelE_Cons!Área_de_impresión</vt:lpstr>
      <vt:lpstr>Aguascalientes_ocup_gral!Área_de_impresión</vt:lpstr>
      <vt:lpstr>Aguascalientes_USAMuni!Área_de_impresión</vt:lpstr>
      <vt:lpstr>Aguascalientes_Cons!Títulos_a_imprimir</vt:lpstr>
      <vt:lpstr>Aguascalientes_EdoMun!Títulos_a_imprimir</vt:lpstr>
      <vt:lpstr>Aguascalientes_EdoUsa!Títulos_a_imprimir</vt:lpstr>
      <vt:lpstr>Aguascalientes_educ_gral!Títulos_a_imprimir</vt:lpstr>
      <vt:lpstr>Aguascalientes_EducCons!Títulos_a_imprimir</vt:lpstr>
      <vt:lpstr>Aguascalientes_Gen_Edad!Títulos_a_imprimir</vt:lpstr>
      <vt:lpstr>Aguascalientes_GENERO!Títulos_a_imprimir</vt:lpstr>
      <vt:lpstr>Aguascalientes_GENERO_EUA!Títulos_a_imprimir</vt:lpstr>
      <vt:lpstr>Aguascalientes_GenGral!Títulos_a_imprimir</vt:lpstr>
      <vt:lpstr>Aguascalientes_MUNICIPIO!Títulos_a_imprimir</vt:lpstr>
      <vt:lpstr>Aguascalientes_NivelE_Cons!Títulos_a_imprimir</vt:lpstr>
      <vt:lpstr>Aguascalientes_ocup_gral!Títulos_a_imprimir</vt:lpstr>
      <vt:lpstr>Aguascalientes_USAMuni!Títulos_a_imprimir</vt:lpstr>
      <vt:lpstr>AguascalientesXCons!Títulos_a_imprimir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Lidia</dc:creator>
  <cp:lastModifiedBy>Servicio Social IME 03</cp:lastModifiedBy>
  <dcterms:created xsi:type="dcterms:W3CDTF">2020-06-02T18:53:53Z</dcterms:created>
  <dcterms:modified xsi:type="dcterms:W3CDTF">2024-12-23T19:02:10Z</dcterms:modified>
</cp:coreProperties>
</file>