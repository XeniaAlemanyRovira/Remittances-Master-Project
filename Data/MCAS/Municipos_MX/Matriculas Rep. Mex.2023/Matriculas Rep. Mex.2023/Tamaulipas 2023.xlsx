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307756C9-7CE7-4717-ADA4-D78D76295F75}" xr6:coauthVersionLast="47" xr6:coauthVersionMax="47" xr10:uidLastSave="{00000000-0000-0000-0000-000000000000}"/>
  <bookViews>
    <workbookView xWindow="13605" yWindow="465" windowWidth="12105" windowHeight="13740" tabRatio="812" firstSheet="13" activeTab="14" xr2:uid="{00000000-000D-0000-FFFF-FFFF00000000}"/>
  </bookViews>
  <sheets>
    <sheet name="Índice" sheetId="1" r:id="rId1"/>
    <sheet name="Tamaulipas_EdoUsa" sheetId="2" r:id="rId2"/>
    <sheet name="Tamaulipas_Cons" sheetId="15" r:id="rId3"/>
    <sheet name="TamaulipasXCons" sheetId="16" r:id="rId4"/>
    <sheet name="Tamaulipas_EdoMun" sheetId="5" r:id="rId5"/>
    <sheet name="Tamaulipas_USAMuni" sheetId="6" r:id="rId6"/>
    <sheet name="Tamaulipas_MUNICIPIO" sheetId="7" r:id="rId7"/>
    <sheet name="Tamaulipas_educ_gral" sheetId="8" r:id="rId8"/>
    <sheet name="Tamaulipas_NivelE_Cons" sheetId="9" r:id="rId9"/>
    <sheet name="Tamaulipas_EducCons" sheetId="10" r:id="rId10"/>
    <sheet name="Tamaulipas_GenGral" sheetId="11" r:id="rId11"/>
    <sheet name="Tamaulipas_GENERO" sheetId="12" r:id="rId12"/>
    <sheet name="Tamaulipas_GENERO_EUA" sheetId="17" r:id="rId13"/>
    <sheet name="Tamaulipas_Gen_Edad" sheetId="13" r:id="rId14"/>
    <sheet name="Tamaulipas_ocup_gral" sheetId="14" r:id="rId15"/>
  </sheets>
  <definedNames>
    <definedName name="_xlnm._FilterDatabase" localSheetId="2" hidden="1">Tamaulipas_Cons!$B$11:$D$11</definedName>
    <definedName name="_xlnm._FilterDatabase" localSheetId="4" hidden="1">Tamaulipas_EdoMun!$B$11:$D$11</definedName>
    <definedName name="_xlnm._FilterDatabase" localSheetId="1" hidden="1">Tamaulipas_EdoUsa!$B$11:$D$11</definedName>
    <definedName name="_xlnm._FilterDatabase" localSheetId="7" hidden="1">Tamaulipas_educ_gral!$B$11:$D$11</definedName>
    <definedName name="_xlnm._FilterDatabase" localSheetId="9" hidden="1">Tamaulipas_EducCons!$B$9:$E$9</definedName>
    <definedName name="_xlnm._FilterDatabase" localSheetId="11" hidden="1">Tamaulipas_GENERO!$B$12:$E$144</definedName>
    <definedName name="_xlnm._FilterDatabase" localSheetId="12" hidden="1">Tamaulipas_GENERO_EUA!$B$12:$E$144</definedName>
    <definedName name="_xlnm._FilterDatabase" localSheetId="10" hidden="1">Tamaulipas_GenGral!$B$11:$D$11</definedName>
    <definedName name="_xlnm._FilterDatabase" localSheetId="6" hidden="1">Tamaulipas_MUNICIPIO!$B$9:$E$9</definedName>
    <definedName name="_xlnm._FilterDatabase" localSheetId="8" hidden="1">Tamaulipas_NivelE_Cons!$B$9:$E$9</definedName>
    <definedName name="_xlnm._FilterDatabase" localSheetId="14" hidden="1">Tamaulipas_ocup_gral!$B$11:$D$11</definedName>
    <definedName name="_xlnm._FilterDatabase" localSheetId="5" hidden="1">Tamaulipas_USAMuni!$B$9:$E$9</definedName>
    <definedName name="_xlnm._FilterDatabase" localSheetId="3" hidden="1">TamaulipasXCons!$B$11:$D$11</definedName>
    <definedName name="_xlnm.Print_Area" localSheetId="7">Tamaulipas_educ_gral!$A$1:$F$43</definedName>
    <definedName name="_xlnm.Print_Area" localSheetId="9">Tamaulipas_EducCons!$A$1:$E$724</definedName>
    <definedName name="_xlnm.Print_Area" localSheetId="13">Tamaulipas_Gen_Edad!$A$1:$G$35</definedName>
    <definedName name="_xlnm.Print_Area" localSheetId="6">Tamaulipas_MUNICIPIO!$A$1:$E$1049</definedName>
    <definedName name="_xlnm.Print_Area" localSheetId="8">Tamaulipas_NivelE_Cons!$A$1:$E$588</definedName>
    <definedName name="_xlnm.Print_Area" localSheetId="14">Tamaulipas_ocup_gral!$A$1:$E$78</definedName>
    <definedName name="_xlnm.Print_Area" localSheetId="5">Tamaulipas_USAMuni!$A$1:$E$836</definedName>
    <definedName name="_xlnm.Print_Titles" localSheetId="2">Tamaulipas_Cons!$1:$11</definedName>
    <definedName name="_xlnm.Print_Titles" localSheetId="4">Tamaulipas_EdoMun!$1:$11</definedName>
    <definedName name="_xlnm.Print_Titles" localSheetId="1">Tamaulipas_EdoUsa!$1:$11</definedName>
    <definedName name="_xlnm.Print_Titles" localSheetId="7">Tamaulipas_educ_gral!$1:$11</definedName>
    <definedName name="_xlnm.Print_Titles" localSheetId="9">Tamaulipas_EducCons!$1:$9</definedName>
    <definedName name="_xlnm.Print_Titles" localSheetId="13">Tamaulipas_Gen_Edad!$1:$12</definedName>
    <definedName name="_xlnm.Print_Titles" localSheetId="11">Tamaulipas_GENERO!$1:$12</definedName>
    <definedName name="_xlnm.Print_Titles" localSheetId="12">Tamaulipas_GENERO_EUA!$1:$12</definedName>
    <definedName name="_xlnm.Print_Titles" localSheetId="10">Tamaulipas_GenGral!$1:$11</definedName>
    <definedName name="_xlnm.Print_Titles" localSheetId="6">Tamaulipas_MUNICIPIO!$1:$9</definedName>
    <definedName name="_xlnm.Print_Titles" localSheetId="8">Tamaulipas_NivelE_Cons!$1:$9</definedName>
    <definedName name="_xlnm.Print_Titles" localSheetId="14">Tamaulipas_ocup_gral!$1:$11</definedName>
    <definedName name="_xlnm.Print_Titles" localSheetId="5">Tamaulipas_USAMuni!$1:$9</definedName>
    <definedName name="_xlnm.Print_Titles" localSheetId="3">TamaulipasXCons!$1:$11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6" l="1"/>
  <c r="D21" i="16" s="1"/>
  <c r="D12" i="16"/>
  <c r="D13" i="16" l="1"/>
  <c r="D14" i="16"/>
  <c r="D15" i="16"/>
  <c r="D16" i="16"/>
  <c r="D17" i="16"/>
  <c r="D18" i="16"/>
  <c r="D19" i="16"/>
  <c r="D20" i="16"/>
  <c r="D22" i="16"/>
</calcChain>
</file>

<file path=xl/sharedStrings.xml><?xml version="1.0" encoding="utf-8"?>
<sst xmlns="http://schemas.openxmlformats.org/spreadsheetml/2006/main" count="4215" uniqueCount="381">
  <si>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</si>
  <si>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</si>
  <si>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</si>
  <si>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</si>
  <si>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</si>
  <si>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</si>
  <si>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</si>
  <si>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</si>
  <si>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</si>
  <si>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</si>
  <si>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</si>
  <si>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</si>
  <si>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</si>
  <si>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</si>
  <si>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</si>
  <si>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</si>
  <si>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</si>
  <si>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</si>
  <si>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</si>
  <si>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</si>
  <si>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</si>
  <si>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</si>
  <si>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</si>
  <si>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</si>
  <si>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</si>
  <si>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</si>
  <si>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</si>
  <si>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</si>
  <si>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</si>
  <si>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</si>
  <si>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</si>
  <si>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</si>
  <si>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</si>
  <si>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</si>
  <si>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Ocupación</t>
  </si>
  <si>
    <t>5.3 Por Estado de la Unión Americana</t>
  </si>
  <si>
    <t>MATRÍCULAS CONSULARES DE ALTA SEGURIDAD EXPEDIDAS A ORIGINARIOS DE TAMAULIPAS EN LOS CONSULADOS DE MÉXICO EN EE.UU.</t>
  </si>
  <si>
    <t xml:space="preserve">MATRÍCULAS CONSULARES EXPEDIDAS A ORIGINARIOS DE TAMAULIPAS POR GÉNERO EN EE.UU </t>
  </si>
  <si>
    <t>MATRÍCULAS CONSULARES EXPEDIDAS EN EE.UU. A ORIGINARIOS DE TAMAULIPAS POR NIVEL DE EDUCACIÓN</t>
  </si>
  <si>
    <t>MATRÍCULAS CONSULARES EXPEDIDAS A ORIGINARIOS DE TAMAULIPAS POR GÉNERO Y CONSULADO</t>
  </si>
  <si>
    <t>MATRÍCULAS CONSULARES EXPEDIDAS A ORIGINARIOS DE TAMAULIPAS POR GÉNERO Y POR ESTADO DE LA UNIÓN AMERICANA</t>
  </si>
  <si>
    <t xml:space="preserve">MATRÍCULAS CONSULARES DE ALTA SEGURIDAD EXPEDIDAS POR MUNICIPIO A ORIGINARIOS DEL ESTADO DE TAMAULIPAS EN LOS CONSULADOS DE MÉXICO EN EE.UU. </t>
  </si>
  <si>
    <t>MATRÍCULAS CONSULARES DE ALTA SEGURIDAD EXPEDIDAS A ORIGINARIOS DE TAMAULIPAS POR ESTADO DE LA UNIÓN AMERICANA.</t>
  </si>
  <si>
    <t>LOS 10 CONSULADOS  DE MÉXICO EN EE.UU., CON MAYOR NÚMERO DE EXPEDICIÓN DE  MATRÍCULAS CONSULARES DE ALTA SEGURIDAD A ORIGINARIOS DE TAMAULIPAS</t>
  </si>
  <si>
    <t>TOTAL TOP 10</t>
  </si>
  <si>
    <t>TOTAL GENERAL</t>
  </si>
  <si>
    <t xml:space="preserve">  Matrículas consulares expedidas a originarios de Tamaulipas en el 2023</t>
  </si>
  <si>
    <t>Tamaño de la muestra: 789,030</t>
  </si>
  <si>
    <t>Elaborado por: Análisis de Información, Instituto de Mexicanas y Mexicanos en el Exterior</t>
  </si>
  <si>
    <t>Noviembre de 2024</t>
  </si>
  <si>
    <t>MCALLEN</t>
  </si>
  <si>
    <t>HOUSTON</t>
  </si>
  <si>
    <t>BROWNSVILLE</t>
  </si>
  <si>
    <t>DALLAS</t>
  </si>
  <si>
    <t>LAREDO</t>
  </si>
  <si>
    <t>SAN ANTONIO</t>
  </si>
  <si>
    <t>ATLANTA</t>
  </si>
  <si>
    <t>CHICAGO</t>
  </si>
  <si>
    <t>RALEIGH</t>
  </si>
  <si>
    <t>LITTLE ROCK</t>
  </si>
  <si>
    <t>AUSTIN</t>
  </si>
  <si>
    <t>NUEVA ORLEANS</t>
  </si>
  <si>
    <t>ORLANDO</t>
  </si>
  <si>
    <t>OKLAHOMA CITY</t>
  </si>
  <si>
    <t>DETROIT</t>
  </si>
  <si>
    <t>MIAMI</t>
  </si>
  <si>
    <t>KANSAS CITY</t>
  </si>
  <si>
    <t>SAINT PAUL</t>
  </si>
  <si>
    <t>INDIANAPOLIS</t>
  </si>
  <si>
    <t>LOS ANGELES</t>
  </si>
  <si>
    <t>WASHINGTON</t>
  </si>
  <si>
    <t>OMAHA</t>
  </si>
  <si>
    <t>FILADELFIA</t>
  </si>
  <si>
    <t>DENVER</t>
  </si>
  <si>
    <t>MILWAUKEE</t>
  </si>
  <si>
    <t>FRESNO</t>
  </si>
  <si>
    <t>NUEVA YORK</t>
  </si>
  <si>
    <t>ALBUQUERQUE</t>
  </si>
  <si>
    <t>SANTA ANA</t>
  </si>
  <si>
    <t>PHOENIX</t>
  </si>
  <si>
    <t>SAN JOSE</t>
  </si>
  <si>
    <t>LAS VEGAS</t>
  </si>
  <si>
    <t>SAN BERNARDINO</t>
  </si>
  <si>
    <t>PRESIDIO</t>
  </si>
  <si>
    <t>BOSTON</t>
  </si>
  <si>
    <t>SACRAMENTO</t>
  </si>
  <si>
    <t>SAN DIEGO</t>
  </si>
  <si>
    <t>SAN FRANCISCO</t>
  </si>
  <si>
    <t>SALT LAKE CITY</t>
  </si>
  <si>
    <t>EL PASO</t>
  </si>
  <si>
    <t>BOISE</t>
  </si>
  <si>
    <t>OXNARD</t>
  </si>
  <si>
    <t>DEL RIO</t>
  </si>
  <si>
    <t>PORTLAND</t>
  </si>
  <si>
    <t>EAGLE PASS</t>
  </si>
  <si>
    <t>NEW BRUNSWICK</t>
  </si>
  <si>
    <t>SEATTLE</t>
  </si>
  <si>
    <t>TUCSON</t>
  </si>
  <si>
    <t>YUMA</t>
  </si>
  <si>
    <t>CALEXICO</t>
  </si>
  <si>
    <t>NOGALES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</si>
  <si>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</si>
  <si>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</si>
  <si>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</si>
  <si>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</si>
  <si>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</si>
  <si>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</si>
  <si>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</si>
  <si>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</si>
  <si>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</si>
  <si>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</si>
  <si>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</si>
  <si>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</si>
  <si>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</si>
  <si>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</si>
  <si>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</si>
  <si>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</si>
  <si>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</si>
  <si>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</si>
  <si>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</si>
  <si>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</si>
  <si>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</si>
  <si>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</si>
  <si>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</si>
  <si>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</si>
  <si>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</si>
  <si>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</si>
  <si>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</si>
  <si>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</si>
  <si>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</si>
  <si>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</si>
  <si>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</si>
  <si>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</si>
  <si>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</si>
  <si>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</si>
  <si>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</si>
  <si>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</si>
  <si>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</si>
  <si>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</si>
  <si>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</si>
  <si>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</si>
  <si>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</si>
  <si>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</si>
  <si>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</si>
  <si>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</si>
  <si>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</si>
  <si>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</si>
  <si>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</si>
  <si>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</si>
  <si>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</si>
  <si>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</si>
  <si>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CALIFORNIA Total</t>
  </si>
  <si>
    <t>COLORADO Total</t>
  </si>
  <si>
    <t>CONNECTICUT Total</t>
  </si>
  <si>
    <t>DELAWARE Total</t>
  </si>
  <si>
    <t>FLORIDA Total</t>
  </si>
  <si>
    <t>GEORGIA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</si>
  <si>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</si>
  <si>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</si>
  <si>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</si>
  <si>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</si>
  <si>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</si>
  <si>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</si>
  <si>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</si>
  <si>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MAINE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</si>
  <si>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</si>
  <si>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</si>
  <si>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</si>
  <si>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</si>
  <si>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</si>
  <si>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</si>
  <si>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</si>
  <si>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NEBRASKA Total</t>
  </si>
  <si>
    <t>NEVADA Total</t>
  </si>
  <si>
    <t>NEW JERSEY Total</t>
  </si>
  <si>
    <t>NEW MEXICO Total</t>
  </si>
  <si>
    <t>NEW YORK Total</t>
  </si>
  <si>
    <t>NORTH CAROLINA Total</t>
  </si>
  <si>
    <t>NORTH DAKOTA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</si>
  <si>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</si>
  <si>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</si>
  <si>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</si>
  <si>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</si>
  <si>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</si>
  <si>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</si>
  <si>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SOUTH DAKOTA Total</t>
  </si>
  <si>
    <t>TENNESSEE Total</t>
  </si>
  <si>
    <t>TEXAS Total</t>
  </si>
  <si>
    <t>UTAH Total</t>
  </si>
  <si>
    <t>VERMONT Total</t>
  </si>
  <si>
    <t>VIRGINIA Total</t>
  </si>
  <si>
    <t>WASHINGTON Total</t>
  </si>
  <si>
    <t>WEST VIRGINIA Total</t>
  </si>
  <si>
    <t>WISCONSIN 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</si>
  <si>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</si>
  <si>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</si>
  <si>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</si>
  <si>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</si>
  <si>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</si>
  <si>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</si>
  <si>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</si>
  <si>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</si>
  <si>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</si>
  <si>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</si>
  <si>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</si>
  <si>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</si>
  <si>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</si>
  <si>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</si>
  <si>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</si>
  <si>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</si>
  <si>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</si>
  <si>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</si>
  <si>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</si>
  <si>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</si>
  <si>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</si>
  <si>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</si>
  <si>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</si>
  <si>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</si>
  <si>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</si>
  <si>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ABASOLO</t>
  </si>
  <si>
    <t>ALDAMA</t>
  </si>
  <si>
    <t>ALTAMIRA</t>
  </si>
  <si>
    <t>BURGOS</t>
  </si>
  <si>
    <t>BUSTAMANTE</t>
  </si>
  <si>
    <t>CIUDAD MADERO</t>
  </si>
  <si>
    <t>CRUILLAS</t>
  </si>
  <si>
    <t>EL MANTE</t>
  </si>
  <si>
    <t>GONZÁLEZ</t>
  </si>
  <si>
    <t>JAUMAVE</t>
  </si>
  <si>
    <t>LLERA</t>
  </si>
  <si>
    <t>MATAMOROS</t>
  </si>
  <si>
    <t>MIGUEL ALEMÁN</t>
  </si>
  <si>
    <t>NUEVO LAREDO</t>
  </si>
  <si>
    <t>NUEVO MORELOS</t>
  </si>
  <si>
    <t>OCAMPO</t>
  </si>
  <si>
    <t>REYNOSA</t>
  </si>
  <si>
    <t>RÍO BRAVO</t>
  </si>
  <si>
    <t>SAN FERNANDO</t>
  </si>
  <si>
    <t>SOTO LA MARINA</t>
  </si>
  <si>
    <t>TAMPICO</t>
  </si>
  <si>
    <t>TULA</t>
  </si>
  <si>
    <t>VALLE HERMOSO</t>
  </si>
  <si>
    <t>VICTORIA</t>
  </si>
  <si>
    <t>XICOTÉNCATL</t>
  </si>
  <si>
    <t>GUSTAVO DÍAZ ORDAZ</t>
  </si>
  <si>
    <t>VILLAGRÁN</t>
  </si>
  <si>
    <t>ANTIGUO MORELOS</t>
  </si>
  <si>
    <t>CAMARGO</t>
  </si>
  <si>
    <t>GÓMEZ FARÍAS</t>
  </si>
  <si>
    <t>GÜÉMEZ</t>
  </si>
  <si>
    <t>JIMÉNEZ</t>
  </si>
  <si>
    <t>MIER</t>
  </si>
  <si>
    <t>MIQUIHUANA</t>
  </si>
  <si>
    <t>MÉNDEZ</t>
  </si>
  <si>
    <t>NO SE REGISTRÓ EL MUNICIPIO/CONDADO/ALCALDÍA DE NACIMIENTO</t>
  </si>
  <si>
    <t>SAN LUIS POTOSÍ</t>
  </si>
  <si>
    <t>HIDALGO</t>
  </si>
  <si>
    <t>MAINERO</t>
  </si>
  <si>
    <t>PADILLA</t>
  </si>
  <si>
    <t>SAN CARLOS</t>
  </si>
  <si>
    <t>CASAS</t>
  </si>
  <si>
    <t>PALMILLAS</t>
  </si>
  <si>
    <t>GUERRERO</t>
  </si>
  <si>
    <t>SAN NICOLÁS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</si>
  <si>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</si>
  <si>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</si>
  <si>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</si>
  <si>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</si>
  <si>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</si>
  <si>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</si>
  <si>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</si>
  <si>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</si>
  <si>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</si>
  <si>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</si>
  <si>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ESTUDIANTE</t>
  </si>
  <si>
    <t>CONSTRUCCIÓN, TRAB. DE LA IND. DE LA</t>
  </si>
  <si>
    <t>OBRERO(A)</t>
  </si>
  <si>
    <t>VENDEDOR(A)</t>
  </si>
  <si>
    <t>JARDINERO(A)</t>
  </si>
  <si>
    <t>ALIMENTOS Y BEBIDAS, ESP. EN PREPARACIÓN DE</t>
  </si>
  <si>
    <t>MECÁNICO(A)</t>
  </si>
  <si>
    <t>PINTOR(A)</t>
  </si>
  <si>
    <t>PROFESIONISTA</t>
  </si>
  <si>
    <t>JUBILADO(A)/PENSIONADO(A)</t>
  </si>
  <si>
    <t>AGROPECUARIA, TRAB. DE LA INDUSTRIA</t>
  </si>
  <si>
    <t>CARPINTERO/TAPICERO</t>
  </si>
  <si>
    <t>EMPRESARIO(A)</t>
  </si>
  <si>
    <t>CHOFER</t>
  </si>
  <si>
    <t>LIMPIEZA, EMPLEADO DE</t>
  </si>
  <si>
    <t>MESERO(A)</t>
  </si>
  <si>
    <t>DESEMPLEADO</t>
  </si>
  <si>
    <t>TÉCNICO(A) EN MANTENIMIENTO</t>
  </si>
  <si>
    <t>OPERARIO(A)</t>
  </si>
  <si>
    <t>SIN ESPECIFICAR</t>
  </si>
  <si>
    <t>SOLDADOR</t>
  </si>
  <si>
    <t>BELLEZA, PROFESIONAL DE SERVICIOS DE</t>
  </si>
  <si>
    <t>CAJERO(A)/COBRADOR(A)</t>
  </si>
  <si>
    <t>ENFERMERO(A)/TRAB. DE APOYO EN SALUD</t>
  </si>
  <si>
    <t>PROFESOR(A)</t>
  </si>
  <si>
    <t>CARNICERO(A)</t>
  </si>
  <si>
    <t>ADMINISTRADOR(A)/CONTADOR(A)</t>
  </si>
  <si>
    <t>ARTISTA INTERPRETATIVO(A)</t>
  </si>
  <si>
    <t>PROFESIONAL TÉCNICO</t>
  </si>
  <si>
    <t>DISCAPACITADO</t>
  </si>
  <si>
    <t>INGENIERO(A)</t>
  </si>
  <si>
    <t>MINISTRO(A) RELIGIOSO(A)</t>
  </si>
  <si>
    <t>AUXILIARES ADMINISTRATIVOS Y DE OFICINA</t>
  </si>
  <si>
    <t>GERENTE/DIRECTOR(A)</t>
  </si>
  <si>
    <t>COMERCIANTE</t>
  </si>
  <si>
    <t>OTRO</t>
  </si>
  <si>
    <t>SUPERVISOR(A)</t>
  </si>
  <si>
    <t>FOTÓGRAFO(A)</t>
  </si>
  <si>
    <t>DISEÑADOR(A)</t>
  </si>
  <si>
    <t>HOJALATERO</t>
  </si>
  <si>
    <t>INVESTIGADOR(A)</t>
  </si>
  <si>
    <t>ABOGADO(A)</t>
  </si>
  <si>
    <t>MODISTA/SASTRE</t>
  </si>
  <si>
    <t>MÉDICO(A) /ESP. EN SALUD</t>
  </si>
  <si>
    <t>POLICÍA/ SERV. SEGURIDAD Y PROTECCIÓN</t>
  </si>
  <si>
    <t>TRABAJADOR(A) DOMÉSTICO(A)</t>
  </si>
  <si>
    <t>ARTISTA PLÁSTICO/PINTOR(A)</t>
  </si>
  <si>
    <t>CONSULTOR</t>
  </si>
  <si>
    <t>AEROCOMERCIAL, TRAB. DE LA INDUSTRIA</t>
  </si>
  <si>
    <t>BANQUERO/INVERSIONISTA</t>
  </si>
  <si>
    <t>DEPORTISTA/ENTRENADOR DEPORTIVO</t>
  </si>
  <si>
    <t>EXTRACCIÓN, TRAB. DE LA INDUSTRIA DE LA</t>
  </si>
  <si>
    <t>HERRERO(A)/CERRAJERO(A)/JOYERO(A)</t>
  </si>
  <si>
    <t>MISIONERO(A)</t>
  </si>
  <si>
    <t>ODONTÓLOGO(A)</t>
  </si>
  <si>
    <t>PLANCHADOR(A)</t>
  </si>
  <si>
    <t>ZAPATERO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</si>
  <si>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</si>
  <si>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</si>
  <si>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</si>
  <si>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</si>
  <si>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</si>
  <si>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</si>
  <si>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</si>
  <si>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</si>
  <si>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DEL RIO Total</t>
  </si>
  <si>
    <t>DENVER Total</t>
  </si>
  <si>
    <t>DETROIT Total</t>
  </si>
  <si>
    <t>EAGLE PASS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</si>
  <si>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</si>
  <si>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</si>
  <si>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</si>
  <si>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</si>
  <si>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</si>
  <si>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</si>
  <si>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</si>
  <si>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</si>
  <si>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</si>
  <si>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</si>
  <si>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</si>
  <si>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</si>
  <si>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</si>
  <si>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NEW BRUNSWICK Total</t>
  </si>
  <si>
    <t>NOGALES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</si>
  <si>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</si>
  <si>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</si>
  <si>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</si>
  <si>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</si>
  <si>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</si>
  <si>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</si>
  <si>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</si>
  <si>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</si>
  <si>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</si>
  <si>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</si>
  <si>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</si>
  <si>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</si>
  <si>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</si>
  <si>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</si>
  <si>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</si>
  <si>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</si>
  <si>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</si>
  <si>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</si>
  <si>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</si>
  <si>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</si>
  <si>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YUMA Total</t>
  </si>
  <si>
    <t>MATRÍCULAS CONSULARES EXPEDIDAS A ORIGINARIOS DE TAMAULIPAS POR GÉNERO Y EDAD 
EN EE.UU.</t>
  </si>
  <si>
    <t>MATRÍCULAS CONSULARES EXPEDIDAS EN EE.UU. ORIGINARIOS DE TAMAULIPAS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</si>
</sst>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5" fillId="0" borderId="0"/>
  </cellStyleXfs>
  <cellXfs count="10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0" fontId="14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7" fillId="3" borderId="0" xfId="0" applyFont="1" applyFill="1"/>
    <xf numFmtId="0" fontId="14" fillId="3" borderId="0" xfId="0" applyFont="1" applyFill="1" applyAlignment="1">
      <alignment vertical="center"/>
    </xf>
    <xf numFmtId="3" fontId="9" fillId="3" borderId="0" xfId="0" applyNumberFormat="1" applyFont="1" applyFill="1"/>
    <xf numFmtId="1" fontId="9" fillId="3" borderId="0" xfId="0" applyNumberFormat="1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8" fillId="3" borderId="0" xfId="0" applyNumberFormat="1" applyFont="1" applyFill="1"/>
    <xf numFmtId="0" fontId="3" fillId="3" borderId="0" xfId="0" applyFont="1" applyFill="1"/>
    <xf numFmtId="0" fontId="9" fillId="3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19" fillId="3" borderId="16" xfId="0" applyFont="1" applyFill="1" applyBorder="1" applyAlignment="1">
      <alignment horizontal="center" vertical="distributed"/>
    </xf>
    <xf numFmtId="0" fontId="21" fillId="0" borderId="4" xfId="0" applyFont="1" applyBorder="1"/>
    <xf numFmtId="0" fontId="22" fillId="0" borderId="0" xfId="1" applyFont="1" applyBorder="1" applyAlignment="1">
      <alignment horizontal="left"/>
    </xf>
    <xf numFmtId="0" fontId="23" fillId="3" borderId="0" xfId="0" applyFont="1" applyFill="1"/>
    <xf numFmtId="0" fontId="24" fillId="6" borderId="9" xfId="3" applyFont="1" applyFill="1" applyBorder="1" applyAlignment="1">
      <alignment horizontal="center" vertical="center" wrapText="1"/>
    </xf>
    <xf numFmtId="49" fontId="6" fillId="7" borderId="9" xfId="0" applyNumberFormat="1" applyFont="1" applyFill="1" applyBorder="1" applyAlignment="1">
      <alignment horizontal="left" vertical="center" wrapText="1"/>
    </xf>
    <xf numFmtId="3" fontId="6" fillId="7" borderId="9" xfId="0" applyNumberFormat="1" applyFont="1" applyFill="1" applyBorder="1" applyAlignment="1">
      <alignment horizontal="right" vertical="center" wrapText="1"/>
    </xf>
    <xf numFmtId="164" fontId="6" fillId="7" borderId="9" xfId="0" applyNumberFormat="1" applyFont="1" applyFill="1" applyBorder="1" applyAlignment="1">
      <alignment horizontal="right"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49" fontId="24" fillId="9" borderId="12" xfId="0" applyNumberFormat="1" applyFont="1" applyFill="1" applyBorder="1" applyAlignment="1">
      <alignment vertical="center" wrapText="1"/>
    </xf>
    <xf numFmtId="3" fontId="24" fillId="9" borderId="9" xfId="0" applyNumberFormat="1" applyFont="1" applyFill="1" applyBorder="1" applyAlignment="1">
      <alignment horizontal="right" vertical="center" wrapText="1"/>
    </xf>
    <xf numFmtId="164" fontId="24" fillId="9" borderId="9" xfId="0" applyNumberFormat="1" applyFont="1" applyFill="1" applyBorder="1" applyAlignment="1">
      <alignment horizontal="right" vertical="center" wrapText="1"/>
    </xf>
    <xf numFmtId="49" fontId="5" fillId="10" borderId="9" xfId="0" applyNumberFormat="1" applyFont="1" applyFill="1" applyBorder="1" applyAlignment="1">
      <alignment vertical="center" wrapText="1"/>
    </xf>
    <xf numFmtId="164" fontId="5" fillId="10" borderId="9" xfId="0" applyNumberFormat="1" applyFont="1" applyFill="1" applyBorder="1" applyAlignment="1">
      <alignment horizontal="right" vertical="center" wrapText="1"/>
    </xf>
    <xf numFmtId="3" fontId="5" fillId="10" borderId="9" xfId="0" applyNumberFormat="1" applyFont="1" applyFill="1" applyBorder="1" applyAlignment="1">
      <alignment horizontal="right" wrapText="1"/>
    </xf>
    <xf numFmtId="164" fontId="5" fillId="10" borderId="9" xfId="0" applyNumberFormat="1" applyFont="1" applyFill="1" applyBorder="1" applyAlignment="1">
      <alignment horizontal="right" wrapText="1"/>
    </xf>
    <xf numFmtId="164" fontId="6" fillId="11" borderId="9" xfId="0" applyNumberFormat="1" applyFont="1" applyFill="1" applyBorder="1" applyAlignment="1">
      <alignment horizontal="right" vertical="center" wrapText="1"/>
    </xf>
    <xf numFmtId="3" fontId="5" fillId="10" borderId="9" xfId="0" applyNumberFormat="1" applyFont="1" applyFill="1" applyBorder="1"/>
    <xf numFmtId="49" fontId="7" fillId="3" borderId="9" xfId="0" applyNumberFormat="1" applyFont="1" applyFill="1" applyBorder="1" applyAlignment="1">
      <alignment vertical="top" wrapText="1"/>
    </xf>
    <xf numFmtId="165" fontId="6" fillId="3" borderId="9" xfId="0" applyNumberFormat="1" applyFont="1" applyFill="1" applyBorder="1" applyAlignment="1">
      <alignment horizontal="right" vertical="top" wrapText="1"/>
    </xf>
    <xf numFmtId="164" fontId="6" fillId="3" borderId="9" xfId="0" applyNumberFormat="1" applyFont="1" applyFill="1" applyBorder="1" applyAlignment="1">
      <alignment horizontal="right" vertical="top" wrapText="1"/>
    </xf>
    <xf numFmtId="0" fontId="5" fillId="2" borderId="9" xfId="0" applyFont="1" applyFill="1" applyBorder="1" applyAlignment="1">
      <alignment horizontal="center" vertical="center" wrapText="1"/>
    </xf>
    <xf numFmtId="1" fontId="5" fillId="2" borderId="9" xfId="0" applyNumberFormat="1" applyFont="1" applyFill="1" applyBorder="1" applyAlignment="1">
      <alignment horizontal="center" vertical="center" wrapText="1"/>
    </xf>
    <xf numFmtId="165" fontId="6" fillId="3" borderId="9" xfId="0" applyNumberFormat="1" applyFont="1" applyFill="1" applyBorder="1" applyAlignment="1">
      <alignment horizontal="right" vertical="center" wrapText="1"/>
    </xf>
    <xf numFmtId="49" fontId="5" fillId="5" borderId="9" xfId="2" applyNumberFormat="1" applyFont="1" applyFill="1" applyBorder="1" applyAlignment="1">
      <alignment vertical="center" wrapText="1"/>
    </xf>
    <xf numFmtId="165" fontId="5" fillId="5" borderId="9" xfId="2" applyNumberFormat="1" applyFont="1" applyFill="1" applyBorder="1" applyAlignment="1">
      <alignment horizontal="right" vertical="center" wrapText="1"/>
    </xf>
    <xf numFmtId="164" fontId="5" fillId="5" borderId="9" xfId="2" applyNumberFormat="1" applyFont="1" applyFill="1" applyBorder="1" applyAlignment="1">
      <alignment horizontal="right" vertical="center" wrapText="1"/>
    </xf>
    <xf numFmtId="3" fontId="5" fillId="10" borderId="9" xfId="0" applyNumberFormat="1" applyFont="1" applyFill="1" applyBorder="1" applyAlignment="1">
      <alignment horizontal="right" vertical="center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0" fillId="2" borderId="1" xfId="0" applyFont="1" applyFill="1" applyBorder="1" applyAlignment="1">
      <alignment horizontal="center" wrapText="1"/>
    </xf>
    <xf numFmtId="0" fontId="20" fillId="2" borderId="2" xfId="0" applyFont="1" applyFill="1" applyBorder="1" applyAlignment="1">
      <alignment horizontal="center" wrapText="1"/>
    </xf>
    <xf numFmtId="0" fontId="20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22" fillId="0" borderId="5" xfId="1" applyFont="1" applyBorder="1" applyAlignment="1">
      <alignment horizontal="left"/>
    </xf>
    <xf numFmtId="0" fontId="11" fillId="0" borderId="0" xfId="0" applyFont="1" applyAlignment="1">
      <alignment horizontal="center" vertical="center" wrapText="1"/>
    </xf>
    <xf numFmtId="49" fontId="5" fillId="10" borderId="13" xfId="0" applyNumberFormat="1" applyFont="1" applyFill="1" applyBorder="1" applyAlignment="1">
      <alignment horizontal="center" vertical="center" wrapText="1"/>
    </xf>
    <xf numFmtId="49" fontId="5" fillId="10" borderId="12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5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7" fillId="3" borderId="15" xfId="0" applyNumberFormat="1" applyFont="1" applyFill="1" applyBorder="1" applyAlignment="1">
      <alignment horizontal="center" vertical="top" wrapText="1"/>
    </xf>
    <xf numFmtId="49" fontId="7" fillId="3" borderId="14" xfId="0" applyNumberFormat="1" applyFont="1" applyFill="1" applyBorder="1" applyAlignment="1">
      <alignment horizontal="center" vertical="top" wrapText="1"/>
    </xf>
    <xf numFmtId="0" fontId="8" fillId="3" borderId="0" xfId="0" applyFont="1" applyFill="1" applyAlignment="1">
      <alignment horizontal="center" wrapText="1"/>
    </xf>
    <xf numFmtId="49" fontId="24" fillId="8" borderId="13" xfId="0" applyNumberFormat="1" applyFont="1" applyFill="1" applyBorder="1" applyAlignment="1">
      <alignment horizontal="center" vertical="center" wrapText="1"/>
    </xf>
    <xf numFmtId="49" fontId="24" fillId="8" borderId="12" xfId="0" applyNumberFormat="1" applyFont="1" applyFill="1" applyBorder="1" applyAlignment="1">
      <alignment horizontal="center" vertical="center" wrapText="1"/>
    </xf>
    <xf numFmtId="49" fontId="6" fillId="7" borderId="10" xfId="0" applyNumberFormat="1" applyFont="1" applyFill="1" applyBorder="1" applyAlignment="1">
      <alignment horizontal="center" vertical="center" wrapText="1"/>
    </xf>
    <xf numFmtId="49" fontId="6" fillId="7" borderId="15" xfId="0" applyNumberFormat="1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394416</xdr:colOff>
      <xdr:row>1</xdr:row>
      <xdr:rowOff>193367</xdr:rowOff>
    </xdr:from>
    <xdr:to>
      <xdr:col>3</xdr:col>
      <xdr:colOff>906513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80566" y="7267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95250</xdr:rowOff>
    </xdr:from>
    <xdr:to>
      <xdr:col>5</xdr:col>
      <xdr:colOff>26322</xdr:colOff>
      <xdr:row>8</xdr:row>
      <xdr:rowOff>95250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181350" y="14287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0</xdr:row>
      <xdr:rowOff>171450</xdr:rowOff>
    </xdr:from>
    <xdr:to>
      <xdr:col>1</xdr:col>
      <xdr:colOff>419659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C04AA74-7FBC-46EA-874B-A9860CBD1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180975</xdr:rowOff>
    </xdr:from>
    <xdr:to>
      <xdr:col>5</xdr:col>
      <xdr:colOff>150147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305175" y="151447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0</xdr:row>
      <xdr:rowOff>180975</xdr:rowOff>
    </xdr:from>
    <xdr:to>
      <xdr:col>1</xdr:col>
      <xdr:colOff>400609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4366439-162A-4DE3-BACA-9E7B340E24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1</xdr:row>
      <xdr:rowOff>9525</xdr:rowOff>
    </xdr:from>
    <xdr:to>
      <xdr:col>1</xdr:col>
      <xdr:colOff>438709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E00C09E-5D73-42B8-933F-F7EF6F03E7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171175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2" y="193261"/>
          <a:ext cx="6563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1045680</xdr:colOff>
      <xdr:row>1</xdr:row>
      <xdr:rowOff>146878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2158" y="340139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9525</xdr:rowOff>
    </xdr:from>
    <xdr:to>
      <xdr:col>5</xdr:col>
      <xdr:colOff>64422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00575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114714</xdr:colOff>
      <xdr:row>0</xdr:row>
      <xdr:rowOff>188015</xdr:rowOff>
    </xdr:from>
    <xdr:to>
      <xdr:col>1</xdr:col>
      <xdr:colOff>420073</xdr:colOff>
      <xdr:row>3</xdr:row>
      <xdr:rowOff>330889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A91C536-E57D-4B48-8F67-283D751530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714" y="188015"/>
          <a:ext cx="951402" cy="72265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TAMAULIPAS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548270</xdr:colOff>
      <xdr:row>7</xdr:row>
      <xdr:rowOff>6863</xdr:rowOff>
    </xdr:from>
    <xdr:to>
      <xdr:col>4</xdr:col>
      <xdr:colOff>1058499</xdr:colOff>
      <xdr:row>7</xdr:row>
      <xdr:rowOff>189724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538623" y="1754981"/>
          <a:ext cx="510229" cy="1828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104775</xdr:rowOff>
    </xdr:from>
    <xdr:to>
      <xdr:col>1</xdr:col>
      <xdr:colOff>991159</xdr:colOff>
      <xdr:row>3</xdr:row>
      <xdr:rowOff>285749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E569B29-F641-4DB9-886B-10E60CBD8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04775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TAMAULIPAS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1</xdr:row>
      <xdr:rowOff>9525</xdr:rowOff>
    </xdr:from>
    <xdr:to>
      <xdr:col>1</xdr:col>
      <xdr:colOff>1010209</xdr:colOff>
      <xdr:row>3</xdr:row>
      <xdr:rowOff>342899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A6F7BA1-010D-4830-8951-57DF33600C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171174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25419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1045680</xdr:colOff>
      <xdr:row>1</xdr:row>
      <xdr:rowOff>146879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02941" y="34014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171450</xdr:rowOff>
    </xdr:from>
    <xdr:to>
      <xdr:col>5</xdr:col>
      <xdr:colOff>64422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600575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75234</xdr:colOff>
      <xdr:row>1</xdr:row>
      <xdr:rowOff>20568</xdr:rowOff>
    </xdr:from>
    <xdr:to>
      <xdr:col>1</xdr:col>
      <xdr:colOff>380593</xdr:colOff>
      <xdr:row>3</xdr:row>
      <xdr:rowOff>353942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60AAD0D-B837-46EE-9E67-5B696F8A9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34" y="213829"/>
          <a:ext cx="951402" cy="71989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TAMAULIPAS POR NIVEL DE EDUCACIÓN Y ESTADO EN EE.UU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515937</xdr:colOff>
      <xdr:row>7</xdr:row>
      <xdr:rowOff>109141</xdr:rowOff>
    </xdr:from>
    <xdr:to>
      <xdr:col>4</xdr:col>
      <xdr:colOff>1028034</xdr:colOff>
      <xdr:row>7</xdr:row>
      <xdr:rowOff>293496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59375" y="18454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1</xdr:row>
      <xdr:rowOff>9525</xdr:rowOff>
    </xdr:from>
    <xdr:to>
      <xdr:col>1</xdr:col>
      <xdr:colOff>981634</xdr:colOff>
      <xdr:row>3</xdr:row>
      <xdr:rowOff>342899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A32EF0F-DECF-440C-AEC0-0BF8FAEA3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TAMAULIPAS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450645</xdr:colOff>
      <xdr:row>7</xdr:row>
      <xdr:rowOff>133145</xdr:rowOff>
    </xdr:from>
    <xdr:to>
      <xdr:col>4</xdr:col>
      <xdr:colOff>962742</xdr:colOff>
      <xdr:row>7</xdr:row>
      <xdr:rowOff>317500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00484" y="189475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102419</xdr:colOff>
      <xdr:row>1</xdr:row>
      <xdr:rowOff>40968</xdr:rowOff>
    </xdr:from>
    <xdr:to>
      <xdr:col>1</xdr:col>
      <xdr:colOff>1026903</xdr:colOff>
      <xdr:row>3</xdr:row>
      <xdr:rowOff>366148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CF64C5C-F1AE-44C6-A2B2-81DE055E8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113" y="194597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767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161925</xdr:colOff>
      <xdr:row>1</xdr:row>
      <xdr:rowOff>0</xdr:rowOff>
    </xdr:from>
    <xdr:to>
      <xdr:col>1</xdr:col>
      <xdr:colOff>467284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3B051A0-D57B-415B-BB5A-D366338FE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514554</xdr:colOff>
      <xdr:row>9</xdr:row>
      <xdr:rowOff>40353</xdr:rowOff>
    </xdr:from>
    <xdr:to>
      <xdr:col>5</xdr:col>
      <xdr:colOff>12700</xdr:colOff>
      <xdr:row>10</xdr:row>
      <xdr:rowOff>30111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327854" y="1754853"/>
          <a:ext cx="596696" cy="18025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0</xdr:row>
      <xdr:rowOff>123825</xdr:rowOff>
    </xdr:from>
    <xdr:to>
      <xdr:col>1</xdr:col>
      <xdr:colOff>1029259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7E43739-2C4F-40D9-AEE4-AE09CAB09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5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501854</xdr:colOff>
      <xdr:row>8</xdr:row>
      <xdr:rowOff>122903</xdr:rowOff>
    </xdr:from>
    <xdr:to>
      <xdr:col>5</xdr:col>
      <xdr:colOff>0</xdr:colOff>
      <xdr:row>9</xdr:row>
      <xdr:rowOff>112661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4702379" y="1694528"/>
          <a:ext cx="507796" cy="18025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28575</xdr:colOff>
      <xdr:row>0</xdr:row>
      <xdr:rowOff>104775</xdr:rowOff>
    </xdr:from>
    <xdr:to>
      <xdr:col>1</xdr:col>
      <xdr:colOff>953059</xdr:colOff>
      <xdr:row>3</xdr:row>
      <xdr:rowOff>295274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A751303-7E02-4A20-89D7-960144B13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104775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742950</xdr:colOff>
      <xdr:row>8</xdr:row>
      <xdr:rowOff>184150</xdr:rowOff>
    </xdr:from>
    <xdr:to>
      <xdr:col>6</xdr:col>
      <xdr:colOff>118397</xdr:colOff>
      <xdr:row>10</xdr:row>
      <xdr:rowOff>31750</xdr:rowOff>
    </xdr:to>
    <xdr:sp macro="" textlink="">
      <xdr:nvSpPr>
        <xdr:cNvPr id="5" name="Rectángulo redondead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673850" y="1708150"/>
          <a:ext cx="53114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95250</xdr:colOff>
      <xdr:row>0</xdr:row>
      <xdr:rowOff>95250</xdr:rowOff>
    </xdr:from>
    <xdr:to>
      <xdr:col>1</xdr:col>
      <xdr:colOff>1019734</xdr:colOff>
      <xdr:row>3</xdr:row>
      <xdr:rowOff>285749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A299CFB-F168-4094-A6E3-AEABA8F75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95250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519044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64071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692289</xdr:colOff>
      <xdr:row>1</xdr:row>
      <xdr:rowOff>97182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4246" y="290443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1221408</xdr:colOff>
      <xdr:row>8</xdr:row>
      <xdr:rowOff>90418</xdr:rowOff>
    </xdr:from>
    <xdr:to>
      <xdr:col>4</xdr:col>
      <xdr:colOff>494980</xdr:colOff>
      <xdr:row>8</xdr:row>
      <xdr:rowOff>274773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163365" y="1824244"/>
          <a:ext cx="510441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0</xdr:row>
      <xdr:rowOff>161925</xdr:rowOff>
    </xdr:from>
    <xdr:to>
      <xdr:col>1</xdr:col>
      <xdr:colOff>438709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8E9FE28-716A-41DA-B3CC-C2C9CA4EE4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6192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topLeftCell="A13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3" t="s">
        <v>46</v>
      </c>
      <c r="B1" s="84"/>
      <c r="C1" s="84"/>
      <c r="D1" s="85"/>
    </row>
    <row r="2" spans="1:4">
      <c r="A2" s="2"/>
      <c r="B2" s="3"/>
      <c r="C2" s="3"/>
      <c r="D2" s="4"/>
    </row>
    <row r="3" spans="1:4">
      <c r="A3" s="86" t="s">
        <v>0</v>
      </c>
      <c r="B3" s="87"/>
      <c r="C3" s="87"/>
      <c r="D3" s="88"/>
    </row>
    <row r="4" spans="1:4">
      <c r="A4" s="86"/>
      <c r="B4" s="87"/>
      <c r="C4" s="87"/>
      <c r="D4" s="88"/>
    </row>
    <row r="5" spans="1:4">
      <c r="A5" s="29"/>
      <c r="B5" s="30"/>
      <c r="C5" s="30"/>
      <c r="D5" s="31"/>
    </row>
    <row r="6" spans="1:4" ht="18.75">
      <c r="A6" s="81" t="s">
        <v>1</v>
      </c>
      <c r="B6" s="82"/>
      <c r="C6" s="82"/>
      <c r="D6" s="89"/>
    </row>
    <row r="7" spans="1:4">
      <c r="A7" s="5"/>
      <c r="D7" s="6"/>
    </row>
    <row r="8" spans="1:4" ht="18.75">
      <c r="A8" s="81" t="s">
        <v>2</v>
      </c>
      <c r="B8" s="82"/>
      <c r="C8" s="82"/>
      <c r="D8" s="89"/>
    </row>
    <row r="9" spans="1:4" ht="18.75">
      <c r="A9" s="5"/>
      <c r="B9" s="81" t="s">
        <v>3</v>
      </c>
      <c r="C9" s="82"/>
      <c r="D9" s="82"/>
    </row>
    <row r="10" spans="1:4">
      <c r="A10" s="5"/>
      <c r="D10" s="6"/>
    </row>
    <row r="11" spans="1:4" ht="18.75">
      <c r="A11" s="53" t="s">
        <v>4</v>
      </c>
      <c r="D11" s="6"/>
    </row>
    <row r="12" spans="1:4" ht="18.75">
      <c r="A12" s="5"/>
      <c r="B12" s="81" t="s">
        <v>5</v>
      </c>
      <c r="C12" s="82"/>
      <c r="D12" s="82"/>
    </row>
    <row r="13" spans="1:4" ht="18.75">
      <c r="A13" s="5"/>
      <c r="B13" s="81" t="s">
        <v>6</v>
      </c>
      <c r="C13" s="82"/>
      <c r="D13" s="82"/>
    </row>
    <row r="14" spans="1:4" ht="18.75">
      <c r="A14" s="5"/>
      <c r="B14" s="81" t="s">
        <v>7</v>
      </c>
      <c r="C14" s="82"/>
      <c r="D14" s="82"/>
    </row>
    <row r="15" spans="1:4">
      <c r="A15" s="5"/>
      <c r="D15" s="6"/>
    </row>
    <row r="16" spans="1:4" ht="18.75">
      <c r="A16" s="53" t="s">
        <v>8</v>
      </c>
      <c r="D16" s="6"/>
    </row>
    <row r="17" spans="1:4" ht="18.75">
      <c r="A17" s="5"/>
      <c r="B17" s="81" t="s">
        <v>9</v>
      </c>
      <c r="C17" s="82"/>
      <c r="D17" s="82"/>
    </row>
    <row r="18" spans="1:4" ht="18.75">
      <c r="A18" s="5"/>
      <c r="B18" s="81" t="s">
        <v>10</v>
      </c>
      <c r="C18" s="82"/>
      <c r="D18" s="82"/>
    </row>
    <row r="19" spans="1:4" ht="18.75">
      <c r="A19" s="5"/>
      <c r="B19" s="81" t="s">
        <v>11</v>
      </c>
      <c r="C19" s="82"/>
      <c r="D19" s="82"/>
    </row>
    <row r="20" spans="1:4">
      <c r="A20" s="5"/>
      <c r="D20" s="6"/>
    </row>
    <row r="21" spans="1:4" ht="18.75">
      <c r="A21" s="53" t="s">
        <v>12</v>
      </c>
      <c r="D21" s="6"/>
    </row>
    <row r="22" spans="1:4" ht="18.75">
      <c r="A22" s="5"/>
      <c r="B22" s="81" t="s">
        <v>13</v>
      </c>
      <c r="C22" s="82"/>
      <c r="D22" s="82"/>
    </row>
    <row r="23" spans="1:4" ht="18.75">
      <c r="A23" s="5"/>
      <c r="B23" s="81" t="s">
        <v>14</v>
      </c>
      <c r="C23" s="82"/>
      <c r="D23" s="82"/>
    </row>
    <row r="24" spans="1:4" ht="18.75">
      <c r="A24" s="5"/>
      <c r="B24" s="54" t="s">
        <v>35</v>
      </c>
      <c r="C24" s="54"/>
      <c r="D24" s="54"/>
    </row>
    <row r="25" spans="1:4">
      <c r="A25" s="5"/>
      <c r="D25" s="6"/>
    </row>
    <row r="26" spans="1:4" ht="18.75">
      <c r="A26" s="81" t="s">
        <v>15</v>
      </c>
      <c r="B26" s="82"/>
      <c r="C26" s="82"/>
      <c r="D26" s="89"/>
    </row>
    <row r="27" spans="1:4">
      <c r="A27" s="5"/>
      <c r="D27" s="6"/>
    </row>
    <row r="28" spans="1:4" ht="18.75">
      <c r="A28" s="81" t="s">
        <v>16</v>
      </c>
      <c r="B28" s="82"/>
      <c r="C28" s="82"/>
      <c r="D28" s="89"/>
    </row>
    <row r="29" spans="1:4" ht="18.75" thickBot="1">
      <c r="A29" s="7"/>
      <c r="B29" s="8"/>
      <c r="C29" s="8"/>
      <c r="D29" s="9"/>
    </row>
  </sheetData>
  <mergeCells count="15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Tamaulipas_USAMuni!A1" display="3.2 Por Estado de USA" xr:uid="{00000000-0004-0000-0000-00000D000000}"/>
    <hyperlink ref="A8:D8" location="Tamaulipas_Cons!A1" display="2. Por Circunscripción Consular" xr:uid="{00000000-0004-0000-0000-00000E000000}"/>
    <hyperlink ref="B9:D9" location="TamaulipasXCons!A1" display="2.1 Top ten por circunscripción consular" xr:uid="{00000000-0004-0000-0000-00000F000000}"/>
    <hyperlink ref="A6:D6" location="Tamaulipas_EdoUsa!A1" display="1. Por Estados de USA" xr:uid="{00000000-0004-0000-0000-000010000000}"/>
    <hyperlink ref="B12:D12" location="Tamaulipas_EdoMun!A1" display="3.1 Municipio general" xr:uid="{00000000-0004-0000-0000-000011000000}"/>
    <hyperlink ref="B14:D14" location="Tamaulipas_MUNICIPIO!A1" display="3.3 Por Circunscripción Consular" xr:uid="{00000000-0004-0000-0000-000012000000}"/>
    <hyperlink ref="B17:D17" location="Tamaulipas_educ_gral!A1" display="4.1 Educación general" xr:uid="{00000000-0004-0000-0000-000013000000}"/>
    <hyperlink ref="B18:D18" location="Tamaulipas_NivelE_Cons!A1" display="4.2 Por Estado de USA" xr:uid="{00000000-0004-0000-0000-000014000000}"/>
    <hyperlink ref="B19:D19" location="Tamaulipas_EducCons!A1" display="4.3 Por Circunscripción Consular" xr:uid="{00000000-0004-0000-0000-000015000000}"/>
    <hyperlink ref="B22:D22" location="Tamaulipas_GenGral!A1" display="5.1 Género General" xr:uid="{00000000-0004-0000-0000-000016000000}"/>
    <hyperlink ref="B23:D23" location="Tamaulipas_GENERO!A1" display="5.2 Por Circunscripción Consular" xr:uid="{00000000-0004-0000-0000-000017000000}"/>
    <hyperlink ref="A26:D26" location="Tamaulipas_Gen_Edad!A1" display="6. Por estructura de Edad" xr:uid="{00000000-0004-0000-0000-000018000000}"/>
    <hyperlink ref="A28:D28" location="Tamaulipas_ocup_gral!A1" display="7. Por Ocupación" xr:uid="{00000000-0004-0000-0000-00001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E67"/>
  <sheetViews>
    <sheetView showGridLines="0" view="pageBreakPreview" topLeftCell="A54" zoomScale="115" zoomScaleNormal="100" zoomScaleSheetLayoutView="115" workbookViewId="0">
      <selection activeCell="D11" sqref="B11:D61"/>
    </sheetView>
  </sheetViews>
  <sheetFormatPr baseColWidth="10" defaultColWidth="11.42578125" defaultRowHeight="15"/>
  <cols>
    <col min="1" max="1" width="9.28515625" style="10" customWidth="1"/>
    <col min="2" max="2" width="21.7109375" style="10" customWidth="1"/>
    <col min="3" max="3" width="17.7109375" style="11" customWidth="1"/>
    <col min="4" max="4" width="17.7109375" style="10" customWidth="1"/>
    <col min="5" max="5" width="9.28515625" style="10" customWidth="1"/>
    <col min="6" max="6" width="5.7109375" style="10" customWidth="1"/>
    <col min="7" max="16384" width="11.42578125" style="10"/>
  </cols>
  <sheetData>
    <row r="1" spans="2:5" s="22" customFormat="1" ht="15" customHeight="1">
      <c r="C1" s="28"/>
    </row>
    <row r="2" spans="2:5" s="22" customFormat="1" ht="15" customHeight="1">
      <c r="C2" s="28"/>
    </row>
    <row r="3" spans="2:5" s="22" customFormat="1" ht="15" customHeight="1">
      <c r="C3" s="28"/>
    </row>
    <row r="4" spans="2:5" s="22" customFormat="1" ht="30" customHeight="1">
      <c r="C4" s="28"/>
      <c r="D4" s="27"/>
    </row>
    <row r="5" spans="2:5" s="22" customFormat="1" ht="15" customHeight="1">
      <c r="C5" s="28"/>
      <c r="D5" s="27"/>
    </row>
    <row r="6" spans="2:5" s="22" customFormat="1" ht="15" customHeight="1">
      <c r="C6" s="28"/>
      <c r="D6" s="27"/>
    </row>
    <row r="7" spans="2:5" s="22" customFormat="1" ht="15" customHeight="1">
      <c r="B7" s="90" t="s">
        <v>42</v>
      </c>
      <c r="C7" s="90"/>
      <c r="D7" s="90"/>
    </row>
    <row r="8" spans="2:5" s="22" customFormat="1" ht="15" customHeight="1">
      <c r="B8" s="90"/>
      <c r="C8" s="90"/>
      <c r="D8" s="90"/>
    </row>
    <row r="9" spans="2:5" s="22" customFormat="1" ht="33" customHeight="1">
      <c r="B9" s="90"/>
      <c r="C9" s="90"/>
      <c r="D9" s="90"/>
    </row>
    <row r="10" spans="2:5" s="22" customFormat="1" ht="4.5" customHeight="1">
      <c r="B10" s="26"/>
      <c r="C10" s="26"/>
      <c r="D10" s="26"/>
    </row>
    <row r="11" spans="2:5" s="22" customFormat="1" ht="33" customHeight="1">
      <c r="B11" s="74" t="s">
        <v>21</v>
      </c>
      <c r="C11" s="75" t="s">
        <v>20</v>
      </c>
      <c r="D11" s="74" t="s">
        <v>19</v>
      </c>
    </row>
    <row r="12" spans="2:5">
      <c r="B12" s="20" t="s">
        <v>101</v>
      </c>
      <c r="C12" s="19">
        <v>110</v>
      </c>
      <c r="D12" s="18">
        <v>4.5245146429749999E-3</v>
      </c>
    </row>
    <row r="13" spans="2:5">
      <c r="B13" s="20" t="s">
        <v>102</v>
      </c>
      <c r="C13" s="19">
        <v>1</v>
      </c>
      <c r="D13" s="18">
        <v>4.1131951299999999E-5</v>
      </c>
      <c r="E13" s="21"/>
    </row>
    <row r="14" spans="2:5">
      <c r="B14" s="20" t="s">
        <v>103</v>
      </c>
      <c r="C14" s="19">
        <v>39</v>
      </c>
      <c r="D14" s="18">
        <v>1.6041461006909999E-3</v>
      </c>
      <c r="E14" s="21"/>
    </row>
    <row r="15" spans="2:5">
      <c r="B15" s="20" t="s">
        <v>104</v>
      </c>
      <c r="C15" s="19">
        <v>272</v>
      </c>
      <c r="D15" s="18">
        <v>1.1187890753537001E-2</v>
      </c>
    </row>
    <row r="16" spans="2:5">
      <c r="B16" s="20" t="s">
        <v>105</v>
      </c>
      <c r="C16" s="19">
        <v>360</v>
      </c>
      <c r="D16" s="18">
        <v>1.4807502467917E-2</v>
      </c>
    </row>
    <row r="17" spans="2:4">
      <c r="B17" s="20" t="s">
        <v>106</v>
      </c>
      <c r="C17" s="19">
        <v>62</v>
      </c>
      <c r="D17" s="18">
        <v>2.550180980586E-3</v>
      </c>
    </row>
    <row r="18" spans="2:4">
      <c r="B18" s="20" t="s">
        <v>107</v>
      </c>
      <c r="C18" s="19">
        <v>8</v>
      </c>
      <c r="D18" s="18">
        <v>3.2905561039800002E-4</v>
      </c>
    </row>
    <row r="19" spans="2:4">
      <c r="B19" s="20" t="s">
        <v>108</v>
      </c>
      <c r="C19" s="19">
        <v>10</v>
      </c>
      <c r="D19" s="18">
        <v>4.1131951299799998E-4</v>
      </c>
    </row>
    <row r="20" spans="2:4" ht="27">
      <c r="B20" s="20" t="s">
        <v>109</v>
      </c>
      <c r="C20" s="19">
        <v>1</v>
      </c>
      <c r="D20" s="18">
        <v>4.1131951299999999E-5</v>
      </c>
    </row>
    <row r="21" spans="2:4">
      <c r="B21" s="20" t="s">
        <v>110</v>
      </c>
      <c r="C21" s="19">
        <v>515</v>
      </c>
      <c r="D21" s="18">
        <v>2.1182954919380999E-2</v>
      </c>
    </row>
    <row r="22" spans="2:4">
      <c r="B22" s="20" t="s">
        <v>111</v>
      </c>
      <c r="C22" s="19">
        <v>473</v>
      </c>
      <c r="D22" s="18">
        <v>1.9455412964790999E-2</v>
      </c>
    </row>
    <row r="23" spans="2:4">
      <c r="B23" s="20" t="s">
        <v>112</v>
      </c>
      <c r="C23" s="19">
        <v>9</v>
      </c>
      <c r="D23" s="18">
        <v>3.7018756169799997E-4</v>
      </c>
    </row>
    <row r="24" spans="2:4">
      <c r="B24" s="20" t="s">
        <v>113</v>
      </c>
      <c r="C24" s="19">
        <v>418</v>
      </c>
      <c r="D24" s="18">
        <v>1.7193155643303999E-2</v>
      </c>
    </row>
    <row r="25" spans="2:4">
      <c r="B25" s="20" t="s">
        <v>114</v>
      </c>
      <c r="C25" s="19">
        <v>173</v>
      </c>
      <c r="D25" s="18">
        <v>7.1158275748599998E-3</v>
      </c>
    </row>
    <row r="26" spans="2:4">
      <c r="B26" s="20" t="s">
        <v>115</v>
      </c>
      <c r="C26" s="19">
        <v>27</v>
      </c>
      <c r="D26" s="18">
        <v>1.110562685094E-3</v>
      </c>
    </row>
    <row r="27" spans="2:4">
      <c r="B27" s="20" t="s">
        <v>116</v>
      </c>
      <c r="C27" s="19">
        <v>85</v>
      </c>
      <c r="D27" s="18">
        <v>3.4962158604800002E-3</v>
      </c>
    </row>
    <row r="28" spans="2:4">
      <c r="B28" s="20" t="s">
        <v>117</v>
      </c>
      <c r="C28" s="19">
        <v>83</v>
      </c>
      <c r="D28" s="18">
        <v>3.4139519578809999E-3</v>
      </c>
    </row>
    <row r="29" spans="2:4">
      <c r="B29" s="20" t="s">
        <v>118</v>
      </c>
      <c r="C29" s="19">
        <v>166</v>
      </c>
      <c r="D29" s="18">
        <v>6.8279039157619998E-3</v>
      </c>
    </row>
    <row r="30" spans="2:4">
      <c r="B30" s="20" t="s">
        <v>119</v>
      </c>
      <c r="C30" s="19">
        <v>1</v>
      </c>
      <c r="D30" s="18">
        <v>4.1131951299999999E-5</v>
      </c>
    </row>
    <row r="31" spans="2:4">
      <c r="B31" s="20" t="s">
        <v>120</v>
      </c>
      <c r="C31" s="19">
        <v>17</v>
      </c>
      <c r="D31" s="18">
        <v>6.9924317209599999E-4</v>
      </c>
    </row>
    <row r="32" spans="2:4">
      <c r="B32" s="20" t="s">
        <v>121</v>
      </c>
      <c r="C32" s="19">
        <v>13</v>
      </c>
      <c r="D32" s="18">
        <v>5.3471536689700004E-4</v>
      </c>
    </row>
    <row r="33" spans="2:4">
      <c r="B33" s="20" t="s">
        <v>122</v>
      </c>
      <c r="C33" s="19">
        <v>137</v>
      </c>
      <c r="D33" s="18">
        <v>5.6350773280680003E-3</v>
      </c>
    </row>
    <row r="34" spans="2:4">
      <c r="B34" s="20" t="s">
        <v>123</v>
      </c>
      <c r="C34" s="19">
        <v>153</v>
      </c>
      <c r="D34" s="18">
        <v>6.2931885488650002E-3</v>
      </c>
    </row>
    <row r="35" spans="2:4">
      <c r="B35" s="20" t="s">
        <v>124</v>
      </c>
      <c r="C35" s="19">
        <v>149</v>
      </c>
      <c r="D35" s="18">
        <v>6.1286607436659996E-3</v>
      </c>
    </row>
    <row r="36" spans="2:4">
      <c r="B36" s="20" t="s">
        <v>125</v>
      </c>
      <c r="C36" s="19">
        <v>117</v>
      </c>
      <c r="D36" s="18">
        <v>4.8124383020729999E-3</v>
      </c>
    </row>
    <row r="37" spans="2:4">
      <c r="B37" s="20" t="s">
        <v>126</v>
      </c>
      <c r="C37" s="19">
        <v>2</v>
      </c>
      <c r="D37" s="18">
        <v>8.2263902599999999E-5</v>
      </c>
    </row>
    <row r="38" spans="2:4">
      <c r="B38" s="20" t="s">
        <v>127</v>
      </c>
      <c r="C38" s="19">
        <v>41</v>
      </c>
      <c r="D38" s="18">
        <v>1.686410003291E-3</v>
      </c>
    </row>
    <row r="39" spans="2:4">
      <c r="B39" s="20" t="s">
        <v>128</v>
      </c>
      <c r="C39" s="19">
        <v>37</v>
      </c>
      <c r="D39" s="18">
        <v>1.521882198091E-3</v>
      </c>
    </row>
    <row r="40" spans="2:4">
      <c r="B40" s="20" t="s">
        <v>129</v>
      </c>
      <c r="C40" s="19">
        <v>41</v>
      </c>
      <c r="D40" s="18">
        <v>1.686410003291E-3</v>
      </c>
    </row>
    <row r="41" spans="2:4">
      <c r="B41" s="20" t="s">
        <v>130</v>
      </c>
      <c r="C41" s="19">
        <v>12</v>
      </c>
      <c r="D41" s="18">
        <v>4.9358341559699998E-4</v>
      </c>
    </row>
    <row r="42" spans="2:4">
      <c r="B42" s="20" t="s">
        <v>131</v>
      </c>
      <c r="C42" s="19">
        <v>31</v>
      </c>
      <c r="D42" s="18">
        <v>1.275090490293E-3</v>
      </c>
    </row>
    <row r="43" spans="2:4">
      <c r="B43" s="20" t="s">
        <v>132</v>
      </c>
      <c r="C43" s="19">
        <v>422</v>
      </c>
      <c r="D43" s="18">
        <v>1.7357683448503001E-2</v>
      </c>
    </row>
    <row r="44" spans="2:4">
      <c r="B44" s="20" t="s">
        <v>133</v>
      </c>
      <c r="C44" s="19">
        <v>5</v>
      </c>
      <c r="D44" s="18">
        <v>2.0565975649899999E-4</v>
      </c>
    </row>
    <row r="45" spans="2:4">
      <c r="B45" s="20" t="s">
        <v>134</v>
      </c>
      <c r="C45" s="19">
        <v>112</v>
      </c>
      <c r="D45" s="18">
        <v>4.6067785455739998E-3</v>
      </c>
    </row>
    <row r="46" spans="2:4">
      <c r="B46" s="20" t="s">
        <v>135</v>
      </c>
      <c r="C46" s="19">
        <v>295</v>
      </c>
      <c r="D46" s="18">
        <v>1.2133925633432E-2</v>
      </c>
    </row>
    <row r="47" spans="2:4">
      <c r="B47" s="20" t="s">
        <v>136</v>
      </c>
      <c r="C47" s="19">
        <v>8</v>
      </c>
      <c r="D47" s="18">
        <v>3.2905561039800002E-4</v>
      </c>
    </row>
    <row r="48" spans="2:4">
      <c r="B48" s="20" t="s">
        <v>137</v>
      </c>
      <c r="C48" s="19">
        <v>32</v>
      </c>
      <c r="D48" s="18">
        <v>1.3162224415929999E-3</v>
      </c>
    </row>
    <row r="49" spans="2:4">
      <c r="B49" s="20" t="s">
        <v>138</v>
      </c>
      <c r="C49" s="19">
        <v>3</v>
      </c>
      <c r="D49" s="18">
        <v>1.23395853899E-4</v>
      </c>
    </row>
    <row r="50" spans="2:4">
      <c r="B50" s="20" t="s">
        <v>139</v>
      </c>
      <c r="C50" s="19">
        <v>114</v>
      </c>
      <c r="D50" s="18">
        <v>4.6890424481739997E-3</v>
      </c>
    </row>
    <row r="51" spans="2:4">
      <c r="B51" s="20" t="s">
        <v>140</v>
      </c>
      <c r="C51" s="19">
        <v>6</v>
      </c>
      <c r="D51" s="18">
        <v>2.4679170779900002E-4</v>
      </c>
    </row>
    <row r="52" spans="2:4">
      <c r="B52" s="20" t="s">
        <v>141</v>
      </c>
      <c r="C52" s="19">
        <v>267</v>
      </c>
      <c r="D52" s="18">
        <v>1.0982230997039001E-2</v>
      </c>
    </row>
    <row r="53" spans="2:4">
      <c r="B53" s="20" t="s">
        <v>142</v>
      </c>
      <c r="C53" s="19">
        <v>19340</v>
      </c>
      <c r="D53" s="18">
        <v>0.79549193813754504</v>
      </c>
    </row>
    <row r="54" spans="2:4">
      <c r="B54" s="20" t="s">
        <v>143</v>
      </c>
      <c r="C54" s="19">
        <v>16</v>
      </c>
      <c r="D54" s="18">
        <v>6.5811122079600004E-4</v>
      </c>
    </row>
    <row r="55" spans="2:4">
      <c r="B55" s="20" t="s">
        <v>144</v>
      </c>
      <c r="C55" s="19">
        <v>1</v>
      </c>
      <c r="D55" s="18">
        <v>4.1131951299999999E-5</v>
      </c>
    </row>
    <row r="56" spans="2:4">
      <c r="B56" s="20" t="s">
        <v>145</v>
      </c>
      <c r="C56" s="19">
        <v>64</v>
      </c>
      <c r="D56" s="18">
        <v>2.6324448831849998E-3</v>
      </c>
    </row>
    <row r="57" spans="2:4">
      <c r="B57" s="20" t="s">
        <v>70</v>
      </c>
      <c r="C57" s="19">
        <v>4</v>
      </c>
      <c r="D57" s="18">
        <v>1.6452780519900001E-4</v>
      </c>
    </row>
    <row r="58" spans="2:4">
      <c r="B58" s="20" t="s">
        <v>146</v>
      </c>
      <c r="C58" s="19">
        <v>1</v>
      </c>
      <c r="D58" s="18">
        <v>4.1131951299999999E-5</v>
      </c>
    </row>
    <row r="59" spans="2:4">
      <c r="B59" s="20" t="s">
        <v>147</v>
      </c>
      <c r="C59" s="19">
        <v>56</v>
      </c>
      <c r="D59" s="18">
        <v>2.3033892727869999E-3</v>
      </c>
    </row>
    <row r="60" spans="2:4">
      <c r="B60" s="20" t="s">
        <v>148</v>
      </c>
      <c r="C60" s="19">
        <v>3</v>
      </c>
      <c r="D60" s="18">
        <v>1.23395853899E-4</v>
      </c>
    </row>
    <row r="61" spans="2:4">
      <c r="B61" s="17" t="s">
        <v>29</v>
      </c>
      <c r="C61" s="16">
        <v>24312</v>
      </c>
      <c r="D61" s="15">
        <v>1</v>
      </c>
    </row>
    <row r="62" spans="2:4">
      <c r="B62" s="13"/>
    </row>
    <row r="63" spans="2:4">
      <c r="B63" s="12" t="s">
        <v>47</v>
      </c>
    </row>
    <row r="64" spans="2:4">
      <c r="B64" s="14" t="s">
        <v>18</v>
      </c>
    </row>
    <row r="65" spans="2:2">
      <c r="B65" s="13" t="s">
        <v>48</v>
      </c>
    </row>
    <row r="66" spans="2:2">
      <c r="B66" s="12" t="s">
        <v>17</v>
      </c>
    </row>
    <row r="67" spans="2:2">
      <c r="B67" s="12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E69"/>
  <sheetViews>
    <sheetView showGridLines="0" view="pageBreakPreview" zoomScale="115" zoomScaleNormal="100" zoomScaleSheetLayoutView="115" workbookViewId="0">
      <selection activeCell="B11" sqref="B11:D63"/>
    </sheetView>
  </sheetViews>
  <sheetFormatPr baseColWidth="10" defaultColWidth="11.42578125" defaultRowHeight="15"/>
  <cols>
    <col min="1" max="1" width="9.28515625" style="10" customWidth="1"/>
    <col min="2" max="2" width="21.7109375" style="10" customWidth="1"/>
    <col min="3" max="3" width="17.7109375" style="11" customWidth="1"/>
    <col min="4" max="4" width="17.7109375" style="10" customWidth="1"/>
    <col min="5" max="5" width="9.28515625" style="10" customWidth="1"/>
    <col min="6" max="6" width="5.7109375" style="10" customWidth="1"/>
    <col min="7" max="16384" width="11.42578125" style="10"/>
  </cols>
  <sheetData>
    <row r="1" spans="2:5" s="22" customFormat="1" ht="15" customHeight="1">
      <c r="C1" s="28"/>
    </row>
    <row r="2" spans="2:5" s="22" customFormat="1" ht="15" customHeight="1">
      <c r="C2" s="28"/>
    </row>
    <row r="3" spans="2:5" s="22" customFormat="1" ht="15" customHeight="1">
      <c r="C3" s="28"/>
    </row>
    <row r="4" spans="2:5" s="22" customFormat="1" ht="30" customHeight="1">
      <c r="C4" s="28"/>
      <c r="D4" s="27"/>
    </row>
    <row r="5" spans="2:5" s="22" customFormat="1" ht="15" customHeight="1">
      <c r="C5" s="28"/>
      <c r="D5" s="27"/>
    </row>
    <row r="6" spans="2:5" s="22" customFormat="1" ht="15" customHeight="1">
      <c r="C6" s="28"/>
      <c r="D6" s="27"/>
    </row>
    <row r="7" spans="2:5" s="22" customFormat="1" ht="15" customHeight="1">
      <c r="B7" s="90" t="s">
        <v>36</v>
      </c>
      <c r="C7" s="90"/>
      <c r="D7" s="90"/>
    </row>
    <row r="8" spans="2:5" s="22" customFormat="1" ht="15" customHeight="1">
      <c r="B8" s="90"/>
      <c r="C8" s="90"/>
      <c r="D8" s="90"/>
    </row>
    <row r="9" spans="2:5" s="22" customFormat="1" ht="33" customHeight="1">
      <c r="B9" s="90"/>
      <c r="C9" s="90"/>
      <c r="D9" s="90"/>
    </row>
    <row r="10" spans="2:5" s="22" customFormat="1" ht="4.5" customHeight="1">
      <c r="B10" s="26"/>
      <c r="C10" s="26"/>
      <c r="D10" s="26"/>
    </row>
    <row r="11" spans="2:5" s="22" customFormat="1" ht="33" customHeight="1">
      <c r="B11" s="74" t="s">
        <v>22</v>
      </c>
      <c r="C11" s="75" t="s">
        <v>20</v>
      </c>
      <c r="D11" s="74" t="s">
        <v>19</v>
      </c>
    </row>
    <row r="12" spans="2:5">
      <c r="B12" s="20" t="s">
        <v>50</v>
      </c>
      <c r="C12" s="19">
        <v>5941</v>
      </c>
      <c r="D12" s="18">
        <v>0.24436492267193199</v>
      </c>
    </row>
    <row r="13" spans="2:5">
      <c r="B13" s="20" t="s">
        <v>51</v>
      </c>
      <c r="C13" s="19">
        <v>5892</v>
      </c>
      <c r="D13" s="18">
        <v>0.24234945705824301</v>
      </c>
    </row>
    <row r="14" spans="2:5">
      <c r="B14" s="20" t="s">
        <v>52</v>
      </c>
      <c r="C14" s="19">
        <v>3011</v>
      </c>
      <c r="D14" s="18">
        <v>0.123848305363606</v>
      </c>
      <c r="E14" s="21"/>
    </row>
    <row r="15" spans="2:5">
      <c r="B15" s="20" t="s">
        <v>53</v>
      </c>
      <c r="C15" s="19">
        <v>2244</v>
      </c>
      <c r="D15" s="18">
        <v>9.2300098716683002E-2</v>
      </c>
    </row>
    <row r="16" spans="2:5">
      <c r="B16" s="20" t="s">
        <v>54</v>
      </c>
      <c r="C16" s="19">
        <v>1044</v>
      </c>
      <c r="D16" s="18">
        <v>4.2941757156959998E-2</v>
      </c>
    </row>
    <row r="17" spans="2:4">
      <c r="B17" s="20" t="s">
        <v>55</v>
      </c>
      <c r="C17" s="19">
        <v>660</v>
      </c>
      <c r="D17" s="18">
        <v>2.7147087857848001E-2</v>
      </c>
    </row>
    <row r="18" spans="2:4">
      <c r="B18" s="20" t="s">
        <v>56</v>
      </c>
      <c r="C18" s="19">
        <v>632</v>
      </c>
      <c r="D18" s="18">
        <v>2.5995393221454E-2</v>
      </c>
    </row>
    <row r="19" spans="2:4">
      <c r="B19" s="20" t="s">
        <v>57</v>
      </c>
      <c r="C19" s="19">
        <v>585</v>
      </c>
      <c r="D19" s="18">
        <v>2.4062191510365E-2</v>
      </c>
    </row>
    <row r="20" spans="2:4">
      <c r="B20" s="20" t="s">
        <v>58</v>
      </c>
      <c r="C20" s="19">
        <v>583</v>
      </c>
      <c r="D20" s="18">
        <v>2.3979927607765999E-2</v>
      </c>
    </row>
    <row r="21" spans="2:4">
      <c r="B21" s="20" t="s">
        <v>59</v>
      </c>
      <c r="C21" s="19">
        <v>527</v>
      </c>
      <c r="D21" s="18">
        <v>2.1676538334979002E-2</v>
      </c>
    </row>
    <row r="22" spans="2:4">
      <c r="B22" s="20" t="s">
        <v>60</v>
      </c>
      <c r="C22" s="19">
        <v>477</v>
      </c>
      <c r="D22" s="18">
        <v>1.9619940769990001E-2</v>
      </c>
    </row>
    <row r="23" spans="2:4">
      <c r="B23" s="20" t="s">
        <v>61</v>
      </c>
      <c r="C23" s="19">
        <v>323</v>
      </c>
      <c r="D23" s="18">
        <v>1.3285620269826E-2</v>
      </c>
    </row>
    <row r="24" spans="2:4">
      <c r="B24" s="20" t="s">
        <v>62</v>
      </c>
      <c r="C24" s="19">
        <v>311</v>
      </c>
      <c r="D24" s="18">
        <v>1.2792036854228001E-2</v>
      </c>
    </row>
    <row r="25" spans="2:4">
      <c r="B25" s="20" t="s">
        <v>63</v>
      </c>
      <c r="C25" s="19">
        <v>227</v>
      </c>
      <c r="D25" s="18">
        <v>9.3369529450480007E-3</v>
      </c>
    </row>
    <row r="26" spans="2:4">
      <c r="B26" s="20" t="s">
        <v>64</v>
      </c>
      <c r="C26" s="19">
        <v>213</v>
      </c>
      <c r="D26" s="18">
        <v>8.7611056268509999E-3</v>
      </c>
    </row>
    <row r="27" spans="2:4">
      <c r="B27" s="20" t="s">
        <v>65</v>
      </c>
      <c r="C27" s="19">
        <v>200</v>
      </c>
      <c r="D27" s="18">
        <v>8.2263902599539994E-3</v>
      </c>
    </row>
    <row r="28" spans="2:4">
      <c r="B28" s="20" t="s">
        <v>66</v>
      </c>
      <c r="C28" s="19">
        <v>177</v>
      </c>
      <c r="D28" s="18">
        <v>7.2803553800590004E-3</v>
      </c>
    </row>
    <row r="29" spans="2:4">
      <c r="B29" s="20" t="s">
        <v>67</v>
      </c>
      <c r="C29" s="19">
        <v>158</v>
      </c>
      <c r="D29" s="18">
        <v>6.4988483053640004E-3</v>
      </c>
    </row>
    <row r="30" spans="2:4">
      <c r="B30" s="20" t="s">
        <v>68</v>
      </c>
      <c r="C30" s="19">
        <v>132</v>
      </c>
      <c r="D30" s="18">
        <v>5.4294175715700003E-3</v>
      </c>
    </row>
    <row r="31" spans="2:4">
      <c r="B31" s="20" t="s">
        <v>69</v>
      </c>
      <c r="C31" s="19">
        <v>126</v>
      </c>
      <c r="D31" s="18">
        <v>5.1826258637709998E-3</v>
      </c>
    </row>
    <row r="32" spans="2:4">
      <c r="B32" s="20" t="s">
        <v>70</v>
      </c>
      <c r="C32" s="19">
        <v>81</v>
      </c>
      <c r="D32" s="18">
        <v>3.331688055281E-3</v>
      </c>
    </row>
    <row r="33" spans="2:4">
      <c r="B33" s="20" t="s">
        <v>71</v>
      </c>
      <c r="C33" s="19">
        <v>66</v>
      </c>
      <c r="D33" s="18">
        <v>2.7147087857850001E-3</v>
      </c>
    </row>
    <row r="34" spans="2:4">
      <c r="B34" s="20" t="s">
        <v>72</v>
      </c>
      <c r="C34" s="19">
        <v>65</v>
      </c>
      <c r="D34" s="18">
        <v>2.6735768344850002E-3</v>
      </c>
    </row>
    <row r="35" spans="2:4">
      <c r="B35" s="20" t="s">
        <v>73</v>
      </c>
      <c r="C35" s="19">
        <v>61</v>
      </c>
      <c r="D35" s="18">
        <v>2.509049029286E-3</v>
      </c>
    </row>
    <row r="36" spans="2:4">
      <c r="B36" s="20" t="s">
        <v>74</v>
      </c>
      <c r="C36" s="19">
        <v>52</v>
      </c>
      <c r="D36" s="18">
        <v>2.1388614675880002E-3</v>
      </c>
    </row>
    <row r="37" spans="2:4">
      <c r="B37" s="20" t="s">
        <v>75</v>
      </c>
      <c r="C37" s="19">
        <v>50</v>
      </c>
      <c r="D37" s="18">
        <v>2.0565975649879998E-3</v>
      </c>
    </row>
    <row r="38" spans="2:4">
      <c r="B38" s="20" t="s">
        <v>76</v>
      </c>
      <c r="C38" s="19">
        <v>43</v>
      </c>
      <c r="D38" s="18">
        <v>1.7686739058900001E-3</v>
      </c>
    </row>
    <row r="39" spans="2:4">
      <c r="B39" s="20" t="s">
        <v>77</v>
      </c>
      <c r="C39" s="19">
        <v>39</v>
      </c>
      <c r="D39" s="18">
        <v>1.6041461006909999E-3</v>
      </c>
    </row>
    <row r="40" spans="2:4">
      <c r="B40" s="20" t="s">
        <v>78</v>
      </c>
      <c r="C40" s="19">
        <v>39</v>
      </c>
      <c r="D40" s="18">
        <v>1.6041461006909999E-3</v>
      </c>
    </row>
    <row r="41" spans="2:4">
      <c r="B41" s="20" t="s">
        <v>79</v>
      </c>
      <c r="C41" s="19">
        <v>37</v>
      </c>
      <c r="D41" s="18">
        <v>1.521882198091E-3</v>
      </c>
    </row>
    <row r="42" spans="2:4">
      <c r="B42" s="20" t="s">
        <v>80</v>
      </c>
      <c r="C42" s="19">
        <v>37</v>
      </c>
      <c r="D42" s="18">
        <v>1.521882198091E-3</v>
      </c>
    </row>
    <row r="43" spans="2:4">
      <c r="B43" s="20" t="s">
        <v>81</v>
      </c>
      <c r="C43" s="19">
        <v>33</v>
      </c>
      <c r="D43" s="18">
        <v>1.357354392892E-3</v>
      </c>
    </row>
    <row r="44" spans="2:4">
      <c r="B44" s="20" t="s">
        <v>82</v>
      </c>
      <c r="C44" s="19">
        <v>33</v>
      </c>
      <c r="D44" s="18">
        <v>1.357354392892E-3</v>
      </c>
    </row>
    <row r="45" spans="2:4">
      <c r="B45" s="20" t="s">
        <v>83</v>
      </c>
      <c r="C45" s="19">
        <v>28</v>
      </c>
      <c r="D45" s="18">
        <v>1.151694636394E-3</v>
      </c>
    </row>
    <row r="46" spans="2:4">
      <c r="B46" s="20" t="s">
        <v>84</v>
      </c>
      <c r="C46" s="19">
        <v>23</v>
      </c>
      <c r="D46" s="18">
        <v>9.4603487989499996E-4</v>
      </c>
    </row>
    <row r="47" spans="2:4">
      <c r="B47" s="20" t="s">
        <v>85</v>
      </c>
      <c r="C47" s="19">
        <v>22</v>
      </c>
      <c r="D47" s="18">
        <v>9.0490292859500001E-4</v>
      </c>
    </row>
    <row r="48" spans="2:4">
      <c r="B48" s="20" t="s">
        <v>86</v>
      </c>
      <c r="C48" s="19">
        <v>21</v>
      </c>
      <c r="D48" s="18">
        <v>8.6377097729499995E-4</v>
      </c>
    </row>
    <row r="49" spans="2:4">
      <c r="B49" s="20" t="s">
        <v>87</v>
      </c>
      <c r="C49" s="19">
        <v>21</v>
      </c>
      <c r="D49" s="18">
        <v>8.6377097729499995E-4</v>
      </c>
    </row>
    <row r="50" spans="2:4">
      <c r="B50" s="20" t="s">
        <v>88</v>
      </c>
      <c r="C50" s="19">
        <v>18</v>
      </c>
      <c r="D50" s="18">
        <v>7.4037512339599995E-4</v>
      </c>
    </row>
    <row r="51" spans="2:4">
      <c r="B51" s="20" t="s">
        <v>89</v>
      </c>
      <c r="C51" s="19">
        <v>14</v>
      </c>
      <c r="D51" s="18">
        <v>5.7584731819699999E-4</v>
      </c>
    </row>
    <row r="52" spans="2:4">
      <c r="B52" s="20" t="s">
        <v>90</v>
      </c>
      <c r="C52" s="19">
        <v>12</v>
      </c>
      <c r="D52" s="18">
        <v>4.9358341559699998E-4</v>
      </c>
    </row>
    <row r="53" spans="2:4">
      <c r="B53" s="20" t="s">
        <v>91</v>
      </c>
      <c r="C53" s="19">
        <v>12</v>
      </c>
      <c r="D53" s="18">
        <v>4.9358341559699998E-4</v>
      </c>
    </row>
    <row r="54" spans="2:4">
      <c r="B54" s="20" t="s">
        <v>92</v>
      </c>
      <c r="C54" s="19">
        <v>8</v>
      </c>
      <c r="D54" s="18">
        <v>3.2905561039800002E-4</v>
      </c>
    </row>
    <row r="55" spans="2:4">
      <c r="B55" s="20" t="s">
        <v>93</v>
      </c>
      <c r="C55" s="19">
        <v>8</v>
      </c>
      <c r="D55" s="18">
        <v>3.2905561039800002E-4</v>
      </c>
    </row>
    <row r="56" spans="2:4">
      <c r="B56" s="20" t="s">
        <v>94</v>
      </c>
      <c r="C56" s="19">
        <v>7</v>
      </c>
      <c r="D56" s="18">
        <v>2.8792365909800001E-4</v>
      </c>
    </row>
    <row r="57" spans="2:4">
      <c r="B57" s="20" t="s">
        <v>95</v>
      </c>
      <c r="C57" s="19">
        <v>5</v>
      </c>
      <c r="D57" s="18">
        <v>2.0565975649899999E-4</v>
      </c>
    </row>
    <row r="58" spans="2:4">
      <c r="B58" s="20" t="s">
        <v>96</v>
      </c>
      <c r="C58" s="19">
        <v>5</v>
      </c>
      <c r="D58" s="18">
        <v>2.0565975649899999E-4</v>
      </c>
    </row>
    <row r="59" spans="2:4">
      <c r="B59" s="20" t="s">
        <v>97</v>
      </c>
      <c r="C59" s="19">
        <v>3</v>
      </c>
      <c r="D59" s="18">
        <v>1.23395853899E-4</v>
      </c>
    </row>
    <row r="60" spans="2:4">
      <c r="B60" s="20" t="s">
        <v>98</v>
      </c>
      <c r="C60" s="19">
        <v>3</v>
      </c>
      <c r="D60" s="18">
        <v>1.23395853899E-4</v>
      </c>
    </row>
    <row r="61" spans="2:4">
      <c r="B61" s="20" t="s">
        <v>99</v>
      </c>
      <c r="C61" s="19">
        <v>2</v>
      </c>
      <c r="D61" s="18">
        <v>8.2263902599999999E-5</v>
      </c>
    </row>
    <row r="62" spans="2:4">
      <c r="B62" s="20" t="s">
        <v>100</v>
      </c>
      <c r="C62" s="19">
        <v>1</v>
      </c>
      <c r="D62" s="18">
        <v>4.1131951299999999E-5</v>
      </c>
    </row>
    <row r="63" spans="2:4">
      <c r="B63" s="65" t="s">
        <v>29</v>
      </c>
      <c r="C63" s="70">
        <v>24312</v>
      </c>
      <c r="D63" s="66">
        <v>1</v>
      </c>
    </row>
    <row r="65" spans="2:2">
      <c r="B65" s="12" t="s">
        <v>47</v>
      </c>
    </row>
    <row r="66" spans="2:2">
      <c r="B66" s="14" t="s">
        <v>18</v>
      </c>
    </row>
    <row r="67" spans="2:2">
      <c r="B67" s="13" t="s">
        <v>48</v>
      </c>
    </row>
    <row r="68" spans="2:2">
      <c r="B68" s="12" t="s">
        <v>17</v>
      </c>
    </row>
    <row r="69" spans="2:2">
      <c r="B69" s="12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E29"/>
  <sheetViews>
    <sheetView showGridLines="0" view="pageBreakPreview" topLeftCell="A16" zoomScale="115" zoomScaleNormal="100" zoomScaleSheetLayoutView="115" workbookViewId="0">
      <selection activeCell="D12" sqref="D12:D21"/>
    </sheetView>
  </sheetViews>
  <sheetFormatPr baseColWidth="10" defaultColWidth="11.42578125" defaultRowHeight="15"/>
  <cols>
    <col min="1" max="1" width="9.28515625" style="10" customWidth="1"/>
    <col min="2" max="2" width="21.7109375" style="10" customWidth="1"/>
    <col min="3" max="3" width="17.7109375" style="11" customWidth="1"/>
    <col min="4" max="4" width="17.7109375" style="10" customWidth="1"/>
    <col min="5" max="5" width="9.28515625" style="10" customWidth="1"/>
    <col min="6" max="6" width="5.7109375" style="10" customWidth="1"/>
    <col min="7" max="16384" width="11.42578125" style="10"/>
  </cols>
  <sheetData>
    <row r="1" spans="2:5" s="22" customFormat="1" ht="15" customHeight="1">
      <c r="C1" s="28"/>
    </row>
    <row r="2" spans="2:5" s="22" customFormat="1" ht="15" customHeight="1">
      <c r="C2" s="28"/>
    </row>
    <row r="3" spans="2:5" s="22" customFormat="1" ht="15" customHeight="1">
      <c r="C3" s="28"/>
    </row>
    <row r="4" spans="2:5" s="22" customFormat="1" ht="30" customHeight="1">
      <c r="C4" s="28"/>
      <c r="D4" s="27"/>
    </row>
    <row r="5" spans="2:5" s="22" customFormat="1" ht="15" customHeight="1">
      <c r="C5" s="28"/>
      <c r="D5" s="27"/>
    </row>
    <row r="6" spans="2:5" s="22" customFormat="1" ht="15" customHeight="1">
      <c r="C6" s="28"/>
      <c r="D6" s="27"/>
    </row>
    <row r="7" spans="2:5" s="22" customFormat="1" ht="15" customHeight="1">
      <c r="B7" s="90" t="s">
        <v>43</v>
      </c>
      <c r="C7" s="90"/>
      <c r="D7" s="90"/>
    </row>
    <row r="8" spans="2:5" s="22" customFormat="1" ht="15" customHeight="1">
      <c r="B8" s="90"/>
      <c r="C8" s="90"/>
      <c r="D8" s="90"/>
    </row>
    <row r="9" spans="2:5" s="22" customFormat="1" ht="33" customHeight="1">
      <c r="B9" s="90"/>
      <c r="C9" s="90"/>
      <c r="D9" s="90"/>
    </row>
    <row r="10" spans="2:5" s="22" customFormat="1" ht="4.5" customHeight="1">
      <c r="B10" s="26"/>
      <c r="C10" s="26"/>
      <c r="D10" s="26"/>
    </row>
    <row r="11" spans="2:5" s="22" customFormat="1" ht="33" customHeight="1">
      <c r="B11" s="74" t="s">
        <v>22</v>
      </c>
      <c r="C11" s="75" t="s">
        <v>20</v>
      </c>
      <c r="D11" s="74" t="s">
        <v>19</v>
      </c>
    </row>
    <row r="12" spans="2:5">
      <c r="B12" s="20" t="s">
        <v>50</v>
      </c>
      <c r="C12" s="19">
        <v>5941</v>
      </c>
      <c r="D12" s="18">
        <f>C12/$C$22</f>
        <v>0.2813106681187556</v>
      </c>
    </row>
    <row r="13" spans="2:5">
      <c r="B13" s="20" t="s">
        <v>51</v>
      </c>
      <c r="C13" s="19">
        <v>5892</v>
      </c>
      <c r="D13" s="18">
        <f t="shared" ref="D13:D21" si="0">C13/$C$22</f>
        <v>0.27899048250390646</v>
      </c>
    </row>
    <row r="14" spans="2:5">
      <c r="B14" s="20" t="s">
        <v>52</v>
      </c>
      <c r="C14" s="19">
        <v>3011</v>
      </c>
      <c r="D14" s="18">
        <f t="shared" si="0"/>
        <v>0.14257303849614092</v>
      </c>
      <c r="E14" s="21"/>
    </row>
    <row r="15" spans="2:5">
      <c r="B15" s="20" t="s">
        <v>53</v>
      </c>
      <c r="C15" s="19">
        <v>2244</v>
      </c>
      <c r="D15" s="18">
        <f t="shared" si="0"/>
        <v>0.10625503101472608</v>
      </c>
      <c r="E15" s="21"/>
    </row>
    <row r="16" spans="2:5">
      <c r="B16" s="20" t="s">
        <v>54</v>
      </c>
      <c r="C16" s="19">
        <v>1044</v>
      </c>
      <c r="D16" s="18">
        <f t="shared" si="0"/>
        <v>4.9434158814337797E-2</v>
      </c>
    </row>
    <row r="17" spans="2:4">
      <c r="B17" s="20" t="s">
        <v>55</v>
      </c>
      <c r="C17" s="19">
        <v>660</v>
      </c>
      <c r="D17" s="18">
        <f t="shared" si="0"/>
        <v>3.1251479710213553E-2</v>
      </c>
    </row>
    <row r="18" spans="2:4">
      <c r="B18" s="20" t="s">
        <v>56</v>
      </c>
      <c r="C18" s="19">
        <v>632</v>
      </c>
      <c r="D18" s="18">
        <f t="shared" si="0"/>
        <v>2.9925659358871159E-2</v>
      </c>
    </row>
    <row r="19" spans="2:4">
      <c r="B19" s="20" t="s">
        <v>57</v>
      </c>
      <c r="C19" s="19">
        <v>585</v>
      </c>
      <c r="D19" s="18">
        <f t="shared" si="0"/>
        <v>2.7700175197689286E-2</v>
      </c>
    </row>
    <row r="20" spans="2:4">
      <c r="B20" s="20" t="s">
        <v>58</v>
      </c>
      <c r="C20" s="19">
        <v>583</v>
      </c>
      <c r="D20" s="18">
        <f t="shared" si="0"/>
        <v>2.7605473744021971E-2</v>
      </c>
    </row>
    <row r="21" spans="2:4">
      <c r="B21" s="20" t="s">
        <v>59</v>
      </c>
      <c r="C21" s="19">
        <v>527</v>
      </c>
      <c r="D21" s="18">
        <f t="shared" si="0"/>
        <v>2.4953833041337185E-2</v>
      </c>
    </row>
    <row r="22" spans="2:4">
      <c r="B22" s="17" t="s">
        <v>44</v>
      </c>
      <c r="C22" s="16">
        <f>SUM(C12:C21)</f>
        <v>21119</v>
      </c>
      <c r="D22" s="15">
        <f t="shared" ref="D22" si="1">C22/$C$22</f>
        <v>1</v>
      </c>
    </row>
    <row r="23" spans="2:4">
      <c r="B23" s="17" t="s">
        <v>45</v>
      </c>
      <c r="C23" s="16">
        <v>24312</v>
      </c>
    </row>
    <row r="24" spans="2:4">
      <c r="B24" s="12"/>
    </row>
    <row r="25" spans="2:4">
      <c r="B25" s="12" t="s">
        <v>47</v>
      </c>
    </row>
    <row r="26" spans="2:4">
      <c r="B26" s="14" t="s">
        <v>18</v>
      </c>
    </row>
    <row r="27" spans="2:4">
      <c r="B27" s="13" t="s">
        <v>48</v>
      </c>
    </row>
    <row r="28" spans="2:4">
      <c r="B28" s="12" t="s">
        <v>17</v>
      </c>
    </row>
    <row r="29" spans="2:4">
      <c r="B29" s="12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E63"/>
  <sheetViews>
    <sheetView showGridLines="0" view="pageBreakPreview" topLeftCell="A6" zoomScale="115" zoomScaleNormal="100" zoomScaleSheetLayoutView="115" workbookViewId="0">
      <selection activeCell="B50" sqref="B50"/>
    </sheetView>
  </sheetViews>
  <sheetFormatPr baseColWidth="10" defaultColWidth="11.42578125" defaultRowHeight="15"/>
  <cols>
    <col min="1" max="1" width="9.28515625" style="10" customWidth="1"/>
    <col min="2" max="2" width="38.42578125" style="10" customWidth="1"/>
    <col min="3" max="3" width="17.7109375" style="11" customWidth="1"/>
    <col min="4" max="4" width="17.7109375" style="10" customWidth="1"/>
    <col min="5" max="5" width="9.28515625" style="10" customWidth="1"/>
    <col min="6" max="6" width="3.42578125" style="10" customWidth="1"/>
    <col min="7" max="16384" width="11.42578125" style="10"/>
  </cols>
  <sheetData>
    <row r="1" spans="2:5" s="22" customFormat="1" ht="15" customHeight="1">
      <c r="C1" s="28"/>
    </row>
    <row r="2" spans="2:5" s="22" customFormat="1" ht="15" customHeight="1">
      <c r="C2" s="28"/>
    </row>
    <row r="3" spans="2:5" s="22" customFormat="1" ht="15" customHeight="1">
      <c r="C3" s="28"/>
    </row>
    <row r="4" spans="2:5" s="22" customFormat="1" ht="30" customHeight="1">
      <c r="C4" s="28"/>
      <c r="D4" s="27"/>
    </row>
    <row r="5" spans="2:5" s="22" customFormat="1" ht="15" customHeight="1">
      <c r="C5" s="28"/>
      <c r="D5" s="27"/>
    </row>
    <row r="6" spans="2:5" s="22" customFormat="1" ht="15" customHeight="1">
      <c r="C6" s="28"/>
      <c r="D6" s="27"/>
    </row>
    <row r="7" spans="2:5" s="22" customFormat="1" ht="15" customHeight="1">
      <c r="B7" s="90" t="s">
        <v>41</v>
      </c>
      <c r="C7" s="90"/>
      <c r="D7" s="90"/>
    </row>
    <row r="8" spans="2:5" s="22" customFormat="1" ht="15" customHeight="1">
      <c r="B8" s="90"/>
      <c r="C8" s="90"/>
      <c r="D8" s="90"/>
    </row>
    <row r="9" spans="2:5" s="22" customFormat="1" ht="33" customHeight="1">
      <c r="B9" s="90"/>
      <c r="C9" s="90"/>
      <c r="D9" s="90"/>
      <c r="E9" s="1"/>
    </row>
    <row r="10" spans="2:5" s="22" customFormat="1" ht="4.5" customHeight="1">
      <c r="B10" s="26"/>
      <c r="C10" s="26"/>
      <c r="D10" s="26"/>
    </row>
    <row r="11" spans="2:5" s="22" customFormat="1" ht="33" customHeight="1">
      <c r="B11" s="74" t="s">
        <v>23</v>
      </c>
      <c r="C11" s="75" t="s">
        <v>20</v>
      </c>
      <c r="D11" s="74" t="s">
        <v>19</v>
      </c>
    </row>
    <row r="12" spans="2:5">
      <c r="B12" s="20" t="s">
        <v>230</v>
      </c>
      <c r="C12" s="19">
        <v>4530</v>
      </c>
      <c r="D12" s="18">
        <v>0.18632773938795699</v>
      </c>
    </row>
    <row r="13" spans="2:5">
      <c r="B13" s="20" t="s">
        <v>235</v>
      </c>
      <c r="C13" s="19">
        <v>3899</v>
      </c>
      <c r="D13" s="18">
        <v>0.160373478117802</v>
      </c>
    </row>
    <row r="14" spans="2:5">
      <c r="B14" s="20" t="s">
        <v>232</v>
      </c>
      <c r="C14" s="19">
        <v>2399</v>
      </c>
      <c r="D14" s="18">
        <v>9.8675551168146997E-2</v>
      </c>
      <c r="E14" s="21"/>
    </row>
    <row r="15" spans="2:5">
      <c r="B15" s="20" t="s">
        <v>226</v>
      </c>
      <c r="C15" s="19">
        <v>1801</v>
      </c>
      <c r="D15" s="18">
        <v>7.4078644290884996E-2</v>
      </c>
      <c r="E15" s="21"/>
    </row>
    <row r="16" spans="2:5">
      <c r="B16" s="20" t="s">
        <v>239</v>
      </c>
      <c r="C16" s="19">
        <v>1634</v>
      </c>
      <c r="D16" s="18">
        <v>6.7209608423823994E-2</v>
      </c>
    </row>
    <row r="17" spans="2:4">
      <c r="B17" s="20" t="s">
        <v>236</v>
      </c>
      <c r="C17" s="19">
        <v>1392</v>
      </c>
      <c r="D17" s="18">
        <v>5.7255676209279002E-2</v>
      </c>
    </row>
    <row r="18" spans="2:4">
      <c r="B18" s="20" t="s">
        <v>241</v>
      </c>
      <c r="C18" s="19">
        <v>1065</v>
      </c>
      <c r="D18" s="18">
        <v>4.3805528134254999E-2</v>
      </c>
    </row>
    <row r="19" spans="2:4">
      <c r="B19" s="20" t="s">
        <v>242</v>
      </c>
      <c r="C19" s="19">
        <v>935</v>
      </c>
      <c r="D19" s="18">
        <v>3.8458374465285002E-2</v>
      </c>
    </row>
    <row r="20" spans="2:4">
      <c r="B20" s="20" t="s">
        <v>224</v>
      </c>
      <c r="C20" s="19">
        <v>897</v>
      </c>
      <c r="D20" s="18">
        <v>3.6895360315893001E-2</v>
      </c>
    </row>
    <row r="21" spans="2:4">
      <c r="B21" s="20" t="s">
        <v>237</v>
      </c>
      <c r="C21" s="19">
        <v>863</v>
      </c>
      <c r="D21" s="18">
        <v>3.5496873971701003E-2</v>
      </c>
    </row>
    <row r="22" spans="2:4">
      <c r="B22" s="20" t="s">
        <v>240</v>
      </c>
      <c r="C22" s="19">
        <v>844</v>
      </c>
      <c r="D22" s="18">
        <v>3.4715366897006002E-2</v>
      </c>
    </row>
    <row r="23" spans="2:4">
      <c r="B23" s="20" t="s">
        <v>227</v>
      </c>
      <c r="C23" s="19">
        <v>421</v>
      </c>
      <c r="D23" s="18">
        <v>1.7316551497203E-2</v>
      </c>
    </row>
    <row r="24" spans="2:4">
      <c r="B24" s="20" t="s">
        <v>231</v>
      </c>
      <c r="C24" s="19">
        <v>351</v>
      </c>
      <c r="D24" s="18">
        <v>1.4437314906219001E-2</v>
      </c>
    </row>
    <row r="25" spans="2:4">
      <c r="B25" s="20" t="s">
        <v>238</v>
      </c>
      <c r="C25" s="19">
        <v>331</v>
      </c>
      <c r="D25" s="18">
        <v>1.3614675880223999E-2</v>
      </c>
    </row>
    <row r="26" spans="2:4">
      <c r="B26" s="20" t="s">
        <v>244</v>
      </c>
      <c r="C26" s="19">
        <v>286</v>
      </c>
      <c r="D26" s="18">
        <v>1.1763738071734E-2</v>
      </c>
    </row>
    <row r="27" spans="2:4">
      <c r="B27" s="20" t="s">
        <v>221</v>
      </c>
      <c r="C27" s="19">
        <v>252</v>
      </c>
      <c r="D27" s="18">
        <v>1.0365251727542E-2</v>
      </c>
    </row>
    <row r="28" spans="2:4">
      <c r="B28" s="20" t="s">
        <v>220</v>
      </c>
      <c r="C28" s="19">
        <v>235</v>
      </c>
      <c r="D28" s="18">
        <v>9.6660085554460002E-3</v>
      </c>
    </row>
    <row r="29" spans="2:4">
      <c r="B29" s="20" t="s">
        <v>229</v>
      </c>
      <c r="C29" s="19">
        <v>202</v>
      </c>
      <c r="D29" s="18">
        <v>8.3086541625529992E-3</v>
      </c>
    </row>
    <row r="30" spans="2:4">
      <c r="B30" s="20" t="s">
        <v>234</v>
      </c>
      <c r="C30" s="19">
        <v>199</v>
      </c>
      <c r="D30" s="18">
        <v>8.1852583086540007E-3</v>
      </c>
    </row>
    <row r="31" spans="2:4">
      <c r="B31" s="20" t="s">
        <v>247</v>
      </c>
      <c r="C31" s="19">
        <v>195</v>
      </c>
      <c r="D31" s="18">
        <v>8.0207305034550001E-3</v>
      </c>
    </row>
    <row r="32" spans="2:4">
      <c r="B32" s="20" t="s">
        <v>243</v>
      </c>
      <c r="C32" s="19">
        <v>174</v>
      </c>
      <c r="D32" s="18">
        <v>7.1569595261600002E-3</v>
      </c>
    </row>
    <row r="33" spans="2:4">
      <c r="B33" s="20" t="s">
        <v>219</v>
      </c>
      <c r="C33" s="19">
        <v>147</v>
      </c>
      <c r="D33" s="18">
        <v>6.0463968410659997E-3</v>
      </c>
    </row>
    <row r="34" spans="2:4">
      <c r="B34" s="20" t="s">
        <v>256</v>
      </c>
      <c r="C34" s="19">
        <v>129</v>
      </c>
      <c r="D34" s="18">
        <v>5.30602171767E-3</v>
      </c>
    </row>
    <row r="35" spans="2:4">
      <c r="B35" s="20" t="s">
        <v>223</v>
      </c>
      <c r="C35" s="19">
        <v>118</v>
      </c>
      <c r="D35" s="18">
        <v>4.8535702533730003E-3</v>
      </c>
    </row>
    <row r="36" spans="2:4">
      <c r="B36" s="20" t="s">
        <v>222</v>
      </c>
      <c r="C36" s="19">
        <v>116</v>
      </c>
      <c r="D36" s="18">
        <v>4.7713063507730004E-3</v>
      </c>
    </row>
    <row r="37" spans="2:4">
      <c r="B37" s="20" t="s">
        <v>228</v>
      </c>
      <c r="C37" s="19">
        <v>94</v>
      </c>
      <c r="D37" s="18">
        <v>3.8664034221780001E-3</v>
      </c>
    </row>
    <row r="38" spans="2:4">
      <c r="B38" s="20" t="s">
        <v>258</v>
      </c>
      <c r="C38" s="19">
        <v>87</v>
      </c>
      <c r="D38" s="18">
        <v>3.5784797630800001E-3</v>
      </c>
    </row>
    <row r="39" spans="2:4">
      <c r="B39" s="20" t="s">
        <v>250</v>
      </c>
      <c r="C39" s="19">
        <v>85</v>
      </c>
      <c r="D39" s="18">
        <v>3.4962158604800002E-3</v>
      </c>
    </row>
    <row r="40" spans="2:4">
      <c r="B40" s="20" t="s">
        <v>259</v>
      </c>
      <c r="C40" s="19">
        <v>63</v>
      </c>
      <c r="D40" s="18">
        <v>2.5913129318849999E-3</v>
      </c>
    </row>
    <row r="41" spans="2:4">
      <c r="B41" s="20" t="s">
        <v>246</v>
      </c>
      <c r="C41" s="19">
        <v>62</v>
      </c>
      <c r="D41" s="18">
        <v>2.550180980586E-3</v>
      </c>
    </row>
    <row r="42" spans="2:4">
      <c r="B42" s="20" t="s">
        <v>253</v>
      </c>
      <c r="C42" s="19">
        <v>58</v>
      </c>
      <c r="D42" s="18">
        <v>2.3856531753869998E-3</v>
      </c>
    </row>
    <row r="43" spans="2:4">
      <c r="B43" s="20" t="s">
        <v>251</v>
      </c>
      <c r="C43" s="19">
        <v>56</v>
      </c>
      <c r="D43" s="18">
        <v>2.3033892727869999E-3</v>
      </c>
    </row>
    <row r="44" spans="2:4">
      <c r="B44" s="20" t="s">
        <v>249</v>
      </c>
      <c r="C44" s="19">
        <v>54</v>
      </c>
      <c r="D44" s="18">
        <v>2.2211253701880001E-3</v>
      </c>
    </row>
    <row r="45" spans="2:4">
      <c r="B45" s="20" t="s">
        <v>225</v>
      </c>
      <c r="C45" s="19">
        <v>50</v>
      </c>
      <c r="D45" s="18">
        <v>2.0565975649879998E-3</v>
      </c>
    </row>
    <row r="46" spans="2:4">
      <c r="B46" s="20" t="s">
        <v>245</v>
      </c>
      <c r="C46" s="19">
        <v>46</v>
      </c>
      <c r="D46" s="18">
        <v>1.8920697597890001E-3</v>
      </c>
    </row>
    <row r="47" spans="2:4">
      <c r="B47" s="20" t="s">
        <v>252</v>
      </c>
      <c r="C47" s="19">
        <v>38</v>
      </c>
      <c r="D47" s="18">
        <v>1.5630141493909999E-3</v>
      </c>
    </row>
    <row r="48" spans="2:4">
      <c r="B48" s="20" t="s">
        <v>260</v>
      </c>
      <c r="C48" s="19">
        <v>36</v>
      </c>
      <c r="D48" s="18">
        <v>1.4807502467919999E-3</v>
      </c>
    </row>
    <row r="49" spans="2:4">
      <c r="B49" s="20" t="s">
        <v>248</v>
      </c>
      <c r="C49" s="19">
        <v>35</v>
      </c>
      <c r="D49" s="18">
        <v>1.4396182954919999E-3</v>
      </c>
    </row>
    <row r="50" spans="2:4" ht="40.5">
      <c r="B50" s="20" t="s">
        <v>254</v>
      </c>
      <c r="C50" s="19">
        <v>33</v>
      </c>
      <c r="D50" s="18">
        <v>1.357354392892E-3</v>
      </c>
    </row>
    <row r="51" spans="2:4">
      <c r="B51" s="20" t="s">
        <v>262</v>
      </c>
      <c r="C51" s="19">
        <v>30</v>
      </c>
      <c r="D51" s="18">
        <v>1.233958538993E-3</v>
      </c>
    </row>
    <row r="52" spans="2:4">
      <c r="B52" s="20" t="s">
        <v>233</v>
      </c>
      <c r="C52" s="19">
        <v>25</v>
      </c>
      <c r="D52" s="18">
        <v>1.0282987824939999E-3</v>
      </c>
    </row>
    <row r="53" spans="2:4">
      <c r="B53" s="20" t="s">
        <v>261</v>
      </c>
      <c r="C53" s="19">
        <v>22</v>
      </c>
      <c r="D53" s="18">
        <v>9.0490292859500001E-4</v>
      </c>
    </row>
    <row r="54" spans="2:4">
      <c r="B54" s="20" t="s">
        <v>257</v>
      </c>
      <c r="C54" s="19">
        <v>18</v>
      </c>
      <c r="D54" s="18">
        <v>7.4037512339599995E-4</v>
      </c>
    </row>
    <row r="55" spans="2:4">
      <c r="B55" s="20" t="s">
        <v>263</v>
      </c>
      <c r="C55" s="19">
        <v>4</v>
      </c>
      <c r="D55" s="18">
        <v>1.6452780519900001E-4</v>
      </c>
    </row>
    <row r="56" spans="2:4">
      <c r="B56" s="20" t="s">
        <v>255</v>
      </c>
      <c r="C56" s="19">
        <v>1</v>
      </c>
      <c r="D56" s="18">
        <v>4.1131951299999999E-5</v>
      </c>
    </row>
    <row r="57" spans="2:4">
      <c r="B57" s="17" t="s">
        <v>29</v>
      </c>
      <c r="C57" s="16">
        <v>24312</v>
      </c>
      <c r="D57" s="15">
        <v>1</v>
      </c>
    </row>
    <row r="58" spans="2:4">
      <c r="B58" s="14"/>
    </row>
    <row r="59" spans="2:4">
      <c r="B59" s="12" t="s">
        <v>47</v>
      </c>
    </row>
    <row r="60" spans="2:4">
      <c r="B60" s="14" t="s">
        <v>18</v>
      </c>
    </row>
    <row r="61" spans="2:4">
      <c r="B61" s="13" t="s">
        <v>48</v>
      </c>
    </row>
    <row r="62" spans="2:4">
      <c r="B62" s="12" t="s">
        <v>17</v>
      </c>
    </row>
    <row r="63" spans="2:4">
      <c r="B63" s="12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836"/>
  <sheetViews>
    <sheetView showGridLines="0" view="pageBreakPreview" topLeftCell="A818" zoomScale="85" zoomScaleNormal="100" zoomScaleSheetLayoutView="85" workbookViewId="0">
      <selection activeCell="C833" sqref="C833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3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8"/>
      <c r="C7" s="98"/>
      <c r="D7" s="98"/>
      <c r="E7" s="98"/>
    </row>
    <row r="8" spans="1:5" s="41" customFormat="1" ht="33" customHeight="1">
      <c r="A8" s="42"/>
      <c r="B8" s="98"/>
      <c r="C8" s="98"/>
      <c r="D8" s="98"/>
      <c r="E8" s="98"/>
    </row>
    <row r="9" spans="1:5" s="22" customFormat="1" ht="40.5" customHeight="1">
      <c r="B9" s="38" t="s">
        <v>25</v>
      </c>
      <c r="C9" s="40" t="s">
        <v>24</v>
      </c>
      <c r="D9" s="39" t="s">
        <v>20</v>
      </c>
      <c r="E9" s="38" t="s">
        <v>19</v>
      </c>
    </row>
    <row r="10" spans="1:5" ht="15" customHeight="1">
      <c r="B10" s="93" t="s">
        <v>101</v>
      </c>
      <c r="C10" s="71" t="s">
        <v>219</v>
      </c>
      <c r="D10" s="72">
        <v>1</v>
      </c>
      <c r="E10" s="73">
        <v>4.1131951299999999E-5</v>
      </c>
    </row>
    <row r="11" spans="1:5" ht="15" customHeight="1">
      <c r="B11" s="94"/>
      <c r="C11" s="71" t="s">
        <v>220</v>
      </c>
      <c r="D11" s="72">
        <v>2</v>
      </c>
      <c r="E11" s="73">
        <v>8.2263902599999999E-5</v>
      </c>
    </row>
    <row r="12" spans="1:5" ht="15" customHeight="1">
      <c r="B12" s="94"/>
      <c r="C12" s="71" t="s">
        <v>221</v>
      </c>
      <c r="D12" s="72">
        <v>3</v>
      </c>
      <c r="E12" s="73">
        <v>1.23395853899E-4</v>
      </c>
    </row>
    <row r="13" spans="1:5" ht="15" customHeight="1">
      <c r="B13" s="94"/>
      <c r="C13" s="71" t="s">
        <v>222</v>
      </c>
      <c r="D13" s="72">
        <v>1</v>
      </c>
      <c r="E13" s="73">
        <v>4.1131951299999999E-5</v>
      </c>
    </row>
    <row r="14" spans="1:5" ht="15" customHeight="1">
      <c r="B14" s="94"/>
      <c r="C14" s="71" t="s">
        <v>223</v>
      </c>
      <c r="D14" s="72">
        <v>3</v>
      </c>
      <c r="E14" s="73">
        <v>1.23395853899E-4</v>
      </c>
    </row>
    <row r="15" spans="1:5" ht="15" customHeight="1">
      <c r="B15" s="94"/>
      <c r="C15" s="71" t="s">
        <v>224</v>
      </c>
      <c r="D15" s="72">
        <v>10</v>
      </c>
      <c r="E15" s="73">
        <v>4.1131951299799998E-4</v>
      </c>
    </row>
    <row r="16" spans="1:5" ht="15" customHeight="1">
      <c r="B16" s="94"/>
      <c r="C16" s="71" t="s">
        <v>225</v>
      </c>
      <c r="D16" s="72">
        <v>1</v>
      </c>
      <c r="E16" s="73">
        <v>4.1131951299999999E-5</v>
      </c>
    </row>
    <row r="17" spans="2:5" ht="15" customHeight="1">
      <c r="B17" s="94"/>
      <c r="C17" s="71" t="s">
        <v>226</v>
      </c>
      <c r="D17" s="72">
        <v>7</v>
      </c>
      <c r="E17" s="73">
        <v>2.8792365909800001E-4</v>
      </c>
    </row>
    <row r="18" spans="2:5" ht="15" customHeight="1">
      <c r="B18" s="94"/>
      <c r="C18" s="71" t="s">
        <v>227</v>
      </c>
      <c r="D18" s="72">
        <v>3</v>
      </c>
      <c r="E18" s="73">
        <v>1.23395853899E-4</v>
      </c>
    </row>
    <row r="19" spans="2:5" ht="15" customHeight="1">
      <c r="B19" s="94"/>
      <c r="C19" s="71" t="s">
        <v>228</v>
      </c>
      <c r="D19" s="72">
        <v>2</v>
      </c>
      <c r="E19" s="73">
        <v>8.2263902599999999E-5</v>
      </c>
    </row>
    <row r="20" spans="2:5" ht="15" customHeight="1">
      <c r="B20" s="94"/>
      <c r="C20" s="71" t="s">
        <v>229</v>
      </c>
      <c r="D20" s="72">
        <v>1</v>
      </c>
      <c r="E20" s="73">
        <v>4.1131951299999999E-5</v>
      </c>
    </row>
    <row r="21" spans="2:5" ht="15" customHeight="1">
      <c r="B21" s="94"/>
      <c r="C21" s="71" t="s">
        <v>230</v>
      </c>
      <c r="D21" s="72">
        <v>16</v>
      </c>
      <c r="E21" s="73">
        <v>6.5811122079600004E-4</v>
      </c>
    </row>
    <row r="22" spans="2:5" ht="15" customHeight="1">
      <c r="B22" s="94"/>
      <c r="C22" s="71" t="s">
        <v>231</v>
      </c>
      <c r="D22" s="72">
        <v>3</v>
      </c>
      <c r="E22" s="73">
        <v>1.23395853899E-4</v>
      </c>
    </row>
    <row r="23" spans="2:5" ht="15" customHeight="1">
      <c r="B23" s="94"/>
      <c r="C23" s="71" t="s">
        <v>232</v>
      </c>
      <c r="D23" s="72">
        <v>4</v>
      </c>
      <c r="E23" s="73">
        <v>1.6452780519900001E-4</v>
      </c>
    </row>
    <row r="24" spans="2:5" ht="15" customHeight="1">
      <c r="B24" s="94"/>
      <c r="C24" s="71" t="s">
        <v>233</v>
      </c>
      <c r="D24" s="72">
        <v>1</v>
      </c>
      <c r="E24" s="73">
        <v>4.1131951299999999E-5</v>
      </c>
    </row>
    <row r="25" spans="2:5" ht="15" customHeight="1">
      <c r="B25" s="94"/>
      <c r="C25" s="71" t="s">
        <v>234</v>
      </c>
      <c r="D25" s="72">
        <v>1</v>
      </c>
      <c r="E25" s="73">
        <v>4.1131951299999999E-5</v>
      </c>
    </row>
    <row r="26" spans="2:5" ht="15" customHeight="1">
      <c r="B26" s="94"/>
      <c r="C26" s="71" t="s">
        <v>235</v>
      </c>
      <c r="D26" s="72">
        <v>3</v>
      </c>
      <c r="E26" s="73">
        <v>1.23395853899E-4</v>
      </c>
    </row>
    <row r="27" spans="2:5" ht="15" customHeight="1">
      <c r="B27" s="94"/>
      <c r="C27" s="71" t="s">
        <v>236</v>
      </c>
      <c r="D27" s="72">
        <v>3</v>
      </c>
      <c r="E27" s="73">
        <v>1.23395853899E-4</v>
      </c>
    </row>
    <row r="28" spans="2:5" ht="15" customHeight="1">
      <c r="B28" s="94"/>
      <c r="C28" s="71" t="s">
        <v>237</v>
      </c>
      <c r="D28" s="72">
        <v>2</v>
      </c>
      <c r="E28" s="73">
        <v>8.2263902599999999E-5</v>
      </c>
    </row>
    <row r="29" spans="2:5" ht="15" customHeight="1">
      <c r="B29" s="94"/>
      <c r="C29" s="71" t="s">
        <v>238</v>
      </c>
      <c r="D29" s="72">
        <v>7</v>
      </c>
      <c r="E29" s="73">
        <v>2.8792365909800001E-4</v>
      </c>
    </row>
    <row r="30" spans="2:5" ht="15" customHeight="1">
      <c r="B30" s="94"/>
      <c r="C30" s="71" t="s">
        <v>239</v>
      </c>
      <c r="D30" s="72">
        <v>10</v>
      </c>
      <c r="E30" s="73">
        <v>4.1131951299799998E-4</v>
      </c>
    </row>
    <row r="31" spans="2:5" ht="15" customHeight="1">
      <c r="B31" s="94"/>
      <c r="C31" s="71" t="s">
        <v>240</v>
      </c>
      <c r="D31" s="72">
        <v>21</v>
      </c>
      <c r="E31" s="73">
        <v>8.6377097729499995E-4</v>
      </c>
    </row>
    <row r="32" spans="2:5" ht="15" customHeight="1">
      <c r="B32" s="94"/>
      <c r="C32" s="71" t="s">
        <v>241</v>
      </c>
      <c r="D32" s="72">
        <v>2</v>
      </c>
      <c r="E32" s="73">
        <v>8.2263902599999999E-5</v>
      </c>
    </row>
    <row r="33" spans="2:5" ht="15" customHeight="1">
      <c r="B33" s="94"/>
      <c r="C33" s="71" t="s">
        <v>242</v>
      </c>
      <c r="D33" s="72">
        <v>1</v>
      </c>
      <c r="E33" s="73">
        <v>4.1131951299999999E-5</v>
      </c>
    </row>
    <row r="34" spans="2:5" ht="15" customHeight="1">
      <c r="B34" s="94"/>
      <c r="C34" s="71" t="s">
        <v>243</v>
      </c>
      <c r="D34" s="72">
        <v>2</v>
      </c>
      <c r="E34" s="73">
        <v>8.2263902599999999E-5</v>
      </c>
    </row>
    <row r="35" spans="2:5" ht="15" customHeight="1">
      <c r="B35" s="95"/>
      <c r="C35" s="36" t="s">
        <v>29</v>
      </c>
      <c r="D35" s="35">
        <v>110</v>
      </c>
      <c r="E35" s="34">
        <v>4.5245146429749999E-3</v>
      </c>
    </row>
    <row r="36" spans="2:5" ht="15" customHeight="1">
      <c r="B36" s="93" t="s">
        <v>102</v>
      </c>
      <c r="C36" s="71" t="s">
        <v>239</v>
      </c>
      <c r="D36" s="72">
        <v>1</v>
      </c>
      <c r="E36" s="73">
        <v>4.1131951299999999E-5</v>
      </c>
    </row>
    <row r="37" spans="2:5" ht="15" customHeight="1">
      <c r="B37" s="95"/>
      <c r="C37" s="36" t="s">
        <v>29</v>
      </c>
      <c r="D37" s="35">
        <v>1</v>
      </c>
      <c r="E37" s="34">
        <v>4.1131951299999999E-5</v>
      </c>
    </row>
    <row r="38" spans="2:5" ht="15" customHeight="1">
      <c r="B38" s="93" t="s">
        <v>103</v>
      </c>
      <c r="C38" s="71" t="s">
        <v>219</v>
      </c>
      <c r="D38" s="72">
        <v>1</v>
      </c>
      <c r="E38" s="73">
        <v>4.1131951299999999E-5</v>
      </c>
    </row>
    <row r="39" spans="2:5" ht="15" customHeight="1">
      <c r="B39" s="94"/>
      <c r="C39" s="71" t="s">
        <v>224</v>
      </c>
      <c r="D39" s="72">
        <v>1</v>
      </c>
      <c r="E39" s="73">
        <v>4.1131951299999999E-5</v>
      </c>
    </row>
    <row r="40" spans="2:5" ht="15" customHeight="1">
      <c r="B40" s="94"/>
      <c r="C40" s="71" t="s">
        <v>226</v>
      </c>
      <c r="D40" s="72">
        <v>2</v>
      </c>
      <c r="E40" s="73">
        <v>8.2263902599999999E-5</v>
      </c>
    </row>
    <row r="41" spans="2:5" ht="15" customHeight="1">
      <c r="B41" s="94"/>
      <c r="C41" s="71" t="s">
        <v>227</v>
      </c>
      <c r="D41" s="72">
        <v>2</v>
      </c>
      <c r="E41" s="73">
        <v>8.2263902599999999E-5</v>
      </c>
    </row>
    <row r="42" spans="2:5" ht="15" customHeight="1">
      <c r="B42" s="94"/>
      <c r="C42" s="71" t="s">
        <v>244</v>
      </c>
      <c r="D42" s="72">
        <v>1</v>
      </c>
      <c r="E42" s="73">
        <v>4.1131951299999999E-5</v>
      </c>
    </row>
    <row r="43" spans="2:5" ht="15" customHeight="1">
      <c r="B43" s="94"/>
      <c r="C43" s="71" t="s">
        <v>228</v>
      </c>
      <c r="D43" s="72">
        <v>1</v>
      </c>
      <c r="E43" s="73">
        <v>4.1131951299999999E-5</v>
      </c>
    </row>
    <row r="44" spans="2:5" ht="15" customHeight="1">
      <c r="B44" s="94"/>
      <c r="C44" s="71" t="s">
        <v>230</v>
      </c>
      <c r="D44" s="72">
        <v>2</v>
      </c>
      <c r="E44" s="73">
        <v>8.2263902599999999E-5</v>
      </c>
    </row>
    <row r="45" spans="2:5" ht="15" customHeight="1">
      <c r="B45" s="94"/>
      <c r="C45" s="71" t="s">
        <v>232</v>
      </c>
      <c r="D45" s="72">
        <v>3</v>
      </c>
      <c r="E45" s="73">
        <v>1.23395853899E-4</v>
      </c>
    </row>
    <row r="46" spans="2:5" ht="15" customHeight="1">
      <c r="B46" s="94"/>
      <c r="C46" s="71" t="s">
        <v>234</v>
      </c>
      <c r="D46" s="72">
        <v>1</v>
      </c>
      <c r="E46" s="73">
        <v>4.1131951299999999E-5</v>
      </c>
    </row>
    <row r="47" spans="2:5" ht="15" customHeight="1">
      <c r="B47" s="94"/>
      <c r="C47" s="71" t="s">
        <v>235</v>
      </c>
      <c r="D47" s="72">
        <v>4</v>
      </c>
      <c r="E47" s="73">
        <v>1.6452780519900001E-4</v>
      </c>
    </row>
    <row r="48" spans="2:5" ht="15" customHeight="1">
      <c r="B48" s="94"/>
      <c r="C48" s="71" t="s">
        <v>236</v>
      </c>
      <c r="D48" s="72">
        <v>3</v>
      </c>
      <c r="E48" s="73">
        <v>1.23395853899E-4</v>
      </c>
    </row>
    <row r="49" spans="2:5" ht="15" customHeight="1">
      <c r="B49" s="94"/>
      <c r="C49" s="71" t="s">
        <v>238</v>
      </c>
      <c r="D49" s="72">
        <v>1</v>
      </c>
      <c r="E49" s="73">
        <v>4.1131951299999999E-5</v>
      </c>
    </row>
    <row r="50" spans="2:5" ht="15" customHeight="1">
      <c r="B50" s="94"/>
      <c r="C50" s="71" t="s">
        <v>239</v>
      </c>
      <c r="D50" s="72">
        <v>10</v>
      </c>
      <c r="E50" s="73">
        <v>4.1131951299799998E-4</v>
      </c>
    </row>
    <row r="51" spans="2:5" ht="15" customHeight="1">
      <c r="B51" s="94"/>
      <c r="C51" s="71" t="s">
        <v>241</v>
      </c>
      <c r="D51" s="72">
        <v>1</v>
      </c>
      <c r="E51" s="73">
        <v>4.1131951299999999E-5</v>
      </c>
    </row>
    <row r="52" spans="2:5" ht="15" customHeight="1">
      <c r="B52" s="94"/>
      <c r="C52" s="71" t="s">
        <v>242</v>
      </c>
      <c r="D52" s="72">
        <v>4</v>
      </c>
      <c r="E52" s="73">
        <v>1.6452780519900001E-4</v>
      </c>
    </row>
    <row r="53" spans="2:5" ht="15" customHeight="1">
      <c r="B53" s="94"/>
      <c r="C53" s="71" t="s">
        <v>245</v>
      </c>
      <c r="D53" s="72">
        <v>1</v>
      </c>
      <c r="E53" s="73">
        <v>4.1131951299999999E-5</v>
      </c>
    </row>
    <row r="54" spans="2:5" ht="15" customHeight="1">
      <c r="B54" s="94"/>
      <c r="C54" s="71" t="s">
        <v>243</v>
      </c>
      <c r="D54" s="72">
        <v>1</v>
      </c>
      <c r="E54" s="73">
        <v>4.1131951299999999E-5</v>
      </c>
    </row>
    <row r="55" spans="2:5" ht="15" customHeight="1">
      <c r="B55" s="95"/>
      <c r="C55" s="36" t="s">
        <v>29</v>
      </c>
      <c r="D55" s="35">
        <v>39</v>
      </c>
      <c r="E55" s="34">
        <v>1.6041461006909999E-3</v>
      </c>
    </row>
    <row r="56" spans="2:5" ht="15" customHeight="1">
      <c r="B56" s="93" t="s">
        <v>104</v>
      </c>
      <c r="C56" s="71" t="s">
        <v>219</v>
      </c>
      <c r="D56" s="72">
        <v>2</v>
      </c>
      <c r="E56" s="73">
        <v>8.2263902599999999E-5</v>
      </c>
    </row>
    <row r="57" spans="2:5" ht="15" customHeight="1">
      <c r="B57" s="94"/>
      <c r="C57" s="71" t="s">
        <v>220</v>
      </c>
      <c r="D57" s="72">
        <v>8</v>
      </c>
      <c r="E57" s="73">
        <v>3.2905561039800002E-4</v>
      </c>
    </row>
    <row r="58" spans="2:5" ht="15" customHeight="1">
      <c r="B58" s="94"/>
      <c r="C58" s="71" t="s">
        <v>221</v>
      </c>
      <c r="D58" s="72">
        <v>3</v>
      </c>
      <c r="E58" s="73">
        <v>1.23395853899E-4</v>
      </c>
    </row>
    <row r="59" spans="2:5" ht="15" customHeight="1">
      <c r="B59" s="94"/>
      <c r="C59" s="71" t="s">
        <v>246</v>
      </c>
      <c r="D59" s="72">
        <v>1</v>
      </c>
      <c r="E59" s="73">
        <v>4.1131951299999999E-5</v>
      </c>
    </row>
    <row r="60" spans="2:5" ht="15" customHeight="1">
      <c r="B60" s="94"/>
      <c r="C60" s="71" t="s">
        <v>223</v>
      </c>
      <c r="D60" s="72">
        <v>5</v>
      </c>
      <c r="E60" s="73">
        <v>2.0565975649899999E-4</v>
      </c>
    </row>
    <row r="61" spans="2:5" ht="15" customHeight="1">
      <c r="B61" s="94"/>
      <c r="C61" s="71" t="s">
        <v>247</v>
      </c>
      <c r="D61" s="72">
        <v>2</v>
      </c>
      <c r="E61" s="73">
        <v>8.2263902599999999E-5</v>
      </c>
    </row>
    <row r="62" spans="2:5" ht="15" customHeight="1">
      <c r="B62" s="94"/>
      <c r="C62" s="71" t="s">
        <v>224</v>
      </c>
      <c r="D62" s="72">
        <v>7</v>
      </c>
      <c r="E62" s="73">
        <v>2.8792365909800001E-4</v>
      </c>
    </row>
    <row r="63" spans="2:5" ht="15" customHeight="1">
      <c r="B63" s="94"/>
      <c r="C63" s="71" t="s">
        <v>226</v>
      </c>
      <c r="D63" s="72">
        <v>60</v>
      </c>
      <c r="E63" s="73">
        <v>2.4679170779860001E-3</v>
      </c>
    </row>
    <row r="64" spans="2:5" ht="15" customHeight="1">
      <c r="B64" s="94"/>
      <c r="C64" s="71" t="s">
        <v>227</v>
      </c>
      <c r="D64" s="72">
        <v>13</v>
      </c>
      <c r="E64" s="73">
        <v>5.3471536689700004E-4</v>
      </c>
    </row>
    <row r="65" spans="2:5" ht="15" customHeight="1">
      <c r="B65" s="94"/>
      <c r="C65" s="71" t="s">
        <v>244</v>
      </c>
      <c r="D65" s="72">
        <v>3</v>
      </c>
      <c r="E65" s="73">
        <v>1.23395853899E-4</v>
      </c>
    </row>
    <row r="66" spans="2:5" ht="15" customHeight="1">
      <c r="B66" s="94"/>
      <c r="C66" s="71" t="s">
        <v>248</v>
      </c>
      <c r="D66" s="72">
        <v>1</v>
      </c>
      <c r="E66" s="73">
        <v>4.1131951299999999E-5</v>
      </c>
    </row>
    <row r="67" spans="2:5" ht="15" customHeight="1">
      <c r="B67" s="94"/>
      <c r="C67" s="71" t="s">
        <v>249</v>
      </c>
      <c r="D67" s="72">
        <v>1</v>
      </c>
      <c r="E67" s="73">
        <v>4.1131951299999999E-5</v>
      </c>
    </row>
    <row r="68" spans="2:5" ht="15" customHeight="1">
      <c r="B68" s="94"/>
      <c r="C68" s="71" t="s">
        <v>250</v>
      </c>
      <c r="D68" s="72">
        <v>2</v>
      </c>
      <c r="E68" s="73">
        <v>8.2263902599999999E-5</v>
      </c>
    </row>
    <row r="69" spans="2:5" ht="15" customHeight="1">
      <c r="B69" s="94"/>
      <c r="C69" s="71" t="s">
        <v>229</v>
      </c>
      <c r="D69" s="72">
        <v>12</v>
      </c>
      <c r="E69" s="73">
        <v>4.9358341559699998E-4</v>
      </c>
    </row>
    <row r="70" spans="2:5" ht="15" customHeight="1">
      <c r="B70" s="94"/>
      <c r="C70" s="71" t="s">
        <v>230</v>
      </c>
      <c r="D70" s="72">
        <v>26</v>
      </c>
      <c r="E70" s="73">
        <v>1.0694307337940001E-3</v>
      </c>
    </row>
    <row r="71" spans="2:5" ht="15" customHeight="1">
      <c r="B71" s="94"/>
      <c r="C71" s="71" t="s">
        <v>251</v>
      </c>
      <c r="D71" s="72">
        <v>1</v>
      </c>
      <c r="E71" s="73">
        <v>4.1131951299999999E-5</v>
      </c>
    </row>
    <row r="72" spans="2:5" ht="15" customHeight="1">
      <c r="B72" s="94"/>
      <c r="C72" s="71" t="s">
        <v>231</v>
      </c>
      <c r="D72" s="72">
        <v>1</v>
      </c>
      <c r="E72" s="73">
        <v>4.1131951299999999E-5</v>
      </c>
    </row>
    <row r="73" spans="2:5" ht="15" customHeight="1">
      <c r="B73" s="94"/>
      <c r="C73" s="71" t="s">
        <v>252</v>
      </c>
      <c r="D73" s="72">
        <v>1</v>
      </c>
      <c r="E73" s="73">
        <v>4.1131951299999999E-5</v>
      </c>
    </row>
    <row r="74" spans="2:5" ht="15" customHeight="1">
      <c r="B74" s="94"/>
      <c r="C74" s="71" t="s">
        <v>253</v>
      </c>
      <c r="D74" s="72">
        <v>2</v>
      </c>
      <c r="E74" s="73">
        <v>8.2263902599999999E-5</v>
      </c>
    </row>
    <row r="75" spans="2:5" ht="15" customHeight="1">
      <c r="B75" s="94"/>
      <c r="C75" s="71" t="s">
        <v>254</v>
      </c>
      <c r="D75" s="72">
        <v>2</v>
      </c>
      <c r="E75" s="73">
        <v>8.2263902599999999E-5</v>
      </c>
    </row>
    <row r="76" spans="2:5" ht="15" customHeight="1">
      <c r="B76" s="94"/>
      <c r="C76" s="71" t="s">
        <v>232</v>
      </c>
      <c r="D76" s="72">
        <v>9</v>
      </c>
      <c r="E76" s="73">
        <v>3.7018756169799997E-4</v>
      </c>
    </row>
    <row r="77" spans="2:5" ht="15" customHeight="1">
      <c r="B77" s="94"/>
      <c r="C77" s="71" t="s">
        <v>233</v>
      </c>
      <c r="D77" s="72">
        <v>1</v>
      </c>
      <c r="E77" s="73">
        <v>4.1131951299999999E-5</v>
      </c>
    </row>
    <row r="78" spans="2:5" ht="15" customHeight="1">
      <c r="B78" s="94"/>
      <c r="C78" s="71" t="s">
        <v>235</v>
      </c>
      <c r="D78" s="72">
        <v>47</v>
      </c>
      <c r="E78" s="73">
        <v>1.933201711089E-3</v>
      </c>
    </row>
    <row r="79" spans="2:5" ht="15" customHeight="1">
      <c r="B79" s="94"/>
      <c r="C79" s="71" t="s">
        <v>236</v>
      </c>
      <c r="D79" s="72">
        <v>14</v>
      </c>
      <c r="E79" s="73">
        <v>5.7584731819699999E-4</v>
      </c>
    </row>
    <row r="80" spans="2:5" ht="15" customHeight="1">
      <c r="B80" s="94"/>
      <c r="C80" s="71" t="s">
        <v>237</v>
      </c>
      <c r="D80" s="72">
        <v>4</v>
      </c>
      <c r="E80" s="73">
        <v>1.6452780519900001E-4</v>
      </c>
    </row>
    <row r="81" spans="2:5" ht="15" customHeight="1">
      <c r="B81" s="94"/>
      <c r="C81" s="71" t="s">
        <v>255</v>
      </c>
      <c r="D81" s="72">
        <v>1</v>
      </c>
      <c r="E81" s="73">
        <v>4.1131951299999999E-5</v>
      </c>
    </row>
    <row r="82" spans="2:5" ht="15" customHeight="1">
      <c r="B82" s="94"/>
      <c r="C82" s="71" t="s">
        <v>238</v>
      </c>
      <c r="D82" s="72">
        <v>2</v>
      </c>
      <c r="E82" s="73">
        <v>8.2263902599999999E-5</v>
      </c>
    </row>
    <row r="83" spans="2:5" ht="15" customHeight="1">
      <c r="B83" s="94"/>
      <c r="C83" s="71" t="s">
        <v>239</v>
      </c>
      <c r="D83" s="72">
        <v>25</v>
      </c>
      <c r="E83" s="73">
        <v>1.0282987824939999E-3</v>
      </c>
    </row>
    <row r="84" spans="2:5" ht="15" customHeight="1">
      <c r="B84" s="94"/>
      <c r="C84" s="71" t="s">
        <v>240</v>
      </c>
      <c r="D84" s="72">
        <v>3</v>
      </c>
      <c r="E84" s="73">
        <v>1.23395853899E-4</v>
      </c>
    </row>
    <row r="85" spans="2:5" ht="15" customHeight="1">
      <c r="B85" s="94"/>
      <c r="C85" s="71" t="s">
        <v>241</v>
      </c>
      <c r="D85" s="72">
        <v>2</v>
      </c>
      <c r="E85" s="73">
        <v>8.2263902599999999E-5</v>
      </c>
    </row>
    <row r="86" spans="2:5" ht="15" customHeight="1">
      <c r="B86" s="94"/>
      <c r="C86" s="71" t="s">
        <v>242</v>
      </c>
      <c r="D86" s="72">
        <v>8</v>
      </c>
      <c r="E86" s="73">
        <v>3.2905561039800002E-4</v>
      </c>
    </row>
    <row r="87" spans="2:5" ht="15" customHeight="1">
      <c r="B87" s="94"/>
      <c r="C87" s="71" t="s">
        <v>243</v>
      </c>
      <c r="D87" s="72">
        <v>3</v>
      </c>
      <c r="E87" s="73">
        <v>1.23395853899E-4</v>
      </c>
    </row>
    <row r="88" spans="2:5" ht="15" customHeight="1">
      <c r="B88" s="95"/>
      <c r="C88" s="36" t="s">
        <v>29</v>
      </c>
      <c r="D88" s="35">
        <v>272</v>
      </c>
      <c r="E88" s="34">
        <v>1.1187890753537001E-2</v>
      </c>
    </row>
    <row r="89" spans="2:5" ht="15" customHeight="1">
      <c r="B89" s="93" t="s">
        <v>105</v>
      </c>
      <c r="C89" s="71" t="s">
        <v>219</v>
      </c>
      <c r="D89" s="72">
        <v>4</v>
      </c>
      <c r="E89" s="73">
        <v>1.6452780519900001E-4</v>
      </c>
    </row>
    <row r="90" spans="2:5" ht="15" customHeight="1">
      <c r="B90" s="94"/>
      <c r="C90" s="71" t="s">
        <v>220</v>
      </c>
      <c r="D90" s="72">
        <v>4</v>
      </c>
      <c r="E90" s="73">
        <v>1.6452780519900001E-4</v>
      </c>
    </row>
    <row r="91" spans="2:5" ht="15" customHeight="1">
      <c r="B91" s="94"/>
      <c r="C91" s="71" t="s">
        <v>221</v>
      </c>
      <c r="D91" s="72">
        <v>9</v>
      </c>
      <c r="E91" s="73">
        <v>3.7018756169799997E-4</v>
      </c>
    </row>
    <row r="92" spans="2:5" ht="15" customHeight="1">
      <c r="B92" s="94"/>
      <c r="C92" s="71" t="s">
        <v>246</v>
      </c>
      <c r="D92" s="72">
        <v>1</v>
      </c>
      <c r="E92" s="73">
        <v>4.1131951299999999E-5</v>
      </c>
    </row>
    <row r="93" spans="2:5" ht="15" customHeight="1">
      <c r="B93" s="94"/>
      <c r="C93" s="71" t="s">
        <v>223</v>
      </c>
      <c r="D93" s="72">
        <v>2</v>
      </c>
      <c r="E93" s="73">
        <v>8.2263902599999999E-5</v>
      </c>
    </row>
    <row r="94" spans="2:5" ht="15" customHeight="1">
      <c r="B94" s="94"/>
      <c r="C94" s="71" t="s">
        <v>247</v>
      </c>
      <c r="D94" s="72">
        <v>2</v>
      </c>
      <c r="E94" s="73">
        <v>8.2263902599999999E-5</v>
      </c>
    </row>
    <row r="95" spans="2:5" ht="15" customHeight="1">
      <c r="B95" s="94"/>
      <c r="C95" s="71" t="s">
        <v>224</v>
      </c>
      <c r="D95" s="72">
        <v>34</v>
      </c>
      <c r="E95" s="73">
        <v>1.398486344192E-3</v>
      </c>
    </row>
    <row r="96" spans="2:5" ht="15" customHeight="1">
      <c r="B96" s="94"/>
      <c r="C96" s="71" t="s">
        <v>226</v>
      </c>
      <c r="D96" s="72">
        <v>30</v>
      </c>
      <c r="E96" s="73">
        <v>1.233958538993E-3</v>
      </c>
    </row>
    <row r="97" spans="2:5" ht="15" customHeight="1">
      <c r="B97" s="94"/>
      <c r="C97" s="71" t="s">
        <v>227</v>
      </c>
      <c r="D97" s="72">
        <v>14</v>
      </c>
      <c r="E97" s="73">
        <v>5.7584731819699999E-4</v>
      </c>
    </row>
    <row r="98" spans="2:5" ht="15" customHeight="1">
      <c r="B98" s="94"/>
      <c r="C98" s="71" t="s">
        <v>244</v>
      </c>
      <c r="D98" s="72">
        <v>2</v>
      </c>
      <c r="E98" s="73">
        <v>8.2263902599999999E-5</v>
      </c>
    </row>
    <row r="99" spans="2:5" ht="15" customHeight="1">
      <c r="B99" s="94"/>
      <c r="C99" s="71" t="s">
        <v>248</v>
      </c>
      <c r="D99" s="72">
        <v>3</v>
      </c>
      <c r="E99" s="73">
        <v>1.23395853899E-4</v>
      </c>
    </row>
    <row r="100" spans="2:5" ht="15" customHeight="1">
      <c r="B100" s="94"/>
      <c r="C100" s="71" t="s">
        <v>256</v>
      </c>
      <c r="D100" s="72">
        <v>3</v>
      </c>
      <c r="E100" s="73">
        <v>1.23395853899E-4</v>
      </c>
    </row>
    <row r="101" spans="2:5" ht="15" customHeight="1">
      <c r="B101" s="94"/>
      <c r="C101" s="71" t="s">
        <v>228</v>
      </c>
      <c r="D101" s="72">
        <v>3</v>
      </c>
      <c r="E101" s="73">
        <v>1.23395853899E-4</v>
      </c>
    </row>
    <row r="102" spans="2:5" ht="15" customHeight="1">
      <c r="B102" s="94"/>
      <c r="C102" s="71" t="s">
        <v>250</v>
      </c>
      <c r="D102" s="72">
        <v>2</v>
      </c>
      <c r="E102" s="73">
        <v>8.2263902599999999E-5</v>
      </c>
    </row>
    <row r="103" spans="2:5" ht="15" customHeight="1">
      <c r="B103" s="94"/>
      <c r="C103" s="71" t="s">
        <v>229</v>
      </c>
      <c r="D103" s="72">
        <v>8</v>
      </c>
      <c r="E103" s="73">
        <v>3.2905561039800002E-4</v>
      </c>
    </row>
    <row r="104" spans="2:5" ht="15" customHeight="1">
      <c r="B104" s="94"/>
      <c r="C104" s="71" t="s">
        <v>257</v>
      </c>
      <c r="D104" s="72">
        <v>1</v>
      </c>
      <c r="E104" s="73">
        <v>4.1131951299999999E-5</v>
      </c>
    </row>
    <row r="105" spans="2:5" ht="15" customHeight="1">
      <c r="B105" s="94"/>
      <c r="C105" s="71" t="s">
        <v>230</v>
      </c>
      <c r="D105" s="72">
        <v>33</v>
      </c>
      <c r="E105" s="73">
        <v>1.357354392892E-3</v>
      </c>
    </row>
    <row r="106" spans="2:5" ht="15" customHeight="1">
      <c r="B106" s="94"/>
      <c r="C106" s="71" t="s">
        <v>231</v>
      </c>
      <c r="D106" s="72">
        <v>2</v>
      </c>
      <c r="E106" s="73">
        <v>8.2263902599999999E-5</v>
      </c>
    </row>
    <row r="107" spans="2:5" ht="15" customHeight="1">
      <c r="B107" s="94"/>
      <c r="C107" s="71" t="s">
        <v>232</v>
      </c>
      <c r="D107" s="72">
        <v>31</v>
      </c>
      <c r="E107" s="73">
        <v>1.275090490293E-3</v>
      </c>
    </row>
    <row r="108" spans="2:5" ht="15" customHeight="1">
      <c r="B108" s="94"/>
      <c r="C108" s="71" t="s">
        <v>233</v>
      </c>
      <c r="D108" s="72">
        <v>1</v>
      </c>
      <c r="E108" s="73">
        <v>4.1131951299999999E-5</v>
      </c>
    </row>
    <row r="109" spans="2:5" ht="15" customHeight="1">
      <c r="B109" s="94"/>
      <c r="C109" s="71" t="s">
        <v>234</v>
      </c>
      <c r="D109" s="72">
        <v>6</v>
      </c>
      <c r="E109" s="73">
        <v>2.4679170779900002E-4</v>
      </c>
    </row>
    <row r="110" spans="2:5" ht="15" customHeight="1">
      <c r="B110" s="94"/>
      <c r="C110" s="71" t="s">
        <v>258</v>
      </c>
      <c r="D110" s="72">
        <v>2</v>
      </c>
      <c r="E110" s="73">
        <v>8.2263902599999999E-5</v>
      </c>
    </row>
    <row r="111" spans="2:5" ht="15" customHeight="1">
      <c r="B111" s="94"/>
      <c r="C111" s="71" t="s">
        <v>235</v>
      </c>
      <c r="D111" s="72">
        <v>38</v>
      </c>
      <c r="E111" s="73">
        <v>1.5630141493909999E-3</v>
      </c>
    </row>
    <row r="112" spans="2:5" ht="15" customHeight="1">
      <c r="B112" s="94"/>
      <c r="C112" s="71" t="s">
        <v>236</v>
      </c>
      <c r="D112" s="72">
        <v>6</v>
      </c>
      <c r="E112" s="73">
        <v>2.4679170779900002E-4</v>
      </c>
    </row>
    <row r="113" spans="2:5" ht="15" customHeight="1">
      <c r="B113" s="94"/>
      <c r="C113" s="71" t="s">
        <v>237</v>
      </c>
      <c r="D113" s="72">
        <v>10</v>
      </c>
      <c r="E113" s="73">
        <v>4.1131951299799998E-4</v>
      </c>
    </row>
    <row r="114" spans="2:5" ht="15" customHeight="1">
      <c r="B114" s="94"/>
      <c r="C114" s="71" t="s">
        <v>238</v>
      </c>
      <c r="D114" s="72">
        <v>3</v>
      </c>
      <c r="E114" s="73">
        <v>1.23395853899E-4</v>
      </c>
    </row>
    <row r="115" spans="2:5" ht="15" customHeight="1">
      <c r="B115" s="94"/>
      <c r="C115" s="71" t="s">
        <v>239</v>
      </c>
      <c r="D115" s="72">
        <v>74</v>
      </c>
      <c r="E115" s="73">
        <v>3.0437643961830001E-3</v>
      </c>
    </row>
    <row r="116" spans="2:5" ht="15" customHeight="1">
      <c r="B116" s="94"/>
      <c r="C116" s="71" t="s">
        <v>240</v>
      </c>
      <c r="D116" s="72">
        <v>3</v>
      </c>
      <c r="E116" s="73">
        <v>1.23395853899E-4</v>
      </c>
    </row>
    <row r="117" spans="2:5" ht="15" customHeight="1">
      <c r="B117" s="94"/>
      <c r="C117" s="71" t="s">
        <v>241</v>
      </c>
      <c r="D117" s="72">
        <v>5</v>
      </c>
      <c r="E117" s="73">
        <v>2.0565975649899999E-4</v>
      </c>
    </row>
    <row r="118" spans="2:5" ht="15" customHeight="1">
      <c r="B118" s="94"/>
      <c r="C118" s="71" t="s">
        <v>242</v>
      </c>
      <c r="D118" s="72">
        <v>22</v>
      </c>
      <c r="E118" s="73">
        <v>9.0490292859500001E-4</v>
      </c>
    </row>
    <row r="119" spans="2:5" ht="15" customHeight="1">
      <c r="B119" s="94"/>
      <c r="C119" s="71" t="s">
        <v>245</v>
      </c>
      <c r="D119" s="72">
        <v>1</v>
      </c>
      <c r="E119" s="73">
        <v>4.1131951299999999E-5</v>
      </c>
    </row>
    <row r="120" spans="2:5" ht="15" customHeight="1">
      <c r="B120" s="94"/>
      <c r="C120" s="71" t="s">
        <v>243</v>
      </c>
      <c r="D120" s="72">
        <v>1</v>
      </c>
      <c r="E120" s="73">
        <v>4.1131951299999999E-5</v>
      </c>
    </row>
    <row r="121" spans="2:5" ht="15" customHeight="1">
      <c r="B121" s="95"/>
      <c r="C121" s="36" t="s">
        <v>29</v>
      </c>
      <c r="D121" s="35">
        <v>360</v>
      </c>
      <c r="E121" s="34">
        <v>1.4807502467917E-2</v>
      </c>
    </row>
    <row r="122" spans="2:5" ht="15" customHeight="1">
      <c r="B122" s="93" t="s">
        <v>106</v>
      </c>
      <c r="C122" s="71" t="s">
        <v>223</v>
      </c>
      <c r="D122" s="72">
        <v>4</v>
      </c>
      <c r="E122" s="73">
        <v>1.6452780519900001E-4</v>
      </c>
    </row>
    <row r="123" spans="2:5" ht="15" customHeight="1">
      <c r="B123" s="94"/>
      <c r="C123" s="71" t="s">
        <v>224</v>
      </c>
      <c r="D123" s="72">
        <v>9</v>
      </c>
      <c r="E123" s="73">
        <v>3.7018756169799997E-4</v>
      </c>
    </row>
    <row r="124" spans="2:5" ht="15" customHeight="1">
      <c r="B124" s="94"/>
      <c r="C124" s="71" t="s">
        <v>226</v>
      </c>
      <c r="D124" s="72">
        <v>1</v>
      </c>
      <c r="E124" s="73">
        <v>4.1131951299999999E-5</v>
      </c>
    </row>
    <row r="125" spans="2:5" ht="15" customHeight="1">
      <c r="B125" s="94"/>
      <c r="C125" s="71" t="s">
        <v>256</v>
      </c>
      <c r="D125" s="72">
        <v>1</v>
      </c>
      <c r="E125" s="73">
        <v>4.1131951299999999E-5</v>
      </c>
    </row>
    <row r="126" spans="2:5" ht="15" customHeight="1">
      <c r="B126" s="94"/>
      <c r="C126" s="71" t="s">
        <v>229</v>
      </c>
      <c r="D126" s="72">
        <v>1</v>
      </c>
      <c r="E126" s="73">
        <v>4.1131951299999999E-5</v>
      </c>
    </row>
    <row r="127" spans="2:5" ht="15" customHeight="1">
      <c r="B127" s="94"/>
      <c r="C127" s="71" t="s">
        <v>230</v>
      </c>
      <c r="D127" s="72">
        <v>11</v>
      </c>
      <c r="E127" s="73">
        <v>4.5245146429700003E-4</v>
      </c>
    </row>
    <row r="128" spans="2:5" ht="15" customHeight="1">
      <c r="B128" s="94"/>
      <c r="C128" s="71" t="s">
        <v>231</v>
      </c>
      <c r="D128" s="72">
        <v>1</v>
      </c>
      <c r="E128" s="73">
        <v>4.1131951299999999E-5</v>
      </c>
    </row>
    <row r="129" spans="2:5" ht="15" customHeight="1">
      <c r="B129" s="94"/>
      <c r="C129" s="71" t="s">
        <v>254</v>
      </c>
      <c r="D129" s="72">
        <v>1</v>
      </c>
      <c r="E129" s="73">
        <v>4.1131951299999999E-5</v>
      </c>
    </row>
    <row r="130" spans="2:5" ht="15" customHeight="1">
      <c r="B130" s="94"/>
      <c r="C130" s="71" t="s">
        <v>232</v>
      </c>
      <c r="D130" s="72">
        <v>2</v>
      </c>
      <c r="E130" s="73">
        <v>8.2263902599999999E-5</v>
      </c>
    </row>
    <row r="131" spans="2:5" ht="15" customHeight="1">
      <c r="B131" s="94"/>
      <c r="C131" s="71" t="s">
        <v>235</v>
      </c>
      <c r="D131" s="72">
        <v>5</v>
      </c>
      <c r="E131" s="73">
        <v>2.0565975649899999E-4</v>
      </c>
    </row>
    <row r="132" spans="2:5" ht="15" customHeight="1">
      <c r="B132" s="94"/>
      <c r="C132" s="71" t="s">
        <v>236</v>
      </c>
      <c r="D132" s="72">
        <v>4</v>
      </c>
      <c r="E132" s="73">
        <v>1.6452780519900001E-4</v>
      </c>
    </row>
    <row r="133" spans="2:5" ht="15" customHeight="1">
      <c r="B133" s="94"/>
      <c r="C133" s="71" t="s">
        <v>259</v>
      </c>
      <c r="D133" s="72">
        <v>1</v>
      </c>
      <c r="E133" s="73">
        <v>4.1131951299999999E-5</v>
      </c>
    </row>
    <row r="134" spans="2:5" ht="15" customHeight="1">
      <c r="B134" s="94"/>
      <c r="C134" s="71" t="s">
        <v>238</v>
      </c>
      <c r="D134" s="72">
        <v>4</v>
      </c>
      <c r="E134" s="73">
        <v>1.6452780519900001E-4</v>
      </c>
    </row>
    <row r="135" spans="2:5" ht="15" customHeight="1">
      <c r="B135" s="94"/>
      <c r="C135" s="71" t="s">
        <v>239</v>
      </c>
      <c r="D135" s="72">
        <v>9</v>
      </c>
      <c r="E135" s="73">
        <v>3.7018756169799997E-4</v>
      </c>
    </row>
    <row r="136" spans="2:5" ht="15" customHeight="1">
      <c r="B136" s="94"/>
      <c r="C136" s="71" t="s">
        <v>240</v>
      </c>
      <c r="D136" s="72">
        <v>2</v>
      </c>
      <c r="E136" s="73">
        <v>8.2263902599999999E-5</v>
      </c>
    </row>
    <row r="137" spans="2:5" ht="15" customHeight="1">
      <c r="B137" s="94"/>
      <c r="C137" s="71" t="s">
        <v>242</v>
      </c>
      <c r="D137" s="72">
        <v>4</v>
      </c>
      <c r="E137" s="73">
        <v>1.6452780519900001E-4</v>
      </c>
    </row>
    <row r="138" spans="2:5" ht="15" customHeight="1">
      <c r="B138" s="94"/>
      <c r="C138" s="71" t="s">
        <v>243</v>
      </c>
      <c r="D138" s="72">
        <v>2</v>
      </c>
      <c r="E138" s="73">
        <v>8.2263902599999999E-5</v>
      </c>
    </row>
    <row r="139" spans="2:5" ht="15" customHeight="1">
      <c r="B139" s="95"/>
      <c r="C139" s="36" t="s">
        <v>29</v>
      </c>
      <c r="D139" s="35">
        <v>62</v>
      </c>
      <c r="E139" s="34">
        <v>2.550180980586E-3</v>
      </c>
    </row>
    <row r="140" spans="2:5" ht="15" customHeight="1">
      <c r="B140" s="93" t="s">
        <v>107</v>
      </c>
      <c r="C140" s="71" t="s">
        <v>223</v>
      </c>
      <c r="D140" s="72">
        <v>1</v>
      </c>
      <c r="E140" s="73">
        <v>4.1131951299999999E-5</v>
      </c>
    </row>
    <row r="141" spans="2:5" ht="15" customHeight="1">
      <c r="B141" s="94"/>
      <c r="C141" s="71" t="s">
        <v>224</v>
      </c>
      <c r="D141" s="72">
        <v>1</v>
      </c>
      <c r="E141" s="73">
        <v>4.1131951299999999E-5</v>
      </c>
    </row>
    <row r="142" spans="2:5" ht="15" customHeight="1">
      <c r="B142" s="94"/>
      <c r="C142" s="71" t="s">
        <v>226</v>
      </c>
      <c r="D142" s="72">
        <v>1</v>
      </c>
      <c r="E142" s="73">
        <v>4.1131951299999999E-5</v>
      </c>
    </row>
    <row r="143" spans="2:5" ht="15" customHeight="1">
      <c r="B143" s="94"/>
      <c r="C143" s="71" t="s">
        <v>230</v>
      </c>
      <c r="D143" s="72">
        <v>2</v>
      </c>
      <c r="E143" s="73">
        <v>8.2263902599999999E-5</v>
      </c>
    </row>
    <row r="144" spans="2:5" ht="15" customHeight="1">
      <c r="B144" s="94"/>
      <c r="C144" s="71" t="s">
        <v>232</v>
      </c>
      <c r="D144" s="72">
        <v>1</v>
      </c>
      <c r="E144" s="73">
        <v>4.1131951299999999E-5</v>
      </c>
    </row>
    <row r="145" spans="2:5" ht="15" customHeight="1">
      <c r="B145" s="94"/>
      <c r="C145" s="71" t="s">
        <v>239</v>
      </c>
      <c r="D145" s="72">
        <v>2</v>
      </c>
      <c r="E145" s="73">
        <v>8.2263902599999999E-5</v>
      </c>
    </row>
    <row r="146" spans="2:5" ht="15" customHeight="1">
      <c r="B146" s="95"/>
      <c r="C146" s="36" t="s">
        <v>29</v>
      </c>
      <c r="D146" s="35">
        <v>8</v>
      </c>
      <c r="E146" s="34">
        <v>3.2905561039800002E-4</v>
      </c>
    </row>
    <row r="147" spans="2:5" ht="15" customHeight="1">
      <c r="B147" s="93" t="s">
        <v>108</v>
      </c>
      <c r="C147" s="71" t="s">
        <v>221</v>
      </c>
      <c r="D147" s="72">
        <v>2</v>
      </c>
      <c r="E147" s="73">
        <v>8.2263902599999999E-5</v>
      </c>
    </row>
    <row r="148" spans="2:5" ht="15" customHeight="1">
      <c r="B148" s="94"/>
      <c r="C148" s="71" t="s">
        <v>228</v>
      </c>
      <c r="D148" s="72">
        <v>1</v>
      </c>
      <c r="E148" s="73">
        <v>4.1131951299999999E-5</v>
      </c>
    </row>
    <row r="149" spans="2:5" ht="15" customHeight="1">
      <c r="B149" s="94"/>
      <c r="C149" s="71" t="s">
        <v>230</v>
      </c>
      <c r="D149" s="72">
        <v>2</v>
      </c>
      <c r="E149" s="73">
        <v>8.2263902599999999E-5</v>
      </c>
    </row>
    <row r="150" spans="2:5" ht="15" customHeight="1">
      <c r="B150" s="94"/>
      <c r="C150" s="71" t="s">
        <v>234</v>
      </c>
      <c r="D150" s="72">
        <v>1</v>
      </c>
      <c r="E150" s="73">
        <v>4.1131951299999999E-5</v>
      </c>
    </row>
    <row r="151" spans="2:5" ht="15" customHeight="1">
      <c r="B151" s="94"/>
      <c r="C151" s="71" t="s">
        <v>235</v>
      </c>
      <c r="D151" s="72">
        <v>3</v>
      </c>
      <c r="E151" s="73">
        <v>1.23395853899E-4</v>
      </c>
    </row>
    <row r="152" spans="2:5" ht="15" customHeight="1">
      <c r="B152" s="94"/>
      <c r="C152" s="71" t="s">
        <v>236</v>
      </c>
      <c r="D152" s="72">
        <v>1</v>
      </c>
      <c r="E152" s="73">
        <v>4.1131951299999999E-5</v>
      </c>
    </row>
    <row r="153" spans="2:5" ht="15" customHeight="1">
      <c r="B153" s="95"/>
      <c r="C153" s="36" t="s">
        <v>29</v>
      </c>
      <c r="D153" s="35">
        <v>10</v>
      </c>
      <c r="E153" s="34">
        <v>4.1131951299799998E-4</v>
      </c>
    </row>
    <row r="154" spans="2:5" ht="15" customHeight="1">
      <c r="B154" s="93" t="s">
        <v>109</v>
      </c>
      <c r="C154" s="71" t="s">
        <v>239</v>
      </c>
      <c r="D154" s="72">
        <v>1</v>
      </c>
      <c r="E154" s="73">
        <v>4.1131951299999999E-5</v>
      </c>
    </row>
    <row r="155" spans="2:5" ht="15" customHeight="1">
      <c r="B155" s="95"/>
      <c r="C155" s="36" t="s">
        <v>29</v>
      </c>
      <c r="D155" s="35">
        <v>1</v>
      </c>
      <c r="E155" s="34">
        <v>4.1131951299999999E-5</v>
      </c>
    </row>
    <row r="156" spans="2:5" ht="15" customHeight="1">
      <c r="B156" s="93" t="s">
        <v>110</v>
      </c>
      <c r="C156" s="71" t="s">
        <v>219</v>
      </c>
      <c r="D156" s="72">
        <v>1</v>
      </c>
      <c r="E156" s="73">
        <v>4.1131951299999999E-5</v>
      </c>
    </row>
    <row r="157" spans="2:5" ht="15" customHeight="1">
      <c r="B157" s="94"/>
      <c r="C157" s="71" t="s">
        <v>220</v>
      </c>
      <c r="D157" s="72">
        <v>8</v>
      </c>
      <c r="E157" s="73">
        <v>3.2905561039800002E-4</v>
      </c>
    </row>
    <row r="158" spans="2:5" ht="15" customHeight="1">
      <c r="B158" s="94"/>
      <c r="C158" s="71" t="s">
        <v>221</v>
      </c>
      <c r="D158" s="72">
        <v>7</v>
      </c>
      <c r="E158" s="73">
        <v>2.8792365909800001E-4</v>
      </c>
    </row>
    <row r="159" spans="2:5" ht="15" customHeight="1">
      <c r="B159" s="94"/>
      <c r="C159" s="71" t="s">
        <v>246</v>
      </c>
      <c r="D159" s="72">
        <v>1</v>
      </c>
      <c r="E159" s="73">
        <v>4.1131951299999999E-5</v>
      </c>
    </row>
    <row r="160" spans="2:5" ht="15" customHeight="1">
      <c r="B160" s="94"/>
      <c r="C160" s="71" t="s">
        <v>222</v>
      </c>
      <c r="D160" s="72">
        <v>2</v>
      </c>
      <c r="E160" s="73">
        <v>8.2263902599999999E-5</v>
      </c>
    </row>
    <row r="161" spans="2:5" ht="15" customHeight="1">
      <c r="B161" s="94"/>
      <c r="C161" s="71" t="s">
        <v>223</v>
      </c>
      <c r="D161" s="72">
        <v>3</v>
      </c>
      <c r="E161" s="73">
        <v>1.23395853899E-4</v>
      </c>
    </row>
    <row r="162" spans="2:5" ht="15" customHeight="1">
      <c r="B162" s="94"/>
      <c r="C162" s="71" t="s">
        <v>260</v>
      </c>
      <c r="D162" s="72">
        <v>2</v>
      </c>
      <c r="E162" s="73">
        <v>8.2263902599999999E-5</v>
      </c>
    </row>
    <row r="163" spans="2:5" ht="15" customHeight="1">
      <c r="B163" s="94"/>
      <c r="C163" s="71" t="s">
        <v>224</v>
      </c>
      <c r="D163" s="72">
        <v>24</v>
      </c>
      <c r="E163" s="73">
        <v>9.8716683119399995E-4</v>
      </c>
    </row>
    <row r="164" spans="2:5" ht="15" customHeight="1">
      <c r="B164" s="94"/>
      <c r="C164" s="71" t="s">
        <v>226</v>
      </c>
      <c r="D164" s="72">
        <v>50</v>
      </c>
      <c r="E164" s="73">
        <v>2.0565975649879998E-3</v>
      </c>
    </row>
    <row r="165" spans="2:5" ht="15" customHeight="1">
      <c r="B165" s="94"/>
      <c r="C165" s="71" t="s">
        <v>227</v>
      </c>
      <c r="D165" s="72">
        <v>12</v>
      </c>
      <c r="E165" s="73">
        <v>4.9358341559699998E-4</v>
      </c>
    </row>
    <row r="166" spans="2:5" ht="15" customHeight="1">
      <c r="B166" s="94"/>
      <c r="C166" s="71" t="s">
        <v>244</v>
      </c>
      <c r="D166" s="72">
        <v>1</v>
      </c>
      <c r="E166" s="73">
        <v>4.1131951299999999E-5</v>
      </c>
    </row>
    <row r="167" spans="2:5" ht="15" customHeight="1">
      <c r="B167" s="94"/>
      <c r="C167" s="71" t="s">
        <v>256</v>
      </c>
      <c r="D167" s="72">
        <v>2</v>
      </c>
      <c r="E167" s="73">
        <v>8.2263902599999999E-5</v>
      </c>
    </row>
    <row r="168" spans="2:5" ht="15" customHeight="1">
      <c r="B168" s="94"/>
      <c r="C168" s="71" t="s">
        <v>228</v>
      </c>
      <c r="D168" s="72">
        <v>9</v>
      </c>
      <c r="E168" s="73">
        <v>3.7018756169799997E-4</v>
      </c>
    </row>
    <row r="169" spans="2:5" ht="15" customHeight="1">
      <c r="B169" s="94"/>
      <c r="C169" s="71" t="s">
        <v>229</v>
      </c>
      <c r="D169" s="72">
        <v>2</v>
      </c>
      <c r="E169" s="73">
        <v>8.2263902599999999E-5</v>
      </c>
    </row>
    <row r="170" spans="2:5" ht="15" customHeight="1">
      <c r="B170" s="94"/>
      <c r="C170" s="71" t="s">
        <v>230</v>
      </c>
      <c r="D170" s="72">
        <v>154</v>
      </c>
      <c r="E170" s="73">
        <v>6.3343205001649997E-3</v>
      </c>
    </row>
    <row r="171" spans="2:5" ht="15" customHeight="1">
      <c r="B171" s="94"/>
      <c r="C171" s="71" t="s">
        <v>251</v>
      </c>
      <c r="D171" s="72">
        <v>2</v>
      </c>
      <c r="E171" s="73">
        <v>8.2263902599999999E-5</v>
      </c>
    </row>
    <row r="172" spans="2:5" ht="15" customHeight="1">
      <c r="B172" s="94"/>
      <c r="C172" s="71" t="s">
        <v>231</v>
      </c>
      <c r="D172" s="72">
        <v>2</v>
      </c>
      <c r="E172" s="73">
        <v>8.2263902599999999E-5</v>
      </c>
    </row>
    <row r="173" spans="2:5" ht="15" customHeight="1">
      <c r="B173" s="94"/>
      <c r="C173" s="71" t="s">
        <v>253</v>
      </c>
      <c r="D173" s="72">
        <v>1</v>
      </c>
      <c r="E173" s="73">
        <v>4.1131951299999999E-5</v>
      </c>
    </row>
    <row r="174" spans="2:5" ht="15" customHeight="1">
      <c r="B174" s="94"/>
      <c r="C174" s="71" t="s">
        <v>254</v>
      </c>
      <c r="D174" s="72">
        <v>2</v>
      </c>
      <c r="E174" s="73">
        <v>8.2263902599999999E-5</v>
      </c>
    </row>
    <row r="175" spans="2:5" ht="15" customHeight="1">
      <c r="B175" s="94"/>
      <c r="C175" s="71" t="s">
        <v>232</v>
      </c>
      <c r="D175" s="72">
        <v>14</v>
      </c>
      <c r="E175" s="73">
        <v>5.7584731819699999E-4</v>
      </c>
    </row>
    <row r="176" spans="2:5" ht="15" customHeight="1">
      <c r="B176" s="94"/>
      <c r="C176" s="71" t="s">
        <v>233</v>
      </c>
      <c r="D176" s="72">
        <v>2</v>
      </c>
      <c r="E176" s="73">
        <v>8.2263902599999999E-5</v>
      </c>
    </row>
    <row r="177" spans="2:5" ht="15" customHeight="1">
      <c r="B177" s="94"/>
      <c r="C177" s="71" t="s">
        <v>234</v>
      </c>
      <c r="D177" s="72">
        <v>5</v>
      </c>
      <c r="E177" s="73">
        <v>2.0565975649899999E-4</v>
      </c>
    </row>
    <row r="178" spans="2:5" ht="15" customHeight="1">
      <c r="B178" s="94"/>
      <c r="C178" s="71" t="s">
        <v>258</v>
      </c>
      <c r="D178" s="72">
        <v>1</v>
      </c>
      <c r="E178" s="73">
        <v>4.1131951299999999E-5</v>
      </c>
    </row>
    <row r="179" spans="2:5" ht="15" customHeight="1">
      <c r="B179" s="94"/>
      <c r="C179" s="71" t="s">
        <v>261</v>
      </c>
      <c r="D179" s="72">
        <v>3</v>
      </c>
      <c r="E179" s="73">
        <v>1.23395853899E-4</v>
      </c>
    </row>
    <row r="180" spans="2:5" ht="15" customHeight="1">
      <c r="B180" s="94"/>
      <c r="C180" s="71" t="s">
        <v>235</v>
      </c>
      <c r="D180" s="72">
        <v>46</v>
      </c>
      <c r="E180" s="73">
        <v>1.8920697597890001E-3</v>
      </c>
    </row>
    <row r="181" spans="2:5" ht="15" customHeight="1">
      <c r="B181" s="94"/>
      <c r="C181" s="71" t="s">
        <v>236</v>
      </c>
      <c r="D181" s="72">
        <v>17</v>
      </c>
      <c r="E181" s="73">
        <v>6.9924317209599999E-4</v>
      </c>
    </row>
    <row r="182" spans="2:5" ht="15" customHeight="1">
      <c r="B182" s="94"/>
      <c r="C182" s="71" t="s">
        <v>259</v>
      </c>
      <c r="D182" s="72">
        <v>5</v>
      </c>
      <c r="E182" s="73">
        <v>2.0565975649899999E-4</v>
      </c>
    </row>
    <row r="183" spans="2:5" ht="15" customHeight="1">
      <c r="B183" s="94"/>
      <c r="C183" s="71" t="s">
        <v>237</v>
      </c>
      <c r="D183" s="72">
        <v>19</v>
      </c>
      <c r="E183" s="73">
        <v>7.8150707469600001E-4</v>
      </c>
    </row>
    <row r="184" spans="2:5" ht="15" customHeight="1">
      <c r="B184" s="94"/>
      <c r="C184" s="71" t="s">
        <v>238</v>
      </c>
      <c r="D184" s="72">
        <v>8</v>
      </c>
      <c r="E184" s="73">
        <v>3.2905561039800002E-4</v>
      </c>
    </row>
    <row r="185" spans="2:5" ht="15" customHeight="1">
      <c r="B185" s="94"/>
      <c r="C185" s="71" t="s">
        <v>239</v>
      </c>
      <c r="D185" s="72">
        <v>33</v>
      </c>
      <c r="E185" s="73">
        <v>1.357354392892E-3</v>
      </c>
    </row>
    <row r="186" spans="2:5" ht="15" customHeight="1">
      <c r="B186" s="94"/>
      <c r="C186" s="71" t="s">
        <v>240</v>
      </c>
      <c r="D186" s="72">
        <v>20</v>
      </c>
      <c r="E186" s="73">
        <v>8.22639025995E-4</v>
      </c>
    </row>
    <row r="187" spans="2:5" ht="15" customHeight="1">
      <c r="B187" s="94"/>
      <c r="C187" s="71" t="s">
        <v>241</v>
      </c>
      <c r="D187" s="72">
        <v>35</v>
      </c>
      <c r="E187" s="73">
        <v>1.4396182954919999E-3</v>
      </c>
    </row>
    <row r="188" spans="2:5" ht="15" customHeight="1">
      <c r="B188" s="94"/>
      <c r="C188" s="71" t="s">
        <v>242</v>
      </c>
      <c r="D188" s="72">
        <v>16</v>
      </c>
      <c r="E188" s="73">
        <v>6.5811122079600004E-4</v>
      </c>
    </row>
    <row r="189" spans="2:5" ht="15" customHeight="1">
      <c r="B189" s="94"/>
      <c r="C189" s="71" t="s">
        <v>243</v>
      </c>
      <c r="D189" s="72">
        <v>6</v>
      </c>
      <c r="E189" s="73">
        <v>2.4679170779900002E-4</v>
      </c>
    </row>
    <row r="190" spans="2:5" ht="15" customHeight="1">
      <c r="B190" s="95"/>
      <c r="C190" s="36" t="s">
        <v>29</v>
      </c>
      <c r="D190" s="35">
        <v>515</v>
      </c>
      <c r="E190" s="34">
        <v>2.1182954919380999E-2</v>
      </c>
    </row>
    <row r="191" spans="2:5" ht="15" customHeight="1">
      <c r="B191" s="93" t="s">
        <v>111</v>
      </c>
      <c r="C191" s="71" t="s">
        <v>219</v>
      </c>
      <c r="D191" s="72">
        <v>3</v>
      </c>
      <c r="E191" s="73">
        <v>1.23395853899E-4</v>
      </c>
    </row>
    <row r="192" spans="2:5" ht="15" customHeight="1">
      <c r="B192" s="94"/>
      <c r="C192" s="71" t="s">
        <v>220</v>
      </c>
      <c r="D192" s="72">
        <v>17</v>
      </c>
      <c r="E192" s="73">
        <v>6.9924317209599999E-4</v>
      </c>
    </row>
    <row r="193" spans="2:5" ht="15" customHeight="1">
      <c r="B193" s="94"/>
      <c r="C193" s="71" t="s">
        <v>221</v>
      </c>
      <c r="D193" s="72">
        <v>19</v>
      </c>
      <c r="E193" s="73">
        <v>7.8150707469600001E-4</v>
      </c>
    </row>
    <row r="194" spans="2:5" ht="15" customHeight="1">
      <c r="B194" s="94"/>
      <c r="C194" s="71" t="s">
        <v>260</v>
      </c>
      <c r="D194" s="72">
        <v>2</v>
      </c>
      <c r="E194" s="73">
        <v>8.2263902599999999E-5</v>
      </c>
    </row>
    <row r="195" spans="2:5" ht="15" customHeight="1">
      <c r="B195" s="94"/>
      <c r="C195" s="71" t="s">
        <v>224</v>
      </c>
      <c r="D195" s="72">
        <v>27</v>
      </c>
      <c r="E195" s="73">
        <v>1.110562685094E-3</v>
      </c>
    </row>
    <row r="196" spans="2:5" ht="15" customHeight="1">
      <c r="B196" s="94"/>
      <c r="C196" s="71" t="s">
        <v>226</v>
      </c>
      <c r="D196" s="72">
        <v>92</v>
      </c>
      <c r="E196" s="73">
        <v>3.7841395195790002E-3</v>
      </c>
    </row>
    <row r="197" spans="2:5" ht="15" customHeight="1">
      <c r="B197" s="94"/>
      <c r="C197" s="71" t="s">
        <v>227</v>
      </c>
      <c r="D197" s="72">
        <v>46</v>
      </c>
      <c r="E197" s="73">
        <v>1.8920697597890001E-3</v>
      </c>
    </row>
    <row r="198" spans="2:5" ht="15" customHeight="1">
      <c r="B198" s="94"/>
      <c r="C198" s="71" t="s">
        <v>244</v>
      </c>
      <c r="D198" s="72">
        <v>2</v>
      </c>
      <c r="E198" s="73">
        <v>8.2263902599999999E-5</v>
      </c>
    </row>
    <row r="199" spans="2:5" ht="15" customHeight="1">
      <c r="B199" s="94"/>
      <c r="C199" s="71" t="s">
        <v>248</v>
      </c>
      <c r="D199" s="72">
        <v>1</v>
      </c>
      <c r="E199" s="73">
        <v>4.1131951299999999E-5</v>
      </c>
    </row>
    <row r="200" spans="2:5" ht="15" customHeight="1">
      <c r="B200" s="94"/>
      <c r="C200" s="71" t="s">
        <v>256</v>
      </c>
      <c r="D200" s="72">
        <v>1</v>
      </c>
      <c r="E200" s="73">
        <v>4.1131951299999999E-5</v>
      </c>
    </row>
    <row r="201" spans="2:5" ht="15" customHeight="1">
      <c r="B201" s="94"/>
      <c r="C201" s="71" t="s">
        <v>228</v>
      </c>
      <c r="D201" s="72">
        <v>1</v>
      </c>
      <c r="E201" s="73">
        <v>4.1131951299999999E-5</v>
      </c>
    </row>
    <row r="202" spans="2:5" ht="15" customHeight="1">
      <c r="B202" s="94"/>
      <c r="C202" s="71" t="s">
        <v>250</v>
      </c>
      <c r="D202" s="72">
        <v>2</v>
      </c>
      <c r="E202" s="73">
        <v>8.2263902599999999E-5</v>
      </c>
    </row>
    <row r="203" spans="2:5" ht="15" customHeight="1">
      <c r="B203" s="94"/>
      <c r="C203" s="71" t="s">
        <v>229</v>
      </c>
      <c r="D203" s="72">
        <v>9</v>
      </c>
      <c r="E203" s="73">
        <v>3.7018756169799997E-4</v>
      </c>
    </row>
    <row r="204" spans="2:5" ht="15" customHeight="1">
      <c r="B204" s="94"/>
      <c r="C204" s="71" t="s">
        <v>230</v>
      </c>
      <c r="D204" s="72">
        <v>52</v>
      </c>
      <c r="E204" s="73">
        <v>2.1388614675880002E-3</v>
      </c>
    </row>
    <row r="205" spans="2:5" ht="15" customHeight="1">
      <c r="B205" s="94"/>
      <c r="C205" s="71" t="s">
        <v>253</v>
      </c>
      <c r="D205" s="72">
        <v>1</v>
      </c>
      <c r="E205" s="73">
        <v>4.1131951299999999E-5</v>
      </c>
    </row>
    <row r="206" spans="2:5" ht="15" customHeight="1">
      <c r="B206" s="94"/>
      <c r="C206" s="71" t="s">
        <v>232</v>
      </c>
      <c r="D206" s="72">
        <v>5</v>
      </c>
      <c r="E206" s="73">
        <v>2.0565975649899999E-4</v>
      </c>
    </row>
    <row r="207" spans="2:5" ht="15" customHeight="1">
      <c r="B207" s="94"/>
      <c r="C207" s="71" t="s">
        <v>234</v>
      </c>
      <c r="D207" s="72">
        <v>2</v>
      </c>
      <c r="E207" s="73">
        <v>8.2263902599999999E-5</v>
      </c>
    </row>
    <row r="208" spans="2:5" ht="15" customHeight="1">
      <c r="B208" s="94"/>
      <c r="C208" s="71" t="s">
        <v>258</v>
      </c>
      <c r="D208" s="72">
        <v>3</v>
      </c>
      <c r="E208" s="73">
        <v>1.23395853899E-4</v>
      </c>
    </row>
    <row r="209" spans="2:5" ht="15" customHeight="1">
      <c r="B209" s="94"/>
      <c r="C209" s="71" t="s">
        <v>235</v>
      </c>
      <c r="D209" s="72">
        <v>24</v>
      </c>
      <c r="E209" s="73">
        <v>9.8716683119399995E-4</v>
      </c>
    </row>
    <row r="210" spans="2:5" ht="15" customHeight="1">
      <c r="B210" s="94"/>
      <c r="C210" s="71" t="s">
        <v>236</v>
      </c>
      <c r="D210" s="72">
        <v>14</v>
      </c>
      <c r="E210" s="73">
        <v>5.7584731819699999E-4</v>
      </c>
    </row>
    <row r="211" spans="2:5" ht="15" customHeight="1">
      <c r="B211" s="94"/>
      <c r="C211" s="71" t="s">
        <v>259</v>
      </c>
      <c r="D211" s="72">
        <v>1</v>
      </c>
      <c r="E211" s="73">
        <v>4.1131951299999999E-5</v>
      </c>
    </row>
    <row r="212" spans="2:5" ht="15" customHeight="1">
      <c r="B212" s="94"/>
      <c r="C212" s="71" t="s">
        <v>237</v>
      </c>
      <c r="D212" s="72">
        <v>4</v>
      </c>
      <c r="E212" s="73">
        <v>1.6452780519900001E-4</v>
      </c>
    </row>
    <row r="213" spans="2:5" ht="15" customHeight="1">
      <c r="B213" s="94"/>
      <c r="C213" s="71" t="s">
        <v>238</v>
      </c>
      <c r="D213" s="72">
        <v>13</v>
      </c>
      <c r="E213" s="73">
        <v>5.3471536689700004E-4</v>
      </c>
    </row>
    <row r="214" spans="2:5" ht="15" customHeight="1">
      <c r="B214" s="94"/>
      <c r="C214" s="71" t="s">
        <v>239</v>
      </c>
      <c r="D214" s="72">
        <v>67</v>
      </c>
      <c r="E214" s="73">
        <v>2.7558407370850001E-3</v>
      </c>
    </row>
    <row r="215" spans="2:5" ht="15" customHeight="1">
      <c r="B215" s="94"/>
      <c r="C215" s="71" t="s">
        <v>240</v>
      </c>
      <c r="D215" s="72">
        <v>21</v>
      </c>
      <c r="E215" s="73">
        <v>8.6377097729499995E-4</v>
      </c>
    </row>
    <row r="216" spans="2:5" ht="15" customHeight="1">
      <c r="B216" s="94"/>
      <c r="C216" s="71" t="s">
        <v>241</v>
      </c>
      <c r="D216" s="72">
        <v>8</v>
      </c>
      <c r="E216" s="73">
        <v>3.2905561039800002E-4</v>
      </c>
    </row>
    <row r="217" spans="2:5" ht="15" customHeight="1">
      <c r="B217" s="94"/>
      <c r="C217" s="71" t="s">
        <v>242</v>
      </c>
      <c r="D217" s="72">
        <v>25</v>
      </c>
      <c r="E217" s="73">
        <v>1.0282987824939999E-3</v>
      </c>
    </row>
    <row r="218" spans="2:5" ht="15" customHeight="1">
      <c r="B218" s="94"/>
      <c r="C218" s="71" t="s">
        <v>243</v>
      </c>
      <c r="D218" s="72">
        <v>11</v>
      </c>
      <c r="E218" s="73">
        <v>4.5245146429700003E-4</v>
      </c>
    </row>
    <row r="219" spans="2:5" ht="15" customHeight="1">
      <c r="B219" s="95"/>
      <c r="C219" s="36" t="s">
        <v>29</v>
      </c>
      <c r="D219" s="35">
        <v>473</v>
      </c>
      <c r="E219" s="34">
        <v>1.9455412964790999E-2</v>
      </c>
    </row>
    <row r="220" spans="2:5" ht="15" customHeight="1">
      <c r="B220" s="93" t="s">
        <v>112</v>
      </c>
      <c r="C220" s="71" t="s">
        <v>224</v>
      </c>
      <c r="D220" s="72">
        <v>1</v>
      </c>
      <c r="E220" s="73">
        <v>4.1131951299999999E-5</v>
      </c>
    </row>
    <row r="221" spans="2:5" ht="15" customHeight="1">
      <c r="B221" s="94"/>
      <c r="C221" s="71" t="s">
        <v>262</v>
      </c>
      <c r="D221" s="72">
        <v>1</v>
      </c>
      <c r="E221" s="73">
        <v>4.1131951299999999E-5</v>
      </c>
    </row>
    <row r="222" spans="2:5" ht="15" customHeight="1">
      <c r="B222" s="94"/>
      <c r="C222" s="71" t="s">
        <v>230</v>
      </c>
      <c r="D222" s="72">
        <v>2</v>
      </c>
      <c r="E222" s="73">
        <v>8.2263902599999999E-5</v>
      </c>
    </row>
    <row r="223" spans="2:5" ht="15" customHeight="1">
      <c r="B223" s="94"/>
      <c r="C223" s="71" t="s">
        <v>231</v>
      </c>
      <c r="D223" s="72">
        <v>1</v>
      </c>
      <c r="E223" s="73">
        <v>4.1131951299999999E-5</v>
      </c>
    </row>
    <row r="224" spans="2:5" ht="15" customHeight="1">
      <c r="B224" s="94"/>
      <c r="C224" s="71" t="s">
        <v>235</v>
      </c>
      <c r="D224" s="72">
        <v>3</v>
      </c>
      <c r="E224" s="73">
        <v>1.23395853899E-4</v>
      </c>
    </row>
    <row r="225" spans="2:5" ht="15" customHeight="1">
      <c r="B225" s="94"/>
      <c r="C225" s="71" t="s">
        <v>241</v>
      </c>
      <c r="D225" s="72">
        <v>1</v>
      </c>
      <c r="E225" s="73">
        <v>4.1131951299999999E-5</v>
      </c>
    </row>
    <row r="226" spans="2:5" ht="15" customHeight="1">
      <c r="B226" s="95"/>
      <c r="C226" s="36" t="s">
        <v>29</v>
      </c>
      <c r="D226" s="35">
        <v>9</v>
      </c>
      <c r="E226" s="34">
        <v>3.7018756169799997E-4</v>
      </c>
    </row>
    <row r="227" spans="2:5" ht="15" customHeight="1">
      <c r="B227" s="93" t="s">
        <v>113</v>
      </c>
      <c r="C227" s="71" t="s">
        <v>219</v>
      </c>
      <c r="D227" s="72">
        <v>3</v>
      </c>
      <c r="E227" s="73">
        <v>1.23395853899E-4</v>
      </c>
    </row>
    <row r="228" spans="2:5" ht="15" customHeight="1">
      <c r="B228" s="94"/>
      <c r="C228" s="71" t="s">
        <v>220</v>
      </c>
      <c r="D228" s="72">
        <v>3</v>
      </c>
      <c r="E228" s="73">
        <v>1.23395853899E-4</v>
      </c>
    </row>
    <row r="229" spans="2:5" ht="15" customHeight="1">
      <c r="B229" s="94"/>
      <c r="C229" s="71" t="s">
        <v>221</v>
      </c>
      <c r="D229" s="72">
        <v>23</v>
      </c>
      <c r="E229" s="73">
        <v>9.4603487989499996E-4</v>
      </c>
    </row>
    <row r="230" spans="2:5" ht="15" customHeight="1">
      <c r="B230" s="94"/>
      <c r="C230" s="71" t="s">
        <v>246</v>
      </c>
      <c r="D230" s="72">
        <v>1</v>
      </c>
      <c r="E230" s="73">
        <v>4.1131951299999999E-5</v>
      </c>
    </row>
    <row r="231" spans="2:5" ht="15" customHeight="1">
      <c r="B231" s="94"/>
      <c r="C231" s="71" t="s">
        <v>222</v>
      </c>
      <c r="D231" s="72">
        <v>1</v>
      </c>
      <c r="E231" s="73">
        <v>4.1131951299999999E-5</v>
      </c>
    </row>
    <row r="232" spans="2:5" ht="15" customHeight="1">
      <c r="B232" s="94"/>
      <c r="C232" s="71" t="s">
        <v>223</v>
      </c>
      <c r="D232" s="72">
        <v>1</v>
      </c>
      <c r="E232" s="73">
        <v>4.1131951299999999E-5</v>
      </c>
    </row>
    <row r="233" spans="2:5" ht="15" customHeight="1">
      <c r="B233" s="94"/>
      <c r="C233" s="71" t="s">
        <v>247</v>
      </c>
      <c r="D233" s="72">
        <v>2</v>
      </c>
      <c r="E233" s="73">
        <v>8.2263902599999999E-5</v>
      </c>
    </row>
    <row r="234" spans="2:5" ht="15" customHeight="1">
      <c r="B234" s="94"/>
      <c r="C234" s="71" t="s">
        <v>224</v>
      </c>
      <c r="D234" s="72">
        <v>30</v>
      </c>
      <c r="E234" s="73">
        <v>1.233958538993E-3</v>
      </c>
    </row>
    <row r="235" spans="2:5" ht="15" customHeight="1">
      <c r="B235" s="94"/>
      <c r="C235" s="71" t="s">
        <v>226</v>
      </c>
      <c r="D235" s="72">
        <v>38</v>
      </c>
      <c r="E235" s="73">
        <v>1.5630141493909999E-3</v>
      </c>
    </row>
    <row r="236" spans="2:5" ht="15" customHeight="1">
      <c r="B236" s="94"/>
      <c r="C236" s="71" t="s">
        <v>227</v>
      </c>
      <c r="D236" s="72">
        <v>5</v>
      </c>
      <c r="E236" s="73">
        <v>2.0565975649899999E-4</v>
      </c>
    </row>
    <row r="237" spans="2:5" ht="15" customHeight="1">
      <c r="B237" s="94"/>
      <c r="C237" s="71" t="s">
        <v>248</v>
      </c>
      <c r="D237" s="72">
        <v>1</v>
      </c>
      <c r="E237" s="73">
        <v>4.1131951299999999E-5</v>
      </c>
    </row>
    <row r="238" spans="2:5" ht="15" customHeight="1">
      <c r="B238" s="94"/>
      <c r="C238" s="71" t="s">
        <v>249</v>
      </c>
      <c r="D238" s="72">
        <v>1</v>
      </c>
      <c r="E238" s="73">
        <v>4.1131951299999999E-5</v>
      </c>
    </row>
    <row r="239" spans="2:5" ht="15" customHeight="1">
      <c r="B239" s="94"/>
      <c r="C239" s="71" t="s">
        <v>250</v>
      </c>
      <c r="D239" s="72">
        <v>1</v>
      </c>
      <c r="E239" s="73">
        <v>4.1131951299999999E-5</v>
      </c>
    </row>
    <row r="240" spans="2:5" ht="15" customHeight="1">
      <c r="B240" s="94"/>
      <c r="C240" s="71" t="s">
        <v>229</v>
      </c>
      <c r="D240" s="72">
        <v>7</v>
      </c>
      <c r="E240" s="73">
        <v>2.8792365909800001E-4</v>
      </c>
    </row>
    <row r="241" spans="2:5" ht="15" customHeight="1">
      <c r="B241" s="94"/>
      <c r="C241" s="71" t="s">
        <v>257</v>
      </c>
      <c r="D241" s="72">
        <v>1</v>
      </c>
      <c r="E241" s="73">
        <v>4.1131951299999999E-5</v>
      </c>
    </row>
    <row r="242" spans="2:5" ht="15" customHeight="1">
      <c r="B242" s="94"/>
      <c r="C242" s="71" t="s">
        <v>230</v>
      </c>
      <c r="D242" s="72">
        <v>56</v>
      </c>
      <c r="E242" s="73">
        <v>2.3033892727869999E-3</v>
      </c>
    </row>
    <row r="243" spans="2:5" ht="15" customHeight="1">
      <c r="B243" s="94"/>
      <c r="C243" s="71" t="s">
        <v>231</v>
      </c>
      <c r="D243" s="72">
        <v>3</v>
      </c>
      <c r="E243" s="73">
        <v>1.23395853899E-4</v>
      </c>
    </row>
    <row r="244" spans="2:5" ht="15" customHeight="1">
      <c r="B244" s="94"/>
      <c r="C244" s="71" t="s">
        <v>252</v>
      </c>
      <c r="D244" s="72">
        <v>1</v>
      </c>
      <c r="E244" s="73">
        <v>4.1131951299999999E-5</v>
      </c>
    </row>
    <row r="245" spans="2:5" ht="15" customHeight="1">
      <c r="B245" s="94"/>
      <c r="C245" s="71" t="s">
        <v>253</v>
      </c>
      <c r="D245" s="72">
        <v>1</v>
      </c>
      <c r="E245" s="73">
        <v>4.1131951299999999E-5</v>
      </c>
    </row>
    <row r="246" spans="2:5" ht="15" customHeight="1">
      <c r="B246" s="94"/>
      <c r="C246" s="71" t="s">
        <v>232</v>
      </c>
      <c r="D246" s="72">
        <v>47</v>
      </c>
      <c r="E246" s="73">
        <v>1.933201711089E-3</v>
      </c>
    </row>
    <row r="247" spans="2:5" ht="15" customHeight="1">
      <c r="B247" s="94"/>
      <c r="C247" s="71" t="s">
        <v>233</v>
      </c>
      <c r="D247" s="72">
        <v>1</v>
      </c>
      <c r="E247" s="73">
        <v>4.1131951299999999E-5</v>
      </c>
    </row>
    <row r="248" spans="2:5" ht="15" customHeight="1">
      <c r="B248" s="94"/>
      <c r="C248" s="71" t="s">
        <v>234</v>
      </c>
      <c r="D248" s="72">
        <v>4</v>
      </c>
      <c r="E248" s="73">
        <v>1.6452780519900001E-4</v>
      </c>
    </row>
    <row r="249" spans="2:5" ht="15" customHeight="1">
      <c r="B249" s="94"/>
      <c r="C249" s="71" t="s">
        <v>258</v>
      </c>
      <c r="D249" s="72">
        <v>1</v>
      </c>
      <c r="E249" s="73">
        <v>4.1131951299999999E-5</v>
      </c>
    </row>
    <row r="250" spans="2:5" ht="15" customHeight="1">
      <c r="B250" s="94"/>
      <c r="C250" s="71" t="s">
        <v>235</v>
      </c>
      <c r="D250" s="72">
        <v>49</v>
      </c>
      <c r="E250" s="73">
        <v>2.0154656136889999E-3</v>
      </c>
    </row>
    <row r="251" spans="2:5" ht="15" customHeight="1">
      <c r="B251" s="94"/>
      <c r="C251" s="71" t="s">
        <v>236</v>
      </c>
      <c r="D251" s="72">
        <v>11</v>
      </c>
      <c r="E251" s="73">
        <v>4.5245146429700003E-4</v>
      </c>
    </row>
    <row r="252" spans="2:5" ht="15" customHeight="1">
      <c r="B252" s="94"/>
      <c r="C252" s="71" t="s">
        <v>237</v>
      </c>
      <c r="D252" s="72">
        <v>3</v>
      </c>
      <c r="E252" s="73">
        <v>1.23395853899E-4</v>
      </c>
    </row>
    <row r="253" spans="2:5" ht="15" customHeight="1">
      <c r="B253" s="94"/>
      <c r="C253" s="71" t="s">
        <v>238</v>
      </c>
      <c r="D253" s="72">
        <v>11</v>
      </c>
      <c r="E253" s="73">
        <v>4.5245146429700003E-4</v>
      </c>
    </row>
    <row r="254" spans="2:5" ht="15" customHeight="1">
      <c r="B254" s="94"/>
      <c r="C254" s="71" t="s">
        <v>239</v>
      </c>
      <c r="D254" s="72">
        <v>80</v>
      </c>
      <c r="E254" s="73">
        <v>3.2905561039820001E-3</v>
      </c>
    </row>
    <row r="255" spans="2:5" ht="15" customHeight="1">
      <c r="B255" s="94"/>
      <c r="C255" s="71" t="s">
        <v>240</v>
      </c>
      <c r="D255" s="72">
        <v>3</v>
      </c>
      <c r="E255" s="73">
        <v>1.23395853899E-4</v>
      </c>
    </row>
    <row r="256" spans="2:5" ht="15" customHeight="1">
      <c r="B256" s="94"/>
      <c r="C256" s="71" t="s">
        <v>241</v>
      </c>
      <c r="D256" s="72">
        <v>6</v>
      </c>
      <c r="E256" s="73">
        <v>2.4679170779900002E-4</v>
      </c>
    </row>
    <row r="257" spans="2:5" ht="15" customHeight="1">
      <c r="B257" s="94"/>
      <c r="C257" s="71" t="s">
        <v>242</v>
      </c>
      <c r="D257" s="72">
        <v>18</v>
      </c>
      <c r="E257" s="73">
        <v>7.4037512339599995E-4</v>
      </c>
    </row>
    <row r="258" spans="2:5" ht="15" customHeight="1">
      <c r="B258" s="94"/>
      <c r="C258" s="71" t="s">
        <v>245</v>
      </c>
      <c r="D258" s="72">
        <v>1</v>
      </c>
      <c r="E258" s="73">
        <v>4.1131951299999999E-5</v>
      </c>
    </row>
    <row r="259" spans="2:5" ht="15" customHeight="1">
      <c r="B259" s="94"/>
      <c r="C259" s="71" t="s">
        <v>243</v>
      </c>
      <c r="D259" s="72">
        <v>4</v>
      </c>
      <c r="E259" s="73">
        <v>1.6452780519900001E-4</v>
      </c>
    </row>
    <row r="260" spans="2:5" ht="15" customHeight="1">
      <c r="B260" s="95"/>
      <c r="C260" s="36" t="s">
        <v>29</v>
      </c>
      <c r="D260" s="35">
        <v>418</v>
      </c>
      <c r="E260" s="34">
        <v>1.7193155643303999E-2</v>
      </c>
    </row>
    <row r="261" spans="2:5" ht="15" customHeight="1">
      <c r="B261" s="93" t="s">
        <v>114</v>
      </c>
      <c r="C261" s="71" t="s">
        <v>219</v>
      </c>
      <c r="D261" s="72">
        <v>2</v>
      </c>
      <c r="E261" s="73">
        <v>8.2263902599999999E-5</v>
      </c>
    </row>
    <row r="262" spans="2:5" ht="15" customHeight="1">
      <c r="B262" s="94"/>
      <c r="C262" s="71" t="s">
        <v>220</v>
      </c>
      <c r="D262" s="72">
        <v>3</v>
      </c>
      <c r="E262" s="73">
        <v>1.23395853899E-4</v>
      </c>
    </row>
    <row r="263" spans="2:5" ht="15" customHeight="1">
      <c r="B263" s="94"/>
      <c r="C263" s="71" t="s">
        <v>221</v>
      </c>
      <c r="D263" s="72">
        <v>1</v>
      </c>
      <c r="E263" s="73">
        <v>4.1131951299999999E-5</v>
      </c>
    </row>
    <row r="264" spans="2:5" ht="15" customHeight="1">
      <c r="B264" s="94"/>
      <c r="C264" s="71" t="s">
        <v>246</v>
      </c>
      <c r="D264" s="72">
        <v>2</v>
      </c>
      <c r="E264" s="73">
        <v>8.2263902599999999E-5</v>
      </c>
    </row>
    <row r="265" spans="2:5" ht="15" customHeight="1">
      <c r="B265" s="94"/>
      <c r="C265" s="71" t="s">
        <v>247</v>
      </c>
      <c r="D265" s="72">
        <v>1</v>
      </c>
      <c r="E265" s="73">
        <v>4.1131951299999999E-5</v>
      </c>
    </row>
    <row r="266" spans="2:5" ht="15" customHeight="1">
      <c r="B266" s="94"/>
      <c r="C266" s="71" t="s">
        <v>260</v>
      </c>
      <c r="D266" s="72">
        <v>1</v>
      </c>
      <c r="E266" s="73">
        <v>4.1131951299999999E-5</v>
      </c>
    </row>
    <row r="267" spans="2:5" ht="15" customHeight="1">
      <c r="B267" s="94"/>
      <c r="C267" s="71" t="s">
        <v>224</v>
      </c>
      <c r="D267" s="72">
        <v>8</v>
      </c>
      <c r="E267" s="73">
        <v>3.2905561039800002E-4</v>
      </c>
    </row>
    <row r="268" spans="2:5" ht="15" customHeight="1">
      <c r="B268" s="94"/>
      <c r="C268" s="71" t="s">
        <v>226</v>
      </c>
      <c r="D268" s="72">
        <v>23</v>
      </c>
      <c r="E268" s="73">
        <v>9.4603487989499996E-4</v>
      </c>
    </row>
    <row r="269" spans="2:5" ht="15" customHeight="1">
      <c r="B269" s="94"/>
      <c r="C269" s="71" t="s">
        <v>227</v>
      </c>
      <c r="D269" s="72">
        <v>2</v>
      </c>
      <c r="E269" s="73">
        <v>8.2263902599999999E-5</v>
      </c>
    </row>
    <row r="270" spans="2:5" ht="15" customHeight="1">
      <c r="B270" s="94"/>
      <c r="C270" s="71" t="s">
        <v>262</v>
      </c>
      <c r="D270" s="72">
        <v>1</v>
      </c>
      <c r="E270" s="73">
        <v>4.1131951299999999E-5</v>
      </c>
    </row>
    <row r="271" spans="2:5" ht="15" customHeight="1">
      <c r="B271" s="94"/>
      <c r="C271" s="71" t="s">
        <v>244</v>
      </c>
      <c r="D271" s="72">
        <v>1</v>
      </c>
      <c r="E271" s="73">
        <v>4.1131951299999999E-5</v>
      </c>
    </row>
    <row r="272" spans="2:5" ht="15" customHeight="1">
      <c r="B272" s="94"/>
      <c r="C272" s="71" t="s">
        <v>249</v>
      </c>
      <c r="D272" s="72">
        <v>3</v>
      </c>
      <c r="E272" s="73">
        <v>1.23395853899E-4</v>
      </c>
    </row>
    <row r="273" spans="2:5" ht="15" customHeight="1">
      <c r="B273" s="94"/>
      <c r="C273" s="71" t="s">
        <v>256</v>
      </c>
      <c r="D273" s="72">
        <v>4</v>
      </c>
      <c r="E273" s="73">
        <v>1.6452780519900001E-4</v>
      </c>
    </row>
    <row r="274" spans="2:5" ht="15" customHeight="1">
      <c r="B274" s="94"/>
      <c r="C274" s="71" t="s">
        <v>228</v>
      </c>
      <c r="D274" s="72">
        <v>1</v>
      </c>
      <c r="E274" s="73">
        <v>4.1131951299999999E-5</v>
      </c>
    </row>
    <row r="275" spans="2:5" ht="15" customHeight="1">
      <c r="B275" s="94"/>
      <c r="C275" s="71" t="s">
        <v>250</v>
      </c>
      <c r="D275" s="72">
        <v>1</v>
      </c>
      <c r="E275" s="73">
        <v>4.1131951299999999E-5</v>
      </c>
    </row>
    <row r="276" spans="2:5" ht="15" customHeight="1">
      <c r="B276" s="94"/>
      <c r="C276" s="71" t="s">
        <v>230</v>
      </c>
      <c r="D276" s="72">
        <v>34</v>
      </c>
      <c r="E276" s="73">
        <v>1.398486344192E-3</v>
      </c>
    </row>
    <row r="277" spans="2:5" ht="15" customHeight="1">
      <c r="B277" s="94"/>
      <c r="C277" s="71" t="s">
        <v>232</v>
      </c>
      <c r="D277" s="72">
        <v>3</v>
      </c>
      <c r="E277" s="73">
        <v>1.23395853899E-4</v>
      </c>
    </row>
    <row r="278" spans="2:5" ht="15" customHeight="1">
      <c r="B278" s="94"/>
      <c r="C278" s="71" t="s">
        <v>235</v>
      </c>
      <c r="D278" s="72">
        <v>32</v>
      </c>
      <c r="E278" s="73">
        <v>1.3162224415929999E-3</v>
      </c>
    </row>
    <row r="279" spans="2:5" ht="15" customHeight="1">
      <c r="B279" s="94"/>
      <c r="C279" s="71" t="s">
        <v>236</v>
      </c>
      <c r="D279" s="72">
        <v>10</v>
      </c>
      <c r="E279" s="73">
        <v>4.1131951299799998E-4</v>
      </c>
    </row>
    <row r="280" spans="2:5" ht="15" customHeight="1">
      <c r="B280" s="94"/>
      <c r="C280" s="71" t="s">
        <v>237</v>
      </c>
      <c r="D280" s="72">
        <v>1</v>
      </c>
      <c r="E280" s="73">
        <v>4.1131951299999999E-5</v>
      </c>
    </row>
    <row r="281" spans="2:5" ht="15" customHeight="1">
      <c r="B281" s="94"/>
      <c r="C281" s="71" t="s">
        <v>238</v>
      </c>
      <c r="D281" s="72">
        <v>1</v>
      </c>
      <c r="E281" s="73">
        <v>4.1131951299999999E-5</v>
      </c>
    </row>
    <row r="282" spans="2:5" ht="15" customHeight="1">
      <c r="B282" s="94"/>
      <c r="C282" s="71" t="s">
        <v>239</v>
      </c>
      <c r="D282" s="72">
        <v>22</v>
      </c>
      <c r="E282" s="73">
        <v>9.0490292859500001E-4</v>
      </c>
    </row>
    <row r="283" spans="2:5" ht="15" customHeight="1">
      <c r="B283" s="94"/>
      <c r="C283" s="71" t="s">
        <v>240</v>
      </c>
      <c r="D283" s="72">
        <v>6</v>
      </c>
      <c r="E283" s="73">
        <v>2.4679170779900002E-4</v>
      </c>
    </row>
    <row r="284" spans="2:5" ht="15" customHeight="1">
      <c r="B284" s="94"/>
      <c r="C284" s="71" t="s">
        <v>241</v>
      </c>
      <c r="D284" s="72">
        <v>2</v>
      </c>
      <c r="E284" s="73">
        <v>8.2263902599999999E-5</v>
      </c>
    </row>
    <row r="285" spans="2:5" ht="15" customHeight="1">
      <c r="B285" s="94"/>
      <c r="C285" s="71" t="s">
        <v>242</v>
      </c>
      <c r="D285" s="72">
        <v>6</v>
      </c>
      <c r="E285" s="73">
        <v>2.4679170779900002E-4</v>
      </c>
    </row>
    <row r="286" spans="2:5" ht="15" customHeight="1">
      <c r="B286" s="94"/>
      <c r="C286" s="71" t="s">
        <v>243</v>
      </c>
      <c r="D286" s="72">
        <v>2</v>
      </c>
      <c r="E286" s="73">
        <v>8.2263902599999999E-5</v>
      </c>
    </row>
    <row r="287" spans="2:5" ht="15" customHeight="1">
      <c r="B287" s="95"/>
      <c r="C287" s="36" t="s">
        <v>29</v>
      </c>
      <c r="D287" s="35">
        <v>173</v>
      </c>
      <c r="E287" s="34">
        <v>7.1158275748599998E-3</v>
      </c>
    </row>
    <row r="288" spans="2:5" ht="15" customHeight="1">
      <c r="B288" s="93" t="s">
        <v>115</v>
      </c>
      <c r="C288" s="71" t="s">
        <v>219</v>
      </c>
      <c r="D288" s="72">
        <v>1</v>
      </c>
      <c r="E288" s="73">
        <v>4.1131951299999999E-5</v>
      </c>
    </row>
    <row r="289" spans="2:5" ht="15" customHeight="1">
      <c r="B289" s="94"/>
      <c r="C289" s="71" t="s">
        <v>226</v>
      </c>
      <c r="D289" s="72">
        <v>2</v>
      </c>
      <c r="E289" s="73">
        <v>8.2263902599999999E-5</v>
      </c>
    </row>
    <row r="290" spans="2:5" ht="15" customHeight="1">
      <c r="B290" s="94"/>
      <c r="C290" s="71" t="s">
        <v>227</v>
      </c>
      <c r="D290" s="72">
        <v>2</v>
      </c>
      <c r="E290" s="73">
        <v>8.2263902599999999E-5</v>
      </c>
    </row>
    <row r="291" spans="2:5" ht="15" customHeight="1">
      <c r="B291" s="94"/>
      <c r="C291" s="71" t="s">
        <v>256</v>
      </c>
      <c r="D291" s="72">
        <v>1</v>
      </c>
      <c r="E291" s="73">
        <v>4.1131951299999999E-5</v>
      </c>
    </row>
    <row r="292" spans="2:5" ht="15" customHeight="1">
      <c r="B292" s="94"/>
      <c r="C292" s="71" t="s">
        <v>250</v>
      </c>
      <c r="D292" s="72">
        <v>1</v>
      </c>
      <c r="E292" s="73">
        <v>4.1131951299999999E-5</v>
      </c>
    </row>
    <row r="293" spans="2:5" ht="15" customHeight="1">
      <c r="B293" s="94"/>
      <c r="C293" s="71" t="s">
        <v>230</v>
      </c>
      <c r="D293" s="72">
        <v>6</v>
      </c>
      <c r="E293" s="73">
        <v>2.4679170779900002E-4</v>
      </c>
    </row>
    <row r="294" spans="2:5" ht="15" customHeight="1">
      <c r="B294" s="94"/>
      <c r="C294" s="71" t="s">
        <v>252</v>
      </c>
      <c r="D294" s="72">
        <v>1</v>
      </c>
      <c r="E294" s="73">
        <v>4.1131951299999999E-5</v>
      </c>
    </row>
    <row r="295" spans="2:5" ht="15" customHeight="1">
      <c r="B295" s="94"/>
      <c r="C295" s="71" t="s">
        <v>232</v>
      </c>
      <c r="D295" s="72">
        <v>2</v>
      </c>
      <c r="E295" s="73">
        <v>8.2263902599999999E-5</v>
      </c>
    </row>
    <row r="296" spans="2:5" ht="15" customHeight="1">
      <c r="B296" s="94"/>
      <c r="C296" s="71" t="s">
        <v>234</v>
      </c>
      <c r="D296" s="72">
        <v>2</v>
      </c>
      <c r="E296" s="73">
        <v>8.2263902599999999E-5</v>
      </c>
    </row>
    <row r="297" spans="2:5" ht="15" customHeight="1">
      <c r="B297" s="94"/>
      <c r="C297" s="71" t="s">
        <v>236</v>
      </c>
      <c r="D297" s="72">
        <v>3</v>
      </c>
      <c r="E297" s="73">
        <v>1.23395853899E-4</v>
      </c>
    </row>
    <row r="298" spans="2:5" ht="15" customHeight="1">
      <c r="B298" s="94"/>
      <c r="C298" s="71" t="s">
        <v>238</v>
      </c>
      <c r="D298" s="72">
        <v>1</v>
      </c>
      <c r="E298" s="73">
        <v>4.1131951299999999E-5</v>
      </c>
    </row>
    <row r="299" spans="2:5" ht="15" customHeight="1">
      <c r="B299" s="94"/>
      <c r="C299" s="71" t="s">
        <v>239</v>
      </c>
      <c r="D299" s="72">
        <v>1</v>
      </c>
      <c r="E299" s="73">
        <v>4.1131951299999999E-5</v>
      </c>
    </row>
    <row r="300" spans="2:5" ht="15" customHeight="1">
      <c r="B300" s="94"/>
      <c r="C300" s="71" t="s">
        <v>240</v>
      </c>
      <c r="D300" s="72">
        <v>1</v>
      </c>
      <c r="E300" s="73">
        <v>4.1131951299999999E-5</v>
      </c>
    </row>
    <row r="301" spans="2:5" ht="15" customHeight="1">
      <c r="B301" s="94"/>
      <c r="C301" s="71" t="s">
        <v>241</v>
      </c>
      <c r="D301" s="72">
        <v>1</v>
      </c>
      <c r="E301" s="73">
        <v>4.1131951299999999E-5</v>
      </c>
    </row>
    <row r="302" spans="2:5" ht="15" customHeight="1">
      <c r="B302" s="94"/>
      <c r="C302" s="71" t="s">
        <v>242</v>
      </c>
      <c r="D302" s="72">
        <v>2</v>
      </c>
      <c r="E302" s="73">
        <v>8.2263902599999999E-5</v>
      </c>
    </row>
    <row r="303" spans="2:5" ht="15" customHeight="1">
      <c r="B303" s="95"/>
      <c r="C303" s="36" t="s">
        <v>29</v>
      </c>
      <c r="D303" s="35">
        <v>27</v>
      </c>
      <c r="E303" s="34">
        <v>1.110562685094E-3</v>
      </c>
    </row>
    <row r="304" spans="2:5" ht="15" customHeight="1">
      <c r="B304" s="93" t="s">
        <v>116</v>
      </c>
      <c r="C304" s="71" t="s">
        <v>220</v>
      </c>
      <c r="D304" s="72">
        <v>7</v>
      </c>
      <c r="E304" s="73">
        <v>2.8792365909800001E-4</v>
      </c>
    </row>
    <row r="305" spans="2:5" ht="15" customHeight="1">
      <c r="B305" s="94"/>
      <c r="C305" s="71" t="s">
        <v>221</v>
      </c>
      <c r="D305" s="72">
        <v>2</v>
      </c>
      <c r="E305" s="73">
        <v>8.2263902599999999E-5</v>
      </c>
    </row>
    <row r="306" spans="2:5" ht="15" customHeight="1">
      <c r="B306" s="94"/>
      <c r="C306" s="71" t="s">
        <v>223</v>
      </c>
      <c r="D306" s="72">
        <v>1</v>
      </c>
      <c r="E306" s="73">
        <v>4.1131951299999999E-5</v>
      </c>
    </row>
    <row r="307" spans="2:5" ht="15" customHeight="1">
      <c r="B307" s="94"/>
      <c r="C307" s="71" t="s">
        <v>260</v>
      </c>
      <c r="D307" s="72">
        <v>1</v>
      </c>
      <c r="E307" s="73">
        <v>4.1131951299999999E-5</v>
      </c>
    </row>
    <row r="308" spans="2:5" ht="15" customHeight="1">
      <c r="B308" s="94"/>
      <c r="C308" s="71" t="s">
        <v>224</v>
      </c>
      <c r="D308" s="72">
        <v>3</v>
      </c>
      <c r="E308" s="73">
        <v>1.23395853899E-4</v>
      </c>
    </row>
    <row r="309" spans="2:5" ht="15" customHeight="1">
      <c r="B309" s="94"/>
      <c r="C309" s="71" t="s">
        <v>226</v>
      </c>
      <c r="D309" s="72">
        <v>4</v>
      </c>
      <c r="E309" s="73">
        <v>1.6452780519900001E-4</v>
      </c>
    </row>
    <row r="310" spans="2:5" ht="15" customHeight="1">
      <c r="B310" s="94"/>
      <c r="C310" s="71" t="s">
        <v>227</v>
      </c>
      <c r="D310" s="72">
        <v>2</v>
      </c>
      <c r="E310" s="73">
        <v>8.2263902599999999E-5</v>
      </c>
    </row>
    <row r="311" spans="2:5" ht="15" customHeight="1">
      <c r="B311" s="94"/>
      <c r="C311" s="71" t="s">
        <v>244</v>
      </c>
      <c r="D311" s="72">
        <v>2</v>
      </c>
      <c r="E311" s="73">
        <v>8.2263902599999999E-5</v>
      </c>
    </row>
    <row r="312" spans="2:5" ht="15" customHeight="1">
      <c r="B312" s="94"/>
      <c r="C312" s="71" t="s">
        <v>248</v>
      </c>
      <c r="D312" s="72">
        <v>1</v>
      </c>
      <c r="E312" s="73">
        <v>4.1131951299999999E-5</v>
      </c>
    </row>
    <row r="313" spans="2:5" ht="15" customHeight="1">
      <c r="B313" s="94"/>
      <c r="C313" s="71" t="s">
        <v>229</v>
      </c>
      <c r="D313" s="72">
        <v>1</v>
      </c>
      <c r="E313" s="73">
        <v>4.1131951299999999E-5</v>
      </c>
    </row>
    <row r="314" spans="2:5" ht="15" customHeight="1">
      <c r="B314" s="94"/>
      <c r="C314" s="71" t="s">
        <v>230</v>
      </c>
      <c r="D314" s="72">
        <v>19</v>
      </c>
      <c r="E314" s="73">
        <v>7.8150707469600001E-4</v>
      </c>
    </row>
    <row r="315" spans="2:5" ht="15" customHeight="1">
      <c r="B315" s="94"/>
      <c r="C315" s="71" t="s">
        <v>232</v>
      </c>
      <c r="D315" s="72">
        <v>10</v>
      </c>
      <c r="E315" s="73">
        <v>4.1131951299799998E-4</v>
      </c>
    </row>
    <row r="316" spans="2:5" ht="15" customHeight="1">
      <c r="B316" s="94"/>
      <c r="C316" s="71" t="s">
        <v>234</v>
      </c>
      <c r="D316" s="72">
        <v>1</v>
      </c>
      <c r="E316" s="73">
        <v>4.1131951299999999E-5</v>
      </c>
    </row>
    <row r="317" spans="2:5" ht="15" customHeight="1">
      <c r="B317" s="94"/>
      <c r="C317" s="71" t="s">
        <v>258</v>
      </c>
      <c r="D317" s="72">
        <v>1</v>
      </c>
      <c r="E317" s="73">
        <v>4.1131951299999999E-5</v>
      </c>
    </row>
    <row r="318" spans="2:5" ht="15" customHeight="1">
      <c r="B318" s="94"/>
      <c r="C318" s="71" t="s">
        <v>235</v>
      </c>
      <c r="D318" s="72">
        <v>3</v>
      </c>
      <c r="E318" s="73">
        <v>1.23395853899E-4</v>
      </c>
    </row>
    <row r="319" spans="2:5" ht="15" customHeight="1">
      <c r="B319" s="94"/>
      <c r="C319" s="71" t="s">
        <v>236</v>
      </c>
      <c r="D319" s="72">
        <v>3</v>
      </c>
      <c r="E319" s="73">
        <v>1.23395853899E-4</v>
      </c>
    </row>
    <row r="320" spans="2:5" ht="15" customHeight="1">
      <c r="B320" s="94"/>
      <c r="C320" s="71" t="s">
        <v>237</v>
      </c>
      <c r="D320" s="72">
        <v>3</v>
      </c>
      <c r="E320" s="73">
        <v>1.23395853899E-4</v>
      </c>
    </row>
    <row r="321" spans="2:5" ht="15" customHeight="1">
      <c r="B321" s="94"/>
      <c r="C321" s="71" t="s">
        <v>238</v>
      </c>
      <c r="D321" s="72">
        <v>2</v>
      </c>
      <c r="E321" s="73">
        <v>8.2263902599999999E-5</v>
      </c>
    </row>
    <row r="322" spans="2:5" ht="15" customHeight="1">
      <c r="B322" s="94"/>
      <c r="C322" s="71" t="s">
        <v>239</v>
      </c>
      <c r="D322" s="72">
        <v>7</v>
      </c>
      <c r="E322" s="73">
        <v>2.8792365909800001E-4</v>
      </c>
    </row>
    <row r="323" spans="2:5" ht="15" customHeight="1">
      <c r="B323" s="94"/>
      <c r="C323" s="71" t="s">
        <v>240</v>
      </c>
      <c r="D323" s="72">
        <v>4</v>
      </c>
      <c r="E323" s="73">
        <v>1.6452780519900001E-4</v>
      </c>
    </row>
    <row r="324" spans="2:5" ht="15" customHeight="1">
      <c r="B324" s="94"/>
      <c r="C324" s="71" t="s">
        <v>241</v>
      </c>
      <c r="D324" s="72">
        <v>2</v>
      </c>
      <c r="E324" s="73">
        <v>8.2263902599999999E-5</v>
      </c>
    </row>
    <row r="325" spans="2:5" ht="15" customHeight="1">
      <c r="B325" s="94"/>
      <c r="C325" s="71" t="s">
        <v>242</v>
      </c>
      <c r="D325" s="72">
        <v>5</v>
      </c>
      <c r="E325" s="73">
        <v>2.0565975649899999E-4</v>
      </c>
    </row>
    <row r="326" spans="2:5" ht="15" customHeight="1">
      <c r="B326" s="94"/>
      <c r="C326" s="71" t="s">
        <v>243</v>
      </c>
      <c r="D326" s="72">
        <v>1</v>
      </c>
      <c r="E326" s="73">
        <v>4.1131951299999999E-5</v>
      </c>
    </row>
    <row r="327" spans="2:5" ht="15" customHeight="1">
      <c r="B327" s="95"/>
      <c r="C327" s="36" t="s">
        <v>29</v>
      </c>
      <c r="D327" s="35">
        <v>85</v>
      </c>
      <c r="E327" s="34">
        <v>3.4962158604800002E-3</v>
      </c>
    </row>
    <row r="328" spans="2:5" ht="15" customHeight="1">
      <c r="B328" s="93" t="s">
        <v>117</v>
      </c>
      <c r="C328" s="71" t="s">
        <v>219</v>
      </c>
      <c r="D328" s="72">
        <v>1</v>
      </c>
      <c r="E328" s="73">
        <v>4.1131951299999999E-5</v>
      </c>
    </row>
    <row r="329" spans="2:5" ht="15" customHeight="1">
      <c r="B329" s="94"/>
      <c r="C329" s="71" t="s">
        <v>220</v>
      </c>
      <c r="D329" s="72">
        <v>1</v>
      </c>
      <c r="E329" s="73">
        <v>4.1131951299999999E-5</v>
      </c>
    </row>
    <row r="330" spans="2:5" ht="15" customHeight="1">
      <c r="B330" s="94"/>
      <c r="C330" s="71" t="s">
        <v>221</v>
      </c>
      <c r="D330" s="72">
        <v>1</v>
      </c>
      <c r="E330" s="73">
        <v>4.1131951299999999E-5</v>
      </c>
    </row>
    <row r="331" spans="2:5" ht="15" customHeight="1">
      <c r="B331" s="94"/>
      <c r="C331" s="71" t="s">
        <v>246</v>
      </c>
      <c r="D331" s="72">
        <v>2</v>
      </c>
      <c r="E331" s="73">
        <v>8.2263902599999999E-5</v>
      </c>
    </row>
    <row r="332" spans="2:5" ht="15" customHeight="1">
      <c r="B332" s="94"/>
      <c r="C332" s="71" t="s">
        <v>223</v>
      </c>
      <c r="D332" s="72">
        <v>1</v>
      </c>
      <c r="E332" s="73">
        <v>4.1131951299999999E-5</v>
      </c>
    </row>
    <row r="333" spans="2:5" ht="15" customHeight="1">
      <c r="B333" s="94"/>
      <c r="C333" s="71" t="s">
        <v>224</v>
      </c>
      <c r="D333" s="72">
        <v>13</v>
      </c>
      <c r="E333" s="73">
        <v>5.3471536689700004E-4</v>
      </c>
    </row>
    <row r="334" spans="2:5" ht="15" customHeight="1">
      <c r="B334" s="94"/>
      <c r="C334" s="71" t="s">
        <v>226</v>
      </c>
      <c r="D334" s="72">
        <v>4</v>
      </c>
      <c r="E334" s="73">
        <v>1.6452780519900001E-4</v>
      </c>
    </row>
    <row r="335" spans="2:5" ht="15" customHeight="1">
      <c r="B335" s="94"/>
      <c r="C335" s="71" t="s">
        <v>227</v>
      </c>
      <c r="D335" s="72">
        <v>3</v>
      </c>
      <c r="E335" s="73">
        <v>1.23395853899E-4</v>
      </c>
    </row>
    <row r="336" spans="2:5" ht="15" customHeight="1">
      <c r="B336" s="94"/>
      <c r="C336" s="71" t="s">
        <v>244</v>
      </c>
      <c r="D336" s="72">
        <v>1</v>
      </c>
      <c r="E336" s="73">
        <v>4.1131951299999999E-5</v>
      </c>
    </row>
    <row r="337" spans="2:5" ht="15" customHeight="1">
      <c r="B337" s="94"/>
      <c r="C337" s="71" t="s">
        <v>249</v>
      </c>
      <c r="D337" s="72">
        <v>1</v>
      </c>
      <c r="E337" s="73">
        <v>4.1131951299999999E-5</v>
      </c>
    </row>
    <row r="338" spans="2:5" ht="15" customHeight="1">
      <c r="B338" s="94"/>
      <c r="C338" s="71" t="s">
        <v>228</v>
      </c>
      <c r="D338" s="72">
        <v>1</v>
      </c>
      <c r="E338" s="73">
        <v>4.1131951299999999E-5</v>
      </c>
    </row>
    <row r="339" spans="2:5" ht="15" customHeight="1">
      <c r="B339" s="94"/>
      <c r="C339" s="71" t="s">
        <v>229</v>
      </c>
      <c r="D339" s="72">
        <v>2</v>
      </c>
      <c r="E339" s="73">
        <v>8.2263902599999999E-5</v>
      </c>
    </row>
    <row r="340" spans="2:5" ht="15" customHeight="1">
      <c r="B340" s="94"/>
      <c r="C340" s="71" t="s">
        <v>230</v>
      </c>
      <c r="D340" s="72">
        <v>19</v>
      </c>
      <c r="E340" s="73">
        <v>7.8150707469600001E-4</v>
      </c>
    </row>
    <row r="341" spans="2:5" ht="15" customHeight="1">
      <c r="B341" s="94"/>
      <c r="C341" s="71" t="s">
        <v>232</v>
      </c>
      <c r="D341" s="72">
        <v>1</v>
      </c>
      <c r="E341" s="73">
        <v>4.1131951299999999E-5</v>
      </c>
    </row>
    <row r="342" spans="2:5" ht="15" customHeight="1">
      <c r="B342" s="94"/>
      <c r="C342" s="71" t="s">
        <v>233</v>
      </c>
      <c r="D342" s="72">
        <v>1</v>
      </c>
      <c r="E342" s="73">
        <v>4.1131951299999999E-5</v>
      </c>
    </row>
    <row r="343" spans="2:5" ht="15" customHeight="1">
      <c r="B343" s="94"/>
      <c r="C343" s="71" t="s">
        <v>234</v>
      </c>
      <c r="D343" s="72">
        <v>3</v>
      </c>
      <c r="E343" s="73">
        <v>1.23395853899E-4</v>
      </c>
    </row>
    <row r="344" spans="2:5" ht="15" customHeight="1">
      <c r="B344" s="94"/>
      <c r="C344" s="71" t="s">
        <v>235</v>
      </c>
      <c r="D344" s="72">
        <v>3</v>
      </c>
      <c r="E344" s="73">
        <v>1.23395853899E-4</v>
      </c>
    </row>
    <row r="345" spans="2:5" ht="15" customHeight="1">
      <c r="B345" s="94"/>
      <c r="C345" s="71" t="s">
        <v>237</v>
      </c>
      <c r="D345" s="72">
        <v>4</v>
      </c>
      <c r="E345" s="73">
        <v>1.6452780519900001E-4</v>
      </c>
    </row>
    <row r="346" spans="2:5" ht="15" customHeight="1">
      <c r="B346" s="94"/>
      <c r="C346" s="71" t="s">
        <v>238</v>
      </c>
      <c r="D346" s="72">
        <v>1</v>
      </c>
      <c r="E346" s="73">
        <v>4.1131951299999999E-5</v>
      </c>
    </row>
    <row r="347" spans="2:5" ht="15" customHeight="1">
      <c r="B347" s="94"/>
      <c r="C347" s="71" t="s">
        <v>239</v>
      </c>
      <c r="D347" s="72">
        <v>10</v>
      </c>
      <c r="E347" s="73">
        <v>4.1131951299799998E-4</v>
      </c>
    </row>
    <row r="348" spans="2:5" ht="15" customHeight="1">
      <c r="B348" s="94"/>
      <c r="C348" s="71" t="s">
        <v>240</v>
      </c>
      <c r="D348" s="72">
        <v>2</v>
      </c>
      <c r="E348" s="73">
        <v>8.2263902599999999E-5</v>
      </c>
    </row>
    <row r="349" spans="2:5" ht="15" customHeight="1">
      <c r="B349" s="94"/>
      <c r="C349" s="71" t="s">
        <v>241</v>
      </c>
      <c r="D349" s="72">
        <v>2</v>
      </c>
      <c r="E349" s="73">
        <v>8.2263902599999999E-5</v>
      </c>
    </row>
    <row r="350" spans="2:5" ht="15" customHeight="1">
      <c r="B350" s="94"/>
      <c r="C350" s="71" t="s">
        <v>242</v>
      </c>
      <c r="D350" s="72">
        <v>5</v>
      </c>
      <c r="E350" s="73">
        <v>2.0565975649899999E-4</v>
      </c>
    </row>
    <row r="351" spans="2:5" ht="15" customHeight="1">
      <c r="B351" s="94"/>
      <c r="C351" s="71" t="s">
        <v>245</v>
      </c>
      <c r="D351" s="72">
        <v>1</v>
      </c>
      <c r="E351" s="73">
        <v>4.1131951299999999E-5</v>
      </c>
    </row>
    <row r="352" spans="2:5" ht="15" customHeight="1">
      <c r="B352" s="95"/>
      <c r="C352" s="36" t="s">
        <v>29</v>
      </c>
      <c r="D352" s="35">
        <v>83</v>
      </c>
      <c r="E352" s="34">
        <v>3.4139519578809999E-3</v>
      </c>
    </row>
    <row r="353" spans="2:5" ht="15" customHeight="1">
      <c r="B353" s="93" t="s">
        <v>118</v>
      </c>
      <c r="C353" s="71" t="s">
        <v>219</v>
      </c>
      <c r="D353" s="72">
        <v>2</v>
      </c>
      <c r="E353" s="73">
        <v>8.2263902599999999E-5</v>
      </c>
    </row>
    <row r="354" spans="2:5" ht="15" customHeight="1">
      <c r="B354" s="94"/>
      <c r="C354" s="71" t="s">
        <v>220</v>
      </c>
      <c r="D354" s="72">
        <v>4</v>
      </c>
      <c r="E354" s="73">
        <v>1.6452780519900001E-4</v>
      </c>
    </row>
    <row r="355" spans="2:5" ht="15" customHeight="1">
      <c r="B355" s="94"/>
      <c r="C355" s="71" t="s">
        <v>221</v>
      </c>
      <c r="D355" s="72">
        <v>3</v>
      </c>
      <c r="E355" s="73">
        <v>1.23395853899E-4</v>
      </c>
    </row>
    <row r="356" spans="2:5" ht="15" customHeight="1">
      <c r="B356" s="94"/>
      <c r="C356" s="71" t="s">
        <v>222</v>
      </c>
      <c r="D356" s="72">
        <v>1</v>
      </c>
      <c r="E356" s="73">
        <v>4.1131951299999999E-5</v>
      </c>
    </row>
    <row r="357" spans="2:5" ht="15" customHeight="1">
      <c r="B357" s="94"/>
      <c r="C357" s="71" t="s">
        <v>223</v>
      </c>
      <c r="D357" s="72">
        <v>2</v>
      </c>
      <c r="E357" s="73">
        <v>8.2263902599999999E-5</v>
      </c>
    </row>
    <row r="358" spans="2:5" ht="15" customHeight="1">
      <c r="B358" s="94"/>
      <c r="C358" s="71" t="s">
        <v>224</v>
      </c>
      <c r="D358" s="72">
        <v>7</v>
      </c>
      <c r="E358" s="73">
        <v>2.8792365909800001E-4</v>
      </c>
    </row>
    <row r="359" spans="2:5" ht="15" customHeight="1">
      <c r="B359" s="94"/>
      <c r="C359" s="71" t="s">
        <v>226</v>
      </c>
      <c r="D359" s="72">
        <v>24</v>
      </c>
      <c r="E359" s="73">
        <v>9.8716683119399995E-4</v>
      </c>
    </row>
    <row r="360" spans="2:5" ht="15" customHeight="1">
      <c r="B360" s="94"/>
      <c r="C360" s="71" t="s">
        <v>227</v>
      </c>
      <c r="D360" s="72">
        <v>5</v>
      </c>
      <c r="E360" s="73">
        <v>2.0565975649899999E-4</v>
      </c>
    </row>
    <row r="361" spans="2:5" ht="15" customHeight="1">
      <c r="B361" s="94"/>
      <c r="C361" s="71" t="s">
        <v>244</v>
      </c>
      <c r="D361" s="72">
        <v>1</v>
      </c>
      <c r="E361" s="73">
        <v>4.1131951299999999E-5</v>
      </c>
    </row>
    <row r="362" spans="2:5" ht="15" customHeight="1">
      <c r="B362" s="94"/>
      <c r="C362" s="71" t="s">
        <v>250</v>
      </c>
      <c r="D362" s="72">
        <v>2</v>
      </c>
      <c r="E362" s="73">
        <v>8.2263902599999999E-5</v>
      </c>
    </row>
    <row r="363" spans="2:5" ht="15" customHeight="1">
      <c r="B363" s="94"/>
      <c r="C363" s="71" t="s">
        <v>229</v>
      </c>
      <c r="D363" s="72">
        <v>1</v>
      </c>
      <c r="E363" s="73">
        <v>4.1131951299999999E-5</v>
      </c>
    </row>
    <row r="364" spans="2:5" ht="15" customHeight="1">
      <c r="B364" s="94"/>
      <c r="C364" s="71" t="s">
        <v>230</v>
      </c>
      <c r="D364" s="72">
        <v>25</v>
      </c>
      <c r="E364" s="73">
        <v>1.0282987824939999E-3</v>
      </c>
    </row>
    <row r="365" spans="2:5" ht="15" customHeight="1">
      <c r="B365" s="94"/>
      <c r="C365" s="71" t="s">
        <v>231</v>
      </c>
      <c r="D365" s="72">
        <v>2</v>
      </c>
      <c r="E365" s="73">
        <v>8.2263902599999999E-5</v>
      </c>
    </row>
    <row r="366" spans="2:5" ht="15" customHeight="1">
      <c r="B366" s="94"/>
      <c r="C366" s="71" t="s">
        <v>232</v>
      </c>
      <c r="D366" s="72">
        <v>11</v>
      </c>
      <c r="E366" s="73">
        <v>4.5245146429700003E-4</v>
      </c>
    </row>
    <row r="367" spans="2:5" ht="15" customHeight="1">
      <c r="B367" s="94"/>
      <c r="C367" s="71" t="s">
        <v>235</v>
      </c>
      <c r="D367" s="72">
        <v>20</v>
      </c>
      <c r="E367" s="73">
        <v>8.22639025995E-4</v>
      </c>
    </row>
    <row r="368" spans="2:5" ht="15" customHeight="1">
      <c r="B368" s="94"/>
      <c r="C368" s="71" t="s">
        <v>236</v>
      </c>
      <c r="D368" s="72">
        <v>5</v>
      </c>
      <c r="E368" s="73">
        <v>2.0565975649899999E-4</v>
      </c>
    </row>
    <row r="369" spans="2:5" ht="15" customHeight="1">
      <c r="B369" s="94"/>
      <c r="C369" s="71" t="s">
        <v>237</v>
      </c>
      <c r="D369" s="72">
        <v>4</v>
      </c>
      <c r="E369" s="73">
        <v>1.6452780519900001E-4</v>
      </c>
    </row>
    <row r="370" spans="2:5" ht="15" customHeight="1">
      <c r="B370" s="94"/>
      <c r="C370" s="71" t="s">
        <v>239</v>
      </c>
      <c r="D370" s="72">
        <v>25</v>
      </c>
      <c r="E370" s="73">
        <v>1.0282987824939999E-3</v>
      </c>
    </row>
    <row r="371" spans="2:5" ht="15" customHeight="1">
      <c r="B371" s="94"/>
      <c r="C371" s="71" t="s">
        <v>240</v>
      </c>
      <c r="D371" s="72">
        <v>5</v>
      </c>
      <c r="E371" s="73">
        <v>2.0565975649899999E-4</v>
      </c>
    </row>
    <row r="372" spans="2:5" ht="15" customHeight="1">
      <c r="B372" s="94"/>
      <c r="C372" s="71" t="s">
        <v>241</v>
      </c>
      <c r="D372" s="72">
        <v>8</v>
      </c>
      <c r="E372" s="73">
        <v>3.2905561039800002E-4</v>
      </c>
    </row>
    <row r="373" spans="2:5" ht="15" customHeight="1">
      <c r="B373" s="94"/>
      <c r="C373" s="71" t="s">
        <v>242</v>
      </c>
      <c r="D373" s="72">
        <v>6</v>
      </c>
      <c r="E373" s="73">
        <v>2.4679170779900002E-4</v>
      </c>
    </row>
    <row r="374" spans="2:5" ht="15" customHeight="1">
      <c r="B374" s="94"/>
      <c r="C374" s="71" t="s">
        <v>243</v>
      </c>
      <c r="D374" s="72">
        <v>3</v>
      </c>
      <c r="E374" s="73">
        <v>1.23395853899E-4</v>
      </c>
    </row>
    <row r="375" spans="2:5" ht="15" customHeight="1">
      <c r="B375" s="95"/>
      <c r="C375" s="36" t="s">
        <v>29</v>
      </c>
      <c r="D375" s="35">
        <v>166</v>
      </c>
      <c r="E375" s="34">
        <v>6.8279039157619998E-3</v>
      </c>
    </row>
    <row r="376" spans="2:5" ht="15" customHeight="1">
      <c r="B376" s="93" t="s">
        <v>119</v>
      </c>
      <c r="C376" s="71" t="s">
        <v>230</v>
      </c>
      <c r="D376" s="72">
        <v>1</v>
      </c>
      <c r="E376" s="73">
        <v>4.1131951299999999E-5</v>
      </c>
    </row>
    <row r="377" spans="2:5" ht="15" customHeight="1">
      <c r="B377" s="95"/>
      <c r="C377" s="36" t="s">
        <v>29</v>
      </c>
      <c r="D377" s="35">
        <v>1</v>
      </c>
      <c r="E377" s="34">
        <v>4.1131951299999999E-5</v>
      </c>
    </row>
    <row r="378" spans="2:5" ht="15" customHeight="1">
      <c r="B378" s="93" t="s">
        <v>120</v>
      </c>
      <c r="C378" s="71" t="s">
        <v>220</v>
      </c>
      <c r="D378" s="72">
        <v>4</v>
      </c>
      <c r="E378" s="73">
        <v>1.6452780519900001E-4</v>
      </c>
    </row>
    <row r="379" spans="2:5" ht="15" customHeight="1">
      <c r="B379" s="94"/>
      <c r="C379" s="71" t="s">
        <v>221</v>
      </c>
      <c r="D379" s="72">
        <v>1</v>
      </c>
      <c r="E379" s="73">
        <v>4.1131951299999999E-5</v>
      </c>
    </row>
    <row r="380" spans="2:5" ht="15" customHeight="1">
      <c r="B380" s="94"/>
      <c r="C380" s="71" t="s">
        <v>224</v>
      </c>
      <c r="D380" s="72">
        <v>1</v>
      </c>
      <c r="E380" s="73">
        <v>4.1131951299999999E-5</v>
      </c>
    </row>
    <row r="381" spans="2:5" ht="15" customHeight="1">
      <c r="B381" s="94"/>
      <c r="C381" s="71" t="s">
        <v>230</v>
      </c>
      <c r="D381" s="72">
        <v>2</v>
      </c>
      <c r="E381" s="73">
        <v>8.2263902599999999E-5</v>
      </c>
    </row>
    <row r="382" spans="2:5" ht="15" customHeight="1">
      <c r="B382" s="94"/>
      <c r="C382" s="71" t="s">
        <v>232</v>
      </c>
      <c r="D382" s="72">
        <v>1</v>
      </c>
      <c r="E382" s="73">
        <v>4.1131951299999999E-5</v>
      </c>
    </row>
    <row r="383" spans="2:5" ht="15" customHeight="1">
      <c r="B383" s="94"/>
      <c r="C383" s="71" t="s">
        <v>235</v>
      </c>
      <c r="D383" s="72">
        <v>1</v>
      </c>
      <c r="E383" s="73">
        <v>4.1131951299999999E-5</v>
      </c>
    </row>
    <row r="384" spans="2:5" ht="15" customHeight="1">
      <c r="B384" s="94"/>
      <c r="C384" s="71" t="s">
        <v>236</v>
      </c>
      <c r="D384" s="72">
        <v>2</v>
      </c>
      <c r="E384" s="73">
        <v>8.2263902599999999E-5</v>
      </c>
    </row>
    <row r="385" spans="2:5" ht="15" customHeight="1">
      <c r="B385" s="94"/>
      <c r="C385" s="71" t="s">
        <v>239</v>
      </c>
      <c r="D385" s="72">
        <v>2</v>
      </c>
      <c r="E385" s="73">
        <v>8.2263902599999999E-5</v>
      </c>
    </row>
    <row r="386" spans="2:5" ht="15" customHeight="1">
      <c r="B386" s="94"/>
      <c r="C386" s="71" t="s">
        <v>240</v>
      </c>
      <c r="D386" s="72">
        <v>2</v>
      </c>
      <c r="E386" s="73">
        <v>8.2263902599999999E-5</v>
      </c>
    </row>
    <row r="387" spans="2:5" ht="15" customHeight="1">
      <c r="B387" s="94"/>
      <c r="C387" s="71" t="s">
        <v>243</v>
      </c>
      <c r="D387" s="72">
        <v>1</v>
      </c>
      <c r="E387" s="73">
        <v>4.1131951299999999E-5</v>
      </c>
    </row>
    <row r="388" spans="2:5" ht="15" customHeight="1">
      <c r="B388" s="95"/>
      <c r="C388" s="36" t="s">
        <v>29</v>
      </c>
      <c r="D388" s="35">
        <v>17</v>
      </c>
      <c r="E388" s="34">
        <v>6.9924317209599999E-4</v>
      </c>
    </row>
    <row r="389" spans="2:5" ht="15" customHeight="1">
      <c r="B389" s="93" t="s">
        <v>121</v>
      </c>
      <c r="C389" s="71" t="s">
        <v>224</v>
      </c>
      <c r="D389" s="72">
        <v>2</v>
      </c>
      <c r="E389" s="73">
        <v>8.2263902599999999E-5</v>
      </c>
    </row>
    <row r="390" spans="2:5" ht="15" customHeight="1">
      <c r="B390" s="94"/>
      <c r="C390" s="71" t="s">
        <v>226</v>
      </c>
      <c r="D390" s="72">
        <v>1</v>
      </c>
      <c r="E390" s="73">
        <v>4.1131951299999999E-5</v>
      </c>
    </row>
    <row r="391" spans="2:5" ht="15" customHeight="1">
      <c r="B391" s="94"/>
      <c r="C391" s="71" t="s">
        <v>227</v>
      </c>
      <c r="D391" s="72">
        <v>1</v>
      </c>
      <c r="E391" s="73">
        <v>4.1131951299999999E-5</v>
      </c>
    </row>
    <row r="392" spans="2:5" ht="15" customHeight="1">
      <c r="B392" s="94"/>
      <c r="C392" s="71" t="s">
        <v>230</v>
      </c>
      <c r="D392" s="72">
        <v>2</v>
      </c>
      <c r="E392" s="73">
        <v>8.2263902599999999E-5</v>
      </c>
    </row>
    <row r="393" spans="2:5" ht="15" customHeight="1">
      <c r="B393" s="94"/>
      <c r="C393" s="71" t="s">
        <v>235</v>
      </c>
      <c r="D393" s="72">
        <v>2</v>
      </c>
      <c r="E393" s="73">
        <v>8.2263902599999999E-5</v>
      </c>
    </row>
    <row r="394" spans="2:5" ht="15" customHeight="1">
      <c r="B394" s="94"/>
      <c r="C394" s="71" t="s">
        <v>239</v>
      </c>
      <c r="D394" s="72">
        <v>5</v>
      </c>
      <c r="E394" s="73">
        <v>2.0565975649899999E-4</v>
      </c>
    </row>
    <row r="395" spans="2:5" ht="15" customHeight="1">
      <c r="B395" s="95"/>
      <c r="C395" s="36" t="s">
        <v>29</v>
      </c>
      <c r="D395" s="35">
        <v>13</v>
      </c>
      <c r="E395" s="34">
        <v>5.3471536689700004E-4</v>
      </c>
    </row>
    <row r="396" spans="2:5" ht="15" customHeight="1">
      <c r="B396" s="93" t="s">
        <v>122</v>
      </c>
      <c r="C396" s="71" t="s">
        <v>219</v>
      </c>
      <c r="D396" s="72">
        <v>1</v>
      </c>
      <c r="E396" s="73">
        <v>4.1131951299999999E-5</v>
      </c>
    </row>
    <row r="397" spans="2:5" ht="15" customHeight="1">
      <c r="B397" s="94"/>
      <c r="C397" s="71" t="s">
        <v>221</v>
      </c>
      <c r="D397" s="72">
        <v>1</v>
      </c>
      <c r="E397" s="73">
        <v>4.1131951299999999E-5</v>
      </c>
    </row>
    <row r="398" spans="2:5" ht="15" customHeight="1">
      <c r="B398" s="94"/>
      <c r="C398" s="71" t="s">
        <v>246</v>
      </c>
      <c r="D398" s="72">
        <v>3</v>
      </c>
      <c r="E398" s="73">
        <v>1.23395853899E-4</v>
      </c>
    </row>
    <row r="399" spans="2:5" ht="15" customHeight="1">
      <c r="B399" s="94"/>
      <c r="C399" s="71" t="s">
        <v>223</v>
      </c>
      <c r="D399" s="72">
        <v>1</v>
      </c>
      <c r="E399" s="73">
        <v>4.1131951299999999E-5</v>
      </c>
    </row>
    <row r="400" spans="2:5" ht="15" customHeight="1">
      <c r="B400" s="94"/>
      <c r="C400" s="71" t="s">
        <v>247</v>
      </c>
      <c r="D400" s="72">
        <v>2</v>
      </c>
      <c r="E400" s="73">
        <v>8.2263902599999999E-5</v>
      </c>
    </row>
    <row r="401" spans="2:5" ht="15" customHeight="1">
      <c r="B401" s="94"/>
      <c r="C401" s="71" t="s">
        <v>224</v>
      </c>
      <c r="D401" s="72">
        <v>3</v>
      </c>
      <c r="E401" s="73">
        <v>1.23395853899E-4</v>
      </c>
    </row>
    <row r="402" spans="2:5" ht="15" customHeight="1">
      <c r="B402" s="94"/>
      <c r="C402" s="71" t="s">
        <v>226</v>
      </c>
      <c r="D402" s="72">
        <v>21</v>
      </c>
      <c r="E402" s="73">
        <v>8.6377097729499995E-4</v>
      </c>
    </row>
    <row r="403" spans="2:5" ht="15" customHeight="1">
      <c r="B403" s="94"/>
      <c r="C403" s="71" t="s">
        <v>227</v>
      </c>
      <c r="D403" s="72">
        <v>1</v>
      </c>
      <c r="E403" s="73">
        <v>4.1131951299999999E-5</v>
      </c>
    </row>
    <row r="404" spans="2:5" ht="15" customHeight="1">
      <c r="B404" s="94"/>
      <c r="C404" s="71" t="s">
        <v>244</v>
      </c>
      <c r="D404" s="72">
        <v>4</v>
      </c>
      <c r="E404" s="73">
        <v>1.6452780519900001E-4</v>
      </c>
    </row>
    <row r="405" spans="2:5" ht="15" customHeight="1">
      <c r="B405" s="94"/>
      <c r="C405" s="71" t="s">
        <v>248</v>
      </c>
      <c r="D405" s="72">
        <v>1</v>
      </c>
      <c r="E405" s="73">
        <v>4.1131951299999999E-5</v>
      </c>
    </row>
    <row r="406" spans="2:5" ht="15" customHeight="1">
      <c r="B406" s="94"/>
      <c r="C406" s="71" t="s">
        <v>256</v>
      </c>
      <c r="D406" s="72">
        <v>1</v>
      </c>
      <c r="E406" s="73">
        <v>4.1131951299999999E-5</v>
      </c>
    </row>
    <row r="407" spans="2:5" ht="15" customHeight="1">
      <c r="B407" s="94"/>
      <c r="C407" s="71" t="s">
        <v>228</v>
      </c>
      <c r="D407" s="72">
        <v>3</v>
      </c>
      <c r="E407" s="73">
        <v>1.23395853899E-4</v>
      </c>
    </row>
    <row r="408" spans="2:5" ht="15" customHeight="1">
      <c r="B408" s="94"/>
      <c r="C408" s="71" t="s">
        <v>230</v>
      </c>
      <c r="D408" s="72">
        <v>26</v>
      </c>
      <c r="E408" s="73">
        <v>1.0694307337940001E-3</v>
      </c>
    </row>
    <row r="409" spans="2:5" ht="15" customHeight="1">
      <c r="B409" s="94"/>
      <c r="C409" s="71" t="s">
        <v>231</v>
      </c>
      <c r="D409" s="72">
        <v>1</v>
      </c>
      <c r="E409" s="73">
        <v>4.1131951299999999E-5</v>
      </c>
    </row>
    <row r="410" spans="2:5" ht="15" customHeight="1">
      <c r="B410" s="94"/>
      <c r="C410" s="71" t="s">
        <v>252</v>
      </c>
      <c r="D410" s="72">
        <v>1</v>
      </c>
      <c r="E410" s="73">
        <v>4.1131951299999999E-5</v>
      </c>
    </row>
    <row r="411" spans="2:5" ht="15" customHeight="1">
      <c r="B411" s="94"/>
      <c r="C411" s="71" t="s">
        <v>232</v>
      </c>
      <c r="D411" s="72">
        <v>9</v>
      </c>
      <c r="E411" s="73">
        <v>3.7018756169799997E-4</v>
      </c>
    </row>
    <row r="412" spans="2:5" ht="15" customHeight="1">
      <c r="B412" s="94"/>
      <c r="C412" s="71" t="s">
        <v>233</v>
      </c>
      <c r="D412" s="72">
        <v>1</v>
      </c>
      <c r="E412" s="73">
        <v>4.1131951299999999E-5</v>
      </c>
    </row>
    <row r="413" spans="2:5" ht="15" customHeight="1">
      <c r="B413" s="94"/>
      <c r="C413" s="71" t="s">
        <v>234</v>
      </c>
      <c r="D413" s="72">
        <v>1</v>
      </c>
      <c r="E413" s="73">
        <v>4.1131951299999999E-5</v>
      </c>
    </row>
    <row r="414" spans="2:5" ht="15" customHeight="1">
      <c r="B414" s="94"/>
      <c r="C414" s="71" t="s">
        <v>261</v>
      </c>
      <c r="D414" s="72">
        <v>1</v>
      </c>
      <c r="E414" s="73">
        <v>4.1131951299999999E-5</v>
      </c>
    </row>
    <row r="415" spans="2:5" ht="15" customHeight="1">
      <c r="B415" s="94"/>
      <c r="C415" s="71" t="s">
        <v>235</v>
      </c>
      <c r="D415" s="72">
        <v>12</v>
      </c>
      <c r="E415" s="73">
        <v>4.9358341559699998E-4</v>
      </c>
    </row>
    <row r="416" spans="2:5" ht="15" customHeight="1">
      <c r="B416" s="94"/>
      <c r="C416" s="71" t="s">
        <v>236</v>
      </c>
      <c r="D416" s="72">
        <v>7</v>
      </c>
      <c r="E416" s="73">
        <v>2.8792365909800001E-4</v>
      </c>
    </row>
    <row r="417" spans="2:5" ht="15" customHeight="1">
      <c r="B417" s="94"/>
      <c r="C417" s="71" t="s">
        <v>237</v>
      </c>
      <c r="D417" s="72">
        <v>1</v>
      </c>
      <c r="E417" s="73">
        <v>4.1131951299999999E-5</v>
      </c>
    </row>
    <row r="418" spans="2:5" ht="15" customHeight="1">
      <c r="B418" s="94"/>
      <c r="C418" s="71" t="s">
        <v>239</v>
      </c>
      <c r="D418" s="72">
        <v>5</v>
      </c>
      <c r="E418" s="73">
        <v>2.0565975649899999E-4</v>
      </c>
    </row>
    <row r="419" spans="2:5" ht="15" customHeight="1">
      <c r="B419" s="94"/>
      <c r="C419" s="71" t="s">
        <v>240</v>
      </c>
      <c r="D419" s="72">
        <v>11</v>
      </c>
      <c r="E419" s="73">
        <v>4.5245146429700003E-4</v>
      </c>
    </row>
    <row r="420" spans="2:5" ht="15" customHeight="1">
      <c r="B420" s="94"/>
      <c r="C420" s="71" t="s">
        <v>241</v>
      </c>
      <c r="D420" s="72">
        <v>8</v>
      </c>
      <c r="E420" s="73">
        <v>3.2905561039800002E-4</v>
      </c>
    </row>
    <row r="421" spans="2:5" ht="15" customHeight="1">
      <c r="B421" s="94"/>
      <c r="C421" s="71" t="s">
        <v>242</v>
      </c>
      <c r="D421" s="72">
        <v>9</v>
      </c>
      <c r="E421" s="73">
        <v>3.7018756169799997E-4</v>
      </c>
    </row>
    <row r="422" spans="2:5" ht="15" customHeight="1">
      <c r="B422" s="94"/>
      <c r="C422" s="71" t="s">
        <v>245</v>
      </c>
      <c r="D422" s="72">
        <v>1</v>
      </c>
      <c r="E422" s="73">
        <v>4.1131951299999999E-5</v>
      </c>
    </row>
    <row r="423" spans="2:5" ht="15" customHeight="1">
      <c r="B423" s="94"/>
      <c r="C423" s="71" t="s">
        <v>243</v>
      </c>
      <c r="D423" s="72">
        <v>1</v>
      </c>
      <c r="E423" s="73">
        <v>4.1131951299999999E-5</v>
      </c>
    </row>
    <row r="424" spans="2:5" ht="15" customHeight="1">
      <c r="B424" s="95"/>
      <c r="C424" s="36" t="s">
        <v>29</v>
      </c>
      <c r="D424" s="35">
        <v>137</v>
      </c>
      <c r="E424" s="34">
        <v>5.6350773280680003E-3</v>
      </c>
    </row>
    <row r="425" spans="2:5" ht="15" customHeight="1">
      <c r="B425" s="93" t="s">
        <v>123</v>
      </c>
      <c r="C425" s="71" t="s">
        <v>221</v>
      </c>
      <c r="D425" s="72">
        <v>1</v>
      </c>
      <c r="E425" s="73">
        <v>4.1131951299999999E-5</v>
      </c>
    </row>
    <row r="426" spans="2:5" ht="15" customHeight="1">
      <c r="B426" s="94"/>
      <c r="C426" s="71" t="s">
        <v>224</v>
      </c>
      <c r="D426" s="72">
        <v>7</v>
      </c>
      <c r="E426" s="73">
        <v>2.8792365909800001E-4</v>
      </c>
    </row>
    <row r="427" spans="2:5" ht="15" customHeight="1">
      <c r="B427" s="94"/>
      <c r="C427" s="71" t="s">
        <v>226</v>
      </c>
      <c r="D427" s="72">
        <v>7</v>
      </c>
      <c r="E427" s="73">
        <v>2.8792365909800001E-4</v>
      </c>
    </row>
    <row r="428" spans="2:5" ht="15" customHeight="1">
      <c r="B428" s="94"/>
      <c r="C428" s="71" t="s">
        <v>244</v>
      </c>
      <c r="D428" s="72">
        <v>1</v>
      </c>
      <c r="E428" s="73">
        <v>4.1131951299999999E-5</v>
      </c>
    </row>
    <row r="429" spans="2:5" ht="15" customHeight="1">
      <c r="B429" s="94"/>
      <c r="C429" s="71" t="s">
        <v>229</v>
      </c>
      <c r="D429" s="72">
        <v>2</v>
      </c>
      <c r="E429" s="73">
        <v>8.2263902599999999E-5</v>
      </c>
    </row>
    <row r="430" spans="2:5" ht="15" customHeight="1">
      <c r="B430" s="94"/>
      <c r="C430" s="71" t="s">
        <v>230</v>
      </c>
      <c r="D430" s="72">
        <v>37</v>
      </c>
      <c r="E430" s="73">
        <v>1.521882198091E-3</v>
      </c>
    </row>
    <row r="431" spans="2:5" ht="15" customHeight="1">
      <c r="B431" s="94"/>
      <c r="C431" s="71" t="s">
        <v>253</v>
      </c>
      <c r="D431" s="72">
        <v>2</v>
      </c>
      <c r="E431" s="73">
        <v>8.2263902599999999E-5</v>
      </c>
    </row>
    <row r="432" spans="2:5" ht="15" customHeight="1">
      <c r="B432" s="94"/>
      <c r="C432" s="71" t="s">
        <v>232</v>
      </c>
      <c r="D432" s="72">
        <v>13</v>
      </c>
      <c r="E432" s="73">
        <v>5.3471536689700004E-4</v>
      </c>
    </row>
    <row r="433" spans="2:5" ht="15" customHeight="1">
      <c r="B433" s="94"/>
      <c r="C433" s="71" t="s">
        <v>235</v>
      </c>
      <c r="D433" s="72">
        <v>34</v>
      </c>
      <c r="E433" s="73">
        <v>1.398486344192E-3</v>
      </c>
    </row>
    <row r="434" spans="2:5" ht="15" customHeight="1">
      <c r="B434" s="94"/>
      <c r="C434" s="71" t="s">
        <v>236</v>
      </c>
      <c r="D434" s="72">
        <v>5</v>
      </c>
      <c r="E434" s="73">
        <v>2.0565975649899999E-4</v>
      </c>
    </row>
    <row r="435" spans="2:5" ht="15" customHeight="1">
      <c r="B435" s="94"/>
      <c r="C435" s="71" t="s">
        <v>237</v>
      </c>
      <c r="D435" s="72">
        <v>15</v>
      </c>
      <c r="E435" s="73">
        <v>6.1697926949700005E-4</v>
      </c>
    </row>
    <row r="436" spans="2:5" ht="15" customHeight="1">
      <c r="B436" s="94"/>
      <c r="C436" s="71" t="s">
        <v>238</v>
      </c>
      <c r="D436" s="72">
        <v>4</v>
      </c>
      <c r="E436" s="73">
        <v>1.6452780519900001E-4</v>
      </c>
    </row>
    <row r="437" spans="2:5" ht="15" customHeight="1">
      <c r="B437" s="94"/>
      <c r="C437" s="71" t="s">
        <v>239</v>
      </c>
      <c r="D437" s="72">
        <v>11</v>
      </c>
      <c r="E437" s="73">
        <v>4.5245146429700003E-4</v>
      </c>
    </row>
    <row r="438" spans="2:5" ht="15" customHeight="1">
      <c r="B438" s="94"/>
      <c r="C438" s="71" t="s">
        <v>241</v>
      </c>
      <c r="D438" s="72">
        <v>8</v>
      </c>
      <c r="E438" s="73">
        <v>3.2905561039800002E-4</v>
      </c>
    </row>
    <row r="439" spans="2:5" ht="15" customHeight="1">
      <c r="B439" s="94"/>
      <c r="C439" s="71" t="s">
        <v>242</v>
      </c>
      <c r="D439" s="72">
        <v>5</v>
      </c>
      <c r="E439" s="73">
        <v>2.0565975649899999E-4</v>
      </c>
    </row>
    <row r="440" spans="2:5" ht="15" customHeight="1">
      <c r="B440" s="94"/>
      <c r="C440" s="71" t="s">
        <v>245</v>
      </c>
      <c r="D440" s="72">
        <v>1</v>
      </c>
      <c r="E440" s="73">
        <v>4.1131951299999999E-5</v>
      </c>
    </row>
    <row r="441" spans="2:5" ht="15" customHeight="1">
      <c r="B441" s="95"/>
      <c r="C441" s="36" t="s">
        <v>29</v>
      </c>
      <c r="D441" s="35">
        <v>153</v>
      </c>
      <c r="E441" s="34">
        <v>6.2931885488650002E-3</v>
      </c>
    </row>
    <row r="442" spans="2:5" ht="15" customHeight="1">
      <c r="B442" s="93" t="s">
        <v>124</v>
      </c>
      <c r="C442" s="71" t="s">
        <v>221</v>
      </c>
      <c r="D442" s="72">
        <v>1</v>
      </c>
      <c r="E442" s="73">
        <v>4.1131951299999999E-5</v>
      </c>
    </row>
    <row r="443" spans="2:5" ht="15" customHeight="1">
      <c r="B443" s="94"/>
      <c r="C443" s="71" t="s">
        <v>223</v>
      </c>
      <c r="D443" s="72">
        <v>28</v>
      </c>
      <c r="E443" s="73">
        <v>1.151694636394E-3</v>
      </c>
    </row>
    <row r="444" spans="2:5" ht="15" customHeight="1">
      <c r="B444" s="94"/>
      <c r="C444" s="71" t="s">
        <v>260</v>
      </c>
      <c r="D444" s="72">
        <v>1</v>
      </c>
      <c r="E444" s="73">
        <v>4.1131951299999999E-5</v>
      </c>
    </row>
    <row r="445" spans="2:5" ht="15" customHeight="1">
      <c r="B445" s="94"/>
      <c r="C445" s="71" t="s">
        <v>224</v>
      </c>
      <c r="D445" s="72">
        <v>6</v>
      </c>
      <c r="E445" s="73">
        <v>2.4679170779900002E-4</v>
      </c>
    </row>
    <row r="446" spans="2:5" ht="15" customHeight="1">
      <c r="B446" s="94"/>
      <c r="C446" s="71" t="s">
        <v>226</v>
      </c>
      <c r="D446" s="72">
        <v>9</v>
      </c>
      <c r="E446" s="73">
        <v>3.7018756169799997E-4</v>
      </c>
    </row>
    <row r="447" spans="2:5" ht="15" customHeight="1">
      <c r="B447" s="94"/>
      <c r="C447" s="71" t="s">
        <v>227</v>
      </c>
      <c r="D447" s="72">
        <v>4</v>
      </c>
      <c r="E447" s="73">
        <v>1.6452780519900001E-4</v>
      </c>
    </row>
    <row r="448" spans="2:5" ht="15" customHeight="1">
      <c r="B448" s="94"/>
      <c r="C448" s="71" t="s">
        <v>244</v>
      </c>
      <c r="D448" s="72">
        <v>1</v>
      </c>
      <c r="E448" s="73">
        <v>4.1131951299999999E-5</v>
      </c>
    </row>
    <row r="449" spans="2:5" ht="15" customHeight="1">
      <c r="B449" s="94"/>
      <c r="C449" s="71" t="s">
        <v>256</v>
      </c>
      <c r="D449" s="72">
        <v>1</v>
      </c>
      <c r="E449" s="73">
        <v>4.1131951299999999E-5</v>
      </c>
    </row>
    <row r="450" spans="2:5" ht="15" customHeight="1">
      <c r="B450" s="94"/>
      <c r="C450" s="71" t="s">
        <v>250</v>
      </c>
      <c r="D450" s="72">
        <v>1</v>
      </c>
      <c r="E450" s="73">
        <v>4.1131951299999999E-5</v>
      </c>
    </row>
    <row r="451" spans="2:5" ht="15" customHeight="1">
      <c r="B451" s="94"/>
      <c r="C451" s="71" t="s">
        <v>230</v>
      </c>
      <c r="D451" s="72">
        <v>16</v>
      </c>
      <c r="E451" s="73">
        <v>6.5811122079600004E-4</v>
      </c>
    </row>
    <row r="452" spans="2:5" ht="15" customHeight="1">
      <c r="B452" s="94"/>
      <c r="C452" s="71" t="s">
        <v>232</v>
      </c>
      <c r="D452" s="72">
        <v>3</v>
      </c>
      <c r="E452" s="73">
        <v>1.23395853899E-4</v>
      </c>
    </row>
    <row r="453" spans="2:5" ht="15" customHeight="1">
      <c r="B453" s="94"/>
      <c r="C453" s="71" t="s">
        <v>233</v>
      </c>
      <c r="D453" s="72">
        <v>1</v>
      </c>
      <c r="E453" s="73">
        <v>4.1131951299999999E-5</v>
      </c>
    </row>
    <row r="454" spans="2:5" ht="15" customHeight="1">
      <c r="B454" s="94"/>
      <c r="C454" s="71" t="s">
        <v>234</v>
      </c>
      <c r="D454" s="72">
        <v>2</v>
      </c>
      <c r="E454" s="73">
        <v>8.2263902599999999E-5</v>
      </c>
    </row>
    <row r="455" spans="2:5" ht="15" customHeight="1">
      <c r="B455" s="94"/>
      <c r="C455" s="71" t="s">
        <v>235</v>
      </c>
      <c r="D455" s="72">
        <v>14</v>
      </c>
      <c r="E455" s="73">
        <v>5.7584731819699999E-4</v>
      </c>
    </row>
    <row r="456" spans="2:5" ht="15" customHeight="1">
      <c r="B456" s="94"/>
      <c r="C456" s="71" t="s">
        <v>236</v>
      </c>
      <c r="D456" s="72">
        <v>6</v>
      </c>
      <c r="E456" s="73">
        <v>2.4679170779900002E-4</v>
      </c>
    </row>
    <row r="457" spans="2:5" ht="15" customHeight="1">
      <c r="B457" s="94"/>
      <c r="C457" s="71" t="s">
        <v>237</v>
      </c>
      <c r="D457" s="72">
        <v>7</v>
      </c>
      <c r="E457" s="73">
        <v>2.8792365909800001E-4</v>
      </c>
    </row>
    <row r="458" spans="2:5" ht="15" customHeight="1">
      <c r="B458" s="94"/>
      <c r="C458" s="71" t="s">
        <v>238</v>
      </c>
      <c r="D458" s="72">
        <v>3</v>
      </c>
      <c r="E458" s="73">
        <v>1.23395853899E-4</v>
      </c>
    </row>
    <row r="459" spans="2:5" ht="15" customHeight="1">
      <c r="B459" s="94"/>
      <c r="C459" s="71" t="s">
        <v>239</v>
      </c>
      <c r="D459" s="72">
        <v>9</v>
      </c>
      <c r="E459" s="73">
        <v>3.7018756169799997E-4</v>
      </c>
    </row>
    <row r="460" spans="2:5" ht="15" customHeight="1">
      <c r="B460" s="94"/>
      <c r="C460" s="71" t="s">
        <v>240</v>
      </c>
      <c r="D460" s="72">
        <v>20</v>
      </c>
      <c r="E460" s="73">
        <v>8.22639025995E-4</v>
      </c>
    </row>
    <row r="461" spans="2:5" ht="15" customHeight="1">
      <c r="B461" s="94"/>
      <c r="C461" s="71" t="s">
        <v>241</v>
      </c>
      <c r="D461" s="72">
        <v>6</v>
      </c>
      <c r="E461" s="73">
        <v>2.4679170779900002E-4</v>
      </c>
    </row>
    <row r="462" spans="2:5" ht="15" customHeight="1">
      <c r="B462" s="94"/>
      <c r="C462" s="71" t="s">
        <v>242</v>
      </c>
      <c r="D462" s="72">
        <v>10</v>
      </c>
      <c r="E462" s="73">
        <v>4.1131951299799998E-4</v>
      </c>
    </row>
    <row r="463" spans="2:5" ht="15" customHeight="1">
      <c r="B463" s="95"/>
      <c r="C463" s="36" t="s">
        <v>29</v>
      </c>
      <c r="D463" s="35">
        <v>149</v>
      </c>
      <c r="E463" s="34">
        <v>6.1286607436659996E-3</v>
      </c>
    </row>
    <row r="464" spans="2:5" ht="15" customHeight="1">
      <c r="B464" s="93" t="s">
        <v>125</v>
      </c>
      <c r="C464" s="71" t="s">
        <v>220</v>
      </c>
      <c r="D464" s="72">
        <v>3</v>
      </c>
      <c r="E464" s="73">
        <v>1.23395853899E-4</v>
      </c>
    </row>
    <row r="465" spans="2:5" ht="15" customHeight="1">
      <c r="B465" s="94"/>
      <c r="C465" s="71" t="s">
        <v>221</v>
      </c>
      <c r="D465" s="72">
        <v>1</v>
      </c>
      <c r="E465" s="73">
        <v>4.1131951299999999E-5</v>
      </c>
    </row>
    <row r="466" spans="2:5" ht="15" customHeight="1">
      <c r="B466" s="94"/>
      <c r="C466" s="71" t="s">
        <v>223</v>
      </c>
      <c r="D466" s="72">
        <v>1</v>
      </c>
      <c r="E466" s="73">
        <v>4.1131951299999999E-5</v>
      </c>
    </row>
    <row r="467" spans="2:5" ht="15" customHeight="1">
      <c r="B467" s="94"/>
      <c r="C467" s="71" t="s">
        <v>224</v>
      </c>
      <c r="D467" s="72">
        <v>2</v>
      </c>
      <c r="E467" s="73">
        <v>8.2263902599999999E-5</v>
      </c>
    </row>
    <row r="468" spans="2:5" ht="15" customHeight="1">
      <c r="B468" s="94"/>
      <c r="C468" s="71" t="s">
        <v>226</v>
      </c>
      <c r="D468" s="72">
        <v>17</v>
      </c>
      <c r="E468" s="73">
        <v>6.9924317209599999E-4</v>
      </c>
    </row>
    <row r="469" spans="2:5" ht="15" customHeight="1">
      <c r="B469" s="94"/>
      <c r="C469" s="71" t="s">
        <v>227</v>
      </c>
      <c r="D469" s="72">
        <v>3</v>
      </c>
      <c r="E469" s="73">
        <v>1.23395853899E-4</v>
      </c>
    </row>
    <row r="470" spans="2:5" ht="15" customHeight="1">
      <c r="B470" s="94"/>
      <c r="C470" s="71" t="s">
        <v>244</v>
      </c>
      <c r="D470" s="72">
        <v>1</v>
      </c>
      <c r="E470" s="73">
        <v>4.1131951299999999E-5</v>
      </c>
    </row>
    <row r="471" spans="2:5" ht="15" customHeight="1">
      <c r="B471" s="94"/>
      <c r="C471" s="71" t="s">
        <v>248</v>
      </c>
      <c r="D471" s="72">
        <v>1</v>
      </c>
      <c r="E471" s="73">
        <v>4.1131951299999999E-5</v>
      </c>
    </row>
    <row r="472" spans="2:5" ht="15" customHeight="1">
      <c r="B472" s="94"/>
      <c r="C472" s="71" t="s">
        <v>228</v>
      </c>
      <c r="D472" s="72">
        <v>1</v>
      </c>
      <c r="E472" s="73">
        <v>4.1131951299999999E-5</v>
      </c>
    </row>
    <row r="473" spans="2:5" ht="15" customHeight="1">
      <c r="B473" s="94"/>
      <c r="C473" s="71" t="s">
        <v>250</v>
      </c>
      <c r="D473" s="72">
        <v>1</v>
      </c>
      <c r="E473" s="73">
        <v>4.1131951299999999E-5</v>
      </c>
    </row>
    <row r="474" spans="2:5" ht="15" customHeight="1">
      <c r="B474" s="94"/>
      <c r="C474" s="71" t="s">
        <v>229</v>
      </c>
      <c r="D474" s="72">
        <v>6</v>
      </c>
      <c r="E474" s="73">
        <v>2.4679170779900002E-4</v>
      </c>
    </row>
    <row r="475" spans="2:5" ht="15" customHeight="1">
      <c r="B475" s="94"/>
      <c r="C475" s="71" t="s">
        <v>230</v>
      </c>
      <c r="D475" s="72">
        <v>11</v>
      </c>
      <c r="E475" s="73">
        <v>4.5245146429700003E-4</v>
      </c>
    </row>
    <row r="476" spans="2:5" ht="15" customHeight="1">
      <c r="B476" s="94"/>
      <c r="C476" s="71" t="s">
        <v>231</v>
      </c>
      <c r="D476" s="72">
        <v>1</v>
      </c>
      <c r="E476" s="73">
        <v>4.1131951299999999E-5</v>
      </c>
    </row>
    <row r="477" spans="2:5" ht="15" customHeight="1">
      <c r="B477" s="94"/>
      <c r="C477" s="71" t="s">
        <v>254</v>
      </c>
      <c r="D477" s="72">
        <v>2</v>
      </c>
      <c r="E477" s="73">
        <v>8.2263902599999999E-5</v>
      </c>
    </row>
    <row r="478" spans="2:5" ht="15" customHeight="1">
      <c r="B478" s="94"/>
      <c r="C478" s="71" t="s">
        <v>232</v>
      </c>
      <c r="D478" s="72">
        <v>5</v>
      </c>
      <c r="E478" s="73">
        <v>2.0565975649899999E-4</v>
      </c>
    </row>
    <row r="479" spans="2:5" ht="15" customHeight="1">
      <c r="B479" s="94"/>
      <c r="C479" s="71" t="s">
        <v>234</v>
      </c>
      <c r="D479" s="72">
        <v>9</v>
      </c>
      <c r="E479" s="73">
        <v>3.7018756169799997E-4</v>
      </c>
    </row>
    <row r="480" spans="2:5" ht="15" customHeight="1">
      <c r="B480" s="94"/>
      <c r="C480" s="71" t="s">
        <v>261</v>
      </c>
      <c r="D480" s="72">
        <v>4</v>
      </c>
      <c r="E480" s="73">
        <v>1.6452780519900001E-4</v>
      </c>
    </row>
    <row r="481" spans="2:5" ht="15" customHeight="1">
      <c r="B481" s="94"/>
      <c r="C481" s="71" t="s">
        <v>235</v>
      </c>
      <c r="D481" s="72">
        <v>9</v>
      </c>
      <c r="E481" s="73">
        <v>3.7018756169799997E-4</v>
      </c>
    </row>
    <row r="482" spans="2:5" ht="15" customHeight="1">
      <c r="B482" s="94"/>
      <c r="C482" s="71" t="s">
        <v>236</v>
      </c>
      <c r="D482" s="72">
        <v>3</v>
      </c>
      <c r="E482" s="73">
        <v>1.23395853899E-4</v>
      </c>
    </row>
    <row r="483" spans="2:5" ht="15" customHeight="1">
      <c r="B483" s="94"/>
      <c r="C483" s="71" t="s">
        <v>259</v>
      </c>
      <c r="D483" s="72">
        <v>2</v>
      </c>
      <c r="E483" s="73">
        <v>8.2263902599999999E-5</v>
      </c>
    </row>
    <row r="484" spans="2:5" ht="15" customHeight="1">
      <c r="B484" s="94"/>
      <c r="C484" s="71" t="s">
        <v>237</v>
      </c>
      <c r="D484" s="72">
        <v>4</v>
      </c>
      <c r="E484" s="73">
        <v>1.6452780519900001E-4</v>
      </c>
    </row>
    <row r="485" spans="2:5" ht="15" customHeight="1">
      <c r="B485" s="94"/>
      <c r="C485" s="71" t="s">
        <v>238</v>
      </c>
      <c r="D485" s="72">
        <v>1</v>
      </c>
      <c r="E485" s="73">
        <v>4.1131951299999999E-5</v>
      </c>
    </row>
    <row r="486" spans="2:5" ht="15" customHeight="1">
      <c r="B486" s="94"/>
      <c r="C486" s="71" t="s">
        <v>239</v>
      </c>
      <c r="D486" s="72">
        <v>5</v>
      </c>
      <c r="E486" s="73">
        <v>2.0565975649899999E-4</v>
      </c>
    </row>
    <row r="487" spans="2:5" ht="15" customHeight="1">
      <c r="B487" s="94"/>
      <c r="C487" s="71" t="s">
        <v>240</v>
      </c>
      <c r="D487" s="72">
        <v>5</v>
      </c>
      <c r="E487" s="73">
        <v>2.0565975649899999E-4</v>
      </c>
    </row>
    <row r="488" spans="2:5" ht="15" customHeight="1">
      <c r="B488" s="94"/>
      <c r="C488" s="71" t="s">
        <v>241</v>
      </c>
      <c r="D488" s="72">
        <v>1</v>
      </c>
      <c r="E488" s="73">
        <v>4.1131951299999999E-5</v>
      </c>
    </row>
    <row r="489" spans="2:5" ht="15" customHeight="1">
      <c r="B489" s="94"/>
      <c r="C489" s="71" t="s">
        <v>242</v>
      </c>
      <c r="D489" s="72">
        <v>18</v>
      </c>
      <c r="E489" s="73">
        <v>7.4037512339599995E-4</v>
      </c>
    </row>
    <row r="490" spans="2:5" ht="15" customHeight="1">
      <c r="B490" s="95"/>
      <c r="C490" s="36" t="s">
        <v>29</v>
      </c>
      <c r="D490" s="35">
        <v>117</v>
      </c>
      <c r="E490" s="34">
        <v>4.8124383020729999E-3</v>
      </c>
    </row>
    <row r="491" spans="2:5" ht="15" customHeight="1">
      <c r="B491" s="93" t="s">
        <v>126</v>
      </c>
      <c r="C491" s="71" t="s">
        <v>242</v>
      </c>
      <c r="D491" s="72">
        <v>2</v>
      </c>
      <c r="E491" s="73">
        <v>8.2263902599999999E-5</v>
      </c>
    </row>
    <row r="492" spans="2:5" ht="15" customHeight="1">
      <c r="B492" s="95"/>
      <c r="C492" s="36" t="s">
        <v>29</v>
      </c>
      <c r="D492" s="35">
        <v>2</v>
      </c>
      <c r="E492" s="34">
        <v>8.2263902599999999E-5</v>
      </c>
    </row>
    <row r="493" spans="2:5" ht="15" customHeight="1">
      <c r="B493" s="93" t="s">
        <v>127</v>
      </c>
      <c r="C493" s="71" t="s">
        <v>220</v>
      </c>
      <c r="D493" s="72">
        <v>1</v>
      </c>
      <c r="E493" s="73">
        <v>4.1131951299999999E-5</v>
      </c>
    </row>
    <row r="494" spans="2:5" ht="15" customHeight="1">
      <c r="B494" s="94"/>
      <c r="C494" s="71" t="s">
        <v>221</v>
      </c>
      <c r="D494" s="72">
        <v>1</v>
      </c>
      <c r="E494" s="73">
        <v>4.1131951299999999E-5</v>
      </c>
    </row>
    <row r="495" spans="2:5" ht="15" customHeight="1">
      <c r="B495" s="94"/>
      <c r="C495" s="71" t="s">
        <v>247</v>
      </c>
      <c r="D495" s="72">
        <v>1</v>
      </c>
      <c r="E495" s="73">
        <v>4.1131951299999999E-5</v>
      </c>
    </row>
    <row r="496" spans="2:5" ht="15" customHeight="1">
      <c r="B496" s="94"/>
      <c r="C496" s="71" t="s">
        <v>224</v>
      </c>
      <c r="D496" s="72">
        <v>2</v>
      </c>
      <c r="E496" s="73">
        <v>8.2263902599999999E-5</v>
      </c>
    </row>
    <row r="497" spans="2:5" ht="15" customHeight="1">
      <c r="B497" s="94"/>
      <c r="C497" s="71" t="s">
        <v>226</v>
      </c>
      <c r="D497" s="72">
        <v>3</v>
      </c>
      <c r="E497" s="73">
        <v>1.23395853899E-4</v>
      </c>
    </row>
    <row r="498" spans="2:5" ht="15" customHeight="1">
      <c r="B498" s="94"/>
      <c r="C498" s="71" t="s">
        <v>229</v>
      </c>
      <c r="D498" s="72">
        <v>2</v>
      </c>
      <c r="E498" s="73">
        <v>8.2263902599999999E-5</v>
      </c>
    </row>
    <row r="499" spans="2:5" ht="15" customHeight="1">
      <c r="B499" s="94"/>
      <c r="C499" s="71" t="s">
        <v>230</v>
      </c>
      <c r="D499" s="72">
        <v>11</v>
      </c>
      <c r="E499" s="73">
        <v>4.5245146429700003E-4</v>
      </c>
    </row>
    <row r="500" spans="2:5" ht="15" customHeight="1">
      <c r="B500" s="94"/>
      <c r="C500" s="71" t="s">
        <v>232</v>
      </c>
      <c r="D500" s="72">
        <v>1</v>
      </c>
      <c r="E500" s="73">
        <v>4.1131951299999999E-5</v>
      </c>
    </row>
    <row r="501" spans="2:5" ht="15" customHeight="1">
      <c r="B501" s="94"/>
      <c r="C501" s="71" t="s">
        <v>235</v>
      </c>
      <c r="D501" s="72">
        <v>4</v>
      </c>
      <c r="E501" s="73">
        <v>1.6452780519900001E-4</v>
      </c>
    </row>
    <row r="502" spans="2:5" ht="15" customHeight="1">
      <c r="B502" s="94"/>
      <c r="C502" s="71" t="s">
        <v>236</v>
      </c>
      <c r="D502" s="72">
        <v>1</v>
      </c>
      <c r="E502" s="73">
        <v>4.1131951299999999E-5</v>
      </c>
    </row>
    <row r="503" spans="2:5" ht="15" customHeight="1">
      <c r="B503" s="94"/>
      <c r="C503" s="71" t="s">
        <v>237</v>
      </c>
      <c r="D503" s="72">
        <v>1</v>
      </c>
      <c r="E503" s="73">
        <v>4.1131951299999999E-5</v>
      </c>
    </row>
    <row r="504" spans="2:5" ht="15" customHeight="1">
      <c r="B504" s="94"/>
      <c r="C504" s="71" t="s">
        <v>238</v>
      </c>
      <c r="D504" s="72">
        <v>1</v>
      </c>
      <c r="E504" s="73">
        <v>4.1131951299999999E-5</v>
      </c>
    </row>
    <row r="505" spans="2:5" ht="15" customHeight="1">
      <c r="B505" s="94"/>
      <c r="C505" s="71" t="s">
        <v>239</v>
      </c>
      <c r="D505" s="72">
        <v>5</v>
      </c>
      <c r="E505" s="73">
        <v>2.0565975649899999E-4</v>
      </c>
    </row>
    <row r="506" spans="2:5" ht="15" customHeight="1">
      <c r="B506" s="94"/>
      <c r="C506" s="71" t="s">
        <v>240</v>
      </c>
      <c r="D506" s="72">
        <v>1</v>
      </c>
      <c r="E506" s="73">
        <v>4.1131951299999999E-5</v>
      </c>
    </row>
    <row r="507" spans="2:5" ht="15" customHeight="1">
      <c r="B507" s="94"/>
      <c r="C507" s="71" t="s">
        <v>241</v>
      </c>
      <c r="D507" s="72">
        <v>2</v>
      </c>
      <c r="E507" s="73">
        <v>8.2263902599999999E-5</v>
      </c>
    </row>
    <row r="508" spans="2:5" ht="15" customHeight="1">
      <c r="B508" s="94"/>
      <c r="C508" s="71" t="s">
        <v>242</v>
      </c>
      <c r="D508" s="72">
        <v>3</v>
      </c>
      <c r="E508" s="73">
        <v>1.23395853899E-4</v>
      </c>
    </row>
    <row r="509" spans="2:5" ht="15" customHeight="1">
      <c r="B509" s="94"/>
      <c r="C509" s="71" t="s">
        <v>243</v>
      </c>
      <c r="D509" s="72">
        <v>1</v>
      </c>
      <c r="E509" s="73">
        <v>4.1131951299999999E-5</v>
      </c>
    </row>
    <row r="510" spans="2:5" ht="15" customHeight="1">
      <c r="B510" s="95"/>
      <c r="C510" s="36" t="s">
        <v>29</v>
      </c>
      <c r="D510" s="35">
        <v>41</v>
      </c>
      <c r="E510" s="34">
        <v>1.686410003291E-3</v>
      </c>
    </row>
    <row r="511" spans="2:5" ht="15" customHeight="1">
      <c r="B511" s="93" t="s">
        <v>128</v>
      </c>
      <c r="C511" s="71" t="s">
        <v>219</v>
      </c>
      <c r="D511" s="72">
        <v>1</v>
      </c>
      <c r="E511" s="73">
        <v>4.1131951299999999E-5</v>
      </c>
    </row>
    <row r="512" spans="2:5" ht="15" customHeight="1">
      <c r="B512" s="94"/>
      <c r="C512" s="71" t="s">
        <v>221</v>
      </c>
      <c r="D512" s="72">
        <v>4</v>
      </c>
      <c r="E512" s="73">
        <v>1.6452780519900001E-4</v>
      </c>
    </row>
    <row r="513" spans="2:5" ht="15" customHeight="1">
      <c r="B513" s="94"/>
      <c r="C513" s="71" t="s">
        <v>224</v>
      </c>
      <c r="D513" s="72">
        <v>3</v>
      </c>
      <c r="E513" s="73">
        <v>1.23395853899E-4</v>
      </c>
    </row>
    <row r="514" spans="2:5" ht="15" customHeight="1">
      <c r="B514" s="94"/>
      <c r="C514" s="71" t="s">
        <v>226</v>
      </c>
      <c r="D514" s="72">
        <v>4</v>
      </c>
      <c r="E514" s="73">
        <v>1.6452780519900001E-4</v>
      </c>
    </row>
    <row r="515" spans="2:5" ht="15" customHeight="1">
      <c r="B515" s="94"/>
      <c r="C515" s="71" t="s">
        <v>227</v>
      </c>
      <c r="D515" s="72">
        <v>1</v>
      </c>
      <c r="E515" s="73">
        <v>4.1131951299999999E-5</v>
      </c>
    </row>
    <row r="516" spans="2:5" ht="15" customHeight="1">
      <c r="B516" s="94"/>
      <c r="C516" s="71" t="s">
        <v>256</v>
      </c>
      <c r="D516" s="72">
        <v>1</v>
      </c>
      <c r="E516" s="73">
        <v>4.1131951299999999E-5</v>
      </c>
    </row>
    <row r="517" spans="2:5" ht="15" customHeight="1">
      <c r="B517" s="94"/>
      <c r="C517" s="71" t="s">
        <v>230</v>
      </c>
      <c r="D517" s="72">
        <v>4</v>
      </c>
      <c r="E517" s="73">
        <v>1.6452780519900001E-4</v>
      </c>
    </row>
    <row r="518" spans="2:5" ht="15" customHeight="1">
      <c r="B518" s="94"/>
      <c r="C518" s="71" t="s">
        <v>232</v>
      </c>
      <c r="D518" s="72">
        <v>2</v>
      </c>
      <c r="E518" s="73">
        <v>8.2263902599999999E-5</v>
      </c>
    </row>
    <row r="519" spans="2:5" ht="15" customHeight="1">
      <c r="B519" s="94"/>
      <c r="C519" s="71" t="s">
        <v>235</v>
      </c>
      <c r="D519" s="72">
        <v>2</v>
      </c>
      <c r="E519" s="73">
        <v>8.2263902599999999E-5</v>
      </c>
    </row>
    <row r="520" spans="2:5" ht="15" customHeight="1">
      <c r="B520" s="94"/>
      <c r="C520" s="71" t="s">
        <v>237</v>
      </c>
      <c r="D520" s="72">
        <v>3</v>
      </c>
      <c r="E520" s="73">
        <v>1.23395853899E-4</v>
      </c>
    </row>
    <row r="521" spans="2:5" ht="15" customHeight="1">
      <c r="B521" s="94"/>
      <c r="C521" s="71" t="s">
        <v>239</v>
      </c>
      <c r="D521" s="72">
        <v>7</v>
      </c>
      <c r="E521" s="73">
        <v>2.8792365909800001E-4</v>
      </c>
    </row>
    <row r="522" spans="2:5" ht="15" customHeight="1">
      <c r="B522" s="94"/>
      <c r="C522" s="71" t="s">
        <v>242</v>
      </c>
      <c r="D522" s="72">
        <v>5</v>
      </c>
      <c r="E522" s="73">
        <v>2.0565975649899999E-4</v>
      </c>
    </row>
    <row r="523" spans="2:5" ht="15" customHeight="1">
      <c r="B523" s="95"/>
      <c r="C523" s="36" t="s">
        <v>29</v>
      </c>
      <c r="D523" s="35">
        <v>37</v>
      </c>
      <c r="E523" s="34">
        <v>1.521882198091E-3</v>
      </c>
    </row>
    <row r="524" spans="2:5" ht="15" customHeight="1">
      <c r="B524" s="93" t="s">
        <v>129</v>
      </c>
      <c r="C524" s="71" t="s">
        <v>219</v>
      </c>
      <c r="D524" s="72">
        <v>1</v>
      </c>
      <c r="E524" s="73">
        <v>4.1131951299999999E-5</v>
      </c>
    </row>
    <row r="525" spans="2:5" ht="15" customHeight="1">
      <c r="B525" s="94"/>
      <c r="C525" s="71" t="s">
        <v>221</v>
      </c>
      <c r="D525" s="72">
        <v>2</v>
      </c>
      <c r="E525" s="73">
        <v>8.2263902599999999E-5</v>
      </c>
    </row>
    <row r="526" spans="2:5" ht="15" customHeight="1">
      <c r="B526" s="94"/>
      <c r="C526" s="71" t="s">
        <v>224</v>
      </c>
      <c r="D526" s="72">
        <v>3</v>
      </c>
      <c r="E526" s="73">
        <v>1.23395853899E-4</v>
      </c>
    </row>
    <row r="527" spans="2:5" ht="15" customHeight="1">
      <c r="B527" s="94"/>
      <c r="C527" s="71" t="s">
        <v>226</v>
      </c>
      <c r="D527" s="72">
        <v>1</v>
      </c>
      <c r="E527" s="73">
        <v>4.1131951299999999E-5</v>
      </c>
    </row>
    <row r="528" spans="2:5" ht="15" customHeight="1">
      <c r="B528" s="94"/>
      <c r="C528" s="71" t="s">
        <v>227</v>
      </c>
      <c r="D528" s="72">
        <v>2</v>
      </c>
      <c r="E528" s="73">
        <v>8.2263902599999999E-5</v>
      </c>
    </row>
    <row r="529" spans="2:5" ht="15" customHeight="1">
      <c r="B529" s="94"/>
      <c r="C529" s="71" t="s">
        <v>262</v>
      </c>
      <c r="D529" s="72">
        <v>1</v>
      </c>
      <c r="E529" s="73">
        <v>4.1131951299999999E-5</v>
      </c>
    </row>
    <row r="530" spans="2:5" ht="15" customHeight="1">
      <c r="B530" s="94"/>
      <c r="C530" s="71" t="s">
        <v>228</v>
      </c>
      <c r="D530" s="72">
        <v>1</v>
      </c>
      <c r="E530" s="73">
        <v>4.1131951299999999E-5</v>
      </c>
    </row>
    <row r="531" spans="2:5" ht="15" customHeight="1">
      <c r="B531" s="94"/>
      <c r="C531" s="71" t="s">
        <v>230</v>
      </c>
      <c r="D531" s="72">
        <v>8</v>
      </c>
      <c r="E531" s="73">
        <v>3.2905561039800002E-4</v>
      </c>
    </row>
    <row r="532" spans="2:5" ht="15" customHeight="1">
      <c r="B532" s="94"/>
      <c r="C532" s="71" t="s">
        <v>232</v>
      </c>
      <c r="D532" s="72">
        <v>3</v>
      </c>
      <c r="E532" s="73">
        <v>1.23395853899E-4</v>
      </c>
    </row>
    <row r="533" spans="2:5" ht="15" customHeight="1">
      <c r="B533" s="94"/>
      <c r="C533" s="71" t="s">
        <v>235</v>
      </c>
      <c r="D533" s="72">
        <v>4</v>
      </c>
      <c r="E533" s="73">
        <v>1.6452780519900001E-4</v>
      </c>
    </row>
    <row r="534" spans="2:5" ht="15" customHeight="1">
      <c r="B534" s="94"/>
      <c r="C534" s="71" t="s">
        <v>237</v>
      </c>
      <c r="D534" s="72">
        <v>2</v>
      </c>
      <c r="E534" s="73">
        <v>8.2263902599999999E-5</v>
      </c>
    </row>
    <row r="535" spans="2:5" ht="15" customHeight="1">
      <c r="B535" s="94"/>
      <c r="C535" s="71" t="s">
        <v>239</v>
      </c>
      <c r="D535" s="72">
        <v>8</v>
      </c>
      <c r="E535" s="73">
        <v>3.2905561039800002E-4</v>
      </c>
    </row>
    <row r="536" spans="2:5" ht="15" customHeight="1">
      <c r="B536" s="94"/>
      <c r="C536" s="71" t="s">
        <v>241</v>
      </c>
      <c r="D536" s="72">
        <v>4</v>
      </c>
      <c r="E536" s="73">
        <v>1.6452780519900001E-4</v>
      </c>
    </row>
    <row r="537" spans="2:5" ht="15" customHeight="1">
      <c r="B537" s="94"/>
      <c r="C537" s="71" t="s">
        <v>242</v>
      </c>
      <c r="D537" s="72">
        <v>1</v>
      </c>
      <c r="E537" s="73">
        <v>4.1131951299999999E-5</v>
      </c>
    </row>
    <row r="538" spans="2:5" ht="15" customHeight="1">
      <c r="B538" s="95"/>
      <c r="C538" s="36" t="s">
        <v>29</v>
      </c>
      <c r="D538" s="35">
        <v>41</v>
      </c>
      <c r="E538" s="34">
        <v>1.686410003291E-3</v>
      </c>
    </row>
    <row r="539" spans="2:5" ht="15" customHeight="1">
      <c r="B539" s="93" t="s">
        <v>130</v>
      </c>
      <c r="C539" s="71" t="s">
        <v>226</v>
      </c>
      <c r="D539" s="72">
        <v>2</v>
      </c>
      <c r="E539" s="73">
        <v>8.2263902599999999E-5</v>
      </c>
    </row>
    <row r="540" spans="2:5" ht="15" customHeight="1">
      <c r="B540" s="94"/>
      <c r="C540" s="71" t="s">
        <v>228</v>
      </c>
      <c r="D540" s="72">
        <v>1</v>
      </c>
      <c r="E540" s="73">
        <v>4.1131951299999999E-5</v>
      </c>
    </row>
    <row r="541" spans="2:5" ht="15" customHeight="1">
      <c r="B541" s="94"/>
      <c r="C541" s="71" t="s">
        <v>230</v>
      </c>
      <c r="D541" s="72">
        <v>1</v>
      </c>
      <c r="E541" s="73">
        <v>4.1131951299999999E-5</v>
      </c>
    </row>
    <row r="542" spans="2:5" ht="15" customHeight="1">
      <c r="B542" s="94"/>
      <c r="C542" s="71" t="s">
        <v>232</v>
      </c>
      <c r="D542" s="72">
        <v>1</v>
      </c>
      <c r="E542" s="73">
        <v>4.1131951299999999E-5</v>
      </c>
    </row>
    <row r="543" spans="2:5" ht="15" customHeight="1">
      <c r="B543" s="94"/>
      <c r="C543" s="71" t="s">
        <v>235</v>
      </c>
      <c r="D543" s="72">
        <v>2</v>
      </c>
      <c r="E543" s="73">
        <v>8.2263902599999999E-5</v>
      </c>
    </row>
    <row r="544" spans="2:5" ht="15" customHeight="1">
      <c r="B544" s="94"/>
      <c r="C544" s="71" t="s">
        <v>236</v>
      </c>
      <c r="D544" s="72">
        <v>1</v>
      </c>
      <c r="E544" s="73">
        <v>4.1131951299999999E-5</v>
      </c>
    </row>
    <row r="545" spans="2:5" ht="15" customHeight="1">
      <c r="B545" s="94"/>
      <c r="C545" s="71" t="s">
        <v>239</v>
      </c>
      <c r="D545" s="72">
        <v>4</v>
      </c>
      <c r="E545" s="73">
        <v>1.6452780519900001E-4</v>
      </c>
    </row>
    <row r="546" spans="2:5" ht="15" customHeight="1">
      <c r="B546" s="95"/>
      <c r="C546" s="36" t="s">
        <v>29</v>
      </c>
      <c r="D546" s="35">
        <v>12</v>
      </c>
      <c r="E546" s="34">
        <v>4.9358341559699998E-4</v>
      </c>
    </row>
    <row r="547" spans="2:5" ht="15" customHeight="1">
      <c r="B547" s="93" t="s">
        <v>131</v>
      </c>
      <c r="C547" s="71" t="s">
        <v>220</v>
      </c>
      <c r="D547" s="72">
        <v>1</v>
      </c>
      <c r="E547" s="73">
        <v>4.1131951299999999E-5</v>
      </c>
    </row>
    <row r="548" spans="2:5" ht="15" customHeight="1">
      <c r="B548" s="94"/>
      <c r="C548" s="71" t="s">
        <v>246</v>
      </c>
      <c r="D548" s="72">
        <v>1</v>
      </c>
      <c r="E548" s="73">
        <v>4.1131951299999999E-5</v>
      </c>
    </row>
    <row r="549" spans="2:5" ht="15" customHeight="1">
      <c r="B549" s="94"/>
      <c r="C549" s="71" t="s">
        <v>224</v>
      </c>
      <c r="D549" s="72">
        <v>1</v>
      </c>
      <c r="E549" s="73">
        <v>4.1131951299999999E-5</v>
      </c>
    </row>
    <row r="550" spans="2:5" ht="15" customHeight="1">
      <c r="B550" s="94"/>
      <c r="C550" s="71" t="s">
        <v>226</v>
      </c>
      <c r="D550" s="72">
        <v>1</v>
      </c>
      <c r="E550" s="73">
        <v>4.1131951299999999E-5</v>
      </c>
    </row>
    <row r="551" spans="2:5" ht="15" customHeight="1">
      <c r="B551" s="94"/>
      <c r="C551" s="71" t="s">
        <v>230</v>
      </c>
      <c r="D551" s="72">
        <v>3</v>
      </c>
      <c r="E551" s="73">
        <v>1.23395853899E-4</v>
      </c>
    </row>
    <row r="552" spans="2:5" ht="15" customHeight="1">
      <c r="B552" s="94"/>
      <c r="C552" s="71" t="s">
        <v>232</v>
      </c>
      <c r="D552" s="72">
        <v>2</v>
      </c>
      <c r="E552" s="73">
        <v>8.2263902599999999E-5</v>
      </c>
    </row>
    <row r="553" spans="2:5" ht="15" customHeight="1">
      <c r="B553" s="94"/>
      <c r="C553" s="71" t="s">
        <v>258</v>
      </c>
      <c r="D553" s="72">
        <v>1</v>
      </c>
      <c r="E553" s="73">
        <v>4.1131951299999999E-5</v>
      </c>
    </row>
    <row r="554" spans="2:5" ht="15" customHeight="1">
      <c r="B554" s="94"/>
      <c r="C554" s="71" t="s">
        <v>235</v>
      </c>
      <c r="D554" s="72">
        <v>9</v>
      </c>
      <c r="E554" s="73">
        <v>3.7018756169799997E-4</v>
      </c>
    </row>
    <row r="555" spans="2:5" ht="15" customHeight="1">
      <c r="B555" s="94"/>
      <c r="C555" s="71" t="s">
        <v>238</v>
      </c>
      <c r="D555" s="72">
        <v>1</v>
      </c>
      <c r="E555" s="73">
        <v>4.1131951299999999E-5</v>
      </c>
    </row>
    <row r="556" spans="2:5" ht="15" customHeight="1">
      <c r="B556" s="94"/>
      <c r="C556" s="71" t="s">
        <v>239</v>
      </c>
      <c r="D556" s="72">
        <v>8</v>
      </c>
      <c r="E556" s="73">
        <v>3.2905561039800002E-4</v>
      </c>
    </row>
    <row r="557" spans="2:5" ht="15" customHeight="1">
      <c r="B557" s="94"/>
      <c r="C557" s="71" t="s">
        <v>240</v>
      </c>
      <c r="D557" s="72">
        <v>2</v>
      </c>
      <c r="E557" s="73">
        <v>8.2263902599999999E-5</v>
      </c>
    </row>
    <row r="558" spans="2:5" ht="15" customHeight="1">
      <c r="B558" s="94"/>
      <c r="C558" s="71" t="s">
        <v>241</v>
      </c>
      <c r="D558" s="72">
        <v>1</v>
      </c>
      <c r="E558" s="73">
        <v>4.1131951299999999E-5</v>
      </c>
    </row>
    <row r="559" spans="2:5" ht="15" customHeight="1">
      <c r="B559" s="95"/>
      <c r="C559" s="36" t="s">
        <v>29</v>
      </c>
      <c r="D559" s="35">
        <v>31</v>
      </c>
      <c r="E559" s="34">
        <v>1.275090490293E-3</v>
      </c>
    </row>
    <row r="560" spans="2:5" ht="15" customHeight="1">
      <c r="B560" s="93" t="s">
        <v>132</v>
      </c>
      <c r="C560" s="71" t="s">
        <v>219</v>
      </c>
      <c r="D560" s="72">
        <v>1</v>
      </c>
      <c r="E560" s="73">
        <v>4.1131951299999999E-5</v>
      </c>
    </row>
    <row r="561" spans="2:5" ht="15" customHeight="1">
      <c r="B561" s="94"/>
      <c r="C561" s="71" t="s">
        <v>220</v>
      </c>
      <c r="D561" s="72">
        <v>7</v>
      </c>
      <c r="E561" s="73">
        <v>2.8792365909800001E-4</v>
      </c>
    </row>
    <row r="562" spans="2:5" ht="15" customHeight="1">
      <c r="B562" s="94"/>
      <c r="C562" s="71" t="s">
        <v>221</v>
      </c>
      <c r="D562" s="72">
        <v>7</v>
      </c>
      <c r="E562" s="73">
        <v>2.8792365909800001E-4</v>
      </c>
    </row>
    <row r="563" spans="2:5" ht="15" customHeight="1">
      <c r="B563" s="94"/>
      <c r="C563" s="71" t="s">
        <v>246</v>
      </c>
      <c r="D563" s="72">
        <v>6</v>
      </c>
      <c r="E563" s="73">
        <v>2.4679170779900002E-4</v>
      </c>
    </row>
    <row r="564" spans="2:5" ht="15" customHeight="1">
      <c r="B564" s="94"/>
      <c r="C564" s="71" t="s">
        <v>223</v>
      </c>
      <c r="D564" s="72">
        <v>5</v>
      </c>
      <c r="E564" s="73">
        <v>2.0565975649899999E-4</v>
      </c>
    </row>
    <row r="565" spans="2:5" ht="15" customHeight="1">
      <c r="B565" s="94"/>
      <c r="C565" s="71" t="s">
        <v>247</v>
      </c>
      <c r="D565" s="72">
        <v>1</v>
      </c>
      <c r="E565" s="73">
        <v>4.1131951299999999E-5</v>
      </c>
    </row>
    <row r="566" spans="2:5" ht="15" customHeight="1">
      <c r="B566" s="94"/>
      <c r="C566" s="71" t="s">
        <v>260</v>
      </c>
      <c r="D566" s="72">
        <v>1</v>
      </c>
      <c r="E566" s="73">
        <v>4.1131951299999999E-5</v>
      </c>
    </row>
    <row r="567" spans="2:5" ht="15" customHeight="1">
      <c r="B567" s="94"/>
      <c r="C567" s="71" t="s">
        <v>224</v>
      </c>
      <c r="D567" s="72">
        <v>25</v>
      </c>
      <c r="E567" s="73">
        <v>1.0282987824939999E-3</v>
      </c>
    </row>
    <row r="568" spans="2:5" ht="15" customHeight="1">
      <c r="B568" s="94"/>
      <c r="C568" s="71" t="s">
        <v>226</v>
      </c>
      <c r="D568" s="72">
        <v>89</v>
      </c>
      <c r="E568" s="73">
        <v>3.66074366568E-3</v>
      </c>
    </row>
    <row r="569" spans="2:5" ht="15" customHeight="1">
      <c r="B569" s="94"/>
      <c r="C569" s="71" t="s">
        <v>227</v>
      </c>
      <c r="D569" s="72">
        <v>28</v>
      </c>
      <c r="E569" s="73">
        <v>1.151694636394E-3</v>
      </c>
    </row>
    <row r="570" spans="2:5" ht="15" customHeight="1">
      <c r="B570" s="94"/>
      <c r="C570" s="71" t="s">
        <v>244</v>
      </c>
      <c r="D570" s="72">
        <v>4</v>
      </c>
      <c r="E570" s="73">
        <v>1.6452780519900001E-4</v>
      </c>
    </row>
    <row r="571" spans="2:5" ht="15" customHeight="1">
      <c r="B571" s="94"/>
      <c r="C571" s="71" t="s">
        <v>249</v>
      </c>
      <c r="D571" s="72">
        <v>1</v>
      </c>
      <c r="E571" s="73">
        <v>4.1131951299999999E-5</v>
      </c>
    </row>
    <row r="572" spans="2:5" ht="15" customHeight="1">
      <c r="B572" s="94"/>
      <c r="C572" s="71" t="s">
        <v>256</v>
      </c>
      <c r="D572" s="72">
        <v>1</v>
      </c>
      <c r="E572" s="73">
        <v>4.1131951299999999E-5</v>
      </c>
    </row>
    <row r="573" spans="2:5" ht="15" customHeight="1">
      <c r="B573" s="94"/>
      <c r="C573" s="71" t="s">
        <v>228</v>
      </c>
      <c r="D573" s="72">
        <v>1</v>
      </c>
      <c r="E573" s="73">
        <v>4.1131951299999999E-5</v>
      </c>
    </row>
    <row r="574" spans="2:5" ht="15" customHeight="1">
      <c r="B574" s="94"/>
      <c r="C574" s="71" t="s">
        <v>229</v>
      </c>
      <c r="D574" s="72">
        <v>10</v>
      </c>
      <c r="E574" s="73">
        <v>4.1131951299799998E-4</v>
      </c>
    </row>
    <row r="575" spans="2:5" ht="15" customHeight="1">
      <c r="B575" s="94"/>
      <c r="C575" s="71" t="s">
        <v>230</v>
      </c>
      <c r="D575" s="72">
        <v>47</v>
      </c>
      <c r="E575" s="73">
        <v>1.933201711089E-3</v>
      </c>
    </row>
    <row r="576" spans="2:5" ht="15" customHeight="1">
      <c r="B576" s="94"/>
      <c r="C576" s="71" t="s">
        <v>231</v>
      </c>
      <c r="D576" s="72">
        <v>1</v>
      </c>
      <c r="E576" s="73">
        <v>4.1131951299999999E-5</v>
      </c>
    </row>
    <row r="577" spans="2:5" ht="15" customHeight="1">
      <c r="B577" s="94"/>
      <c r="C577" s="71" t="s">
        <v>232</v>
      </c>
      <c r="D577" s="72">
        <v>8</v>
      </c>
      <c r="E577" s="73">
        <v>3.2905561039800002E-4</v>
      </c>
    </row>
    <row r="578" spans="2:5" ht="15" customHeight="1">
      <c r="B578" s="94"/>
      <c r="C578" s="71" t="s">
        <v>234</v>
      </c>
      <c r="D578" s="72">
        <v>12</v>
      </c>
      <c r="E578" s="73">
        <v>4.9358341559699998E-4</v>
      </c>
    </row>
    <row r="579" spans="2:5" ht="15" customHeight="1">
      <c r="B579" s="94"/>
      <c r="C579" s="71" t="s">
        <v>258</v>
      </c>
      <c r="D579" s="72">
        <v>1</v>
      </c>
      <c r="E579" s="73">
        <v>4.1131951299999999E-5</v>
      </c>
    </row>
    <row r="580" spans="2:5" ht="15" customHeight="1">
      <c r="B580" s="94"/>
      <c r="C580" s="71" t="s">
        <v>235</v>
      </c>
      <c r="D580" s="72">
        <v>35</v>
      </c>
      <c r="E580" s="73">
        <v>1.4396182954919999E-3</v>
      </c>
    </row>
    <row r="581" spans="2:5" ht="15" customHeight="1">
      <c r="B581" s="94"/>
      <c r="C581" s="71" t="s">
        <v>236</v>
      </c>
      <c r="D581" s="72">
        <v>13</v>
      </c>
      <c r="E581" s="73">
        <v>5.3471536689700004E-4</v>
      </c>
    </row>
    <row r="582" spans="2:5" ht="15" customHeight="1">
      <c r="B582" s="94"/>
      <c r="C582" s="71" t="s">
        <v>237</v>
      </c>
      <c r="D582" s="72">
        <v>12</v>
      </c>
      <c r="E582" s="73">
        <v>4.9358341559699998E-4</v>
      </c>
    </row>
    <row r="583" spans="2:5" ht="15" customHeight="1">
      <c r="B583" s="94"/>
      <c r="C583" s="71" t="s">
        <v>238</v>
      </c>
      <c r="D583" s="72">
        <v>2</v>
      </c>
      <c r="E583" s="73">
        <v>8.2263902599999999E-5</v>
      </c>
    </row>
    <row r="584" spans="2:5" ht="15" customHeight="1">
      <c r="B584" s="94"/>
      <c r="C584" s="71" t="s">
        <v>239</v>
      </c>
      <c r="D584" s="72">
        <v>47</v>
      </c>
      <c r="E584" s="73">
        <v>1.933201711089E-3</v>
      </c>
    </row>
    <row r="585" spans="2:5" ht="15" customHeight="1">
      <c r="B585" s="94"/>
      <c r="C585" s="71" t="s">
        <v>240</v>
      </c>
      <c r="D585" s="72">
        <v>29</v>
      </c>
      <c r="E585" s="73">
        <v>1.1928265876930001E-3</v>
      </c>
    </row>
    <row r="586" spans="2:5" ht="15" customHeight="1">
      <c r="B586" s="94"/>
      <c r="C586" s="71" t="s">
        <v>241</v>
      </c>
      <c r="D586" s="72">
        <v>3</v>
      </c>
      <c r="E586" s="73">
        <v>1.23395853899E-4</v>
      </c>
    </row>
    <row r="587" spans="2:5" ht="15" customHeight="1">
      <c r="B587" s="94"/>
      <c r="C587" s="71" t="s">
        <v>242</v>
      </c>
      <c r="D587" s="72">
        <v>16</v>
      </c>
      <c r="E587" s="73">
        <v>6.5811122079600004E-4</v>
      </c>
    </row>
    <row r="588" spans="2:5" ht="15" customHeight="1">
      <c r="B588" s="94"/>
      <c r="C588" s="71" t="s">
        <v>245</v>
      </c>
      <c r="D588" s="72">
        <v>1</v>
      </c>
      <c r="E588" s="73">
        <v>4.1131951299999999E-5</v>
      </c>
    </row>
    <row r="589" spans="2:5" ht="15" customHeight="1">
      <c r="B589" s="94"/>
      <c r="C589" s="71" t="s">
        <v>243</v>
      </c>
      <c r="D589" s="72">
        <v>8</v>
      </c>
      <c r="E589" s="73">
        <v>3.2905561039800002E-4</v>
      </c>
    </row>
    <row r="590" spans="2:5" ht="15" customHeight="1">
      <c r="B590" s="95"/>
      <c r="C590" s="36" t="s">
        <v>29</v>
      </c>
      <c r="D590" s="35">
        <v>422</v>
      </c>
      <c r="E590" s="34">
        <v>1.7357683448503001E-2</v>
      </c>
    </row>
    <row r="591" spans="2:5" ht="15" customHeight="1">
      <c r="B591" s="93" t="s">
        <v>133</v>
      </c>
      <c r="C591" s="71" t="s">
        <v>232</v>
      </c>
      <c r="D591" s="72">
        <v>1</v>
      </c>
      <c r="E591" s="73">
        <v>4.1131951299999999E-5</v>
      </c>
    </row>
    <row r="592" spans="2:5" ht="15" customHeight="1">
      <c r="B592" s="94"/>
      <c r="C592" s="71" t="s">
        <v>235</v>
      </c>
      <c r="D592" s="72">
        <v>2</v>
      </c>
      <c r="E592" s="73">
        <v>8.2263902599999999E-5</v>
      </c>
    </row>
    <row r="593" spans="2:5" ht="15" customHeight="1">
      <c r="B593" s="94"/>
      <c r="C593" s="71" t="s">
        <v>239</v>
      </c>
      <c r="D593" s="72">
        <v>1</v>
      </c>
      <c r="E593" s="73">
        <v>4.1131951299999999E-5</v>
      </c>
    </row>
    <row r="594" spans="2:5" ht="15" customHeight="1">
      <c r="B594" s="94"/>
      <c r="C594" s="71" t="s">
        <v>243</v>
      </c>
      <c r="D594" s="72">
        <v>1</v>
      </c>
      <c r="E594" s="73">
        <v>4.1131951299999999E-5</v>
      </c>
    </row>
    <row r="595" spans="2:5" ht="15" customHeight="1">
      <c r="B595" s="95"/>
      <c r="C595" s="36" t="s">
        <v>29</v>
      </c>
      <c r="D595" s="35">
        <v>5</v>
      </c>
      <c r="E595" s="34">
        <v>2.0565975649899999E-4</v>
      </c>
    </row>
    <row r="596" spans="2:5" ht="15" customHeight="1">
      <c r="B596" s="93" t="s">
        <v>134</v>
      </c>
      <c r="C596" s="71" t="s">
        <v>220</v>
      </c>
      <c r="D596" s="72">
        <v>8</v>
      </c>
      <c r="E596" s="73">
        <v>3.2905561039800002E-4</v>
      </c>
    </row>
    <row r="597" spans="2:5" ht="15" customHeight="1">
      <c r="B597" s="94"/>
      <c r="C597" s="71" t="s">
        <v>246</v>
      </c>
      <c r="D597" s="72">
        <v>6</v>
      </c>
      <c r="E597" s="73">
        <v>2.4679170779900002E-4</v>
      </c>
    </row>
    <row r="598" spans="2:5" ht="15" customHeight="1">
      <c r="B598" s="94"/>
      <c r="C598" s="71" t="s">
        <v>222</v>
      </c>
      <c r="D598" s="72">
        <v>1</v>
      </c>
      <c r="E598" s="73">
        <v>4.1131951299999999E-5</v>
      </c>
    </row>
    <row r="599" spans="2:5" ht="15" customHeight="1">
      <c r="B599" s="94"/>
      <c r="C599" s="71" t="s">
        <v>247</v>
      </c>
      <c r="D599" s="72">
        <v>1</v>
      </c>
      <c r="E599" s="73">
        <v>4.1131951299999999E-5</v>
      </c>
    </row>
    <row r="600" spans="2:5" ht="15" customHeight="1">
      <c r="B600" s="94"/>
      <c r="C600" s="71" t="s">
        <v>224</v>
      </c>
      <c r="D600" s="72">
        <v>4</v>
      </c>
      <c r="E600" s="73">
        <v>1.6452780519900001E-4</v>
      </c>
    </row>
    <row r="601" spans="2:5" ht="15" customHeight="1">
      <c r="B601" s="94"/>
      <c r="C601" s="71" t="s">
        <v>226</v>
      </c>
      <c r="D601" s="72">
        <v>24</v>
      </c>
      <c r="E601" s="73">
        <v>9.8716683119399995E-4</v>
      </c>
    </row>
    <row r="602" spans="2:5" ht="15" customHeight="1">
      <c r="B602" s="94"/>
      <c r="C602" s="71" t="s">
        <v>227</v>
      </c>
      <c r="D602" s="72">
        <v>2</v>
      </c>
      <c r="E602" s="73">
        <v>8.2263902599999999E-5</v>
      </c>
    </row>
    <row r="603" spans="2:5" ht="15" customHeight="1">
      <c r="B603" s="94"/>
      <c r="C603" s="71" t="s">
        <v>230</v>
      </c>
      <c r="D603" s="72">
        <v>21</v>
      </c>
      <c r="E603" s="73">
        <v>8.6377097729499995E-4</v>
      </c>
    </row>
    <row r="604" spans="2:5" ht="15" customHeight="1">
      <c r="B604" s="94"/>
      <c r="C604" s="71" t="s">
        <v>231</v>
      </c>
      <c r="D604" s="72">
        <v>1</v>
      </c>
      <c r="E604" s="73">
        <v>4.1131951299999999E-5</v>
      </c>
    </row>
    <row r="605" spans="2:5" ht="15" customHeight="1">
      <c r="B605" s="94"/>
      <c r="C605" s="71" t="s">
        <v>232</v>
      </c>
      <c r="D605" s="72">
        <v>1</v>
      </c>
      <c r="E605" s="73">
        <v>4.1131951299999999E-5</v>
      </c>
    </row>
    <row r="606" spans="2:5" ht="15" customHeight="1">
      <c r="B606" s="94"/>
      <c r="C606" s="71" t="s">
        <v>234</v>
      </c>
      <c r="D606" s="72">
        <v>6</v>
      </c>
      <c r="E606" s="73">
        <v>2.4679170779900002E-4</v>
      </c>
    </row>
    <row r="607" spans="2:5" ht="15" customHeight="1">
      <c r="B607" s="94"/>
      <c r="C607" s="71" t="s">
        <v>235</v>
      </c>
      <c r="D607" s="72">
        <v>4</v>
      </c>
      <c r="E607" s="73">
        <v>1.6452780519900001E-4</v>
      </c>
    </row>
    <row r="608" spans="2:5" ht="15" customHeight="1">
      <c r="B608" s="94"/>
      <c r="C608" s="71" t="s">
        <v>236</v>
      </c>
      <c r="D608" s="72">
        <v>4</v>
      </c>
      <c r="E608" s="73">
        <v>1.6452780519900001E-4</v>
      </c>
    </row>
    <row r="609" spans="2:5" ht="15" customHeight="1">
      <c r="B609" s="94"/>
      <c r="C609" s="71" t="s">
        <v>237</v>
      </c>
      <c r="D609" s="72">
        <v>4</v>
      </c>
      <c r="E609" s="73">
        <v>1.6452780519900001E-4</v>
      </c>
    </row>
    <row r="610" spans="2:5" ht="15" customHeight="1">
      <c r="B610" s="94"/>
      <c r="C610" s="71" t="s">
        <v>238</v>
      </c>
      <c r="D610" s="72">
        <v>13</v>
      </c>
      <c r="E610" s="73">
        <v>5.3471536689700004E-4</v>
      </c>
    </row>
    <row r="611" spans="2:5" ht="15" customHeight="1">
      <c r="B611" s="94"/>
      <c r="C611" s="71" t="s">
        <v>239</v>
      </c>
      <c r="D611" s="72">
        <v>5</v>
      </c>
      <c r="E611" s="73">
        <v>2.0565975649899999E-4</v>
      </c>
    </row>
    <row r="612" spans="2:5" ht="15" customHeight="1">
      <c r="B612" s="94"/>
      <c r="C612" s="71" t="s">
        <v>241</v>
      </c>
      <c r="D612" s="72">
        <v>1</v>
      </c>
      <c r="E612" s="73">
        <v>4.1131951299999999E-5</v>
      </c>
    </row>
    <row r="613" spans="2:5" ht="15" customHeight="1">
      <c r="B613" s="94"/>
      <c r="C613" s="71" t="s">
        <v>242</v>
      </c>
      <c r="D613" s="72">
        <v>2</v>
      </c>
      <c r="E613" s="73">
        <v>8.2263902599999999E-5</v>
      </c>
    </row>
    <row r="614" spans="2:5" ht="15" customHeight="1">
      <c r="B614" s="94"/>
      <c r="C614" s="71" t="s">
        <v>243</v>
      </c>
      <c r="D614" s="72">
        <v>4</v>
      </c>
      <c r="E614" s="73">
        <v>1.6452780519900001E-4</v>
      </c>
    </row>
    <row r="615" spans="2:5" ht="15" customHeight="1">
      <c r="B615" s="95"/>
      <c r="C615" s="36" t="s">
        <v>29</v>
      </c>
      <c r="D615" s="35">
        <v>112</v>
      </c>
      <c r="E615" s="34">
        <v>4.6067785455739998E-3</v>
      </c>
    </row>
    <row r="616" spans="2:5" ht="15" customHeight="1">
      <c r="B616" s="93" t="s">
        <v>135</v>
      </c>
      <c r="C616" s="71" t="s">
        <v>220</v>
      </c>
      <c r="D616" s="72">
        <v>2</v>
      </c>
      <c r="E616" s="73">
        <v>8.2263902599999999E-5</v>
      </c>
    </row>
    <row r="617" spans="2:5" ht="15" customHeight="1">
      <c r="B617" s="94"/>
      <c r="C617" s="71" t="s">
        <v>221</v>
      </c>
      <c r="D617" s="72">
        <v>1</v>
      </c>
      <c r="E617" s="73">
        <v>4.1131951299999999E-5</v>
      </c>
    </row>
    <row r="618" spans="2:5" ht="15" customHeight="1">
      <c r="B618" s="94"/>
      <c r="C618" s="71" t="s">
        <v>246</v>
      </c>
      <c r="D618" s="72">
        <v>1</v>
      </c>
      <c r="E618" s="73">
        <v>4.1131951299999999E-5</v>
      </c>
    </row>
    <row r="619" spans="2:5" ht="15" customHeight="1">
      <c r="B619" s="94"/>
      <c r="C619" s="71" t="s">
        <v>222</v>
      </c>
      <c r="D619" s="72">
        <v>1</v>
      </c>
      <c r="E619" s="73">
        <v>4.1131951299999999E-5</v>
      </c>
    </row>
    <row r="620" spans="2:5" ht="15" customHeight="1">
      <c r="B620" s="94"/>
      <c r="C620" s="71" t="s">
        <v>223</v>
      </c>
      <c r="D620" s="72">
        <v>2</v>
      </c>
      <c r="E620" s="73">
        <v>8.2263902599999999E-5</v>
      </c>
    </row>
    <row r="621" spans="2:5" ht="15" customHeight="1">
      <c r="B621" s="94"/>
      <c r="C621" s="71" t="s">
        <v>247</v>
      </c>
      <c r="D621" s="72">
        <v>3</v>
      </c>
      <c r="E621" s="73">
        <v>1.23395853899E-4</v>
      </c>
    </row>
    <row r="622" spans="2:5" ht="15" customHeight="1">
      <c r="B622" s="94"/>
      <c r="C622" s="71" t="s">
        <v>224</v>
      </c>
      <c r="D622" s="72">
        <v>22</v>
      </c>
      <c r="E622" s="73">
        <v>9.0490292859500001E-4</v>
      </c>
    </row>
    <row r="623" spans="2:5" ht="15" customHeight="1">
      <c r="B623" s="94"/>
      <c r="C623" s="71" t="s">
        <v>226</v>
      </c>
      <c r="D623" s="72">
        <v>22</v>
      </c>
      <c r="E623" s="73">
        <v>9.0490292859500001E-4</v>
      </c>
    </row>
    <row r="624" spans="2:5" ht="15" customHeight="1">
      <c r="B624" s="94"/>
      <c r="C624" s="71" t="s">
        <v>227</v>
      </c>
      <c r="D624" s="72">
        <v>6</v>
      </c>
      <c r="E624" s="73">
        <v>2.4679170779900002E-4</v>
      </c>
    </row>
    <row r="625" spans="2:5" ht="15" customHeight="1">
      <c r="B625" s="94"/>
      <c r="C625" s="71" t="s">
        <v>244</v>
      </c>
      <c r="D625" s="72">
        <v>1</v>
      </c>
      <c r="E625" s="73">
        <v>4.1131951299999999E-5</v>
      </c>
    </row>
    <row r="626" spans="2:5" ht="15" customHeight="1">
      <c r="B626" s="94"/>
      <c r="C626" s="71" t="s">
        <v>248</v>
      </c>
      <c r="D626" s="72">
        <v>1</v>
      </c>
      <c r="E626" s="73">
        <v>4.1131951299999999E-5</v>
      </c>
    </row>
    <row r="627" spans="2:5" ht="15" customHeight="1">
      <c r="B627" s="94"/>
      <c r="C627" s="71" t="s">
        <v>249</v>
      </c>
      <c r="D627" s="72">
        <v>1</v>
      </c>
      <c r="E627" s="73">
        <v>4.1131951299999999E-5</v>
      </c>
    </row>
    <row r="628" spans="2:5" ht="15" customHeight="1">
      <c r="B628" s="94"/>
      <c r="C628" s="71" t="s">
        <v>256</v>
      </c>
      <c r="D628" s="72">
        <v>1</v>
      </c>
      <c r="E628" s="73">
        <v>4.1131951299999999E-5</v>
      </c>
    </row>
    <row r="629" spans="2:5" ht="15" customHeight="1">
      <c r="B629" s="94"/>
      <c r="C629" s="71" t="s">
        <v>228</v>
      </c>
      <c r="D629" s="72">
        <v>1</v>
      </c>
      <c r="E629" s="73">
        <v>4.1131951299999999E-5</v>
      </c>
    </row>
    <row r="630" spans="2:5" ht="15" customHeight="1">
      <c r="B630" s="94"/>
      <c r="C630" s="71" t="s">
        <v>250</v>
      </c>
      <c r="D630" s="72">
        <v>2</v>
      </c>
      <c r="E630" s="73">
        <v>8.2263902599999999E-5</v>
      </c>
    </row>
    <row r="631" spans="2:5" ht="15" customHeight="1">
      <c r="B631" s="94"/>
      <c r="C631" s="71" t="s">
        <v>230</v>
      </c>
      <c r="D631" s="72">
        <v>59</v>
      </c>
      <c r="E631" s="73">
        <v>2.4267851266860001E-3</v>
      </c>
    </row>
    <row r="632" spans="2:5" ht="15" customHeight="1">
      <c r="B632" s="94"/>
      <c r="C632" s="71" t="s">
        <v>252</v>
      </c>
      <c r="D632" s="72">
        <v>1</v>
      </c>
      <c r="E632" s="73">
        <v>4.1131951299999999E-5</v>
      </c>
    </row>
    <row r="633" spans="2:5" ht="15" customHeight="1">
      <c r="B633" s="94"/>
      <c r="C633" s="71" t="s">
        <v>254</v>
      </c>
      <c r="D633" s="72">
        <v>3</v>
      </c>
      <c r="E633" s="73">
        <v>1.23395853899E-4</v>
      </c>
    </row>
    <row r="634" spans="2:5" ht="15" customHeight="1">
      <c r="B634" s="94"/>
      <c r="C634" s="71" t="s">
        <v>232</v>
      </c>
      <c r="D634" s="72">
        <v>28</v>
      </c>
      <c r="E634" s="73">
        <v>1.151694636394E-3</v>
      </c>
    </row>
    <row r="635" spans="2:5" ht="15" customHeight="1">
      <c r="B635" s="94"/>
      <c r="C635" s="71" t="s">
        <v>234</v>
      </c>
      <c r="D635" s="72">
        <v>17</v>
      </c>
      <c r="E635" s="73">
        <v>6.9924317209599999E-4</v>
      </c>
    </row>
    <row r="636" spans="2:5" ht="15" customHeight="1">
      <c r="B636" s="94"/>
      <c r="C636" s="71" t="s">
        <v>235</v>
      </c>
      <c r="D636" s="72">
        <v>36</v>
      </c>
      <c r="E636" s="73">
        <v>1.4807502467919999E-3</v>
      </c>
    </row>
    <row r="637" spans="2:5" ht="15" customHeight="1">
      <c r="B637" s="94"/>
      <c r="C637" s="71" t="s">
        <v>236</v>
      </c>
      <c r="D637" s="72">
        <v>9</v>
      </c>
      <c r="E637" s="73">
        <v>3.7018756169799997E-4</v>
      </c>
    </row>
    <row r="638" spans="2:5" ht="15" customHeight="1">
      <c r="B638" s="94"/>
      <c r="C638" s="71" t="s">
        <v>237</v>
      </c>
      <c r="D638" s="72">
        <v>1</v>
      </c>
      <c r="E638" s="73">
        <v>4.1131951299999999E-5</v>
      </c>
    </row>
    <row r="639" spans="2:5" ht="15" customHeight="1">
      <c r="B639" s="94"/>
      <c r="C639" s="71" t="s">
        <v>238</v>
      </c>
      <c r="D639" s="72">
        <v>7</v>
      </c>
      <c r="E639" s="73">
        <v>2.8792365909800001E-4</v>
      </c>
    </row>
    <row r="640" spans="2:5" ht="15" customHeight="1">
      <c r="B640" s="94"/>
      <c r="C640" s="71" t="s">
        <v>239</v>
      </c>
      <c r="D640" s="72">
        <v>31</v>
      </c>
      <c r="E640" s="73">
        <v>1.275090490293E-3</v>
      </c>
    </row>
    <row r="641" spans="2:5" ht="15" customHeight="1">
      <c r="B641" s="94"/>
      <c r="C641" s="71" t="s">
        <v>240</v>
      </c>
      <c r="D641" s="72">
        <v>14</v>
      </c>
      <c r="E641" s="73">
        <v>5.7584731819699999E-4</v>
      </c>
    </row>
    <row r="642" spans="2:5" ht="15" customHeight="1">
      <c r="B642" s="94"/>
      <c r="C642" s="71" t="s">
        <v>241</v>
      </c>
      <c r="D642" s="72">
        <v>3</v>
      </c>
      <c r="E642" s="73">
        <v>1.23395853899E-4</v>
      </c>
    </row>
    <row r="643" spans="2:5" ht="15" customHeight="1">
      <c r="B643" s="94"/>
      <c r="C643" s="71" t="s">
        <v>242</v>
      </c>
      <c r="D643" s="72">
        <v>19</v>
      </c>
      <c r="E643" s="73">
        <v>7.8150707469600001E-4</v>
      </c>
    </row>
    <row r="644" spans="2:5" ht="15" customHeight="1">
      <c r="B644" s="95"/>
      <c r="C644" s="36" t="s">
        <v>29</v>
      </c>
      <c r="D644" s="35">
        <v>295</v>
      </c>
      <c r="E644" s="34">
        <v>1.2133925633432E-2</v>
      </c>
    </row>
    <row r="645" spans="2:5" ht="15" customHeight="1">
      <c r="B645" s="93" t="s">
        <v>136</v>
      </c>
      <c r="C645" s="71" t="s">
        <v>231</v>
      </c>
      <c r="D645" s="72">
        <v>1</v>
      </c>
      <c r="E645" s="73">
        <v>4.1131951299999999E-5</v>
      </c>
    </row>
    <row r="646" spans="2:5" ht="15" customHeight="1">
      <c r="B646" s="94"/>
      <c r="C646" s="71" t="s">
        <v>235</v>
      </c>
      <c r="D646" s="72">
        <v>3</v>
      </c>
      <c r="E646" s="73">
        <v>1.23395853899E-4</v>
      </c>
    </row>
    <row r="647" spans="2:5" ht="15" customHeight="1">
      <c r="B647" s="94"/>
      <c r="C647" s="71" t="s">
        <v>239</v>
      </c>
      <c r="D647" s="72">
        <v>3</v>
      </c>
      <c r="E647" s="73">
        <v>1.23395853899E-4</v>
      </c>
    </row>
    <row r="648" spans="2:5" ht="15" customHeight="1">
      <c r="B648" s="94"/>
      <c r="C648" s="71" t="s">
        <v>242</v>
      </c>
      <c r="D648" s="72">
        <v>1</v>
      </c>
      <c r="E648" s="73">
        <v>4.1131951299999999E-5</v>
      </c>
    </row>
    <row r="649" spans="2:5" ht="15" customHeight="1">
      <c r="B649" s="95"/>
      <c r="C649" s="36" t="s">
        <v>29</v>
      </c>
      <c r="D649" s="35">
        <v>8</v>
      </c>
      <c r="E649" s="34">
        <v>3.2905561039800002E-4</v>
      </c>
    </row>
    <row r="650" spans="2:5" ht="15" customHeight="1">
      <c r="B650" s="93" t="s">
        <v>137</v>
      </c>
      <c r="C650" s="71" t="s">
        <v>219</v>
      </c>
      <c r="D650" s="72">
        <v>1</v>
      </c>
      <c r="E650" s="73">
        <v>4.1131951299999999E-5</v>
      </c>
    </row>
    <row r="651" spans="2:5" ht="15" customHeight="1">
      <c r="B651" s="94"/>
      <c r="C651" s="71" t="s">
        <v>221</v>
      </c>
      <c r="D651" s="72">
        <v>1</v>
      </c>
      <c r="E651" s="73">
        <v>4.1131951299999999E-5</v>
      </c>
    </row>
    <row r="652" spans="2:5" ht="15" customHeight="1">
      <c r="B652" s="94"/>
      <c r="C652" s="71" t="s">
        <v>224</v>
      </c>
      <c r="D652" s="72">
        <v>1</v>
      </c>
      <c r="E652" s="73">
        <v>4.1131951299999999E-5</v>
      </c>
    </row>
    <row r="653" spans="2:5" ht="15" customHeight="1">
      <c r="B653" s="94"/>
      <c r="C653" s="71" t="s">
        <v>226</v>
      </c>
      <c r="D653" s="72">
        <v>3</v>
      </c>
      <c r="E653" s="73">
        <v>1.23395853899E-4</v>
      </c>
    </row>
    <row r="654" spans="2:5" ht="15" customHeight="1">
      <c r="B654" s="94"/>
      <c r="C654" s="71" t="s">
        <v>256</v>
      </c>
      <c r="D654" s="72">
        <v>1</v>
      </c>
      <c r="E654" s="73">
        <v>4.1131951299999999E-5</v>
      </c>
    </row>
    <row r="655" spans="2:5" ht="15" customHeight="1">
      <c r="B655" s="94"/>
      <c r="C655" s="71" t="s">
        <v>230</v>
      </c>
      <c r="D655" s="72">
        <v>5</v>
      </c>
      <c r="E655" s="73">
        <v>2.0565975649899999E-4</v>
      </c>
    </row>
    <row r="656" spans="2:5" ht="15" customHeight="1">
      <c r="B656" s="94"/>
      <c r="C656" s="71" t="s">
        <v>232</v>
      </c>
      <c r="D656" s="72">
        <v>2</v>
      </c>
      <c r="E656" s="73">
        <v>8.2263902599999999E-5</v>
      </c>
    </row>
    <row r="657" spans="2:5" ht="15" customHeight="1">
      <c r="B657" s="94"/>
      <c r="C657" s="71" t="s">
        <v>235</v>
      </c>
      <c r="D657" s="72">
        <v>4</v>
      </c>
      <c r="E657" s="73">
        <v>1.6452780519900001E-4</v>
      </c>
    </row>
    <row r="658" spans="2:5" ht="15" customHeight="1">
      <c r="B658" s="94"/>
      <c r="C658" s="71" t="s">
        <v>236</v>
      </c>
      <c r="D658" s="72">
        <v>3</v>
      </c>
      <c r="E658" s="73">
        <v>1.23395853899E-4</v>
      </c>
    </row>
    <row r="659" spans="2:5" ht="15" customHeight="1">
      <c r="B659" s="94"/>
      <c r="C659" s="71" t="s">
        <v>237</v>
      </c>
      <c r="D659" s="72">
        <v>1</v>
      </c>
      <c r="E659" s="73">
        <v>4.1131951299999999E-5</v>
      </c>
    </row>
    <row r="660" spans="2:5" ht="15" customHeight="1">
      <c r="B660" s="94"/>
      <c r="C660" s="71" t="s">
        <v>239</v>
      </c>
      <c r="D660" s="72">
        <v>2</v>
      </c>
      <c r="E660" s="73">
        <v>8.2263902599999999E-5</v>
      </c>
    </row>
    <row r="661" spans="2:5" ht="15" customHeight="1">
      <c r="B661" s="94"/>
      <c r="C661" s="71" t="s">
        <v>241</v>
      </c>
      <c r="D661" s="72">
        <v>6</v>
      </c>
      <c r="E661" s="73">
        <v>2.4679170779900002E-4</v>
      </c>
    </row>
    <row r="662" spans="2:5" ht="15" customHeight="1">
      <c r="B662" s="94"/>
      <c r="C662" s="71" t="s">
        <v>242</v>
      </c>
      <c r="D662" s="72">
        <v>2</v>
      </c>
      <c r="E662" s="73">
        <v>8.2263902599999999E-5</v>
      </c>
    </row>
    <row r="663" spans="2:5" ht="15" customHeight="1">
      <c r="B663" s="95"/>
      <c r="C663" s="36" t="s">
        <v>29</v>
      </c>
      <c r="D663" s="35">
        <v>32</v>
      </c>
      <c r="E663" s="34">
        <v>1.3162224415929999E-3</v>
      </c>
    </row>
    <row r="664" spans="2:5" ht="15" customHeight="1">
      <c r="B664" s="93" t="s">
        <v>138</v>
      </c>
      <c r="C664" s="71" t="s">
        <v>221</v>
      </c>
      <c r="D664" s="72">
        <v>1</v>
      </c>
      <c r="E664" s="73">
        <v>4.1131951299999999E-5</v>
      </c>
    </row>
    <row r="665" spans="2:5" ht="15" customHeight="1">
      <c r="B665" s="94"/>
      <c r="C665" s="71" t="s">
        <v>232</v>
      </c>
      <c r="D665" s="72">
        <v>2</v>
      </c>
      <c r="E665" s="73">
        <v>8.2263902599999999E-5</v>
      </c>
    </row>
    <row r="666" spans="2:5" ht="15" customHeight="1">
      <c r="B666" s="95"/>
      <c r="C666" s="36" t="s">
        <v>29</v>
      </c>
      <c r="D666" s="35">
        <v>3</v>
      </c>
      <c r="E666" s="34">
        <v>1.23395853899E-4</v>
      </c>
    </row>
    <row r="667" spans="2:5" ht="15" customHeight="1">
      <c r="B667" s="93" t="s">
        <v>139</v>
      </c>
      <c r="C667" s="71" t="s">
        <v>220</v>
      </c>
      <c r="D667" s="72">
        <v>2</v>
      </c>
      <c r="E667" s="73">
        <v>8.2263902599999999E-5</v>
      </c>
    </row>
    <row r="668" spans="2:5" ht="15" customHeight="1">
      <c r="B668" s="94"/>
      <c r="C668" s="71" t="s">
        <v>221</v>
      </c>
      <c r="D668" s="72">
        <v>7</v>
      </c>
      <c r="E668" s="73">
        <v>2.8792365909800001E-4</v>
      </c>
    </row>
    <row r="669" spans="2:5" ht="15" customHeight="1">
      <c r="B669" s="94"/>
      <c r="C669" s="71" t="s">
        <v>246</v>
      </c>
      <c r="D669" s="72">
        <v>1</v>
      </c>
      <c r="E669" s="73">
        <v>4.1131951299999999E-5</v>
      </c>
    </row>
    <row r="670" spans="2:5" ht="15" customHeight="1">
      <c r="B670" s="94"/>
      <c r="C670" s="71" t="s">
        <v>224</v>
      </c>
      <c r="D670" s="72">
        <v>11</v>
      </c>
      <c r="E670" s="73">
        <v>4.5245146429700003E-4</v>
      </c>
    </row>
    <row r="671" spans="2:5" ht="15" customHeight="1">
      <c r="B671" s="94"/>
      <c r="C671" s="71" t="s">
        <v>226</v>
      </c>
      <c r="D671" s="72">
        <v>14</v>
      </c>
      <c r="E671" s="73">
        <v>5.7584731819699999E-4</v>
      </c>
    </row>
    <row r="672" spans="2:5" ht="15" customHeight="1">
      <c r="B672" s="94"/>
      <c r="C672" s="71" t="s">
        <v>227</v>
      </c>
      <c r="D672" s="72">
        <v>4</v>
      </c>
      <c r="E672" s="73">
        <v>1.6452780519900001E-4</v>
      </c>
    </row>
    <row r="673" spans="2:5" ht="15" customHeight="1">
      <c r="B673" s="94"/>
      <c r="C673" s="71" t="s">
        <v>249</v>
      </c>
      <c r="D673" s="72">
        <v>4</v>
      </c>
      <c r="E673" s="73">
        <v>1.6452780519900001E-4</v>
      </c>
    </row>
    <row r="674" spans="2:5" ht="15" customHeight="1">
      <c r="B674" s="94"/>
      <c r="C674" s="71" t="s">
        <v>229</v>
      </c>
      <c r="D674" s="72">
        <v>1</v>
      </c>
      <c r="E674" s="73">
        <v>4.1131951299999999E-5</v>
      </c>
    </row>
    <row r="675" spans="2:5" ht="15" customHeight="1">
      <c r="B675" s="94"/>
      <c r="C675" s="71" t="s">
        <v>230</v>
      </c>
      <c r="D675" s="72">
        <v>17</v>
      </c>
      <c r="E675" s="73">
        <v>6.9924317209599999E-4</v>
      </c>
    </row>
    <row r="676" spans="2:5" ht="15" customHeight="1">
      <c r="B676" s="94"/>
      <c r="C676" s="71" t="s">
        <v>232</v>
      </c>
      <c r="D676" s="72">
        <v>7</v>
      </c>
      <c r="E676" s="73">
        <v>2.8792365909800001E-4</v>
      </c>
    </row>
    <row r="677" spans="2:5" ht="15" customHeight="1">
      <c r="B677" s="94"/>
      <c r="C677" s="71" t="s">
        <v>261</v>
      </c>
      <c r="D677" s="72">
        <v>1</v>
      </c>
      <c r="E677" s="73">
        <v>4.1131951299999999E-5</v>
      </c>
    </row>
    <row r="678" spans="2:5" ht="15" customHeight="1">
      <c r="B678" s="94"/>
      <c r="C678" s="71" t="s">
        <v>235</v>
      </c>
      <c r="D678" s="72">
        <v>4</v>
      </c>
      <c r="E678" s="73">
        <v>1.6452780519900001E-4</v>
      </c>
    </row>
    <row r="679" spans="2:5" ht="15" customHeight="1">
      <c r="B679" s="94"/>
      <c r="C679" s="71" t="s">
        <v>236</v>
      </c>
      <c r="D679" s="72">
        <v>1</v>
      </c>
      <c r="E679" s="73">
        <v>4.1131951299999999E-5</v>
      </c>
    </row>
    <row r="680" spans="2:5" ht="15" customHeight="1">
      <c r="B680" s="94"/>
      <c r="C680" s="71" t="s">
        <v>237</v>
      </c>
      <c r="D680" s="72">
        <v>1</v>
      </c>
      <c r="E680" s="73">
        <v>4.1131951299999999E-5</v>
      </c>
    </row>
    <row r="681" spans="2:5" ht="15" customHeight="1">
      <c r="B681" s="94"/>
      <c r="C681" s="71" t="s">
        <v>238</v>
      </c>
      <c r="D681" s="72">
        <v>4</v>
      </c>
      <c r="E681" s="73">
        <v>1.6452780519900001E-4</v>
      </c>
    </row>
    <row r="682" spans="2:5" ht="15" customHeight="1">
      <c r="B682" s="94"/>
      <c r="C682" s="71" t="s">
        <v>239</v>
      </c>
      <c r="D682" s="72">
        <v>19</v>
      </c>
      <c r="E682" s="73">
        <v>7.8150707469600001E-4</v>
      </c>
    </row>
    <row r="683" spans="2:5" ht="15" customHeight="1">
      <c r="B683" s="94"/>
      <c r="C683" s="71" t="s">
        <v>240</v>
      </c>
      <c r="D683" s="72">
        <v>4</v>
      </c>
      <c r="E683" s="73">
        <v>1.6452780519900001E-4</v>
      </c>
    </row>
    <row r="684" spans="2:5" ht="15" customHeight="1">
      <c r="B684" s="94"/>
      <c r="C684" s="71" t="s">
        <v>241</v>
      </c>
      <c r="D684" s="72">
        <v>1</v>
      </c>
      <c r="E684" s="73">
        <v>4.1131951299999999E-5</v>
      </c>
    </row>
    <row r="685" spans="2:5" ht="15" customHeight="1">
      <c r="B685" s="94"/>
      <c r="C685" s="71" t="s">
        <v>242</v>
      </c>
      <c r="D685" s="72">
        <v>8</v>
      </c>
      <c r="E685" s="73">
        <v>3.2905561039800002E-4</v>
      </c>
    </row>
    <row r="686" spans="2:5" ht="15" customHeight="1">
      <c r="B686" s="94"/>
      <c r="C686" s="71" t="s">
        <v>245</v>
      </c>
      <c r="D686" s="72">
        <v>2</v>
      </c>
      <c r="E686" s="73">
        <v>8.2263902599999999E-5</v>
      </c>
    </row>
    <row r="687" spans="2:5" ht="15" customHeight="1">
      <c r="B687" s="94"/>
      <c r="C687" s="71" t="s">
        <v>243</v>
      </c>
      <c r="D687" s="72">
        <v>1</v>
      </c>
      <c r="E687" s="73">
        <v>4.1131951299999999E-5</v>
      </c>
    </row>
    <row r="688" spans="2:5" ht="15" customHeight="1">
      <c r="B688" s="95"/>
      <c r="C688" s="36" t="s">
        <v>29</v>
      </c>
      <c r="D688" s="35">
        <v>114</v>
      </c>
      <c r="E688" s="34">
        <v>4.6890424481739997E-3</v>
      </c>
    </row>
    <row r="689" spans="2:5" ht="15" customHeight="1">
      <c r="B689" s="93" t="s">
        <v>140</v>
      </c>
      <c r="C689" s="71" t="s">
        <v>219</v>
      </c>
      <c r="D689" s="72">
        <v>1</v>
      </c>
      <c r="E689" s="73">
        <v>4.1131951299999999E-5</v>
      </c>
    </row>
    <row r="690" spans="2:5" ht="15" customHeight="1">
      <c r="B690" s="94"/>
      <c r="C690" s="71" t="s">
        <v>221</v>
      </c>
      <c r="D690" s="72">
        <v>1</v>
      </c>
      <c r="E690" s="73">
        <v>4.1131951299999999E-5</v>
      </c>
    </row>
    <row r="691" spans="2:5" ht="15" customHeight="1">
      <c r="B691" s="94"/>
      <c r="C691" s="71" t="s">
        <v>226</v>
      </c>
      <c r="D691" s="72">
        <v>2</v>
      </c>
      <c r="E691" s="73">
        <v>8.2263902599999999E-5</v>
      </c>
    </row>
    <row r="692" spans="2:5" ht="15" customHeight="1">
      <c r="B692" s="94"/>
      <c r="C692" s="71" t="s">
        <v>232</v>
      </c>
      <c r="D692" s="72">
        <v>1</v>
      </c>
      <c r="E692" s="73">
        <v>4.1131951299999999E-5</v>
      </c>
    </row>
    <row r="693" spans="2:5" ht="15" customHeight="1">
      <c r="B693" s="94"/>
      <c r="C693" s="71" t="s">
        <v>242</v>
      </c>
      <c r="D693" s="72">
        <v>1</v>
      </c>
      <c r="E693" s="73">
        <v>4.1131951299999999E-5</v>
      </c>
    </row>
    <row r="694" spans="2:5" ht="15" customHeight="1">
      <c r="B694" s="95"/>
      <c r="C694" s="36" t="s">
        <v>29</v>
      </c>
      <c r="D694" s="35">
        <v>6</v>
      </c>
      <c r="E694" s="34">
        <v>2.4679170779900002E-4</v>
      </c>
    </row>
    <row r="695" spans="2:5" ht="15" customHeight="1">
      <c r="B695" s="93" t="s">
        <v>141</v>
      </c>
      <c r="C695" s="71" t="s">
        <v>219</v>
      </c>
      <c r="D695" s="72">
        <v>1</v>
      </c>
      <c r="E695" s="73">
        <v>4.1131951299999999E-5</v>
      </c>
    </row>
    <row r="696" spans="2:5" ht="15" customHeight="1">
      <c r="B696" s="94"/>
      <c r="C696" s="71" t="s">
        <v>220</v>
      </c>
      <c r="D696" s="72">
        <v>1</v>
      </c>
      <c r="E696" s="73">
        <v>4.1131951299999999E-5</v>
      </c>
    </row>
    <row r="697" spans="2:5" ht="15" customHeight="1">
      <c r="B697" s="94"/>
      <c r="C697" s="71" t="s">
        <v>221</v>
      </c>
      <c r="D697" s="72">
        <v>3</v>
      </c>
      <c r="E697" s="73">
        <v>1.23395853899E-4</v>
      </c>
    </row>
    <row r="698" spans="2:5" ht="15" customHeight="1">
      <c r="B698" s="94"/>
      <c r="C698" s="71" t="s">
        <v>222</v>
      </c>
      <c r="D698" s="72">
        <v>1</v>
      </c>
      <c r="E698" s="73">
        <v>4.1131951299999999E-5</v>
      </c>
    </row>
    <row r="699" spans="2:5" ht="15" customHeight="1">
      <c r="B699" s="94"/>
      <c r="C699" s="71" t="s">
        <v>223</v>
      </c>
      <c r="D699" s="72">
        <v>5</v>
      </c>
      <c r="E699" s="73">
        <v>2.0565975649899999E-4</v>
      </c>
    </row>
    <row r="700" spans="2:5" ht="15" customHeight="1">
      <c r="B700" s="94"/>
      <c r="C700" s="71" t="s">
        <v>260</v>
      </c>
      <c r="D700" s="72">
        <v>2</v>
      </c>
      <c r="E700" s="73">
        <v>8.2263902599999999E-5</v>
      </c>
    </row>
    <row r="701" spans="2:5" ht="15" customHeight="1">
      <c r="B701" s="94"/>
      <c r="C701" s="71" t="s">
        <v>224</v>
      </c>
      <c r="D701" s="72">
        <v>19</v>
      </c>
      <c r="E701" s="73">
        <v>7.8150707469600001E-4</v>
      </c>
    </row>
    <row r="702" spans="2:5" ht="15" customHeight="1">
      <c r="B702" s="94"/>
      <c r="C702" s="71" t="s">
        <v>225</v>
      </c>
      <c r="D702" s="72">
        <v>1</v>
      </c>
      <c r="E702" s="73">
        <v>4.1131951299999999E-5</v>
      </c>
    </row>
    <row r="703" spans="2:5" ht="15" customHeight="1">
      <c r="B703" s="94"/>
      <c r="C703" s="71" t="s">
        <v>226</v>
      </c>
      <c r="D703" s="72">
        <v>25</v>
      </c>
      <c r="E703" s="73">
        <v>1.0282987824939999E-3</v>
      </c>
    </row>
    <row r="704" spans="2:5" ht="15" customHeight="1">
      <c r="B704" s="94"/>
      <c r="C704" s="71" t="s">
        <v>227</v>
      </c>
      <c r="D704" s="72">
        <v>6</v>
      </c>
      <c r="E704" s="73">
        <v>2.4679170779900002E-4</v>
      </c>
    </row>
    <row r="705" spans="2:5" ht="15" customHeight="1">
      <c r="B705" s="94"/>
      <c r="C705" s="71" t="s">
        <v>244</v>
      </c>
      <c r="D705" s="72">
        <v>8</v>
      </c>
      <c r="E705" s="73">
        <v>3.2905561039800002E-4</v>
      </c>
    </row>
    <row r="706" spans="2:5" ht="15" customHeight="1">
      <c r="B706" s="94"/>
      <c r="C706" s="71" t="s">
        <v>248</v>
      </c>
      <c r="D706" s="72">
        <v>1</v>
      </c>
      <c r="E706" s="73">
        <v>4.1131951299999999E-5</v>
      </c>
    </row>
    <row r="707" spans="2:5" ht="15" customHeight="1">
      <c r="B707" s="94"/>
      <c r="C707" s="71" t="s">
        <v>256</v>
      </c>
      <c r="D707" s="72">
        <v>1</v>
      </c>
      <c r="E707" s="73">
        <v>4.1131951299999999E-5</v>
      </c>
    </row>
    <row r="708" spans="2:5" ht="15" customHeight="1">
      <c r="B708" s="94"/>
      <c r="C708" s="71" t="s">
        <v>228</v>
      </c>
      <c r="D708" s="72">
        <v>1</v>
      </c>
      <c r="E708" s="73">
        <v>4.1131951299999999E-5</v>
      </c>
    </row>
    <row r="709" spans="2:5" ht="15" customHeight="1">
      <c r="B709" s="94"/>
      <c r="C709" s="71" t="s">
        <v>250</v>
      </c>
      <c r="D709" s="72">
        <v>3</v>
      </c>
      <c r="E709" s="73">
        <v>1.23395853899E-4</v>
      </c>
    </row>
    <row r="710" spans="2:5" ht="15" customHeight="1">
      <c r="B710" s="94"/>
      <c r="C710" s="71" t="s">
        <v>229</v>
      </c>
      <c r="D710" s="72">
        <v>2</v>
      </c>
      <c r="E710" s="73">
        <v>8.2263902599999999E-5</v>
      </c>
    </row>
    <row r="711" spans="2:5" ht="15" customHeight="1">
      <c r="B711" s="94"/>
      <c r="C711" s="71" t="s">
        <v>230</v>
      </c>
      <c r="D711" s="72">
        <v>36</v>
      </c>
      <c r="E711" s="73">
        <v>1.4807502467919999E-3</v>
      </c>
    </row>
    <row r="712" spans="2:5" ht="15" customHeight="1">
      <c r="B712" s="94"/>
      <c r="C712" s="71" t="s">
        <v>232</v>
      </c>
      <c r="D712" s="72">
        <v>7</v>
      </c>
      <c r="E712" s="73">
        <v>2.8792365909800001E-4</v>
      </c>
    </row>
    <row r="713" spans="2:5" ht="15" customHeight="1">
      <c r="B713" s="94"/>
      <c r="C713" s="71" t="s">
        <v>234</v>
      </c>
      <c r="D713" s="72">
        <v>5</v>
      </c>
      <c r="E713" s="73">
        <v>2.0565975649899999E-4</v>
      </c>
    </row>
    <row r="714" spans="2:5" ht="15" customHeight="1">
      <c r="B714" s="94"/>
      <c r="C714" s="71" t="s">
        <v>258</v>
      </c>
      <c r="D714" s="72">
        <v>1</v>
      </c>
      <c r="E714" s="73">
        <v>4.1131951299999999E-5</v>
      </c>
    </row>
    <row r="715" spans="2:5" ht="15" customHeight="1">
      <c r="B715" s="94"/>
      <c r="C715" s="71" t="s">
        <v>235</v>
      </c>
      <c r="D715" s="72">
        <v>26</v>
      </c>
      <c r="E715" s="73">
        <v>1.0694307337940001E-3</v>
      </c>
    </row>
    <row r="716" spans="2:5" ht="15" customHeight="1">
      <c r="B716" s="94"/>
      <c r="C716" s="71" t="s">
        <v>236</v>
      </c>
      <c r="D716" s="72">
        <v>6</v>
      </c>
      <c r="E716" s="73">
        <v>2.4679170779900002E-4</v>
      </c>
    </row>
    <row r="717" spans="2:5" ht="15" customHeight="1">
      <c r="B717" s="94"/>
      <c r="C717" s="71" t="s">
        <v>237</v>
      </c>
      <c r="D717" s="72">
        <v>11</v>
      </c>
      <c r="E717" s="73">
        <v>4.5245146429700003E-4</v>
      </c>
    </row>
    <row r="718" spans="2:5" ht="15" customHeight="1">
      <c r="B718" s="94"/>
      <c r="C718" s="71" t="s">
        <v>238</v>
      </c>
      <c r="D718" s="72">
        <v>33</v>
      </c>
      <c r="E718" s="73">
        <v>1.357354392892E-3</v>
      </c>
    </row>
    <row r="719" spans="2:5" ht="15" customHeight="1">
      <c r="B719" s="94"/>
      <c r="C719" s="71" t="s">
        <v>239</v>
      </c>
      <c r="D719" s="72">
        <v>25</v>
      </c>
      <c r="E719" s="73">
        <v>1.0282987824939999E-3</v>
      </c>
    </row>
    <row r="720" spans="2:5" ht="15" customHeight="1">
      <c r="B720" s="94"/>
      <c r="C720" s="71" t="s">
        <v>240</v>
      </c>
      <c r="D720" s="72">
        <v>10</v>
      </c>
      <c r="E720" s="73">
        <v>4.1131951299799998E-4</v>
      </c>
    </row>
    <row r="721" spans="2:5" ht="15" customHeight="1">
      <c r="B721" s="94"/>
      <c r="C721" s="71" t="s">
        <v>241</v>
      </c>
      <c r="D721" s="72">
        <v>1</v>
      </c>
      <c r="E721" s="73">
        <v>4.1131951299999999E-5</v>
      </c>
    </row>
    <row r="722" spans="2:5" ht="15" customHeight="1">
      <c r="B722" s="94"/>
      <c r="C722" s="71" t="s">
        <v>242</v>
      </c>
      <c r="D722" s="72">
        <v>22</v>
      </c>
      <c r="E722" s="73">
        <v>9.0490292859500001E-4</v>
      </c>
    </row>
    <row r="723" spans="2:5" ht="15" customHeight="1">
      <c r="B723" s="94"/>
      <c r="C723" s="71" t="s">
        <v>245</v>
      </c>
      <c r="D723" s="72">
        <v>1</v>
      </c>
      <c r="E723" s="73">
        <v>4.1131951299999999E-5</v>
      </c>
    </row>
    <row r="724" spans="2:5" ht="15" customHeight="1">
      <c r="B724" s="94"/>
      <c r="C724" s="71" t="s">
        <v>243</v>
      </c>
      <c r="D724" s="72">
        <v>3</v>
      </c>
      <c r="E724" s="73">
        <v>1.23395853899E-4</v>
      </c>
    </row>
    <row r="725" spans="2:5" ht="15" customHeight="1">
      <c r="B725" s="95"/>
      <c r="C725" s="36" t="s">
        <v>29</v>
      </c>
      <c r="D725" s="35">
        <v>267</v>
      </c>
      <c r="E725" s="34">
        <v>1.0982230997039001E-2</v>
      </c>
    </row>
    <row r="726" spans="2:5" ht="15" customHeight="1">
      <c r="B726" s="93" t="s">
        <v>142</v>
      </c>
      <c r="C726" s="71" t="s">
        <v>219</v>
      </c>
      <c r="D726" s="72">
        <v>119</v>
      </c>
      <c r="E726" s="73">
        <v>4.8947022046729998E-3</v>
      </c>
    </row>
    <row r="727" spans="2:5" ht="15" customHeight="1">
      <c r="B727" s="94"/>
      <c r="C727" s="71" t="s">
        <v>220</v>
      </c>
      <c r="D727" s="72">
        <v>147</v>
      </c>
      <c r="E727" s="73">
        <v>6.0463968410659997E-3</v>
      </c>
    </row>
    <row r="728" spans="2:5" ht="15" customHeight="1">
      <c r="B728" s="94"/>
      <c r="C728" s="71" t="s">
        <v>221</v>
      </c>
      <c r="D728" s="72">
        <v>145</v>
      </c>
      <c r="E728" s="73">
        <v>5.9641329384669999E-3</v>
      </c>
    </row>
    <row r="729" spans="2:5" ht="15" customHeight="1">
      <c r="B729" s="94"/>
      <c r="C729" s="71" t="s">
        <v>246</v>
      </c>
      <c r="D729" s="72">
        <v>36</v>
      </c>
      <c r="E729" s="73">
        <v>1.4807502467919999E-3</v>
      </c>
    </row>
    <row r="730" spans="2:5" ht="15" customHeight="1">
      <c r="B730" s="94"/>
      <c r="C730" s="71" t="s">
        <v>222</v>
      </c>
      <c r="D730" s="72">
        <v>107</v>
      </c>
      <c r="E730" s="73">
        <v>4.4011187890749997E-3</v>
      </c>
    </row>
    <row r="731" spans="2:5" ht="15" customHeight="1">
      <c r="B731" s="94"/>
      <c r="C731" s="71" t="s">
        <v>223</v>
      </c>
      <c r="D731" s="72">
        <v>51</v>
      </c>
      <c r="E731" s="73">
        <v>2.0977295162880002E-3</v>
      </c>
    </row>
    <row r="732" spans="2:5" ht="15" customHeight="1">
      <c r="B732" s="94"/>
      <c r="C732" s="71" t="s">
        <v>247</v>
      </c>
      <c r="D732" s="72">
        <v>178</v>
      </c>
      <c r="E732" s="73">
        <v>7.3214873313589999E-3</v>
      </c>
    </row>
    <row r="733" spans="2:5" ht="15" customHeight="1">
      <c r="B733" s="94"/>
      <c r="C733" s="71" t="s">
        <v>260</v>
      </c>
      <c r="D733" s="72">
        <v>26</v>
      </c>
      <c r="E733" s="73">
        <v>1.0694307337940001E-3</v>
      </c>
    </row>
    <row r="734" spans="2:5" ht="15" customHeight="1">
      <c r="B734" s="94"/>
      <c r="C734" s="71" t="s">
        <v>224</v>
      </c>
      <c r="D734" s="72">
        <v>605</v>
      </c>
      <c r="E734" s="73">
        <v>2.4884830536361001E-2</v>
      </c>
    </row>
    <row r="735" spans="2:5" ht="15" customHeight="1">
      <c r="B735" s="94"/>
      <c r="C735" s="71" t="s">
        <v>225</v>
      </c>
      <c r="D735" s="72">
        <v>47</v>
      </c>
      <c r="E735" s="73">
        <v>1.933201711089E-3</v>
      </c>
    </row>
    <row r="736" spans="2:5" ht="15" customHeight="1">
      <c r="B736" s="94"/>
      <c r="C736" s="71" t="s">
        <v>226</v>
      </c>
      <c r="D736" s="72">
        <v>1207</v>
      </c>
      <c r="E736" s="73">
        <v>4.9646265218821997E-2</v>
      </c>
    </row>
    <row r="737" spans="2:5" ht="15" customHeight="1">
      <c r="B737" s="94"/>
      <c r="C737" s="71" t="s">
        <v>227</v>
      </c>
      <c r="D737" s="72">
        <v>250</v>
      </c>
      <c r="E737" s="73">
        <v>1.0282987824942001E-2</v>
      </c>
    </row>
    <row r="738" spans="2:5" ht="15" customHeight="1">
      <c r="B738" s="94"/>
      <c r="C738" s="71" t="s">
        <v>262</v>
      </c>
      <c r="D738" s="72">
        <v>27</v>
      </c>
      <c r="E738" s="73">
        <v>1.110562685094E-3</v>
      </c>
    </row>
    <row r="739" spans="2:5" ht="15" customHeight="1">
      <c r="B739" s="94"/>
      <c r="C739" s="71" t="s">
        <v>244</v>
      </c>
      <c r="D739" s="72">
        <v>252</v>
      </c>
      <c r="E739" s="73">
        <v>1.0365251727542E-2</v>
      </c>
    </row>
    <row r="740" spans="2:5" ht="15" customHeight="1">
      <c r="B740" s="94"/>
      <c r="C740" s="71" t="s">
        <v>248</v>
      </c>
      <c r="D740" s="72">
        <v>23</v>
      </c>
      <c r="E740" s="73">
        <v>9.4603487989499996E-4</v>
      </c>
    </row>
    <row r="741" spans="2:5" ht="15" customHeight="1">
      <c r="B741" s="94"/>
      <c r="C741" s="71" t="s">
        <v>249</v>
      </c>
      <c r="D741" s="72">
        <v>40</v>
      </c>
      <c r="E741" s="73">
        <v>1.6452780519910001E-3</v>
      </c>
    </row>
    <row r="742" spans="2:5" ht="15" customHeight="1">
      <c r="B742" s="94"/>
      <c r="C742" s="71" t="s">
        <v>256</v>
      </c>
      <c r="D742" s="72">
        <v>110</v>
      </c>
      <c r="E742" s="73">
        <v>4.5245146429749999E-3</v>
      </c>
    </row>
    <row r="743" spans="2:5" ht="15" customHeight="1">
      <c r="B743" s="94"/>
      <c r="C743" s="71" t="s">
        <v>228</v>
      </c>
      <c r="D743" s="72">
        <v>64</v>
      </c>
      <c r="E743" s="73">
        <v>2.6324448831849998E-3</v>
      </c>
    </row>
    <row r="744" spans="2:5" ht="15" customHeight="1">
      <c r="B744" s="94"/>
      <c r="C744" s="71" t="s">
        <v>250</v>
      </c>
      <c r="D744" s="72">
        <v>66</v>
      </c>
      <c r="E744" s="73">
        <v>2.7147087857850001E-3</v>
      </c>
    </row>
    <row r="745" spans="2:5" ht="15" customHeight="1">
      <c r="B745" s="94"/>
      <c r="C745" s="71" t="s">
        <v>229</v>
      </c>
      <c r="D745" s="72">
        <v>135</v>
      </c>
      <c r="E745" s="73">
        <v>5.5528134254689996E-3</v>
      </c>
    </row>
    <row r="746" spans="2:5" ht="15" customHeight="1">
      <c r="B746" s="94"/>
      <c r="C746" s="71" t="s">
        <v>257</v>
      </c>
      <c r="D746" s="72">
        <v>16</v>
      </c>
      <c r="E746" s="73">
        <v>6.5811122079600004E-4</v>
      </c>
    </row>
    <row r="747" spans="2:5" ht="15" customHeight="1">
      <c r="B747" s="94"/>
      <c r="C747" s="71" t="s">
        <v>230</v>
      </c>
      <c r="D747" s="72">
        <v>3743</v>
      </c>
      <c r="E747" s="73">
        <v>0.15395689371503801</v>
      </c>
    </row>
    <row r="748" spans="2:5" ht="15" customHeight="1">
      <c r="B748" s="94"/>
      <c r="C748" s="71" t="s">
        <v>251</v>
      </c>
      <c r="D748" s="72">
        <v>53</v>
      </c>
      <c r="E748" s="73">
        <v>2.1799934188880001E-3</v>
      </c>
    </row>
    <row r="749" spans="2:5" ht="15" customHeight="1">
      <c r="B749" s="94"/>
      <c r="C749" s="71" t="s">
        <v>231</v>
      </c>
      <c r="D749" s="72">
        <v>331</v>
      </c>
      <c r="E749" s="73">
        <v>1.3614675880223999E-2</v>
      </c>
    </row>
    <row r="750" spans="2:5" ht="15" customHeight="1">
      <c r="B750" s="94"/>
      <c r="C750" s="71" t="s">
        <v>252</v>
      </c>
      <c r="D750" s="72">
        <v>33</v>
      </c>
      <c r="E750" s="73">
        <v>1.357354392892E-3</v>
      </c>
    </row>
    <row r="751" spans="2:5" ht="15" customHeight="1">
      <c r="B751" s="94"/>
      <c r="C751" s="71" t="s">
        <v>253</v>
      </c>
      <c r="D751" s="72">
        <v>51</v>
      </c>
      <c r="E751" s="73">
        <v>2.0977295162880002E-3</v>
      </c>
    </row>
    <row r="752" spans="2:5" ht="15" customHeight="1">
      <c r="B752" s="94"/>
      <c r="C752" s="71" t="s">
        <v>254</v>
      </c>
      <c r="D752" s="72">
        <v>23</v>
      </c>
      <c r="E752" s="73">
        <v>9.4603487989499996E-4</v>
      </c>
    </row>
    <row r="753" spans="2:5" ht="15" customHeight="1">
      <c r="B753" s="94"/>
      <c r="C753" s="71" t="s">
        <v>232</v>
      </c>
      <c r="D753" s="72">
        <v>2140</v>
      </c>
      <c r="E753" s="73">
        <v>8.8022375781506998E-2</v>
      </c>
    </row>
    <row r="754" spans="2:5" ht="15" customHeight="1">
      <c r="B754" s="94"/>
      <c r="C754" s="71" t="s">
        <v>233</v>
      </c>
      <c r="D754" s="72">
        <v>15</v>
      </c>
      <c r="E754" s="73">
        <v>6.1697926949700005E-4</v>
      </c>
    </row>
    <row r="755" spans="2:5" ht="15" customHeight="1">
      <c r="B755" s="94"/>
      <c r="C755" s="71" t="s">
        <v>234</v>
      </c>
      <c r="D755" s="72">
        <v>121</v>
      </c>
      <c r="E755" s="73">
        <v>4.9769661072719996E-3</v>
      </c>
    </row>
    <row r="756" spans="2:5" ht="15" customHeight="1">
      <c r="B756" s="94"/>
      <c r="C756" s="71" t="s">
        <v>258</v>
      </c>
      <c r="D756" s="72">
        <v>76</v>
      </c>
      <c r="E756" s="73">
        <v>3.1260282987819999E-3</v>
      </c>
    </row>
    <row r="757" spans="2:5" ht="15" customHeight="1">
      <c r="B757" s="94"/>
      <c r="C757" s="71" t="s">
        <v>261</v>
      </c>
      <c r="D757" s="72">
        <v>13</v>
      </c>
      <c r="E757" s="73">
        <v>5.3471536689700004E-4</v>
      </c>
    </row>
    <row r="758" spans="2:5" ht="15" customHeight="1">
      <c r="B758" s="94"/>
      <c r="C758" s="71" t="s">
        <v>235</v>
      </c>
      <c r="D758" s="72">
        <v>3394</v>
      </c>
      <c r="E758" s="73">
        <v>0.13960184271141801</v>
      </c>
    </row>
    <row r="759" spans="2:5" ht="15" customHeight="1">
      <c r="B759" s="94"/>
      <c r="C759" s="71" t="s">
        <v>236</v>
      </c>
      <c r="D759" s="72">
        <v>1233</v>
      </c>
      <c r="E759" s="73">
        <v>5.0715695952615998E-2</v>
      </c>
    </row>
    <row r="760" spans="2:5" ht="15" customHeight="1">
      <c r="B760" s="94"/>
      <c r="C760" s="71" t="s">
        <v>259</v>
      </c>
      <c r="D760" s="72">
        <v>54</v>
      </c>
      <c r="E760" s="73">
        <v>2.2211253701880001E-3</v>
      </c>
    </row>
    <row r="761" spans="2:5" ht="15" customHeight="1">
      <c r="B761" s="94"/>
      <c r="C761" s="71" t="s">
        <v>237</v>
      </c>
      <c r="D761" s="72">
        <v>744</v>
      </c>
      <c r="E761" s="73">
        <v>3.0602171767029E-2</v>
      </c>
    </row>
    <row r="762" spans="2:5" ht="15" customHeight="1">
      <c r="B762" s="94"/>
      <c r="C762" s="71" t="s">
        <v>263</v>
      </c>
      <c r="D762" s="72">
        <v>4</v>
      </c>
      <c r="E762" s="73">
        <v>1.6452780519900001E-4</v>
      </c>
    </row>
    <row r="763" spans="2:5" ht="15" customHeight="1">
      <c r="B763" s="94"/>
      <c r="C763" s="71" t="s">
        <v>238</v>
      </c>
      <c r="D763" s="72">
        <v>205</v>
      </c>
      <c r="E763" s="73">
        <v>8.4320500164530004E-3</v>
      </c>
    </row>
    <row r="764" spans="2:5" ht="15" customHeight="1">
      <c r="B764" s="94"/>
      <c r="C764" s="71" t="s">
        <v>239</v>
      </c>
      <c r="D764" s="72">
        <v>1029</v>
      </c>
      <c r="E764" s="73">
        <v>4.2324777887463E-2</v>
      </c>
    </row>
    <row r="765" spans="2:5" ht="15" customHeight="1">
      <c r="B765" s="94"/>
      <c r="C765" s="71" t="s">
        <v>240</v>
      </c>
      <c r="D765" s="72">
        <v>651</v>
      </c>
      <c r="E765" s="73">
        <v>2.677690029615E-2</v>
      </c>
    </row>
    <row r="766" spans="2:5" ht="15" customHeight="1">
      <c r="B766" s="94"/>
      <c r="C766" s="71" t="s">
        <v>241</v>
      </c>
      <c r="D766" s="72">
        <v>944</v>
      </c>
      <c r="E766" s="73">
        <v>3.8828562026983003E-2</v>
      </c>
    </row>
    <row r="767" spans="2:5" ht="15" customHeight="1">
      <c r="B767" s="94"/>
      <c r="C767" s="71" t="s">
        <v>242</v>
      </c>
      <c r="D767" s="72">
        <v>681</v>
      </c>
      <c r="E767" s="73">
        <v>2.8010858835142999E-2</v>
      </c>
    </row>
    <row r="768" spans="2:5" ht="15" customHeight="1">
      <c r="B768" s="94"/>
      <c r="C768" s="71" t="s">
        <v>245</v>
      </c>
      <c r="D768" s="72">
        <v>36</v>
      </c>
      <c r="E768" s="73">
        <v>1.4807502467919999E-3</v>
      </c>
    </row>
    <row r="769" spans="2:5" ht="15" customHeight="1">
      <c r="B769" s="94"/>
      <c r="C769" s="71" t="s">
        <v>243</v>
      </c>
      <c r="D769" s="72">
        <v>115</v>
      </c>
      <c r="E769" s="73">
        <v>4.7301743994740001E-3</v>
      </c>
    </row>
    <row r="770" spans="2:5" ht="15" customHeight="1">
      <c r="B770" s="95"/>
      <c r="C770" s="36" t="s">
        <v>29</v>
      </c>
      <c r="D770" s="35">
        <v>19340</v>
      </c>
      <c r="E770" s="34">
        <v>0.79549193813754504</v>
      </c>
    </row>
    <row r="771" spans="2:5" ht="15" customHeight="1">
      <c r="B771" s="93" t="s">
        <v>143</v>
      </c>
      <c r="C771" s="71" t="s">
        <v>226</v>
      </c>
      <c r="D771" s="72">
        <v>1</v>
      </c>
      <c r="E771" s="73">
        <v>4.1131951299999999E-5</v>
      </c>
    </row>
    <row r="772" spans="2:5" ht="15" customHeight="1">
      <c r="B772" s="94"/>
      <c r="C772" s="71" t="s">
        <v>230</v>
      </c>
      <c r="D772" s="72">
        <v>4</v>
      </c>
      <c r="E772" s="73">
        <v>1.6452780519900001E-4</v>
      </c>
    </row>
    <row r="773" spans="2:5" ht="15" customHeight="1">
      <c r="B773" s="94"/>
      <c r="C773" s="71" t="s">
        <v>232</v>
      </c>
      <c r="D773" s="72">
        <v>1</v>
      </c>
      <c r="E773" s="73">
        <v>4.1131951299999999E-5</v>
      </c>
    </row>
    <row r="774" spans="2:5" ht="15" customHeight="1">
      <c r="B774" s="94"/>
      <c r="C774" s="71" t="s">
        <v>235</v>
      </c>
      <c r="D774" s="72">
        <v>1</v>
      </c>
      <c r="E774" s="73">
        <v>4.1131951299999999E-5</v>
      </c>
    </row>
    <row r="775" spans="2:5" ht="15" customHeight="1">
      <c r="B775" s="94"/>
      <c r="C775" s="71" t="s">
        <v>236</v>
      </c>
      <c r="D775" s="72">
        <v>1</v>
      </c>
      <c r="E775" s="73">
        <v>4.1131951299999999E-5</v>
      </c>
    </row>
    <row r="776" spans="2:5" ht="15" customHeight="1">
      <c r="B776" s="94"/>
      <c r="C776" s="71" t="s">
        <v>238</v>
      </c>
      <c r="D776" s="72">
        <v>1</v>
      </c>
      <c r="E776" s="73">
        <v>4.1131951299999999E-5</v>
      </c>
    </row>
    <row r="777" spans="2:5" ht="15" customHeight="1">
      <c r="B777" s="94"/>
      <c r="C777" s="71" t="s">
        <v>239</v>
      </c>
      <c r="D777" s="72">
        <v>3</v>
      </c>
      <c r="E777" s="73">
        <v>1.23395853899E-4</v>
      </c>
    </row>
    <row r="778" spans="2:5" ht="15" customHeight="1">
      <c r="B778" s="94"/>
      <c r="C778" s="71" t="s">
        <v>240</v>
      </c>
      <c r="D778" s="72">
        <v>1</v>
      </c>
      <c r="E778" s="73">
        <v>4.1131951299999999E-5</v>
      </c>
    </row>
    <row r="779" spans="2:5" ht="15" customHeight="1">
      <c r="B779" s="94"/>
      <c r="C779" s="71" t="s">
        <v>242</v>
      </c>
      <c r="D779" s="72">
        <v>2</v>
      </c>
      <c r="E779" s="73">
        <v>8.2263902599999999E-5</v>
      </c>
    </row>
    <row r="780" spans="2:5" ht="15" customHeight="1">
      <c r="B780" s="94"/>
      <c r="C780" s="71" t="s">
        <v>243</v>
      </c>
      <c r="D780" s="72">
        <v>1</v>
      </c>
      <c r="E780" s="73">
        <v>4.1131951299999999E-5</v>
      </c>
    </row>
    <row r="781" spans="2:5" ht="15" customHeight="1">
      <c r="B781" s="95"/>
      <c r="C781" s="36" t="s">
        <v>29</v>
      </c>
      <c r="D781" s="35">
        <v>16</v>
      </c>
      <c r="E781" s="34">
        <v>6.5811122079600004E-4</v>
      </c>
    </row>
    <row r="782" spans="2:5" ht="15" customHeight="1">
      <c r="B782" s="93" t="s">
        <v>144</v>
      </c>
      <c r="C782" s="71" t="s">
        <v>230</v>
      </c>
      <c r="D782" s="72">
        <v>1</v>
      </c>
      <c r="E782" s="73">
        <v>4.1131951299999999E-5</v>
      </c>
    </row>
    <row r="783" spans="2:5" ht="15" customHeight="1">
      <c r="B783" s="95"/>
      <c r="C783" s="36" t="s">
        <v>29</v>
      </c>
      <c r="D783" s="35">
        <v>1</v>
      </c>
      <c r="E783" s="34">
        <v>4.1131951299999999E-5</v>
      </c>
    </row>
    <row r="784" spans="2:5" ht="15" customHeight="1">
      <c r="B784" s="93" t="s">
        <v>145</v>
      </c>
      <c r="C784" s="71" t="s">
        <v>220</v>
      </c>
      <c r="D784" s="72">
        <v>2</v>
      </c>
      <c r="E784" s="73">
        <v>8.2263902599999999E-5</v>
      </c>
    </row>
    <row r="785" spans="2:5" ht="15" customHeight="1">
      <c r="B785" s="94"/>
      <c r="C785" s="71" t="s">
        <v>223</v>
      </c>
      <c r="D785" s="72">
        <v>2</v>
      </c>
      <c r="E785" s="73">
        <v>8.2263902599999999E-5</v>
      </c>
    </row>
    <row r="786" spans="2:5" ht="15" customHeight="1">
      <c r="B786" s="94"/>
      <c r="C786" s="71" t="s">
        <v>247</v>
      </c>
      <c r="D786" s="72">
        <v>1</v>
      </c>
      <c r="E786" s="73">
        <v>4.1131951299999999E-5</v>
      </c>
    </row>
    <row r="787" spans="2:5" ht="15" customHeight="1">
      <c r="B787" s="94"/>
      <c r="C787" s="71" t="s">
        <v>224</v>
      </c>
      <c r="D787" s="72">
        <v>4</v>
      </c>
      <c r="E787" s="73">
        <v>1.6452780519900001E-4</v>
      </c>
    </row>
    <row r="788" spans="2:5" ht="15" customHeight="1">
      <c r="B788" s="94"/>
      <c r="C788" s="71" t="s">
        <v>226</v>
      </c>
      <c r="D788" s="72">
        <v>6</v>
      </c>
      <c r="E788" s="73">
        <v>2.4679170779900002E-4</v>
      </c>
    </row>
    <row r="789" spans="2:5" ht="15" customHeight="1">
      <c r="B789" s="94"/>
      <c r="C789" s="71" t="s">
        <v>227</v>
      </c>
      <c r="D789" s="72">
        <v>2</v>
      </c>
      <c r="E789" s="73">
        <v>8.2263902599999999E-5</v>
      </c>
    </row>
    <row r="790" spans="2:5" ht="15" customHeight="1">
      <c r="B790" s="94"/>
      <c r="C790" s="71" t="s">
        <v>249</v>
      </c>
      <c r="D790" s="72">
        <v>2</v>
      </c>
      <c r="E790" s="73">
        <v>8.2263902599999999E-5</v>
      </c>
    </row>
    <row r="791" spans="2:5" ht="15" customHeight="1">
      <c r="B791" s="94"/>
      <c r="C791" s="71" t="s">
        <v>230</v>
      </c>
      <c r="D791" s="72">
        <v>10</v>
      </c>
      <c r="E791" s="73">
        <v>4.1131951299799998E-4</v>
      </c>
    </row>
    <row r="792" spans="2:5" ht="15" customHeight="1">
      <c r="B792" s="94"/>
      <c r="C792" s="71" t="s">
        <v>232</v>
      </c>
      <c r="D792" s="72">
        <v>5</v>
      </c>
      <c r="E792" s="73">
        <v>2.0565975649899999E-4</v>
      </c>
    </row>
    <row r="793" spans="2:5" ht="15" customHeight="1">
      <c r="B793" s="94"/>
      <c r="C793" s="71" t="s">
        <v>233</v>
      </c>
      <c r="D793" s="72">
        <v>1</v>
      </c>
      <c r="E793" s="73">
        <v>4.1131951299999999E-5</v>
      </c>
    </row>
    <row r="794" spans="2:5" ht="15" customHeight="1">
      <c r="B794" s="94"/>
      <c r="C794" s="71" t="s">
        <v>235</v>
      </c>
      <c r="D794" s="72">
        <v>5</v>
      </c>
      <c r="E794" s="73">
        <v>2.0565975649899999E-4</v>
      </c>
    </row>
    <row r="795" spans="2:5" ht="15" customHeight="1">
      <c r="B795" s="94"/>
      <c r="C795" s="71" t="s">
        <v>236</v>
      </c>
      <c r="D795" s="72">
        <v>3</v>
      </c>
      <c r="E795" s="73">
        <v>1.23395853899E-4</v>
      </c>
    </row>
    <row r="796" spans="2:5" ht="15" customHeight="1">
      <c r="B796" s="94"/>
      <c r="C796" s="71" t="s">
        <v>238</v>
      </c>
      <c r="D796" s="72">
        <v>1</v>
      </c>
      <c r="E796" s="73">
        <v>4.1131951299999999E-5</v>
      </c>
    </row>
    <row r="797" spans="2:5" ht="15" customHeight="1">
      <c r="B797" s="94"/>
      <c r="C797" s="71" t="s">
        <v>239</v>
      </c>
      <c r="D797" s="72">
        <v>15</v>
      </c>
      <c r="E797" s="73">
        <v>6.1697926949700005E-4</v>
      </c>
    </row>
    <row r="798" spans="2:5" ht="15" customHeight="1">
      <c r="B798" s="94"/>
      <c r="C798" s="71" t="s">
        <v>240</v>
      </c>
      <c r="D798" s="72">
        <v>1</v>
      </c>
      <c r="E798" s="73">
        <v>4.1131951299999999E-5</v>
      </c>
    </row>
    <row r="799" spans="2:5" ht="15" customHeight="1">
      <c r="B799" s="94"/>
      <c r="C799" s="71" t="s">
        <v>242</v>
      </c>
      <c r="D799" s="72">
        <v>4</v>
      </c>
      <c r="E799" s="73">
        <v>1.6452780519900001E-4</v>
      </c>
    </row>
    <row r="800" spans="2:5" ht="15" customHeight="1">
      <c r="B800" s="95"/>
      <c r="C800" s="36" t="s">
        <v>29</v>
      </c>
      <c r="D800" s="35">
        <v>64</v>
      </c>
      <c r="E800" s="34">
        <v>2.6324448831849998E-3</v>
      </c>
    </row>
    <row r="801" spans="2:5" ht="15" customHeight="1">
      <c r="B801" s="93" t="s">
        <v>70</v>
      </c>
      <c r="C801" s="71" t="s">
        <v>224</v>
      </c>
      <c r="D801" s="72">
        <v>1</v>
      </c>
      <c r="E801" s="73">
        <v>4.1131951299999999E-5</v>
      </c>
    </row>
    <row r="802" spans="2:5" ht="15" customHeight="1">
      <c r="B802" s="94"/>
      <c r="C802" s="71" t="s">
        <v>230</v>
      </c>
      <c r="D802" s="72">
        <v>1</v>
      </c>
      <c r="E802" s="73">
        <v>4.1131951299999999E-5</v>
      </c>
    </row>
    <row r="803" spans="2:5" ht="15" customHeight="1">
      <c r="B803" s="94"/>
      <c r="C803" s="71" t="s">
        <v>238</v>
      </c>
      <c r="D803" s="72">
        <v>1</v>
      </c>
      <c r="E803" s="73">
        <v>4.1131951299999999E-5</v>
      </c>
    </row>
    <row r="804" spans="2:5" ht="15" customHeight="1">
      <c r="B804" s="94"/>
      <c r="C804" s="71" t="s">
        <v>239</v>
      </c>
      <c r="D804" s="72">
        <v>1</v>
      </c>
      <c r="E804" s="73">
        <v>4.1131951299999999E-5</v>
      </c>
    </row>
    <row r="805" spans="2:5" ht="15" customHeight="1">
      <c r="B805" s="95"/>
      <c r="C805" s="36" t="s">
        <v>29</v>
      </c>
      <c r="D805" s="35">
        <v>4</v>
      </c>
      <c r="E805" s="34">
        <v>1.6452780519900001E-4</v>
      </c>
    </row>
    <row r="806" spans="2:5" ht="15" customHeight="1">
      <c r="B806" s="93" t="s">
        <v>146</v>
      </c>
      <c r="C806" s="71" t="s">
        <v>239</v>
      </c>
      <c r="D806" s="72">
        <v>1</v>
      </c>
      <c r="E806" s="73">
        <v>4.1131951299999999E-5</v>
      </c>
    </row>
    <row r="807" spans="2:5" ht="15" customHeight="1">
      <c r="B807" s="95"/>
      <c r="C807" s="36" t="s">
        <v>29</v>
      </c>
      <c r="D807" s="35">
        <v>1</v>
      </c>
      <c r="E807" s="34">
        <v>4.1131951299999999E-5</v>
      </c>
    </row>
    <row r="808" spans="2:5" ht="15" customHeight="1">
      <c r="B808" s="93" t="s">
        <v>147</v>
      </c>
      <c r="C808" s="71" t="s">
        <v>221</v>
      </c>
      <c r="D808" s="72">
        <v>1</v>
      </c>
      <c r="E808" s="73">
        <v>4.1131951299999999E-5</v>
      </c>
    </row>
    <row r="809" spans="2:5" ht="15" customHeight="1">
      <c r="B809" s="94"/>
      <c r="C809" s="71" t="s">
        <v>222</v>
      </c>
      <c r="D809" s="72">
        <v>1</v>
      </c>
      <c r="E809" s="73">
        <v>4.1131951299999999E-5</v>
      </c>
    </row>
    <row r="810" spans="2:5" ht="15" customHeight="1">
      <c r="B810" s="94"/>
      <c r="C810" s="71" t="s">
        <v>247</v>
      </c>
      <c r="D810" s="72">
        <v>1</v>
      </c>
      <c r="E810" s="73">
        <v>4.1131951299999999E-5</v>
      </c>
    </row>
    <row r="811" spans="2:5" ht="15" customHeight="1">
      <c r="B811" s="94"/>
      <c r="C811" s="71" t="s">
        <v>225</v>
      </c>
      <c r="D811" s="72">
        <v>1</v>
      </c>
      <c r="E811" s="73">
        <v>4.1131951299999999E-5</v>
      </c>
    </row>
    <row r="812" spans="2:5" ht="15" customHeight="1">
      <c r="B812" s="94"/>
      <c r="C812" s="71" t="s">
        <v>226</v>
      </c>
      <c r="D812" s="72">
        <v>4</v>
      </c>
      <c r="E812" s="73">
        <v>1.6452780519900001E-4</v>
      </c>
    </row>
    <row r="813" spans="2:5" ht="15" customHeight="1">
      <c r="B813" s="94"/>
      <c r="C813" s="71" t="s">
        <v>227</v>
      </c>
      <c r="D813" s="72">
        <v>1</v>
      </c>
      <c r="E813" s="73">
        <v>4.1131951299999999E-5</v>
      </c>
    </row>
    <row r="814" spans="2:5" ht="15" customHeight="1">
      <c r="B814" s="94"/>
      <c r="C814" s="71" t="s">
        <v>248</v>
      </c>
      <c r="D814" s="72">
        <v>1</v>
      </c>
      <c r="E814" s="73">
        <v>4.1131951299999999E-5</v>
      </c>
    </row>
    <row r="815" spans="2:5" ht="15" customHeight="1">
      <c r="B815" s="94"/>
      <c r="C815" s="71" t="s">
        <v>228</v>
      </c>
      <c r="D815" s="72">
        <v>2</v>
      </c>
      <c r="E815" s="73">
        <v>8.2263902599999999E-5</v>
      </c>
    </row>
    <row r="816" spans="2:5" ht="15" customHeight="1">
      <c r="B816" s="94"/>
      <c r="C816" s="71" t="s">
        <v>250</v>
      </c>
      <c r="D816" s="72">
        <v>1</v>
      </c>
      <c r="E816" s="73">
        <v>4.1131951299999999E-5</v>
      </c>
    </row>
    <row r="817" spans="2:5" ht="15" customHeight="1">
      <c r="B817" s="94"/>
      <c r="C817" s="71" t="s">
        <v>230</v>
      </c>
      <c r="D817" s="72">
        <v>5</v>
      </c>
      <c r="E817" s="73">
        <v>2.0565975649899999E-4</v>
      </c>
    </row>
    <row r="818" spans="2:5" ht="15" customHeight="1">
      <c r="B818" s="94"/>
      <c r="C818" s="71" t="s">
        <v>232</v>
      </c>
      <c r="D818" s="72">
        <v>13</v>
      </c>
      <c r="E818" s="73">
        <v>5.3471536689700004E-4</v>
      </c>
    </row>
    <row r="819" spans="2:5" ht="15" customHeight="1">
      <c r="B819" s="94"/>
      <c r="C819" s="71" t="s">
        <v>235</v>
      </c>
      <c r="D819" s="72">
        <v>10</v>
      </c>
      <c r="E819" s="73">
        <v>4.1131951299799998E-4</v>
      </c>
    </row>
    <row r="820" spans="2:5" ht="15" customHeight="1">
      <c r="B820" s="94"/>
      <c r="C820" s="71" t="s">
        <v>237</v>
      </c>
      <c r="D820" s="72">
        <v>2</v>
      </c>
      <c r="E820" s="73">
        <v>8.2263902599999999E-5</v>
      </c>
    </row>
    <row r="821" spans="2:5" ht="15" customHeight="1">
      <c r="B821" s="94"/>
      <c r="C821" s="71" t="s">
        <v>239</v>
      </c>
      <c r="D821" s="72">
        <v>6</v>
      </c>
      <c r="E821" s="73">
        <v>2.4679170779900002E-4</v>
      </c>
    </row>
    <row r="822" spans="2:5" ht="15" customHeight="1">
      <c r="B822" s="94"/>
      <c r="C822" s="71" t="s">
        <v>240</v>
      </c>
      <c r="D822" s="72">
        <v>2</v>
      </c>
      <c r="E822" s="73">
        <v>8.2263902599999999E-5</v>
      </c>
    </row>
    <row r="823" spans="2:5" ht="15" customHeight="1">
      <c r="B823" s="94"/>
      <c r="C823" s="71" t="s">
        <v>241</v>
      </c>
      <c r="D823" s="72">
        <v>1</v>
      </c>
      <c r="E823" s="73">
        <v>4.1131951299999999E-5</v>
      </c>
    </row>
    <row r="824" spans="2:5" ht="15" customHeight="1">
      <c r="B824" s="94"/>
      <c r="C824" s="71" t="s">
        <v>242</v>
      </c>
      <c r="D824" s="72">
        <v>2</v>
      </c>
      <c r="E824" s="73">
        <v>8.2263902599999999E-5</v>
      </c>
    </row>
    <row r="825" spans="2:5" ht="15" customHeight="1">
      <c r="B825" s="94"/>
      <c r="C825" s="71" t="s">
        <v>243</v>
      </c>
      <c r="D825" s="72">
        <v>2</v>
      </c>
      <c r="E825" s="73">
        <v>8.2263902599999999E-5</v>
      </c>
    </row>
    <row r="826" spans="2:5" ht="15" customHeight="1">
      <c r="B826" s="95"/>
      <c r="C826" s="36" t="s">
        <v>29</v>
      </c>
      <c r="D826" s="35">
        <v>56</v>
      </c>
      <c r="E826" s="34">
        <v>2.3033892727869999E-3</v>
      </c>
    </row>
    <row r="827" spans="2:5" ht="15" customHeight="1">
      <c r="B827" s="93" t="s">
        <v>148</v>
      </c>
      <c r="C827" s="71" t="s">
        <v>227</v>
      </c>
      <c r="D827" s="72">
        <v>1</v>
      </c>
      <c r="E827" s="73">
        <v>4.1131951299999999E-5</v>
      </c>
    </row>
    <row r="828" spans="2:5" ht="15" customHeight="1">
      <c r="B828" s="96"/>
      <c r="C828" s="71" t="s">
        <v>235</v>
      </c>
      <c r="D828" s="72">
        <v>2</v>
      </c>
      <c r="E828" s="73">
        <v>8.2263902599999999E-5</v>
      </c>
    </row>
    <row r="829" spans="2:5" ht="15" customHeight="1">
      <c r="B829" s="97"/>
      <c r="C829" s="36" t="s">
        <v>29</v>
      </c>
      <c r="D829" s="35">
        <v>3</v>
      </c>
      <c r="E829" s="34">
        <v>1.23395853899E-4</v>
      </c>
    </row>
    <row r="830" spans="2:5" ht="15" customHeight="1">
      <c r="B830" s="91" t="s">
        <v>29</v>
      </c>
      <c r="C830" s="92"/>
      <c r="D830" s="67">
        <v>24312</v>
      </c>
      <c r="E830" s="68">
        <v>1</v>
      </c>
    </row>
    <row r="832" spans="2:5" ht="15" customHeight="1">
      <c r="B832" s="12" t="s">
        <v>47</v>
      </c>
    </row>
    <row r="833" spans="2:2" ht="15" customHeight="1">
      <c r="B833" s="14" t="s">
        <v>18</v>
      </c>
    </row>
    <row r="834" spans="2:2" ht="15" customHeight="1">
      <c r="B834" s="13" t="s">
        <v>48</v>
      </c>
    </row>
    <row r="835" spans="2:2" ht="15" customHeight="1">
      <c r="B835" s="12" t="s">
        <v>17</v>
      </c>
    </row>
    <row r="836" spans="2:2" ht="15" customHeight="1">
      <c r="B836" s="12" t="s">
        <v>49</v>
      </c>
    </row>
  </sheetData>
  <mergeCells count="51">
    <mergeCell ref="B7:E8"/>
    <mergeCell ref="B191:B219"/>
    <mergeCell ref="B220:B226"/>
    <mergeCell ref="B227:B260"/>
    <mergeCell ref="B261:B287"/>
    <mergeCell ref="B10:B35"/>
    <mergeCell ref="B36:B37"/>
    <mergeCell ref="B38:B55"/>
    <mergeCell ref="B56:B88"/>
    <mergeCell ref="B89:B121"/>
    <mergeCell ref="B122:B139"/>
    <mergeCell ref="B140:B146"/>
    <mergeCell ref="B147:B153"/>
    <mergeCell ref="B154:B155"/>
    <mergeCell ref="B156:B190"/>
    <mergeCell ref="B288:B303"/>
    <mergeCell ref="B396:B424"/>
    <mergeCell ref="B425:B441"/>
    <mergeCell ref="B442:B463"/>
    <mergeCell ref="B304:B327"/>
    <mergeCell ref="B328:B352"/>
    <mergeCell ref="B353:B375"/>
    <mergeCell ref="B376:B377"/>
    <mergeCell ref="B378:B388"/>
    <mergeCell ref="B389:B395"/>
    <mergeCell ref="B645:B649"/>
    <mergeCell ref="B650:B663"/>
    <mergeCell ref="B664:B666"/>
    <mergeCell ref="B667:B688"/>
    <mergeCell ref="B464:B490"/>
    <mergeCell ref="B491:B492"/>
    <mergeCell ref="B493:B510"/>
    <mergeCell ref="B511:B523"/>
    <mergeCell ref="B524:B538"/>
    <mergeCell ref="B539:B546"/>
    <mergeCell ref="B547:B559"/>
    <mergeCell ref="B560:B590"/>
    <mergeCell ref="B591:B595"/>
    <mergeCell ref="B596:B615"/>
    <mergeCell ref="B616:B644"/>
    <mergeCell ref="B689:B694"/>
    <mergeCell ref="B695:B725"/>
    <mergeCell ref="B726:B770"/>
    <mergeCell ref="B771:B781"/>
    <mergeCell ref="B782:B783"/>
    <mergeCell ref="B830:C830"/>
    <mergeCell ref="B784:B800"/>
    <mergeCell ref="B801:B805"/>
    <mergeCell ref="B806:B807"/>
    <mergeCell ref="B808:B826"/>
    <mergeCell ref="B827:B8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049"/>
  <sheetViews>
    <sheetView showGridLines="0" view="pageBreakPreview" zoomScale="96" zoomScaleNormal="100" zoomScaleSheetLayoutView="96" workbookViewId="0">
      <selection activeCell="B1045" sqref="B1045:B1049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5.1406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8"/>
      <c r="C7" s="98"/>
      <c r="D7" s="98"/>
      <c r="E7" s="98"/>
    </row>
    <row r="8" spans="1:5" s="41" customFormat="1" ht="33" customHeight="1">
      <c r="A8" s="42"/>
      <c r="B8" s="98"/>
      <c r="C8" s="98"/>
      <c r="D8" s="98"/>
      <c r="E8" s="98"/>
    </row>
    <row r="9" spans="1:5" s="22" customFormat="1" ht="40.5" customHeight="1">
      <c r="B9" s="38" t="s">
        <v>22</v>
      </c>
      <c r="C9" s="40" t="s">
        <v>24</v>
      </c>
      <c r="D9" s="39" t="s">
        <v>20</v>
      </c>
      <c r="E9" s="38" t="s">
        <v>19</v>
      </c>
    </row>
    <row r="10" spans="1:5">
      <c r="B10" s="93" t="s">
        <v>77</v>
      </c>
      <c r="C10" s="20" t="s">
        <v>224</v>
      </c>
      <c r="D10" s="76">
        <v>1</v>
      </c>
      <c r="E10" s="18">
        <v>4.1131951299999999E-5</v>
      </c>
    </row>
    <row r="11" spans="1:5">
      <c r="B11" s="94"/>
      <c r="C11" s="20" t="s">
        <v>225</v>
      </c>
      <c r="D11" s="76">
        <v>1</v>
      </c>
      <c r="E11" s="18">
        <v>4.1131951299999999E-5</v>
      </c>
    </row>
    <row r="12" spans="1:5">
      <c r="B12" s="94"/>
      <c r="C12" s="20" t="s">
        <v>226</v>
      </c>
      <c r="D12" s="76">
        <v>2</v>
      </c>
      <c r="E12" s="18">
        <v>8.2263902599999999E-5</v>
      </c>
    </row>
    <row r="13" spans="1:5">
      <c r="B13" s="94"/>
      <c r="C13" s="20" t="s">
        <v>227</v>
      </c>
      <c r="D13" s="76">
        <v>1</v>
      </c>
      <c r="E13" s="18">
        <v>4.1131951299999999E-5</v>
      </c>
    </row>
    <row r="14" spans="1:5">
      <c r="B14" s="94"/>
      <c r="C14" s="20" t="s">
        <v>262</v>
      </c>
      <c r="D14" s="76">
        <v>6</v>
      </c>
      <c r="E14" s="18">
        <v>2.4679170779900002E-4</v>
      </c>
    </row>
    <row r="15" spans="1:5">
      <c r="B15" s="94"/>
      <c r="C15" s="20" t="s">
        <v>228</v>
      </c>
      <c r="D15" s="76">
        <v>1</v>
      </c>
      <c r="E15" s="18">
        <v>4.1131951299999999E-5</v>
      </c>
    </row>
    <row r="16" spans="1:5">
      <c r="B16" s="94"/>
      <c r="C16" s="20" t="s">
        <v>230</v>
      </c>
      <c r="D16" s="76">
        <v>2</v>
      </c>
      <c r="E16" s="18">
        <v>8.2263902599999999E-5</v>
      </c>
    </row>
    <row r="17" spans="2:5">
      <c r="B17" s="94"/>
      <c r="C17" s="20" t="s">
        <v>231</v>
      </c>
      <c r="D17" s="76">
        <v>4</v>
      </c>
      <c r="E17" s="18">
        <v>1.6452780519900001E-4</v>
      </c>
    </row>
    <row r="18" spans="2:5" ht="40.5">
      <c r="B18" s="94"/>
      <c r="C18" s="20" t="s">
        <v>254</v>
      </c>
      <c r="D18" s="76">
        <v>1</v>
      </c>
      <c r="E18" s="18">
        <v>4.1131951299999999E-5</v>
      </c>
    </row>
    <row r="19" spans="2:5">
      <c r="B19" s="94"/>
      <c r="C19" s="20" t="s">
        <v>232</v>
      </c>
      <c r="D19" s="76">
        <v>3</v>
      </c>
      <c r="E19" s="18">
        <v>1.23395853899E-4</v>
      </c>
    </row>
    <row r="20" spans="2:5">
      <c r="B20" s="94"/>
      <c r="C20" s="20" t="s">
        <v>235</v>
      </c>
      <c r="D20" s="76">
        <v>7</v>
      </c>
      <c r="E20" s="18">
        <v>2.8792365909800001E-4</v>
      </c>
    </row>
    <row r="21" spans="2:5">
      <c r="B21" s="94"/>
      <c r="C21" s="20" t="s">
        <v>236</v>
      </c>
      <c r="D21" s="76">
        <v>5</v>
      </c>
      <c r="E21" s="18">
        <v>2.0565975649899999E-4</v>
      </c>
    </row>
    <row r="22" spans="2:5">
      <c r="B22" s="94"/>
      <c r="C22" s="20" t="s">
        <v>239</v>
      </c>
      <c r="D22" s="76">
        <v>3</v>
      </c>
      <c r="E22" s="18">
        <v>1.23395853899E-4</v>
      </c>
    </row>
    <row r="23" spans="2:5">
      <c r="B23" s="94"/>
      <c r="C23" s="20" t="s">
        <v>240</v>
      </c>
      <c r="D23" s="76">
        <v>1</v>
      </c>
      <c r="E23" s="18">
        <v>4.1131951299999999E-5</v>
      </c>
    </row>
    <row r="24" spans="2:5">
      <c r="B24" s="94"/>
      <c r="C24" s="20" t="s">
        <v>242</v>
      </c>
      <c r="D24" s="76">
        <v>1</v>
      </c>
      <c r="E24" s="18">
        <v>4.1131951299999999E-5</v>
      </c>
    </row>
    <row r="25" spans="2:5">
      <c r="B25" s="95"/>
      <c r="C25" s="77" t="s">
        <v>29</v>
      </c>
      <c r="D25" s="78">
        <v>39</v>
      </c>
      <c r="E25" s="79">
        <v>1.6041461006909999E-3</v>
      </c>
    </row>
    <row r="26" spans="2:5">
      <c r="B26" s="93" t="s">
        <v>56</v>
      </c>
      <c r="C26" s="20" t="s">
        <v>219</v>
      </c>
      <c r="D26" s="76">
        <v>4</v>
      </c>
      <c r="E26" s="18">
        <v>1.6452780519900001E-4</v>
      </c>
    </row>
    <row r="27" spans="2:5">
      <c r="B27" s="94"/>
      <c r="C27" s="20" t="s">
        <v>220</v>
      </c>
      <c r="D27" s="76">
        <v>18</v>
      </c>
      <c r="E27" s="18">
        <v>7.4037512339599995E-4</v>
      </c>
    </row>
    <row r="28" spans="2:5">
      <c r="B28" s="94"/>
      <c r="C28" s="20" t="s">
        <v>221</v>
      </c>
      <c r="D28" s="76">
        <v>23</v>
      </c>
      <c r="E28" s="18">
        <v>9.4603487989499996E-4</v>
      </c>
    </row>
    <row r="29" spans="2:5">
      <c r="B29" s="94"/>
      <c r="C29" s="20" t="s">
        <v>223</v>
      </c>
      <c r="D29" s="76">
        <v>5</v>
      </c>
      <c r="E29" s="18">
        <v>2.0565975649899999E-4</v>
      </c>
    </row>
    <row r="30" spans="2:5">
      <c r="B30" s="94"/>
      <c r="C30" s="20" t="s">
        <v>260</v>
      </c>
      <c r="D30" s="76">
        <v>2</v>
      </c>
      <c r="E30" s="18">
        <v>8.2263902599999999E-5</v>
      </c>
    </row>
    <row r="31" spans="2:5">
      <c r="B31" s="94"/>
      <c r="C31" s="20" t="s">
        <v>224</v>
      </c>
      <c r="D31" s="76">
        <v>44</v>
      </c>
      <c r="E31" s="18">
        <v>1.80980585719E-3</v>
      </c>
    </row>
    <row r="32" spans="2:5">
      <c r="B32" s="94"/>
      <c r="C32" s="20" t="s">
        <v>225</v>
      </c>
      <c r="D32" s="76">
        <v>2</v>
      </c>
      <c r="E32" s="18">
        <v>8.2263902599999999E-5</v>
      </c>
    </row>
    <row r="33" spans="2:5">
      <c r="B33" s="94"/>
      <c r="C33" s="20" t="s">
        <v>226</v>
      </c>
      <c r="D33" s="76">
        <v>107</v>
      </c>
      <c r="E33" s="18">
        <v>4.4011187890749997E-3</v>
      </c>
    </row>
    <row r="34" spans="2:5">
      <c r="B34" s="94"/>
      <c r="C34" s="20" t="s">
        <v>227</v>
      </c>
      <c r="D34" s="76">
        <v>48</v>
      </c>
      <c r="E34" s="18">
        <v>1.974333662389E-3</v>
      </c>
    </row>
    <row r="35" spans="2:5">
      <c r="B35" s="94"/>
      <c r="C35" s="20" t="s">
        <v>244</v>
      </c>
      <c r="D35" s="76">
        <v>1</v>
      </c>
      <c r="E35" s="18">
        <v>4.1131951299999999E-5</v>
      </c>
    </row>
    <row r="36" spans="2:5">
      <c r="B36" s="94"/>
      <c r="C36" s="20" t="s">
        <v>248</v>
      </c>
      <c r="D36" s="76">
        <v>2</v>
      </c>
      <c r="E36" s="18">
        <v>8.2263902599999999E-5</v>
      </c>
    </row>
    <row r="37" spans="2:5">
      <c r="B37" s="94"/>
      <c r="C37" s="20" t="s">
        <v>256</v>
      </c>
      <c r="D37" s="76">
        <v>1</v>
      </c>
      <c r="E37" s="18">
        <v>4.1131951299999999E-5</v>
      </c>
    </row>
    <row r="38" spans="2:5">
      <c r="B38" s="94"/>
      <c r="C38" s="20" t="s">
        <v>228</v>
      </c>
      <c r="D38" s="76">
        <v>4</v>
      </c>
      <c r="E38" s="18">
        <v>1.6452780519900001E-4</v>
      </c>
    </row>
    <row r="39" spans="2:5">
      <c r="B39" s="94"/>
      <c r="C39" s="20" t="s">
        <v>250</v>
      </c>
      <c r="D39" s="76">
        <v>3</v>
      </c>
      <c r="E39" s="18">
        <v>1.23395853899E-4</v>
      </c>
    </row>
    <row r="40" spans="2:5">
      <c r="B40" s="94"/>
      <c r="C40" s="20" t="s">
        <v>229</v>
      </c>
      <c r="D40" s="76">
        <v>11</v>
      </c>
      <c r="E40" s="18">
        <v>4.5245146429700003E-4</v>
      </c>
    </row>
    <row r="41" spans="2:5">
      <c r="B41" s="94"/>
      <c r="C41" s="20" t="s">
        <v>230</v>
      </c>
      <c r="D41" s="76">
        <v>63</v>
      </c>
      <c r="E41" s="18">
        <v>2.5913129318849999E-3</v>
      </c>
    </row>
    <row r="42" spans="2:5">
      <c r="B42" s="94"/>
      <c r="C42" s="20" t="s">
        <v>231</v>
      </c>
      <c r="D42" s="76">
        <v>2</v>
      </c>
      <c r="E42" s="18">
        <v>8.2263902599999999E-5</v>
      </c>
    </row>
    <row r="43" spans="2:5">
      <c r="B43" s="94"/>
      <c r="C43" s="20" t="s">
        <v>253</v>
      </c>
      <c r="D43" s="76">
        <v>1</v>
      </c>
      <c r="E43" s="18">
        <v>4.1131951299999999E-5</v>
      </c>
    </row>
    <row r="44" spans="2:5">
      <c r="B44" s="94"/>
      <c r="C44" s="20" t="s">
        <v>232</v>
      </c>
      <c r="D44" s="76">
        <v>9</v>
      </c>
      <c r="E44" s="18">
        <v>3.7018756169799997E-4</v>
      </c>
    </row>
    <row r="45" spans="2:5">
      <c r="B45" s="94"/>
      <c r="C45" s="20" t="s">
        <v>233</v>
      </c>
      <c r="D45" s="76">
        <v>1</v>
      </c>
      <c r="E45" s="18">
        <v>4.1131951299999999E-5</v>
      </c>
    </row>
    <row r="46" spans="2:5">
      <c r="B46" s="94"/>
      <c r="C46" s="20" t="s">
        <v>234</v>
      </c>
      <c r="D46" s="76">
        <v>6</v>
      </c>
      <c r="E46" s="18">
        <v>2.4679170779900002E-4</v>
      </c>
    </row>
    <row r="47" spans="2:5">
      <c r="B47" s="94"/>
      <c r="C47" s="20" t="s">
        <v>258</v>
      </c>
      <c r="D47" s="76">
        <v>3</v>
      </c>
      <c r="E47" s="18">
        <v>1.23395853899E-4</v>
      </c>
    </row>
    <row r="48" spans="2:5">
      <c r="B48" s="94"/>
      <c r="C48" s="20" t="s">
        <v>235</v>
      </c>
      <c r="D48" s="76">
        <v>34</v>
      </c>
      <c r="E48" s="18">
        <v>1.398486344192E-3</v>
      </c>
    </row>
    <row r="49" spans="2:5">
      <c r="B49" s="94"/>
      <c r="C49" s="20" t="s">
        <v>236</v>
      </c>
      <c r="D49" s="76">
        <v>20</v>
      </c>
      <c r="E49" s="18">
        <v>8.22639025995E-4</v>
      </c>
    </row>
    <row r="50" spans="2:5">
      <c r="B50" s="94"/>
      <c r="C50" s="20" t="s">
        <v>259</v>
      </c>
      <c r="D50" s="76">
        <v>1</v>
      </c>
      <c r="E50" s="18">
        <v>4.1131951299999999E-5</v>
      </c>
    </row>
    <row r="51" spans="2:5">
      <c r="B51" s="94"/>
      <c r="C51" s="20" t="s">
        <v>237</v>
      </c>
      <c r="D51" s="76">
        <v>10</v>
      </c>
      <c r="E51" s="18">
        <v>4.1131951299799998E-4</v>
      </c>
    </row>
    <row r="52" spans="2:5">
      <c r="B52" s="94"/>
      <c r="C52" s="20" t="s">
        <v>238</v>
      </c>
      <c r="D52" s="76">
        <v>20</v>
      </c>
      <c r="E52" s="18">
        <v>8.22639025995E-4</v>
      </c>
    </row>
    <row r="53" spans="2:5">
      <c r="B53" s="94"/>
      <c r="C53" s="20" t="s">
        <v>239</v>
      </c>
      <c r="D53" s="76">
        <v>87</v>
      </c>
      <c r="E53" s="18">
        <v>3.5784797630800001E-3</v>
      </c>
    </row>
    <row r="54" spans="2:5">
      <c r="B54" s="94"/>
      <c r="C54" s="20" t="s">
        <v>240</v>
      </c>
      <c r="D54" s="76">
        <v>41</v>
      </c>
      <c r="E54" s="18">
        <v>1.686410003291E-3</v>
      </c>
    </row>
    <row r="55" spans="2:5">
      <c r="B55" s="94"/>
      <c r="C55" s="20" t="s">
        <v>241</v>
      </c>
      <c r="D55" s="76">
        <v>10</v>
      </c>
      <c r="E55" s="18">
        <v>4.1131951299799998E-4</v>
      </c>
    </row>
    <row r="56" spans="2:5">
      <c r="B56" s="94"/>
      <c r="C56" s="20" t="s">
        <v>242</v>
      </c>
      <c r="D56" s="76">
        <v>35</v>
      </c>
      <c r="E56" s="18">
        <v>1.4396182954919999E-3</v>
      </c>
    </row>
    <row r="57" spans="2:5">
      <c r="B57" s="94"/>
      <c r="C57" s="20" t="s">
        <v>245</v>
      </c>
      <c r="D57" s="76">
        <v>1</v>
      </c>
      <c r="E57" s="18">
        <v>4.1131951299999999E-5</v>
      </c>
    </row>
    <row r="58" spans="2:5">
      <c r="B58" s="94"/>
      <c r="C58" s="20" t="s">
        <v>243</v>
      </c>
      <c r="D58" s="76">
        <v>13</v>
      </c>
      <c r="E58" s="18">
        <v>5.3471536689700004E-4</v>
      </c>
    </row>
    <row r="59" spans="2:5">
      <c r="B59" s="95"/>
      <c r="C59" s="77" t="s">
        <v>29</v>
      </c>
      <c r="D59" s="78">
        <v>632</v>
      </c>
      <c r="E59" s="79">
        <v>2.5995393221454E-2</v>
      </c>
    </row>
    <row r="60" spans="2:5">
      <c r="B60" s="93" t="s">
        <v>60</v>
      </c>
      <c r="C60" s="20" t="s">
        <v>219</v>
      </c>
      <c r="D60" s="76">
        <v>2</v>
      </c>
      <c r="E60" s="18">
        <v>8.2263902599999999E-5</v>
      </c>
    </row>
    <row r="61" spans="2:5">
      <c r="B61" s="94"/>
      <c r="C61" s="20" t="s">
        <v>220</v>
      </c>
      <c r="D61" s="76">
        <v>5</v>
      </c>
      <c r="E61" s="18">
        <v>2.0565975649899999E-4</v>
      </c>
    </row>
    <row r="62" spans="2:5">
      <c r="B62" s="94"/>
      <c r="C62" s="20" t="s">
        <v>221</v>
      </c>
      <c r="D62" s="76">
        <v>3</v>
      </c>
      <c r="E62" s="18">
        <v>1.23395853899E-4</v>
      </c>
    </row>
    <row r="63" spans="2:5">
      <c r="B63" s="94"/>
      <c r="C63" s="20" t="s">
        <v>223</v>
      </c>
      <c r="D63" s="76">
        <v>1</v>
      </c>
      <c r="E63" s="18">
        <v>4.1131951299999999E-5</v>
      </c>
    </row>
    <row r="64" spans="2:5">
      <c r="B64" s="94"/>
      <c r="C64" s="20" t="s">
        <v>247</v>
      </c>
      <c r="D64" s="76">
        <v>2</v>
      </c>
      <c r="E64" s="18">
        <v>8.2263902599999999E-5</v>
      </c>
    </row>
    <row r="65" spans="2:5">
      <c r="B65" s="94"/>
      <c r="C65" s="20" t="s">
        <v>260</v>
      </c>
      <c r="D65" s="76">
        <v>1</v>
      </c>
      <c r="E65" s="18">
        <v>4.1131951299999999E-5</v>
      </c>
    </row>
    <row r="66" spans="2:5">
      <c r="B66" s="94"/>
      <c r="C66" s="20" t="s">
        <v>224</v>
      </c>
      <c r="D66" s="76">
        <v>29</v>
      </c>
      <c r="E66" s="18">
        <v>1.1928265876930001E-3</v>
      </c>
    </row>
    <row r="67" spans="2:5">
      <c r="B67" s="94"/>
      <c r="C67" s="20" t="s">
        <v>225</v>
      </c>
      <c r="D67" s="76">
        <v>1</v>
      </c>
      <c r="E67" s="18">
        <v>4.1131951299999999E-5</v>
      </c>
    </row>
    <row r="68" spans="2:5">
      <c r="B68" s="94"/>
      <c r="C68" s="20" t="s">
        <v>226</v>
      </c>
      <c r="D68" s="76">
        <v>32</v>
      </c>
      <c r="E68" s="18">
        <v>1.3162224415929999E-3</v>
      </c>
    </row>
    <row r="69" spans="2:5">
      <c r="B69" s="94"/>
      <c r="C69" s="20" t="s">
        <v>227</v>
      </c>
      <c r="D69" s="76">
        <v>6</v>
      </c>
      <c r="E69" s="18">
        <v>2.4679170779900002E-4</v>
      </c>
    </row>
    <row r="70" spans="2:5">
      <c r="B70" s="94"/>
      <c r="C70" s="20" t="s">
        <v>244</v>
      </c>
      <c r="D70" s="76">
        <v>2</v>
      </c>
      <c r="E70" s="18">
        <v>8.2263902599999999E-5</v>
      </c>
    </row>
    <row r="71" spans="2:5">
      <c r="B71" s="94"/>
      <c r="C71" s="20" t="s">
        <v>256</v>
      </c>
      <c r="D71" s="76">
        <v>5</v>
      </c>
      <c r="E71" s="18">
        <v>2.0565975649899999E-4</v>
      </c>
    </row>
    <row r="72" spans="2:5">
      <c r="B72" s="94"/>
      <c r="C72" s="20" t="s">
        <v>228</v>
      </c>
      <c r="D72" s="76">
        <v>4</v>
      </c>
      <c r="E72" s="18">
        <v>1.6452780519900001E-4</v>
      </c>
    </row>
    <row r="73" spans="2:5">
      <c r="B73" s="94"/>
      <c r="C73" s="20" t="s">
        <v>250</v>
      </c>
      <c r="D73" s="76">
        <v>3</v>
      </c>
      <c r="E73" s="18">
        <v>1.23395853899E-4</v>
      </c>
    </row>
    <row r="74" spans="2:5">
      <c r="B74" s="94"/>
      <c r="C74" s="20" t="s">
        <v>229</v>
      </c>
      <c r="D74" s="76">
        <v>15</v>
      </c>
      <c r="E74" s="18">
        <v>6.1697926949700005E-4</v>
      </c>
    </row>
    <row r="75" spans="2:5">
      <c r="B75" s="94"/>
      <c r="C75" s="20" t="s">
        <v>230</v>
      </c>
      <c r="D75" s="76">
        <v>67</v>
      </c>
      <c r="E75" s="18">
        <v>2.7558407370850001E-3</v>
      </c>
    </row>
    <row r="76" spans="2:5">
      <c r="B76" s="94"/>
      <c r="C76" s="20" t="s">
        <v>251</v>
      </c>
      <c r="D76" s="76">
        <v>1</v>
      </c>
      <c r="E76" s="18">
        <v>4.1131951299999999E-5</v>
      </c>
    </row>
    <row r="77" spans="2:5">
      <c r="B77" s="94"/>
      <c r="C77" s="20" t="s">
        <v>231</v>
      </c>
      <c r="D77" s="76">
        <v>3</v>
      </c>
      <c r="E77" s="18">
        <v>1.23395853899E-4</v>
      </c>
    </row>
    <row r="78" spans="2:5">
      <c r="B78" s="94"/>
      <c r="C78" s="20" t="s">
        <v>253</v>
      </c>
      <c r="D78" s="76">
        <v>1</v>
      </c>
      <c r="E78" s="18">
        <v>4.1131951299999999E-5</v>
      </c>
    </row>
    <row r="79" spans="2:5" ht="40.5">
      <c r="B79" s="94"/>
      <c r="C79" s="20" t="s">
        <v>254</v>
      </c>
      <c r="D79" s="76">
        <v>1</v>
      </c>
      <c r="E79" s="18">
        <v>4.1131951299999999E-5</v>
      </c>
    </row>
    <row r="80" spans="2:5">
      <c r="B80" s="94"/>
      <c r="C80" s="20" t="s">
        <v>232</v>
      </c>
      <c r="D80" s="76">
        <v>78</v>
      </c>
      <c r="E80" s="18">
        <v>3.2082922013819998E-3</v>
      </c>
    </row>
    <row r="81" spans="2:5">
      <c r="B81" s="94"/>
      <c r="C81" s="20" t="s">
        <v>233</v>
      </c>
      <c r="D81" s="76">
        <v>1</v>
      </c>
      <c r="E81" s="18">
        <v>4.1131951299999999E-5</v>
      </c>
    </row>
    <row r="82" spans="2:5">
      <c r="B82" s="94"/>
      <c r="C82" s="20" t="s">
        <v>234</v>
      </c>
      <c r="D82" s="76">
        <v>3</v>
      </c>
      <c r="E82" s="18">
        <v>1.23395853899E-4</v>
      </c>
    </row>
    <row r="83" spans="2:5">
      <c r="B83" s="94"/>
      <c r="C83" s="20" t="s">
        <v>258</v>
      </c>
      <c r="D83" s="76">
        <v>1</v>
      </c>
      <c r="E83" s="18">
        <v>4.1131951299999999E-5</v>
      </c>
    </row>
    <row r="84" spans="2:5">
      <c r="B84" s="94"/>
      <c r="C84" s="20" t="s">
        <v>261</v>
      </c>
      <c r="D84" s="76">
        <v>1</v>
      </c>
      <c r="E84" s="18">
        <v>4.1131951299999999E-5</v>
      </c>
    </row>
    <row r="85" spans="2:5">
      <c r="B85" s="94"/>
      <c r="C85" s="20" t="s">
        <v>235</v>
      </c>
      <c r="D85" s="76">
        <v>46</v>
      </c>
      <c r="E85" s="18">
        <v>1.8920697597890001E-3</v>
      </c>
    </row>
    <row r="86" spans="2:5">
      <c r="B86" s="94"/>
      <c r="C86" s="20" t="s">
        <v>236</v>
      </c>
      <c r="D86" s="76">
        <v>10</v>
      </c>
      <c r="E86" s="18">
        <v>4.1131951299799998E-4</v>
      </c>
    </row>
    <row r="87" spans="2:5">
      <c r="B87" s="94"/>
      <c r="C87" s="20" t="s">
        <v>259</v>
      </c>
      <c r="D87" s="76">
        <v>6</v>
      </c>
      <c r="E87" s="18">
        <v>2.4679170779900002E-4</v>
      </c>
    </row>
    <row r="88" spans="2:5">
      <c r="B88" s="94"/>
      <c r="C88" s="20" t="s">
        <v>237</v>
      </c>
      <c r="D88" s="76">
        <v>15</v>
      </c>
      <c r="E88" s="18">
        <v>6.1697926949700005E-4</v>
      </c>
    </row>
    <row r="89" spans="2:5">
      <c r="B89" s="94"/>
      <c r="C89" s="20" t="s">
        <v>239</v>
      </c>
      <c r="D89" s="76">
        <v>48</v>
      </c>
      <c r="E89" s="18">
        <v>1.974333662389E-3</v>
      </c>
    </row>
    <row r="90" spans="2:5">
      <c r="B90" s="94"/>
      <c r="C90" s="20" t="s">
        <v>240</v>
      </c>
      <c r="D90" s="76">
        <v>33</v>
      </c>
      <c r="E90" s="18">
        <v>1.357354392892E-3</v>
      </c>
    </row>
    <row r="91" spans="2:5">
      <c r="B91" s="94"/>
      <c r="C91" s="20" t="s">
        <v>241</v>
      </c>
      <c r="D91" s="76">
        <v>14</v>
      </c>
      <c r="E91" s="18">
        <v>5.7584731819699999E-4</v>
      </c>
    </row>
    <row r="92" spans="2:5">
      <c r="B92" s="94"/>
      <c r="C92" s="20" t="s">
        <v>242</v>
      </c>
      <c r="D92" s="76">
        <v>34</v>
      </c>
      <c r="E92" s="18">
        <v>1.398486344192E-3</v>
      </c>
    </row>
    <row r="93" spans="2:5">
      <c r="B93" s="94"/>
      <c r="C93" s="20" t="s">
        <v>243</v>
      </c>
      <c r="D93" s="76">
        <v>3</v>
      </c>
      <c r="E93" s="18">
        <v>1.23395853899E-4</v>
      </c>
    </row>
    <row r="94" spans="2:5">
      <c r="B94" s="95"/>
      <c r="C94" s="77" t="s">
        <v>29</v>
      </c>
      <c r="D94" s="78">
        <v>477</v>
      </c>
      <c r="E94" s="79">
        <v>1.9619940769990001E-2</v>
      </c>
    </row>
    <row r="95" spans="2:5">
      <c r="B95" s="93" t="s">
        <v>90</v>
      </c>
      <c r="C95" s="20" t="s">
        <v>224</v>
      </c>
      <c r="D95" s="76">
        <v>2</v>
      </c>
      <c r="E95" s="18">
        <v>8.2263902599999999E-5</v>
      </c>
    </row>
    <row r="96" spans="2:5">
      <c r="B96" s="94"/>
      <c r="C96" s="20" t="s">
        <v>262</v>
      </c>
      <c r="D96" s="76">
        <v>1</v>
      </c>
      <c r="E96" s="18">
        <v>4.1131951299999999E-5</v>
      </c>
    </row>
    <row r="97" spans="2:5">
      <c r="B97" s="94"/>
      <c r="C97" s="20" t="s">
        <v>230</v>
      </c>
      <c r="D97" s="76">
        <v>2</v>
      </c>
      <c r="E97" s="18">
        <v>8.2263902599999999E-5</v>
      </c>
    </row>
    <row r="98" spans="2:5">
      <c r="B98" s="94"/>
      <c r="C98" s="20" t="s">
        <v>231</v>
      </c>
      <c r="D98" s="76">
        <v>1</v>
      </c>
      <c r="E98" s="18">
        <v>4.1131951299999999E-5</v>
      </c>
    </row>
    <row r="99" spans="2:5">
      <c r="B99" s="94"/>
      <c r="C99" s="20" t="s">
        <v>235</v>
      </c>
      <c r="D99" s="76">
        <v>3</v>
      </c>
      <c r="E99" s="18">
        <v>1.23395853899E-4</v>
      </c>
    </row>
    <row r="100" spans="2:5">
      <c r="B100" s="94"/>
      <c r="C100" s="20" t="s">
        <v>241</v>
      </c>
      <c r="D100" s="76">
        <v>1</v>
      </c>
      <c r="E100" s="18">
        <v>4.1131951299999999E-5</v>
      </c>
    </row>
    <row r="101" spans="2:5">
      <c r="B101" s="94"/>
      <c r="C101" s="20" t="s">
        <v>242</v>
      </c>
      <c r="D101" s="76">
        <v>2</v>
      </c>
      <c r="E101" s="18">
        <v>8.2263902599999999E-5</v>
      </c>
    </row>
    <row r="102" spans="2:5">
      <c r="B102" s="95"/>
      <c r="C102" s="77" t="s">
        <v>29</v>
      </c>
      <c r="D102" s="78">
        <v>12</v>
      </c>
      <c r="E102" s="79">
        <v>4.9358341559699998E-4</v>
      </c>
    </row>
    <row r="103" spans="2:5">
      <c r="B103" s="93" t="s">
        <v>84</v>
      </c>
      <c r="C103" s="20" t="s">
        <v>223</v>
      </c>
      <c r="D103" s="76">
        <v>1</v>
      </c>
      <c r="E103" s="18">
        <v>4.1131951299999999E-5</v>
      </c>
    </row>
    <row r="104" spans="2:5">
      <c r="B104" s="94"/>
      <c r="C104" s="20" t="s">
        <v>224</v>
      </c>
      <c r="D104" s="76">
        <v>3</v>
      </c>
      <c r="E104" s="18">
        <v>1.23395853899E-4</v>
      </c>
    </row>
    <row r="105" spans="2:5">
      <c r="B105" s="94"/>
      <c r="C105" s="20" t="s">
        <v>226</v>
      </c>
      <c r="D105" s="76">
        <v>2</v>
      </c>
      <c r="E105" s="18">
        <v>8.2263902599999999E-5</v>
      </c>
    </row>
    <row r="106" spans="2:5">
      <c r="B106" s="94"/>
      <c r="C106" s="20" t="s">
        <v>227</v>
      </c>
      <c r="D106" s="76">
        <v>1</v>
      </c>
      <c r="E106" s="18">
        <v>4.1131951299999999E-5</v>
      </c>
    </row>
    <row r="107" spans="2:5">
      <c r="B107" s="94"/>
      <c r="C107" s="20" t="s">
        <v>230</v>
      </c>
      <c r="D107" s="76">
        <v>6</v>
      </c>
      <c r="E107" s="18">
        <v>2.4679170779900002E-4</v>
      </c>
    </row>
    <row r="108" spans="2:5">
      <c r="B108" s="94"/>
      <c r="C108" s="20" t="s">
        <v>232</v>
      </c>
      <c r="D108" s="76">
        <v>2</v>
      </c>
      <c r="E108" s="18">
        <v>8.2263902599999999E-5</v>
      </c>
    </row>
    <row r="109" spans="2:5">
      <c r="B109" s="94"/>
      <c r="C109" s="20" t="s">
        <v>235</v>
      </c>
      <c r="D109" s="76">
        <v>2</v>
      </c>
      <c r="E109" s="18">
        <v>8.2263902599999999E-5</v>
      </c>
    </row>
    <row r="110" spans="2:5">
      <c r="B110" s="94"/>
      <c r="C110" s="20" t="s">
        <v>239</v>
      </c>
      <c r="D110" s="76">
        <v>6</v>
      </c>
      <c r="E110" s="18">
        <v>2.4679170779900002E-4</v>
      </c>
    </row>
    <row r="111" spans="2:5">
      <c r="B111" s="95"/>
      <c r="C111" s="77" t="s">
        <v>29</v>
      </c>
      <c r="D111" s="78">
        <v>23</v>
      </c>
      <c r="E111" s="79">
        <v>9.4603487989499996E-4</v>
      </c>
    </row>
    <row r="112" spans="2:5">
      <c r="B112" s="93" t="s">
        <v>52</v>
      </c>
      <c r="C112" s="20" t="s">
        <v>219</v>
      </c>
      <c r="D112" s="76">
        <v>16</v>
      </c>
      <c r="E112" s="18">
        <v>6.5811122079600004E-4</v>
      </c>
    </row>
    <row r="113" spans="2:5">
      <c r="B113" s="94"/>
      <c r="C113" s="20" t="s">
        <v>220</v>
      </c>
      <c r="D113" s="76">
        <v>14</v>
      </c>
      <c r="E113" s="18">
        <v>5.7584731819699999E-4</v>
      </c>
    </row>
    <row r="114" spans="2:5">
      <c r="B114" s="94"/>
      <c r="C114" s="20" t="s">
        <v>221</v>
      </c>
      <c r="D114" s="76">
        <v>14</v>
      </c>
      <c r="E114" s="18">
        <v>5.7584731819699999E-4</v>
      </c>
    </row>
    <row r="115" spans="2:5">
      <c r="B115" s="94"/>
      <c r="C115" s="20" t="s">
        <v>246</v>
      </c>
      <c r="D115" s="76">
        <v>5</v>
      </c>
      <c r="E115" s="18">
        <v>2.0565975649899999E-4</v>
      </c>
    </row>
    <row r="116" spans="2:5">
      <c r="B116" s="94"/>
      <c r="C116" s="20" t="s">
        <v>222</v>
      </c>
      <c r="D116" s="76">
        <v>4</v>
      </c>
      <c r="E116" s="18">
        <v>1.6452780519900001E-4</v>
      </c>
    </row>
    <row r="117" spans="2:5">
      <c r="B117" s="94"/>
      <c r="C117" s="20" t="s">
        <v>223</v>
      </c>
      <c r="D117" s="76">
        <v>3</v>
      </c>
      <c r="E117" s="18">
        <v>1.23395853899E-4</v>
      </c>
    </row>
    <row r="118" spans="2:5">
      <c r="B118" s="94"/>
      <c r="C118" s="20" t="s">
        <v>247</v>
      </c>
      <c r="D118" s="76">
        <v>7</v>
      </c>
      <c r="E118" s="18">
        <v>2.8792365909800001E-4</v>
      </c>
    </row>
    <row r="119" spans="2:5">
      <c r="B119" s="94"/>
      <c r="C119" s="20" t="s">
        <v>260</v>
      </c>
      <c r="D119" s="76">
        <v>3</v>
      </c>
      <c r="E119" s="18">
        <v>1.23395853899E-4</v>
      </c>
    </row>
    <row r="120" spans="2:5">
      <c r="B120" s="94"/>
      <c r="C120" s="20" t="s">
        <v>224</v>
      </c>
      <c r="D120" s="76">
        <v>58</v>
      </c>
      <c r="E120" s="18">
        <v>2.3856531753869998E-3</v>
      </c>
    </row>
    <row r="121" spans="2:5">
      <c r="B121" s="94"/>
      <c r="C121" s="20" t="s">
        <v>225</v>
      </c>
      <c r="D121" s="76">
        <v>7</v>
      </c>
      <c r="E121" s="18">
        <v>2.8792365909800001E-4</v>
      </c>
    </row>
    <row r="122" spans="2:5">
      <c r="B122" s="94"/>
      <c r="C122" s="20" t="s">
        <v>226</v>
      </c>
      <c r="D122" s="76">
        <v>140</v>
      </c>
      <c r="E122" s="18">
        <v>5.7584731819679998E-3</v>
      </c>
    </row>
    <row r="123" spans="2:5">
      <c r="B123" s="94"/>
      <c r="C123" s="20" t="s">
        <v>227</v>
      </c>
      <c r="D123" s="76">
        <v>35</v>
      </c>
      <c r="E123" s="18">
        <v>1.4396182954919999E-3</v>
      </c>
    </row>
    <row r="124" spans="2:5">
      <c r="B124" s="94"/>
      <c r="C124" s="20" t="s">
        <v>262</v>
      </c>
      <c r="D124" s="76">
        <v>1</v>
      </c>
      <c r="E124" s="18">
        <v>4.1131951299999999E-5</v>
      </c>
    </row>
    <row r="125" spans="2:5">
      <c r="B125" s="94"/>
      <c r="C125" s="20" t="s">
        <v>244</v>
      </c>
      <c r="D125" s="76">
        <v>10</v>
      </c>
      <c r="E125" s="18">
        <v>4.1131951299799998E-4</v>
      </c>
    </row>
    <row r="126" spans="2:5">
      <c r="B126" s="94"/>
      <c r="C126" s="20" t="s">
        <v>248</v>
      </c>
      <c r="D126" s="76">
        <v>2</v>
      </c>
      <c r="E126" s="18">
        <v>8.2263902599999999E-5</v>
      </c>
    </row>
    <row r="127" spans="2:5">
      <c r="B127" s="94"/>
      <c r="C127" s="20" t="s">
        <v>249</v>
      </c>
      <c r="D127" s="76">
        <v>8</v>
      </c>
      <c r="E127" s="18">
        <v>3.2905561039800002E-4</v>
      </c>
    </row>
    <row r="128" spans="2:5">
      <c r="B128" s="94"/>
      <c r="C128" s="20" t="s">
        <v>256</v>
      </c>
      <c r="D128" s="76">
        <v>8</v>
      </c>
      <c r="E128" s="18">
        <v>3.2905561039800002E-4</v>
      </c>
    </row>
    <row r="129" spans="2:5">
      <c r="B129" s="94"/>
      <c r="C129" s="20" t="s">
        <v>228</v>
      </c>
      <c r="D129" s="76">
        <v>6</v>
      </c>
      <c r="E129" s="18">
        <v>2.4679170779900002E-4</v>
      </c>
    </row>
    <row r="130" spans="2:5">
      <c r="B130" s="94"/>
      <c r="C130" s="20" t="s">
        <v>250</v>
      </c>
      <c r="D130" s="76">
        <v>18</v>
      </c>
      <c r="E130" s="18">
        <v>7.4037512339599995E-4</v>
      </c>
    </row>
    <row r="131" spans="2:5">
      <c r="B131" s="94"/>
      <c r="C131" s="20" t="s">
        <v>229</v>
      </c>
      <c r="D131" s="76">
        <v>17</v>
      </c>
      <c r="E131" s="18">
        <v>6.9924317209599999E-4</v>
      </c>
    </row>
    <row r="132" spans="2:5">
      <c r="B132" s="94"/>
      <c r="C132" s="20" t="s">
        <v>257</v>
      </c>
      <c r="D132" s="76">
        <v>2</v>
      </c>
      <c r="E132" s="18">
        <v>8.2263902599999999E-5</v>
      </c>
    </row>
    <row r="133" spans="2:5">
      <c r="B133" s="94"/>
      <c r="C133" s="20" t="s">
        <v>230</v>
      </c>
      <c r="D133" s="76">
        <v>1724</v>
      </c>
      <c r="E133" s="18">
        <v>7.0911484040802997E-2</v>
      </c>
    </row>
    <row r="134" spans="2:5">
      <c r="B134" s="94"/>
      <c r="C134" s="20" t="s">
        <v>251</v>
      </c>
      <c r="D134" s="76">
        <v>3</v>
      </c>
      <c r="E134" s="18">
        <v>1.23395853899E-4</v>
      </c>
    </row>
    <row r="135" spans="2:5">
      <c r="B135" s="94"/>
      <c r="C135" s="20" t="s">
        <v>231</v>
      </c>
      <c r="D135" s="76">
        <v>14</v>
      </c>
      <c r="E135" s="18">
        <v>5.7584731819699999E-4</v>
      </c>
    </row>
    <row r="136" spans="2:5">
      <c r="B136" s="94"/>
      <c r="C136" s="20" t="s">
        <v>252</v>
      </c>
      <c r="D136" s="76">
        <v>3</v>
      </c>
      <c r="E136" s="18">
        <v>1.23395853899E-4</v>
      </c>
    </row>
    <row r="137" spans="2:5">
      <c r="B137" s="94"/>
      <c r="C137" s="20" t="s">
        <v>253</v>
      </c>
      <c r="D137" s="76">
        <v>3</v>
      </c>
      <c r="E137" s="18">
        <v>1.23395853899E-4</v>
      </c>
    </row>
    <row r="138" spans="2:5" ht="40.5">
      <c r="B138" s="94"/>
      <c r="C138" s="20" t="s">
        <v>254</v>
      </c>
      <c r="D138" s="76">
        <v>1</v>
      </c>
      <c r="E138" s="18">
        <v>4.1131951299999999E-5</v>
      </c>
    </row>
    <row r="139" spans="2:5">
      <c r="B139" s="94"/>
      <c r="C139" s="20" t="s">
        <v>232</v>
      </c>
      <c r="D139" s="76">
        <v>12</v>
      </c>
      <c r="E139" s="18">
        <v>4.9358341559699998E-4</v>
      </c>
    </row>
    <row r="140" spans="2:5">
      <c r="B140" s="94"/>
      <c r="C140" s="20" t="s">
        <v>234</v>
      </c>
      <c r="D140" s="76">
        <v>8</v>
      </c>
      <c r="E140" s="18">
        <v>3.2905561039800002E-4</v>
      </c>
    </row>
    <row r="141" spans="2:5">
      <c r="B141" s="94"/>
      <c r="C141" s="20" t="s">
        <v>258</v>
      </c>
      <c r="D141" s="76">
        <v>13</v>
      </c>
      <c r="E141" s="18">
        <v>5.3471536689700004E-4</v>
      </c>
    </row>
    <row r="142" spans="2:5">
      <c r="B142" s="94"/>
      <c r="C142" s="20" t="s">
        <v>261</v>
      </c>
      <c r="D142" s="76">
        <v>2</v>
      </c>
      <c r="E142" s="18">
        <v>8.2263902599999999E-5</v>
      </c>
    </row>
    <row r="143" spans="2:5">
      <c r="B143" s="94"/>
      <c r="C143" s="20" t="s">
        <v>235</v>
      </c>
      <c r="D143" s="76">
        <v>151</v>
      </c>
      <c r="E143" s="18">
        <v>6.2109246462650003E-3</v>
      </c>
    </row>
    <row r="144" spans="2:5">
      <c r="B144" s="94"/>
      <c r="C144" s="20" t="s">
        <v>236</v>
      </c>
      <c r="D144" s="76">
        <v>81</v>
      </c>
      <c r="E144" s="18">
        <v>3.331688055281E-3</v>
      </c>
    </row>
    <row r="145" spans="2:5">
      <c r="B145" s="94"/>
      <c r="C145" s="20" t="s">
        <v>259</v>
      </c>
      <c r="D145" s="76">
        <v>12</v>
      </c>
      <c r="E145" s="18">
        <v>4.9358341559699998E-4</v>
      </c>
    </row>
    <row r="146" spans="2:5">
      <c r="B146" s="94"/>
      <c r="C146" s="20" t="s">
        <v>237</v>
      </c>
      <c r="D146" s="76">
        <v>147</v>
      </c>
      <c r="E146" s="18">
        <v>6.0463968410659997E-3</v>
      </c>
    </row>
    <row r="147" spans="2:5">
      <c r="B147" s="94"/>
      <c r="C147" s="20" t="s">
        <v>238</v>
      </c>
      <c r="D147" s="76">
        <v>38</v>
      </c>
      <c r="E147" s="18">
        <v>1.5630141493909999E-3</v>
      </c>
    </row>
    <row r="148" spans="2:5">
      <c r="B148" s="94"/>
      <c r="C148" s="20" t="s">
        <v>239</v>
      </c>
      <c r="D148" s="76">
        <v>117</v>
      </c>
      <c r="E148" s="18">
        <v>4.8124383020729999E-3</v>
      </c>
    </row>
    <row r="149" spans="2:5">
      <c r="B149" s="94"/>
      <c r="C149" s="20" t="s">
        <v>240</v>
      </c>
      <c r="D149" s="76">
        <v>26</v>
      </c>
      <c r="E149" s="18">
        <v>1.0694307337940001E-3</v>
      </c>
    </row>
    <row r="150" spans="2:5">
      <c r="B150" s="94"/>
      <c r="C150" s="20" t="s">
        <v>241</v>
      </c>
      <c r="D150" s="76">
        <v>173</v>
      </c>
      <c r="E150" s="18">
        <v>7.1158275748599998E-3</v>
      </c>
    </row>
    <row r="151" spans="2:5">
      <c r="B151" s="94"/>
      <c r="C151" s="20" t="s">
        <v>242</v>
      </c>
      <c r="D151" s="76">
        <v>85</v>
      </c>
      <c r="E151" s="18">
        <v>3.4962158604800002E-3</v>
      </c>
    </row>
    <row r="152" spans="2:5">
      <c r="B152" s="94"/>
      <c r="C152" s="20" t="s">
        <v>245</v>
      </c>
      <c r="D152" s="76">
        <v>6</v>
      </c>
      <c r="E152" s="18">
        <v>2.4679170779900002E-4</v>
      </c>
    </row>
    <row r="153" spans="2:5">
      <c r="B153" s="94"/>
      <c r="C153" s="20" t="s">
        <v>243</v>
      </c>
      <c r="D153" s="76">
        <v>14</v>
      </c>
      <c r="E153" s="18">
        <v>5.7584731819699999E-4</v>
      </c>
    </row>
    <row r="154" spans="2:5">
      <c r="B154" s="95"/>
      <c r="C154" s="77" t="s">
        <v>29</v>
      </c>
      <c r="D154" s="78">
        <v>3011</v>
      </c>
      <c r="E154" s="79">
        <v>0.123848305363606</v>
      </c>
    </row>
    <row r="155" spans="2:5">
      <c r="B155" s="93" t="s">
        <v>99</v>
      </c>
      <c r="C155" s="20" t="s">
        <v>224</v>
      </c>
      <c r="D155" s="76">
        <v>1</v>
      </c>
      <c r="E155" s="18">
        <v>4.1131951299999999E-5</v>
      </c>
    </row>
    <row r="156" spans="2:5">
      <c r="B156" s="94"/>
      <c r="C156" s="20" t="s">
        <v>235</v>
      </c>
      <c r="D156" s="76">
        <v>1</v>
      </c>
      <c r="E156" s="18">
        <v>4.1131951299999999E-5</v>
      </c>
    </row>
    <row r="157" spans="2:5">
      <c r="B157" s="95"/>
      <c r="C157" s="77" t="s">
        <v>29</v>
      </c>
      <c r="D157" s="78">
        <v>2</v>
      </c>
      <c r="E157" s="79">
        <v>8.2263902599999999E-5</v>
      </c>
    </row>
    <row r="158" spans="2:5">
      <c r="B158" s="93" t="s">
        <v>57</v>
      </c>
      <c r="C158" s="20" t="s">
        <v>219</v>
      </c>
      <c r="D158" s="76">
        <v>5</v>
      </c>
      <c r="E158" s="18">
        <v>2.0565975649899999E-4</v>
      </c>
    </row>
    <row r="159" spans="2:5">
      <c r="B159" s="94"/>
      <c r="C159" s="20" t="s">
        <v>220</v>
      </c>
      <c r="D159" s="76">
        <v>5</v>
      </c>
      <c r="E159" s="18">
        <v>2.0565975649899999E-4</v>
      </c>
    </row>
    <row r="160" spans="2:5">
      <c r="B160" s="94"/>
      <c r="C160" s="20" t="s">
        <v>221</v>
      </c>
      <c r="D160" s="76">
        <v>24</v>
      </c>
      <c r="E160" s="18">
        <v>9.8716683119399995E-4</v>
      </c>
    </row>
    <row r="161" spans="2:5">
      <c r="B161" s="94"/>
      <c r="C161" s="20" t="s">
        <v>246</v>
      </c>
      <c r="D161" s="76">
        <v>1</v>
      </c>
      <c r="E161" s="18">
        <v>4.1131951299999999E-5</v>
      </c>
    </row>
    <row r="162" spans="2:5">
      <c r="B162" s="94"/>
      <c r="C162" s="20" t="s">
        <v>222</v>
      </c>
      <c r="D162" s="76">
        <v>1</v>
      </c>
      <c r="E162" s="18">
        <v>4.1131951299999999E-5</v>
      </c>
    </row>
    <row r="163" spans="2:5">
      <c r="B163" s="94"/>
      <c r="C163" s="20" t="s">
        <v>223</v>
      </c>
      <c r="D163" s="76">
        <v>2</v>
      </c>
      <c r="E163" s="18">
        <v>8.2263902599999999E-5</v>
      </c>
    </row>
    <row r="164" spans="2:5">
      <c r="B164" s="94"/>
      <c r="C164" s="20" t="s">
        <v>247</v>
      </c>
      <c r="D164" s="76">
        <v>3</v>
      </c>
      <c r="E164" s="18">
        <v>1.23395853899E-4</v>
      </c>
    </row>
    <row r="165" spans="2:5">
      <c r="B165" s="94"/>
      <c r="C165" s="20" t="s">
        <v>224</v>
      </c>
      <c r="D165" s="76">
        <v>40</v>
      </c>
      <c r="E165" s="18">
        <v>1.6452780519910001E-3</v>
      </c>
    </row>
    <row r="166" spans="2:5">
      <c r="B166" s="94"/>
      <c r="C166" s="20" t="s">
        <v>226</v>
      </c>
      <c r="D166" s="76">
        <v>52</v>
      </c>
      <c r="E166" s="18">
        <v>2.1388614675880002E-3</v>
      </c>
    </row>
    <row r="167" spans="2:5">
      <c r="B167" s="94"/>
      <c r="C167" s="20" t="s">
        <v>227</v>
      </c>
      <c r="D167" s="76">
        <v>6</v>
      </c>
      <c r="E167" s="18">
        <v>2.4679170779900002E-4</v>
      </c>
    </row>
    <row r="168" spans="2:5">
      <c r="B168" s="94"/>
      <c r="C168" s="20" t="s">
        <v>244</v>
      </c>
      <c r="D168" s="76">
        <v>2</v>
      </c>
      <c r="E168" s="18">
        <v>8.2263902599999999E-5</v>
      </c>
    </row>
    <row r="169" spans="2:5">
      <c r="B169" s="94"/>
      <c r="C169" s="20" t="s">
        <v>248</v>
      </c>
      <c r="D169" s="76">
        <v>1</v>
      </c>
      <c r="E169" s="18">
        <v>4.1131951299999999E-5</v>
      </c>
    </row>
    <row r="170" spans="2:5">
      <c r="B170" s="94"/>
      <c r="C170" s="20" t="s">
        <v>249</v>
      </c>
      <c r="D170" s="76">
        <v>3</v>
      </c>
      <c r="E170" s="18">
        <v>1.23395853899E-4</v>
      </c>
    </row>
    <row r="171" spans="2:5">
      <c r="B171" s="94"/>
      <c r="C171" s="20" t="s">
        <v>256</v>
      </c>
      <c r="D171" s="76">
        <v>2</v>
      </c>
      <c r="E171" s="18">
        <v>8.2263902599999999E-5</v>
      </c>
    </row>
    <row r="172" spans="2:5">
      <c r="B172" s="94"/>
      <c r="C172" s="20" t="s">
        <v>228</v>
      </c>
      <c r="D172" s="76">
        <v>2</v>
      </c>
      <c r="E172" s="18">
        <v>8.2263902599999999E-5</v>
      </c>
    </row>
    <row r="173" spans="2:5">
      <c r="B173" s="94"/>
      <c r="C173" s="20" t="s">
        <v>250</v>
      </c>
      <c r="D173" s="76">
        <v>3</v>
      </c>
      <c r="E173" s="18">
        <v>1.23395853899E-4</v>
      </c>
    </row>
    <row r="174" spans="2:5">
      <c r="B174" s="94"/>
      <c r="C174" s="20" t="s">
        <v>229</v>
      </c>
      <c r="D174" s="76">
        <v>9</v>
      </c>
      <c r="E174" s="18">
        <v>3.7018756169799997E-4</v>
      </c>
    </row>
    <row r="175" spans="2:5">
      <c r="B175" s="94"/>
      <c r="C175" s="20" t="s">
        <v>257</v>
      </c>
      <c r="D175" s="76">
        <v>1</v>
      </c>
      <c r="E175" s="18">
        <v>4.1131951299999999E-5</v>
      </c>
    </row>
    <row r="176" spans="2:5">
      <c r="B176" s="94"/>
      <c r="C176" s="20" t="s">
        <v>230</v>
      </c>
      <c r="D176" s="76">
        <v>95</v>
      </c>
      <c r="E176" s="18">
        <v>3.9075353734779996E-3</v>
      </c>
    </row>
    <row r="177" spans="2:5">
      <c r="B177" s="94"/>
      <c r="C177" s="20" t="s">
        <v>231</v>
      </c>
      <c r="D177" s="76">
        <v>3</v>
      </c>
      <c r="E177" s="18">
        <v>1.23395853899E-4</v>
      </c>
    </row>
    <row r="178" spans="2:5">
      <c r="B178" s="94"/>
      <c r="C178" s="20" t="s">
        <v>252</v>
      </c>
      <c r="D178" s="76">
        <v>1</v>
      </c>
      <c r="E178" s="18">
        <v>4.1131951299999999E-5</v>
      </c>
    </row>
    <row r="179" spans="2:5">
      <c r="B179" s="94"/>
      <c r="C179" s="20" t="s">
        <v>253</v>
      </c>
      <c r="D179" s="76">
        <v>1</v>
      </c>
      <c r="E179" s="18">
        <v>4.1131951299999999E-5</v>
      </c>
    </row>
    <row r="180" spans="2:5">
      <c r="B180" s="94"/>
      <c r="C180" s="20" t="s">
        <v>232</v>
      </c>
      <c r="D180" s="76">
        <v>52</v>
      </c>
      <c r="E180" s="18">
        <v>2.1388614675880002E-3</v>
      </c>
    </row>
    <row r="181" spans="2:5">
      <c r="B181" s="94"/>
      <c r="C181" s="20" t="s">
        <v>233</v>
      </c>
      <c r="D181" s="76">
        <v>1</v>
      </c>
      <c r="E181" s="18">
        <v>4.1131951299999999E-5</v>
      </c>
    </row>
    <row r="182" spans="2:5">
      <c r="B182" s="94"/>
      <c r="C182" s="20" t="s">
        <v>234</v>
      </c>
      <c r="D182" s="76">
        <v>6</v>
      </c>
      <c r="E182" s="18">
        <v>2.4679170779900002E-4</v>
      </c>
    </row>
    <row r="183" spans="2:5">
      <c r="B183" s="94"/>
      <c r="C183" s="20" t="s">
        <v>258</v>
      </c>
      <c r="D183" s="76">
        <v>1</v>
      </c>
      <c r="E183" s="18">
        <v>4.1131951299999999E-5</v>
      </c>
    </row>
    <row r="184" spans="2:5">
      <c r="B184" s="94"/>
      <c r="C184" s="20" t="s">
        <v>261</v>
      </c>
      <c r="D184" s="76">
        <v>1</v>
      </c>
      <c r="E184" s="18">
        <v>4.1131951299999999E-5</v>
      </c>
    </row>
    <row r="185" spans="2:5">
      <c r="B185" s="94"/>
      <c r="C185" s="20" t="s">
        <v>235</v>
      </c>
      <c r="D185" s="76">
        <v>70</v>
      </c>
      <c r="E185" s="18">
        <v>2.8792365909839999E-3</v>
      </c>
    </row>
    <row r="186" spans="2:5">
      <c r="B186" s="94"/>
      <c r="C186" s="20" t="s">
        <v>236</v>
      </c>
      <c r="D186" s="76">
        <v>18</v>
      </c>
      <c r="E186" s="18">
        <v>7.4037512339599995E-4</v>
      </c>
    </row>
    <row r="187" spans="2:5">
      <c r="B187" s="94"/>
      <c r="C187" s="20" t="s">
        <v>259</v>
      </c>
      <c r="D187" s="76">
        <v>1</v>
      </c>
      <c r="E187" s="18">
        <v>4.1131951299999999E-5</v>
      </c>
    </row>
    <row r="188" spans="2:5">
      <c r="B188" s="94"/>
      <c r="C188" s="20" t="s">
        <v>237</v>
      </c>
      <c r="D188" s="76">
        <v>7</v>
      </c>
      <c r="E188" s="18">
        <v>2.8792365909800001E-4</v>
      </c>
    </row>
    <row r="189" spans="2:5">
      <c r="B189" s="94"/>
      <c r="C189" s="20" t="s">
        <v>238</v>
      </c>
      <c r="D189" s="76">
        <v>14</v>
      </c>
      <c r="E189" s="18">
        <v>5.7584731819699999E-4</v>
      </c>
    </row>
    <row r="190" spans="2:5">
      <c r="B190" s="94"/>
      <c r="C190" s="20" t="s">
        <v>239</v>
      </c>
      <c r="D190" s="76">
        <v>102</v>
      </c>
      <c r="E190" s="18">
        <v>4.1954590325769996E-3</v>
      </c>
    </row>
    <row r="191" spans="2:5">
      <c r="B191" s="94"/>
      <c r="C191" s="20" t="s">
        <v>240</v>
      </c>
      <c r="D191" s="76">
        <v>9</v>
      </c>
      <c r="E191" s="18">
        <v>3.7018756169799997E-4</v>
      </c>
    </row>
    <row r="192" spans="2:5">
      <c r="B192" s="94"/>
      <c r="C192" s="20" t="s">
        <v>241</v>
      </c>
      <c r="D192" s="76">
        <v>7</v>
      </c>
      <c r="E192" s="18">
        <v>2.8792365909800001E-4</v>
      </c>
    </row>
    <row r="193" spans="2:5">
      <c r="B193" s="94"/>
      <c r="C193" s="20" t="s">
        <v>242</v>
      </c>
      <c r="D193" s="76">
        <v>26</v>
      </c>
      <c r="E193" s="18">
        <v>1.0694307337940001E-3</v>
      </c>
    </row>
    <row r="194" spans="2:5">
      <c r="B194" s="94"/>
      <c r="C194" s="20" t="s">
        <v>245</v>
      </c>
      <c r="D194" s="76">
        <v>1</v>
      </c>
      <c r="E194" s="18">
        <v>4.1131951299999999E-5</v>
      </c>
    </row>
    <row r="195" spans="2:5">
      <c r="B195" s="94"/>
      <c r="C195" s="20" t="s">
        <v>243</v>
      </c>
      <c r="D195" s="76">
        <v>7</v>
      </c>
      <c r="E195" s="18">
        <v>2.8792365909800001E-4</v>
      </c>
    </row>
    <row r="196" spans="2:5">
      <c r="B196" s="95"/>
      <c r="C196" s="77" t="s">
        <v>29</v>
      </c>
      <c r="D196" s="78">
        <v>585</v>
      </c>
      <c r="E196" s="79">
        <v>2.4062191510365E-2</v>
      </c>
    </row>
    <row r="197" spans="2:5">
      <c r="B197" s="93" t="s">
        <v>53</v>
      </c>
      <c r="C197" s="20" t="s">
        <v>219</v>
      </c>
      <c r="D197" s="76">
        <v>20</v>
      </c>
      <c r="E197" s="18">
        <v>8.22639025995E-4</v>
      </c>
    </row>
    <row r="198" spans="2:5">
      <c r="B198" s="94"/>
      <c r="C198" s="20" t="s">
        <v>220</v>
      </c>
      <c r="D198" s="76">
        <v>19</v>
      </c>
      <c r="E198" s="18">
        <v>7.8150707469600001E-4</v>
      </c>
    </row>
    <row r="199" spans="2:5">
      <c r="B199" s="94"/>
      <c r="C199" s="20" t="s">
        <v>221</v>
      </c>
      <c r="D199" s="76">
        <v>30</v>
      </c>
      <c r="E199" s="18">
        <v>1.233958538993E-3</v>
      </c>
    </row>
    <row r="200" spans="2:5">
      <c r="B200" s="94"/>
      <c r="C200" s="20" t="s">
        <v>246</v>
      </c>
      <c r="D200" s="76">
        <v>10</v>
      </c>
      <c r="E200" s="18">
        <v>4.1131951299799998E-4</v>
      </c>
    </row>
    <row r="201" spans="2:5">
      <c r="B201" s="94"/>
      <c r="C201" s="20" t="s">
        <v>222</v>
      </c>
      <c r="D201" s="76">
        <v>7</v>
      </c>
      <c r="E201" s="18">
        <v>2.8792365909800001E-4</v>
      </c>
    </row>
    <row r="202" spans="2:5">
      <c r="B202" s="94"/>
      <c r="C202" s="20" t="s">
        <v>223</v>
      </c>
      <c r="D202" s="76">
        <v>8</v>
      </c>
      <c r="E202" s="18">
        <v>3.2905561039800002E-4</v>
      </c>
    </row>
    <row r="203" spans="2:5">
      <c r="B203" s="94"/>
      <c r="C203" s="20" t="s">
        <v>247</v>
      </c>
      <c r="D203" s="76">
        <v>16</v>
      </c>
      <c r="E203" s="18">
        <v>6.5811122079600004E-4</v>
      </c>
    </row>
    <row r="204" spans="2:5">
      <c r="B204" s="94"/>
      <c r="C204" s="20" t="s">
        <v>260</v>
      </c>
      <c r="D204" s="76">
        <v>4</v>
      </c>
      <c r="E204" s="18">
        <v>1.6452780519900001E-4</v>
      </c>
    </row>
    <row r="205" spans="2:5">
      <c r="B205" s="94"/>
      <c r="C205" s="20" t="s">
        <v>224</v>
      </c>
      <c r="D205" s="76">
        <v>114</v>
      </c>
      <c r="E205" s="18">
        <v>4.6890424481739997E-3</v>
      </c>
    </row>
    <row r="206" spans="2:5">
      <c r="B206" s="94"/>
      <c r="C206" s="20" t="s">
        <v>225</v>
      </c>
      <c r="D206" s="76">
        <v>8</v>
      </c>
      <c r="E206" s="18">
        <v>3.2905561039800002E-4</v>
      </c>
    </row>
    <row r="207" spans="2:5">
      <c r="B207" s="94"/>
      <c r="C207" s="20" t="s">
        <v>226</v>
      </c>
      <c r="D207" s="76">
        <v>240</v>
      </c>
      <c r="E207" s="18">
        <v>9.8716683119449995E-3</v>
      </c>
    </row>
    <row r="208" spans="2:5">
      <c r="B208" s="94"/>
      <c r="C208" s="20" t="s">
        <v>227</v>
      </c>
      <c r="D208" s="76">
        <v>45</v>
      </c>
      <c r="E208" s="18">
        <v>1.85093780849E-3</v>
      </c>
    </row>
    <row r="209" spans="2:5">
      <c r="B209" s="94"/>
      <c r="C209" s="20" t="s">
        <v>262</v>
      </c>
      <c r="D209" s="76">
        <v>1</v>
      </c>
      <c r="E209" s="18">
        <v>4.1131951299999999E-5</v>
      </c>
    </row>
    <row r="210" spans="2:5">
      <c r="B210" s="94"/>
      <c r="C210" s="20" t="s">
        <v>244</v>
      </c>
      <c r="D210" s="76">
        <v>9</v>
      </c>
      <c r="E210" s="18">
        <v>3.7018756169799997E-4</v>
      </c>
    </row>
    <row r="211" spans="2:5">
      <c r="B211" s="94"/>
      <c r="C211" s="20" t="s">
        <v>248</v>
      </c>
      <c r="D211" s="76">
        <v>3</v>
      </c>
      <c r="E211" s="18">
        <v>1.23395853899E-4</v>
      </c>
    </row>
    <row r="212" spans="2:5">
      <c r="B212" s="94"/>
      <c r="C212" s="20" t="s">
        <v>249</v>
      </c>
      <c r="D212" s="76">
        <v>6</v>
      </c>
      <c r="E212" s="18">
        <v>2.4679170779900002E-4</v>
      </c>
    </row>
    <row r="213" spans="2:5">
      <c r="B213" s="94"/>
      <c r="C213" s="20" t="s">
        <v>256</v>
      </c>
      <c r="D213" s="76">
        <v>19</v>
      </c>
      <c r="E213" s="18">
        <v>7.8150707469600001E-4</v>
      </c>
    </row>
    <row r="214" spans="2:5">
      <c r="B214" s="94"/>
      <c r="C214" s="20" t="s">
        <v>228</v>
      </c>
      <c r="D214" s="76">
        <v>4</v>
      </c>
      <c r="E214" s="18">
        <v>1.6452780519900001E-4</v>
      </c>
    </row>
    <row r="215" spans="2:5">
      <c r="B215" s="94"/>
      <c r="C215" s="20" t="s">
        <v>250</v>
      </c>
      <c r="D215" s="76">
        <v>17</v>
      </c>
      <c r="E215" s="18">
        <v>6.9924317209599999E-4</v>
      </c>
    </row>
    <row r="216" spans="2:5">
      <c r="B216" s="94"/>
      <c r="C216" s="20" t="s">
        <v>229</v>
      </c>
      <c r="D216" s="76">
        <v>22</v>
      </c>
      <c r="E216" s="18">
        <v>9.0490292859500001E-4</v>
      </c>
    </row>
    <row r="217" spans="2:5">
      <c r="B217" s="94"/>
      <c r="C217" s="20" t="s">
        <v>257</v>
      </c>
      <c r="D217" s="76">
        <v>2</v>
      </c>
      <c r="E217" s="18">
        <v>8.2263902599999999E-5</v>
      </c>
    </row>
    <row r="218" spans="2:5">
      <c r="B218" s="94"/>
      <c r="C218" s="20" t="s">
        <v>230</v>
      </c>
      <c r="D218" s="76">
        <v>320</v>
      </c>
      <c r="E218" s="18">
        <v>1.3162224415926E-2</v>
      </c>
    </row>
    <row r="219" spans="2:5">
      <c r="B219" s="94"/>
      <c r="C219" s="20" t="s">
        <v>251</v>
      </c>
      <c r="D219" s="76">
        <v>2</v>
      </c>
      <c r="E219" s="18">
        <v>8.2263902599999999E-5</v>
      </c>
    </row>
    <row r="220" spans="2:5">
      <c r="B220" s="94"/>
      <c r="C220" s="20" t="s">
        <v>231</v>
      </c>
      <c r="D220" s="76">
        <v>13</v>
      </c>
      <c r="E220" s="18">
        <v>5.3471536689700004E-4</v>
      </c>
    </row>
    <row r="221" spans="2:5">
      <c r="B221" s="94"/>
      <c r="C221" s="20" t="s">
        <v>252</v>
      </c>
      <c r="D221" s="76">
        <v>4</v>
      </c>
      <c r="E221" s="18">
        <v>1.6452780519900001E-4</v>
      </c>
    </row>
    <row r="222" spans="2:5">
      <c r="B222" s="94"/>
      <c r="C222" s="20" t="s">
        <v>253</v>
      </c>
      <c r="D222" s="76">
        <v>3</v>
      </c>
      <c r="E222" s="18">
        <v>1.23395853899E-4</v>
      </c>
    </row>
    <row r="223" spans="2:5" ht="40.5">
      <c r="B223" s="94"/>
      <c r="C223" s="20" t="s">
        <v>254</v>
      </c>
      <c r="D223" s="76">
        <v>4</v>
      </c>
      <c r="E223" s="18">
        <v>1.6452780519900001E-4</v>
      </c>
    </row>
    <row r="224" spans="2:5">
      <c r="B224" s="94"/>
      <c r="C224" s="20" t="s">
        <v>232</v>
      </c>
      <c r="D224" s="76">
        <v>397</v>
      </c>
      <c r="E224" s="18">
        <v>1.6329384666009E-2</v>
      </c>
    </row>
    <row r="225" spans="2:5">
      <c r="B225" s="94"/>
      <c r="C225" s="20" t="s">
        <v>233</v>
      </c>
      <c r="D225" s="76">
        <v>10</v>
      </c>
      <c r="E225" s="18">
        <v>4.1131951299799998E-4</v>
      </c>
    </row>
    <row r="226" spans="2:5">
      <c r="B226" s="94"/>
      <c r="C226" s="20" t="s">
        <v>234</v>
      </c>
      <c r="D226" s="76">
        <v>24</v>
      </c>
      <c r="E226" s="18">
        <v>9.8716683119399995E-4</v>
      </c>
    </row>
    <row r="227" spans="2:5">
      <c r="B227" s="94"/>
      <c r="C227" s="20" t="s">
        <v>258</v>
      </c>
      <c r="D227" s="76">
        <v>8</v>
      </c>
      <c r="E227" s="18">
        <v>3.2905561039800002E-4</v>
      </c>
    </row>
    <row r="228" spans="2:5">
      <c r="B228" s="94"/>
      <c r="C228" s="20" t="s">
        <v>261</v>
      </c>
      <c r="D228" s="76">
        <v>3</v>
      </c>
      <c r="E228" s="18">
        <v>1.23395853899E-4</v>
      </c>
    </row>
    <row r="229" spans="2:5">
      <c r="B229" s="94"/>
      <c r="C229" s="20" t="s">
        <v>235</v>
      </c>
      <c r="D229" s="76">
        <v>227</v>
      </c>
      <c r="E229" s="18">
        <v>9.3369529450480007E-3</v>
      </c>
    </row>
    <row r="230" spans="2:5">
      <c r="B230" s="94"/>
      <c r="C230" s="20" t="s">
        <v>236</v>
      </c>
      <c r="D230" s="76">
        <v>90</v>
      </c>
      <c r="E230" s="18">
        <v>3.7018756169789999E-3</v>
      </c>
    </row>
    <row r="231" spans="2:5">
      <c r="B231" s="94"/>
      <c r="C231" s="20" t="s">
        <v>259</v>
      </c>
      <c r="D231" s="76">
        <v>5</v>
      </c>
      <c r="E231" s="18">
        <v>2.0565975649899999E-4</v>
      </c>
    </row>
    <row r="232" spans="2:5">
      <c r="B232" s="94"/>
      <c r="C232" s="20" t="s">
        <v>237</v>
      </c>
      <c r="D232" s="76">
        <v>54</v>
      </c>
      <c r="E232" s="18">
        <v>2.2211253701880001E-3</v>
      </c>
    </row>
    <row r="233" spans="2:5">
      <c r="B233" s="94"/>
      <c r="C233" s="20" t="s">
        <v>263</v>
      </c>
      <c r="D233" s="76">
        <v>1</v>
      </c>
      <c r="E233" s="18">
        <v>4.1131951299999999E-5</v>
      </c>
    </row>
    <row r="234" spans="2:5">
      <c r="B234" s="94"/>
      <c r="C234" s="20" t="s">
        <v>238</v>
      </c>
      <c r="D234" s="76">
        <v>24</v>
      </c>
      <c r="E234" s="18">
        <v>9.8716683119399995E-4</v>
      </c>
    </row>
    <row r="235" spans="2:5">
      <c r="B235" s="94"/>
      <c r="C235" s="20" t="s">
        <v>239</v>
      </c>
      <c r="D235" s="76">
        <v>168</v>
      </c>
      <c r="E235" s="18">
        <v>6.9101678183609997E-3</v>
      </c>
    </row>
    <row r="236" spans="2:5">
      <c r="B236" s="94"/>
      <c r="C236" s="20" t="s">
        <v>240</v>
      </c>
      <c r="D236" s="76">
        <v>81</v>
      </c>
      <c r="E236" s="18">
        <v>3.331688055281E-3</v>
      </c>
    </row>
    <row r="237" spans="2:5">
      <c r="B237" s="94"/>
      <c r="C237" s="20" t="s">
        <v>241</v>
      </c>
      <c r="D237" s="76">
        <v>74</v>
      </c>
      <c r="E237" s="18">
        <v>3.0437643961830001E-3</v>
      </c>
    </row>
    <row r="238" spans="2:5">
      <c r="B238" s="94"/>
      <c r="C238" s="20" t="s">
        <v>242</v>
      </c>
      <c r="D238" s="76">
        <v>102</v>
      </c>
      <c r="E238" s="18">
        <v>4.1954590325769996E-3</v>
      </c>
    </row>
    <row r="239" spans="2:5">
      <c r="B239" s="94"/>
      <c r="C239" s="20" t="s">
        <v>245</v>
      </c>
      <c r="D239" s="76">
        <v>7</v>
      </c>
      <c r="E239" s="18">
        <v>2.8792365909800001E-4</v>
      </c>
    </row>
    <row r="240" spans="2:5">
      <c r="B240" s="94"/>
      <c r="C240" s="20" t="s">
        <v>243</v>
      </c>
      <c r="D240" s="76">
        <v>19</v>
      </c>
      <c r="E240" s="18">
        <v>7.8150707469600001E-4</v>
      </c>
    </row>
    <row r="241" spans="2:5">
      <c r="B241" s="95"/>
      <c r="C241" s="77" t="s">
        <v>29</v>
      </c>
      <c r="D241" s="78">
        <v>2244</v>
      </c>
      <c r="E241" s="79">
        <v>9.2300098716683002E-2</v>
      </c>
    </row>
    <row r="242" spans="2:5">
      <c r="B242" s="93" t="s">
        <v>92</v>
      </c>
      <c r="C242" s="20" t="s">
        <v>247</v>
      </c>
      <c r="D242" s="76">
        <v>1</v>
      </c>
      <c r="E242" s="18">
        <v>4.1131951299999999E-5</v>
      </c>
    </row>
    <row r="243" spans="2:5">
      <c r="B243" s="94"/>
      <c r="C243" s="20" t="s">
        <v>230</v>
      </c>
      <c r="D243" s="76">
        <v>1</v>
      </c>
      <c r="E243" s="18">
        <v>4.1131951299999999E-5</v>
      </c>
    </row>
    <row r="244" spans="2:5">
      <c r="B244" s="94"/>
      <c r="C244" s="20" t="s">
        <v>232</v>
      </c>
      <c r="D244" s="76">
        <v>5</v>
      </c>
      <c r="E244" s="18">
        <v>2.0565975649899999E-4</v>
      </c>
    </row>
    <row r="245" spans="2:5">
      <c r="B245" s="94"/>
      <c r="C245" s="20" t="s">
        <v>239</v>
      </c>
      <c r="D245" s="76">
        <v>1</v>
      </c>
      <c r="E245" s="18">
        <v>4.1131951299999999E-5</v>
      </c>
    </row>
    <row r="246" spans="2:5">
      <c r="B246" s="95"/>
      <c r="C246" s="77" t="s">
        <v>29</v>
      </c>
      <c r="D246" s="78">
        <v>8</v>
      </c>
      <c r="E246" s="79">
        <v>3.2905561039800002E-4</v>
      </c>
    </row>
    <row r="247" spans="2:5">
      <c r="B247" s="93" t="s">
        <v>73</v>
      </c>
      <c r="C247" s="20" t="s">
        <v>223</v>
      </c>
      <c r="D247" s="76">
        <v>4</v>
      </c>
      <c r="E247" s="18">
        <v>1.6452780519900001E-4</v>
      </c>
    </row>
    <row r="248" spans="2:5">
      <c r="B248" s="94"/>
      <c r="C248" s="20" t="s">
        <v>224</v>
      </c>
      <c r="D248" s="76">
        <v>8</v>
      </c>
      <c r="E248" s="18">
        <v>3.2905561039800002E-4</v>
      </c>
    </row>
    <row r="249" spans="2:5">
      <c r="B249" s="94"/>
      <c r="C249" s="20" t="s">
        <v>226</v>
      </c>
      <c r="D249" s="76">
        <v>1</v>
      </c>
      <c r="E249" s="18">
        <v>4.1131951299999999E-5</v>
      </c>
    </row>
    <row r="250" spans="2:5">
      <c r="B250" s="94"/>
      <c r="C250" s="20" t="s">
        <v>227</v>
      </c>
      <c r="D250" s="76">
        <v>1</v>
      </c>
      <c r="E250" s="18">
        <v>4.1131951299999999E-5</v>
      </c>
    </row>
    <row r="251" spans="2:5">
      <c r="B251" s="94"/>
      <c r="C251" s="20" t="s">
        <v>256</v>
      </c>
      <c r="D251" s="76">
        <v>1</v>
      </c>
      <c r="E251" s="18">
        <v>4.1131951299999999E-5</v>
      </c>
    </row>
    <row r="252" spans="2:5">
      <c r="B252" s="94"/>
      <c r="C252" s="20" t="s">
        <v>229</v>
      </c>
      <c r="D252" s="76">
        <v>1</v>
      </c>
      <c r="E252" s="18">
        <v>4.1131951299999999E-5</v>
      </c>
    </row>
    <row r="253" spans="2:5">
      <c r="B253" s="94"/>
      <c r="C253" s="20" t="s">
        <v>230</v>
      </c>
      <c r="D253" s="76">
        <v>10</v>
      </c>
      <c r="E253" s="18">
        <v>4.1131951299799998E-4</v>
      </c>
    </row>
    <row r="254" spans="2:5">
      <c r="B254" s="94"/>
      <c r="C254" s="20" t="s">
        <v>231</v>
      </c>
      <c r="D254" s="76">
        <v>1</v>
      </c>
      <c r="E254" s="18">
        <v>4.1131951299999999E-5</v>
      </c>
    </row>
    <row r="255" spans="2:5" ht="40.5">
      <c r="B255" s="94"/>
      <c r="C255" s="20" t="s">
        <v>254</v>
      </c>
      <c r="D255" s="76">
        <v>1</v>
      </c>
      <c r="E255" s="18">
        <v>4.1131951299999999E-5</v>
      </c>
    </row>
    <row r="256" spans="2:5">
      <c r="B256" s="94"/>
      <c r="C256" s="20" t="s">
        <v>232</v>
      </c>
      <c r="D256" s="76">
        <v>2</v>
      </c>
      <c r="E256" s="18">
        <v>8.2263902599999999E-5</v>
      </c>
    </row>
    <row r="257" spans="2:5">
      <c r="B257" s="94"/>
      <c r="C257" s="20" t="s">
        <v>235</v>
      </c>
      <c r="D257" s="76">
        <v>5</v>
      </c>
      <c r="E257" s="18">
        <v>2.0565975649899999E-4</v>
      </c>
    </row>
    <row r="258" spans="2:5">
      <c r="B258" s="94"/>
      <c r="C258" s="20" t="s">
        <v>236</v>
      </c>
      <c r="D258" s="76">
        <v>4</v>
      </c>
      <c r="E258" s="18">
        <v>1.6452780519900001E-4</v>
      </c>
    </row>
    <row r="259" spans="2:5">
      <c r="B259" s="94"/>
      <c r="C259" s="20" t="s">
        <v>259</v>
      </c>
      <c r="D259" s="76">
        <v>1</v>
      </c>
      <c r="E259" s="18">
        <v>4.1131951299999999E-5</v>
      </c>
    </row>
    <row r="260" spans="2:5">
      <c r="B260" s="94"/>
      <c r="C260" s="20" t="s">
        <v>238</v>
      </c>
      <c r="D260" s="76">
        <v>4</v>
      </c>
      <c r="E260" s="18">
        <v>1.6452780519900001E-4</v>
      </c>
    </row>
    <row r="261" spans="2:5">
      <c r="B261" s="94"/>
      <c r="C261" s="20" t="s">
        <v>239</v>
      </c>
      <c r="D261" s="76">
        <v>9</v>
      </c>
      <c r="E261" s="18">
        <v>3.7018756169799997E-4</v>
      </c>
    </row>
    <row r="262" spans="2:5">
      <c r="B262" s="94"/>
      <c r="C262" s="20" t="s">
        <v>240</v>
      </c>
      <c r="D262" s="76">
        <v>2</v>
      </c>
      <c r="E262" s="18">
        <v>8.2263902599999999E-5</v>
      </c>
    </row>
    <row r="263" spans="2:5">
      <c r="B263" s="94"/>
      <c r="C263" s="20" t="s">
        <v>242</v>
      </c>
      <c r="D263" s="76">
        <v>4</v>
      </c>
      <c r="E263" s="18">
        <v>1.6452780519900001E-4</v>
      </c>
    </row>
    <row r="264" spans="2:5">
      <c r="B264" s="94"/>
      <c r="C264" s="20" t="s">
        <v>243</v>
      </c>
      <c r="D264" s="76">
        <v>2</v>
      </c>
      <c r="E264" s="18">
        <v>8.2263902599999999E-5</v>
      </c>
    </row>
    <row r="265" spans="2:5">
      <c r="B265" s="95"/>
      <c r="C265" s="77" t="s">
        <v>29</v>
      </c>
      <c r="D265" s="78">
        <v>61</v>
      </c>
      <c r="E265" s="79">
        <v>2.509049029286E-3</v>
      </c>
    </row>
    <row r="266" spans="2:5">
      <c r="B266" s="93" t="s">
        <v>64</v>
      </c>
      <c r="C266" s="20" t="s">
        <v>219</v>
      </c>
      <c r="D266" s="76">
        <v>1</v>
      </c>
      <c r="E266" s="18">
        <v>4.1131951299999999E-5</v>
      </c>
    </row>
    <row r="267" spans="2:5">
      <c r="B267" s="94"/>
      <c r="C267" s="20" t="s">
        <v>220</v>
      </c>
      <c r="D267" s="76">
        <v>6</v>
      </c>
      <c r="E267" s="18">
        <v>2.4679170779900002E-4</v>
      </c>
    </row>
    <row r="268" spans="2:5">
      <c r="B268" s="94"/>
      <c r="C268" s="20" t="s">
        <v>221</v>
      </c>
      <c r="D268" s="76">
        <v>1</v>
      </c>
      <c r="E268" s="18">
        <v>4.1131951299999999E-5</v>
      </c>
    </row>
    <row r="269" spans="2:5">
      <c r="B269" s="94"/>
      <c r="C269" s="20" t="s">
        <v>246</v>
      </c>
      <c r="D269" s="76">
        <v>5</v>
      </c>
      <c r="E269" s="18">
        <v>2.0565975649899999E-4</v>
      </c>
    </row>
    <row r="270" spans="2:5">
      <c r="B270" s="94"/>
      <c r="C270" s="20" t="s">
        <v>222</v>
      </c>
      <c r="D270" s="76">
        <v>1</v>
      </c>
      <c r="E270" s="18">
        <v>4.1131951299999999E-5</v>
      </c>
    </row>
    <row r="271" spans="2:5">
      <c r="B271" s="94"/>
      <c r="C271" s="20" t="s">
        <v>223</v>
      </c>
      <c r="D271" s="76">
        <v>1</v>
      </c>
      <c r="E271" s="18">
        <v>4.1131951299999999E-5</v>
      </c>
    </row>
    <row r="272" spans="2:5">
      <c r="B272" s="94"/>
      <c r="C272" s="20" t="s">
        <v>247</v>
      </c>
      <c r="D272" s="76">
        <v>2</v>
      </c>
      <c r="E272" s="18">
        <v>8.2263902599999999E-5</v>
      </c>
    </row>
    <row r="273" spans="2:5">
      <c r="B273" s="94"/>
      <c r="C273" s="20" t="s">
        <v>224</v>
      </c>
      <c r="D273" s="76">
        <v>6</v>
      </c>
      <c r="E273" s="18">
        <v>2.4679170779900002E-4</v>
      </c>
    </row>
    <row r="274" spans="2:5">
      <c r="B274" s="94"/>
      <c r="C274" s="20" t="s">
        <v>226</v>
      </c>
      <c r="D274" s="76">
        <v>32</v>
      </c>
      <c r="E274" s="18">
        <v>1.3162224415929999E-3</v>
      </c>
    </row>
    <row r="275" spans="2:5">
      <c r="B275" s="94"/>
      <c r="C275" s="20" t="s">
        <v>227</v>
      </c>
      <c r="D275" s="76">
        <v>1</v>
      </c>
      <c r="E275" s="18">
        <v>4.1131951299999999E-5</v>
      </c>
    </row>
    <row r="276" spans="2:5">
      <c r="B276" s="94"/>
      <c r="C276" s="20" t="s">
        <v>244</v>
      </c>
      <c r="D276" s="76">
        <v>4</v>
      </c>
      <c r="E276" s="18">
        <v>1.6452780519900001E-4</v>
      </c>
    </row>
    <row r="277" spans="2:5">
      <c r="B277" s="94"/>
      <c r="C277" s="20" t="s">
        <v>248</v>
      </c>
      <c r="D277" s="76">
        <v>1</v>
      </c>
      <c r="E277" s="18">
        <v>4.1131951299999999E-5</v>
      </c>
    </row>
    <row r="278" spans="2:5">
      <c r="B278" s="94"/>
      <c r="C278" s="20" t="s">
        <v>256</v>
      </c>
      <c r="D278" s="76">
        <v>1</v>
      </c>
      <c r="E278" s="18">
        <v>4.1131951299999999E-5</v>
      </c>
    </row>
    <row r="279" spans="2:5">
      <c r="B279" s="94"/>
      <c r="C279" s="20" t="s">
        <v>228</v>
      </c>
      <c r="D279" s="76">
        <v>4</v>
      </c>
      <c r="E279" s="18">
        <v>1.6452780519900001E-4</v>
      </c>
    </row>
    <row r="280" spans="2:5">
      <c r="B280" s="94"/>
      <c r="C280" s="20" t="s">
        <v>230</v>
      </c>
      <c r="D280" s="76">
        <v>47</v>
      </c>
      <c r="E280" s="18">
        <v>1.933201711089E-3</v>
      </c>
    </row>
    <row r="281" spans="2:5">
      <c r="B281" s="94"/>
      <c r="C281" s="20" t="s">
        <v>231</v>
      </c>
      <c r="D281" s="76">
        <v>2</v>
      </c>
      <c r="E281" s="18">
        <v>8.2263902599999999E-5</v>
      </c>
    </row>
    <row r="282" spans="2:5">
      <c r="B282" s="94"/>
      <c r="C282" s="20" t="s">
        <v>252</v>
      </c>
      <c r="D282" s="76">
        <v>1</v>
      </c>
      <c r="E282" s="18">
        <v>4.1131951299999999E-5</v>
      </c>
    </row>
    <row r="283" spans="2:5">
      <c r="B283" s="94"/>
      <c r="C283" s="20" t="s">
        <v>232</v>
      </c>
      <c r="D283" s="76">
        <v>11</v>
      </c>
      <c r="E283" s="18">
        <v>4.5245146429700003E-4</v>
      </c>
    </row>
    <row r="284" spans="2:5">
      <c r="B284" s="94"/>
      <c r="C284" s="20" t="s">
        <v>233</v>
      </c>
      <c r="D284" s="76">
        <v>1</v>
      </c>
      <c r="E284" s="18">
        <v>4.1131951299999999E-5</v>
      </c>
    </row>
    <row r="285" spans="2:5">
      <c r="B285" s="94"/>
      <c r="C285" s="20" t="s">
        <v>234</v>
      </c>
      <c r="D285" s="76">
        <v>5</v>
      </c>
      <c r="E285" s="18">
        <v>2.0565975649899999E-4</v>
      </c>
    </row>
    <row r="286" spans="2:5">
      <c r="B286" s="94"/>
      <c r="C286" s="20" t="s">
        <v>261</v>
      </c>
      <c r="D286" s="76">
        <v>1</v>
      </c>
      <c r="E286" s="18">
        <v>4.1131951299999999E-5</v>
      </c>
    </row>
    <row r="287" spans="2:5">
      <c r="B287" s="94"/>
      <c r="C287" s="20" t="s">
        <v>235</v>
      </c>
      <c r="D287" s="76">
        <v>15</v>
      </c>
      <c r="E287" s="18">
        <v>6.1697926949700005E-4</v>
      </c>
    </row>
    <row r="288" spans="2:5">
      <c r="B288" s="94"/>
      <c r="C288" s="20" t="s">
        <v>236</v>
      </c>
      <c r="D288" s="76">
        <v>11</v>
      </c>
      <c r="E288" s="18">
        <v>4.5245146429700003E-4</v>
      </c>
    </row>
    <row r="289" spans="2:5">
      <c r="B289" s="94"/>
      <c r="C289" s="20" t="s">
        <v>237</v>
      </c>
      <c r="D289" s="76">
        <v>4</v>
      </c>
      <c r="E289" s="18">
        <v>1.6452780519900001E-4</v>
      </c>
    </row>
    <row r="290" spans="2:5">
      <c r="B290" s="94"/>
      <c r="C290" s="20" t="s">
        <v>238</v>
      </c>
      <c r="D290" s="76">
        <v>7</v>
      </c>
      <c r="E290" s="18">
        <v>2.8792365909800001E-4</v>
      </c>
    </row>
    <row r="291" spans="2:5">
      <c r="B291" s="94"/>
      <c r="C291" s="20" t="s">
        <v>239</v>
      </c>
      <c r="D291" s="76">
        <v>10</v>
      </c>
      <c r="E291" s="18">
        <v>4.1131951299799998E-4</v>
      </c>
    </row>
    <row r="292" spans="2:5">
      <c r="B292" s="94"/>
      <c r="C292" s="20" t="s">
        <v>240</v>
      </c>
      <c r="D292" s="76">
        <v>11</v>
      </c>
      <c r="E292" s="18">
        <v>4.5245146429700003E-4</v>
      </c>
    </row>
    <row r="293" spans="2:5">
      <c r="B293" s="94"/>
      <c r="C293" s="20" t="s">
        <v>241</v>
      </c>
      <c r="D293" s="76">
        <v>7</v>
      </c>
      <c r="E293" s="18">
        <v>2.8792365909800001E-4</v>
      </c>
    </row>
    <row r="294" spans="2:5">
      <c r="B294" s="94"/>
      <c r="C294" s="20" t="s">
        <v>242</v>
      </c>
      <c r="D294" s="76">
        <v>12</v>
      </c>
      <c r="E294" s="18">
        <v>4.9358341559699998E-4</v>
      </c>
    </row>
    <row r="295" spans="2:5">
      <c r="B295" s="94"/>
      <c r="C295" s="20" t="s">
        <v>245</v>
      </c>
      <c r="D295" s="76">
        <v>1</v>
      </c>
      <c r="E295" s="18">
        <v>4.1131951299999999E-5</v>
      </c>
    </row>
    <row r="296" spans="2:5">
      <c r="B296" s="94"/>
      <c r="C296" s="20" t="s">
        <v>243</v>
      </c>
      <c r="D296" s="76">
        <v>1</v>
      </c>
      <c r="E296" s="18">
        <v>4.1131951299999999E-5</v>
      </c>
    </row>
    <row r="297" spans="2:5">
      <c r="B297" s="95"/>
      <c r="C297" s="77" t="s">
        <v>29</v>
      </c>
      <c r="D297" s="78">
        <v>213</v>
      </c>
      <c r="E297" s="79">
        <v>8.7611056268509999E-3</v>
      </c>
    </row>
    <row r="298" spans="2:5">
      <c r="B298" s="93" t="s">
        <v>94</v>
      </c>
      <c r="C298" s="20" t="s">
        <v>228</v>
      </c>
      <c r="D298" s="76">
        <v>1</v>
      </c>
      <c r="E298" s="18">
        <v>4.1131951299999999E-5</v>
      </c>
    </row>
    <row r="299" spans="2:5">
      <c r="B299" s="94"/>
      <c r="C299" s="20" t="s">
        <v>230</v>
      </c>
      <c r="D299" s="76">
        <v>1</v>
      </c>
      <c r="E299" s="18">
        <v>4.1131951299999999E-5</v>
      </c>
    </row>
    <row r="300" spans="2:5">
      <c r="B300" s="94"/>
      <c r="C300" s="20" t="s">
        <v>232</v>
      </c>
      <c r="D300" s="76">
        <v>3</v>
      </c>
      <c r="E300" s="18">
        <v>1.23395853899E-4</v>
      </c>
    </row>
    <row r="301" spans="2:5">
      <c r="B301" s="94"/>
      <c r="C301" s="20" t="s">
        <v>258</v>
      </c>
      <c r="D301" s="76">
        <v>1</v>
      </c>
      <c r="E301" s="18">
        <v>4.1131951299999999E-5</v>
      </c>
    </row>
    <row r="302" spans="2:5">
      <c r="B302" s="94"/>
      <c r="C302" s="20" t="s">
        <v>235</v>
      </c>
      <c r="D302" s="76">
        <v>1</v>
      </c>
      <c r="E302" s="18">
        <v>4.1131951299999999E-5</v>
      </c>
    </row>
    <row r="303" spans="2:5">
      <c r="B303" s="95"/>
      <c r="C303" s="77" t="s">
        <v>29</v>
      </c>
      <c r="D303" s="78">
        <v>7</v>
      </c>
      <c r="E303" s="79">
        <v>2.8792365909800001E-4</v>
      </c>
    </row>
    <row r="304" spans="2:5">
      <c r="B304" s="93" t="s">
        <v>89</v>
      </c>
      <c r="C304" s="20" t="s">
        <v>226</v>
      </c>
      <c r="D304" s="76">
        <v>4</v>
      </c>
      <c r="E304" s="18">
        <v>1.6452780519900001E-4</v>
      </c>
    </row>
    <row r="305" spans="2:5">
      <c r="B305" s="94"/>
      <c r="C305" s="20" t="s">
        <v>229</v>
      </c>
      <c r="D305" s="76">
        <v>1</v>
      </c>
      <c r="E305" s="18">
        <v>4.1131951299999999E-5</v>
      </c>
    </row>
    <row r="306" spans="2:5">
      <c r="B306" s="94"/>
      <c r="C306" s="20" t="s">
        <v>230</v>
      </c>
      <c r="D306" s="76">
        <v>1</v>
      </c>
      <c r="E306" s="18">
        <v>4.1131951299999999E-5</v>
      </c>
    </row>
    <row r="307" spans="2:5">
      <c r="B307" s="94"/>
      <c r="C307" s="20" t="s">
        <v>235</v>
      </c>
      <c r="D307" s="76">
        <v>2</v>
      </c>
      <c r="E307" s="18">
        <v>8.2263902599999999E-5</v>
      </c>
    </row>
    <row r="308" spans="2:5">
      <c r="B308" s="94"/>
      <c r="C308" s="20" t="s">
        <v>236</v>
      </c>
      <c r="D308" s="76">
        <v>1</v>
      </c>
      <c r="E308" s="18">
        <v>4.1131951299999999E-5</v>
      </c>
    </row>
    <row r="309" spans="2:5">
      <c r="B309" s="94"/>
      <c r="C309" s="20" t="s">
        <v>237</v>
      </c>
      <c r="D309" s="76">
        <v>1</v>
      </c>
      <c r="E309" s="18">
        <v>4.1131951299999999E-5</v>
      </c>
    </row>
    <row r="310" spans="2:5">
      <c r="B310" s="94"/>
      <c r="C310" s="20" t="s">
        <v>239</v>
      </c>
      <c r="D310" s="76">
        <v>2</v>
      </c>
      <c r="E310" s="18">
        <v>8.2263902599999999E-5</v>
      </c>
    </row>
    <row r="311" spans="2:5">
      <c r="B311" s="94"/>
      <c r="C311" s="20" t="s">
        <v>240</v>
      </c>
      <c r="D311" s="76">
        <v>1</v>
      </c>
      <c r="E311" s="18">
        <v>4.1131951299999999E-5</v>
      </c>
    </row>
    <row r="312" spans="2:5">
      <c r="B312" s="94"/>
      <c r="C312" s="20" t="s">
        <v>242</v>
      </c>
      <c r="D312" s="76">
        <v>1</v>
      </c>
      <c r="E312" s="18">
        <v>4.1131951299999999E-5</v>
      </c>
    </row>
    <row r="313" spans="2:5">
      <c r="B313" s="95"/>
      <c r="C313" s="77" t="s">
        <v>29</v>
      </c>
      <c r="D313" s="78">
        <v>14</v>
      </c>
      <c r="E313" s="79">
        <v>5.7584731819699999E-4</v>
      </c>
    </row>
    <row r="314" spans="2:5">
      <c r="B314" s="93" t="s">
        <v>72</v>
      </c>
      <c r="C314" s="20" t="s">
        <v>219</v>
      </c>
      <c r="D314" s="76">
        <v>2</v>
      </c>
      <c r="E314" s="18">
        <v>8.2263902599999999E-5</v>
      </c>
    </row>
    <row r="315" spans="2:5">
      <c r="B315" s="94"/>
      <c r="C315" s="20" t="s">
        <v>221</v>
      </c>
      <c r="D315" s="76">
        <v>5</v>
      </c>
      <c r="E315" s="18">
        <v>2.0565975649899999E-4</v>
      </c>
    </row>
    <row r="316" spans="2:5">
      <c r="B316" s="94"/>
      <c r="C316" s="20" t="s">
        <v>224</v>
      </c>
      <c r="D316" s="76">
        <v>2</v>
      </c>
      <c r="E316" s="18">
        <v>8.2263902599999999E-5</v>
      </c>
    </row>
    <row r="317" spans="2:5">
      <c r="B317" s="94"/>
      <c r="C317" s="20" t="s">
        <v>226</v>
      </c>
      <c r="D317" s="76">
        <v>2</v>
      </c>
      <c r="E317" s="18">
        <v>8.2263902599999999E-5</v>
      </c>
    </row>
    <row r="318" spans="2:5">
      <c r="B318" s="94"/>
      <c r="C318" s="20" t="s">
        <v>227</v>
      </c>
      <c r="D318" s="76">
        <v>2</v>
      </c>
      <c r="E318" s="18">
        <v>8.2263902599999999E-5</v>
      </c>
    </row>
    <row r="319" spans="2:5">
      <c r="B319" s="94"/>
      <c r="C319" s="20" t="s">
        <v>262</v>
      </c>
      <c r="D319" s="76">
        <v>1</v>
      </c>
      <c r="E319" s="18">
        <v>4.1131951299999999E-5</v>
      </c>
    </row>
    <row r="320" spans="2:5">
      <c r="B320" s="94"/>
      <c r="C320" s="20" t="s">
        <v>256</v>
      </c>
      <c r="D320" s="76">
        <v>1</v>
      </c>
      <c r="E320" s="18">
        <v>4.1131951299999999E-5</v>
      </c>
    </row>
    <row r="321" spans="2:5">
      <c r="B321" s="94"/>
      <c r="C321" s="20" t="s">
        <v>228</v>
      </c>
      <c r="D321" s="76">
        <v>2</v>
      </c>
      <c r="E321" s="18">
        <v>8.2263902599999999E-5</v>
      </c>
    </row>
    <row r="322" spans="2:5">
      <c r="B322" s="94"/>
      <c r="C322" s="20" t="s">
        <v>230</v>
      </c>
      <c r="D322" s="76">
        <v>12</v>
      </c>
      <c r="E322" s="18">
        <v>4.9358341559699998E-4</v>
      </c>
    </row>
    <row r="323" spans="2:5">
      <c r="B323" s="94"/>
      <c r="C323" s="20" t="s">
        <v>232</v>
      </c>
      <c r="D323" s="76">
        <v>2</v>
      </c>
      <c r="E323" s="18">
        <v>8.2263902599999999E-5</v>
      </c>
    </row>
    <row r="324" spans="2:5">
      <c r="B324" s="94"/>
      <c r="C324" s="20" t="s">
        <v>234</v>
      </c>
      <c r="D324" s="76">
        <v>1</v>
      </c>
      <c r="E324" s="18">
        <v>4.1131951299999999E-5</v>
      </c>
    </row>
    <row r="325" spans="2:5">
      <c r="B325" s="94"/>
      <c r="C325" s="20" t="s">
        <v>235</v>
      </c>
      <c r="D325" s="76">
        <v>11</v>
      </c>
      <c r="E325" s="18">
        <v>4.5245146429700003E-4</v>
      </c>
    </row>
    <row r="326" spans="2:5">
      <c r="B326" s="94"/>
      <c r="C326" s="20" t="s">
        <v>236</v>
      </c>
      <c r="D326" s="76">
        <v>4</v>
      </c>
      <c r="E326" s="18">
        <v>1.6452780519900001E-4</v>
      </c>
    </row>
    <row r="327" spans="2:5">
      <c r="B327" s="94"/>
      <c r="C327" s="20" t="s">
        <v>237</v>
      </c>
      <c r="D327" s="76">
        <v>2</v>
      </c>
      <c r="E327" s="18">
        <v>8.2263902599999999E-5</v>
      </c>
    </row>
    <row r="328" spans="2:5">
      <c r="B328" s="94"/>
      <c r="C328" s="20" t="s">
        <v>239</v>
      </c>
      <c r="D328" s="76">
        <v>7</v>
      </c>
      <c r="E328" s="18">
        <v>2.8792365909800001E-4</v>
      </c>
    </row>
    <row r="329" spans="2:5">
      <c r="B329" s="94"/>
      <c r="C329" s="20" t="s">
        <v>241</v>
      </c>
      <c r="D329" s="76">
        <v>8</v>
      </c>
      <c r="E329" s="18">
        <v>3.2905561039800002E-4</v>
      </c>
    </row>
    <row r="330" spans="2:5">
      <c r="B330" s="94"/>
      <c r="C330" s="20" t="s">
        <v>242</v>
      </c>
      <c r="D330" s="76">
        <v>1</v>
      </c>
      <c r="E330" s="18">
        <v>4.1131951299999999E-5</v>
      </c>
    </row>
    <row r="331" spans="2:5">
      <c r="B331" s="95"/>
      <c r="C331" s="77" t="s">
        <v>29</v>
      </c>
      <c r="D331" s="78">
        <v>65</v>
      </c>
      <c r="E331" s="79">
        <v>2.6735768344850002E-3</v>
      </c>
    </row>
    <row r="332" spans="2:5">
      <c r="B332" s="93" t="s">
        <v>75</v>
      </c>
      <c r="C332" s="20" t="s">
        <v>219</v>
      </c>
      <c r="D332" s="76">
        <v>1</v>
      </c>
      <c r="E332" s="18">
        <v>4.1131951299999999E-5</v>
      </c>
    </row>
    <row r="333" spans="2:5">
      <c r="B333" s="94"/>
      <c r="C333" s="20" t="s">
        <v>223</v>
      </c>
      <c r="D333" s="76">
        <v>1</v>
      </c>
      <c r="E333" s="18">
        <v>4.1131951299999999E-5</v>
      </c>
    </row>
    <row r="334" spans="2:5">
      <c r="B334" s="94"/>
      <c r="C334" s="20" t="s">
        <v>224</v>
      </c>
      <c r="D334" s="76">
        <v>1</v>
      </c>
      <c r="E334" s="18">
        <v>4.1131951299999999E-5</v>
      </c>
    </row>
    <row r="335" spans="2:5">
      <c r="B335" s="94"/>
      <c r="C335" s="20" t="s">
        <v>226</v>
      </c>
      <c r="D335" s="76">
        <v>6</v>
      </c>
      <c r="E335" s="18">
        <v>2.4679170779900002E-4</v>
      </c>
    </row>
    <row r="336" spans="2:5">
      <c r="B336" s="94"/>
      <c r="C336" s="20" t="s">
        <v>227</v>
      </c>
      <c r="D336" s="76">
        <v>4</v>
      </c>
      <c r="E336" s="18">
        <v>1.6452780519900001E-4</v>
      </c>
    </row>
    <row r="337" spans="2:5">
      <c r="B337" s="94"/>
      <c r="C337" s="20" t="s">
        <v>244</v>
      </c>
      <c r="D337" s="76">
        <v>1</v>
      </c>
      <c r="E337" s="18">
        <v>4.1131951299999999E-5</v>
      </c>
    </row>
    <row r="338" spans="2:5">
      <c r="B338" s="94"/>
      <c r="C338" s="20" t="s">
        <v>229</v>
      </c>
      <c r="D338" s="76">
        <v>3</v>
      </c>
      <c r="E338" s="18">
        <v>1.23395853899E-4</v>
      </c>
    </row>
    <row r="339" spans="2:5">
      <c r="B339" s="94"/>
      <c r="C339" s="20" t="s">
        <v>230</v>
      </c>
      <c r="D339" s="76">
        <v>4</v>
      </c>
      <c r="E339" s="18">
        <v>1.6452780519900001E-4</v>
      </c>
    </row>
    <row r="340" spans="2:5">
      <c r="B340" s="94"/>
      <c r="C340" s="20" t="s">
        <v>231</v>
      </c>
      <c r="D340" s="76">
        <v>1</v>
      </c>
      <c r="E340" s="18">
        <v>4.1131951299999999E-5</v>
      </c>
    </row>
    <row r="341" spans="2:5">
      <c r="B341" s="94"/>
      <c r="C341" s="20" t="s">
        <v>232</v>
      </c>
      <c r="D341" s="76">
        <v>3</v>
      </c>
      <c r="E341" s="18">
        <v>1.23395853899E-4</v>
      </c>
    </row>
    <row r="342" spans="2:5">
      <c r="B342" s="94"/>
      <c r="C342" s="20" t="s">
        <v>234</v>
      </c>
      <c r="D342" s="76">
        <v>1</v>
      </c>
      <c r="E342" s="18">
        <v>4.1131951299999999E-5</v>
      </c>
    </row>
    <row r="343" spans="2:5">
      <c r="B343" s="94"/>
      <c r="C343" s="20" t="s">
        <v>235</v>
      </c>
      <c r="D343" s="76">
        <v>7</v>
      </c>
      <c r="E343" s="18">
        <v>2.8792365909800001E-4</v>
      </c>
    </row>
    <row r="344" spans="2:5">
      <c r="B344" s="94"/>
      <c r="C344" s="20" t="s">
        <v>236</v>
      </c>
      <c r="D344" s="76">
        <v>1</v>
      </c>
      <c r="E344" s="18">
        <v>4.1131951299999999E-5</v>
      </c>
    </row>
    <row r="345" spans="2:5">
      <c r="B345" s="94"/>
      <c r="C345" s="20" t="s">
        <v>238</v>
      </c>
      <c r="D345" s="76">
        <v>1</v>
      </c>
      <c r="E345" s="18">
        <v>4.1131951299999999E-5</v>
      </c>
    </row>
    <row r="346" spans="2:5">
      <c r="B346" s="94"/>
      <c r="C346" s="20" t="s">
        <v>239</v>
      </c>
      <c r="D346" s="76">
        <v>6</v>
      </c>
      <c r="E346" s="18">
        <v>2.4679170779900002E-4</v>
      </c>
    </row>
    <row r="347" spans="2:5">
      <c r="B347" s="94"/>
      <c r="C347" s="20" t="s">
        <v>240</v>
      </c>
      <c r="D347" s="76">
        <v>1</v>
      </c>
      <c r="E347" s="18">
        <v>4.1131951299999999E-5</v>
      </c>
    </row>
    <row r="348" spans="2:5">
      <c r="B348" s="94"/>
      <c r="C348" s="20" t="s">
        <v>241</v>
      </c>
      <c r="D348" s="76">
        <v>1</v>
      </c>
      <c r="E348" s="18">
        <v>4.1131951299999999E-5</v>
      </c>
    </row>
    <row r="349" spans="2:5">
      <c r="B349" s="94"/>
      <c r="C349" s="20" t="s">
        <v>242</v>
      </c>
      <c r="D349" s="76">
        <v>7</v>
      </c>
      <c r="E349" s="18">
        <v>2.8792365909800001E-4</v>
      </c>
    </row>
    <row r="350" spans="2:5">
      <c r="B350" s="95"/>
      <c r="C350" s="77" t="s">
        <v>29</v>
      </c>
      <c r="D350" s="78">
        <v>50</v>
      </c>
      <c r="E350" s="79">
        <v>2.0565975649879998E-3</v>
      </c>
    </row>
    <row r="351" spans="2:5">
      <c r="B351" s="93" t="s">
        <v>51</v>
      </c>
      <c r="C351" s="20" t="s">
        <v>219</v>
      </c>
      <c r="D351" s="76">
        <v>39</v>
      </c>
      <c r="E351" s="18">
        <v>1.6041461006909999E-3</v>
      </c>
    </row>
    <row r="352" spans="2:5">
      <c r="B352" s="94"/>
      <c r="C352" s="20" t="s">
        <v>220</v>
      </c>
      <c r="D352" s="76">
        <v>65</v>
      </c>
      <c r="E352" s="18">
        <v>2.6735768344850002E-3</v>
      </c>
    </row>
    <row r="353" spans="2:5">
      <c r="B353" s="94"/>
      <c r="C353" s="20" t="s">
        <v>221</v>
      </c>
      <c r="D353" s="76">
        <v>70</v>
      </c>
      <c r="E353" s="18">
        <v>2.8792365909839999E-3</v>
      </c>
    </row>
    <row r="354" spans="2:5">
      <c r="B354" s="94"/>
      <c r="C354" s="20" t="s">
        <v>246</v>
      </c>
      <c r="D354" s="76">
        <v>14</v>
      </c>
      <c r="E354" s="18">
        <v>5.7584731819699999E-4</v>
      </c>
    </row>
    <row r="355" spans="2:5">
      <c r="B355" s="94"/>
      <c r="C355" s="20" t="s">
        <v>222</v>
      </c>
      <c r="D355" s="76">
        <v>52</v>
      </c>
      <c r="E355" s="18">
        <v>2.1388614675880002E-3</v>
      </c>
    </row>
    <row r="356" spans="2:5">
      <c r="B356" s="94"/>
      <c r="C356" s="20" t="s">
        <v>223</v>
      </c>
      <c r="D356" s="76">
        <v>25</v>
      </c>
      <c r="E356" s="18">
        <v>1.0282987824939999E-3</v>
      </c>
    </row>
    <row r="357" spans="2:5">
      <c r="B357" s="94"/>
      <c r="C357" s="20" t="s">
        <v>247</v>
      </c>
      <c r="D357" s="76">
        <v>35</v>
      </c>
      <c r="E357" s="18">
        <v>1.4396182954919999E-3</v>
      </c>
    </row>
    <row r="358" spans="2:5">
      <c r="B358" s="94"/>
      <c r="C358" s="20" t="s">
        <v>260</v>
      </c>
      <c r="D358" s="76">
        <v>12</v>
      </c>
      <c r="E358" s="18">
        <v>4.9358341559699998E-4</v>
      </c>
    </row>
    <row r="359" spans="2:5">
      <c r="B359" s="94"/>
      <c r="C359" s="20" t="s">
        <v>224</v>
      </c>
      <c r="D359" s="76">
        <v>281</v>
      </c>
      <c r="E359" s="18">
        <v>1.1558078315235001E-2</v>
      </c>
    </row>
    <row r="360" spans="2:5">
      <c r="B360" s="94"/>
      <c r="C360" s="20" t="s">
        <v>225</v>
      </c>
      <c r="D360" s="76">
        <v>26</v>
      </c>
      <c r="E360" s="18">
        <v>1.0694307337940001E-3</v>
      </c>
    </row>
    <row r="361" spans="2:5">
      <c r="B361" s="94"/>
      <c r="C361" s="20" t="s">
        <v>226</v>
      </c>
      <c r="D361" s="76">
        <v>548</v>
      </c>
      <c r="E361" s="18">
        <v>2.2540309312274E-2</v>
      </c>
    </row>
    <row r="362" spans="2:5">
      <c r="B362" s="94"/>
      <c r="C362" s="20" t="s">
        <v>227</v>
      </c>
      <c r="D362" s="76">
        <v>92</v>
      </c>
      <c r="E362" s="18">
        <v>3.7841395195790002E-3</v>
      </c>
    </row>
    <row r="363" spans="2:5">
      <c r="B363" s="94"/>
      <c r="C363" s="20" t="s">
        <v>262</v>
      </c>
      <c r="D363" s="76">
        <v>5</v>
      </c>
      <c r="E363" s="18">
        <v>2.0565975649899999E-4</v>
      </c>
    </row>
    <row r="364" spans="2:5">
      <c r="B364" s="94"/>
      <c r="C364" s="20" t="s">
        <v>244</v>
      </c>
      <c r="D364" s="76">
        <v>30</v>
      </c>
      <c r="E364" s="18">
        <v>1.233958538993E-3</v>
      </c>
    </row>
    <row r="365" spans="2:5">
      <c r="B365" s="94"/>
      <c r="C365" s="20" t="s">
        <v>248</v>
      </c>
      <c r="D365" s="76">
        <v>9</v>
      </c>
      <c r="E365" s="18">
        <v>3.7018756169799997E-4</v>
      </c>
    </row>
    <row r="366" spans="2:5">
      <c r="B366" s="94"/>
      <c r="C366" s="20" t="s">
        <v>249</v>
      </c>
      <c r="D366" s="76">
        <v>12</v>
      </c>
      <c r="E366" s="18">
        <v>4.9358341559699998E-4</v>
      </c>
    </row>
    <row r="367" spans="2:5">
      <c r="B367" s="94"/>
      <c r="C367" s="20" t="s">
        <v>256</v>
      </c>
      <c r="D367" s="76">
        <v>41</v>
      </c>
      <c r="E367" s="18">
        <v>1.686410003291E-3</v>
      </c>
    </row>
    <row r="368" spans="2:5">
      <c r="B368" s="94"/>
      <c r="C368" s="20" t="s">
        <v>228</v>
      </c>
      <c r="D368" s="76">
        <v>22</v>
      </c>
      <c r="E368" s="18">
        <v>9.0490292859500001E-4</v>
      </c>
    </row>
    <row r="369" spans="2:5">
      <c r="B369" s="94"/>
      <c r="C369" s="20" t="s">
        <v>250</v>
      </c>
      <c r="D369" s="76">
        <v>17</v>
      </c>
      <c r="E369" s="18">
        <v>6.9924317209599999E-4</v>
      </c>
    </row>
    <row r="370" spans="2:5">
      <c r="B370" s="94"/>
      <c r="C370" s="20" t="s">
        <v>229</v>
      </c>
      <c r="D370" s="76">
        <v>36</v>
      </c>
      <c r="E370" s="18">
        <v>1.4807502467919999E-3</v>
      </c>
    </row>
    <row r="371" spans="2:5">
      <c r="B371" s="94"/>
      <c r="C371" s="20" t="s">
        <v>257</v>
      </c>
      <c r="D371" s="76">
        <v>6</v>
      </c>
      <c r="E371" s="18">
        <v>2.4679170779900002E-4</v>
      </c>
    </row>
    <row r="372" spans="2:5">
      <c r="B372" s="94"/>
      <c r="C372" s="20" t="s">
        <v>230</v>
      </c>
      <c r="D372" s="76">
        <v>1130</v>
      </c>
      <c r="E372" s="18">
        <v>4.6479104968739998E-2</v>
      </c>
    </row>
    <row r="373" spans="2:5">
      <c r="B373" s="94"/>
      <c r="C373" s="20" t="s">
        <v>251</v>
      </c>
      <c r="D373" s="76">
        <v>20</v>
      </c>
      <c r="E373" s="18">
        <v>8.22639025995E-4</v>
      </c>
    </row>
    <row r="374" spans="2:5">
      <c r="B374" s="94"/>
      <c r="C374" s="20" t="s">
        <v>231</v>
      </c>
      <c r="D374" s="76">
        <v>105</v>
      </c>
      <c r="E374" s="18">
        <v>4.3188548864759998E-3</v>
      </c>
    </row>
    <row r="375" spans="2:5">
      <c r="B375" s="94"/>
      <c r="C375" s="20" t="s">
        <v>252</v>
      </c>
      <c r="D375" s="76">
        <v>12</v>
      </c>
      <c r="E375" s="18">
        <v>4.9358341559699998E-4</v>
      </c>
    </row>
    <row r="376" spans="2:5">
      <c r="B376" s="94"/>
      <c r="C376" s="20" t="s">
        <v>253</v>
      </c>
      <c r="D376" s="76">
        <v>21</v>
      </c>
      <c r="E376" s="18">
        <v>8.6377097729499995E-4</v>
      </c>
    </row>
    <row r="377" spans="2:5" ht="40.5">
      <c r="B377" s="94"/>
      <c r="C377" s="20" t="s">
        <v>254</v>
      </c>
      <c r="D377" s="76">
        <v>9</v>
      </c>
      <c r="E377" s="18">
        <v>3.7018756169799997E-4</v>
      </c>
    </row>
    <row r="378" spans="2:5">
      <c r="B378" s="94"/>
      <c r="C378" s="20" t="s">
        <v>232</v>
      </c>
      <c r="D378" s="76">
        <v>446</v>
      </c>
      <c r="E378" s="18">
        <v>1.8344850279697001E-2</v>
      </c>
    </row>
    <row r="379" spans="2:5">
      <c r="B379" s="94"/>
      <c r="C379" s="20" t="s">
        <v>233</v>
      </c>
      <c r="D379" s="76">
        <v>4</v>
      </c>
      <c r="E379" s="18">
        <v>1.6452780519900001E-4</v>
      </c>
    </row>
    <row r="380" spans="2:5">
      <c r="B380" s="94"/>
      <c r="C380" s="20" t="s">
        <v>234</v>
      </c>
      <c r="D380" s="76">
        <v>48</v>
      </c>
      <c r="E380" s="18">
        <v>1.974333662389E-3</v>
      </c>
    </row>
    <row r="381" spans="2:5">
      <c r="B381" s="94"/>
      <c r="C381" s="20" t="s">
        <v>258</v>
      </c>
      <c r="D381" s="76">
        <v>28</v>
      </c>
      <c r="E381" s="18">
        <v>1.151694636394E-3</v>
      </c>
    </row>
    <row r="382" spans="2:5">
      <c r="B382" s="94"/>
      <c r="C382" s="20" t="s">
        <v>261</v>
      </c>
      <c r="D382" s="76">
        <v>2</v>
      </c>
      <c r="E382" s="18">
        <v>8.2263902599999999E-5</v>
      </c>
    </row>
    <row r="383" spans="2:5">
      <c r="B383" s="94"/>
      <c r="C383" s="20" t="s">
        <v>235</v>
      </c>
      <c r="D383" s="76">
        <v>552</v>
      </c>
      <c r="E383" s="18">
        <v>2.2704837117472999E-2</v>
      </c>
    </row>
    <row r="384" spans="2:5">
      <c r="B384" s="94"/>
      <c r="C384" s="20" t="s">
        <v>236</v>
      </c>
      <c r="D384" s="76">
        <v>233</v>
      </c>
      <c r="E384" s="18">
        <v>9.5837446528459994E-3</v>
      </c>
    </row>
    <row r="385" spans="2:5">
      <c r="B385" s="94"/>
      <c r="C385" s="20" t="s">
        <v>259</v>
      </c>
      <c r="D385" s="76">
        <v>23</v>
      </c>
      <c r="E385" s="18">
        <v>9.4603487989499996E-4</v>
      </c>
    </row>
    <row r="386" spans="2:5">
      <c r="B386" s="94"/>
      <c r="C386" s="20" t="s">
        <v>237</v>
      </c>
      <c r="D386" s="76">
        <v>345</v>
      </c>
      <c r="E386" s="18">
        <v>1.4190523198421E-2</v>
      </c>
    </row>
    <row r="387" spans="2:5">
      <c r="B387" s="94"/>
      <c r="C387" s="20" t="s">
        <v>263</v>
      </c>
      <c r="D387" s="76">
        <v>2</v>
      </c>
      <c r="E387" s="18">
        <v>8.2263902599999999E-5</v>
      </c>
    </row>
    <row r="388" spans="2:5">
      <c r="B388" s="94"/>
      <c r="C388" s="20" t="s">
        <v>238</v>
      </c>
      <c r="D388" s="76">
        <v>76</v>
      </c>
      <c r="E388" s="18">
        <v>3.1260282987819999E-3</v>
      </c>
    </row>
    <row r="389" spans="2:5">
      <c r="B389" s="94"/>
      <c r="C389" s="20" t="s">
        <v>239</v>
      </c>
      <c r="D389" s="76">
        <v>475</v>
      </c>
      <c r="E389" s="18">
        <v>1.9537676867391E-2</v>
      </c>
    </row>
    <row r="390" spans="2:5">
      <c r="B390" s="94"/>
      <c r="C390" s="20" t="s">
        <v>240</v>
      </c>
      <c r="D390" s="76">
        <v>255</v>
      </c>
      <c r="E390" s="18">
        <v>1.0488647581441E-2</v>
      </c>
    </row>
    <row r="391" spans="2:5">
      <c r="B391" s="94"/>
      <c r="C391" s="20" t="s">
        <v>241</v>
      </c>
      <c r="D391" s="76">
        <v>347</v>
      </c>
      <c r="E391" s="18">
        <v>1.427278710102E-2</v>
      </c>
    </row>
    <row r="392" spans="2:5">
      <c r="B392" s="94"/>
      <c r="C392" s="20" t="s">
        <v>242</v>
      </c>
      <c r="D392" s="76">
        <v>267</v>
      </c>
      <c r="E392" s="18">
        <v>1.0982230997039001E-2</v>
      </c>
    </row>
    <row r="393" spans="2:5">
      <c r="B393" s="94"/>
      <c r="C393" s="20" t="s">
        <v>245</v>
      </c>
      <c r="D393" s="76">
        <v>8</v>
      </c>
      <c r="E393" s="18">
        <v>3.2905561039800002E-4</v>
      </c>
    </row>
    <row r="394" spans="2:5">
      <c r="B394" s="94"/>
      <c r="C394" s="20" t="s">
        <v>243</v>
      </c>
      <c r="D394" s="76">
        <v>47</v>
      </c>
      <c r="E394" s="18">
        <v>1.933201711089E-3</v>
      </c>
    </row>
    <row r="395" spans="2:5">
      <c r="B395" s="95"/>
      <c r="C395" s="77" t="s">
        <v>29</v>
      </c>
      <c r="D395" s="78">
        <v>5892</v>
      </c>
      <c r="E395" s="79">
        <v>0.24234945705824301</v>
      </c>
    </row>
    <row r="396" spans="2:5">
      <c r="B396" s="93" t="s">
        <v>68</v>
      </c>
      <c r="C396" s="20" t="s">
        <v>219</v>
      </c>
      <c r="D396" s="76">
        <v>1</v>
      </c>
      <c r="E396" s="18">
        <v>4.1131951299999999E-5</v>
      </c>
    </row>
    <row r="397" spans="2:5">
      <c r="B397" s="94"/>
      <c r="C397" s="20" t="s">
        <v>220</v>
      </c>
      <c r="D397" s="76">
        <v>4</v>
      </c>
      <c r="E397" s="18">
        <v>1.6452780519900001E-4</v>
      </c>
    </row>
    <row r="398" spans="2:5">
      <c r="B398" s="94"/>
      <c r="C398" s="20" t="s">
        <v>221</v>
      </c>
      <c r="D398" s="76">
        <v>1</v>
      </c>
      <c r="E398" s="18">
        <v>4.1131951299999999E-5</v>
      </c>
    </row>
    <row r="399" spans="2:5">
      <c r="B399" s="94"/>
      <c r="C399" s="20" t="s">
        <v>246</v>
      </c>
      <c r="D399" s="76">
        <v>8</v>
      </c>
      <c r="E399" s="18">
        <v>3.2905561039800002E-4</v>
      </c>
    </row>
    <row r="400" spans="2:5">
      <c r="B400" s="94"/>
      <c r="C400" s="20" t="s">
        <v>223</v>
      </c>
      <c r="D400" s="76">
        <v>1</v>
      </c>
      <c r="E400" s="18">
        <v>4.1131951299999999E-5</v>
      </c>
    </row>
    <row r="401" spans="2:5">
      <c r="B401" s="94"/>
      <c r="C401" s="20" t="s">
        <v>260</v>
      </c>
      <c r="D401" s="76">
        <v>1</v>
      </c>
      <c r="E401" s="18">
        <v>4.1131951299999999E-5</v>
      </c>
    </row>
    <row r="402" spans="2:5">
      <c r="B402" s="94"/>
      <c r="C402" s="20" t="s">
        <v>224</v>
      </c>
      <c r="D402" s="76">
        <v>11</v>
      </c>
      <c r="E402" s="18">
        <v>4.5245146429700003E-4</v>
      </c>
    </row>
    <row r="403" spans="2:5">
      <c r="B403" s="94"/>
      <c r="C403" s="20" t="s">
        <v>226</v>
      </c>
      <c r="D403" s="76">
        <v>26</v>
      </c>
      <c r="E403" s="18">
        <v>1.0694307337940001E-3</v>
      </c>
    </row>
    <row r="404" spans="2:5">
      <c r="B404" s="94"/>
      <c r="C404" s="20" t="s">
        <v>227</v>
      </c>
      <c r="D404" s="76">
        <v>4</v>
      </c>
      <c r="E404" s="18">
        <v>1.6452780519900001E-4</v>
      </c>
    </row>
    <row r="405" spans="2:5">
      <c r="B405" s="94"/>
      <c r="C405" s="20" t="s">
        <v>262</v>
      </c>
      <c r="D405" s="76">
        <v>1</v>
      </c>
      <c r="E405" s="18">
        <v>4.1131951299999999E-5</v>
      </c>
    </row>
    <row r="406" spans="2:5">
      <c r="B406" s="94"/>
      <c r="C406" s="20" t="s">
        <v>249</v>
      </c>
      <c r="D406" s="76">
        <v>2</v>
      </c>
      <c r="E406" s="18">
        <v>8.2263902599999999E-5</v>
      </c>
    </row>
    <row r="407" spans="2:5">
      <c r="B407" s="94"/>
      <c r="C407" s="20" t="s">
        <v>256</v>
      </c>
      <c r="D407" s="76">
        <v>2</v>
      </c>
      <c r="E407" s="18">
        <v>8.2263902599999999E-5</v>
      </c>
    </row>
    <row r="408" spans="2:5">
      <c r="B408" s="94"/>
      <c r="C408" s="20" t="s">
        <v>230</v>
      </c>
      <c r="D408" s="76">
        <v>16</v>
      </c>
      <c r="E408" s="18">
        <v>6.5811122079600004E-4</v>
      </c>
    </row>
    <row r="409" spans="2:5">
      <c r="B409" s="94"/>
      <c r="C409" s="20" t="s">
        <v>233</v>
      </c>
      <c r="D409" s="76">
        <v>1</v>
      </c>
      <c r="E409" s="18">
        <v>4.1131951299999999E-5</v>
      </c>
    </row>
    <row r="410" spans="2:5">
      <c r="B410" s="94"/>
      <c r="C410" s="20" t="s">
        <v>234</v>
      </c>
      <c r="D410" s="76">
        <v>2</v>
      </c>
      <c r="E410" s="18">
        <v>8.2263902599999999E-5</v>
      </c>
    </row>
    <row r="411" spans="2:5">
      <c r="B411" s="94"/>
      <c r="C411" s="20" t="s">
        <v>235</v>
      </c>
      <c r="D411" s="76">
        <v>15</v>
      </c>
      <c r="E411" s="18">
        <v>6.1697926949700005E-4</v>
      </c>
    </row>
    <row r="412" spans="2:5">
      <c r="B412" s="94"/>
      <c r="C412" s="20" t="s">
        <v>236</v>
      </c>
      <c r="D412" s="76">
        <v>2</v>
      </c>
      <c r="E412" s="18">
        <v>8.2263902599999999E-5</v>
      </c>
    </row>
    <row r="413" spans="2:5">
      <c r="B413" s="94"/>
      <c r="C413" s="20" t="s">
        <v>237</v>
      </c>
      <c r="D413" s="76">
        <v>2</v>
      </c>
      <c r="E413" s="18">
        <v>8.2263902599999999E-5</v>
      </c>
    </row>
    <row r="414" spans="2:5">
      <c r="B414" s="94"/>
      <c r="C414" s="20" t="s">
        <v>238</v>
      </c>
      <c r="D414" s="76">
        <v>5</v>
      </c>
      <c r="E414" s="18">
        <v>2.0565975649899999E-4</v>
      </c>
    </row>
    <row r="415" spans="2:5">
      <c r="B415" s="94"/>
      <c r="C415" s="20" t="s">
        <v>239</v>
      </c>
      <c r="D415" s="76">
        <v>12</v>
      </c>
      <c r="E415" s="18">
        <v>4.9358341559699998E-4</v>
      </c>
    </row>
    <row r="416" spans="2:5">
      <c r="B416" s="94"/>
      <c r="C416" s="20" t="s">
        <v>240</v>
      </c>
      <c r="D416" s="76">
        <v>3</v>
      </c>
      <c r="E416" s="18">
        <v>1.23395853899E-4</v>
      </c>
    </row>
    <row r="417" spans="2:5">
      <c r="B417" s="94"/>
      <c r="C417" s="20" t="s">
        <v>241</v>
      </c>
      <c r="D417" s="76">
        <v>3</v>
      </c>
      <c r="E417" s="18">
        <v>1.23395853899E-4</v>
      </c>
    </row>
    <row r="418" spans="2:5">
      <c r="B418" s="94"/>
      <c r="C418" s="20" t="s">
        <v>242</v>
      </c>
      <c r="D418" s="76">
        <v>4</v>
      </c>
      <c r="E418" s="18">
        <v>1.6452780519900001E-4</v>
      </c>
    </row>
    <row r="419" spans="2:5">
      <c r="B419" s="94"/>
      <c r="C419" s="20" t="s">
        <v>245</v>
      </c>
      <c r="D419" s="76">
        <v>1</v>
      </c>
      <c r="E419" s="18">
        <v>4.1131951299999999E-5</v>
      </c>
    </row>
    <row r="420" spans="2:5">
      <c r="B420" s="94"/>
      <c r="C420" s="20" t="s">
        <v>243</v>
      </c>
      <c r="D420" s="76">
        <v>4</v>
      </c>
      <c r="E420" s="18">
        <v>1.6452780519900001E-4</v>
      </c>
    </row>
    <row r="421" spans="2:5">
      <c r="B421" s="95"/>
      <c r="C421" s="77" t="s">
        <v>29</v>
      </c>
      <c r="D421" s="78">
        <v>132</v>
      </c>
      <c r="E421" s="79">
        <v>5.4294175715700003E-3</v>
      </c>
    </row>
    <row r="422" spans="2:5">
      <c r="B422" s="93" t="s">
        <v>66</v>
      </c>
      <c r="C422" s="20" t="s">
        <v>220</v>
      </c>
      <c r="D422" s="76">
        <v>10</v>
      </c>
      <c r="E422" s="18">
        <v>4.1131951299799998E-4</v>
      </c>
    </row>
    <row r="423" spans="2:5">
      <c r="B423" s="94"/>
      <c r="C423" s="20" t="s">
        <v>221</v>
      </c>
      <c r="D423" s="76">
        <v>3</v>
      </c>
      <c r="E423" s="18">
        <v>1.23395853899E-4</v>
      </c>
    </row>
    <row r="424" spans="2:5">
      <c r="B424" s="94"/>
      <c r="C424" s="20" t="s">
        <v>223</v>
      </c>
      <c r="D424" s="76">
        <v>1</v>
      </c>
      <c r="E424" s="18">
        <v>4.1131951299999999E-5</v>
      </c>
    </row>
    <row r="425" spans="2:5">
      <c r="B425" s="94"/>
      <c r="C425" s="20" t="s">
        <v>260</v>
      </c>
      <c r="D425" s="76">
        <v>1</v>
      </c>
      <c r="E425" s="18">
        <v>4.1131951299999999E-5</v>
      </c>
    </row>
    <row r="426" spans="2:5">
      <c r="B426" s="94"/>
      <c r="C426" s="20" t="s">
        <v>224</v>
      </c>
      <c r="D426" s="76">
        <v>4</v>
      </c>
      <c r="E426" s="18">
        <v>1.6452780519900001E-4</v>
      </c>
    </row>
    <row r="427" spans="2:5">
      <c r="B427" s="94"/>
      <c r="C427" s="20" t="s">
        <v>226</v>
      </c>
      <c r="D427" s="76">
        <v>14</v>
      </c>
      <c r="E427" s="18">
        <v>5.7584731819699999E-4</v>
      </c>
    </row>
    <row r="428" spans="2:5">
      <c r="B428" s="94"/>
      <c r="C428" s="20" t="s">
        <v>227</v>
      </c>
      <c r="D428" s="76">
        <v>3</v>
      </c>
      <c r="E428" s="18">
        <v>1.23395853899E-4</v>
      </c>
    </row>
    <row r="429" spans="2:5">
      <c r="B429" s="94"/>
      <c r="C429" s="20" t="s">
        <v>244</v>
      </c>
      <c r="D429" s="76">
        <v>3</v>
      </c>
      <c r="E429" s="18">
        <v>1.23395853899E-4</v>
      </c>
    </row>
    <row r="430" spans="2:5">
      <c r="B430" s="94"/>
      <c r="C430" s="20" t="s">
        <v>248</v>
      </c>
      <c r="D430" s="76">
        <v>2</v>
      </c>
      <c r="E430" s="18">
        <v>8.2263902599999999E-5</v>
      </c>
    </row>
    <row r="431" spans="2:5">
      <c r="B431" s="94"/>
      <c r="C431" s="20" t="s">
        <v>250</v>
      </c>
      <c r="D431" s="76">
        <v>1</v>
      </c>
      <c r="E431" s="18">
        <v>4.1131951299999999E-5</v>
      </c>
    </row>
    <row r="432" spans="2:5">
      <c r="B432" s="94"/>
      <c r="C432" s="20" t="s">
        <v>229</v>
      </c>
      <c r="D432" s="76">
        <v>7</v>
      </c>
      <c r="E432" s="18">
        <v>2.8792365909800001E-4</v>
      </c>
    </row>
    <row r="433" spans="2:5">
      <c r="B433" s="94"/>
      <c r="C433" s="20" t="s">
        <v>230</v>
      </c>
      <c r="D433" s="76">
        <v>33</v>
      </c>
      <c r="E433" s="18">
        <v>1.357354392892E-3</v>
      </c>
    </row>
    <row r="434" spans="2:5">
      <c r="B434" s="94"/>
      <c r="C434" s="20" t="s">
        <v>231</v>
      </c>
      <c r="D434" s="76">
        <v>1</v>
      </c>
      <c r="E434" s="18">
        <v>4.1131951299999999E-5</v>
      </c>
    </row>
    <row r="435" spans="2:5" ht="40.5">
      <c r="B435" s="94"/>
      <c r="C435" s="20" t="s">
        <v>254</v>
      </c>
      <c r="D435" s="76">
        <v>2</v>
      </c>
      <c r="E435" s="18">
        <v>8.2263902599999999E-5</v>
      </c>
    </row>
    <row r="436" spans="2:5">
      <c r="B436" s="94"/>
      <c r="C436" s="20" t="s">
        <v>232</v>
      </c>
      <c r="D436" s="76">
        <v>15</v>
      </c>
      <c r="E436" s="18">
        <v>6.1697926949700005E-4</v>
      </c>
    </row>
    <row r="437" spans="2:5">
      <c r="B437" s="94"/>
      <c r="C437" s="20" t="s">
        <v>234</v>
      </c>
      <c r="D437" s="76">
        <v>9</v>
      </c>
      <c r="E437" s="18">
        <v>3.7018756169799997E-4</v>
      </c>
    </row>
    <row r="438" spans="2:5">
      <c r="B438" s="94"/>
      <c r="C438" s="20" t="s">
        <v>258</v>
      </c>
      <c r="D438" s="76">
        <v>1</v>
      </c>
      <c r="E438" s="18">
        <v>4.1131951299999999E-5</v>
      </c>
    </row>
    <row r="439" spans="2:5">
      <c r="B439" s="94"/>
      <c r="C439" s="20" t="s">
        <v>261</v>
      </c>
      <c r="D439" s="76">
        <v>2</v>
      </c>
      <c r="E439" s="18">
        <v>8.2263902599999999E-5</v>
      </c>
    </row>
    <row r="440" spans="2:5">
      <c r="B440" s="94"/>
      <c r="C440" s="20" t="s">
        <v>235</v>
      </c>
      <c r="D440" s="76">
        <v>8</v>
      </c>
      <c r="E440" s="18">
        <v>3.2905561039800002E-4</v>
      </c>
    </row>
    <row r="441" spans="2:5">
      <c r="B441" s="94"/>
      <c r="C441" s="20" t="s">
        <v>236</v>
      </c>
      <c r="D441" s="76">
        <v>2</v>
      </c>
      <c r="E441" s="18">
        <v>8.2263902599999999E-5</v>
      </c>
    </row>
    <row r="442" spans="2:5">
      <c r="B442" s="94"/>
      <c r="C442" s="20" t="s">
        <v>259</v>
      </c>
      <c r="D442" s="76">
        <v>1</v>
      </c>
      <c r="E442" s="18">
        <v>4.1131951299999999E-5</v>
      </c>
    </row>
    <row r="443" spans="2:5">
      <c r="B443" s="94"/>
      <c r="C443" s="20" t="s">
        <v>237</v>
      </c>
      <c r="D443" s="76">
        <v>5</v>
      </c>
      <c r="E443" s="18">
        <v>2.0565975649899999E-4</v>
      </c>
    </row>
    <row r="444" spans="2:5">
      <c r="B444" s="94"/>
      <c r="C444" s="20" t="s">
        <v>238</v>
      </c>
      <c r="D444" s="76">
        <v>3</v>
      </c>
      <c r="E444" s="18">
        <v>1.23395853899E-4</v>
      </c>
    </row>
    <row r="445" spans="2:5">
      <c r="B445" s="94"/>
      <c r="C445" s="20" t="s">
        <v>239</v>
      </c>
      <c r="D445" s="76">
        <v>12</v>
      </c>
      <c r="E445" s="18">
        <v>4.9358341559699998E-4</v>
      </c>
    </row>
    <row r="446" spans="2:5">
      <c r="B446" s="94"/>
      <c r="C446" s="20" t="s">
        <v>240</v>
      </c>
      <c r="D446" s="76">
        <v>8</v>
      </c>
      <c r="E446" s="18">
        <v>3.2905561039800002E-4</v>
      </c>
    </row>
    <row r="447" spans="2:5">
      <c r="B447" s="94"/>
      <c r="C447" s="20" t="s">
        <v>241</v>
      </c>
      <c r="D447" s="76">
        <v>3</v>
      </c>
      <c r="E447" s="18">
        <v>1.23395853899E-4</v>
      </c>
    </row>
    <row r="448" spans="2:5">
      <c r="B448" s="94"/>
      <c r="C448" s="20" t="s">
        <v>242</v>
      </c>
      <c r="D448" s="76">
        <v>22</v>
      </c>
      <c r="E448" s="18">
        <v>9.0490292859500001E-4</v>
      </c>
    </row>
    <row r="449" spans="2:5">
      <c r="B449" s="94"/>
      <c r="C449" s="20" t="s">
        <v>243</v>
      </c>
      <c r="D449" s="76">
        <v>1</v>
      </c>
      <c r="E449" s="18">
        <v>4.1131951299999999E-5</v>
      </c>
    </row>
    <row r="450" spans="2:5">
      <c r="B450" s="95"/>
      <c r="C450" s="77" t="s">
        <v>29</v>
      </c>
      <c r="D450" s="78">
        <v>177</v>
      </c>
      <c r="E450" s="79">
        <v>7.2803553800590004E-3</v>
      </c>
    </row>
    <row r="451" spans="2:5">
      <c r="B451" s="93" t="s">
        <v>54</v>
      </c>
      <c r="C451" s="20" t="s">
        <v>219</v>
      </c>
      <c r="D451" s="76">
        <v>2</v>
      </c>
      <c r="E451" s="18">
        <v>8.2263902599999999E-5</v>
      </c>
    </row>
    <row r="452" spans="2:5">
      <c r="B452" s="94"/>
      <c r="C452" s="20" t="s">
        <v>220</v>
      </c>
      <c r="D452" s="76">
        <v>1</v>
      </c>
      <c r="E452" s="18">
        <v>4.1131951299999999E-5</v>
      </c>
    </row>
    <row r="453" spans="2:5">
      <c r="B453" s="94"/>
      <c r="C453" s="20" t="s">
        <v>246</v>
      </c>
      <c r="D453" s="76">
        <v>1</v>
      </c>
      <c r="E453" s="18">
        <v>4.1131951299999999E-5</v>
      </c>
    </row>
    <row r="454" spans="2:5">
      <c r="B454" s="94"/>
      <c r="C454" s="20" t="s">
        <v>223</v>
      </c>
      <c r="D454" s="76">
        <v>2</v>
      </c>
      <c r="E454" s="18">
        <v>8.2263902599999999E-5</v>
      </c>
    </row>
    <row r="455" spans="2:5">
      <c r="B455" s="94"/>
      <c r="C455" s="20" t="s">
        <v>224</v>
      </c>
      <c r="D455" s="76">
        <v>8</v>
      </c>
      <c r="E455" s="18">
        <v>3.2905561039800002E-4</v>
      </c>
    </row>
    <row r="456" spans="2:5">
      <c r="B456" s="94"/>
      <c r="C456" s="20" t="s">
        <v>226</v>
      </c>
      <c r="D456" s="76">
        <v>12</v>
      </c>
      <c r="E456" s="18">
        <v>4.9358341559699998E-4</v>
      </c>
    </row>
    <row r="457" spans="2:5">
      <c r="B457" s="94"/>
      <c r="C457" s="20" t="s">
        <v>227</v>
      </c>
      <c r="D457" s="76">
        <v>1</v>
      </c>
      <c r="E457" s="18">
        <v>4.1131951299999999E-5</v>
      </c>
    </row>
    <row r="458" spans="2:5">
      <c r="B458" s="94"/>
      <c r="C458" s="20" t="s">
        <v>262</v>
      </c>
      <c r="D458" s="76">
        <v>10</v>
      </c>
      <c r="E458" s="18">
        <v>4.1131951299799998E-4</v>
      </c>
    </row>
    <row r="459" spans="2:5">
      <c r="B459" s="94"/>
      <c r="C459" s="20" t="s">
        <v>244</v>
      </c>
      <c r="D459" s="76">
        <v>1</v>
      </c>
      <c r="E459" s="18">
        <v>4.1131951299999999E-5</v>
      </c>
    </row>
    <row r="460" spans="2:5">
      <c r="B460" s="94"/>
      <c r="C460" s="20" t="s">
        <v>256</v>
      </c>
      <c r="D460" s="76">
        <v>2</v>
      </c>
      <c r="E460" s="18">
        <v>8.2263902599999999E-5</v>
      </c>
    </row>
    <row r="461" spans="2:5">
      <c r="B461" s="94"/>
      <c r="C461" s="20" t="s">
        <v>250</v>
      </c>
      <c r="D461" s="76">
        <v>1</v>
      </c>
      <c r="E461" s="18">
        <v>4.1131951299999999E-5</v>
      </c>
    </row>
    <row r="462" spans="2:5">
      <c r="B462" s="94"/>
      <c r="C462" s="20" t="s">
        <v>229</v>
      </c>
      <c r="D462" s="76">
        <v>2</v>
      </c>
      <c r="E462" s="18">
        <v>8.2263902599999999E-5</v>
      </c>
    </row>
    <row r="463" spans="2:5">
      <c r="B463" s="94"/>
      <c r="C463" s="20" t="s">
        <v>230</v>
      </c>
      <c r="D463" s="76">
        <v>8</v>
      </c>
      <c r="E463" s="18">
        <v>3.2905561039800002E-4</v>
      </c>
    </row>
    <row r="464" spans="2:5">
      <c r="B464" s="94"/>
      <c r="C464" s="20" t="s">
        <v>251</v>
      </c>
      <c r="D464" s="76">
        <v>1</v>
      </c>
      <c r="E464" s="18">
        <v>4.1131951299999999E-5</v>
      </c>
    </row>
    <row r="465" spans="2:5">
      <c r="B465" s="94"/>
      <c r="C465" s="20" t="s">
        <v>231</v>
      </c>
      <c r="D465" s="76">
        <v>17</v>
      </c>
      <c r="E465" s="18">
        <v>6.9924317209599999E-4</v>
      </c>
    </row>
    <row r="466" spans="2:5">
      <c r="B466" s="94"/>
      <c r="C466" s="20" t="s">
        <v>232</v>
      </c>
      <c r="D466" s="76">
        <v>919</v>
      </c>
      <c r="E466" s="18">
        <v>3.7800263244488E-2</v>
      </c>
    </row>
    <row r="467" spans="2:5">
      <c r="B467" s="94"/>
      <c r="C467" s="20" t="s">
        <v>234</v>
      </c>
      <c r="D467" s="76">
        <v>2</v>
      </c>
      <c r="E467" s="18">
        <v>8.2263902599999999E-5</v>
      </c>
    </row>
    <row r="468" spans="2:5">
      <c r="B468" s="94"/>
      <c r="C468" s="20" t="s">
        <v>258</v>
      </c>
      <c r="D468" s="76">
        <v>1</v>
      </c>
      <c r="E468" s="18">
        <v>4.1131951299999999E-5</v>
      </c>
    </row>
    <row r="469" spans="2:5">
      <c r="B469" s="94"/>
      <c r="C469" s="20" t="s">
        <v>261</v>
      </c>
      <c r="D469" s="76">
        <v>1</v>
      </c>
      <c r="E469" s="18">
        <v>4.1131951299999999E-5</v>
      </c>
    </row>
    <row r="470" spans="2:5">
      <c r="B470" s="94"/>
      <c r="C470" s="20" t="s">
        <v>235</v>
      </c>
      <c r="D470" s="76">
        <v>13</v>
      </c>
      <c r="E470" s="18">
        <v>5.3471536689700004E-4</v>
      </c>
    </row>
    <row r="471" spans="2:5">
      <c r="B471" s="94"/>
      <c r="C471" s="20" t="s">
        <v>236</v>
      </c>
      <c r="D471" s="76">
        <v>5</v>
      </c>
      <c r="E471" s="18">
        <v>2.0565975649899999E-4</v>
      </c>
    </row>
    <row r="472" spans="2:5">
      <c r="B472" s="94"/>
      <c r="C472" s="20" t="s">
        <v>259</v>
      </c>
      <c r="D472" s="76">
        <v>1</v>
      </c>
      <c r="E472" s="18">
        <v>4.1131951299999999E-5</v>
      </c>
    </row>
    <row r="473" spans="2:5">
      <c r="B473" s="94"/>
      <c r="C473" s="20" t="s">
        <v>238</v>
      </c>
      <c r="D473" s="76">
        <v>2</v>
      </c>
      <c r="E473" s="18">
        <v>8.2263902599999999E-5</v>
      </c>
    </row>
    <row r="474" spans="2:5">
      <c r="B474" s="94"/>
      <c r="C474" s="20" t="s">
        <v>239</v>
      </c>
      <c r="D474" s="76">
        <v>15</v>
      </c>
      <c r="E474" s="18">
        <v>6.1697926949700005E-4</v>
      </c>
    </row>
    <row r="475" spans="2:5">
      <c r="B475" s="94"/>
      <c r="C475" s="20" t="s">
        <v>240</v>
      </c>
      <c r="D475" s="76">
        <v>5</v>
      </c>
      <c r="E475" s="18">
        <v>2.0565975649899999E-4</v>
      </c>
    </row>
    <row r="476" spans="2:5">
      <c r="B476" s="94"/>
      <c r="C476" s="20" t="s">
        <v>241</v>
      </c>
      <c r="D476" s="76">
        <v>4</v>
      </c>
      <c r="E476" s="18">
        <v>1.6452780519900001E-4</v>
      </c>
    </row>
    <row r="477" spans="2:5">
      <c r="B477" s="94"/>
      <c r="C477" s="20" t="s">
        <v>242</v>
      </c>
      <c r="D477" s="76">
        <v>6</v>
      </c>
      <c r="E477" s="18">
        <v>2.4679170779900002E-4</v>
      </c>
    </row>
    <row r="478" spans="2:5">
      <c r="B478" s="94"/>
      <c r="C478" s="20" t="s">
        <v>245</v>
      </c>
      <c r="D478" s="76">
        <v>1</v>
      </c>
      <c r="E478" s="18">
        <v>4.1131951299999999E-5</v>
      </c>
    </row>
    <row r="479" spans="2:5">
      <c r="B479" s="95"/>
      <c r="C479" s="77" t="s">
        <v>29</v>
      </c>
      <c r="D479" s="78">
        <v>1044</v>
      </c>
      <c r="E479" s="79">
        <v>4.2941757156959998E-2</v>
      </c>
    </row>
    <row r="480" spans="2:5">
      <c r="B480" s="93" t="s">
        <v>81</v>
      </c>
      <c r="C480" s="20" t="s">
        <v>219</v>
      </c>
      <c r="D480" s="76">
        <v>1</v>
      </c>
      <c r="E480" s="18">
        <v>4.1131951299999999E-5</v>
      </c>
    </row>
    <row r="481" spans="2:5">
      <c r="B481" s="94"/>
      <c r="C481" s="20" t="s">
        <v>221</v>
      </c>
      <c r="D481" s="76">
        <v>4</v>
      </c>
      <c r="E481" s="18">
        <v>1.6452780519900001E-4</v>
      </c>
    </row>
    <row r="482" spans="2:5">
      <c r="B482" s="94"/>
      <c r="C482" s="20" t="s">
        <v>224</v>
      </c>
      <c r="D482" s="76">
        <v>2</v>
      </c>
      <c r="E482" s="18">
        <v>8.2263902599999999E-5</v>
      </c>
    </row>
    <row r="483" spans="2:5">
      <c r="B483" s="94"/>
      <c r="C483" s="20" t="s">
        <v>226</v>
      </c>
      <c r="D483" s="76">
        <v>4</v>
      </c>
      <c r="E483" s="18">
        <v>1.6452780519900001E-4</v>
      </c>
    </row>
    <row r="484" spans="2:5">
      <c r="B484" s="94"/>
      <c r="C484" s="20" t="s">
        <v>256</v>
      </c>
      <c r="D484" s="76">
        <v>1</v>
      </c>
      <c r="E484" s="18">
        <v>4.1131951299999999E-5</v>
      </c>
    </row>
    <row r="485" spans="2:5">
      <c r="B485" s="94"/>
      <c r="C485" s="20" t="s">
        <v>230</v>
      </c>
      <c r="D485" s="76">
        <v>4</v>
      </c>
      <c r="E485" s="18">
        <v>1.6452780519900001E-4</v>
      </c>
    </row>
    <row r="486" spans="2:5">
      <c r="B486" s="94"/>
      <c r="C486" s="20" t="s">
        <v>232</v>
      </c>
      <c r="D486" s="76">
        <v>2</v>
      </c>
      <c r="E486" s="18">
        <v>8.2263902599999999E-5</v>
      </c>
    </row>
    <row r="487" spans="2:5">
      <c r="B487" s="94"/>
      <c r="C487" s="20" t="s">
        <v>237</v>
      </c>
      <c r="D487" s="76">
        <v>3</v>
      </c>
      <c r="E487" s="18">
        <v>1.23395853899E-4</v>
      </c>
    </row>
    <row r="488" spans="2:5">
      <c r="B488" s="94"/>
      <c r="C488" s="20" t="s">
        <v>239</v>
      </c>
      <c r="D488" s="76">
        <v>6</v>
      </c>
      <c r="E488" s="18">
        <v>2.4679170779900002E-4</v>
      </c>
    </row>
    <row r="489" spans="2:5">
      <c r="B489" s="94"/>
      <c r="C489" s="20" t="s">
        <v>242</v>
      </c>
      <c r="D489" s="76">
        <v>5</v>
      </c>
      <c r="E489" s="18">
        <v>2.0565975649899999E-4</v>
      </c>
    </row>
    <row r="490" spans="2:5">
      <c r="B490" s="94"/>
      <c r="C490" s="20" t="s">
        <v>243</v>
      </c>
      <c r="D490" s="76">
        <v>1</v>
      </c>
      <c r="E490" s="18">
        <v>4.1131951299999999E-5</v>
      </c>
    </row>
    <row r="491" spans="2:5">
      <c r="B491" s="95"/>
      <c r="C491" s="77" t="s">
        <v>29</v>
      </c>
      <c r="D491" s="78">
        <v>33</v>
      </c>
      <c r="E491" s="79">
        <v>1.357354392892E-3</v>
      </c>
    </row>
    <row r="492" spans="2:5">
      <c r="B492" s="93" t="s">
        <v>59</v>
      </c>
      <c r="C492" s="20" t="s">
        <v>219</v>
      </c>
      <c r="D492" s="76">
        <v>3</v>
      </c>
      <c r="E492" s="18">
        <v>1.23395853899E-4</v>
      </c>
    </row>
    <row r="493" spans="2:5">
      <c r="B493" s="94"/>
      <c r="C493" s="20" t="s">
        <v>220</v>
      </c>
      <c r="D493" s="76">
        <v>9</v>
      </c>
      <c r="E493" s="18">
        <v>3.7018756169799997E-4</v>
      </c>
    </row>
    <row r="494" spans="2:5">
      <c r="B494" s="94"/>
      <c r="C494" s="20" t="s">
        <v>221</v>
      </c>
      <c r="D494" s="76">
        <v>3</v>
      </c>
      <c r="E494" s="18">
        <v>1.23395853899E-4</v>
      </c>
    </row>
    <row r="495" spans="2:5">
      <c r="B495" s="94"/>
      <c r="C495" s="20" t="s">
        <v>246</v>
      </c>
      <c r="D495" s="76">
        <v>1</v>
      </c>
      <c r="E495" s="18">
        <v>4.1131951299999999E-5</v>
      </c>
    </row>
    <row r="496" spans="2:5">
      <c r="B496" s="94"/>
      <c r="C496" s="20" t="s">
        <v>222</v>
      </c>
      <c r="D496" s="76">
        <v>2</v>
      </c>
      <c r="E496" s="18">
        <v>8.2263902599999999E-5</v>
      </c>
    </row>
    <row r="497" spans="2:5">
      <c r="B497" s="94"/>
      <c r="C497" s="20" t="s">
        <v>223</v>
      </c>
      <c r="D497" s="76">
        <v>8</v>
      </c>
      <c r="E497" s="18">
        <v>3.2905561039800002E-4</v>
      </c>
    </row>
    <row r="498" spans="2:5">
      <c r="B498" s="94"/>
      <c r="C498" s="20" t="s">
        <v>247</v>
      </c>
      <c r="D498" s="76">
        <v>2</v>
      </c>
      <c r="E498" s="18">
        <v>8.2263902599999999E-5</v>
      </c>
    </row>
    <row r="499" spans="2:5">
      <c r="B499" s="94"/>
      <c r="C499" s="20" t="s">
        <v>260</v>
      </c>
      <c r="D499" s="76">
        <v>2</v>
      </c>
      <c r="E499" s="18">
        <v>8.2263902599999999E-5</v>
      </c>
    </row>
    <row r="500" spans="2:5">
      <c r="B500" s="94"/>
      <c r="C500" s="20" t="s">
        <v>224</v>
      </c>
      <c r="D500" s="76">
        <v>19</v>
      </c>
      <c r="E500" s="18">
        <v>7.8150707469600001E-4</v>
      </c>
    </row>
    <row r="501" spans="2:5">
      <c r="B501" s="94"/>
      <c r="C501" s="20" t="s">
        <v>226</v>
      </c>
      <c r="D501" s="76">
        <v>83</v>
      </c>
      <c r="E501" s="18">
        <v>3.4139519578809999E-3</v>
      </c>
    </row>
    <row r="502" spans="2:5">
      <c r="B502" s="94"/>
      <c r="C502" s="20" t="s">
        <v>227</v>
      </c>
      <c r="D502" s="76">
        <v>19</v>
      </c>
      <c r="E502" s="18">
        <v>7.8150707469600001E-4</v>
      </c>
    </row>
    <row r="503" spans="2:5">
      <c r="B503" s="94"/>
      <c r="C503" s="20" t="s">
        <v>244</v>
      </c>
      <c r="D503" s="76">
        <v>11</v>
      </c>
      <c r="E503" s="18">
        <v>4.5245146429700003E-4</v>
      </c>
    </row>
    <row r="504" spans="2:5">
      <c r="B504" s="94"/>
      <c r="C504" s="20" t="s">
        <v>248</v>
      </c>
      <c r="D504" s="76">
        <v>1</v>
      </c>
      <c r="E504" s="18">
        <v>4.1131951299999999E-5</v>
      </c>
    </row>
    <row r="505" spans="2:5">
      <c r="B505" s="94"/>
      <c r="C505" s="20" t="s">
        <v>249</v>
      </c>
      <c r="D505" s="76">
        <v>1</v>
      </c>
      <c r="E505" s="18">
        <v>4.1131951299999999E-5</v>
      </c>
    </row>
    <row r="506" spans="2:5">
      <c r="B506" s="94"/>
      <c r="C506" s="20" t="s">
        <v>256</v>
      </c>
      <c r="D506" s="76">
        <v>1</v>
      </c>
      <c r="E506" s="18">
        <v>4.1131951299999999E-5</v>
      </c>
    </row>
    <row r="507" spans="2:5">
      <c r="B507" s="94"/>
      <c r="C507" s="20" t="s">
        <v>250</v>
      </c>
      <c r="D507" s="76">
        <v>4</v>
      </c>
      <c r="E507" s="18">
        <v>1.6452780519900001E-4</v>
      </c>
    </row>
    <row r="508" spans="2:5">
      <c r="B508" s="94"/>
      <c r="C508" s="20" t="s">
        <v>229</v>
      </c>
      <c r="D508" s="76">
        <v>13</v>
      </c>
      <c r="E508" s="18">
        <v>5.3471536689700004E-4</v>
      </c>
    </row>
    <row r="509" spans="2:5">
      <c r="B509" s="94"/>
      <c r="C509" s="20" t="s">
        <v>230</v>
      </c>
      <c r="D509" s="76">
        <v>63</v>
      </c>
      <c r="E509" s="18">
        <v>2.5913129318849999E-3</v>
      </c>
    </row>
    <row r="510" spans="2:5">
      <c r="B510" s="94"/>
      <c r="C510" s="20" t="s">
        <v>251</v>
      </c>
      <c r="D510" s="76">
        <v>1</v>
      </c>
      <c r="E510" s="18">
        <v>4.1131951299999999E-5</v>
      </c>
    </row>
    <row r="511" spans="2:5">
      <c r="B511" s="94"/>
      <c r="C511" s="20" t="s">
        <v>231</v>
      </c>
      <c r="D511" s="76">
        <v>1</v>
      </c>
      <c r="E511" s="18">
        <v>4.1131951299999999E-5</v>
      </c>
    </row>
    <row r="512" spans="2:5">
      <c r="B512" s="94"/>
      <c r="C512" s="20" t="s">
        <v>252</v>
      </c>
      <c r="D512" s="76">
        <v>1</v>
      </c>
      <c r="E512" s="18">
        <v>4.1131951299999999E-5</v>
      </c>
    </row>
    <row r="513" spans="2:5">
      <c r="B513" s="94"/>
      <c r="C513" s="20" t="s">
        <v>253</v>
      </c>
      <c r="D513" s="76">
        <v>2</v>
      </c>
      <c r="E513" s="18">
        <v>8.2263902599999999E-5</v>
      </c>
    </row>
    <row r="514" spans="2:5" ht="40.5">
      <c r="B514" s="94"/>
      <c r="C514" s="20" t="s">
        <v>254</v>
      </c>
      <c r="D514" s="76">
        <v>2</v>
      </c>
      <c r="E514" s="18">
        <v>8.2263902599999999E-5</v>
      </c>
    </row>
    <row r="515" spans="2:5">
      <c r="B515" s="94"/>
      <c r="C515" s="20" t="s">
        <v>232</v>
      </c>
      <c r="D515" s="76">
        <v>18</v>
      </c>
      <c r="E515" s="18">
        <v>7.4037512339599995E-4</v>
      </c>
    </row>
    <row r="516" spans="2:5">
      <c r="B516" s="94"/>
      <c r="C516" s="20" t="s">
        <v>233</v>
      </c>
      <c r="D516" s="76">
        <v>1</v>
      </c>
      <c r="E516" s="18">
        <v>4.1131951299999999E-5</v>
      </c>
    </row>
    <row r="517" spans="2:5">
      <c r="B517" s="94"/>
      <c r="C517" s="20" t="s">
        <v>234</v>
      </c>
      <c r="D517" s="76">
        <v>9</v>
      </c>
      <c r="E517" s="18">
        <v>3.7018756169799997E-4</v>
      </c>
    </row>
    <row r="518" spans="2:5">
      <c r="B518" s="94"/>
      <c r="C518" s="20" t="s">
        <v>258</v>
      </c>
      <c r="D518" s="76">
        <v>1</v>
      </c>
      <c r="E518" s="18">
        <v>4.1131951299999999E-5</v>
      </c>
    </row>
    <row r="519" spans="2:5">
      <c r="B519" s="94"/>
      <c r="C519" s="20" t="s">
        <v>261</v>
      </c>
      <c r="D519" s="76">
        <v>1</v>
      </c>
      <c r="E519" s="18">
        <v>4.1131951299999999E-5</v>
      </c>
    </row>
    <row r="520" spans="2:5">
      <c r="B520" s="94"/>
      <c r="C520" s="20" t="s">
        <v>235</v>
      </c>
      <c r="D520" s="76">
        <v>79</v>
      </c>
      <c r="E520" s="18">
        <v>3.2494241526820002E-3</v>
      </c>
    </row>
    <row r="521" spans="2:5">
      <c r="B521" s="94"/>
      <c r="C521" s="20" t="s">
        <v>236</v>
      </c>
      <c r="D521" s="76">
        <v>20</v>
      </c>
      <c r="E521" s="18">
        <v>8.22639025995E-4</v>
      </c>
    </row>
    <row r="522" spans="2:5">
      <c r="B522" s="94"/>
      <c r="C522" s="20" t="s">
        <v>237</v>
      </c>
      <c r="D522" s="76">
        <v>12</v>
      </c>
      <c r="E522" s="18">
        <v>4.9358341559699998E-4</v>
      </c>
    </row>
    <row r="523" spans="2:5">
      <c r="B523" s="94"/>
      <c r="C523" s="20" t="s">
        <v>255</v>
      </c>
      <c r="D523" s="76">
        <v>1</v>
      </c>
      <c r="E523" s="18">
        <v>4.1131951299999999E-5</v>
      </c>
    </row>
    <row r="524" spans="2:5">
      <c r="B524" s="94"/>
      <c r="C524" s="20" t="s">
        <v>238</v>
      </c>
      <c r="D524" s="76">
        <v>37</v>
      </c>
      <c r="E524" s="18">
        <v>1.521882198091E-3</v>
      </c>
    </row>
    <row r="525" spans="2:5">
      <c r="B525" s="94"/>
      <c r="C525" s="20" t="s">
        <v>239</v>
      </c>
      <c r="D525" s="76">
        <v>49</v>
      </c>
      <c r="E525" s="18">
        <v>2.0154656136889999E-3</v>
      </c>
    </row>
    <row r="526" spans="2:5">
      <c r="B526" s="94"/>
      <c r="C526" s="20" t="s">
        <v>240</v>
      </c>
      <c r="D526" s="76">
        <v>12</v>
      </c>
      <c r="E526" s="18">
        <v>4.9358341559699998E-4</v>
      </c>
    </row>
    <row r="527" spans="2:5">
      <c r="B527" s="94"/>
      <c r="C527" s="20" t="s">
        <v>241</v>
      </c>
      <c r="D527" s="76">
        <v>4</v>
      </c>
      <c r="E527" s="18">
        <v>1.6452780519900001E-4</v>
      </c>
    </row>
    <row r="528" spans="2:5">
      <c r="B528" s="94"/>
      <c r="C528" s="20" t="s">
        <v>242</v>
      </c>
      <c r="D528" s="76">
        <v>25</v>
      </c>
      <c r="E528" s="18">
        <v>1.0282987824939999E-3</v>
      </c>
    </row>
    <row r="529" spans="2:5">
      <c r="B529" s="94"/>
      <c r="C529" s="20" t="s">
        <v>243</v>
      </c>
      <c r="D529" s="76">
        <v>6</v>
      </c>
      <c r="E529" s="18">
        <v>2.4679170779900002E-4</v>
      </c>
    </row>
    <row r="530" spans="2:5">
      <c r="B530" s="95"/>
      <c r="C530" s="77" t="s">
        <v>29</v>
      </c>
      <c r="D530" s="78">
        <v>527</v>
      </c>
      <c r="E530" s="79">
        <v>2.1676538334979002E-2</v>
      </c>
    </row>
    <row r="531" spans="2:5">
      <c r="B531" s="93" t="s">
        <v>69</v>
      </c>
      <c r="C531" s="20" t="s">
        <v>219</v>
      </c>
      <c r="D531" s="76">
        <v>1</v>
      </c>
      <c r="E531" s="18">
        <v>4.1131951299999999E-5</v>
      </c>
    </row>
    <row r="532" spans="2:5">
      <c r="B532" s="94"/>
      <c r="C532" s="20" t="s">
        <v>220</v>
      </c>
      <c r="D532" s="76">
        <v>1</v>
      </c>
      <c r="E532" s="18">
        <v>4.1131951299999999E-5</v>
      </c>
    </row>
    <row r="533" spans="2:5">
      <c r="B533" s="94"/>
      <c r="C533" s="20" t="s">
        <v>221</v>
      </c>
      <c r="D533" s="76">
        <v>2</v>
      </c>
      <c r="E533" s="18">
        <v>8.2263902599999999E-5</v>
      </c>
    </row>
    <row r="534" spans="2:5">
      <c r="B534" s="94"/>
      <c r="C534" s="20" t="s">
        <v>247</v>
      </c>
      <c r="D534" s="76">
        <v>1</v>
      </c>
      <c r="E534" s="18">
        <v>4.1131951299999999E-5</v>
      </c>
    </row>
    <row r="535" spans="2:5">
      <c r="B535" s="94"/>
      <c r="C535" s="20" t="s">
        <v>224</v>
      </c>
      <c r="D535" s="76">
        <v>10</v>
      </c>
      <c r="E535" s="18">
        <v>4.1131951299799998E-4</v>
      </c>
    </row>
    <row r="536" spans="2:5">
      <c r="B536" s="94"/>
      <c r="C536" s="20" t="s">
        <v>226</v>
      </c>
      <c r="D536" s="76">
        <v>10</v>
      </c>
      <c r="E536" s="18">
        <v>4.1131951299799998E-4</v>
      </c>
    </row>
    <row r="537" spans="2:5">
      <c r="B537" s="94"/>
      <c r="C537" s="20" t="s">
        <v>227</v>
      </c>
      <c r="D537" s="76">
        <v>5</v>
      </c>
      <c r="E537" s="18">
        <v>2.0565975649899999E-4</v>
      </c>
    </row>
    <row r="538" spans="2:5">
      <c r="B538" s="94"/>
      <c r="C538" s="20" t="s">
        <v>244</v>
      </c>
      <c r="D538" s="76">
        <v>1</v>
      </c>
      <c r="E538" s="18">
        <v>4.1131951299999999E-5</v>
      </c>
    </row>
    <row r="539" spans="2:5">
      <c r="B539" s="94"/>
      <c r="C539" s="20" t="s">
        <v>248</v>
      </c>
      <c r="D539" s="76">
        <v>1</v>
      </c>
      <c r="E539" s="18">
        <v>4.1131951299999999E-5</v>
      </c>
    </row>
    <row r="540" spans="2:5">
      <c r="B540" s="94"/>
      <c r="C540" s="20" t="s">
        <v>256</v>
      </c>
      <c r="D540" s="76">
        <v>2</v>
      </c>
      <c r="E540" s="18">
        <v>8.2263902599999999E-5</v>
      </c>
    </row>
    <row r="541" spans="2:5">
      <c r="B541" s="94"/>
      <c r="C541" s="20" t="s">
        <v>228</v>
      </c>
      <c r="D541" s="76">
        <v>1</v>
      </c>
      <c r="E541" s="18">
        <v>4.1131951299999999E-5</v>
      </c>
    </row>
    <row r="542" spans="2:5">
      <c r="B542" s="94"/>
      <c r="C542" s="20" t="s">
        <v>250</v>
      </c>
      <c r="D542" s="76">
        <v>1</v>
      </c>
      <c r="E542" s="18">
        <v>4.1131951299999999E-5</v>
      </c>
    </row>
    <row r="543" spans="2:5">
      <c r="B543" s="94"/>
      <c r="C543" s="20" t="s">
        <v>229</v>
      </c>
      <c r="D543" s="76">
        <v>2</v>
      </c>
      <c r="E543" s="18">
        <v>8.2263902599999999E-5</v>
      </c>
    </row>
    <row r="544" spans="2:5">
      <c r="B544" s="94"/>
      <c r="C544" s="20" t="s">
        <v>230</v>
      </c>
      <c r="D544" s="76">
        <v>13</v>
      </c>
      <c r="E544" s="18">
        <v>5.3471536689700004E-4</v>
      </c>
    </row>
    <row r="545" spans="2:5">
      <c r="B545" s="94"/>
      <c r="C545" s="20" t="s">
        <v>232</v>
      </c>
      <c r="D545" s="76">
        <v>12</v>
      </c>
      <c r="E545" s="18">
        <v>4.9358341559699998E-4</v>
      </c>
    </row>
    <row r="546" spans="2:5">
      <c r="B546" s="94"/>
      <c r="C546" s="20" t="s">
        <v>234</v>
      </c>
      <c r="D546" s="76">
        <v>1</v>
      </c>
      <c r="E546" s="18">
        <v>4.1131951299999999E-5</v>
      </c>
    </row>
    <row r="547" spans="2:5">
      <c r="B547" s="94"/>
      <c r="C547" s="20" t="s">
        <v>235</v>
      </c>
      <c r="D547" s="76">
        <v>18</v>
      </c>
      <c r="E547" s="18">
        <v>7.4037512339599995E-4</v>
      </c>
    </row>
    <row r="548" spans="2:5">
      <c r="B548" s="94"/>
      <c r="C548" s="20" t="s">
        <v>237</v>
      </c>
      <c r="D548" s="76">
        <v>4</v>
      </c>
      <c r="E548" s="18">
        <v>1.6452780519900001E-4</v>
      </c>
    </row>
    <row r="549" spans="2:5">
      <c r="B549" s="94"/>
      <c r="C549" s="20" t="s">
        <v>238</v>
      </c>
      <c r="D549" s="76">
        <v>2</v>
      </c>
      <c r="E549" s="18">
        <v>8.2263902599999999E-5</v>
      </c>
    </row>
    <row r="550" spans="2:5">
      <c r="B550" s="94"/>
      <c r="C550" s="20" t="s">
        <v>239</v>
      </c>
      <c r="D550" s="76">
        <v>26</v>
      </c>
      <c r="E550" s="18">
        <v>1.0694307337940001E-3</v>
      </c>
    </row>
    <row r="551" spans="2:5">
      <c r="B551" s="94"/>
      <c r="C551" s="20" t="s">
        <v>240</v>
      </c>
      <c r="D551" s="76">
        <v>2</v>
      </c>
      <c r="E551" s="18">
        <v>8.2263902599999999E-5</v>
      </c>
    </row>
    <row r="552" spans="2:5">
      <c r="B552" s="94"/>
      <c r="C552" s="20" t="s">
        <v>241</v>
      </c>
      <c r="D552" s="76">
        <v>2</v>
      </c>
      <c r="E552" s="18">
        <v>8.2263902599999999E-5</v>
      </c>
    </row>
    <row r="553" spans="2:5">
      <c r="B553" s="94"/>
      <c r="C553" s="20" t="s">
        <v>242</v>
      </c>
      <c r="D553" s="76">
        <v>8</v>
      </c>
      <c r="E553" s="18">
        <v>3.2905561039800002E-4</v>
      </c>
    </row>
    <row r="554" spans="2:5">
      <c r="B554" s="95"/>
      <c r="C554" s="77" t="s">
        <v>29</v>
      </c>
      <c r="D554" s="78">
        <v>126</v>
      </c>
      <c r="E554" s="79">
        <v>5.1826258637709998E-3</v>
      </c>
    </row>
    <row r="555" spans="2:5">
      <c r="B555" s="93" t="s">
        <v>50</v>
      </c>
      <c r="C555" s="20" t="s">
        <v>219</v>
      </c>
      <c r="D555" s="76">
        <v>37</v>
      </c>
      <c r="E555" s="18">
        <v>1.521882198091E-3</v>
      </c>
    </row>
    <row r="556" spans="2:5">
      <c r="B556" s="94"/>
      <c r="C556" s="20" t="s">
        <v>220</v>
      </c>
      <c r="D556" s="76">
        <v>36</v>
      </c>
      <c r="E556" s="18">
        <v>1.4807502467919999E-3</v>
      </c>
    </row>
    <row r="557" spans="2:5">
      <c r="B557" s="94"/>
      <c r="C557" s="20" t="s">
        <v>221</v>
      </c>
      <c r="D557" s="76">
        <v>24</v>
      </c>
      <c r="E557" s="18">
        <v>9.8716683119399995E-4</v>
      </c>
    </row>
    <row r="558" spans="2:5">
      <c r="B558" s="94"/>
      <c r="C558" s="20" t="s">
        <v>246</v>
      </c>
      <c r="D558" s="76">
        <v>3</v>
      </c>
      <c r="E558" s="18">
        <v>1.23395853899E-4</v>
      </c>
    </row>
    <row r="559" spans="2:5">
      <c r="B559" s="94"/>
      <c r="C559" s="20" t="s">
        <v>222</v>
      </c>
      <c r="D559" s="76">
        <v>42</v>
      </c>
      <c r="E559" s="18">
        <v>1.7275419545899999E-3</v>
      </c>
    </row>
    <row r="560" spans="2:5">
      <c r="B560" s="94"/>
      <c r="C560" s="20" t="s">
        <v>223</v>
      </c>
      <c r="D560" s="76">
        <v>11</v>
      </c>
      <c r="E560" s="18">
        <v>4.5245146429700003E-4</v>
      </c>
    </row>
    <row r="561" spans="2:5">
      <c r="B561" s="94"/>
      <c r="C561" s="20" t="s">
        <v>247</v>
      </c>
      <c r="D561" s="76">
        <v>108</v>
      </c>
      <c r="E561" s="18">
        <v>4.442250740375E-3</v>
      </c>
    </row>
    <row r="562" spans="2:5">
      <c r="B562" s="94"/>
      <c r="C562" s="20" t="s">
        <v>260</v>
      </c>
      <c r="D562" s="76">
        <v>5</v>
      </c>
      <c r="E562" s="18">
        <v>2.0565975649899999E-4</v>
      </c>
    </row>
    <row r="563" spans="2:5">
      <c r="B563" s="94"/>
      <c r="C563" s="20" t="s">
        <v>224</v>
      </c>
      <c r="D563" s="76">
        <v>84</v>
      </c>
      <c r="E563" s="18">
        <v>3.4550839091809999E-3</v>
      </c>
    </row>
    <row r="564" spans="2:5">
      <c r="B564" s="94"/>
      <c r="C564" s="20" t="s">
        <v>225</v>
      </c>
      <c r="D564" s="76">
        <v>4</v>
      </c>
      <c r="E564" s="18">
        <v>1.6452780519900001E-4</v>
      </c>
    </row>
    <row r="565" spans="2:5">
      <c r="B565" s="94"/>
      <c r="C565" s="20" t="s">
        <v>226</v>
      </c>
      <c r="D565" s="76">
        <v>198</v>
      </c>
      <c r="E565" s="18">
        <v>8.1441263573540004E-3</v>
      </c>
    </row>
    <row r="566" spans="2:5">
      <c r="B566" s="94"/>
      <c r="C566" s="20" t="s">
        <v>227</v>
      </c>
      <c r="D566" s="76">
        <v>62</v>
      </c>
      <c r="E566" s="18">
        <v>2.550180980586E-3</v>
      </c>
    </row>
    <row r="567" spans="2:5">
      <c r="B567" s="94"/>
      <c r="C567" s="20" t="s">
        <v>262</v>
      </c>
      <c r="D567" s="76">
        <v>4</v>
      </c>
      <c r="E567" s="18">
        <v>1.6452780519900001E-4</v>
      </c>
    </row>
    <row r="568" spans="2:5">
      <c r="B568" s="94"/>
      <c r="C568" s="20" t="s">
        <v>244</v>
      </c>
      <c r="D568" s="76">
        <v>198</v>
      </c>
      <c r="E568" s="18">
        <v>8.1441263573540004E-3</v>
      </c>
    </row>
    <row r="569" spans="2:5">
      <c r="B569" s="94"/>
      <c r="C569" s="20" t="s">
        <v>248</v>
      </c>
      <c r="D569" s="76">
        <v>7</v>
      </c>
      <c r="E569" s="18">
        <v>2.8792365909800001E-4</v>
      </c>
    </row>
    <row r="570" spans="2:5">
      <c r="B570" s="94"/>
      <c r="C570" s="20" t="s">
        <v>249</v>
      </c>
      <c r="D570" s="76">
        <v>11</v>
      </c>
      <c r="E570" s="18">
        <v>4.5245146429700003E-4</v>
      </c>
    </row>
    <row r="571" spans="2:5">
      <c r="B571" s="94"/>
      <c r="C571" s="20" t="s">
        <v>256</v>
      </c>
      <c r="D571" s="76">
        <v>28</v>
      </c>
      <c r="E571" s="18">
        <v>1.151694636394E-3</v>
      </c>
    </row>
    <row r="572" spans="2:5">
      <c r="B572" s="94"/>
      <c r="C572" s="20" t="s">
        <v>228</v>
      </c>
      <c r="D572" s="76">
        <v>21</v>
      </c>
      <c r="E572" s="18">
        <v>8.6377097729499995E-4</v>
      </c>
    </row>
    <row r="573" spans="2:5">
      <c r="B573" s="94"/>
      <c r="C573" s="20" t="s">
        <v>250</v>
      </c>
      <c r="D573" s="76">
        <v>9</v>
      </c>
      <c r="E573" s="18">
        <v>3.7018756169799997E-4</v>
      </c>
    </row>
    <row r="574" spans="2:5">
      <c r="B574" s="94"/>
      <c r="C574" s="20" t="s">
        <v>229</v>
      </c>
      <c r="D574" s="76">
        <v>37</v>
      </c>
      <c r="E574" s="18">
        <v>1.521882198091E-3</v>
      </c>
    </row>
    <row r="575" spans="2:5">
      <c r="B575" s="94"/>
      <c r="C575" s="20" t="s">
        <v>257</v>
      </c>
      <c r="D575" s="76">
        <v>6</v>
      </c>
      <c r="E575" s="18">
        <v>2.4679170779900002E-4</v>
      </c>
    </row>
    <row r="576" spans="2:5">
      <c r="B576" s="94"/>
      <c r="C576" s="20" t="s">
        <v>230</v>
      </c>
      <c r="D576" s="76">
        <v>433</v>
      </c>
      <c r="E576" s="18">
        <v>1.7810134912800001E-2</v>
      </c>
    </row>
    <row r="577" spans="2:5">
      <c r="B577" s="94"/>
      <c r="C577" s="20" t="s">
        <v>251</v>
      </c>
      <c r="D577" s="76">
        <v>23</v>
      </c>
      <c r="E577" s="18">
        <v>9.4603487989499996E-4</v>
      </c>
    </row>
    <row r="578" spans="2:5">
      <c r="B578" s="94"/>
      <c r="C578" s="20" t="s">
        <v>231</v>
      </c>
      <c r="D578" s="76">
        <v>167</v>
      </c>
      <c r="E578" s="18">
        <v>6.8690358670620002E-3</v>
      </c>
    </row>
    <row r="579" spans="2:5">
      <c r="B579" s="94"/>
      <c r="C579" s="20" t="s">
        <v>252</v>
      </c>
      <c r="D579" s="76">
        <v>14</v>
      </c>
      <c r="E579" s="18">
        <v>5.7584731819699999E-4</v>
      </c>
    </row>
    <row r="580" spans="2:5">
      <c r="B580" s="94"/>
      <c r="C580" s="20" t="s">
        <v>253</v>
      </c>
      <c r="D580" s="76">
        <v>22</v>
      </c>
      <c r="E580" s="18">
        <v>9.0490292859500001E-4</v>
      </c>
    </row>
    <row r="581" spans="2:5" ht="40.5">
      <c r="B581" s="94"/>
      <c r="C581" s="20" t="s">
        <v>254</v>
      </c>
      <c r="D581" s="76">
        <v>5</v>
      </c>
      <c r="E581" s="18">
        <v>2.0565975649899999E-4</v>
      </c>
    </row>
    <row r="582" spans="2:5">
      <c r="B582" s="94"/>
      <c r="C582" s="20" t="s">
        <v>232</v>
      </c>
      <c r="D582" s="76">
        <v>43</v>
      </c>
      <c r="E582" s="18">
        <v>1.7686739058900001E-3</v>
      </c>
    </row>
    <row r="583" spans="2:5">
      <c r="B583" s="94"/>
      <c r="C583" s="20" t="s">
        <v>234</v>
      </c>
      <c r="D583" s="76">
        <v>27</v>
      </c>
      <c r="E583" s="18">
        <v>1.110562685094E-3</v>
      </c>
    </row>
    <row r="584" spans="2:5">
      <c r="B584" s="94"/>
      <c r="C584" s="20" t="s">
        <v>258</v>
      </c>
      <c r="D584" s="76">
        <v>23</v>
      </c>
      <c r="E584" s="18">
        <v>9.4603487989499996E-4</v>
      </c>
    </row>
    <row r="585" spans="2:5">
      <c r="B585" s="94"/>
      <c r="C585" s="20" t="s">
        <v>261</v>
      </c>
      <c r="D585" s="76">
        <v>3</v>
      </c>
      <c r="E585" s="18">
        <v>1.23395853899E-4</v>
      </c>
    </row>
    <row r="586" spans="2:5">
      <c r="B586" s="94"/>
      <c r="C586" s="20" t="s">
        <v>235</v>
      </c>
      <c r="D586" s="76">
        <v>2352</v>
      </c>
      <c r="E586" s="18">
        <v>9.6742349457057994E-2</v>
      </c>
    </row>
    <row r="587" spans="2:5">
      <c r="B587" s="94"/>
      <c r="C587" s="20" t="s">
        <v>236</v>
      </c>
      <c r="D587" s="76">
        <v>787</v>
      </c>
      <c r="E587" s="18">
        <v>3.2370845672919001E-2</v>
      </c>
    </row>
    <row r="588" spans="2:5">
      <c r="B588" s="94"/>
      <c r="C588" s="20" t="s">
        <v>259</v>
      </c>
      <c r="D588" s="76">
        <v>6</v>
      </c>
      <c r="E588" s="18">
        <v>2.4679170779900002E-4</v>
      </c>
    </row>
    <row r="589" spans="2:5">
      <c r="B589" s="94"/>
      <c r="C589" s="20" t="s">
        <v>237</v>
      </c>
      <c r="D589" s="76">
        <v>165</v>
      </c>
      <c r="E589" s="18">
        <v>6.7867719644620003E-3</v>
      </c>
    </row>
    <row r="590" spans="2:5">
      <c r="B590" s="94"/>
      <c r="C590" s="20" t="s">
        <v>263</v>
      </c>
      <c r="D590" s="76">
        <v>1</v>
      </c>
      <c r="E590" s="18">
        <v>4.1131951299999999E-5</v>
      </c>
    </row>
    <row r="591" spans="2:5">
      <c r="B591" s="94"/>
      <c r="C591" s="20" t="s">
        <v>238</v>
      </c>
      <c r="D591" s="76">
        <v>62</v>
      </c>
      <c r="E591" s="18">
        <v>2.550180980586E-3</v>
      </c>
    </row>
    <row r="592" spans="2:5">
      <c r="B592" s="94"/>
      <c r="C592" s="20" t="s">
        <v>239</v>
      </c>
      <c r="D592" s="76">
        <v>148</v>
      </c>
      <c r="E592" s="18">
        <v>6.0875287923660001E-3</v>
      </c>
    </row>
    <row r="593" spans="2:5">
      <c r="B593" s="94"/>
      <c r="C593" s="20" t="s">
        <v>240</v>
      </c>
      <c r="D593" s="76">
        <v>230</v>
      </c>
      <c r="E593" s="18">
        <v>9.4603487989469992E-3</v>
      </c>
    </row>
    <row r="594" spans="2:5">
      <c r="B594" s="94"/>
      <c r="C594" s="20" t="s">
        <v>241</v>
      </c>
      <c r="D594" s="76">
        <v>306</v>
      </c>
      <c r="E594" s="18">
        <v>1.258637709773E-2</v>
      </c>
    </row>
    <row r="595" spans="2:5">
      <c r="B595" s="94"/>
      <c r="C595" s="20" t="s">
        <v>242</v>
      </c>
      <c r="D595" s="76">
        <v>153</v>
      </c>
      <c r="E595" s="18">
        <v>6.2931885488650002E-3</v>
      </c>
    </row>
    <row r="596" spans="2:5">
      <c r="B596" s="94"/>
      <c r="C596" s="20" t="s">
        <v>245</v>
      </c>
      <c r="D596" s="76">
        <v>10</v>
      </c>
      <c r="E596" s="18">
        <v>4.1131951299799998E-4</v>
      </c>
    </row>
    <row r="597" spans="2:5">
      <c r="B597" s="94"/>
      <c r="C597" s="20" t="s">
        <v>243</v>
      </c>
      <c r="D597" s="76">
        <v>26</v>
      </c>
      <c r="E597" s="18">
        <v>1.0694307337940001E-3</v>
      </c>
    </row>
    <row r="598" spans="2:5">
      <c r="B598" s="95"/>
      <c r="C598" s="77" t="s">
        <v>29</v>
      </c>
      <c r="D598" s="78">
        <v>5941</v>
      </c>
      <c r="E598" s="79">
        <v>0.24436492267193199</v>
      </c>
    </row>
    <row r="599" spans="2:5">
      <c r="B599" s="93" t="s">
        <v>65</v>
      </c>
      <c r="C599" s="20" t="s">
        <v>221</v>
      </c>
      <c r="D599" s="76">
        <v>4</v>
      </c>
      <c r="E599" s="18">
        <v>1.6452780519900001E-4</v>
      </c>
    </row>
    <row r="600" spans="2:5">
      <c r="B600" s="94"/>
      <c r="C600" s="20" t="s">
        <v>222</v>
      </c>
      <c r="D600" s="76">
        <v>1</v>
      </c>
      <c r="E600" s="18">
        <v>4.1131951299999999E-5</v>
      </c>
    </row>
    <row r="601" spans="2:5">
      <c r="B601" s="94"/>
      <c r="C601" s="20" t="s">
        <v>260</v>
      </c>
      <c r="D601" s="76">
        <v>1</v>
      </c>
      <c r="E601" s="18">
        <v>4.1131951299999999E-5</v>
      </c>
    </row>
    <row r="602" spans="2:5">
      <c r="B602" s="94"/>
      <c r="C602" s="20" t="s">
        <v>224</v>
      </c>
      <c r="D602" s="76">
        <v>9</v>
      </c>
      <c r="E602" s="18">
        <v>3.7018756169799997E-4</v>
      </c>
    </row>
    <row r="603" spans="2:5">
      <c r="B603" s="94"/>
      <c r="C603" s="20" t="s">
        <v>226</v>
      </c>
      <c r="D603" s="76">
        <v>18</v>
      </c>
      <c r="E603" s="18">
        <v>7.4037512339599995E-4</v>
      </c>
    </row>
    <row r="604" spans="2:5">
      <c r="B604" s="94"/>
      <c r="C604" s="20" t="s">
        <v>227</v>
      </c>
      <c r="D604" s="76">
        <v>4</v>
      </c>
      <c r="E604" s="18">
        <v>1.6452780519900001E-4</v>
      </c>
    </row>
    <row r="605" spans="2:5">
      <c r="B605" s="94"/>
      <c r="C605" s="20" t="s">
        <v>228</v>
      </c>
      <c r="D605" s="76">
        <v>4</v>
      </c>
      <c r="E605" s="18">
        <v>1.6452780519900001E-4</v>
      </c>
    </row>
    <row r="606" spans="2:5">
      <c r="B606" s="94"/>
      <c r="C606" s="20" t="s">
        <v>229</v>
      </c>
      <c r="D606" s="76">
        <v>1</v>
      </c>
      <c r="E606" s="18">
        <v>4.1131951299999999E-5</v>
      </c>
    </row>
    <row r="607" spans="2:5">
      <c r="B607" s="94"/>
      <c r="C607" s="20" t="s">
        <v>230</v>
      </c>
      <c r="D607" s="76">
        <v>67</v>
      </c>
      <c r="E607" s="18">
        <v>2.7558407370850001E-3</v>
      </c>
    </row>
    <row r="608" spans="2:5">
      <c r="B608" s="94"/>
      <c r="C608" s="20" t="s">
        <v>251</v>
      </c>
      <c r="D608" s="76">
        <v>2</v>
      </c>
      <c r="E608" s="18">
        <v>8.2263902599999999E-5</v>
      </c>
    </row>
    <row r="609" spans="2:5">
      <c r="B609" s="94"/>
      <c r="C609" s="20" t="s">
        <v>231</v>
      </c>
      <c r="D609" s="76">
        <v>1</v>
      </c>
      <c r="E609" s="18">
        <v>4.1131951299999999E-5</v>
      </c>
    </row>
    <row r="610" spans="2:5">
      <c r="B610" s="94"/>
      <c r="C610" s="20" t="s">
        <v>253</v>
      </c>
      <c r="D610" s="76">
        <v>1</v>
      </c>
      <c r="E610" s="18">
        <v>4.1131951299999999E-5</v>
      </c>
    </row>
    <row r="611" spans="2:5">
      <c r="B611" s="94"/>
      <c r="C611" s="20" t="s">
        <v>232</v>
      </c>
      <c r="D611" s="76">
        <v>2</v>
      </c>
      <c r="E611" s="18">
        <v>8.2263902599999999E-5</v>
      </c>
    </row>
    <row r="612" spans="2:5">
      <c r="B612" s="94"/>
      <c r="C612" s="20" t="s">
        <v>233</v>
      </c>
      <c r="D612" s="76">
        <v>2</v>
      </c>
      <c r="E612" s="18">
        <v>8.2263902599999999E-5</v>
      </c>
    </row>
    <row r="613" spans="2:5">
      <c r="B613" s="94"/>
      <c r="C613" s="20" t="s">
        <v>234</v>
      </c>
      <c r="D613" s="76">
        <v>1</v>
      </c>
      <c r="E613" s="18">
        <v>4.1131951299999999E-5</v>
      </c>
    </row>
    <row r="614" spans="2:5">
      <c r="B614" s="94"/>
      <c r="C614" s="20" t="s">
        <v>258</v>
      </c>
      <c r="D614" s="76">
        <v>1</v>
      </c>
      <c r="E614" s="18">
        <v>4.1131951299999999E-5</v>
      </c>
    </row>
    <row r="615" spans="2:5">
      <c r="B615" s="94"/>
      <c r="C615" s="20" t="s">
        <v>235</v>
      </c>
      <c r="D615" s="76">
        <v>19</v>
      </c>
      <c r="E615" s="18">
        <v>7.8150707469600001E-4</v>
      </c>
    </row>
    <row r="616" spans="2:5">
      <c r="B616" s="94"/>
      <c r="C616" s="20" t="s">
        <v>236</v>
      </c>
      <c r="D616" s="76">
        <v>8</v>
      </c>
      <c r="E616" s="18">
        <v>3.2905561039800002E-4</v>
      </c>
    </row>
    <row r="617" spans="2:5">
      <c r="B617" s="94"/>
      <c r="C617" s="20" t="s">
        <v>259</v>
      </c>
      <c r="D617" s="76">
        <v>1</v>
      </c>
      <c r="E617" s="18">
        <v>4.1131951299999999E-5</v>
      </c>
    </row>
    <row r="618" spans="2:5">
      <c r="B618" s="94"/>
      <c r="C618" s="20" t="s">
        <v>237</v>
      </c>
      <c r="D618" s="76">
        <v>12</v>
      </c>
      <c r="E618" s="18">
        <v>4.9358341559699998E-4</v>
      </c>
    </row>
    <row r="619" spans="2:5">
      <c r="B619" s="94"/>
      <c r="C619" s="20" t="s">
        <v>238</v>
      </c>
      <c r="D619" s="76">
        <v>1</v>
      </c>
      <c r="E619" s="18">
        <v>4.1131951299999999E-5</v>
      </c>
    </row>
    <row r="620" spans="2:5">
      <c r="B620" s="94"/>
      <c r="C620" s="20" t="s">
        <v>239</v>
      </c>
      <c r="D620" s="76">
        <v>11</v>
      </c>
      <c r="E620" s="18">
        <v>4.5245146429700003E-4</v>
      </c>
    </row>
    <row r="621" spans="2:5">
      <c r="B621" s="94"/>
      <c r="C621" s="20" t="s">
        <v>240</v>
      </c>
      <c r="D621" s="76">
        <v>6</v>
      </c>
      <c r="E621" s="18">
        <v>2.4679170779900002E-4</v>
      </c>
    </row>
    <row r="622" spans="2:5">
      <c r="B622" s="94"/>
      <c r="C622" s="20" t="s">
        <v>241</v>
      </c>
      <c r="D622" s="76">
        <v>17</v>
      </c>
      <c r="E622" s="18">
        <v>6.9924317209599999E-4</v>
      </c>
    </row>
    <row r="623" spans="2:5">
      <c r="B623" s="94"/>
      <c r="C623" s="20" t="s">
        <v>242</v>
      </c>
      <c r="D623" s="76">
        <v>5</v>
      </c>
      <c r="E623" s="18">
        <v>2.0565975649899999E-4</v>
      </c>
    </row>
    <row r="624" spans="2:5">
      <c r="B624" s="94"/>
      <c r="C624" s="20" t="s">
        <v>243</v>
      </c>
      <c r="D624" s="76">
        <v>1</v>
      </c>
      <c r="E624" s="18">
        <v>4.1131951299999999E-5</v>
      </c>
    </row>
    <row r="625" spans="2:5">
      <c r="B625" s="95"/>
      <c r="C625" s="77" t="s">
        <v>29</v>
      </c>
      <c r="D625" s="78">
        <v>200</v>
      </c>
      <c r="E625" s="79">
        <v>8.2263902599539994E-3</v>
      </c>
    </row>
    <row r="626" spans="2:5">
      <c r="B626" s="93" t="s">
        <v>74</v>
      </c>
      <c r="C626" s="20" t="s">
        <v>221</v>
      </c>
      <c r="D626" s="76">
        <v>1</v>
      </c>
      <c r="E626" s="18">
        <v>4.1131951299999999E-5</v>
      </c>
    </row>
    <row r="627" spans="2:5">
      <c r="B627" s="94"/>
      <c r="C627" s="20" t="s">
        <v>247</v>
      </c>
      <c r="D627" s="76">
        <v>2</v>
      </c>
      <c r="E627" s="18">
        <v>8.2263902599999999E-5</v>
      </c>
    </row>
    <row r="628" spans="2:5">
      <c r="B628" s="94"/>
      <c r="C628" s="20" t="s">
        <v>225</v>
      </c>
      <c r="D628" s="76">
        <v>1</v>
      </c>
      <c r="E628" s="18">
        <v>4.1131951299999999E-5</v>
      </c>
    </row>
    <row r="629" spans="2:5">
      <c r="B629" s="94"/>
      <c r="C629" s="20" t="s">
        <v>226</v>
      </c>
      <c r="D629" s="76">
        <v>4</v>
      </c>
      <c r="E629" s="18">
        <v>1.6452780519900001E-4</v>
      </c>
    </row>
    <row r="630" spans="2:5">
      <c r="B630" s="94"/>
      <c r="C630" s="20" t="s">
        <v>227</v>
      </c>
      <c r="D630" s="76">
        <v>1</v>
      </c>
      <c r="E630" s="18">
        <v>4.1131951299999999E-5</v>
      </c>
    </row>
    <row r="631" spans="2:5">
      <c r="B631" s="94"/>
      <c r="C631" s="20" t="s">
        <v>248</v>
      </c>
      <c r="D631" s="76">
        <v>1</v>
      </c>
      <c r="E631" s="18">
        <v>4.1131951299999999E-5</v>
      </c>
    </row>
    <row r="632" spans="2:5">
      <c r="B632" s="94"/>
      <c r="C632" s="20" t="s">
        <v>228</v>
      </c>
      <c r="D632" s="76">
        <v>2</v>
      </c>
      <c r="E632" s="18">
        <v>8.2263902599999999E-5</v>
      </c>
    </row>
    <row r="633" spans="2:5">
      <c r="B633" s="94"/>
      <c r="C633" s="20" t="s">
        <v>250</v>
      </c>
      <c r="D633" s="76">
        <v>1</v>
      </c>
      <c r="E633" s="18">
        <v>4.1131951299999999E-5</v>
      </c>
    </row>
    <row r="634" spans="2:5">
      <c r="B634" s="94"/>
      <c r="C634" s="20" t="s">
        <v>230</v>
      </c>
      <c r="D634" s="76">
        <v>4</v>
      </c>
      <c r="E634" s="18">
        <v>1.6452780519900001E-4</v>
      </c>
    </row>
    <row r="635" spans="2:5">
      <c r="B635" s="94"/>
      <c r="C635" s="20" t="s">
        <v>232</v>
      </c>
      <c r="D635" s="76">
        <v>14</v>
      </c>
      <c r="E635" s="18">
        <v>5.7584731819699999E-4</v>
      </c>
    </row>
    <row r="636" spans="2:5">
      <c r="B636" s="94"/>
      <c r="C636" s="20" t="s">
        <v>235</v>
      </c>
      <c r="D636" s="76">
        <v>10</v>
      </c>
      <c r="E636" s="18">
        <v>4.1131951299799998E-4</v>
      </c>
    </row>
    <row r="637" spans="2:5">
      <c r="B637" s="94"/>
      <c r="C637" s="20" t="s">
        <v>236</v>
      </c>
      <c r="D637" s="76">
        <v>1</v>
      </c>
      <c r="E637" s="18">
        <v>4.1131951299999999E-5</v>
      </c>
    </row>
    <row r="638" spans="2:5">
      <c r="B638" s="94"/>
      <c r="C638" s="20" t="s">
        <v>237</v>
      </c>
      <c r="D638" s="76">
        <v>1</v>
      </c>
      <c r="E638" s="18">
        <v>4.1131951299999999E-5</v>
      </c>
    </row>
    <row r="639" spans="2:5">
      <c r="B639" s="94"/>
      <c r="C639" s="20" t="s">
        <v>239</v>
      </c>
      <c r="D639" s="76">
        <v>4</v>
      </c>
      <c r="E639" s="18">
        <v>1.6452780519900001E-4</v>
      </c>
    </row>
    <row r="640" spans="2:5">
      <c r="B640" s="94"/>
      <c r="C640" s="20" t="s">
        <v>240</v>
      </c>
      <c r="D640" s="76">
        <v>2</v>
      </c>
      <c r="E640" s="18">
        <v>8.2263902599999999E-5</v>
      </c>
    </row>
    <row r="641" spans="2:5">
      <c r="B641" s="94"/>
      <c r="C641" s="20" t="s">
        <v>241</v>
      </c>
      <c r="D641" s="76">
        <v>1</v>
      </c>
      <c r="E641" s="18">
        <v>4.1131951299999999E-5</v>
      </c>
    </row>
    <row r="642" spans="2:5">
      <c r="B642" s="94"/>
      <c r="C642" s="20" t="s">
        <v>242</v>
      </c>
      <c r="D642" s="76">
        <v>1</v>
      </c>
      <c r="E642" s="18">
        <v>4.1131951299999999E-5</v>
      </c>
    </row>
    <row r="643" spans="2:5">
      <c r="B643" s="94"/>
      <c r="C643" s="20" t="s">
        <v>243</v>
      </c>
      <c r="D643" s="76">
        <v>1</v>
      </c>
      <c r="E643" s="18">
        <v>4.1131951299999999E-5</v>
      </c>
    </row>
    <row r="644" spans="2:5">
      <c r="B644" s="95"/>
      <c r="C644" s="77" t="s">
        <v>29</v>
      </c>
      <c r="D644" s="78">
        <v>52</v>
      </c>
      <c r="E644" s="79">
        <v>2.1388614675880002E-3</v>
      </c>
    </row>
    <row r="645" spans="2:5">
      <c r="B645" s="93" t="s">
        <v>95</v>
      </c>
      <c r="C645" s="20" t="s">
        <v>224</v>
      </c>
      <c r="D645" s="76">
        <v>1</v>
      </c>
      <c r="E645" s="18">
        <v>4.1131951299999999E-5</v>
      </c>
    </row>
    <row r="646" spans="2:5">
      <c r="B646" s="94"/>
      <c r="C646" s="20" t="s">
        <v>226</v>
      </c>
      <c r="D646" s="76">
        <v>1</v>
      </c>
      <c r="E646" s="18">
        <v>4.1131951299999999E-5</v>
      </c>
    </row>
    <row r="647" spans="2:5">
      <c r="B647" s="94"/>
      <c r="C647" s="20" t="s">
        <v>230</v>
      </c>
      <c r="D647" s="76">
        <v>1</v>
      </c>
      <c r="E647" s="18">
        <v>4.1131951299999999E-5</v>
      </c>
    </row>
    <row r="648" spans="2:5">
      <c r="B648" s="94"/>
      <c r="C648" s="20" t="s">
        <v>232</v>
      </c>
      <c r="D648" s="76">
        <v>1</v>
      </c>
      <c r="E648" s="18">
        <v>4.1131951299999999E-5</v>
      </c>
    </row>
    <row r="649" spans="2:5">
      <c r="B649" s="94"/>
      <c r="C649" s="20" t="s">
        <v>241</v>
      </c>
      <c r="D649" s="76">
        <v>1</v>
      </c>
      <c r="E649" s="18">
        <v>4.1131951299999999E-5</v>
      </c>
    </row>
    <row r="650" spans="2:5">
      <c r="B650" s="95"/>
      <c r="C650" s="77" t="s">
        <v>29</v>
      </c>
      <c r="D650" s="78">
        <v>5</v>
      </c>
      <c r="E650" s="79">
        <v>2.0565975649899999E-4</v>
      </c>
    </row>
    <row r="651" spans="2:5">
      <c r="B651" s="93" t="s">
        <v>100</v>
      </c>
      <c r="C651" s="20" t="s">
        <v>239</v>
      </c>
      <c r="D651" s="76">
        <v>1</v>
      </c>
      <c r="E651" s="18">
        <v>4.1131951299999999E-5</v>
      </c>
    </row>
    <row r="652" spans="2:5">
      <c r="B652" s="95"/>
      <c r="C652" s="77" t="s">
        <v>29</v>
      </c>
      <c r="D652" s="78">
        <v>1</v>
      </c>
      <c r="E652" s="79">
        <v>4.1131951299999999E-5</v>
      </c>
    </row>
    <row r="653" spans="2:5">
      <c r="B653" s="93" t="s">
        <v>61</v>
      </c>
      <c r="C653" s="20" t="s">
        <v>219</v>
      </c>
      <c r="D653" s="76">
        <v>2</v>
      </c>
      <c r="E653" s="18">
        <v>8.2263902599999999E-5</v>
      </c>
    </row>
    <row r="654" spans="2:5">
      <c r="B654" s="94"/>
      <c r="C654" s="20" t="s">
        <v>220</v>
      </c>
      <c r="D654" s="76">
        <v>4</v>
      </c>
      <c r="E654" s="18">
        <v>1.6452780519900001E-4</v>
      </c>
    </row>
    <row r="655" spans="2:5">
      <c r="B655" s="94"/>
      <c r="C655" s="20" t="s">
        <v>221</v>
      </c>
      <c r="D655" s="76">
        <v>4</v>
      </c>
      <c r="E655" s="18">
        <v>1.6452780519900001E-4</v>
      </c>
    </row>
    <row r="656" spans="2:5">
      <c r="B656" s="94"/>
      <c r="C656" s="20" t="s">
        <v>222</v>
      </c>
      <c r="D656" s="76">
        <v>2</v>
      </c>
      <c r="E656" s="18">
        <v>8.2263902599999999E-5</v>
      </c>
    </row>
    <row r="657" spans="2:5">
      <c r="B657" s="94"/>
      <c r="C657" s="20" t="s">
        <v>223</v>
      </c>
      <c r="D657" s="76">
        <v>30</v>
      </c>
      <c r="E657" s="18">
        <v>1.233958538993E-3</v>
      </c>
    </row>
    <row r="658" spans="2:5">
      <c r="B658" s="94"/>
      <c r="C658" s="20" t="s">
        <v>260</v>
      </c>
      <c r="D658" s="76">
        <v>1</v>
      </c>
      <c r="E658" s="18">
        <v>4.1131951299999999E-5</v>
      </c>
    </row>
    <row r="659" spans="2:5">
      <c r="B659" s="94"/>
      <c r="C659" s="20" t="s">
        <v>224</v>
      </c>
      <c r="D659" s="76">
        <v>13</v>
      </c>
      <c r="E659" s="18">
        <v>5.3471536689700004E-4</v>
      </c>
    </row>
    <row r="660" spans="2:5">
      <c r="B660" s="94"/>
      <c r="C660" s="20" t="s">
        <v>226</v>
      </c>
      <c r="D660" s="76">
        <v>31</v>
      </c>
      <c r="E660" s="18">
        <v>1.275090490293E-3</v>
      </c>
    </row>
    <row r="661" spans="2:5">
      <c r="B661" s="94"/>
      <c r="C661" s="20" t="s">
        <v>227</v>
      </c>
      <c r="D661" s="76">
        <v>9</v>
      </c>
      <c r="E661" s="18">
        <v>3.7018756169799997E-4</v>
      </c>
    </row>
    <row r="662" spans="2:5">
      <c r="B662" s="94"/>
      <c r="C662" s="20" t="s">
        <v>244</v>
      </c>
      <c r="D662" s="76">
        <v>2</v>
      </c>
      <c r="E662" s="18">
        <v>8.2263902599999999E-5</v>
      </c>
    </row>
    <row r="663" spans="2:5">
      <c r="B663" s="94"/>
      <c r="C663" s="20" t="s">
        <v>256</v>
      </c>
      <c r="D663" s="76">
        <v>1</v>
      </c>
      <c r="E663" s="18">
        <v>4.1131951299999999E-5</v>
      </c>
    </row>
    <row r="664" spans="2:5">
      <c r="B664" s="94"/>
      <c r="C664" s="20" t="s">
        <v>228</v>
      </c>
      <c r="D664" s="76">
        <v>1</v>
      </c>
      <c r="E664" s="18">
        <v>4.1131951299999999E-5</v>
      </c>
    </row>
    <row r="665" spans="2:5">
      <c r="B665" s="94"/>
      <c r="C665" s="20" t="s">
        <v>250</v>
      </c>
      <c r="D665" s="76">
        <v>3</v>
      </c>
      <c r="E665" s="18">
        <v>1.23395853899E-4</v>
      </c>
    </row>
    <row r="666" spans="2:5">
      <c r="B666" s="94"/>
      <c r="C666" s="20" t="s">
        <v>229</v>
      </c>
      <c r="D666" s="76">
        <v>1</v>
      </c>
      <c r="E666" s="18">
        <v>4.1131951299999999E-5</v>
      </c>
    </row>
    <row r="667" spans="2:5">
      <c r="B667" s="94"/>
      <c r="C667" s="20" t="s">
        <v>230</v>
      </c>
      <c r="D667" s="76">
        <v>46</v>
      </c>
      <c r="E667" s="18">
        <v>1.8920697597890001E-3</v>
      </c>
    </row>
    <row r="668" spans="2:5">
      <c r="B668" s="94"/>
      <c r="C668" s="20" t="s">
        <v>231</v>
      </c>
      <c r="D668" s="76">
        <v>3</v>
      </c>
      <c r="E668" s="18">
        <v>1.23395853899E-4</v>
      </c>
    </row>
    <row r="669" spans="2:5">
      <c r="B669" s="94"/>
      <c r="C669" s="20" t="s">
        <v>232</v>
      </c>
      <c r="D669" s="76">
        <v>14</v>
      </c>
      <c r="E669" s="18">
        <v>5.7584731819699999E-4</v>
      </c>
    </row>
    <row r="670" spans="2:5">
      <c r="B670" s="94"/>
      <c r="C670" s="20" t="s">
        <v>233</v>
      </c>
      <c r="D670" s="76">
        <v>1</v>
      </c>
      <c r="E670" s="18">
        <v>4.1131951299999999E-5</v>
      </c>
    </row>
    <row r="671" spans="2:5">
      <c r="B671" s="94"/>
      <c r="C671" s="20" t="s">
        <v>234</v>
      </c>
      <c r="D671" s="76">
        <v>2</v>
      </c>
      <c r="E671" s="18">
        <v>8.2263902599999999E-5</v>
      </c>
    </row>
    <row r="672" spans="2:5">
      <c r="B672" s="94"/>
      <c r="C672" s="20" t="s">
        <v>235</v>
      </c>
      <c r="D672" s="76">
        <v>36</v>
      </c>
      <c r="E672" s="18">
        <v>1.4807502467919999E-3</v>
      </c>
    </row>
    <row r="673" spans="2:5">
      <c r="B673" s="94"/>
      <c r="C673" s="20" t="s">
        <v>236</v>
      </c>
      <c r="D673" s="76">
        <v>11</v>
      </c>
      <c r="E673" s="18">
        <v>4.5245146429700003E-4</v>
      </c>
    </row>
    <row r="674" spans="2:5">
      <c r="B674" s="94"/>
      <c r="C674" s="20" t="s">
        <v>237</v>
      </c>
      <c r="D674" s="76">
        <v>11</v>
      </c>
      <c r="E674" s="18">
        <v>4.5245146429700003E-4</v>
      </c>
    </row>
    <row r="675" spans="2:5">
      <c r="B675" s="94"/>
      <c r="C675" s="20" t="s">
        <v>238</v>
      </c>
      <c r="D675" s="76">
        <v>3</v>
      </c>
      <c r="E675" s="18">
        <v>1.23395853899E-4</v>
      </c>
    </row>
    <row r="676" spans="2:5">
      <c r="B676" s="94"/>
      <c r="C676" s="20" t="s">
        <v>239</v>
      </c>
      <c r="D676" s="76">
        <v>35</v>
      </c>
      <c r="E676" s="18">
        <v>1.4396182954919999E-3</v>
      </c>
    </row>
    <row r="677" spans="2:5">
      <c r="B677" s="94"/>
      <c r="C677" s="20" t="s">
        <v>240</v>
      </c>
      <c r="D677" s="76">
        <v>24</v>
      </c>
      <c r="E677" s="18">
        <v>9.8716683119399995E-4</v>
      </c>
    </row>
    <row r="678" spans="2:5">
      <c r="B678" s="94"/>
      <c r="C678" s="20" t="s">
        <v>241</v>
      </c>
      <c r="D678" s="76">
        <v>14</v>
      </c>
      <c r="E678" s="18">
        <v>5.7584731819699999E-4</v>
      </c>
    </row>
    <row r="679" spans="2:5">
      <c r="B679" s="94"/>
      <c r="C679" s="20" t="s">
        <v>242</v>
      </c>
      <c r="D679" s="76">
        <v>16</v>
      </c>
      <c r="E679" s="18">
        <v>6.5811122079600004E-4</v>
      </c>
    </row>
    <row r="680" spans="2:5">
      <c r="B680" s="94"/>
      <c r="C680" s="20" t="s">
        <v>243</v>
      </c>
      <c r="D680" s="76">
        <v>3</v>
      </c>
      <c r="E680" s="18">
        <v>1.23395853899E-4</v>
      </c>
    </row>
    <row r="681" spans="2:5">
      <c r="B681" s="95"/>
      <c r="C681" s="77" t="s">
        <v>29</v>
      </c>
      <c r="D681" s="78">
        <v>323</v>
      </c>
      <c r="E681" s="79">
        <v>1.3285620269826E-2</v>
      </c>
    </row>
    <row r="682" spans="2:5">
      <c r="B682" s="93" t="s">
        <v>76</v>
      </c>
      <c r="C682" s="20" t="s">
        <v>220</v>
      </c>
      <c r="D682" s="76">
        <v>1</v>
      </c>
      <c r="E682" s="18">
        <v>4.1131951299999999E-5</v>
      </c>
    </row>
    <row r="683" spans="2:5">
      <c r="B683" s="94"/>
      <c r="C683" s="20" t="s">
        <v>246</v>
      </c>
      <c r="D683" s="76">
        <v>1</v>
      </c>
      <c r="E683" s="18">
        <v>4.1131951299999999E-5</v>
      </c>
    </row>
    <row r="684" spans="2:5">
      <c r="B684" s="94"/>
      <c r="C684" s="20" t="s">
        <v>224</v>
      </c>
      <c r="D684" s="76">
        <v>1</v>
      </c>
      <c r="E684" s="18">
        <v>4.1131951299999999E-5</v>
      </c>
    </row>
    <row r="685" spans="2:5">
      <c r="B685" s="94"/>
      <c r="C685" s="20" t="s">
        <v>226</v>
      </c>
      <c r="D685" s="76">
        <v>1</v>
      </c>
      <c r="E685" s="18">
        <v>4.1131951299999999E-5</v>
      </c>
    </row>
    <row r="686" spans="2:5">
      <c r="B686" s="94"/>
      <c r="C686" s="20" t="s">
        <v>230</v>
      </c>
      <c r="D686" s="76">
        <v>6</v>
      </c>
      <c r="E686" s="18">
        <v>2.4679170779900002E-4</v>
      </c>
    </row>
    <row r="687" spans="2:5">
      <c r="B687" s="94"/>
      <c r="C687" s="20" t="s">
        <v>232</v>
      </c>
      <c r="D687" s="76">
        <v>4</v>
      </c>
      <c r="E687" s="18">
        <v>1.6452780519900001E-4</v>
      </c>
    </row>
    <row r="688" spans="2:5">
      <c r="B688" s="94"/>
      <c r="C688" s="20" t="s">
        <v>258</v>
      </c>
      <c r="D688" s="76">
        <v>1</v>
      </c>
      <c r="E688" s="18">
        <v>4.1131951299999999E-5</v>
      </c>
    </row>
    <row r="689" spans="2:5">
      <c r="B689" s="94"/>
      <c r="C689" s="20" t="s">
        <v>235</v>
      </c>
      <c r="D689" s="76">
        <v>9</v>
      </c>
      <c r="E689" s="18">
        <v>3.7018756169799997E-4</v>
      </c>
    </row>
    <row r="690" spans="2:5">
      <c r="B690" s="94"/>
      <c r="C690" s="20" t="s">
        <v>237</v>
      </c>
      <c r="D690" s="76">
        <v>1</v>
      </c>
      <c r="E690" s="18">
        <v>4.1131951299999999E-5</v>
      </c>
    </row>
    <row r="691" spans="2:5">
      <c r="B691" s="94"/>
      <c r="C691" s="20" t="s">
        <v>238</v>
      </c>
      <c r="D691" s="76">
        <v>1</v>
      </c>
      <c r="E691" s="18">
        <v>4.1131951299999999E-5</v>
      </c>
    </row>
    <row r="692" spans="2:5">
      <c r="B692" s="94"/>
      <c r="C692" s="20" t="s">
        <v>239</v>
      </c>
      <c r="D692" s="76">
        <v>12</v>
      </c>
      <c r="E692" s="18">
        <v>4.9358341559699998E-4</v>
      </c>
    </row>
    <row r="693" spans="2:5">
      <c r="B693" s="94"/>
      <c r="C693" s="20" t="s">
        <v>240</v>
      </c>
      <c r="D693" s="76">
        <v>1</v>
      </c>
      <c r="E693" s="18">
        <v>4.1131951299999999E-5</v>
      </c>
    </row>
    <row r="694" spans="2:5">
      <c r="B694" s="94"/>
      <c r="C694" s="20" t="s">
        <v>241</v>
      </c>
      <c r="D694" s="76">
        <v>2</v>
      </c>
      <c r="E694" s="18">
        <v>8.2263902599999999E-5</v>
      </c>
    </row>
    <row r="695" spans="2:5">
      <c r="B695" s="94"/>
      <c r="C695" s="20" t="s">
        <v>242</v>
      </c>
      <c r="D695" s="76">
        <v>2</v>
      </c>
      <c r="E695" s="18">
        <v>8.2263902599999999E-5</v>
      </c>
    </row>
    <row r="696" spans="2:5">
      <c r="B696" s="95"/>
      <c r="C696" s="77" t="s">
        <v>29</v>
      </c>
      <c r="D696" s="78">
        <v>43</v>
      </c>
      <c r="E696" s="79">
        <v>1.7686739058900001E-3</v>
      </c>
    </row>
    <row r="697" spans="2:5">
      <c r="B697" s="93" t="s">
        <v>63</v>
      </c>
      <c r="C697" s="20" t="s">
        <v>220</v>
      </c>
      <c r="D697" s="76">
        <v>2</v>
      </c>
      <c r="E697" s="18">
        <v>8.2263902599999999E-5</v>
      </c>
    </row>
    <row r="698" spans="2:5">
      <c r="B698" s="94"/>
      <c r="C698" s="20" t="s">
        <v>221</v>
      </c>
      <c r="D698" s="76">
        <v>1</v>
      </c>
      <c r="E698" s="18">
        <v>4.1131951299999999E-5</v>
      </c>
    </row>
    <row r="699" spans="2:5">
      <c r="B699" s="94"/>
      <c r="C699" s="20" t="s">
        <v>246</v>
      </c>
      <c r="D699" s="76">
        <v>2</v>
      </c>
      <c r="E699" s="18">
        <v>8.2263902599999999E-5</v>
      </c>
    </row>
    <row r="700" spans="2:5">
      <c r="B700" s="94"/>
      <c r="C700" s="20" t="s">
        <v>223</v>
      </c>
      <c r="D700" s="76">
        <v>2</v>
      </c>
      <c r="E700" s="18">
        <v>8.2263902599999999E-5</v>
      </c>
    </row>
    <row r="701" spans="2:5">
      <c r="B701" s="94"/>
      <c r="C701" s="20" t="s">
        <v>247</v>
      </c>
      <c r="D701" s="76">
        <v>3</v>
      </c>
      <c r="E701" s="18">
        <v>1.23395853899E-4</v>
      </c>
    </row>
    <row r="702" spans="2:5">
      <c r="B702" s="94"/>
      <c r="C702" s="20" t="s">
        <v>224</v>
      </c>
      <c r="D702" s="76">
        <v>19</v>
      </c>
      <c r="E702" s="18">
        <v>7.8150707469600001E-4</v>
      </c>
    </row>
    <row r="703" spans="2:5">
      <c r="B703" s="94"/>
      <c r="C703" s="20" t="s">
        <v>226</v>
      </c>
      <c r="D703" s="76">
        <v>17</v>
      </c>
      <c r="E703" s="18">
        <v>6.9924317209599999E-4</v>
      </c>
    </row>
    <row r="704" spans="2:5">
      <c r="B704" s="94"/>
      <c r="C704" s="20" t="s">
        <v>227</v>
      </c>
      <c r="D704" s="76">
        <v>3</v>
      </c>
      <c r="E704" s="18">
        <v>1.23395853899E-4</v>
      </c>
    </row>
    <row r="705" spans="2:5">
      <c r="B705" s="94"/>
      <c r="C705" s="20" t="s">
        <v>244</v>
      </c>
      <c r="D705" s="76">
        <v>1</v>
      </c>
      <c r="E705" s="18">
        <v>4.1131951299999999E-5</v>
      </c>
    </row>
    <row r="706" spans="2:5">
      <c r="B706" s="94"/>
      <c r="C706" s="20" t="s">
        <v>248</v>
      </c>
      <c r="D706" s="76">
        <v>1</v>
      </c>
      <c r="E706" s="18">
        <v>4.1131951299999999E-5</v>
      </c>
    </row>
    <row r="707" spans="2:5">
      <c r="B707" s="94"/>
      <c r="C707" s="20" t="s">
        <v>249</v>
      </c>
      <c r="D707" s="76">
        <v>1</v>
      </c>
      <c r="E707" s="18">
        <v>4.1131951299999999E-5</v>
      </c>
    </row>
    <row r="708" spans="2:5">
      <c r="B708" s="94"/>
      <c r="C708" s="20" t="s">
        <v>228</v>
      </c>
      <c r="D708" s="76">
        <v>1</v>
      </c>
      <c r="E708" s="18">
        <v>4.1131951299999999E-5</v>
      </c>
    </row>
    <row r="709" spans="2:5">
      <c r="B709" s="94"/>
      <c r="C709" s="20" t="s">
        <v>250</v>
      </c>
      <c r="D709" s="76">
        <v>2</v>
      </c>
      <c r="E709" s="18">
        <v>8.2263902599999999E-5</v>
      </c>
    </row>
    <row r="710" spans="2:5">
      <c r="B710" s="94"/>
      <c r="C710" s="20" t="s">
        <v>230</v>
      </c>
      <c r="D710" s="76">
        <v>45</v>
      </c>
      <c r="E710" s="18">
        <v>1.85093780849E-3</v>
      </c>
    </row>
    <row r="711" spans="2:5">
      <c r="B711" s="94"/>
      <c r="C711" s="20" t="s">
        <v>252</v>
      </c>
      <c r="D711" s="76">
        <v>1</v>
      </c>
      <c r="E711" s="18">
        <v>4.1131951299999999E-5</v>
      </c>
    </row>
    <row r="712" spans="2:5" ht="40.5">
      <c r="B712" s="94"/>
      <c r="C712" s="20" t="s">
        <v>254</v>
      </c>
      <c r="D712" s="76">
        <v>3</v>
      </c>
      <c r="E712" s="18">
        <v>1.23395853899E-4</v>
      </c>
    </row>
    <row r="713" spans="2:5">
      <c r="B713" s="94"/>
      <c r="C713" s="20" t="s">
        <v>232</v>
      </c>
      <c r="D713" s="76">
        <v>24</v>
      </c>
      <c r="E713" s="18">
        <v>9.8716683119399995E-4</v>
      </c>
    </row>
    <row r="714" spans="2:5">
      <c r="B714" s="94"/>
      <c r="C714" s="20" t="s">
        <v>234</v>
      </c>
      <c r="D714" s="76">
        <v>9</v>
      </c>
      <c r="E714" s="18">
        <v>3.7018756169799997E-4</v>
      </c>
    </row>
    <row r="715" spans="2:5">
      <c r="B715" s="94"/>
      <c r="C715" s="20" t="s">
        <v>235</v>
      </c>
      <c r="D715" s="76">
        <v>31</v>
      </c>
      <c r="E715" s="18">
        <v>1.275090490293E-3</v>
      </c>
    </row>
    <row r="716" spans="2:5">
      <c r="B716" s="94"/>
      <c r="C716" s="20" t="s">
        <v>236</v>
      </c>
      <c r="D716" s="76">
        <v>7</v>
      </c>
      <c r="E716" s="18">
        <v>2.8792365909800001E-4</v>
      </c>
    </row>
    <row r="717" spans="2:5">
      <c r="B717" s="94"/>
      <c r="C717" s="20" t="s">
        <v>237</v>
      </c>
      <c r="D717" s="76">
        <v>1</v>
      </c>
      <c r="E717" s="18">
        <v>4.1131951299999999E-5</v>
      </c>
    </row>
    <row r="718" spans="2:5">
      <c r="B718" s="94"/>
      <c r="C718" s="20" t="s">
        <v>238</v>
      </c>
      <c r="D718" s="76">
        <v>3</v>
      </c>
      <c r="E718" s="18">
        <v>1.23395853899E-4</v>
      </c>
    </row>
    <row r="719" spans="2:5">
      <c r="B719" s="94"/>
      <c r="C719" s="20" t="s">
        <v>239</v>
      </c>
      <c r="D719" s="76">
        <v>20</v>
      </c>
      <c r="E719" s="18">
        <v>8.22639025995E-4</v>
      </c>
    </row>
    <row r="720" spans="2:5">
      <c r="B720" s="94"/>
      <c r="C720" s="20" t="s">
        <v>240</v>
      </c>
      <c r="D720" s="76">
        <v>11</v>
      </c>
      <c r="E720" s="18">
        <v>4.5245146429700003E-4</v>
      </c>
    </row>
    <row r="721" spans="2:5">
      <c r="B721" s="94"/>
      <c r="C721" s="20" t="s">
        <v>241</v>
      </c>
      <c r="D721" s="76">
        <v>2</v>
      </c>
      <c r="E721" s="18">
        <v>8.2263902599999999E-5</v>
      </c>
    </row>
    <row r="722" spans="2:5">
      <c r="B722" s="94"/>
      <c r="C722" s="20" t="s">
        <v>242</v>
      </c>
      <c r="D722" s="76">
        <v>15</v>
      </c>
      <c r="E722" s="18">
        <v>6.1697926949700005E-4</v>
      </c>
    </row>
    <row r="723" spans="2:5">
      <c r="B723" s="95"/>
      <c r="C723" s="77" t="s">
        <v>29</v>
      </c>
      <c r="D723" s="78">
        <v>227</v>
      </c>
      <c r="E723" s="79">
        <v>9.3369529450480007E-3</v>
      </c>
    </row>
    <row r="724" spans="2:5">
      <c r="B724" s="93" t="s">
        <v>71</v>
      </c>
      <c r="C724" s="20" t="s">
        <v>219</v>
      </c>
      <c r="D724" s="76">
        <v>1</v>
      </c>
      <c r="E724" s="18">
        <v>4.1131951299999999E-5</v>
      </c>
    </row>
    <row r="725" spans="2:5">
      <c r="B725" s="94"/>
      <c r="C725" s="20" t="s">
        <v>220</v>
      </c>
      <c r="D725" s="76">
        <v>1</v>
      </c>
      <c r="E725" s="18">
        <v>4.1131951299999999E-5</v>
      </c>
    </row>
    <row r="726" spans="2:5">
      <c r="B726" s="94"/>
      <c r="C726" s="20" t="s">
        <v>221</v>
      </c>
      <c r="D726" s="76">
        <v>1</v>
      </c>
      <c r="E726" s="18">
        <v>4.1131951299999999E-5</v>
      </c>
    </row>
    <row r="727" spans="2:5">
      <c r="B727" s="94"/>
      <c r="C727" s="20" t="s">
        <v>247</v>
      </c>
      <c r="D727" s="76">
        <v>1</v>
      </c>
      <c r="E727" s="18">
        <v>4.1131951299999999E-5</v>
      </c>
    </row>
    <row r="728" spans="2:5">
      <c r="B728" s="94"/>
      <c r="C728" s="20" t="s">
        <v>224</v>
      </c>
      <c r="D728" s="76">
        <v>4</v>
      </c>
      <c r="E728" s="18">
        <v>1.6452780519900001E-4</v>
      </c>
    </row>
    <row r="729" spans="2:5">
      <c r="B729" s="94"/>
      <c r="C729" s="20" t="s">
        <v>226</v>
      </c>
      <c r="D729" s="76">
        <v>5</v>
      </c>
      <c r="E729" s="18">
        <v>2.0565975649899999E-4</v>
      </c>
    </row>
    <row r="730" spans="2:5">
      <c r="B730" s="94"/>
      <c r="C730" s="20" t="s">
        <v>227</v>
      </c>
      <c r="D730" s="76">
        <v>3</v>
      </c>
      <c r="E730" s="18">
        <v>1.23395853899E-4</v>
      </c>
    </row>
    <row r="731" spans="2:5">
      <c r="B731" s="94"/>
      <c r="C731" s="20" t="s">
        <v>256</v>
      </c>
      <c r="D731" s="76">
        <v>1</v>
      </c>
      <c r="E731" s="18">
        <v>4.1131951299999999E-5</v>
      </c>
    </row>
    <row r="732" spans="2:5">
      <c r="B732" s="94"/>
      <c r="C732" s="20" t="s">
        <v>229</v>
      </c>
      <c r="D732" s="76">
        <v>1</v>
      </c>
      <c r="E732" s="18">
        <v>4.1131951299999999E-5</v>
      </c>
    </row>
    <row r="733" spans="2:5">
      <c r="B733" s="94"/>
      <c r="C733" s="20" t="s">
        <v>230</v>
      </c>
      <c r="D733" s="76">
        <v>13</v>
      </c>
      <c r="E733" s="18">
        <v>5.3471536689700004E-4</v>
      </c>
    </row>
    <row r="734" spans="2:5">
      <c r="B734" s="94"/>
      <c r="C734" s="20" t="s">
        <v>252</v>
      </c>
      <c r="D734" s="76">
        <v>1</v>
      </c>
      <c r="E734" s="18">
        <v>4.1131951299999999E-5</v>
      </c>
    </row>
    <row r="735" spans="2:5">
      <c r="B735" s="94"/>
      <c r="C735" s="20" t="s">
        <v>232</v>
      </c>
      <c r="D735" s="76">
        <v>2</v>
      </c>
      <c r="E735" s="18">
        <v>8.2263902599999999E-5</v>
      </c>
    </row>
    <row r="736" spans="2:5">
      <c r="B736" s="94"/>
      <c r="C736" s="20" t="s">
        <v>234</v>
      </c>
      <c r="D736" s="76">
        <v>2</v>
      </c>
      <c r="E736" s="18">
        <v>8.2263902599999999E-5</v>
      </c>
    </row>
    <row r="737" spans="2:5">
      <c r="B737" s="94"/>
      <c r="C737" s="20" t="s">
        <v>235</v>
      </c>
      <c r="D737" s="76">
        <v>5</v>
      </c>
      <c r="E737" s="18">
        <v>2.0565975649899999E-4</v>
      </c>
    </row>
    <row r="738" spans="2:5">
      <c r="B738" s="94"/>
      <c r="C738" s="20" t="s">
        <v>236</v>
      </c>
      <c r="D738" s="76">
        <v>6</v>
      </c>
      <c r="E738" s="18">
        <v>2.4679170779900002E-4</v>
      </c>
    </row>
    <row r="739" spans="2:5">
      <c r="B739" s="94"/>
      <c r="C739" s="20" t="s">
        <v>237</v>
      </c>
      <c r="D739" s="76">
        <v>1</v>
      </c>
      <c r="E739" s="18">
        <v>4.1131951299999999E-5</v>
      </c>
    </row>
    <row r="740" spans="2:5">
      <c r="B740" s="94"/>
      <c r="C740" s="20" t="s">
        <v>238</v>
      </c>
      <c r="D740" s="76">
        <v>1</v>
      </c>
      <c r="E740" s="18">
        <v>4.1131951299999999E-5</v>
      </c>
    </row>
    <row r="741" spans="2:5">
      <c r="B741" s="94"/>
      <c r="C741" s="20" t="s">
        <v>239</v>
      </c>
      <c r="D741" s="76">
        <v>6</v>
      </c>
      <c r="E741" s="18">
        <v>2.4679170779900002E-4</v>
      </c>
    </row>
    <row r="742" spans="2:5">
      <c r="B742" s="94"/>
      <c r="C742" s="20" t="s">
        <v>240</v>
      </c>
      <c r="D742" s="76">
        <v>2</v>
      </c>
      <c r="E742" s="18">
        <v>8.2263902599999999E-5</v>
      </c>
    </row>
    <row r="743" spans="2:5">
      <c r="B743" s="94"/>
      <c r="C743" s="20" t="s">
        <v>241</v>
      </c>
      <c r="D743" s="76">
        <v>3</v>
      </c>
      <c r="E743" s="18">
        <v>1.23395853899E-4</v>
      </c>
    </row>
    <row r="744" spans="2:5">
      <c r="B744" s="94"/>
      <c r="C744" s="20" t="s">
        <v>242</v>
      </c>
      <c r="D744" s="76">
        <v>5</v>
      </c>
      <c r="E744" s="18">
        <v>2.0565975649899999E-4</v>
      </c>
    </row>
    <row r="745" spans="2:5">
      <c r="B745" s="94"/>
      <c r="C745" s="20" t="s">
        <v>243</v>
      </c>
      <c r="D745" s="76">
        <v>1</v>
      </c>
      <c r="E745" s="18">
        <v>4.1131951299999999E-5</v>
      </c>
    </row>
    <row r="746" spans="2:5">
      <c r="B746" s="95"/>
      <c r="C746" s="77" t="s">
        <v>29</v>
      </c>
      <c r="D746" s="78">
        <v>66</v>
      </c>
      <c r="E746" s="79">
        <v>2.7147087857850001E-3</v>
      </c>
    </row>
    <row r="747" spans="2:5">
      <c r="B747" s="93" t="s">
        <v>62</v>
      </c>
      <c r="C747" s="20" t="s">
        <v>219</v>
      </c>
      <c r="D747" s="76">
        <v>1</v>
      </c>
      <c r="E747" s="18">
        <v>4.1131951299999999E-5</v>
      </c>
    </row>
    <row r="748" spans="2:5">
      <c r="B748" s="94"/>
      <c r="C748" s="20" t="s">
        <v>220</v>
      </c>
      <c r="D748" s="76">
        <v>8</v>
      </c>
      <c r="E748" s="18">
        <v>3.2905561039800002E-4</v>
      </c>
    </row>
    <row r="749" spans="2:5">
      <c r="B749" s="94"/>
      <c r="C749" s="20" t="s">
        <v>221</v>
      </c>
      <c r="D749" s="76">
        <v>3</v>
      </c>
      <c r="E749" s="18">
        <v>1.23395853899E-4</v>
      </c>
    </row>
    <row r="750" spans="2:5">
      <c r="B750" s="94"/>
      <c r="C750" s="20" t="s">
        <v>246</v>
      </c>
      <c r="D750" s="76">
        <v>1</v>
      </c>
      <c r="E750" s="18">
        <v>4.1131951299999999E-5</v>
      </c>
    </row>
    <row r="751" spans="2:5">
      <c r="B751" s="94"/>
      <c r="C751" s="20" t="s">
        <v>222</v>
      </c>
      <c r="D751" s="76">
        <v>1</v>
      </c>
      <c r="E751" s="18">
        <v>4.1131951299999999E-5</v>
      </c>
    </row>
    <row r="752" spans="2:5">
      <c r="B752" s="94"/>
      <c r="C752" s="20" t="s">
        <v>223</v>
      </c>
      <c r="D752" s="76">
        <v>3</v>
      </c>
      <c r="E752" s="18">
        <v>1.23395853899E-4</v>
      </c>
    </row>
    <row r="753" spans="2:5">
      <c r="B753" s="94"/>
      <c r="C753" s="20" t="s">
        <v>260</v>
      </c>
      <c r="D753" s="76">
        <v>1</v>
      </c>
      <c r="E753" s="18">
        <v>4.1131951299999999E-5</v>
      </c>
    </row>
    <row r="754" spans="2:5">
      <c r="B754" s="94"/>
      <c r="C754" s="20" t="s">
        <v>224</v>
      </c>
      <c r="D754" s="76">
        <v>17</v>
      </c>
      <c r="E754" s="18">
        <v>6.9924317209599999E-4</v>
      </c>
    </row>
    <row r="755" spans="2:5">
      <c r="B755" s="94"/>
      <c r="C755" s="20" t="s">
        <v>226</v>
      </c>
      <c r="D755" s="76">
        <v>32</v>
      </c>
      <c r="E755" s="18">
        <v>1.3162224415929999E-3</v>
      </c>
    </row>
    <row r="756" spans="2:5">
      <c r="B756" s="94"/>
      <c r="C756" s="20" t="s">
        <v>227</v>
      </c>
      <c r="D756" s="76">
        <v>8</v>
      </c>
      <c r="E756" s="18">
        <v>3.2905561039800002E-4</v>
      </c>
    </row>
    <row r="757" spans="2:5">
      <c r="B757" s="94"/>
      <c r="C757" s="20" t="s">
        <v>244</v>
      </c>
      <c r="D757" s="76">
        <v>1</v>
      </c>
      <c r="E757" s="18">
        <v>4.1131951299999999E-5</v>
      </c>
    </row>
    <row r="758" spans="2:5">
      <c r="B758" s="94"/>
      <c r="C758" s="20" t="s">
        <v>256</v>
      </c>
      <c r="D758" s="76">
        <v>2</v>
      </c>
      <c r="E758" s="18">
        <v>8.2263902599999999E-5</v>
      </c>
    </row>
    <row r="759" spans="2:5">
      <c r="B759" s="94"/>
      <c r="C759" s="20" t="s">
        <v>228</v>
      </c>
      <c r="D759" s="76">
        <v>4</v>
      </c>
      <c r="E759" s="18">
        <v>1.6452780519900001E-4</v>
      </c>
    </row>
    <row r="760" spans="2:5">
      <c r="B760" s="94"/>
      <c r="C760" s="20" t="s">
        <v>229</v>
      </c>
      <c r="D760" s="76">
        <v>2</v>
      </c>
      <c r="E760" s="18">
        <v>8.2263902599999999E-5</v>
      </c>
    </row>
    <row r="761" spans="2:5">
      <c r="B761" s="94"/>
      <c r="C761" s="20" t="s">
        <v>230</v>
      </c>
      <c r="D761" s="76">
        <v>85</v>
      </c>
      <c r="E761" s="18">
        <v>3.4962158604800002E-3</v>
      </c>
    </row>
    <row r="762" spans="2:5">
      <c r="B762" s="94"/>
      <c r="C762" s="20" t="s">
        <v>231</v>
      </c>
      <c r="D762" s="76">
        <v>1</v>
      </c>
      <c r="E762" s="18">
        <v>4.1131951299999999E-5</v>
      </c>
    </row>
    <row r="763" spans="2:5" ht="40.5">
      <c r="B763" s="94"/>
      <c r="C763" s="20" t="s">
        <v>254</v>
      </c>
      <c r="D763" s="76">
        <v>2</v>
      </c>
      <c r="E763" s="18">
        <v>8.2263902599999999E-5</v>
      </c>
    </row>
    <row r="764" spans="2:5">
      <c r="B764" s="94"/>
      <c r="C764" s="20" t="s">
        <v>232</v>
      </c>
      <c r="D764" s="76">
        <v>11</v>
      </c>
      <c r="E764" s="18">
        <v>4.5245146429700003E-4</v>
      </c>
    </row>
    <row r="765" spans="2:5">
      <c r="B765" s="94"/>
      <c r="C765" s="20" t="s">
        <v>234</v>
      </c>
      <c r="D765" s="76">
        <v>4</v>
      </c>
      <c r="E765" s="18">
        <v>1.6452780519900001E-4</v>
      </c>
    </row>
    <row r="766" spans="2:5">
      <c r="B766" s="94"/>
      <c r="C766" s="20" t="s">
        <v>261</v>
      </c>
      <c r="D766" s="76">
        <v>3</v>
      </c>
      <c r="E766" s="18">
        <v>1.23395853899E-4</v>
      </c>
    </row>
    <row r="767" spans="2:5">
      <c r="B767" s="94"/>
      <c r="C767" s="20" t="s">
        <v>235</v>
      </c>
      <c r="D767" s="76">
        <v>24</v>
      </c>
      <c r="E767" s="18">
        <v>9.8716683119399995E-4</v>
      </c>
    </row>
    <row r="768" spans="2:5">
      <c r="B768" s="94"/>
      <c r="C768" s="20" t="s">
        <v>236</v>
      </c>
      <c r="D768" s="76">
        <v>9</v>
      </c>
      <c r="E768" s="18">
        <v>3.7018756169799997E-4</v>
      </c>
    </row>
    <row r="769" spans="2:5">
      <c r="B769" s="94"/>
      <c r="C769" s="20" t="s">
        <v>259</v>
      </c>
      <c r="D769" s="76">
        <v>4</v>
      </c>
      <c r="E769" s="18">
        <v>1.6452780519900001E-4</v>
      </c>
    </row>
    <row r="770" spans="2:5">
      <c r="B770" s="94"/>
      <c r="C770" s="20" t="s">
        <v>237</v>
      </c>
      <c r="D770" s="76">
        <v>7</v>
      </c>
      <c r="E770" s="18">
        <v>2.8792365909800001E-4</v>
      </c>
    </row>
    <row r="771" spans="2:5">
      <c r="B771" s="94"/>
      <c r="C771" s="20" t="s">
        <v>238</v>
      </c>
      <c r="D771" s="76">
        <v>7</v>
      </c>
      <c r="E771" s="18">
        <v>2.8792365909800001E-4</v>
      </c>
    </row>
    <row r="772" spans="2:5">
      <c r="B772" s="94"/>
      <c r="C772" s="20" t="s">
        <v>239</v>
      </c>
      <c r="D772" s="76">
        <v>22</v>
      </c>
      <c r="E772" s="18">
        <v>9.0490292859500001E-4</v>
      </c>
    </row>
    <row r="773" spans="2:5">
      <c r="B773" s="94"/>
      <c r="C773" s="20" t="s">
        <v>240</v>
      </c>
      <c r="D773" s="76">
        <v>16</v>
      </c>
      <c r="E773" s="18">
        <v>6.5811122079600004E-4</v>
      </c>
    </row>
    <row r="774" spans="2:5">
      <c r="B774" s="94"/>
      <c r="C774" s="20" t="s">
        <v>241</v>
      </c>
      <c r="D774" s="76">
        <v>16</v>
      </c>
      <c r="E774" s="18">
        <v>6.5811122079600004E-4</v>
      </c>
    </row>
    <row r="775" spans="2:5">
      <c r="B775" s="94"/>
      <c r="C775" s="20" t="s">
        <v>242</v>
      </c>
      <c r="D775" s="76">
        <v>11</v>
      </c>
      <c r="E775" s="18">
        <v>4.5245146429700003E-4</v>
      </c>
    </row>
    <row r="776" spans="2:5">
      <c r="B776" s="94"/>
      <c r="C776" s="20" t="s">
        <v>243</v>
      </c>
      <c r="D776" s="76">
        <v>5</v>
      </c>
      <c r="E776" s="18">
        <v>2.0565975649899999E-4</v>
      </c>
    </row>
    <row r="777" spans="2:5">
      <c r="B777" s="95"/>
      <c r="C777" s="77" t="s">
        <v>29</v>
      </c>
      <c r="D777" s="78">
        <v>311</v>
      </c>
      <c r="E777" s="79">
        <v>1.2792036854228001E-2</v>
      </c>
    </row>
    <row r="778" spans="2:5">
      <c r="B778" s="93" t="s">
        <v>91</v>
      </c>
      <c r="C778" s="20" t="s">
        <v>223</v>
      </c>
      <c r="D778" s="76">
        <v>1</v>
      </c>
      <c r="E778" s="18">
        <v>4.1131951299999999E-5</v>
      </c>
    </row>
    <row r="779" spans="2:5">
      <c r="B779" s="94"/>
      <c r="C779" s="20" t="s">
        <v>247</v>
      </c>
      <c r="D779" s="76">
        <v>1</v>
      </c>
      <c r="E779" s="18">
        <v>4.1131951299999999E-5</v>
      </c>
    </row>
    <row r="780" spans="2:5">
      <c r="B780" s="94"/>
      <c r="C780" s="20" t="s">
        <v>224</v>
      </c>
      <c r="D780" s="76">
        <v>1</v>
      </c>
      <c r="E780" s="18">
        <v>4.1131951299999999E-5</v>
      </c>
    </row>
    <row r="781" spans="2:5">
      <c r="B781" s="94"/>
      <c r="C781" s="20" t="s">
        <v>226</v>
      </c>
      <c r="D781" s="76">
        <v>2</v>
      </c>
      <c r="E781" s="18">
        <v>8.2263902599999999E-5</v>
      </c>
    </row>
    <row r="782" spans="2:5">
      <c r="B782" s="94"/>
      <c r="C782" s="20" t="s">
        <v>229</v>
      </c>
      <c r="D782" s="76">
        <v>1</v>
      </c>
      <c r="E782" s="18">
        <v>4.1131951299999999E-5</v>
      </c>
    </row>
    <row r="783" spans="2:5">
      <c r="B783" s="94"/>
      <c r="C783" s="20" t="s">
        <v>232</v>
      </c>
      <c r="D783" s="76">
        <v>1</v>
      </c>
      <c r="E783" s="18">
        <v>4.1131951299999999E-5</v>
      </c>
    </row>
    <row r="784" spans="2:5">
      <c r="B784" s="94"/>
      <c r="C784" s="20" t="s">
        <v>234</v>
      </c>
      <c r="D784" s="76">
        <v>1</v>
      </c>
      <c r="E784" s="18">
        <v>4.1131951299999999E-5</v>
      </c>
    </row>
    <row r="785" spans="2:5">
      <c r="B785" s="94"/>
      <c r="C785" s="20" t="s">
        <v>237</v>
      </c>
      <c r="D785" s="76">
        <v>1</v>
      </c>
      <c r="E785" s="18">
        <v>4.1131951299999999E-5</v>
      </c>
    </row>
    <row r="786" spans="2:5">
      <c r="B786" s="94"/>
      <c r="C786" s="20" t="s">
        <v>239</v>
      </c>
      <c r="D786" s="76">
        <v>1</v>
      </c>
      <c r="E786" s="18">
        <v>4.1131951299999999E-5</v>
      </c>
    </row>
    <row r="787" spans="2:5">
      <c r="B787" s="94"/>
      <c r="C787" s="20" t="s">
        <v>240</v>
      </c>
      <c r="D787" s="76">
        <v>1</v>
      </c>
      <c r="E787" s="18">
        <v>4.1131951299999999E-5</v>
      </c>
    </row>
    <row r="788" spans="2:5">
      <c r="B788" s="94"/>
      <c r="C788" s="20" t="s">
        <v>242</v>
      </c>
      <c r="D788" s="76">
        <v>1</v>
      </c>
      <c r="E788" s="18">
        <v>4.1131951299999999E-5</v>
      </c>
    </row>
    <row r="789" spans="2:5">
      <c r="B789" s="95"/>
      <c r="C789" s="77" t="s">
        <v>29</v>
      </c>
      <c r="D789" s="78">
        <v>12</v>
      </c>
      <c r="E789" s="79">
        <v>4.9358341559699998E-4</v>
      </c>
    </row>
    <row r="790" spans="2:5">
      <c r="B790" s="93" t="s">
        <v>79</v>
      </c>
      <c r="C790" s="20" t="s">
        <v>219</v>
      </c>
      <c r="D790" s="76">
        <v>1</v>
      </c>
      <c r="E790" s="18">
        <v>4.1131951299999999E-5</v>
      </c>
    </row>
    <row r="791" spans="2:5">
      <c r="B791" s="94"/>
      <c r="C791" s="20" t="s">
        <v>224</v>
      </c>
      <c r="D791" s="76">
        <v>1</v>
      </c>
      <c r="E791" s="18">
        <v>4.1131951299999999E-5</v>
      </c>
    </row>
    <row r="792" spans="2:5">
      <c r="B792" s="94"/>
      <c r="C792" s="20" t="s">
        <v>226</v>
      </c>
      <c r="D792" s="76">
        <v>2</v>
      </c>
      <c r="E792" s="18">
        <v>8.2263902599999999E-5</v>
      </c>
    </row>
    <row r="793" spans="2:5">
      <c r="B793" s="94"/>
      <c r="C793" s="20" t="s">
        <v>227</v>
      </c>
      <c r="D793" s="76">
        <v>3</v>
      </c>
      <c r="E793" s="18">
        <v>1.23395853899E-4</v>
      </c>
    </row>
    <row r="794" spans="2:5">
      <c r="B794" s="94"/>
      <c r="C794" s="20" t="s">
        <v>244</v>
      </c>
      <c r="D794" s="76">
        <v>1</v>
      </c>
      <c r="E794" s="18">
        <v>4.1131951299999999E-5</v>
      </c>
    </row>
    <row r="795" spans="2:5">
      <c r="B795" s="94"/>
      <c r="C795" s="20" t="s">
        <v>228</v>
      </c>
      <c r="D795" s="76">
        <v>1</v>
      </c>
      <c r="E795" s="18">
        <v>4.1131951299999999E-5</v>
      </c>
    </row>
    <row r="796" spans="2:5">
      <c r="B796" s="94"/>
      <c r="C796" s="20" t="s">
        <v>230</v>
      </c>
      <c r="D796" s="76">
        <v>2</v>
      </c>
      <c r="E796" s="18">
        <v>8.2263902599999999E-5</v>
      </c>
    </row>
    <row r="797" spans="2:5">
      <c r="B797" s="94"/>
      <c r="C797" s="20" t="s">
        <v>232</v>
      </c>
      <c r="D797" s="76">
        <v>2</v>
      </c>
      <c r="E797" s="18">
        <v>8.2263902599999999E-5</v>
      </c>
    </row>
    <row r="798" spans="2:5">
      <c r="B798" s="94"/>
      <c r="C798" s="20" t="s">
        <v>235</v>
      </c>
      <c r="D798" s="76">
        <v>4</v>
      </c>
      <c r="E798" s="18">
        <v>1.6452780519900001E-4</v>
      </c>
    </row>
    <row r="799" spans="2:5">
      <c r="B799" s="94"/>
      <c r="C799" s="20" t="s">
        <v>236</v>
      </c>
      <c r="D799" s="76">
        <v>3</v>
      </c>
      <c r="E799" s="18">
        <v>1.23395853899E-4</v>
      </c>
    </row>
    <row r="800" spans="2:5">
      <c r="B800" s="94"/>
      <c r="C800" s="20" t="s">
        <v>238</v>
      </c>
      <c r="D800" s="76">
        <v>1</v>
      </c>
      <c r="E800" s="18">
        <v>4.1131951299999999E-5</v>
      </c>
    </row>
    <row r="801" spans="2:5">
      <c r="B801" s="94"/>
      <c r="C801" s="20" t="s">
        <v>239</v>
      </c>
      <c r="D801" s="76">
        <v>9</v>
      </c>
      <c r="E801" s="18">
        <v>3.7018756169799997E-4</v>
      </c>
    </row>
    <row r="802" spans="2:5">
      <c r="B802" s="94"/>
      <c r="C802" s="20" t="s">
        <v>241</v>
      </c>
      <c r="D802" s="76">
        <v>1</v>
      </c>
      <c r="E802" s="18">
        <v>4.1131951299999999E-5</v>
      </c>
    </row>
    <row r="803" spans="2:5">
      <c r="B803" s="94"/>
      <c r="C803" s="20" t="s">
        <v>242</v>
      </c>
      <c r="D803" s="76">
        <v>4</v>
      </c>
      <c r="E803" s="18">
        <v>1.6452780519900001E-4</v>
      </c>
    </row>
    <row r="804" spans="2:5">
      <c r="B804" s="94"/>
      <c r="C804" s="20" t="s">
        <v>245</v>
      </c>
      <c r="D804" s="76">
        <v>1</v>
      </c>
      <c r="E804" s="18">
        <v>4.1131951299999999E-5</v>
      </c>
    </row>
    <row r="805" spans="2:5">
      <c r="B805" s="94"/>
      <c r="C805" s="20" t="s">
        <v>243</v>
      </c>
      <c r="D805" s="76">
        <v>1</v>
      </c>
      <c r="E805" s="18">
        <v>4.1131951299999999E-5</v>
      </c>
    </row>
    <row r="806" spans="2:5">
      <c r="B806" s="95"/>
      <c r="C806" s="77" t="s">
        <v>29</v>
      </c>
      <c r="D806" s="78">
        <v>37</v>
      </c>
      <c r="E806" s="79">
        <v>1.521882198091E-3</v>
      </c>
    </row>
    <row r="807" spans="2:5">
      <c r="B807" s="93" t="s">
        <v>93</v>
      </c>
      <c r="C807" s="20" t="s">
        <v>231</v>
      </c>
      <c r="D807" s="76">
        <v>1</v>
      </c>
      <c r="E807" s="18">
        <v>4.1131951299999999E-5</v>
      </c>
    </row>
    <row r="808" spans="2:5">
      <c r="B808" s="94"/>
      <c r="C808" s="20" t="s">
        <v>235</v>
      </c>
      <c r="D808" s="76">
        <v>3</v>
      </c>
      <c r="E808" s="18">
        <v>1.23395853899E-4</v>
      </c>
    </row>
    <row r="809" spans="2:5">
      <c r="B809" s="94"/>
      <c r="C809" s="20" t="s">
        <v>239</v>
      </c>
      <c r="D809" s="76">
        <v>3</v>
      </c>
      <c r="E809" s="18">
        <v>1.23395853899E-4</v>
      </c>
    </row>
    <row r="810" spans="2:5">
      <c r="B810" s="94"/>
      <c r="C810" s="20" t="s">
        <v>242</v>
      </c>
      <c r="D810" s="76">
        <v>1</v>
      </c>
      <c r="E810" s="18">
        <v>4.1131951299999999E-5</v>
      </c>
    </row>
    <row r="811" spans="2:5">
      <c r="B811" s="95"/>
      <c r="C811" s="77" t="s">
        <v>29</v>
      </c>
      <c r="D811" s="78">
        <v>8</v>
      </c>
      <c r="E811" s="79">
        <v>3.2905561039800002E-4</v>
      </c>
    </row>
    <row r="812" spans="2:5">
      <c r="B812" s="93" t="s">
        <v>83</v>
      </c>
      <c r="C812" s="20" t="s">
        <v>221</v>
      </c>
      <c r="D812" s="76">
        <v>1</v>
      </c>
      <c r="E812" s="18">
        <v>4.1131951299999999E-5</v>
      </c>
    </row>
    <row r="813" spans="2:5">
      <c r="B813" s="94"/>
      <c r="C813" s="20" t="s">
        <v>222</v>
      </c>
      <c r="D813" s="76">
        <v>2</v>
      </c>
      <c r="E813" s="18">
        <v>8.2263902599999999E-5</v>
      </c>
    </row>
    <row r="814" spans="2:5">
      <c r="B814" s="94"/>
      <c r="C814" s="20" t="s">
        <v>247</v>
      </c>
      <c r="D814" s="76">
        <v>2</v>
      </c>
      <c r="E814" s="18">
        <v>8.2263902599999999E-5</v>
      </c>
    </row>
    <row r="815" spans="2:5">
      <c r="B815" s="94"/>
      <c r="C815" s="20" t="s">
        <v>224</v>
      </c>
      <c r="D815" s="76">
        <v>4</v>
      </c>
      <c r="E815" s="18">
        <v>1.6452780519900001E-4</v>
      </c>
    </row>
    <row r="816" spans="2:5">
      <c r="B816" s="94"/>
      <c r="C816" s="20" t="s">
        <v>226</v>
      </c>
      <c r="D816" s="76">
        <v>2</v>
      </c>
      <c r="E816" s="18">
        <v>8.2263902599999999E-5</v>
      </c>
    </row>
    <row r="817" spans="2:5">
      <c r="B817" s="94"/>
      <c r="C817" s="20" t="s">
        <v>244</v>
      </c>
      <c r="D817" s="76">
        <v>1</v>
      </c>
      <c r="E817" s="18">
        <v>4.1131951299999999E-5</v>
      </c>
    </row>
    <row r="818" spans="2:5">
      <c r="B818" s="94"/>
      <c r="C818" s="20" t="s">
        <v>230</v>
      </c>
      <c r="D818" s="76">
        <v>1</v>
      </c>
      <c r="E818" s="18">
        <v>4.1131951299999999E-5</v>
      </c>
    </row>
    <row r="819" spans="2:5">
      <c r="B819" s="94"/>
      <c r="C819" s="20" t="s">
        <v>231</v>
      </c>
      <c r="D819" s="76">
        <v>2</v>
      </c>
      <c r="E819" s="18">
        <v>8.2263902599999999E-5</v>
      </c>
    </row>
    <row r="820" spans="2:5">
      <c r="B820" s="94"/>
      <c r="C820" s="20" t="s">
        <v>232</v>
      </c>
      <c r="D820" s="76">
        <v>2</v>
      </c>
      <c r="E820" s="18">
        <v>8.2263902599999999E-5</v>
      </c>
    </row>
    <row r="821" spans="2:5">
      <c r="B821" s="94"/>
      <c r="C821" s="20" t="s">
        <v>261</v>
      </c>
      <c r="D821" s="76">
        <v>1</v>
      </c>
      <c r="E821" s="18">
        <v>4.1131951299999999E-5</v>
      </c>
    </row>
    <row r="822" spans="2:5">
      <c r="B822" s="94"/>
      <c r="C822" s="20" t="s">
        <v>235</v>
      </c>
      <c r="D822" s="76">
        <v>4</v>
      </c>
      <c r="E822" s="18">
        <v>1.6452780519900001E-4</v>
      </c>
    </row>
    <row r="823" spans="2:5">
      <c r="B823" s="94"/>
      <c r="C823" s="20" t="s">
        <v>236</v>
      </c>
      <c r="D823" s="76">
        <v>1</v>
      </c>
      <c r="E823" s="18">
        <v>4.1131951299999999E-5</v>
      </c>
    </row>
    <row r="824" spans="2:5">
      <c r="B824" s="94"/>
      <c r="C824" s="20" t="s">
        <v>239</v>
      </c>
      <c r="D824" s="76">
        <v>2</v>
      </c>
      <c r="E824" s="18">
        <v>8.2263902599999999E-5</v>
      </c>
    </row>
    <row r="825" spans="2:5">
      <c r="B825" s="94"/>
      <c r="C825" s="20" t="s">
        <v>240</v>
      </c>
      <c r="D825" s="76">
        <v>1</v>
      </c>
      <c r="E825" s="18">
        <v>4.1131951299999999E-5</v>
      </c>
    </row>
    <row r="826" spans="2:5">
      <c r="B826" s="94"/>
      <c r="C826" s="20" t="s">
        <v>241</v>
      </c>
      <c r="D826" s="76">
        <v>1</v>
      </c>
      <c r="E826" s="18">
        <v>4.1131951299999999E-5</v>
      </c>
    </row>
    <row r="827" spans="2:5">
      <c r="B827" s="94"/>
      <c r="C827" s="20" t="s">
        <v>242</v>
      </c>
      <c r="D827" s="76">
        <v>1</v>
      </c>
      <c r="E827" s="18">
        <v>4.1131951299999999E-5</v>
      </c>
    </row>
    <row r="828" spans="2:5">
      <c r="B828" s="95"/>
      <c r="C828" s="77" t="s">
        <v>29</v>
      </c>
      <c r="D828" s="78">
        <v>28</v>
      </c>
      <c r="E828" s="79">
        <v>1.151694636394E-3</v>
      </c>
    </row>
    <row r="829" spans="2:5">
      <c r="B829" s="93" t="s">
        <v>58</v>
      </c>
      <c r="C829" s="20" t="s">
        <v>219</v>
      </c>
      <c r="D829" s="76">
        <v>1</v>
      </c>
      <c r="E829" s="18">
        <v>4.1131951299999999E-5</v>
      </c>
    </row>
    <row r="830" spans="2:5">
      <c r="B830" s="94"/>
      <c r="C830" s="20" t="s">
        <v>220</v>
      </c>
      <c r="D830" s="76">
        <v>10</v>
      </c>
      <c r="E830" s="18">
        <v>4.1131951299799998E-4</v>
      </c>
    </row>
    <row r="831" spans="2:5">
      <c r="B831" s="94"/>
      <c r="C831" s="20" t="s">
        <v>221</v>
      </c>
      <c r="D831" s="76">
        <v>17</v>
      </c>
      <c r="E831" s="18">
        <v>6.9924317209599999E-4</v>
      </c>
    </row>
    <row r="832" spans="2:5">
      <c r="B832" s="94"/>
      <c r="C832" s="20" t="s">
        <v>246</v>
      </c>
      <c r="D832" s="76">
        <v>7</v>
      </c>
      <c r="E832" s="18">
        <v>2.8792365909800001E-4</v>
      </c>
    </row>
    <row r="833" spans="2:5">
      <c r="B833" s="94"/>
      <c r="C833" s="20" t="s">
        <v>223</v>
      </c>
      <c r="D833" s="76">
        <v>5</v>
      </c>
      <c r="E833" s="18">
        <v>2.0565975649899999E-4</v>
      </c>
    </row>
    <row r="834" spans="2:5">
      <c r="B834" s="94"/>
      <c r="C834" s="20" t="s">
        <v>247</v>
      </c>
      <c r="D834" s="76">
        <v>1</v>
      </c>
      <c r="E834" s="18">
        <v>4.1131951299999999E-5</v>
      </c>
    </row>
    <row r="835" spans="2:5">
      <c r="B835" s="94"/>
      <c r="C835" s="20" t="s">
        <v>260</v>
      </c>
      <c r="D835" s="76">
        <v>1</v>
      </c>
      <c r="E835" s="18">
        <v>4.1131951299999999E-5</v>
      </c>
    </row>
    <row r="836" spans="2:5">
      <c r="B836" s="94"/>
      <c r="C836" s="20" t="s">
        <v>224</v>
      </c>
      <c r="D836" s="76">
        <v>41</v>
      </c>
      <c r="E836" s="18">
        <v>1.686410003291E-3</v>
      </c>
    </row>
    <row r="837" spans="2:5">
      <c r="B837" s="94"/>
      <c r="C837" s="20" t="s">
        <v>226</v>
      </c>
      <c r="D837" s="76">
        <v>107</v>
      </c>
      <c r="E837" s="18">
        <v>4.4011187890749997E-3</v>
      </c>
    </row>
    <row r="838" spans="2:5">
      <c r="B838" s="94"/>
      <c r="C838" s="20" t="s">
        <v>227</v>
      </c>
      <c r="D838" s="76">
        <v>41</v>
      </c>
      <c r="E838" s="18">
        <v>1.686410003291E-3</v>
      </c>
    </row>
    <row r="839" spans="2:5">
      <c r="B839" s="94"/>
      <c r="C839" s="20" t="s">
        <v>244</v>
      </c>
      <c r="D839" s="76">
        <v>4</v>
      </c>
      <c r="E839" s="18">
        <v>1.6452780519900001E-4</v>
      </c>
    </row>
    <row r="840" spans="2:5">
      <c r="B840" s="94"/>
      <c r="C840" s="20" t="s">
        <v>249</v>
      </c>
      <c r="D840" s="76">
        <v>5</v>
      </c>
      <c r="E840" s="18">
        <v>2.0565975649899999E-4</v>
      </c>
    </row>
    <row r="841" spans="2:5">
      <c r="B841" s="94"/>
      <c r="C841" s="20" t="s">
        <v>256</v>
      </c>
      <c r="D841" s="76">
        <v>1</v>
      </c>
      <c r="E841" s="18">
        <v>4.1131951299999999E-5</v>
      </c>
    </row>
    <row r="842" spans="2:5">
      <c r="B842" s="94"/>
      <c r="C842" s="20" t="s">
        <v>228</v>
      </c>
      <c r="D842" s="76">
        <v>1</v>
      </c>
      <c r="E842" s="18">
        <v>4.1131951299999999E-5</v>
      </c>
    </row>
    <row r="843" spans="2:5">
      <c r="B843" s="94"/>
      <c r="C843" s="20" t="s">
        <v>229</v>
      </c>
      <c r="D843" s="76">
        <v>11</v>
      </c>
      <c r="E843" s="18">
        <v>4.5245146429700003E-4</v>
      </c>
    </row>
    <row r="844" spans="2:5">
      <c r="B844" s="94"/>
      <c r="C844" s="20" t="s">
        <v>230</v>
      </c>
      <c r="D844" s="76">
        <v>74</v>
      </c>
      <c r="E844" s="18">
        <v>3.0437643961830001E-3</v>
      </c>
    </row>
    <row r="845" spans="2:5">
      <c r="B845" s="94"/>
      <c r="C845" s="20" t="s">
        <v>231</v>
      </c>
      <c r="D845" s="76">
        <v>1</v>
      </c>
      <c r="E845" s="18">
        <v>4.1131951299999999E-5</v>
      </c>
    </row>
    <row r="846" spans="2:5">
      <c r="B846" s="94"/>
      <c r="C846" s="20" t="s">
        <v>232</v>
      </c>
      <c r="D846" s="76">
        <v>17</v>
      </c>
      <c r="E846" s="18">
        <v>6.9924317209599999E-4</v>
      </c>
    </row>
    <row r="847" spans="2:5">
      <c r="B847" s="94"/>
      <c r="C847" s="20" t="s">
        <v>234</v>
      </c>
      <c r="D847" s="76">
        <v>14</v>
      </c>
      <c r="E847" s="18">
        <v>5.7584731819699999E-4</v>
      </c>
    </row>
    <row r="848" spans="2:5">
      <c r="B848" s="94"/>
      <c r="C848" s="20" t="s">
        <v>258</v>
      </c>
      <c r="D848" s="76">
        <v>1</v>
      </c>
      <c r="E848" s="18">
        <v>4.1131951299999999E-5</v>
      </c>
    </row>
    <row r="849" spans="2:5">
      <c r="B849" s="94"/>
      <c r="C849" s="20" t="s">
        <v>261</v>
      </c>
      <c r="D849" s="76">
        <v>1</v>
      </c>
      <c r="E849" s="18">
        <v>4.1131951299999999E-5</v>
      </c>
    </row>
    <row r="850" spans="2:5">
      <c r="B850" s="94"/>
      <c r="C850" s="20" t="s">
        <v>235</v>
      </c>
      <c r="D850" s="76">
        <v>37</v>
      </c>
      <c r="E850" s="18">
        <v>1.521882198091E-3</v>
      </c>
    </row>
    <row r="851" spans="2:5">
      <c r="B851" s="94"/>
      <c r="C851" s="20" t="s">
        <v>236</v>
      </c>
      <c r="D851" s="76">
        <v>15</v>
      </c>
      <c r="E851" s="18">
        <v>6.1697926949700005E-4</v>
      </c>
    </row>
    <row r="852" spans="2:5">
      <c r="B852" s="94"/>
      <c r="C852" s="20" t="s">
        <v>237</v>
      </c>
      <c r="D852" s="76">
        <v>14</v>
      </c>
      <c r="E852" s="18">
        <v>5.7584731819699999E-4</v>
      </c>
    </row>
    <row r="853" spans="2:5">
      <c r="B853" s="94"/>
      <c r="C853" s="20" t="s">
        <v>238</v>
      </c>
      <c r="D853" s="76">
        <v>7</v>
      </c>
      <c r="E853" s="18">
        <v>2.8792365909800001E-4</v>
      </c>
    </row>
    <row r="854" spans="2:5">
      <c r="B854" s="94"/>
      <c r="C854" s="20" t="s">
        <v>239</v>
      </c>
      <c r="D854" s="76">
        <v>69</v>
      </c>
      <c r="E854" s="18">
        <v>2.8381046396839999E-3</v>
      </c>
    </row>
    <row r="855" spans="2:5">
      <c r="B855" s="94"/>
      <c r="C855" s="20" t="s">
        <v>240</v>
      </c>
      <c r="D855" s="76">
        <v>40</v>
      </c>
      <c r="E855" s="18">
        <v>1.6452780519910001E-3</v>
      </c>
    </row>
    <row r="856" spans="2:5">
      <c r="B856" s="94"/>
      <c r="C856" s="20" t="s">
        <v>241</v>
      </c>
      <c r="D856" s="76">
        <v>5</v>
      </c>
      <c r="E856" s="18">
        <v>2.0565975649899999E-4</v>
      </c>
    </row>
    <row r="857" spans="2:5">
      <c r="B857" s="94"/>
      <c r="C857" s="20" t="s">
        <v>242</v>
      </c>
      <c r="D857" s="76">
        <v>23</v>
      </c>
      <c r="E857" s="18">
        <v>9.4603487989499996E-4</v>
      </c>
    </row>
    <row r="858" spans="2:5">
      <c r="B858" s="94"/>
      <c r="C858" s="20" t="s">
        <v>245</v>
      </c>
      <c r="D858" s="76">
        <v>3</v>
      </c>
      <c r="E858" s="18">
        <v>1.23395853899E-4</v>
      </c>
    </row>
    <row r="859" spans="2:5">
      <c r="B859" s="94"/>
      <c r="C859" s="20" t="s">
        <v>243</v>
      </c>
      <c r="D859" s="76">
        <v>9</v>
      </c>
      <c r="E859" s="18">
        <v>3.7018756169799997E-4</v>
      </c>
    </row>
    <row r="860" spans="2:5">
      <c r="B860" s="95"/>
      <c r="C860" s="77" t="s">
        <v>29</v>
      </c>
      <c r="D860" s="78">
        <v>583</v>
      </c>
      <c r="E860" s="79">
        <v>2.3979927607765999E-2</v>
      </c>
    </row>
    <row r="861" spans="2:5">
      <c r="B861" s="93" t="s">
        <v>85</v>
      </c>
      <c r="C861" s="20" t="s">
        <v>219</v>
      </c>
      <c r="D861" s="76">
        <v>1</v>
      </c>
      <c r="E861" s="18">
        <v>4.1131951299999999E-5</v>
      </c>
    </row>
    <row r="862" spans="2:5">
      <c r="B862" s="94"/>
      <c r="C862" s="20" t="s">
        <v>221</v>
      </c>
      <c r="D862" s="76">
        <v>2</v>
      </c>
      <c r="E862" s="18">
        <v>8.2263902599999999E-5</v>
      </c>
    </row>
    <row r="863" spans="2:5">
      <c r="B863" s="94"/>
      <c r="C863" s="20" t="s">
        <v>224</v>
      </c>
      <c r="D863" s="76">
        <v>2</v>
      </c>
      <c r="E863" s="18">
        <v>8.2263902599999999E-5</v>
      </c>
    </row>
    <row r="864" spans="2:5">
      <c r="B864" s="94"/>
      <c r="C864" s="20" t="s">
        <v>229</v>
      </c>
      <c r="D864" s="76">
        <v>1</v>
      </c>
      <c r="E864" s="18">
        <v>4.1131951299999999E-5</v>
      </c>
    </row>
    <row r="865" spans="2:5">
      <c r="B865" s="94"/>
      <c r="C865" s="20" t="s">
        <v>230</v>
      </c>
      <c r="D865" s="76">
        <v>4</v>
      </c>
      <c r="E865" s="18">
        <v>1.6452780519900001E-4</v>
      </c>
    </row>
    <row r="866" spans="2:5">
      <c r="B866" s="94"/>
      <c r="C866" s="20" t="s">
        <v>231</v>
      </c>
      <c r="D866" s="76">
        <v>1</v>
      </c>
      <c r="E866" s="18">
        <v>4.1131951299999999E-5</v>
      </c>
    </row>
    <row r="867" spans="2:5">
      <c r="B867" s="94"/>
      <c r="C867" s="20" t="s">
        <v>232</v>
      </c>
      <c r="D867" s="76">
        <v>1</v>
      </c>
      <c r="E867" s="18">
        <v>4.1131951299999999E-5</v>
      </c>
    </row>
    <row r="868" spans="2:5">
      <c r="B868" s="94"/>
      <c r="C868" s="20" t="s">
        <v>234</v>
      </c>
      <c r="D868" s="76">
        <v>1</v>
      </c>
      <c r="E868" s="18">
        <v>4.1131951299999999E-5</v>
      </c>
    </row>
    <row r="869" spans="2:5">
      <c r="B869" s="94"/>
      <c r="C869" s="20" t="s">
        <v>235</v>
      </c>
      <c r="D869" s="76">
        <v>2</v>
      </c>
      <c r="E869" s="18">
        <v>8.2263902599999999E-5</v>
      </c>
    </row>
    <row r="870" spans="2:5">
      <c r="B870" s="94"/>
      <c r="C870" s="20" t="s">
        <v>237</v>
      </c>
      <c r="D870" s="76">
        <v>1</v>
      </c>
      <c r="E870" s="18">
        <v>4.1131951299999999E-5</v>
      </c>
    </row>
    <row r="871" spans="2:5">
      <c r="B871" s="94"/>
      <c r="C871" s="20" t="s">
        <v>239</v>
      </c>
      <c r="D871" s="76">
        <v>5</v>
      </c>
      <c r="E871" s="18">
        <v>2.0565975649899999E-4</v>
      </c>
    </row>
    <row r="872" spans="2:5">
      <c r="B872" s="94"/>
      <c r="C872" s="20" t="s">
        <v>241</v>
      </c>
      <c r="D872" s="76">
        <v>1</v>
      </c>
      <c r="E872" s="18">
        <v>4.1131951299999999E-5</v>
      </c>
    </row>
    <row r="873" spans="2:5">
      <c r="B873" s="95"/>
      <c r="C873" s="77" t="s">
        <v>29</v>
      </c>
      <c r="D873" s="78">
        <v>22</v>
      </c>
      <c r="E873" s="79">
        <v>9.0490292859500001E-4</v>
      </c>
    </row>
    <row r="874" spans="2:5">
      <c r="B874" s="93" t="s">
        <v>67</v>
      </c>
      <c r="C874" s="20" t="s">
        <v>219</v>
      </c>
      <c r="D874" s="76">
        <v>1</v>
      </c>
      <c r="E874" s="18">
        <v>4.1131951299999999E-5</v>
      </c>
    </row>
    <row r="875" spans="2:5">
      <c r="B875" s="94"/>
      <c r="C875" s="20" t="s">
        <v>221</v>
      </c>
      <c r="D875" s="76">
        <v>2</v>
      </c>
      <c r="E875" s="18">
        <v>8.2263902599999999E-5</v>
      </c>
    </row>
    <row r="876" spans="2:5">
      <c r="B876" s="94"/>
      <c r="C876" s="20" t="s">
        <v>222</v>
      </c>
      <c r="D876" s="76">
        <v>1</v>
      </c>
      <c r="E876" s="18">
        <v>4.1131951299999999E-5</v>
      </c>
    </row>
    <row r="877" spans="2:5">
      <c r="B877" s="94"/>
      <c r="C877" s="20" t="s">
        <v>224</v>
      </c>
      <c r="D877" s="76">
        <v>6</v>
      </c>
      <c r="E877" s="18">
        <v>2.4679170779900002E-4</v>
      </c>
    </row>
    <row r="878" spans="2:5">
      <c r="B878" s="94"/>
      <c r="C878" s="20" t="s">
        <v>226</v>
      </c>
      <c r="D878" s="76">
        <v>11</v>
      </c>
      <c r="E878" s="18">
        <v>4.5245146429700003E-4</v>
      </c>
    </row>
    <row r="879" spans="2:5">
      <c r="B879" s="94"/>
      <c r="C879" s="20" t="s">
        <v>244</v>
      </c>
      <c r="D879" s="76">
        <v>1</v>
      </c>
      <c r="E879" s="18">
        <v>4.1131951299999999E-5</v>
      </c>
    </row>
    <row r="880" spans="2:5">
      <c r="B880" s="94"/>
      <c r="C880" s="20" t="s">
        <v>229</v>
      </c>
      <c r="D880" s="76">
        <v>2</v>
      </c>
      <c r="E880" s="18">
        <v>8.2263902599999999E-5</v>
      </c>
    </row>
    <row r="881" spans="2:5">
      <c r="B881" s="94"/>
      <c r="C881" s="20" t="s">
        <v>230</v>
      </c>
      <c r="D881" s="76">
        <v>35</v>
      </c>
      <c r="E881" s="18">
        <v>1.4396182954919999E-3</v>
      </c>
    </row>
    <row r="882" spans="2:5">
      <c r="B882" s="94"/>
      <c r="C882" s="20" t="s">
        <v>253</v>
      </c>
      <c r="D882" s="76">
        <v>2</v>
      </c>
      <c r="E882" s="18">
        <v>8.2263902599999999E-5</v>
      </c>
    </row>
    <row r="883" spans="2:5">
      <c r="B883" s="94"/>
      <c r="C883" s="20" t="s">
        <v>232</v>
      </c>
      <c r="D883" s="76">
        <v>15</v>
      </c>
      <c r="E883" s="18">
        <v>6.1697926949700005E-4</v>
      </c>
    </row>
    <row r="884" spans="2:5">
      <c r="B884" s="94"/>
      <c r="C884" s="20" t="s">
        <v>235</v>
      </c>
      <c r="D884" s="76">
        <v>32</v>
      </c>
      <c r="E884" s="18">
        <v>1.3162224415929999E-3</v>
      </c>
    </row>
    <row r="885" spans="2:5">
      <c r="B885" s="94"/>
      <c r="C885" s="20" t="s">
        <v>236</v>
      </c>
      <c r="D885" s="76">
        <v>3</v>
      </c>
      <c r="E885" s="18">
        <v>1.23395853899E-4</v>
      </c>
    </row>
    <row r="886" spans="2:5">
      <c r="B886" s="94"/>
      <c r="C886" s="20" t="s">
        <v>237</v>
      </c>
      <c r="D886" s="76">
        <v>15</v>
      </c>
      <c r="E886" s="18">
        <v>6.1697926949700005E-4</v>
      </c>
    </row>
    <row r="887" spans="2:5">
      <c r="B887" s="94"/>
      <c r="C887" s="20" t="s">
        <v>238</v>
      </c>
      <c r="D887" s="76">
        <v>4</v>
      </c>
      <c r="E887" s="18">
        <v>1.6452780519900001E-4</v>
      </c>
    </row>
    <row r="888" spans="2:5">
      <c r="B888" s="94"/>
      <c r="C888" s="20" t="s">
        <v>239</v>
      </c>
      <c r="D888" s="76">
        <v>12</v>
      </c>
      <c r="E888" s="18">
        <v>4.9358341559699998E-4</v>
      </c>
    </row>
    <row r="889" spans="2:5">
      <c r="B889" s="94"/>
      <c r="C889" s="20" t="s">
        <v>241</v>
      </c>
      <c r="D889" s="76">
        <v>8</v>
      </c>
      <c r="E889" s="18">
        <v>3.2905561039800002E-4</v>
      </c>
    </row>
    <row r="890" spans="2:5">
      <c r="B890" s="94"/>
      <c r="C890" s="20" t="s">
        <v>242</v>
      </c>
      <c r="D890" s="76">
        <v>6</v>
      </c>
      <c r="E890" s="18">
        <v>2.4679170779900002E-4</v>
      </c>
    </row>
    <row r="891" spans="2:5">
      <c r="B891" s="94"/>
      <c r="C891" s="20" t="s">
        <v>245</v>
      </c>
      <c r="D891" s="76">
        <v>1</v>
      </c>
      <c r="E891" s="18">
        <v>4.1131951299999999E-5</v>
      </c>
    </row>
    <row r="892" spans="2:5">
      <c r="B892" s="94"/>
      <c r="C892" s="20" t="s">
        <v>243</v>
      </c>
      <c r="D892" s="76">
        <v>1</v>
      </c>
      <c r="E892" s="18">
        <v>4.1131951299999999E-5</v>
      </c>
    </row>
    <row r="893" spans="2:5">
      <c r="B893" s="95"/>
      <c r="C893" s="77" t="s">
        <v>29</v>
      </c>
      <c r="D893" s="78">
        <v>158</v>
      </c>
      <c r="E893" s="79">
        <v>6.4988483053640004E-3</v>
      </c>
    </row>
    <row r="894" spans="2:5">
      <c r="B894" s="93" t="s">
        <v>88</v>
      </c>
      <c r="C894" s="20" t="s">
        <v>226</v>
      </c>
      <c r="D894" s="76">
        <v>1</v>
      </c>
      <c r="E894" s="18">
        <v>4.1131951299999999E-5</v>
      </c>
    </row>
    <row r="895" spans="2:5">
      <c r="B895" s="94"/>
      <c r="C895" s="20" t="s">
        <v>230</v>
      </c>
      <c r="D895" s="76">
        <v>4</v>
      </c>
      <c r="E895" s="18">
        <v>1.6452780519900001E-4</v>
      </c>
    </row>
    <row r="896" spans="2:5">
      <c r="B896" s="94"/>
      <c r="C896" s="20" t="s">
        <v>232</v>
      </c>
      <c r="D896" s="76">
        <v>1</v>
      </c>
      <c r="E896" s="18">
        <v>4.1131951299999999E-5</v>
      </c>
    </row>
    <row r="897" spans="2:5">
      <c r="B897" s="94"/>
      <c r="C897" s="20" t="s">
        <v>235</v>
      </c>
      <c r="D897" s="76">
        <v>4</v>
      </c>
      <c r="E897" s="18">
        <v>1.6452780519900001E-4</v>
      </c>
    </row>
    <row r="898" spans="2:5">
      <c r="B898" s="94"/>
      <c r="C898" s="20" t="s">
        <v>238</v>
      </c>
      <c r="D898" s="76">
        <v>1</v>
      </c>
      <c r="E898" s="18">
        <v>4.1131951299999999E-5</v>
      </c>
    </row>
    <row r="899" spans="2:5">
      <c r="B899" s="94"/>
      <c r="C899" s="20" t="s">
        <v>239</v>
      </c>
      <c r="D899" s="76">
        <v>4</v>
      </c>
      <c r="E899" s="18">
        <v>1.6452780519900001E-4</v>
      </c>
    </row>
    <row r="900" spans="2:5">
      <c r="B900" s="94"/>
      <c r="C900" s="20" t="s">
        <v>240</v>
      </c>
      <c r="D900" s="76">
        <v>1</v>
      </c>
      <c r="E900" s="18">
        <v>4.1131951299999999E-5</v>
      </c>
    </row>
    <row r="901" spans="2:5">
      <c r="B901" s="94"/>
      <c r="C901" s="20" t="s">
        <v>242</v>
      </c>
      <c r="D901" s="76">
        <v>2</v>
      </c>
      <c r="E901" s="18">
        <v>8.2263902599999999E-5</v>
      </c>
    </row>
    <row r="902" spans="2:5">
      <c r="B902" s="95"/>
      <c r="C902" s="77" t="s">
        <v>29</v>
      </c>
      <c r="D902" s="78">
        <v>18</v>
      </c>
      <c r="E902" s="79">
        <v>7.4037512339599995E-4</v>
      </c>
    </row>
    <row r="903" spans="2:5">
      <c r="B903" s="93" t="s">
        <v>55</v>
      </c>
      <c r="C903" s="20" t="s">
        <v>219</v>
      </c>
      <c r="D903" s="76">
        <v>3</v>
      </c>
      <c r="E903" s="18">
        <v>1.23395853899E-4</v>
      </c>
    </row>
    <row r="904" spans="2:5">
      <c r="B904" s="94"/>
      <c r="C904" s="20" t="s">
        <v>220</v>
      </c>
      <c r="D904" s="76">
        <v>7</v>
      </c>
      <c r="E904" s="18">
        <v>2.8792365909800001E-4</v>
      </c>
    </row>
    <row r="905" spans="2:5">
      <c r="B905" s="94"/>
      <c r="C905" s="20" t="s">
        <v>221</v>
      </c>
      <c r="D905" s="76">
        <v>3</v>
      </c>
      <c r="E905" s="18">
        <v>1.23395853899E-4</v>
      </c>
    </row>
    <row r="906" spans="2:5">
      <c r="B906" s="94"/>
      <c r="C906" s="20" t="s">
        <v>246</v>
      </c>
      <c r="D906" s="76">
        <v>2</v>
      </c>
      <c r="E906" s="18">
        <v>8.2263902599999999E-5</v>
      </c>
    </row>
    <row r="907" spans="2:5">
      <c r="B907" s="94"/>
      <c r="C907" s="20" t="s">
        <v>223</v>
      </c>
      <c r="D907" s="76">
        <v>1</v>
      </c>
      <c r="E907" s="18">
        <v>4.1131951299999999E-5</v>
      </c>
    </row>
    <row r="908" spans="2:5">
      <c r="B908" s="94"/>
      <c r="C908" s="20" t="s">
        <v>247</v>
      </c>
      <c r="D908" s="76">
        <v>7</v>
      </c>
      <c r="E908" s="18">
        <v>2.8792365909800001E-4</v>
      </c>
    </row>
    <row r="909" spans="2:5">
      <c r="B909" s="94"/>
      <c r="C909" s="20" t="s">
        <v>260</v>
      </c>
      <c r="D909" s="76">
        <v>1</v>
      </c>
      <c r="E909" s="18">
        <v>4.1131951299999999E-5</v>
      </c>
    </row>
    <row r="910" spans="2:5">
      <c r="B910" s="94"/>
      <c r="C910" s="20" t="s">
        <v>224</v>
      </c>
      <c r="D910" s="76">
        <v>25</v>
      </c>
      <c r="E910" s="18">
        <v>1.0282987824939999E-3</v>
      </c>
    </row>
    <row r="911" spans="2:5">
      <c r="B911" s="94"/>
      <c r="C911" s="20" t="s">
        <v>226</v>
      </c>
      <c r="D911" s="76">
        <v>35</v>
      </c>
      <c r="E911" s="18">
        <v>1.4396182954919999E-3</v>
      </c>
    </row>
    <row r="912" spans="2:5">
      <c r="B912" s="94"/>
      <c r="C912" s="20" t="s">
        <v>227</v>
      </c>
      <c r="D912" s="76">
        <v>7</v>
      </c>
      <c r="E912" s="18">
        <v>2.8792365909800001E-4</v>
      </c>
    </row>
    <row r="913" spans="2:5">
      <c r="B913" s="94"/>
      <c r="C913" s="20" t="s">
        <v>244</v>
      </c>
      <c r="D913" s="76">
        <v>2</v>
      </c>
      <c r="E913" s="18">
        <v>8.2263902599999999E-5</v>
      </c>
    </row>
    <row r="914" spans="2:5">
      <c r="B914" s="94"/>
      <c r="C914" s="20" t="s">
        <v>248</v>
      </c>
      <c r="D914" s="76">
        <v>2</v>
      </c>
      <c r="E914" s="18">
        <v>8.2263902599999999E-5</v>
      </c>
    </row>
    <row r="915" spans="2:5">
      <c r="B915" s="94"/>
      <c r="C915" s="20" t="s">
        <v>249</v>
      </c>
      <c r="D915" s="76">
        <v>3</v>
      </c>
      <c r="E915" s="18">
        <v>1.23395853899E-4</v>
      </c>
    </row>
    <row r="916" spans="2:5">
      <c r="B916" s="94"/>
      <c r="C916" s="20" t="s">
        <v>256</v>
      </c>
      <c r="D916" s="76">
        <v>8</v>
      </c>
      <c r="E916" s="18">
        <v>3.2905561039800002E-4</v>
      </c>
    </row>
    <row r="917" spans="2:5">
      <c r="B917" s="94"/>
      <c r="C917" s="20" t="s">
        <v>228</v>
      </c>
      <c r="D917" s="76">
        <v>6</v>
      </c>
      <c r="E917" s="18">
        <v>2.4679170779900002E-4</v>
      </c>
    </row>
    <row r="918" spans="2:5">
      <c r="B918" s="94"/>
      <c r="C918" s="20" t="s">
        <v>250</v>
      </c>
      <c r="D918" s="76">
        <v>1</v>
      </c>
      <c r="E918" s="18">
        <v>4.1131951299999999E-5</v>
      </c>
    </row>
    <row r="919" spans="2:5">
      <c r="B919" s="94"/>
      <c r="C919" s="20" t="s">
        <v>229</v>
      </c>
      <c r="D919" s="76">
        <v>5</v>
      </c>
      <c r="E919" s="18">
        <v>2.0565975649899999E-4</v>
      </c>
    </row>
    <row r="920" spans="2:5">
      <c r="B920" s="94"/>
      <c r="C920" s="20" t="s">
        <v>230</v>
      </c>
      <c r="D920" s="76">
        <v>63</v>
      </c>
      <c r="E920" s="18">
        <v>2.5913129318849999E-3</v>
      </c>
    </row>
    <row r="921" spans="2:5">
      <c r="B921" s="94"/>
      <c r="C921" s="20" t="s">
        <v>251</v>
      </c>
      <c r="D921" s="76">
        <v>3</v>
      </c>
      <c r="E921" s="18">
        <v>1.23395853899E-4</v>
      </c>
    </row>
    <row r="922" spans="2:5">
      <c r="B922" s="94"/>
      <c r="C922" s="20" t="s">
        <v>231</v>
      </c>
      <c r="D922" s="76">
        <v>6</v>
      </c>
      <c r="E922" s="18">
        <v>2.4679170779900002E-4</v>
      </c>
    </row>
    <row r="923" spans="2:5">
      <c r="B923" s="94"/>
      <c r="C923" s="20" t="s">
        <v>253</v>
      </c>
      <c r="D923" s="76">
        <v>1</v>
      </c>
      <c r="E923" s="18">
        <v>4.1131951299999999E-5</v>
      </c>
    </row>
    <row r="924" spans="2:5" ht="40.5">
      <c r="B924" s="94"/>
      <c r="C924" s="20" t="s">
        <v>254</v>
      </c>
      <c r="D924" s="76">
        <v>2</v>
      </c>
      <c r="E924" s="18">
        <v>8.2263902599999999E-5</v>
      </c>
    </row>
    <row r="925" spans="2:5">
      <c r="B925" s="94"/>
      <c r="C925" s="20" t="s">
        <v>232</v>
      </c>
      <c r="D925" s="76">
        <v>233</v>
      </c>
      <c r="E925" s="18">
        <v>9.5837446528459994E-3</v>
      </c>
    </row>
    <row r="926" spans="2:5">
      <c r="B926" s="94"/>
      <c r="C926" s="20" t="s">
        <v>234</v>
      </c>
      <c r="D926" s="76">
        <v>10</v>
      </c>
      <c r="E926" s="18">
        <v>4.1131951299799998E-4</v>
      </c>
    </row>
    <row r="927" spans="2:5">
      <c r="B927" s="94"/>
      <c r="C927" s="20" t="s">
        <v>258</v>
      </c>
      <c r="D927" s="76">
        <v>1</v>
      </c>
      <c r="E927" s="18">
        <v>4.1131951299999999E-5</v>
      </c>
    </row>
    <row r="928" spans="2:5">
      <c r="B928" s="94"/>
      <c r="C928" s="20" t="s">
        <v>235</v>
      </c>
      <c r="D928" s="76">
        <v>44</v>
      </c>
      <c r="E928" s="18">
        <v>1.80980585719E-3</v>
      </c>
    </row>
    <row r="929" spans="2:5">
      <c r="B929" s="94"/>
      <c r="C929" s="20" t="s">
        <v>236</v>
      </c>
      <c r="D929" s="76">
        <v>23</v>
      </c>
      <c r="E929" s="18">
        <v>9.4603487989499996E-4</v>
      </c>
    </row>
    <row r="930" spans="2:5">
      <c r="B930" s="94"/>
      <c r="C930" s="20" t="s">
        <v>259</v>
      </c>
      <c r="D930" s="76">
        <v>1</v>
      </c>
      <c r="E930" s="18">
        <v>4.1131951299999999E-5</v>
      </c>
    </row>
    <row r="931" spans="2:5">
      <c r="B931" s="94"/>
      <c r="C931" s="20" t="s">
        <v>237</v>
      </c>
      <c r="D931" s="76">
        <v>18</v>
      </c>
      <c r="E931" s="18">
        <v>7.4037512339599995E-4</v>
      </c>
    </row>
    <row r="932" spans="2:5">
      <c r="B932" s="94"/>
      <c r="C932" s="20" t="s">
        <v>238</v>
      </c>
      <c r="D932" s="76">
        <v>5</v>
      </c>
      <c r="E932" s="18">
        <v>2.0565975649899999E-4</v>
      </c>
    </row>
    <row r="933" spans="2:5">
      <c r="B933" s="94"/>
      <c r="C933" s="20" t="s">
        <v>239</v>
      </c>
      <c r="D933" s="76">
        <v>50</v>
      </c>
      <c r="E933" s="18">
        <v>2.0565975649879998E-3</v>
      </c>
    </row>
    <row r="934" spans="2:5">
      <c r="B934" s="94"/>
      <c r="C934" s="20" t="s">
        <v>240</v>
      </c>
      <c r="D934" s="76">
        <v>16</v>
      </c>
      <c r="E934" s="18">
        <v>6.5811122079600004E-4</v>
      </c>
    </row>
    <row r="935" spans="2:5">
      <c r="B935" s="94"/>
      <c r="C935" s="20" t="s">
        <v>241</v>
      </c>
      <c r="D935" s="76">
        <v>27</v>
      </c>
      <c r="E935" s="18">
        <v>1.110562685094E-3</v>
      </c>
    </row>
    <row r="936" spans="2:5">
      <c r="B936" s="94"/>
      <c r="C936" s="20" t="s">
        <v>242</v>
      </c>
      <c r="D936" s="76">
        <v>29</v>
      </c>
      <c r="E936" s="18">
        <v>1.1928265876930001E-3</v>
      </c>
    </row>
    <row r="937" spans="2:5">
      <c r="B937" s="94"/>
      <c r="C937" s="20" t="s">
        <v>245</v>
      </c>
      <c r="D937" s="76">
        <v>4</v>
      </c>
      <c r="E937" s="18">
        <v>1.6452780519900001E-4</v>
      </c>
    </row>
    <row r="938" spans="2:5">
      <c r="B938" s="94"/>
      <c r="C938" s="20" t="s">
        <v>243</v>
      </c>
      <c r="D938" s="76">
        <v>6</v>
      </c>
      <c r="E938" s="18">
        <v>2.4679170779900002E-4</v>
      </c>
    </row>
    <row r="939" spans="2:5">
      <c r="B939" s="95"/>
      <c r="C939" s="77" t="s">
        <v>29</v>
      </c>
      <c r="D939" s="78">
        <v>660</v>
      </c>
      <c r="E939" s="79">
        <v>2.7147087857848001E-2</v>
      </c>
    </row>
    <row r="940" spans="2:5">
      <c r="B940" s="93" t="s">
        <v>82</v>
      </c>
      <c r="C940" s="20" t="s">
        <v>220</v>
      </c>
      <c r="D940" s="76">
        <v>1</v>
      </c>
      <c r="E940" s="18">
        <v>4.1131951299999999E-5</v>
      </c>
    </row>
    <row r="941" spans="2:5">
      <c r="B941" s="94"/>
      <c r="C941" s="20" t="s">
        <v>224</v>
      </c>
      <c r="D941" s="76">
        <v>2</v>
      </c>
      <c r="E941" s="18">
        <v>8.2263902599999999E-5</v>
      </c>
    </row>
    <row r="942" spans="2:5">
      <c r="B942" s="94"/>
      <c r="C942" s="20" t="s">
        <v>226</v>
      </c>
      <c r="D942" s="76">
        <v>3</v>
      </c>
      <c r="E942" s="18">
        <v>1.23395853899E-4</v>
      </c>
    </row>
    <row r="943" spans="2:5">
      <c r="B943" s="94"/>
      <c r="C943" s="20" t="s">
        <v>227</v>
      </c>
      <c r="D943" s="76">
        <v>1</v>
      </c>
      <c r="E943" s="18">
        <v>4.1131951299999999E-5</v>
      </c>
    </row>
    <row r="944" spans="2:5">
      <c r="B944" s="94"/>
      <c r="C944" s="20" t="s">
        <v>248</v>
      </c>
      <c r="D944" s="76">
        <v>1</v>
      </c>
      <c r="E944" s="18">
        <v>4.1131951299999999E-5</v>
      </c>
    </row>
    <row r="945" spans="2:5">
      <c r="B945" s="94"/>
      <c r="C945" s="20" t="s">
        <v>256</v>
      </c>
      <c r="D945" s="76">
        <v>1</v>
      </c>
      <c r="E945" s="18">
        <v>4.1131951299999999E-5</v>
      </c>
    </row>
    <row r="946" spans="2:5">
      <c r="B946" s="94"/>
      <c r="C946" s="20" t="s">
        <v>230</v>
      </c>
      <c r="D946" s="76">
        <v>4</v>
      </c>
      <c r="E946" s="18">
        <v>1.6452780519900001E-4</v>
      </c>
    </row>
    <row r="947" spans="2:5">
      <c r="B947" s="94"/>
      <c r="C947" s="20" t="s">
        <v>232</v>
      </c>
      <c r="D947" s="76">
        <v>5</v>
      </c>
      <c r="E947" s="18">
        <v>2.0565975649899999E-4</v>
      </c>
    </row>
    <row r="948" spans="2:5">
      <c r="B948" s="94"/>
      <c r="C948" s="20" t="s">
        <v>235</v>
      </c>
      <c r="D948" s="76">
        <v>2</v>
      </c>
      <c r="E948" s="18">
        <v>8.2263902599999999E-5</v>
      </c>
    </row>
    <row r="949" spans="2:5">
      <c r="B949" s="94"/>
      <c r="C949" s="20" t="s">
        <v>239</v>
      </c>
      <c r="D949" s="76">
        <v>9</v>
      </c>
      <c r="E949" s="18">
        <v>3.7018756169799997E-4</v>
      </c>
    </row>
    <row r="950" spans="2:5">
      <c r="B950" s="94"/>
      <c r="C950" s="20" t="s">
        <v>242</v>
      </c>
      <c r="D950" s="76">
        <v>3</v>
      </c>
      <c r="E950" s="18">
        <v>1.23395853899E-4</v>
      </c>
    </row>
    <row r="951" spans="2:5">
      <c r="B951" s="94"/>
      <c r="C951" s="20" t="s">
        <v>245</v>
      </c>
      <c r="D951" s="76">
        <v>1</v>
      </c>
      <c r="E951" s="18">
        <v>4.1131951299999999E-5</v>
      </c>
    </row>
    <row r="952" spans="2:5">
      <c r="B952" s="95"/>
      <c r="C952" s="77" t="s">
        <v>29</v>
      </c>
      <c r="D952" s="78">
        <v>33</v>
      </c>
      <c r="E952" s="79">
        <v>1.357354392892E-3</v>
      </c>
    </row>
    <row r="953" spans="2:5">
      <c r="B953" s="93" t="s">
        <v>86</v>
      </c>
      <c r="C953" s="20" t="s">
        <v>220</v>
      </c>
      <c r="D953" s="76">
        <v>1</v>
      </c>
      <c r="E953" s="18">
        <v>4.1131951299999999E-5</v>
      </c>
    </row>
    <row r="954" spans="2:5">
      <c r="B954" s="94"/>
      <c r="C954" s="20" t="s">
        <v>221</v>
      </c>
      <c r="D954" s="76">
        <v>1</v>
      </c>
      <c r="E954" s="18">
        <v>4.1131951299999999E-5</v>
      </c>
    </row>
    <row r="955" spans="2:5">
      <c r="B955" s="94"/>
      <c r="C955" s="20" t="s">
        <v>224</v>
      </c>
      <c r="D955" s="76">
        <v>1</v>
      </c>
      <c r="E955" s="18">
        <v>4.1131951299999999E-5</v>
      </c>
    </row>
    <row r="956" spans="2:5">
      <c r="B956" s="94"/>
      <c r="C956" s="20" t="s">
        <v>226</v>
      </c>
      <c r="D956" s="76">
        <v>1</v>
      </c>
      <c r="E956" s="18">
        <v>4.1131951299999999E-5</v>
      </c>
    </row>
    <row r="957" spans="2:5">
      <c r="B957" s="94"/>
      <c r="C957" s="20" t="s">
        <v>227</v>
      </c>
      <c r="D957" s="76">
        <v>1</v>
      </c>
      <c r="E957" s="18">
        <v>4.1131951299999999E-5</v>
      </c>
    </row>
    <row r="958" spans="2:5">
      <c r="B958" s="94"/>
      <c r="C958" s="20" t="s">
        <v>248</v>
      </c>
      <c r="D958" s="76">
        <v>1</v>
      </c>
      <c r="E958" s="18">
        <v>4.1131951299999999E-5</v>
      </c>
    </row>
    <row r="959" spans="2:5">
      <c r="B959" s="94"/>
      <c r="C959" s="20" t="s">
        <v>230</v>
      </c>
      <c r="D959" s="76">
        <v>2</v>
      </c>
      <c r="E959" s="18">
        <v>8.2263902599999999E-5</v>
      </c>
    </row>
    <row r="960" spans="2:5">
      <c r="B960" s="94"/>
      <c r="C960" s="20" t="s">
        <v>232</v>
      </c>
      <c r="D960" s="76">
        <v>3</v>
      </c>
      <c r="E960" s="18">
        <v>1.23395853899E-4</v>
      </c>
    </row>
    <row r="961" spans="2:5">
      <c r="B961" s="94"/>
      <c r="C961" s="20" t="s">
        <v>258</v>
      </c>
      <c r="D961" s="76">
        <v>1</v>
      </c>
      <c r="E961" s="18">
        <v>4.1131951299999999E-5</v>
      </c>
    </row>
    <row r="962" spans="2:5">
      <c r="B962" s="94"/>
      <c r="C962" s="20" t="s">
        <v>235</v>
      </c>
      <c r="D962" s="76">
        <v>3</v>
      </c>
      <c r="E962" s="18">
        <v>1.23395853899E-4</v>
      </c>
    </row>
    <row r="963" spans="2:5">
      <c r="B963" s="94"/>
      <c r="C963" s="20" t="s">
        <v>239</v>
      </c>
      <c r="D963" s="76">
        <v>6</v>
      </c>
      <c r="E963" s="18">
        <v>2.4679170779900002E-4</v>
      </c>
    </row>
    <row r="964" spans="2:5">
      <c r="B964" s="95"/>
      <c r="C964" s="77" t="s">
        <v>29</v>
      </c>
      <c r="D964" s="78">
        <v>21</v>
      </c>
      <c r="E964" s="79">
        <v>8.6377097729499995E-4</v>
      </c>
    </row>
    <row r="965" spans="2:5">
      <c r="B965" s="93" t="s">
        <v>87</v>
      </c>
      <c r="C965" s="20" t="s">
        <v>220</v>
      </c>
      <c r="D965" s="76">
        <v>1</v>
      </c>
      <c r="E965" s="18">
        <v>4.1131951299999999E-5</v>
      </c>
    </row>
    <row r="966" spans="2:5">
      <c r="B966" s="94"/>
      <c r="C966" s="20" t="s">
        <v>224</v>
      </c>
      <c r="D966" s="76">
        <v>3</v>
      </c>
      <c r="E966" s="18">
        <v>1.23395853899E-4</v>
      </c>
    </row>
    <row r="967" spans="2:5">
      <c r="B967" s="94"/>
      <c r="C967" s="20" t="s">
        <v>226</v>
      </c>
      <c r="D967" s="76">
        <v>2</v>
      </c>
      <c r="E967" s="18">
        <v>8.2263902599999999E-5</v>
      </c>
    </row>
    <row r="968" spans="2:5">
      <c r="B968" s="94"/>
      <c r="C968" s="20" t="s">
        <v>250</v>
      </c>
      <c r="D968" s="76">
        <v>1</v>
      </c>
      <c r="E968" s="18">
        <v>4.1131951299999999E-5</v>
      </c>
    </row>
    <row r="969" spans="2:5">
      <c r="B969" s="94"/>
      <c r="C969" s="20" t="s">
        <v>230</v>
      </c>
      <c r="D969" s="76">
        <v>2</v>
      </c>
      <c r="E969" s="18">
        <v>8.2263902599999999E-5</v>
      </c>
    </row>
    <row r="970" spans="2:5">
      <c r="B970" s="94"/>
      <c r="C970" s="20" t="s">
        <v>232</v>
      </c>
      <c r="D970" s="76">
        <v>1</v>
      </c>
      <c r="E970" s="18">
        <v>4.1131951299999999E-5</v>
      </c>
    </row>
    <row r="971" spans="2:5">
      <c r="B971" s="94"/>
      <c r="C971" s="20" t="s">
        <v>235</v>
      </c>
      <c r="D971" s="76">
        <v>1</v>
      </c>
      <c r="E971" s="18">
        <v>4.1131951299999999E-5</v>
      </c>
    </row>
    <row r="972" spans="2:5">
      <c r="B972" s="94"/>
      <c r="C972" s="20" t="s">
        <v>236</v>
      </c>
      <c r="D972" s="76">
        <v>4</v>
      </c>
      <c r="E972" s="18">
        <v>1.6452780519900001E-4</v>
      </c>
    </row>
    <row r="973" spans="2:5">
      <c r="B973" s="94"/>
      <c r="C973" s="20" t="s">
        <v>237</v>
      </c>
      <c r="D973" s="76">
        <v>1</v>
      </c>
      <c r="E973" s="18">
        <v>4.1131951299999999E-5</v>
      </c>
    </row>
    <row r="974" spans="2:5">
      <c r="B974" s="94"/>
      <c r="C974" s="20" t="s">
        <v>239</v>
      </c>
      <c r="D974" s="76">
        <v>5</v>
      </c>
      <c r="E974" s="18">
        <v>2.0565975649899999E-4</v>
      </c>
    </row>
    <row r="975" spans="2:5">
      <c r="B975" s="95"/>
      <c r="C975" s="77" t="s">
        <v>29</v>
      </c>
      <c r="D975" s="78">
        <v>21</v>
      </c>
      <c r="E975" s="79">
        <v>8.6377097729499995E-4</v>
      </c>
    </row>
    <row r="976" spans="2:5">
      <c r="B976" s="93" t="s">
        <v>80</v>
      </c>
      <c r="C976" s="20" t="s">
        <v>221</v>
      </c>
      <c r="D976" s="76">
        <v>2</v>
      </c>
      <c r="E976" s="18">
        <v>8.2263902599999999E-5</v>
      </c>
    </row>
    <row r="977" spans="2:5">
      <c r="B977" s="94"/>
      <c r="C977" s="20" t="s">
        <v>246</v>
      </c>
      <c r="D977" s="76">
        <v>1</v>
      </c>
      <c r="E977" s="18">
        <v>4.1131951299999999E-5</v>
      </c>
    </row>
    <row r="978" spans="2:5">
      <c r="B978" s="94"/>
      <c r="C978" s="20" t="s">
        <v>224</v>
      </c>
      <c r="D978" s="76">
        <v>9</v>
      </c>
      <c r="E978" s="18">
        <v>3.7018756169799997E-4</v>
      </c>
    </row>
    <row r="979" spans="2:5">
      <c r="B979" s="94"/>
      <c r="C979" s="20" t="s">
        <v>226</v>
      </c>
      <c r="D979" s="76">
        <v>2</v>
      </c>
      <c r="E979" s="18">
        <v>8.2263902599999999E-5</v>
      </c>
    </row>
    <row r="980" spans="2:5">
      <c r="B980" s="94"/>
      <c r="C980" s="20" t="s">
        <v>227</v>
      </c>
      <c r="D980" s="76">
        <v>1</v>
      </c>
      <c r="E980" s="18">
        <v>4.1131951299999999E-5</v>
      </c>
    </row>
    <row r="981" spans="2:5">
      <c r="B981" s="94"/>
      <c r="C981" s="20" t="s">
        <v>229</v>
      </c>
      <c r="D981" s="76">
        <v>1</v>
      </c>
      <c r="E981" s="18">
        <v>4.1131951299999999E-5</v>
      </c>
    </row>
    <row r="982" spans="2:5">
      <c r="B982" s="94"/>
      <c r="C982" s="20" t="s">
        <v>257</v>
      </c>
      <c r="D982" s="76">
        <v>1</v>
      </c>
      <c r="E982" s="18">
        <v>4.1131951299999999E-5</v>
      </c>
    </row>
    <row r="983" spans="2:5">
      <c r="B983" s="94"/>
      <c r="C983" s="20" t="s">
        <v>230</v>
      </c>
      <c r="D983" s="76">
        <v>3</v>
      </c>
      <c r="E983" s="18">
        <v>1.23395853899E-4</v>
      </c>
    </row>
    <row r="984" spans="2:5">
      <c r="B984" s="94"/>
      <c r="C984" s="20" t="s">
        <v>232</v>
      </c>
      <c r="D984" s="76">
        <v>3</v>
      </c>
      <c r="E984" s="18">
        <v>1.23395853899E-4</v>
      </c>
    </row>
    <row r="985" spans="2:5">
      <c r="B985" s="94"/>
      <c r="C985" s="20" t="s">
        <v>234</v>
      </c>
      <c r="D985" s="76">
        <v>1</v>
      </c>
      <c r="E985" s="18">
        <v>4.1131951299999999E-5</v>
      </c>
    </row>
    <row r="986" spans="2:5">
      <c r="B986" s="94"/>
      <c r="C986" s="20" t="s">
        <v>235</v>
      </c>
      <c r="D986" s="76">
        <v>1</v>
      </c>
      <c r="E986" s="18">
        <v>4.1131951299999999E-5</v>
      </c>
    </row>
    <row r="987" spans="2:5">
      <c r="B987" s="94"/>
      <c r="C987" s="20" t="s">
        <v>236</v>
      </c>
      <c r="D987" s="76">
        <v>1</v>
      </c>
      <c r="E987" s="18">
        <v>4.1131951299999999E-5</v>
      </c>
    </row>
    <row r="988" spans="2:5">
      <c r="B988" s="94"/>
      <c r="C988" s="20" t="s">
        <v>237</v>
      </c>
      <c r="D988" s="76">
        <v>2</v>
      </c>
      <c r="E988" s="18">
        <v>8.2263902599999999E-5</v>
      </c>
    </row>
    <row r="989" spans="2:5">
      <c r="B989" s="94"/>
      <c r="C989" s="20" t="s">
        <v>239</v>
      </c>
      <c r="D989" s="76">
        <v>7</v>
      </c>
      <c r="E989" s="18">
        <v>2.8792365909800001E-4</v>
      </c>
    </row>
    <row r="990" spans="2:5">
      <c r="B990" s="94"/>
      <c r="C990" s="20" t="s">
        <v>241</v>
      </c>
      <c r="D990" s="76">
        <v>1</v>
      </c>
      <c r="E990" s="18">
        <v>4.1131951299999999E-5</v>
      </c>
    </row>
    <row r="991" spans="2:5">
      <c r="B991" s="94"/>
      <c r="C991" s="20" t="s">
        <v>242</v>
      </c>
      <c r="D991" s="76">
        <v>1</v>
      </c>
      <c r="E991" s="18">
        <v>4.1131951299999999E-5</v>
      </c>
    </row>
    <row r="992" spans="2:5">
      <c r="B992" s="95"/>
      <c r="C992" s="77" t="s">
        <v>29</v>
      </c>
      <c r="D992" s="78">
        <v>37</v>
      </c>
      <c r="E992" s="79">
        <v>1.521882198091E-3</v>
      </c>
    </row>
    <row r="993" spans="2:5">
      <c r="B993" s="93" t="s">
        <v>78</v>
      </c>
      <c r="C993" s="20" t="s">
        <v>219</v>
      </c>
      <c r="D993" s="76">
        <v>1</v>
      </c>
      <c r="E993" s="18">
        <v>4.1131951299999999E-5</v>
      </c>
    </row>
    <row r="994" spans="2:5">
      <c r="B994" s="94"/>
      <c r="C994" s="20" t="s">
        <v>221</v>
      </c>
      <c r="D994" s="76">
        <v>2</v>
      </c>
      <c r="E994" s="18">
        <v>8.2263902599999999E-5</v>
      </c>
    </row>
    <row r="995" spans="2:5">
      <c r="B995" s="94"/>
      <c r="C995" s="20" t="s">
        <v>224</v>
      </c>
      <c r="D995" s="76">
        <v>5</v>
      </c>
      <c r="E995" s="18">
        <v>2.0565975649899999E-4</v>
      </c>
    </row>
    <row r="996" spans="2:5">
      <c r="B996" s="94"/>
      <c r="C996" s="20" t="s">
        <v>226</v>
      </c>
      <c r="D996" s="76">
        <v>4</v>
      </c>
      <c r="E996" s="18">
        <v>1.6452780519900001E-4</v>
      </c>
    </row>
    <row r="997" spans="2:5">
      <c r="B997" s="94"/>
      <c r="C997" s="20" t="s">
        <v>227</v>
      </c>
      <c r="D997" s="76">
        <v>1</v>
      </c>
      <c r="E997" s="18">
        <v>4.1131951299999999E-5</v>
      </c>
    </row>
    <row r="998" spans="2:5">
      <c r="B998" s="94"/>
      <c r="C998" s="20" t="s">
        <v>228</v>
      </c>
      <c r="D998" s="76">
        <v>2</v>
      </c>
      <c r="E998" s="18">
        <v>8.2263902599999999E-5</v>
      </c>
    </row>
    <row r="999" spans="2:5">
      <c r="B999" s="94"/>
      <c r="C999" s="20" t="s">
        <v>230</v>
      </c>
      <c r="D999" s="76">
        <v>1</v>
      </c>
      <c r="E999" s="18">
        <v>4.1131951299999999E-5</v>
      </c>
    </row>
    <row r="1000" spans="2:5">
      <c r="B1000" s="94"/>
      <c r="C1000" s="20" t="s">
        <v>232</v>
      </c>
      <c r="D1000" s="76">
        <v>2</v>
      </c>
      <c r="E1000" s="18">
        <v>8.2263902599999999E-5</v>
      </c>
    </row>
    <row r="1001" spans="2:5">
      <c r="B1001" s="94"/>
      <c r="C1001" s="20" t="s">
        <v>233</v>
      </c>
      <c r="D1001" s="76">
        <v>1</v>
      </c>
      <c r="E1001" s="18">
        <v>4.1131951299999999E-5</v>
      </c>
    </row>
    <row r="1002" spans="2:5">
      <c r="B1002" s="94"/>
      <c r="C1002" s="20" t="s">
        <v>234</v>
      </c>
      <c r="D1002" s="76">
        <v>1</v>
      </c>
      <c r="E1002" s="18">
        <v>4.1131951299999999E-5</v>
      </c>
    </row>
    <row r="1003" spans="2:5">
      <c r="B1003" s="94"/>
      <c r="C1003" s="20" t="s">
        <v>258</v>
      </c>
      <c r="D1003" s="76">
        <v>1</v>
      </c>
      <c r="E1003" s="18">
        <v>4.1131951299999999E-5</v>
      </c>
    </row>
    <row r="1004" spans="2:5">
      <c r="B1004" s="94"/>
      <c r="C1004" s="20" t="s">
        <v>235</v>
      </c>
      <c r="D1004" s="76">
        <v>3</v>
      </c>
      <c r="E1004" s="18">
        <v>1.23395853899E-4</v>
      </c>
    </row>
    <row r="1005" spans="2:5">
      <c r="B1005" s="94"/>
      <c r="C1005" s="20" t="s">
        <v>236</v>
      </c>
      <c r="D1005" s="76">
        <v>1</v>
      </c>
      <c r="E1005" s="18">
        <v>4.1131951299999999E-5</v>
      </c>
    </row>
    <row r="1006" spans="2:5">
      <c r="B1006" s="94"/>
      <c r="C1006" s="20" t="s">
        <v>237</v>
      </c>
      <c r="D1006" s="76">
        <v>1</v>
      </c>
      <c r="E1006" s="18">
        <v>4.1131951299999999E-5</v>
      </c>
    </row>
    <row r="1007" spans="2:5">
      <c r="B1007" s="94"/>
      <c r="C1007" s="20" t="s">
        <v>239</v>
      </c>
      <c r="D1007" s="76">
        <v>9</v>
      </c>
      <c r="E1007" s="18">
        <v>3.7018756169799997E-4</v>
      </c>
    </row>
    <row r="1008" spans="2:5">
      <c r="B1008" s="94"/>
      <c r="C1008" s="20" t="s">
        <v>241</v>
      </c>
      <c r="D1008" s="76">
        <v>1</v>
      </c>
      <c r="E1008" s="18">
        <v>4.1131951299999999E-5</v>
      </c>
    </row>
    <row r="1009" spans="2:5">
      <c r="B1009" s="94"/>
      <c r="C1009" s="20" t="s">
        <v>242</v>
      </c>
      <c r="D1009" s="76">
        <v>3</v>
      </c>
      <c r="E1009" s="18">
        <v>1.23395853899E-4</v>
      </c>
    </row>
    <row r="1010" spans="2:5">
      <c r="B1010" s="95"/>
      <c r="C1010" s="77" t="s">
        <v>29</v>
      </c>
      <c r="D1010" s="78">
        <v>39</v>
      </c>
      <c r="E1010" s="79">
        <v>1.6041461006909999E-3</v>
      </c>
    </row>
    <row r="1011" spans="2:5">
      <c r="B1011" s="93" t="s">
        <v>96</v>
      </c>
      <c r="C1011" s="20" t="s">
        <v>224</v>
      </c>
      <c r="D1011" s="76">
        <v>1</v>
      </c>
      <c r="E1011" s="18">
        <v>4.1131951299999999E-5</v>
      </c>
    </row>
    <row r="1012" spans="2:5">
      <c r="B1012" s="94"/>
      <c r="C1012" s="20" t="s">
        <v>230</v>
      </c>
      <c r="D1012" s="76">
        <v>1</v>
      </c>
      <c r="E1012" s="18">
        <v>4.1131951299999999E-5</v>
      </c>
    </row>
    <row r="1013" spans="2:5">
      <c r="B1013" s="94"/>
      <c r="C1013" s="20" t="s">
        <v>238</v>
      </c>
      <c r="D1013" s="76">
        <v>1</v>
      </c>
      <c r="E1013" s="18">
        <v>4.1131951299999999E-5</v>
      </c>
    </row>
    <row r="1014" spans="2:5">
      <c r="B1014" s="94"/>
      <c r="C1014" s="20" t="s">
        <v>239</v>
      </c>
      <c r="D1014" s="76">
        <v>2</v>
      </c>
      <c r="E1014" s="18">
        <v>8.2263902599999999E-5</v>
      </c>
    </row>
    <row r="1015" spans="2:5">
      <c r="B1015" s="95"/>
      <c r="C1015" s="77" t="s">
        <v>29</v>
      </c>
      <c r="D1015" s="78">
        <v>5</v>
      </c>
      <c r="E1015" s="79">
        <v>2.0565975649899999E-4</v>
      </c>
    </row>
    <row r="1016" spans="2:5">
      <c r="B1016" s="93" t="s">
        <v>97</v>
      </c>
      <c r="C1016" s="20" t="s">
        <v>232</v>
      </c>
      <c r="D1016" s="76">
        <v>1</v>
      </c>
      <c r="E1016" s="18">
        <v>4.1131951299999999E-5</v>
      </c>
    </row>
    <row r="1017" spans="2:5">
      <c r="B1017" s="94"/>
      <c r="C1017" s="20" t="s">
        <v>239</v>
      </c>
      <c r="D1017" s="76">
        <v>1</v>
      </c>
      <c r="E1017" s="18">
        <v>4.1131951299999999E-5</v>
      </c>
    </row>
    <row r="1018" spans="2:5">
      <c r="B1018" s="94"/>
      <c r="C1018" s="20" t="s">
        <v>242</v>
      </c>
      <c r="D1018" s="76">
        <v>1</v>
      </c>
      <c r="E1018" s="18">
        <v>4.1131951299999999E-5</v>
      </c>
    </row>
    <row r="1019" spans="2:5">
      <c r="B1019" s="95"/>
      <c r="C1019" s="77" t="s">
        <v>29</v>
      </c>
      <c r="D1019" s="78">
        <v>3</v>
      </c>
      <c r="E1019" s="79">
        <v>1.23395853899E-4</v>
      </c>
    </row>
    <row r="1020" spans="2:5">
      <c r="B1020" s="93" t="s">
        <v>70</v>
      </c>
      <c r="C1020" s="20" t="s">
        <v>220</v>
      </c>
      <c r="D1020" s="76">
        <v>6</v>
      </c>
      <c r="E1020" s="18">
        <v>2.4679170779900002E-4</v>
      </c>
    </row>
    <row r="1021" spans="2:5">
      <c r="B1021" s="94"/>
      <c r="C1021" s="20" t="s">
        <v>221</v>
      </c>
      <c r="D1021" s="76">
        <v>1</v>
      </c>
      <c r="E1021" s="18">
        <v>4.1131951299999999E-5</v>
      </c>
    </row>
    <row r="1022" spans="2:5">
      <c r="B1022" s="94"/>
      <c r="C1022" s="20" t="s">
        <v>223</v>
      </c>
      <c r="D1022" s="76">
        <v>2</v>
      </c>
      <c r="E1022" s="18">
        <v>8.2263902599999999E-5</v>
      </c>
    </row>
    <row r="1023" spans="2:5">
      <c r="B1023" s="94"/>
      <c r="C1023" s="20" t="s">
        <v>247</v>
      </c>
      <c r="D1023" s="76">
        <v>1</v>
      </c>
      <c r="E1023" s="18">
        <v>4.1131951299999999E-5</v>
      </c>
    </row>
    <row r="1024" spans="2:5">
      <c r="B1024" s="94"/>
      <c r="C1024" s="20" t="s">
        <v>224</v>
      </c>
      <c r="D1024" s="76">
        <v>4</v>
      </c>
      <c r="E1024" s="18">
        <v>1.6452780519900001E-4</v>
      </c>
    </row>
    <row r="1025" spans="2:5">
      <c r="B1025" s="94"/>
      <c r="C1025" s="20" t="s">
        <v>226</v>
      </c>
      <c r="D1025" s="76">
        <v>5</v>
      </c>
      <c r="E1025" s="18">
        <v>2.0565975649899999E-4</v>
      </c>
    </row>
    <row r="1026" spans="2:5">
      <c r="B1026" s="94"/>
      <c r="C1026" s="20" t="s">
        <v>227</v>
      </c>
      <c r="D1026" s="76">
        <v>2</v>
      </c>
      <c r="E1026" s="18">
        <v>8.2263902599999999E-5</v>
      </c>
    </row>
    <row r="1027" spans="2:5">
      <c r="B1027" s="94"/>
      <c r="C1027" s="20" t="s">
        <v>249</v>
      </c>
      <c r="D1027" s="76">
        <v>2</v>
      </c>
      <c r="E1027" s="18">
        <v>8.2263902599999999E-5</v>
      </c>
    </row>
    <row r="1028" spans="2:5">
      <c r="B1028" s="94"/>
      <c r="C1028" s="20" t="s">
        <v>230</v>
      </c>
      <c r="D1028" s="76">
        <v>12</v>
      </c>
      <c r="E1028" s="18">
        <v>4.9358341559699998E-4</v>
      </c>
    </row>
    <row r="1029" spans="2:5">
      <c r="B1029" s="94"/>
      <c r="C1029" s="20" t="s">
        <v>232</v>
      </c>
      <c r="D1029" s="76">
        <v>6</v>
      </c>
      <c r="E1029" s="18">
        <v>2.4679170779900002E-4</v>
      </c>
    </row>
    <row r="1030" spans="2:5">
      <c r="B1030" s="94"/>
      <c r="C1030" s="20" t="s">
        <v>233</v>
      </c>
      <c r="D1030" s="76">
        <v>1</v>
      </c>
      <c r="E1030" s="18">
        <v>4.1131951299999999E-5</v>
      </c>
    </row>
    <row r="1031" spans="2:5">
      <c r="B1031" s="94"/>
      <c r="C1031" s="20" t="s">
        <v>235</v>
      </c>
      <c r="D1031" s="76">
        <v>6</v>
      </c>
      <c r="E1031" s="18">
        <v>2.4679170779900002E-4</v>
      </c>
    </row>
    <row r="1032" spans="2:5">
      <c r="B1032" s="94"/>
      <c r="C1032" s="20" t="s">
        <v>236</v>
      </c>
      <c r="D1032" s="76">
        <v>5</v>
      </c>
      <c r="E1032" s="18">
        <v>2.0565975649899999E-4</v>
      </c>
    </row>
    <row r="1033" spans="2:5">
      <c r="B1033" s="94"/>
      <c r="C1033" s="20" t="s">
        <v>238</v>
      </c>
      <c r="D1033" s="76">
        <v>1</v>
      </c>
      <c r="E1033" s="18">
        <v>4.1131951299999999E-5</v>
      </c>
    </row>
    <row r="1034" spans="2:5">
      <c r="B1034" s="94"/>
      <c r="C1034" s="20" t="s">
        <v>239</v>
      </c>
      <c r="D1034" s="76">
        <v>19</v>
      </c>
      <c r="E1034" s="18">
        <v>7.8150707469600001E-4</v>
      </c>
    </row>
    <row r="1035" spans="2:5">
      <c r="B1035" s="94"/>
      <c r="C1035" s="20" t="s">
        <v>240</v>
      </c>
      <c r="D1035" s="76">
        <v>2</v>
      </c>
      <c r="E1035" s="18">
        <v>8.2263902599999999E-5</v>
      </c>
    </row>
    <row r="1036" spans="2:5">
      <c r="B1036" s="94"/>
      <c r="C1036" s="20" t="s">
        <v>242</v>
      </c>
      <c r="D1036" s="76">
        <v>5</v>
      </c>
      <c r="E1036" s="18">
        <v>2.0565975649899999E-4</v>
      </c>
    </row>
    <row r="1037" spans="2:5">
      <c r="B1037" s="94"/>
      <c r="C1037" s="20" t="s">
        <v>243</v>
      </c>
      <c r="D1037" s="76">
        <v>1</v>
      </c>
      <c r="E1037" s="18">
        <v>4.1131951299999999E-5</v>
      </c>
    </row>
    <row r="1038" spans="2:5">
      <c r="B1038" s="95"/>
      <c r="C1038" s="77" t="s">
        <v>29</v>
      </c>
      <c r="D1038" s="78">
        <v>81</v>
      </c>
      <c r="E1038" s="79">
        <v>3.331688055281E-3</v>
      </c>
    </row>
    <row r="1039" spans="2:5">
      <c r="B1039" s="93" t="s">
        <v>98</v>
      </c>
      <c r="C1039" s="20" t="s">
        <v>234</v>
      </c>
      <c r="D1039" s="76">
        <v>1</v>
      </c>
      <c r="E1039" s="18">
        <v>4.1131951299999999E-5</v>
      </c>
    </row>
    <row r="1040" spans="2:5">
      <c r="B1040" s="94"/>
      <c r="C1040" s="20" t="s">
        <v>239</v>
      </c>
      <c r="D1040" s="76">
        <v>1</v>
      </c>
      <c r="E1040" s="18">
        <v>4.1131951299999999E-5</v>
      </c>
    </row>
    <row r="1041" spans="2:5">
      <c r="B1041" s="94"/>
      <c r="C1041" s="20" t="s">
        <v>243</v>
      </c>
      <c r="D1041" s="76">
        <v>1</v>
      </c>
      <c r="E1041" s="18">
        <v>4.1131951299999999E-5</v>
      </c>
    </row>
    <row r="1042" spans="2:5">
      <c r="B1042" s="95"/>
      <c r="C1042" s="77" t="s">
        <v>29</v>
      </c>
      <c r="D1042" s="78">
        <v>3</v>
      </c>
      <c r="E1042" s="79">
        <v>1.23395853899E-4</v>
      </c>
    </row>
    <row r="1043" spans="2:5">
      <c r="B1043" s="91" t="s">
        <v>29</v>
      </c>
      <c r="C1043" s="92"/>
      <c r="D1043" s="80">
        <v>24312</v>
      </c>
      <c r="E1043" s="66">
        <v>1</v>
      </c>
    </row>
    <row r="1045" spans="2:5" ht="15" customHeight="1">
      <c r="B1045" s="12" t="s">
        <v>47</v>
      </c>
    </row>
    <row r="1046" spans="2:5" ht="15" customHeight="1">
      <c r="B1046" s="14" t="s">
        <v>18</v>
      </c>
    </row>
    <row r="1047" spans="2:5" ht="15" customHeight="1">
      <c r="B1047" s="13" t="s">
        <v>48</v>
      </c>
    </row>
    <row r="1048" spans="2:5" ht="15" customHeight="1">
      <c r="B1048" s="12" t="s">
        <v>17</v>
      </c>
    </row>
    <row r="1049" spans="2:5" ht="15" customHeight="1">
      <c r="B1049" s="12" t="s">
        <v>49</v>
      </c>
    </row>
  </sheetData>
  <mergeCells count="53">
    <mergeCell ref="B7:E8"/>
    <mergeCell ref="B10:B25"/>
    <mergeCell ref="B26:B59"/>
    <mergeCell ref="B422:B450"/>
    <mergeCell ref="B451:B479"/>
    <mergeCell ref="B60:B94"/>
    <mergeCell ref="B95:B102"/>
    <mergeCell ref="B103:B111"/>
    <mergeCell ref="B112:B154"/>
    <mergeCell ref="B155:B157"/>
    <mergeCell ref="B158:B196"/>
    <mergeCell ref="B197:B241"/>
    <mergeCell ref="B242:B246"/>
    <mergeCell ref="B247:B265"/>
    <mergeCell ref="B266:B297"/>
    <mergeCell ref="B480:B491"/>
    <mergeCell ref="B492:B530"/>
    <mergeCell ref="B298:B303"/>
    <mergeCell ref="B304:B313"/>
    <mergeCell ref="B314:B331"/>
    <mergeCell ref="B332:B350"/>
    <mergeCell ref="B351:B395"/>
    <mergeCell ref="B396:B421"/>
    <mergeCell ref="B812:B828"/>
    <mergeCell ref="B653:B681"/>
    <mergeCell ref="B682:B696"/>
    <mergeCell ref="B697:B723"/>
    <mergeCell ref="B531:B554"/>
    <mergeCell ref="B555:B598"/>
    <mergeCell ref="B599:B625"/>
    <mergeCell ref="B626:B644"/>
    <mergeCell ref="B645:B650"/>
    <mergeCell ref="B651:B652"/>
    <mergeCell ref="B724:B746"/>
    <mergeCell ref="B747:B777"/>
    <mergeCell ref="B778:B789"/>
    <mergeCell ref="B790:B806"/>
    <mergeCell ref="B807:B811"/>
    <mergeCell ref="B829:B860"/>
    <mergeCell ref="B861:B873"/>
    <mergeCell ref="B874:B893"/>
    <mergeCell ref="B894:B902"/>
    <mergeCell ref="B903:B939"/>
    <mergeCell ref="B940:B952"/>
    <mergeCell ref="B953:B964"/>
    <mergeCell ref="B965:B975"/>
    <mergeCell ref="B976:B992"/>
    <mergeCell ref="B993:B1010"/>
    <mergeCell ref="B1043:C1043"/>
    <mergeCell ref="B1011:B1015"/>
    <mergeCell ref="B1016:B1019"/>
    <mergeCell ref="B1020:B1038"/>
    <mergeCell ref="B1039:B104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E71"/>
  <sheetViews>
    <sheetView showGridLines="0" view="pageBreakPreview" topLeftCell="A30" zoomScale="115" zoomScaleNormal="100" zoomScaleSheetLayoutView="115" workbookViewId="0">
      <selection activeCell="C37" sqref="C37"/>
    </sheetView>
  </sheetViews>
  <sheetFormatPr baseColWidth="10" defaultColWidth="11.42578125" defaultRowHeight="15"/>
  <cols>
    <col min="1" max="1" width="9.28515625" style="10" customWidth="1"/>
    <col min="2" max="2" width="34" style="10" customWidth="1"/>
    <col min="3" max="3" width="17.7109375" style="11" customWidth="1"/>
    <col min="4" max="4" width="17.7109375" style="10" customWidth="1"/>
    <col min="5" max="5" width="9.28515625" style="10" customWidth="1"/>
    <col min="6" max="6" width="3.42578125" style="10" customWidth="1"/>
    <col min="7" max="16384" width="11.42578125" style="10"/>
  </cols>
  <sheetData>
    <row r="1" spans="2:5" s="22" customFormat="1" ht="15" customHeight="1">
      <c r="C1" s="28"/>
    </row>
    <row r="2" spans="2:5" s="22" customFormat="1" ht="15" customHeight="1">
      <c r="C2" s="28"/>
    </row>
    <row r="3" spans="2:5" s="22" customFormat="1" ht="15" customHeight="1">
      <c r="C3" s="28"/>
    </row>
    <row r="4" spans="2:5" s="22" customFormat="1" ht="30" customHeight="1">
      <c r="C4" s="28"/>
      <c r="D4" s="27"/>
    </row>
    <row r="5" spans="2:5" s="22" customFormat="1" ht="15" customHeight="1">
      <c r="C5" s="28"/>
      <c r="D5" s="27"/>
    </row>
    <row r="6" spans="2:5" s="22" customFormat="1" ht="15" customHeight="1">
      <c r="C6" s="28"/>
      <c r="D6" s="27"/>
    </row>
    <row r="7" spans="2:5" s="22" customFormat="1" ht="15" customHeight="1">
      <c r="B7" s="90" t="s">
        <v>38</v>
      </c>
      <c r="C7" s="90"/>
      <c r="D7" s="90"/>
    </row>
    <row r="8" spans="2:5" s="22" customFormat="1" ht="15" customHeight="1">
      <c r="B8" s="90"/>
      <c r="C8" s="90"/>
      <c r="D8" s="90"/>
    </row>
    <row r="9" spans="2:5" s="22" customFormat="1" ht="33" customHeight="1">
      <c r="B9" s="90"/>
      <c r="C9" s="90"/>
      <c r="D9" s="90"/>
    </row>
    <row r="10" spans="2:5" s="22" customFormat="1" ht="4.5" customHeight="1">
      <c r="B10" s="26"/>
      <c r="C10" s="26"/>
      <c r="D10" s="26"/>
    </row>
    <row r="11" spans="2:5" s="22" customFormat="1" ht="33" customHeight="1">
      <c r="B11" s="25" t="s">
        <v>27</v>
      </c>
      <c r="C11" s="24" t="s">
        <v>26</v>
      </c>
      <c r="D11" s="23" t="s">
        <v>19</v>
      </c>
    </row>
    <row r="12" spans="2:5">
      <c r="B12" s="20" t="s">
        <v>194</v>
      </c>
      <c r="C12" s="19">
        <v>146</v>
      </c>
      <c r="D12" s="18">
        <v>6.0052648897660002E-3</v>
      </c>
    </row>
    <row r="13" spans="2:5">
      <c r="B13" s="20" t="s">
        <v>195</v>
      </c>
      <c r="C13" s="19">
        <v>70</v>
      </c>
      <c r="D13" s="18">
        <v>2.8792365909839999E-3</v>
      </c>
    </row>
    <row r="14" spans="2:5">
      <c r="B14" s="20" t="s">
        <v>196</v>
      </c>
      <c r="C14" s="19">
        <v>118</v>
      </c>
      <c r="D14" s="18">
        <v>4.8535702533730003E-3</v>
      </c>
      <c r="E14" s="21"/>
    </row>
    <row r="15" spans="2:5">
      <c r="B15" s="20" t="s">
        <v>197</v>
      </c>
      <c r="C15" s="19">
        <v>290</v>
      </c>
      <c r="D15" s="18">
        <v>1.1928265876933001E-2</v>
      </c>
      <c r="E15" s="21"/>
    </row>
    <row r="16" spans="2:5">
      <c r="B16" s="20" t="s">
        <v>198</v>
      </c>
      <c r="C16" s="19">
        <v>233</v>
      </c>
      <c r="D16" s="18">
        <v>9.5837446528459994E-3</v>
      </c>
    </row>
    <row r="17" spans="2:4">
      <c r="B17" s="20" t="s">
        <v>199</v>
      </c>
      <c r="C17" s="19">
        <v>328</v>
      </c>
      <c r="D17" s="18">
        <v>1.3491280026324E-2</v>
      </c>
    </row>
    <row r="18" spans="2:4">
      <c r="B18" s="20" t="s">
        <v>200</v>
      </c>
      <c r="C18" s="19">
        <v>1650</v>
      </c>
      <c r="D18" s="18">
        <v>6.7867719644620003E-2</v>
      </c>
    </row>
    <row r="19" spans="2:4" ht="15" customHeight="1">
      <c r="B19" s="20" t="s">
        <v>201</v>
      </c>
      <c r="C19" s="19">
        <v>1982</v>
      </c>
      <c r="D19" s="18">
        <v>8.1523527476142998E-2</v>
      </c>
    </row>
    <row r="20" spans="2:4">
      <c r="B20" s="20" t="s">
        <v>202</v>
      </c>
      <c r="C20" s="19">
        <v>272</v>
      </c>
      <c r="D20" s="18">
        <v>1.1187890753537001E-2</v>
      </c>
    </row>
    <row r="21" spans="2:4">
      <c r="B21" s="20" t="s">
        <v>203</v>
      </c>
      <c r="C21" s="19">
        <v>593</v>
      </c>
      <c r="D21" s="18">
        <v>2.4391247120763002E-2</v>
      </c>
    </row>
    <row r="22" spans="2:4">
      <c r="B22" s="20" t="s">
        <v>204</v>
      </c>
      <c r="C22" s="19">
        <v>1156</v>
      </c>
      <c r="D22" s="18">
        <v>4.7548535702533999E-2</v>
      </c>
    </row>
    <row r="23" spans="2:4">
      <c r="B23" s="20" t="s">
        <v>205</v>
      </c>
      <c r="C23" s="19">
        <v>6137</v>
      </c>
      <c r="D23" s="18">
        <v>0.25242678512668598</v>
      </c>
    </row>
    <row r="24" spans="2:4">
      <c r="B24" s="20" t="s">
        <v>206</v>
      </c>
      <c r="C24" s="19">
        <v>457</v>
      </c>
      <c r="D24" s="18">
        <v>1.8797301743995E-2</v>
      </c>
    </row>
    <row r="25" spans="2:4">
      <c r="B25" s="20" t="s">
        <v>207</v>
      </c>
      <c r="C25" s="19">
        <v>1865</v>
      </c>
      <c r="D25" s="18">
        <v>7.6711089174070005E-2</v>
      </c>
    </row>
    <row r="26" spans="2:4">
      <c r="B26" s="20" t="s">
        <v>208</v>
      </c>
      <c r="C26" s="19">
        <v>6411</v>
      </c>
      <c r="D26" s="18">
        <v>0.26369693978282299</v>
      </c>
    </row>
    <row r="27" spans="2:4">
      <c r="B27" s="20" t="s">
        <v>209</v>
      </c>
      <c r="C27" s="19">
        <v>166</v>
      </c>
      <c r="D27" s="18">
        <v>6.8279039157619998E-3</v>
      </c>
    </row>
    <row r="28" spans="2:4">
      <c r="B28" s="20" t="s">
        <v>210</v>
      </c>
      <c r="C28" s="19">
        <v>149</v>
      </c>
      <c r="D28" s="18">
        <v>6.1286607436659996E-3</v>
      </c>
    </row>
    <row r="29" spans="2:4">
      <c r="B29" s="20" t="s">
        <v>211</v>
      </c>
      <c r="C29" s="19">
        <v>85</v>
      </c>
      <c r="D29" s="18">
        <v>3.4962158604800002E-3</v>
      </c>
    </row>
    <row r="30" spans="2:4">
      <c r="B30" s="20" t="s">
        <v>212</v>
      </c>
      <c r="C30" s="19">
        <v>46</v>
      </c>
      <c r="D30" s="18">
        <v>1.8920697597890001E-3</v>
      </c>
    </row>
    <row r="31" spans="2:4">
      <c r="B31" s="20" t="s">
        <v>213</v>
      </c>
      <c r="C31" s="19">
        <v>454</v>
      </c>
      <c r="D31" s="18">
        <v>1.8673905890094999E-2</v>
      </c>
    </row>
    <row r="32" spans="2:4">
      <c r="B32" s="20" t="s">
        <v>214</v>
      </c>
      <c r="C32" s="19">
        <v>1608</v>
      </c>
      <c r="D32" s="18">
        <v>6.614017769003E-2</v>
      </c>
    </row>
    <row r="33" spans="2:4">
      <c r="B33" s="20" t="s">
        <v>215</v>
      </c>
      <c r="C33" s="19">
        <v>17</v>
      </c>
      <c r="D33" s="18">
        <v>6.9924317209599999E-4</v>
      </c>
    </row>
    <row r="34" spans="2:4">
      <c r="B34" s="20" t="s">
        <v>216</v>
      </c>
      <c r="C34" s="19">
        <v>63</v>
      </c>
      <c r="D34" s="18">
        <v>2.5913129318849999E-3</v>
      </c>
    </row>
    <row r="35" spans="2:4">
      <c r="B35" s="20" t="s">
        <v>217</v>
      </c>
      <c r="C35" s="19">
        <v>15</v>
      </c>
      <c r="D35" s="18">
        <v>6.1697926949700005E-4</v>
      </c>
    </row>
    <row r="36" spans="2:4">
      <c r="B36" s="20" t="s">
        <v>218</v>
      </c>
      <c r="C36" s="19">
        <v>1</v>
      </c>
      <c r="D36" s="18">
        <v>4.1131951299999999E-5</v>
      </c>
    </row>
    <row r="37" spans="2:4">
      <c r="B37" s="17" t="s">
        <v>29</v>
      </c>
      <c r="C37" s="16">
        <v>24312</v>
      </c>
      <c r="D37" s="15">
        <v>1</v>
      </c>
    </row>
    <row r="38" spans="2:4">
      <c r="B38" s="55"/>
    </row>
    <row r="39" spans="2:4">
      <c r="B39" s="12" t="s">
        <v>47</v>
      </c>
    </row>
    <row r="40" spans="2:4">
      <c r="B40" s="14" t="s">
        <v>18</v>
      </c>
    </row>
    <row r="41" spans="2:4">
      <c r="B41" s="13" t="s">
        <v>48</v>
      </c>
    </row>
    <row r="42" spans="2:4">
      <c r="B42" s="12" t="s">
        <v>17</v>
      </c>
    </row>
    <row r="43" spans="2:4">
      <c r="B43" s="12" t="s">
        <v>49</v>
      </c>
    </row>
    <row r="46" spans="2:4">
      <c r="C46" s="10"/>
    </row>
    <row r="47" spans="2:4">
      <c r="C47" s="10"/>
    </row>
    <row r="48" spans="2:4">
      <c r="C48" s="10"/>
    </row>
    <row r="49" spans="3:3">
      <c r="C49" s="10"/>
    </row>
    <row r="50" spans="3:3">
      <c r="C50" s="10"/>
    </row>
    <row r="51" spans="3:3">
      <c r="C51" s="10"/>
    </row>
    <row r="52" spans="3:3">
      <c r="C52" s="10"/>
    </row>
    <row r="53" spans="3:3">
      <c r="C53" s="10"/>
    </row>
    <row r="54" spans="3:3">
      <c r="C54" s="10"/>
    </row>
    <row r="55" spans="3:3">
      <c r="C55" s="10"/>
    </row>
    <row r="56" spans="3:3">
      <c r="C56" s="10"/>
    </row>
    <row r="57" spans="3:3">
      <c r="C57" s="10"/>
    </row>
    <row r="58" spans="3:3">
      <c r="C58" s="10"/>
    </row>
    <row r="59" spans="3:3">
      <c r="C59" s="10"/>
    </row>
    <row r="60" spans="3:3">
      <c r="C60" s="10"/>
    </row>
    <row r="61" spans="3:3">
      <c r="C61" s="10"/>
    </row>
    <row r="62" spans="3:3">
      <c r="C62" s="10"/>
    </row>
    <row r="63" spans="3:3">
      <c r="C63" s="10"/>
    </row>
    <row r="64" spans="3:3">
      <c r="C64" s="10"/>
    </row>
    <row r="65" spans="3:3">
      <c r="C65" s="10"/>
    </row>
    <row r="66" spans="3:3">
      <c r="C66" s="10"/>
    </row>
    <row r="67" spans="3:3">
      <c r="C67" s="10"/>
    </row>
    <row r="68" spans="3:3">
      <c r="C68" s="10"/>
    </row>
    <row r="69" spans="3:3">
      <c r="C69" s="10"/>
    </row>
    <row r="70" spans="3:3">
      <c r="C70" s="10"/>
    </row>
    <row r="71" spans="3:3">
      <c r="C71" s="1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588"/>
  <sheetViews>
    <sheetView showGridLines="0" view="pageBreakPreview" topLeftCell="A329" zoomScale="85" zoomScaleNormal="100" zoomScaleSheetLayoutView="85" workbookViewId="0">
      <selection activeCell="B586" sqref="B586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3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8"/>
      <c r="C7" s="98"/>
      <c r="D7" s="98"/>
      <c r="E7" s="98"/>
    </row>
    <row r="8" spans="1:5" s="41" customFormat="1" ht="33" customHeight="1">
      <c r="A8" s="42"/>
      <c r="B8" s="98"/>
      <c r="C8" s="98"/>
      <c r="D8" s="98"/>
      <c r="E8" s="98"/>
    </row>
    <row r="9" spans="1:5" s="22" customFormat="1" ht="40.5" customHeight="1">
      <c r="B9" s="38" t="s">
        <v>28</v>
      </c>
      <c r="C9" s="40" t="s">
        <v>25</v>
      </c>
      <c r="D9" s="39" t="s">
        <v>20</v>
      </c>
      <c r="E9" s="38" t="s">
        <v>19</v>
      </c>
    </row>
    <row r="10" spans="1:5">
      <c r="B10" s="93" t="s">
        <v>194</v>
      </c>
      <c r="C10" s="71" t="s">
        <v>103</v>
      </c>
      <c r="D10" s="72">
        <v>1</v>
      </c>
      <c r="E10" s="73">
        <v>4.1131951299999999E-5</v>
      </c>
    </row>
    <row r="11" spans="1:5">
      <c r="B11" s="94"/>
      <c r="C11" s="71" t="s">
        <v>104</v>
      </c>
      <c r="D11" s="72">
        <v>2</v>
      </c>
      <c r="E11" s="73">
        <v>8.2263902599999999E-5</v>
      </c>
    </row>
    <row r="12" spans="1:5">
      <c r="B12" s="94"/>
      <c r="C12" s="71" t="s">
        <v>105</v>
      </c>
      <c r="D12" s="72">
        <v>1</v>
      </c>
      <c r="E12" s="73">
        <v>4.1131951299999999E-5</v>
      </c>
    </row>
    <row r="13" spans="1:5">
      <c r="B13" s="94"/>
      <c r="C13" s="71" t="s">
        <v>110</v>
      </c>
      <c r="D13" s="72">
        <v>4</v>
      </c>
      <c r="E13" s="73">
        <v>1.6452780519900001E-4</v>
      </c>
    </row>
    <row r="14" spans="1:5">
      <c r="B14" s="94"/>
      <c r="C14" s="71" t="s">
        <v>111</v>
      </c>
      <c r="D14" s="72">
        <v>6</v>
      </c>
      <c r="E14" s="73">
        <v>2.4679170779900002E-4</v>
      </c>
    </row>
    <row r="15" spans="1:5">
      <c r="B15" s="94"/>
      <c r="C15" s="71" t="s">
        <v>113</v>
      </c>
      <c r="D15" s="72">
        <v>2</v>
      </c>
      <c r="E15" s="73">
        <v>8.2263902599999999E-5</v>
      </c>
    </row>
    <row r="16" spans="1:5">
      <c r="B16" s="94"/>
      <c r="C16" s="71" t="s">
        <v>114</v>
      </c>
      <c r="D16" s="72">
        <v>1</v>
      </c>
      <c r="E16" s="73">
        <v>4.1131951299999999E-5</v>
      </c>
    </row>
    <row r="17" spans="2:5">
      <c r="B17" s="94"/>
      <c r="C17" s="71" t="s">
        <v>118</v>
      </c>
      <c r="D17" s="72">
        <v>1</v>
      </c>
      <c r="E17" s="73">
        <v>4.1131951299999999E-5</v>
      </c>
    </row>
    <row r="18" spans="2:5">
      <c r="B18" s="94"/>
      <c r="C18" s="71" t="s">
        <v>122</v>
      </c>
      <c r="D18" s="72">
        <v>1</v>
      </c>
      <c r="E18" s="73">
        <v>4.1131951299999999E-5</v>
      </c>
    </row>
    <row r="19" spans="2:5">
      <c r="B19" s="94"/>
      <c r="C19" s="71" t="s">
        <v>124</v>
      </c>
      <c r="D19" s="72">
        <v>4</v>
      </c>
      <c r="E19" s="73">
        <v>1.6452780519900001E-4</v>
      </c>
    </row>
    <row r="20" spans="2:5">
      <c r="B20" s="94"/>
      <c r="C20" s="71" t="s">
        <v>128</v>
      </c>
      <c r="D20" s="72">
        <v>1</v>
      </c>
      <c r="E20" s="73">
        <v>4.1131951299999999E-5</v>
      </c>
    </row>
    <row r="21" spans="2:5">
      <c r="B21" s="94"/>
      <c r="C21" s="71" t="s">
        <v>129</v>
      </c>
      <c r="D21" s="72">
        <v>1</v>
      </c>
      <c r="E21" s="73">
        <v>4.1131951299999999E-5</v>
      </c>
    </row>
    <row r="22" spans="2:5">
      <c r="B22" s="94"/>
      <c r="C22" s="71" t="s">
        <v>132</v>
      </c>
      <c r="D22" s="72">
        <v>4</v>
      </c>
      <c r="E22" s="73">
        <v>1.6452780519900001E-4</v>
      </c>
    </row>
    <row r="23" spans="2:5">
      <c r="B23" s="94"/>
      <c r="C23" s="71" t="s">
        <v>134</v>
      </c>
      <c r="D23" s="72">
        <v>2</v>
      </c>
      <c r="E23" s="73">
        <v>8.2263902599999999E-5</v>
      </c>
    </row>
    <row r="24" spans="2:5">
      <c r="B24" s="94"/>
      <c r="C24" s="71" t="s">
        <v>135</v>
      </c>
      <c r="D24" s="72">
        <v>5</v>
      </c>
      <c r="E24" s="73">
        <v>2.0565975649899999E-4</v>
      </c>
    </row>
    <row r="25" spans="2:5">
      <c r="B25" s="94"/>
      <c r="C25" s="71" t="s">
        <v>141</v>
      </c>
      <c r="D25" s="72">
        <v>2</v>
      </c>
      <c r="E25" s="73">
        <v>8.2263902599999999E-5</v>
      </c>
    </row>
    <row r="26" spans="2:5">
      <c r="B26" s="94"/>
      <c r="C26" s="71" t="s">
        <v>142</v>
      </c>
      <c r="D26" s="72">
        <v>107</v>
      </c>
      <c r="E26" s="73">
        <v>4.4011187890749997E-3</v>
      </c>
    </row>
    <row r="27" spans="2:5">
      <c r="B27" s="94"/>
      <c r="C27" s="71" t="s">
        <v>145</v>
      </c>
      <c r="D27" s="72">
        <v>1</v>
      </c>
      <c r="E27" s="73">
        <v>4.1131951299999999E-5</v>
      </c>
    </row>
    <row r="28" spans="2:5">
      <c r="B28" s="95"/>
      <c r="C28" s="36" t="s">
        <v>29</v>
      </c>
      <c r="D28" s="35">
        <v>146</v>
      </c>
      <c r="E28" s="34">
        <v>6.0052648897660002E-3</v>
      </c>
    </row>
    <row r="29" spans="2:5">
      <c r="B29" s="93" t="s">
        <v>195</v>
      </c>
      <c r="C29" s="71" t="s">
        <v>101</v>
      </c>
      <c r="D29" s="72">
        <v>1</v>
      </c>
      <c r="E29" s="73">
        <v>4.1131951299999999E-5</v>
      </c>
    </row>
    <row r="30" spans="2:5">
      <c r="B30" s="94"/>
      <c r="C30" s="71" t="s">
        <v>103</v>
      </c>
      <c r="D30" s="72">
        <v>1</v>
      </c>
      <c r="E30" s="73">
        <v>4.1131951299999999E-5</v>
      </c>
    </row>
    <row r="31" spans="2:5">
      <c r="B31" s="94"/>
      <c r="C31" s="71" t="s">
        <v>105</v>
      </c>
      <c r="D31" s="72">
        <v>1</v>
      </c>
      <c r="E31" s="73">
        <v>4.1131951299999999E-5</v>
      </c>
    </row>
    <row r="32" spans="2:5">
      <c r="B32" s="94"/>
      <c r="C32" s="71" t="s">
        <v>110</v>
      </c>
      <c r="D32" s="72">
        <v>2</v>
      </c>
      <c r="E32" s="73">
        <v>8.2263902599999999E-5</v>
      </c>
    </row>
    <row r="33" spans="2:5">
      <c r="B33" s="94"/>
      <c r="C33" s="71" t="s">
        <v>111</v>
      </c>
      <c r="D33" s="72">
        <v>3</v>
      </c>
      <c r="E33" s="73">
        <v>1.23395853899E-4</v>
      </c>
    </row>
    <row r="34" spans="2:5">
      <c r="B34" s="94"/>
      <c r="C34" s="71" t="s">
        <v>112</v>
      </c>
      <c r="D34" s="72">
        <v>1</v>
      </c>
      <c r="E34" s="73">
        <v>4.1131951299999999E-5</v>
      </c>
    </row>
    <row r="35" spans="2:5">
      <c r="B35" s="94"/>
      <c r="C35" s="71" t="s">
        <v>113</v>
      </c>
      <c r="D35" s="72">
        <v>1</v>
      </c>
      <c r="E35" s="73">
        <v>4.1131951299999999E-5</v>
      </c>
    </row>
    <row r="36" spans="2:5">
      <c r="B36" s="94"/>
      <c r="C36" s="71" t="s">
        <v>118</v>
      </c>
      <c r="D36" s="72">
        <v>1</v>
      </c>
      <c r="E36" s="73">
        <v>4.1131951299999999E-5</v>
      </c>
    </row>
    <row r="37" spans="2:5">
      <c r="B37" s="94"/>
      <c r="C37" s="71" t="s">
        <v>124</v>
      </c>
      <c r="D37" s="72">
        <v>1</v>
      </c>
      <c r="E37" s="73">
        <v>4.1131951299999999E-5</v>
      </c>
    </row>
    <row r="38" spans="2:5">
      <c r="B38" s="94"/>
      <c r="C38" s="71" t="s">
        <v>132</v>
      </c>
      <c r="D38" s="72">
        <v>2</v>
      </c>
      <c r="E38" s="73">
        <v>8.2263902599999999E-5</v>
      </c>
    </row>
    <row r="39" spans="2:5">
      <c r="B39" s="94"/>
      <c r="C39" s="71" t="s">
        <v>142</v>
      </c>
      <c r="D39" s="72">
        <v>56</v>
      </c>
      <c r="E39" s="73">
        <v>2.3033892727869999E-3</v>
      </c>
    </row>
    <row r="40" spans="2:5">
      <c r="B40" s="95"/>
      <c r="C40" s="36" t="s">
        <v>29</v>
      </c>
      <c r="D40" s="35">
        <v>70</v>
      </c>
      <c r="E40" s="34">
        <v>2.8792365909839999E-3</v>
      </c>
    </row>
    <row r="41" spans="2:5">
      <c r="B41" s="93" t="s">
        <v>196</v>
      </c>
      <c r="C41" s="71" t="s">
        <v>101</v>
      </c>
      <c r="D41" s="72">
        <v>2</v>
      </c>
      <c r="E41" s="73">
        <v>8.2263902599999999E-5</v>
      </c>
    </row>
    <row r="42" spans="2:5">
      <c r="B42" s="94"/>
      <c r="C42" s="71" t="s">
        <v>104</v>
      </c>
      <c r="D42" s="72">
        <v>1</v>
      </c>
      <c r="E42" s="73">
        <v>4.1131951299999999E-5</v>
      </c>
    </row>
    <row r="43" spans="2:5">
      <c r="B43" s="94"/>
      <c r="C43" s="71" t="s">
        <v>105</v>
      </c>
      <c r="D43" s="72">
        <v>3</v>
      </c>
      <c r="E43" s="73">
        <v>1.23395853899E-4</v>
      </c>
    </row>
    <row r="44" spans="2:5">
      <c r="B44" s="94"/>
      <c r="C44" s="71" t="s">
        <v>106</v>
      </c>
      <c r="D44" s="72">
        <v>1</v>
      </c>
      <c r="E44" s="73">
        <v>4.1131951299999999E-5</v>
      </c>
    </row>
    <row r="45" spans="2:5">
      <c r="B45" s="94"/>
      <c r="C45" s="71" t="s">
        <v>110</v>
      </c>
      <c r="D45" s="72">
        <v>6</v>
      </c>
      <c r="E45" s="73">
        <v>2.4679170779900002E-4</v>
      </c>
    </row>
    <row r="46" spans="2:5">
      <c r="B46" s="94"/>
      <c r="C46" s="71" t="s">
        <v>111</v>
      </c>
      <c r="D46" s="72">
        <v>1</v>
      </c>
      <c r="E46" s="73">
        <v>4.1131951299999999E-5</v>
      </c>
    </row>
    <row r="47" spans="2:5">
      <c r="B47" s="94"/>
      <c r="C47" s="71" t="s">
        <v>113</v>
      </c>
      <c r="D47" s="72">
        <v>3</v>
      </c>
      <c r="E47" s="73">
        <v>1.23395853899E-4</v>
      </c>
    </row>
    <row r="48" spans="2:5">
      <c r="B48" s="94"/>
      <c r="C48" s="71" t="s">
        <v>115</v>
      </c>
      <c r="D48" s="72">
        <v>1</v>
      </c>
      <c r="E48" s="73">
        <v>4.1131951299999999E-5</v>
      </c>
    </row>
    <row r="49" spans="2:5">
      <c r="B49" s="94"/>
      <c r="C49" s="71" t="s">
        <v>117</v>
      </c>
      <c r="D49" s="72">
        <v>1</v>
      </c>
      <c r="E49" s="73">
        <v>4.1131951299999999E-5</v>
      </c>
    </row>
    <row r="50" spans="2:5">
      <c r="B50" s="94"/>
      <c r="C50" s="71" t="s">
        <v>118</v>
      </c>
      <c r="D50" s="72">
        <v>1</v>
      </c>
      <c r="E50" s="73">
        <v>4.1131951299999999E-5</v>
      </c>
    </row>
    <row r="51" spans="2:5">
      <c r="B51" s="94"/>
      <c r="C51" s="71" t="s">
        <v>124</v>
      </c>
      <c r="D51" s="72">
        <v>1</v>
      </c>
      <c r="E51" s="73">
        <v>4.1131951299999999E-5</v>
      </c>
    </row>
    <row r="52" spans="2:5">
      <c r="B52" s="94"/>
      <c r="C52" s="71" t="s">
        <v>132</v>
      </c>
      <c r="D52" s="72">
        <v>2</v>
      </c>
      <c r="E52" s="73">
        <v>8.2263902599999999E-5</v>
      </c>
    </row>
    <row r="53" spans="2:5">
      <c r="B53" s="94"/>
      <c r="C53" s="71" t="s">
        <v>134</v>
      </c>
      <c r="D53" s="72">
        <v>1</v>
      </c>
      <c r="E53" s="73">
        <v>4.1131951299999999E-5</v>
      </c>
    </row>
    <row r="54" spans="2:5">
      <c r="B54" s="94"/>
      <c r="C54" s="71" t="s">
        <v>135</v>
      </c>
      <c r="D54" s="72">
        <v>1</v>
      </c>
      <c r="E54" s="73">
        <v>4.1131951299999999E-5</v>
      </c>
    </row>
    <row r="55" spans="2:5">
      <c r="B55" s="94"/>
      <c r="C55" s="71" t="s">
        <v>139</v>
      </c>
      <c r="D55" s="72">
        <v>1</v>
      </c>
      <c r="E55" s="73">
        <v>4.1131951299999999E-5</v>
      </c>
    </row>
    <row r="56" spans="2:5">
      <c r="B56" s="94"/>
      <c r="C56" s="71" t="s">
        <v>141</v>
      </c>
      <c r="D56" s="72">
        <v>1</v>
      </c>
      <c r="E56" s="73">
        <v>4.1131951299999999E-5</v>
      </c>
    </row>
    <row r="57" spans="2:5">
      <c r="B57" s="94"/>
      <c r="C57" s="71" t="s">
        <v>142</v>
      </c>
      <c r="D57" s="72">
        <v>89</v>
      </c>
      <c r="E57" s="73">
        <v>3.66074366568E-3</v>
      </c>
    </row>
    <row r="58" spans="2:5">
      <c r="B58" s="94"/>
      <c r="C58" s="71" t="s">
        <v>147</v>
      </c>
      <c r="D58" s="72">
        <v>2</v>
      </c>
      <c r="E58" s="73">
        <v>8.2263902599999999E-5</v>
      </c>
    </row>
    <row r="59" spans="2:5">
      <c r="B59" s="95"/>
      <c r="C59" s="36" t="s">
        <v>29</v>
      </c>
      <c r="D59" s="35">
        <v>118</v>
      </c>
      <c r="E59" s="34">
        <v>4.8535702533730003E-3</v>
      </c>
    </row>
    <row r="60" spans="2:5">
      <c r="B60" s="93" t="s">
        <v>197</v>
      </c>
      <c r="C60" s="71" t="s">
        <v>101</v>
      </c>
      <c r="D60" s="72">
        <v>2</v>
      </c>
      <c r="E60" s="73">
        <v>8.2263902599999999E-5</v>
      </c>
    </row>
    <row r="61" spans="2:5">
      <c r="B61" s="94"/>
      <c r="C61" s="71" t="s">
        <v>104</v>
      </c>
      <c r="D61" s="72">
        <v>4</v>
      </c>
      <c r="E61" s="73">
        <v>1.6452780519900001E-4</v>
      </c>
    </row>
    <row r="62" spans="2:5">
      <c r="B62" s="94"/>
      <c r="C62" s="71" t="s">
        <v>105</v>
      </c>
      <c r="D62" s="72">
        <v>6</v>
      </c>
      <c r="E62" s="73">
        <v>2.4679170779900002E-4</v>
      </c>
    </row>
    <row r="63" spans="2:5">
      <c r="B63" s="94"/>
      <c r="C63" s="71" t="s">
        <v>110</v>
      </c>
      <c r="D63" s="72">
        <v>9</v>
      </c>
      <c r="E63" s="73">
        <v>3.7018756169799997E-4</v>
      </c>
    </row>
    <row r="64" spans="2:5">
      <c r="B64" s="94"/>
      <c r="C64" s="71" t="s">
        <v>111</v>
      </c>
      <c r="D64" s="72">
        <v>4</v>
      </c>
      <c r="E64" s="73">
        <v>1.6452780519900001E-4</v>
      </c>
    </row>
    <row r="65" spans="2:5">
      <c r="B65" s="94"/>
      <c r="C65" s="71" t="s">
        <v>113</v>
      </c>
      <c r="D65" s="72">
        <v>2</v>
      </c>
      <c r="E65" s="73">
        <v>8.2263902599999999E-5</v>
      </c>
    </row>
    <row r="66" spans="2:5">
      <c r="B66" s="94"/>
      <c r="C66" s="71" t="s">
        <v>117</v>
      </c>
      <c r="D66" s="72">
        <v>1</v>
      </c>
      <c r="E66" s="73">
        <v>4.1131951299999999E-5</v>
      </c>
    </row>
    <row r="67" spans="2:5">
      <c r="B67" s="94"/>
      <c r="C67" s="71" t="s">
        <v>118</v>
      </c>
      <c r="D67" s="72">
        <v>1</v>
      </c>
      <c r="E67" s="73">
        <v>4.1131951299999999E-5</v>
      </c>
    </row>
    <row r="68" spans="2:5">
      <c r="B68" s="94"/>
      <c r="C68" s="71" t="s">
        <v>122</v>
      </c>
      <c r="D68" s="72">
        <v>3</v>
      </c>
      <c r="E68" s="73">
        <v>1.23395853899E-4</v>
      </c>
    </row>
    <row r="69" spans="2:5">
      <c r="B69" s="94"/>
      <c r="C69" s="71" t="s">
        <v>123</v>
      </c>
      <c r="D69" s="72">
        <v>1</v>
      </c>
      <c r="E69" s="73">
        <v>4.1131951299999999E-5</v>
      </c>
    </row>
    <row r="70" spans="2:5">
      <c r="B70" s="94"/>
      <c r="C70" s="71" t="s">
        <v>124</v>
      </c>
      <c r="D70" s="72">
        <v>4</v>
      </c>
      <c r="E70" s="73">
        <v>1.6452780519900001E-4</v>
      </c>
    </row>
    <row r="71" spans="2:5">
      <c r="B71" s="94"/>
      <c r="C71" s="71" t="s">
        <v>125</v>
      </c>
      <c r="D71" s="72">
        <v>1</v>
      </c>
      <c r="E71" s="73">
        <v>4.1131951299999999E-5</v>
      </c>
    </row>
    <row r="72" spans="2:5">
      <c r="B72" s="94"/>
      <c r="C72" s="71" t="s">
        <v>127</v>
      </c>
      <c r="D72" s="72">
        <v>1</v>
      </c>
      <c r="E72" s="73">
        <v>4.1131951299999999E-5</v>
      </c>
    </row>
    <row r="73" spans="2:5">
      <c r="B73" s="94"/>
      <c r="C73" s="71" t="s">
        <v>129</v>
      </c>
      <c r="D73" s="72">
        <v>2</v>
      </c>
      <c r="E73" s="73">
        <v>8.2263902599999999E-5</v>
      </c>
    </row>
    <row r="74" spans="2:5">
      <c r="B74" s="94"/>
      <c r="C74" s="71" t="s">
        <v>132</v>
      </c>
      <c r="D74" s="72">
        <v>4</v>
      </c>
      <c r="E74" s="73">
        <v>1.6452780519900001E-4</v>
      </c>
    </row>
    <row r="75" spans="2:5">
      <c r="B75" s="94"/>
      <c r="C75" s="71" t="s">
        <v>134</v>
      </c>
      <c r="D75" s="72">
        <v>3</v>
      </c>
      <c r="E75" s="73">
        <v>1.23395853899E-4</v>
      </c>
    </row>
    <row r="76" spans="2:5">
      <c r="B76" s="94"/>
      <c r="C76" s="71" t="s">
        <v>135</v>
      </c>
      <c r="D76" s="72">
        <v>2</v>
      </c>
      <c r="E76" s="73">
        <v>8.2263902599999999E-5</v>
      </c>
    </row>
    <row r="77" spans="2:5">
      <c r="B77" s="94"/>
      <c r="C77" s="71" t="s">
        <v>139</v>
      </c>
      <c r="D77" s="72">
        <v>3</v>
      </c>
      <c r="E77" s="73">
        <v>1.23395853899E-4</v>
      </c>
    </row>
    <row r="78" spans="2:5">
      <c r="B78" s="94"/>
      <c r="C78" s="71" t="s">
        <v>141</v>
      </c>
      <c r="D78" s="72">
        <v>5</v>
      </c>
      <c r="E78" s="73">
        <v>2.0565975649899999E-4</v>
      </c>
    </row>
    <row r="79" spans="2:5">
      <c r="B79" s="94"/>
      <c r="C79" s="71" t="s">
        <v>142</v>
      </c>
      <c r="D79" s="72">
        <v>232</v>
      </c>
      <c r="E79" s="73">
        <v>9.542612701547E-3</v>
      </c>
    </row>
    <row r="80" spans="2:5">
      <c r="B80" s="95"/>
      <c r="C80" s="36" t="s">
        <v>29</v>
      </c>
      <c r="D80" s="35">
        <v>290</v>
      </c>
      <c r="E80" s="34">
        <v>1.1928265876933001E-2</v>
      </c>
    </row>
    <row r="81" spans="2:5">
      <c r="B81" s="93" t="s">
        <v>198</v>
      </c>
      <c r="C81" s="71" t="s">
        <v>101</v>
      </c>
      <c r="D81" s="72">
        <v>1</v>
      </c>
      <c r="E81" s="73">
        <v>4.1131951299999999E-5</v>
      </c>
    </row>
    <row r="82" spans="2:5">
      <c r="B82" s="94"/>
      <c r="C82" s="71" t="s">
        <v>104</v>
      </c>
      <c r="D82" s="72">
        <v>4</v>
      </c>
      <c r="E82" s="73">
        <v>1.6452780519900001E-4</v>
      </c>
    </row>
    <row r="83" spans="2:5">
      <c r="B83" s="94"/>
      <c r="C83" s="71" t="s">
        <v>105</v>
      </c>
      <c r="D83" s="72">
        <v>5</v>
      </c>
      <c r="E83" s="73">
        <v>2.0565975649899999E-4</v>
      </c>
    </row>
    <row r="84" spans="2:5">
      <c r="B84" s="94"/>
      <c r="C84" s="71" t="s">
        <v>110</v>
      </c>
      <c r="D84" s="72">
        <v>6</v>
      </c>
      <c r="E84" s="73">
        <v>2.4679170779900002E-4</v>
      </c>
    </row>
    <row r="85" spans="2:5">
      <c r="B85" s="94"/>
      <c r="C85" s="71" t="s">
        <v>111</v>
      </c>
      <c r="D85" s="72">
        <v>4</v>
      </c>
      <c r="E85" s="73">
        <v>1.6452780519900001E-4</v>
      </c>
    </row>
    <row r="86" spans="2:5">
      <c r="B86" s="94"/>
      <c r="C86" s="71" t="s">
        <v>113</v>
      </c>
      <c r="D86" s="72">
        <v>1</v>
      </c>
      <c r="E86" s="73">
        <v>4.1131951299999999E-5</v>
      </c>
    </row>
    <row r="87" spans="2:5">
      <c r="B87" s="94"/>
      <c r="C87" s="71" t="s">
        <v>114</v>
      </c>
      <c r="D87" s="72">
        <v>1</v>
      </c>
      <c r="E87" s="73">
        <v>4.1131951299999999E-5</v>
      </c>
    </row>
    <row r="88" spans="2:5">
      <c r="B88" s="94"/>
      <c r="C88" s="71" t="s">
        <v>117</v>
      </c>
      <c r="D88" s="72">
        <v>1</v>
      </c>
      <c r="E88" s="73">
        <v>4.1131951299999999E-5</v>
      </c>
    </row>
    <row r="89" spans="2:5">
      <c r="B89" s="94"/>
      <c r="C89" s="71" t="s">
        <v>118</v>
      </c>
      <c r="D89" s="72">
        <v>1</v>
      </c>
      <c r="E89" s="73">
        <v>4.1131951299999999E-5</v>
      </c>
    </row>
    <row r="90" spans="2:5">
      <c r="B90" s="94"/>
      <c r="C90" s="71" t="s">
        <v>122</v>
      </c>
      <c r="D90" s="72">
        <v>4</v>
      </c>
      <c r="E90" s="73">
        <v>1.6452780519900001E-4</v>
      </c>
    </row>
    <row r="91" spans="2:5">
      <c r="B91" s="94"/>
      <c r="C91" s="71" t="s">
        <v>123</v>
      </c>
      <c r="D91" s="72">
        <v>1</v>
      </c>
      <c r="E91" s="73">
        <v>4.1131951299999999E-5</v>
      </c>
    </row>
    <row r="92" spans="2:5">
      <c r="B92" s="94"/>
      <c r="C92" s="71" t="s">
        <v>124</v>
      </c>
      <c r="D92" s="72">
        <v>5</v>
      </c>
      <c r="E92" s="73">
        <v>2.0565975649899999E-4</v>
      </c>
    </row>
    <row r="93" spans="2:5">
      <c r="B93" s="94"/>
      <c r="C93" s="71" t="s">
        <v>125</v>
      </c>
      <c r="D93" s="72">
        <v>1</v>
      </c>
      <c r="E93" s="73">
        <v>4.1131951299999999E-5</v>
      </c>
    </row>
    <row r="94" spans="2:5">
      <c r="B94" s="94"/>
      <c r="C94" s="71" t="s">
        <v>132</v>
      </c>
      <c r="D94" s="72">
        <v>3</v>
      </c>
      <c r="E94" s="73">
        <v>1.23395853899E-4</v>
      </c>
    </row>
    <row r="95" spans="2:5">
      <c r="B95" s="94"/>
      <c r="C95" s="71" t="s">
        <v>134</v>
      </c>
      <c r="D95" s="72">
        <v>1</v>
      </c>
      <c r="E95" s="73">
        <v>4.1131951299999999E-5</v>
      </c>
    </row>
    <row r="96" spans="2:5">
      <c r="B96" s="94"/>
      <c r="C96" s="71" t="s">
        <v>135</v>
      </c>
      <c r="D96" s="72">
        <v>4</v>
      </c>
      <c r="E96" s="73">
        <v>1.6452780519900001E-4</v>
      </c>
    </row>
    <row r="97" spans="2:5">
      <c r="B97" s="94"/>
      <c r="C97" s="71" t="s">
        <v>139</v>
      </c>
      <c r="D97" s="72">
        <v>1</v>
      </c>
      <c r="E97" s="73">
        <v>4.1131951299999999E-5</v>
      </c>
    </row>
    <row r="98" spans="2:5">
      <c r="B98" s="94"/>
      <c r="C98" s="71" t="s">
        <v>141</v>
      </c>
      <c r="D98" s="72">
        <v>5</v>
      </c>
      <c r="E98" s="73">
        <v>2.0565975649899999E-4</v>
      </c>
    </row>
    <row r="99" spans="2:5">
      <c r="B99" s="94"/>
      <c r="C99" s="71" t="s">
        <v>142</v>
      </c>
      <c r="D99" s="72">
        <v>183</v>
      </c>
      <c r="E99" s="73">
        <v>7.527147087858E-3</v>
      </c>
    </row>
    <row r="100" spans="2:5">
      <c r="B100" s="94"/>
      <c r="C100" s="71" t="s">
        <v>145</v>
      </c>
      <c r="D100" s="72">
        <v>1</v>
      </c>
      <c r="E100" s="73">
        <v>4.1131951299999999E-5</v>
      </c>
    </row>
    <row r="101" spans="2:5">
      <c r="B101" s="95"/>
      <c r="C101" s="36" t="s">
        <v>29</v>
      </c>
      <c r="D101" s="35">
        <v>233</v>
      </c>
      <c r="E101" s="34">
        <v>9.5837446528459994E-3</v>
      </c>
    </row>
    <row r="102" spans="2:5">
      <c r="B102" s="93" t="s">
        <v>199</v>
      </c>
      <c r="C102" s="71" t="s">
        <v>101</v>
      </c>
      <c r="D102" s="72">
        <v>5</v>
      </c>
      <c r="E102" s="73">
        <v>2.0565975649899999E-4</v>
      </c>
    </row>
    <row r="103" spans="2:5">
      <c r="B103" s="94"/>
      <c r="C103" s="71" t="s">
        <v>103</v>
      </c>
      <c r="D103" s="72">
        <v>1</v>
      </c>
      <c r="E103" s="73">
        <v>4.1131951299999999E-5</v>
      </c>
    </row>
    <row r="104" spans="2:5">
      <c r="B104" s="94"/>
      <c r="C104" s="71" t="s">
        <v>104</v>
      </c>
      <c r="D104" s="72">
        <v>3</v>
      </c>
      <c r="E104" s="73">
        <v>1.23395853899E-4</v>
      </c>
    </row>
    <row r="105" spans="2:5">
      <c r="B105" s="94"/>
      <c r="C105" s="71" t="s">
        <v>105</v>
      </c>
      <c r="D105" s="72">
        <v>5</v>
      </c>
      <c r="E105" s="73">
        <v>2.0565975649899999E-4</v>
      </c>
    </row>
    <row r="106" spans="2:5">
      <c r="B106" s="94"/>
      <c r="C106" s="71" t="s">
        <v>110</v>
      </c>
      <c r="D106" s="72">
        <v>12</v>
      </c>
      <c r="E106" s="73">
        <v>4.9358341559699998E-4</v>
      </c>
    </row>
    <row r="107" spans="2:5">
      <c r="B107" s="94"/>
      <c r="C107" s="71" t="s">
        <v>111</v>
      </c>
      <c r="D107" s="72">
        <v>4</v>
      </c>
      <c r="E107" s="73">
        <v>1.6452780519900001E-4</v>
      </c>
    </row>
    <row r="108" spans="2:5">
      <c r="B108" s="94"/>
      <c r="C108" s="71" t="s">
        <v>113</v>
      </c>
      <c r="D108" s="72">
        <v>5</v>
      </c>
      <c r="E108" s="73">
        <v>2.0565975649899999E-4</v>
      </c>
    </row>
    <row r="109" spans="2:5">
      <c r="B109" s="94"/>
      <c r="C109" s="71" t="s">
        <v>114</v>
      </c>
      <c r="D109" s="72">
        <v>1</v>
      </c>
      <c r="E109" s="73">
        <v>4.1131951299999999E-5</v>
      </c>
    </row>
    <row r="110" spans="2:5">
      <c r="B110" s="94"/>
      <c r="C110" s="71" t="s">
        <v>115</v>
      </c>
      <c r="D110" s="72">
        <v>1</v>
      </c>
      <c r="E110" s="73">
        <v>4.1131951299999999E-5</v>
      </c>
    </row>
    <row r="111" spans="2:5">
      <c r="B111" s="94"/>
      <c r="C111" s="71" t="s">
        <v>117</v>
      </c>
      <c r="D111" s="72">
        <v>1</v>
      </c>
      <c r="E111" s="73">
        <v>4.1131951299999999E-5</v>
      </c>
    </row>
    <row r="112" spans="2:5">
      <c r="B112" s="94"/>
      <c r="C112" s="71" t="s">
        <v>118</v>
      </c>
      <c r="D112" s="72">
        <v>1</v>
      </c>
      <c r="E112" s="73">
        <v>4.1131951299999999E-5</v>
      </c>
    </row>
    <row r="113" spans="2:5">
      <c r="B113" s="94"/>
      <c r="C113" s="71" t="s">
        <v>122</v>
      </c>
      <c r="D113" s="72">
        <v>1</v>
      </c>
      <c r="E113" s="73">
        <v>4.1131951299999999E-5</v>
      </c>
    </row>
    <row r="114" spans="2:5">
      <c r="B114" s="94"/>
      <c r="C114" s="71" t="s">
        <v>123</v>
      </c>
      <c r="D114" s="72">
        <v>1</v>
      </c>
      <c r="E114" s="73">
        <v>4.1131951299999999E-5</v>
      </c>
    </row>
    <row r="115" spans="2:5">
      <c r="B115" s="94"/>
      <c r="C115" s="71" t="s">
        <v>124</v>
      </c>
      <c r="D115" s="72">
        <v>3</v>
      </c>
      <c r="E115" s="73">
        <v>1.23395853899E-4</v>
      </c>
    </row>
    <row r="116" spans="2:5">
      <c r="B116" s="94"/>
      <c r="C116" s="71" t="s">
        <v>128</v>
      </c>
      <c r="D116" s="72">
        <v>2</v>
      </c>
      <c r="E116" s="73">
        <v>8.2263902599999999E-5</v>
      </c>
    </row>
    <row r="117" spans="2:5">
      <c r="B117" s="94"/>
      <c r="C117" s="71" t="s">
        <v>129</v>
      </c>
      <c r="D117" s="72">
        <v>2</v>
      </c>
      <c r="E117" s="73">
        <v>8.2263902599999999E-5</v>
      </c>
    </row>
    <row r="118" spans="2:5">
      <c r="B118" s="94"/>
      <c r="C118" s="71" t="s">
        <v>132</v>
      </c>
      <c r="D118" s="72">
        <v>3</v>
      </c>
      <c r="E118" s="73">
        <v>1.23395853899E-4</v>
      </c>
    </row>
    <row r="119" spans="2:5">
      <c r="B119" s="94"/>
      <c r="C119" s="71" t="s">
        <v>134</v>
      </c>
      <c r="D119" s="72">
        <v>1</v>
      </c>
      <c r="E119" s="73">
        <v>4.1131951299999999E-5</v>
      </c>
    </row>
    <row r="120" spans="2:5">
      <c r="B120" s="94"/>
      <c r="C120" s="71" t="s">
        <v>135</v>
      </c>
      <c r="D120" s="72">
        <v>3</v>
      </c>
      <c r="E120" s="73">
        <v>1.23395853899E-4</v>
      </c>
    </row>
    <row r="121" spans="2:5">
      <c r="B121" s="94"/>
      <c r="C121" s="71" t="s">
        <v>139</v>
      </c>
      <c r="D121" s="72">
        <v>2</v>
      </c>
      <c r="E121" s="73">
        <v>8.2263902599999999E-5</v>
      </c>
    </row>
    <row r="122" spans="2:5">
      <c r="B122" s="94"/>
      <c r="C122" s="71" t="s">
        <v>142</v>
      </c>
      <c r="D122" s="72">
        <v>271</v>
      </c>
      <c r="E122" s="73">
        <v>1.1146758802238E-2</v>
      </c>
    </row>
    <row r="123" spans="2:5">
      <c r="B123" s="95"/>
      <c r="C123" s="36" t="s">
        <v>29</v>
      </c>
      <c r="D123" s="35">
        <v>328</v>
      </c>
      <c r="E123" s="34">
        <v>1.3491280026324E-2</v>
      </c>
    </row>
    <row r="124" spans="2:5">
      <c r="B124" s="93" t="s">
        <v>200</v>
      </c>
      <c r="C124" s="71" t="s">
        <v>101</v>
      </c>
      <c r="D124" s="72">
        <v>3</v>
      </c>
      <c r="E124" s="73">
        <v>1.23395853899E-4</v>
      </c>
    </row>
    <row r="125" spans="2:5">
      <c r="B125" s="94"/>
      <c r="C125" s="71" t="s">
        <v>103</v>
      </c>
      <c r="D125" s="72">
        <v>2</v>
      </c>
      <c r="E125" s="73">
        <v>8.2263902599999999E-5</v>
      </c>
    </row>
    <row r="126" spans="2:5">
      <c r="B126" s="94"/>
      <c r="C126" s="71" t="s">
        <v>104</v>
      </c>
      <c r="D126" s="72">
        <v>17</v>
      </c>
      <c r="E126" s="73">
        <v>6.9924317209599999E-4</v>
      </c>
    </row>
    <row r="127" spans="2:5">
      <c r="B127" s="94"/>
      <c r="C127" s="71" t="s">
        <v>105</v>
      </c>
      <c r="D127" s="72">
        <v>22</v>
      </c>
      <c r="E127" s="73">
        <v>9.0490292859500001E-4</v>
      </c>
    </row>
    <row r="128" spans="2:5">
      <c r="B128" s="94"/>
      <c r="C128" s="71" t="s">
        <v>106</v>
      </c>
      <c r="D128" s="72">
        <v>2</v>
      </c>
      <c r="E128" s="73">
        <v>8.2263902599999999E-5</v>
      </c>
    </row>
    <row r="129" spans="2:5">
      <c r="B129" s="94"/>
      <c r="C129" s="71" t="s">
        <v>107</v>
      </c>
      <c r="D129" s="72">
        <v>1</v>
      </c>
      <c r="E129" s="73">
        <v>4.1131951299999999E-5</v>
      </c>
    </row>
    <row r="130" spans="2:5">
      <c r="B130" s="94"/>
      <c r="C130" s="71" t="s">
        <v>108</v>
      </c>
      <c r="D130" s="72">
        <v>1</v>
      </c>
      <c r="E130" s="73">
        <v>4.1131951299999999E-5</v>
      </c>
    </row>
    <row r="131" spans="2:5">
      <c r="B131" s="94"/>
      <c r="C131" s="71" t="s">
        <v>110</v>
      </c>
      <c r="D131" s="72">
        <v>31</v>
      </c>
      <c r="E131" s="73">
        <v>1.275090490293E-3</v>
      </c>
    </row>
    <row r="132" spans="2:5">
      <c r="B132" s="94"/>
      <c r="C132" s="71" t="s">
        <v>111</v>
      </c>
      <c r="D132" s="72">
        <v>20</v>
      </c>
      <c r="E132" s="73">
        <v>8.22639025995E-4</v>
      </c>
    </row>
    <row r="133" spans="2:5">
      <c r="B133" s="94"/>
      <c r="C133" s="71" t="s">
        <v>113</v>
      </c>
      <c r="D133" s="72">
        <v>8</v>
      </c>
      <c r="E133" s="73">
        <v>3.2905561039800002E-4</v>
      </c>
    </row>
    <row r="134" spans="2:5">
      <c r="B134" s="94"/>
      <c r="C134" s="71" t="s">
        <v>114</v>
      </c>
      <c r="D134" s="72">
        <v>14</v>
      </c>
      <c r="E134" s="73">
        <v>5.7584731819699999E-4</v>
      </c>
    </row>
    <row r="135" spans="2:5">
      <c r="B135" s="94"/>
      <c r="C135" s="71" t="s">
        <v>115</v>
      </c>
      <c r="D135" s="72">
        <v>2</v>
      </c>
      <c r="E135" s="73">
        <v>8.2263902599999999E-5</v>
      </c>
    </row>
    <row r="136" spans="2:5">
      <c r="B136" s="94"/>
      <c r="C136" s="71" t="s">
        <v>116</v>
      </c>
      <c r="D136" s="72">
        <v>7</v>
      </c>
      <c r="E136" s="73">
        <v>2.8792365909800001E-4</v>
      </c>
    </row>
    <row r="137" spans="2:5">
      <c r="B137" s="94"/>
      <c r="C137" s="71" t="s">
        <v>117</v>
      </c>
      <c r="D137" s="72">
        <v>6</v>
      </c>
      <c r="E137" s="73">
        <v>2.4679170779900002E-4</v>
      </c>
    </row>
    <row r="138" spans="2:5">
      <c r="B138" s="94"/>
      <c r="C138" s="71" t="s">
        <v>118</v>
      </c>
      <c r="D138" s="72">
        <v>10</v>
      </c>
      <c r="E138" s="73">
        <v>4.1131951299799998E-4</v>
      </c>
    </row>
    <row r="139" spans="2:5">
      <c r="B139" s="94"/>
      <c r="C139" s="71" t="s">
        <v>120</v>
      </c>
      <c r="D139" s="72">
        <v>1</v>
      </c>
      <c r="E139" s="73">
        <v>4.1131951299999999E-5</v>
      </c>
    </row>
    <row r="140" spans="2:5">
      <c r="B140" s="94"/>
      <c r="C140" s="71" t="s">
        <v>122</v>
      </c>
      <c r="D140" s="72">
        <v>10</v>
      </c>
      <c r="E140" s="73">
        <v>4.1131951299799998E-4</v>
      </c>
    </row>
    <row r="141" spans="2:5">
      <c r="B141" s="94"/>
      <c r="C141" s="71" t="s">
        <v>123</v>
      </c>
      <c r="D141" s="72">
        <v>3</v>
      </c>
      <c r="E141" s="73">
        <v>1.23395853899E-4</v>
      </c>
    </row>
    <row r="142" spans="2:5">
      <c r="B142" s="94"/>
      <c r="C142" s="71" t="s">
        <v>124</v>
      </c>
      <c r="D142" s="72">
        <v>8</v>
      </c>
      <c r="E142" s="73">
        <v>3.2905561039800002E-4</v>
      </c>
    </row>
    <row r="143" spans="2:5">
      <c r="B143" s="94"/>
      <c r="C143" s="71" t="s">
        <v>125</v>
      </c>
      <c r="D143" s="72">
        <v>8</v>
      </c>
      <c r="E143" s="73">
        <v>3.2905561039800002E-4</v>
      </c>
    </row>
    <row r="144" spans="2:5">
      <c r="B144" s="94"/>
      <c r="C144" s="71" t="s">
        <v>126</v>
      </c>
      <c r="D144" s="72">
        <v>1</v>
      </c>
      <c r="E144" s="73">
        <v>4.1131951299999999E-5</v>
      </c>
    </row>
    <row r="145" spans="2:5">
      <c r="B145" s="94"/>
      <c r="C145" s="71" t="s">
        <v>127</v>
      </c>
      <c r="D145" s="72">
        <v>6</v>
      </c>
      <c r="E145" s="73">
        <v>2.4679170779900002E-4</v>
      </c>
    </row>
    <row r="146" spans="2:5">
      <c r="B146" s="94"/>
      <c r="C146" s="71" t="s">
        <v>128</v>
      </c>
      <c r="D146" s="72">
        <v>1</v>
      </c>
      <c r="E146" s="73">
        <v>4.1131951299999999E-5</v>
      </c>
    </row>
    <row r="147" spans="2:5">
      <c r="B147" s="94"/>
      <c r="C147" s="71" t="s">
        <v>129</v>
      </c>
      <c r="D147" s="72">
        <v>2</v>
      </c>
      <c r="E147" s="73">
        <v>8.2263902599999999E-5</v>
      </c>
    </row>
    <row r="148" spans="2:5">
      <c r="B148" s="94"/>
      <c r="C148" s="71" t="s">
        <v>131</v>
      </c>
      <c r="D148" s="72">
        <v>2</v>
      </c>
      <c r="E148" s="73">
        <v>8.2263902599999999E-5</v>
      </c>
    </row>
    <row r="149" spans="2:5">
      <c r="B149" s="94"/>
      <c r="C149" s="71" t="s">
        <v>132</v>
      </c>
      <c r="D149" s="72">
        <v>12</v>
      </c>
      <c r="E149" s="73">
        <v>4.9358341559699998E-4</v>
      </c>
    </row>
    <row r="150" spans="2:5">
      <c r="B150" s="94"/>
      <c r="C150" s="71" t="s">
        <v>134</v>
      </c>
      <c r="D150" s="72">
        <v>7</v>
      </c>
      <c r="E150" s="73">
        <v>2.8792365909800001E-4</v>
      </c>
    </row>
    <row r="151" spans="2:5">
      <c r="B151" s="94"/>
      <c r="C151" s="71" t="s">
        <v>135</v>
      </c>
      <c r="D151" s="72">
        <v>7</v>
      </c>
      <c r="E151" s="73">
        <v>2.8792365909800001E-4</v>
      </c>
    </row>
    <row r="152" spans="2:5">
      <c r="B152" s="94"/>
      <c r="C152" s="71" t="s">
        <v>137</v>
      </c>
      <c r="D152" s="72">
        <v>2</v>
      </c>
      <c r="E152" s="73">
        <v>8.2263902599999999E-5</v>
      </c>
    </row>
    <row r="153" spans="2:5">
      <c r="B153" s="94"/>
      <c r="C153" s="71" t="s">
        <v>139</v>
      </c>
      <c r="D153" s="72">
        <v>3</v>
      </c>
      <c r="E153" s="73">
        <v>1.23395853899E-4</v>
      </c>
    </row>
    <row r="154" spans="2:5">
      <c r="B154" s="94"/>
      <c r="C154" s="71" t="s">
        <v>141</v>
      </c>
      <c r="D154" s="72">
        <v>8</v>
      </c>
      <c r="E154" s="73">
        <v>3.2905561039800002E-4</v>
      </c>
    </row>
    <row r="155" spans="2:5">
      <c r="B155" s="94"/>
      <c r="C155" s="71" t="s">
        <v>142</v>
      </c>
      <c r="D155" s="72">
        <v>1409</v>
      </c>
      <c r="E155" s="73">
        <v>5.7954919381375002E-2</v>
      </c>
    </row>
    <row r="156" spans="2:5">
      <c r="B156" s="94"/>
      <c r="C156" s="71" t="s">
        <v>143</v>
      </c>
      <c r="D156" s="72">
        <v>2</v>
      </c>
      <c r="E156" s="73">
        <v>8.2263902599999999E-5</v>
      </c>
    </row>
    <row r="157" spans="2:5">
      <c r="B157" s="94"/>
      <c r="C157" s="71" t="s">
        <v>145</v>
      </c>
      <c r="D157" s="72">
        <v>10</v>
      </c>
      <c r="E157" s="73">
        <v>4.1131951299799998E-4</v>
      </c>
    </row>
    <row r="158" spans="2:5">
      <c r="B158" s="94"/>
      <c r="C158" s="71" t="s">
        <v>147</v>
      </c>
      <c r="D158" s="72">
        <v>2</v>
      </c>
      <c r="E158" s="73">
        <v>8.2263902599999999E-5</v>
      </c>
    </row>
    <row r="159" spans="2:5">
      <c r="B159" s="95"/>
      <c r="C159" s="36" t="s">
        <v>29</v>
      </c>
      <c r="D159" s="35">
        <v>1650</v>
      </c>
      <c r="E159" s="34">
        <v>6.7867719644620003E-2</v>
      </c>
    </row>
    <row r="160" spans="2:5">
      <c r="B160" s="93" t="s">
        <v>201</v>
      </c>
      <c r="C160" s="71" t="s">
        <v>101</v>
      </c>
      <c r="D160" s="72">
        <v>12</v>
      </c>
      <c r="E160" s="73">
        <v>4.9358341559699998E-4</v>
      </c>
    </row>
    <row r="161" spans="2:5">
      <c r="B161" s="94"/>
      <c r="C161" s="71" t="s">
        <v>103</v>
      </c>
      <c r="D161" s="72">
        <v>2</v>
      </c>
      <c r="E161" s="73">
        <v>8.2263902599999999E-5</v>
      </c>
    </row>
    <row r="162" spans="2:5">
      <c r="B162" s="94"/>
      <c r="C162" s="71" t="s">
        <v>104</v>
      </c>
      <c r="D162" s="72">
        <v>32</v>
      </c>
      <c r="E162" s="73">
        <v>1.3162224415929999E-3</v>
      </c>
    </row>
    <row r="163" spans="2:5">
      <c r="B163" s="94"/>
      <c r="C163" s="71" t="s">
        <v>105</v>
      </c>
      <c r="D163" s="72">
        <v>40</v>
      </c>
      <c r="E163" s="73">
        <v>1.6452780519910001E-3</v>
      </c>
    </row>
    <row r="164" spans="2:5">
      <c r="B164" s="94"/>
      <c r="C164" s="71" t="s">
        <v>106</v>
      </c>
      <c r="D164" s="72">
        <v>3</v>
      </c>
      <c r="E164" s="73">
        <v>1.23395853899E-4</v>
      </c>
    </row>
    <row r="165" spans="2:5">
      <c r="B165" s="94"/>
      <c r="C165" s="71" t="s">
        <v>108</v>
      </c>
      <c r="D165" s="72">
        <v>1</v>
      </c>
      <c r="E165" s="73">
        <v>4.1131951299999999E-5</v>
      </c>
    </row>
    <row r="166" spans="2:5">
      <c r="B166" s="94"/>
      <c r="C166" s="71" t="s">
        <v>110</v>
      </c>
      <c r="D166" s="72">
        <v>49</v>
      </c>
      <c r="E166" s="73">
        <v>2.0154656136889999E-3</v>
      </c>
    </row>
    <row r="167" spans="2:5">
      <c r="B167" s="94"/>
      <c r="C167" s="71" t="s">
        <v>111</v>
      </c>
      <c r="D167" s="72">
        <v>57</v>
      </c>
      <c r="E167" s="73">
        <v>2.3445212240869998E-3</v>
      </c>
    </row>
    <row r="168" spans="2:5">
      <c r="B168" s="94"/>
      <c r="C168" s="71" t="s">
        <v>113</v>
      </c>
      <c r="D168" s="72">
        <v>61</v>
      </c>
      <c r="E168" s="73">
        <v>2.509049029286E-3</v>
      </c>
    </row>
    <row r="169" spans="2:5">
      <c r="B169" s="94"/>
      <c r="C169" s="71" t="s">
        <v>114</v>
      </c>
      <c r="D169" s="72">
        <v>16</v>
      </c>
      <c r="E169" s="73">
        <v>6.5811122079600004E-4</v>
      </c>
    </row>
    <row r="170" spans="2:5">
      <c r="B170" s="94"/>
      <c r="C170" s="71" t="s">
        <v>115</v>
      </c>
      <c r="D170" s="72">
        <v>2</v>
      </c>
      <c r="E170" s="73">
        <v>8.2263902599999999E-5</v>
      </c>
    </row>
    <row r="171" spans="2:5">
      <c r="B171" s="94"/>
      <c r="C171" s="71" t="s">
        <v>116</v>
      </c>
      <c r="D171" s="72">
        <v>7</v>
      </c>
      <c r="E171" s="73">
        <v>2.8792365909800001E-4</v>
      </c>
    </row>
    <row r="172" spans="2:5">
      <c r="B172" s="94"/>
      <c r="C172" s="71" t="s">
        <v>117</v>
      </c>
      <c r="D172" s="72">
        <v>7</v>
      </c>
      <c r="E172" s="73">
        <v>2.8792365909800001E-4</v>
      </c>
    </row>
    <row r="173" spans="2:5">
      <c r="B173" s="94"/>
      <c r="C173" s="71" t="s">
        <v>118</v>
      </c>
      <c r="D173" s="72">
        <v>16</v>
      </c>
      <c r="E173" s="73">
        <v>6.5811122079600004E-4</v>
      </c>
    </row>
    <row r="174" spans="2:5">
      <c r="B174" s="94"/>
      <c r="C174" s="71" t="s">
        <v>120</v>
      </c>
      <c r="D174" s="72">
        <v>1</v>
      </c>
      <c r="E174" s="73">
        <v>4.1131951299999999E-5</v>
      </c>
    </row>
    <row r="175" spans="2:5">
      <c r="B175" s="94"/>
      <c r="C175" s="71" t="s">
        <v>121</v>
      </c>
      <c r="D175" s="72">
        <v>1</v>
      </c>
      <c r="E175" s="73">
        <v>4.1131951299999999E-5</v>
      </c>
    </row>
    <row r="176" spans="2:5">
      <c r="B176" s="94"/>
      <c r="C176" s="71" t="s">
        <v>122</v>
      </c>
      <c r="D176" s="72">
        <v>7</v>
      </c>
      <c r="E176" s="73">
        <v>2.8792365909800001E-4</v>
      </c>
    </row>
    <row r="177" spans="2:5">
      <c r="B177" s="94"/>
      <c r="C177" s="71" t="s">
        <v>123</v>
      </c>
      <c r="D177" s="72">
        <v>9</v>
      </c>
      <c r="E177" s="73">
        <v>3.7018756169799997E-4</v>
      </c>
    </row>
    <row r="178" spans="2:5">
      <c r="B178" s="94"/>
      <c r="C178" s="71" t="s">
        <v>124</v>
      </c>
      <c r="D178" s="72">
        <v>19</v>
      </c>
      <c r="E178" s="73">
        <v>7.8150707469600001E-4</v>
      </c>
    </row>
    <row r="179" spans="2:5">
      <c r="B179" s="94"/>
      <c r="C179" s="71" t="s">
        <v>125</v>
      </c>
      <c r="D179" s="72">
        <v>10</v>
      </c>
      <c r="E179" s="73">
        <v>4.1131951299799998E-4</v>
      </c>
    </row>
    <row r="180" spans="2:5">
      <c r="B180" s="94"/>
      <c r="C180" s="71" t="s">
        <v>127</v>
      </c>
      <c r="D180" s="72">
        <v>3</v>
      </c>
      <c r="E180" s="73">
        <v>1.23395853899E-4</v>
      </c>
    </row>
    <row r="181" spans="2:5">
      <c r="B181" s="94"/>
      <c r="C181" s="71" t="s">
        <v>128</v>
      </c>
      <c r="D181" s="72">
        <v>4</v>
      </c>
      <c r="E181" s="73">
        <v>1.6452780519900001E-4</v>
      </c>
    </row>
    <row r="182" spans="2:5">
      <c r="B182" s="94"/>
      <c r="C182" s="71" t="s">
        <v>129</v>
      </c>
      <c r="D182" s="72">
        <v>1</v>
      </c>
      <c r="E182" s="73">
        <v>4.1131951299999999E-5</v>
      </c>
    </row>
    <row r="183" spans="2:5">
      <c r="B183" s="94"/>
      <c r="C183" s="71" t="s">
        <v>130</v>
      </c>
      <c r="D183" s="72">
        <v>1</v>
      </c>
      <c r="E183" s="73">
        <v>4.1131951299999999E-5</v>
      </c>
    </row>
    <row r="184" spans="2:5">
      <c r="B184" s="94"/>
      <c r="C184" s="71" t="s">
        <v>131</v>
      </c>
      <c r="D184" s="72">
        <v>4</v>
      </c>
      <c r="E184" s="73">
        <v>1.6452780519900001E-4</v>
      </c>
    </row>
    <row r="185" spans="2:5">
      <c r="B185" s="94"/>
      <c r="C185" s="71" t="s">
        <v>132</v>
      </c>
      <c r="D185" s="72">
        <v>65</v>
      </c>
      <c r="E185" s="73">
        <v>2.6735768344850002E-3</v>
      </c>
    </row>
    <row r="186" spans="2:5">
      <c r="B186" s="94"/>
      <c r="C186" s="71" t="s">
        <v>133</v>
      </c>
      <c r="D186" s="72">
        <v>2</v>
      </c>
      <c r="E186" s="73">
        <v>8.2263902599999999E-5</v>
      </c>
    </row>
    <row r="187" spans="2:5">
      <c r="B187" s="94"/>
      <c r="C187" s="71" t="s">
        <v>134</v>
      </c>
      <c r="D187" s="72">
        <v>13</v>
      </c>
      <c r="E187" s="73">
        <v>5.3471536689700004E-4</v>
      </c>
    </row>
    <row r="188" spans="2:5">
      <c r="B188" s="94"/>
      <c r="C188" s="71" t="s">
        <v>135</v>
      </c>
      <c r="D188" s="72">
        <v>28</v>
      </c>
      <c r="E188" s="73">
        <v>1.151694636394E-3</v>
      </c>
    </row>
    <row r="189" spans="2:5">
      <c r="B189" s="94"/>
      <c r="C189" s="71" t="s">
        <v>136</v>
      </c>
      <c r="D189" s="72">
        <v>1</v>
      </c>
      <c r="E189" s="73">
        <v>4.1131951299999999E-5</v>
      </c>
    </row>
    <row r="190" spans="2:5">
      <c r="B190" s="94"/>
      <c r="C190" s="71" t="s">
        <v>137</v>
      </c>
      <c r="D190" s="72">
        <v>3</v>
      </c>
      <c r="E190" s="73">
        <v>1.23395853899E-4</v>
      </c>
    </row>
    <row r="191" spans="2:5">
      <c r="B191" s="94"/>
      <c r="C191" s="71" t="s">
        <v>138</v>
      </c>
      <c r="D191" s="72">
        <v>1</v>
      </c>
      <c r="E191" s="73">
        <v>4.1131951299999999E-5</v>
      </c>
    </row>
    <row r="192" spans="2:5">
      <c r="B192" s="94"/>
      <c r="C192" s="71" t="s">
        <v>139</v>
      </c>
      <c r="D192" s="72">
        <v>9</v>
      </c>
      <c r="E192" s="73">
        <v>3.7018756169799997E-4</v>
      </c>
    </row>
    <row r="193" spans="2:5">
      <c r="B193" s="94"/>
      <c r="C193" s="71" t="s">
        <v>141</v>
      </c>
      <c r="D193" s="72">
        <v>27</v>
      </c>
      <c r="E193" s="73">
        <v>1.110562685094E-3</v>
      </c>
    </row>
    <row r="194" spans="2:5">
      <c r="B194" s="94"/>
      <c r="C194" s="71" t="s">
        <v>142</v>
      </c>
      <c r="D194" s="72">
        <v>1452</v>
      </c>
      <c r="E194" s="73">
        <v>5.9723593287266001E-2</v>
      </c>
    </row>
    <row r="195" spans="2:5">
      <c r="B195" s="94"/>
      <c r="C195" s="71" t="s">
        <v>143</v>
      </c>
      <c r="D195" s="72">
        <v>2</v>
      </c>
      <c r="E195" s="73">
        <v>8.2263902599999999E-5</v>
      </c>
    </row>
    <row r="196" spans="2:5">
      <c r="B196" s="94"/>
      <c r="C196" s="71" t="s">
        <v>145</v>
      </c>
      <c r="D196" s="72">
        <v>6</v>
      </c>
      <c r="E196" s="73">
        <v>2.4679170779900002E-4</v>
      </c>
    </row>
    <row r="197" spans="2:5">
      <c r="B197" s="94"/>
      <c r="C197" s="71" t="s">
        <v>147</v>
      </c>
      <c r="D197" s="72">
        <v>8</v>
      </c>
      <c r="E197" s="73">
        <v>3.2905561039800002E-4</v>
      </c>
    </row>
    <row r="198" spans="2:5">
      <c r="B198" s="95"/>
      <c r="C198" s="36" t="s">
        <v>29</v>
      </c>
      <c r="D198" s="35">
        <v>1982</v>
      </c>
      <c r="E198" s="34">
        <v>8.1523527476142998E-2</v>
      </c>
    </row>
    <row r="199" spans="2:5">
      <c r="B199" s="93" t="s">
        <v>202</v>
      </c>
      <c r="C199" s="71" t="s">
        <v>101</v>
      </c>
      <c r="D199" s="72">
        <v>1</v>
      </c>
      <c r="E199" s="73">
        <v>4.1131951299999999E-5</v>
      </c>
    </row>
    <row r="200" spans="2:5">
      <c r="B200" s="94"/>
      <c r="C200" s="71" t="s">
        <v>103</v>
      </c>
      <c r="D200" s="72">
        <v>1</v>
      </c>
      <c r="E200" s="73">
        <v>4.1131951299999999E-5</v>
      </c>
    </row>
    <row r="201" spans="2:5">
      <c r="B201" s="94"/>
      <c r="C201" s="71" t="s">
        <v>104</v>
      </c>
      <c r="D201" s="72">
        <v>3</v>
      </c>
      <c r="E201" s="73">
        <v>1.23395853899E-4</v>
      </c>
    </row>
    <row r="202" spans="2:5">
      <c r="B202" s="94"/>
      <c r="C202" s="71" t="s">
        <v>105</v>
      </c>
      <c r="D202" s="72">
        <v>4</v>
      </c>
      <c r="E202" s="73">
        <v>1.6452780519900001E-4</v>
      </c>
    </row>
    <row r="203" spans="2:5">
      <c r="B203" s="94"/>
      <c r="C203" s="71" t="s">
        <v>110</v>
      </c>
      <c r="D203" s="72">
        <v>7</v>
      </c>
      <c r="E203" s="73">
        <v>2.8792365909800001E-4</v>
      </c>
    </row>
    <row r="204" spans="2:5">
      <c r="B204" s="94"/>
      <c r="C204" s="71" t="s">
        <v>111</v>
      </c>
      <c r="D204" s="72">
        <v>5</v>
      </c>
      <c r="E204" s="73">
        <v>2.0565975649899999E-4</v>
      </c>
    </row>
    <row r="205" spans="2:5">
      <c r="B205" s="94"/>
      <c r="C205" s="71" t="s">
        <v>113</v>
      </c>
      <c r="D205" s="72">
        <v>2</v>
      </c>
      <c r="E205" s="73">
        <v>8.2263902599999999E-5</v>
      </c>
    </row>
    <row r="206" spans="2:5">
      <c r="B206" s="94"/>
      <c r="C206" s="71" t="s">
        <v>115</v>
      </c>
      <c r="D206" s="72">
        <v>1</v>
      </c>
      <c r="E206" s="73">
        <v>4.1131951299999999E-5</v>
      </c>
    </row>
    <row r="207" spans="2:5">
      <c r="B207" s="94"/>
      <c r="C207" s="71" t="s">
        <v>116</v>
      </c>
      <c r="D207" s="72">
        <v>1</v>
      </c>
      <c r="E207" s="73">
        <v>4.1131951299999999E-5</v>
      </c>
    </row>
    <row r="208" spans="2:5">
      <c r="B208" s="94"/>
      <c r="C208" s="71" t="s">
        <v>117</v>
      </c>
      <c r="D208" s="72">
        <v>1</v>
      </c>
      <c r="E208" s="73">
        <v>4.1131951299999999E-5</v>
      </c>
    </row>
    <row r="209" spans="2:5">
      <c r="B209" s="94"/>
      <c r="C209" s="71" t="s">
        <v>118</v>
      </c>
      <c r="D209" s="72">
        <v>3</v>
      </c>
      <c r="E209" s="73">
        <v>1.23395853899E-4</v>
      </c>
    </row>
    <row r="210" spans="2:5">
      <c r="B210" s="94"/>
      <c r="C210" s="71" t="s">
        <v>121</v>
      </c>
      <c r="D210" s="72">
        <v>1</v>
      </c>
      <c r="E210" s="73">
        <v>4.1131951299999999E-5</v>
      </c>
    </row>
    <row r="211" spans="2:5">
      <c r="B211" s="94"/>
      <c r="C211" s="71" t="s">
        <v>122</v>
      </c>
      <c r="D211" s="72">
        <v>1</v>
      </c>
      <c r="E211" s="73">
        <v>4.1131951299999999E-5</v>
      </c>
    </row>
    <row r="212" spans="2:5">
      <c r="B212" s="94"/>
      <c r="C212" s="71" t="s">
        <v>123</v>
      </c>
      <c r="D212" s="72">
        <v>1</v>
      </c>
      <c r="E212" s="73">
        <v>4.1131951299999999E-5</v>
      </c>
    </row>
    <row r="213" spans="2:5">
      <c r="B213" s="94"/>
      <c r="C213" s="71" t="s">
        <v>124</v>
      </c>
      <c r="D213" s="72">
        <v>2</v>
      </c>
      <c r="E213" s="73">
        <v>8.2263902599999999E-5</v>
      </c>
    </row>
    <row r="214" spans="2:5">
      <c r="B214" s="94"/>
      <c r="C214" s="71" t="s">
        <v>125</v>
      </c>
      <c r="D214" s="72">
        <v>2</v>
      </c>
      <c r="E214" s="73">
        <v>8.2263902599999999E-5</v>
      </c>
    </row>
    <row r="215" spans="2:5">
      <c r="B215" s="94"/>
      <c r="C215" s="71" t="s">
        <v>132</v>
      </c>
      <c r="D215" s="72">
        <v>3</v>
      </c>
      <c r="E215" s="73">
        <v>1.23395853899E-4</v>
      </c>
    </row>
    <row r="216" spans="2:5">
      <c r="B216" s="94"/>
      <c r="C216" s="71" t="s">
        <v>134</v>
      </c>
      <c r="D216" s="72">
        <v>1</v>
      </c>
      <c r="E216" s="73">
        <v>4.1131951299999999E-5</v>
      </c>
    </row>
    <row r="217" spans="2:5">
      <c r="B217" s="94"/>
      <c r="C217" s="71" t="s">
        <v>135</v>
      </c>
      <c r="D217" s="72">
        <v>4</v>
      </c>
      <c r="E217" s="73">
        <v>1.6452780519900001E-4</v>
      </c>
    </row>
    <row r="218" spans="2:5">
      <c r="B218" s="94"/>
      <c r="C218" s="71" t="s">
        <v>137</v>
      </c>
      <c r="D218" s="72">
        <v>1</v>
      </c>
      <c r="E218" s="73">
        <v>4.1131951299999999E-5</v>
      </c>
    </row>
    <row r="219" spans="2:5">
      <c r="B219" s="94"/>
      <c r="C219" s="71" t="s">
        <v>139</v>
      </c>
      <c r="D219" s="72">
        <v>1</v>
      </c>
      <c r="E219" s="73">
        <v>4.1131951299999999E-5</v>
      </c>
    </row>
    <row r="220" spans="2:5">
      <c r="B220" s="94"/>
      <c r="C220" s="71" t="s">
        <v>141</v>
      </c>
      <c r="D220" s="72">
        <v>3</v>
      </c>
      <c r="E220" s="73">
        <v>1.23395853899E-4</v>
      </c>
    </row>
    <row r="221" spans="2:5">
      <c r="B221" s="94"/>
      <c r="C221" s="71" t="s">
        <v>142</v>
      </c>
      <c r="D221" s="72">
        <v>221</v>
      </c>
      <c r="E221" s="73">
        <v>9.0901612372489993E-3</v>
      </c>
    </row>
    <row r="222" spans="2:5">
      <c r="B222" s="94"/>
      <c r="C222" s="71" t="s">
        <v>147</v>
      </c>
      <c r="D222" s="72">
        <v>2</v>
      </c>
      <c r="E222" s="73">
        <v>8.2263902599999999E-5</v>
      </c>
    </row>
    <row r="223" spans="2:5">
      <c r="B223" s="95"/>
      <c r="C223" s="36" t="s">
        <v>29</v>
      </c>
      <c r="D223" s="35">
        <v>272</v>
      </c>
      <c r="E223" s="34">
        <v>1.1187890753537001E-2</v>
      </c>
    </row>
    <row r="224" spans="2:5">
      <c r="B224" s="93" t="s">
        <v>203</v>
      </c>
      <c r="C224" s="71" t="s">
        <v>101</v>
      </c>
      <c r="D224" s="72">
        <v>4</v>
      </c>
      <c r="E224" s="73">
        <v>1.6452780519900001E-4</v>
      </c>
    </row>
    <row r="225" spans="2:5">
      <c r="B225" s="94"/>
      <c r="C225" s="71" t="s">
        <v>103</v>
      </c>
      <c r="D225" s="72">
        <v>1</v>
      </c>
      <c r="E225" s="73">
        <v>4.1131951299999999E-5</v>
      </c>
    </row>
    <row r="226" spans="2:5">
      <c r="B226" s="94"/>
      <c r="C226" s="71" t="s">
        <v>104</v>
      </c>
      <c r="D226" s="72">
        <v>7</v>
      </c>
      <c r="E226" s="73">
        <v>2.8792365909800001E-4</v>
      </c>
    </row>
    <row r="227" spans="2:5">
      <c r="B227" s="94"/>
      <c r="C227" s="71" t="s">
        <v>105</v>
      </c>
      <c r="D227" s="72">
        <v>5</v>
      </c>
      <c r="E227" s="73">
        <v>2.0565975649899999E-4</v>
      </c>
    </row>
    <row r="228" spans="2:5">
      <c r="B228" s="94"/>
      <c r="C228" s="71" t="s">
        <v>108</v>
      </c>
      <c r="D228" s="72">
        <v>1</v>
      </c>
      <c r="E228" s="73">
        <v>4.1131951299999999E-5</v>
      </c>
    </row>
    <row r="229" spans="2:5">
      <c r="B229" s="94"/>
      <c r="C229" s="71" t="s">
        <v>110</v>
      </c>
      <c r="D229" s="72">
        <v>14</v>
      </c>
      <c r="E229" s="73">
        <v>5.7584731819699999E-4</v>
      </c>
    </row>
    <row r="230" spans="2:5">
      <c r="B230" s="94"/>
      <c r="C230" s="71" t="s">
        <v>111</v>
      </c>
      <c r="D230" s="72">
        <v>8</v>
      </c>
      <c r="E230" s="73">
        <v>3.2905561039800002E-4</v>
      </c>
    </row>
    <row r="231" spans="2:5">
      <c r="B231" s="94"/>
      <c r="C231" s="71" t="s">
        <v>113</v>
      </c>
      <c r="D231" s="72">
        <v>5</v>
      </c>
      <c r="E231" s="73">
        <v>2.0565975649899999E-4</v>
      </c>
    </row>
    <row r="232" spans="2:5">
      <c r="B232" s="94"/>
      <c r="C232" s="71" t="s">
        <v>114</v>
      </c>
      <c r="D232" s="72">
        <v>6</v>
      </c>
      <c r="E232" s="73">
        <v>2.4679170779900002E-4</v>
      </c>
    </row>
    <row r="233" spans="2:5">
      <c r="B233" s="94"/>
      <c r="C233" s="71" t="s">
        <v>116</v>
      </c>
      <c r="D233" s="72">
        <v>3</v>
      </c>
      <c r="E233" s="73">
        <v>1.23395853899E-4</v>
      </c>
    </row>
    <row r="234" spans="2:5">
      <c r="B234" s="94"/>
      <c r="C234" s="71" t="s">
        <v>117</v>
      </c>
      <c r="D234" s="72">
        <v>2</v>
      </c>
      <c r="E234" s="73">
        <v>8.2263902599999999E-5</v>
      </c>
    </row>
    <row r="235" spans="2:5">
      <c r="B235" s="94"/>
      <c r="C235" s="71" t="s">
        <v>118</v>
      </c>
      <c r="D235" s="72">
        <v>3</v>
      </c>
      <c r="E235" s="73">
        <v>1.23395853899E-4</v>
      </c>
    </row>
    <row r="236" spans="2:5">
      <c r="B236" s="94"/>
      <c r="C236" s="71" t="s">
        <v>120</v>
      </c>
      <c r="D236" s="72">
        <v>1</v>
      </c>
      <c r="E236" s="73">
        <v>4.1131951299999999E-5</v>
      </c>
    </row>
    <row r="237" spans="2:5">
      <c r="B237" s="94"/>
      <c r="C237" s="71" t="s">
        <v>121</v>
      </c>
      <c r="D237" s="72">
        <v>1</v>
      </c>
      <c r="E237" s="73">
        <v>4.1131951299999999E-5</v>
      </c>
    </row>
    <row r="238" spans="2:5">
      <c r="B238" s="94"/>
      <c r="C238" s="71" t="s">
        <v>122</v>
      </c>
      <c r="D238" s="72">
        <v>4</v>
      </c>
      <c r="E238" s="73">
        <v>1.6452780519900001E-4</v>
      </c>
    </row>
    <row r="239" spans="2:5">
      <c r="B239" s="94"/>
      <c r="C239" s="71" t="s">
        <v>123</v>
      </c>
      <c r="D239" s="72">
        <v>4</v>
      </c>
      <c r="E239" s="73">
        <v>1.6452780519900001E-4</v>
      </c>
    </row>
    <row r="240" spans="2:5">
      <c r="B240" s="94"/>
      <c r="C240" s="71" t="s">
        <v>124</v>
      </c>
      <c r="D240" s="72">
        <v>1</v>
      </c>
      <c r="E240" s="73">
        <v>4.1131951299999999E-5</v>
      </c>
    </row>
    <row r="241" spans="2:5">
      <c r="B241" s="94"/>
      <c r="C241" s="71" t="s">
        <v>125</v>
      </c>
      <c r="D241" s="72">
        <v>2</v>
      </c>
      <c r="E241" s="73">
        <v>8.2263902599999999E-5</v>
      </c>
    </row>
    <row r="242" spans="2:5">
      <c r="B242" s="94"/>
      <c r="C242" s="71" t="s">
        <v>127</v>
      </c>
      <c r="D242" s="72">
        <v>2</v>
      </c>
      <c r="E242" s="73">
        <v>8.2263902599999999E-5</v>
      </c>
    </row>
    <row r="243" spans="2:5">
      <c r="B243" s="94"/>
      <c r="C243" s="71" t="s">
        <v>128</v>
      </c>
      <c r="D243" s="72">
        <v>1</v>
      </c>
      <c r="E243" s="73">
        <v>4.1131951299999999E-5</v>
      </c>
    </row>
    <row r="244" spans="2:5">
      <c r="B244" s="94"/>
      <c r="C244" s="71" t="s">
        <v>129</v>
      </c>
      <c r="D244" s="72">
        <v>1</v>
      </c>
      <c r="E244" s="73">
        <v>4.1131951299999999E-5</v>
      </c>
    </row>
    <row r="245" spans="2:5">
      <c r="B245" s="94"/>
      <c r="C245" s="71" t="s">
        <v>132</v>
      </c>
      <c r="D245" s="72">
        <v>7</v>
      </c>
      <c r="E245" s="73">
        <v>2.8792365909800001E-4</v>
      </c>
    </row>
    <row r="246" spans="2:5">
      <c r="B246" s="94"/>
      <c r="C246" s="71" t="s">
        <v>134</v>
      </c>
      <c r="D246" s="72">
        <v>3</v>
      </c>
      <c r="E246" s="73">
        <v>1.23395853899E-4</v>
      </c>
    </row>
    <row r="247" spans="2:5">
      <c r="B247" s="94"/>
      <c r="C247" s="71" t="s">
        <v>135</v>
      </c>
      <c r="D247" s="72">
        <v>6</v>
      </c>
      <c r="E247" s="73">
        <v>2.4679170779900002E-4</v>
      </c>
    </row>
    <row r="248" spans="2:5">
      <c r="B248" s="94"/>
      <c r="C248" s="71" t="s">
        <v>137</v>
      </c>
      <c r="D248" s="72">
        <v>1</v>
      </c>
      <c r="E248" s="73">
        <v>4.1131951299999999E-5</v>
      </c>
    </row>
    <row r="249" spans="2:5">
      <c r="B249" s="94"/>
      <c r="C249" s="71" t="s">
        <v>139</v>
      </c>
      <c r="D249" s="72">
        <v>1</v>
      </c>
      <c r="E249" s="73">
        <v>4.1131951299999999E-5</v>
      </c>
    </row>
    <row r="250" spans="2:5">
      <c r="B250" s="94"/>
      <c r="C250" s="71" t="s">
        <v>141</v>
      </c>
      <c r="D250" s="72">
        <v>8</v>
      </c>
      <c r="E250" s="73">
        <v>3.2905561039800002E-4</v>
      </c>
    </row>
    <row r="251" spans="2:5">
      <c r="B251" s="94"/>
      <c r="C251" s="71" t="s">
        <v>142</v>
      </c>
      <c r="D251" s="72">
        <v>490</v>
      </c>
      <c r="E251" s="73">
        <v>2.0154656136887002E-2</v>
      </c>
    </row>
    <row r="252" spans="2:5">
      <c r="B252" s="94"/>
      <c r="C252" s="71" t="s">
        <v>145</v>
      </c>
      <c r="D252" s="72">
        <v>1</v>
      </c>
      <c r="E252" s="73">
        <v>4.1131951299999999E-5</v>
      </c>
    </row>
    <row r="253" spans="2:5">
      <c r="B253" s="95"/>
      <c r="C253" s="36" t="s">
        <v>29</v>
      </c>
      <c r="D253" s="35">
        <v>593</v>
      </c>
      <c r="E253" s="34">
        <v>2.4391247120763002E-2</v>
      </c>
    </row>
    <row r="254" spans="2:5">
      <c r="B254" s="93" t="s">
        <v>204</v>
      </c>
      <c r="C254" s="71" t="s">
        <v>101</v>
      </c>
      <c r="D254" s="72">
        <v>1</v>
      </c>
      <c r="E254" s="73">
        <v>4.1131951299999999E-5</v>
      </c>
    </row>
    <row r="255" spans="2:5">
      <c r="B255" s="94"/>
      <c r="C255" s="71" t="s">
        <v>103</v>
      </c>
      <c r="D255" s="72">
        <v>1</v>
      </c>
      <c r="E255" s="73">
        <v>4.1131951299999999E-5</v>
      </c>
    </row>
    <row r="256" spans="2:5">
      <c r="B256" s="94"/>
      <c r="C256" s="71" t="s">
        <v>104</v>
      </c>
      <c r="D256" s="72">
        <v>10</v>
      </c>
      <c r="E256" s="73">
        <v>4.1131951299799998E-4</v>
      </c>
    </row>
    <row r="257" spans="2:5">
      <c r="B257" s="94"/>
      <c r="C257" s="71" t="s">
        <v>105</v>
      </c>
      <c r="D257" s="72">
        <v>11</v>
      </c>
      <c r="E257" s="73">
        <v>4.5245146429700003E-4</v>
      </c>
    </row>
    <row r="258" spans="2:5">
      <c r="B258" s="94"/>
      <c r="C258" s="71" t="s">
        <v>106</v>
      </c>
      <c r="D258" s="72">
        <v>4</v>
      </c>
      <c r="E258" s="73">
        <v>1.6452780519900001E-4</v>
      </c>
    </row>
    <row r="259" spans="2:5">
      <c r="B259" s="94"/>
      <c r="C259" s="71" t="s">
        <v>110</v>
      </c>
      <c r="D259" s="72">
        <v>13</v>
      </c>
      <c r="E259" s="73">
        <v>5.3471536689700004E-4</v>
      </c>
    </row>
    <row r="260" spans="2:5">
      <c r="B260" s="94"/>
      <c r="C260" s="71" t="s">
        <v>111</v>
      </c>
      <c r="D260" s="72">
        <v>8</v>
      </c>
      <c r="E260" s="73">
        <v>3.2905561039800002E-4</v>
      </c>
    </row>
    <row r="261" spans="2:5">
      <c r="B261" s="94"/>
      <c r="C261" s="71" t="s">
        <v>112</v>
      </c>
      <c r="D261" s="72">
        <v>1</v>
      </c>
      <c r="E261" s="73">
        <v>4.1131951299999999E-5</v>
      </c>
    </row>
    <row r="262" spans="2:5">
      <c r="B262" s="94"/>
      <c r="C262" s="71" t="s">
        <v>113</v>
      </c>
      <c r="D262" s="72">
        <v>17</v>
      </c>
      <c r="E262" s="73">
        <v>6.9924317209599999E-4</v>
      </c>
    </row>
    <row r="263" spans="2:5">
      <c r="B263" s="94"/>
      <c r="C263" s="71" t="s">
        <v>114</v>
      </c>
      <c r="D263" s="72">
        <v>6</v>
      </c>
      <c r="E263" s="73">
        <v>2.4679170779900002E-4</v>
      </c>
    </row>
    <row r="264" spans="2:5">
      <c r="B264" s="94"/>
      <c r="C264" s="71" t="s">
        <v>115</v>
      </c>
      <c r="D264" s="72">
        <v>1</v>
      </c>
      <c r="E264" s="73">
        <v>4.1131951299999999E-5</v>
      </c>
    </row>
    <row r="265" spans="2:5">
      <c r="B265" s="94"/>
      <c r="C265" s="71" t="s">
        <v>116</v>
      </c>
      <c r="D265" s="72">
        <v>1</v>
      </c>
      <c r="E265" s="73">
        <v>4.1131951299999999E-5</v>
      </c>
    </row>
    <row r="266" spans="2:5">
      <c r="B266" s="94"/>
      <c r="C266" s="71" t="s">
        <v>117</v>
      </c>
      <c r="D266" s="72">
        <v>2</v>
      </c>
      <c r="E266" s="73">
        <v>8.2263902599999999E-5</v>
      </c>
    </row>
    <row r="267" spans="2:5">
      <c r="B267" s="94"/>
      <c r="C267" s="71" t="s">
        <v>118</v>
      </c>
      <c r="D267" s="72">
        <v>4</v>
      </c>
      <c r="E267" s="73">
        <v>1.6452780519900001E-4</v>
      </c>
    </row>
    <row r="268" spans="2:5">
      <c r="B268" s="94"/>
      <c r="C268" s="71" t="s">
        <v>122</v>
      </c>
      <c r="D268" s="72">
        <v>10</v>
      </c>
      <c r="E268" s="73">
        <v>4.1131951299799998E-4</v>
      </c>
    </row>
    <row r="269" spans="2:5">
      <c r="B269" s="94"/>
      <c r="C269" s="71" t="s">
        <v>123</v>
      </c>
      <c r="D269" s="72">
        <v>2</v>
      </c>
      <c r="E269" s="73">
        <v>8.2263902599999999E-5</v>
      </c>
    </row>
    <row r="270" spans="2:5">
      <c r="B270" s="94"/>
      <c r="C270" s="71" t="s">
        <v>124</v>
      </c>
      <c r="D270" s="72">
        <v>7</v>
      </c>
      <c r="E270" s="73">
        <v>2.8792365909800001E-4</v>
      </c>
    </row>
    <row r="271" spans="2:5">
      <c r="B271" s="94"/>
      <c r="C271" s="71" t="s">
        <v>125</v>
      </c>
      <c r="D271" s="72">
        <v>7</v>
      </c>
      <c r="E271" s="73">
        <v>2.8792365909800001E-4</v>
      </c>
    </row>
    <row r="272" spans="2:5">
      <c r="B272" s="94"/>
      <c r="C272" s="71" t="s">
        <v>127</v>
      </c>
      <c r="D272" s="72">
        <v>2</v>
      </c>
      <c r="E272" s="73">
        <v>8.2263902599999999E-5</v>
      </c>
    </row>
    <row r="273" spans="2:5">
      <c r="B273" s="94"/>
      <c r="C273" s="71" t="s">
        <v>128</v>
      </c>
      <c r="D273" s="72">
        <v>1</v>
      </c>
      <c r="E273" s="73">
        <v>4.1131951299999999E-5</v>
      </c>
    </row>
    <row r="274" spans="2:5">
      <c r="B274" s="94"/>
      <c r="C274" s="71" t="s">
        <v>129</v>
      </c>
      <c r="D274" s="72">
        <v>1</v>
      </c>
      <c r="E274" s="73">
        <v>4.1131951299999999E-5</v>
      </c>
    </row>
    <row r="275" spans="2:5">
      <c r="B275" s="94"/>
      <c r="C275" s="71" t="s">
        <v>131</v>
      </c>
      <c r="D275" s="72">
        <v>1</v>
      </c>
      <c r="E275" s="73">
        <v>4.1131951299999999E-5</v>
      </c>
    </row>
    <row r="276" spans="2:5">
      <c r="B276" s="94"/>
      <c r="C276" s="71" t="s">
        <v>132</v>
      </c>
      <c r="D276" s="72">
        <v>12</v>
      </c>
      <c r="E276" s="73">
        <v>4.9358341559699998E-4</v>
      </c>
    </row>
    <row r="277" spans="2:5">
      <c r="B277" s="94"/>
      <c r="C277" s="71" t="s">
        <v>134</v>
      </c>
      <c r="D277" s="72">
        <v>5</v>
      </c>
      <c r="E277" s="73">
        <v>2.0565975649899999E-4</v>
      </c>
    </row>
    <row r="278" spans="2:5">
      <c r="B278" s="94"/>
      <c r="C278" s="71" t="s">
        <v>135</v>
      </c>
      <c r="D278" s="72">
        <v>10</v>
      </c>
      <c r="E278" s="73">
        <v>4.1131951299799998E-4</v>
      </c>
    </row>
    <row r="279" spans="2:5">
      <c r="B279" s="94"/>
      <c r="C279" s="71" t="s">
        <v>136</v>
      </c>
      <c r="D279" s="72">
        <v>2</v>
      </c>
      <c r="E279" s="73">
        <v>8.2263902599999999E-5</v>
      </c>
    </row>
    <row r="280" spans="2:5">
      <c r="B280" s="94"/>
      <c r="C280" s="71" t="s">
        <v>139</v>
      </c>
      <c r="D280" s="72">
        <v>5</v>
      </c>
      <c r="E280" s="73">
        <v>2.0565975649899999E-4</v>
      </c>
    </row>
    <row r="281" spans="2:5">
      <c r="B281" s="94"/>
      <c r="C281" s="71" t="s">
        <v>141</v>
      </c>
      <c r="D281" s="72">
        <v>11</v>
      </c>
      <c r="E281" s="73">
        <v>4.5245146429700003E-4</v>
      </c>
    </row>
    <row r="282" spans="2:5">
      <c r="B282" s="94"/>
      <c r="C282" s="71" t="s">
        <v>142</v>
      </c>
      <c r="D282" s="72">
        <v>997</v>
      </c>
      <c r="E282" s="73">
        <v>4.1008555445870003E-2</v>
      </c>
    </row>
    <row r="283" spans="2:5">
      <c r="B283" s="94"/>
      <c r="C283" s="71" t="s">
        <v>146</v>
      </c>
      <c r="D283" s="72">
        <v>1</v>
      </c>
      <c r="E283" s="73">
        <v>4.1131951299999999E-5</v>
      </c>
    </row>
    <row r="284" spans="2:5">
      <c r="B284" s="94"/>
      <c r="C284" s="71" t="s">
        <v>147</v>
      </c>
      <c r="D284" s="72">
        <v>1</v>
      </c>
      <c r="E284" s="73">
        <v>4.1131951299999999E-5</v>
      </c>
    </row>
    <row r="285" spans="2:5">
      <c r="B285" s="94"/>
      <c r="C285" s="71" t="s">
        <v>148</v>
      </c>
      <c r="D285" s="72">
        <v>1</v>
      </c>
      <c r="E285" s="73">
        <v>4.1131951299999999E-5</v>
      </c>
    </row>
    <row r="286" spans="2:5">
      <c r="B286" s="95"/>
      <c r="C286" s="36" t="s">
        <v>29</v>
      </c>
      <c r="D286" s="35">
        <v>1156</v>
      </c>
      <c r="E286" s="34">
        <v>4.7548535702533999E-2</v>
      </c>
    </row>
    <row r="287" spans="2:5">
      <c r="B287" s="93" t="s">
        <v>205</v>
      </c>
      <c r="C287" s="71" t="s">
        <v>101</v>
      </c>
      <c r="D287" s="72">
        <v>37</v>
      </c>
      <c r="E287" s="73">
        <v>1.521882198091E-3</v>
      </c>
    </row>
    <row r="288" spans="2:5">
      <c r="B288" s="94"/>
      <c r="C288" s="71" t="s">
        <v>103</v>
      </c>
      <c r="D288" s="72">
        <v>6</v>
      </c>
      <c r="E288" s="73">
        <v>2.4679170779900002E-4</v>
      </c>
    </row>
    <row r="289" spans="2:5">
      <c r="B289" s="94"/>
      <c r="C289" s="71" t="s">
        <v>104</v>
      </c>
      <c r="D289" s="72">
        <v>76</v>
      </c>
      <c r="E289" s="73">
        <v>3.1260282987819999E-3</v>
      </c>
    </row>
    <row r="290" spans="2:5">
      <c r="B290" s="94"/>
      <c r="C290" s="71" t="s">
        <v>105</v>
      </c>
      <c r="D290" s="72">
        <v>85</v>
      </c>
      <c r="E290" s="73">
        <v>3.4962158604800002E-3</v>
      </c>
    </row>
    <row r="291" spans="2:5">
      <c r="B291" s="94"/>
      <c r="C291" s="71" t="s">
        <v>106</v>
      </c>
      <c r="D291" s="72">
        <v>23</v>
      </c>
      <c r="E291" s="73">
        <v>9.4603487989499996E-4</v>
      </c>
    </row>
    <row r="292" spans="2:5">
      <c r="B292" s="94"/>
      <c r="C292" s="71" t="s">
        <v>107</v>
      </c>
      <c r="D292" s="72">
        <v>3</v>
      </c>
      <c r="E292" s="73">
        <v>1.23395853899E-4</v>
      </c>
    </row>
    <row r="293" spans="2:5">
      <c r="B293" s="94"/>
      <c r="C293" s="71" t="s">
        <v>108</v>
      </c>
      <c r="D293" s="72">
        <v>3</v>
      </c>
      <c r="E293" s="73">
        <v>1.23395853899E-4</v>
      </c>
    </row>
    <row r="294" spans="2:5">
      <c r="B294" s="94"/>
      <c r="C294" s="71" t="s">
        <v>110</v>
      </c>
      <c r="D294" s="72">
        <v>163</v>
      </c>
      <c r="E294" s="73">
        <v>6.7045080618620004E-3</v>
      </c>
    </row>
    <row r="295" spans="2:5">
      <c r="B295" s="94"/>
      <c r="C295" s="71" t="s">
        <v>111</v>
      </c>
      <c r="D295" s="72">
        <v>139</v>
      </c>
      <c r="E295" s="73">
        <v>5.7173412306680002E-3</v>
      </c>
    </row>
    <row r="296" spans="2:5">
      <c r="B296" s="94"/>
      <c r="C296" s="71" t="s">
        <v>112</v>
      </c>
      <c r="D296" s="72">
        <v>3</v>
      </c>
      <c r="E296" s="73">
        <v>1.23395853899E-4</v>
      </c>
    </row>
    <row r="297" spans="2:5">
      <c r="B297" s="94"/>
      <c r="C297" s="71" t="s">
        <v>113</v>
      </c>
      <c r="D297" s="72">
        <v>130</v>
      </c>
      <c r="E297" s="73">
        <v>5.3471536689700004E-3</v>
      </c>
    </row>
    <row r="298" spans="2:5">
      <c r="B298" s="94"/>
      <c r="C298" s="71" t="s">
        <v>114</v>
      </c>
      <c r="D298" s="72">
        <v>53</v>
      </c>
      <c r="E298" s="73">
        <v>2.1799934188880001E-3</v>
      </c>
    </row>
    <row r="299" spans="2:5">
      <c r="B299" s="94"/>
      <c r="C299" s="71" t="s">
        <v>115</v>
      </c>
      <c r="D299" s="72">
        <v>6</v>
      </c>
      <c r="E299" s="73">
        <v>2.4679170779900002E-4</v>
      </c>
    </row>
    <row r="300" spans="2:5">
      <c r="B300" s="94"/>
      <c r="C300" s="71" t="s">
        <v>116</v>
      </c>
      <c r="D300" s="72">
        <v>17</v>
      </c>
      <c r="E300" s="73">
        <v>6.9924317209599999E-4</v>
      </c>
    </row>
    <row r="301" spans="2:5">
      <c r="B301" s="94"/>
      <c r="C301" s="71" t="s">
        <v>117</v>
      </c>
      <c r="D301" s="72">
        <v>24</v>
      </c>
      <c r="E301" s="73">
        <v>9.8716683119399995E-4</v>
      </c>
    </row>
    <row r="302" spans="2:5">
      <c r="B302" s="94"/>
      <c r="C302" s="71" t="s">
        <v>118</v>
      </c>
      <c r="D302" s="72">
        <v>50</v>
      </c>
      <c r="E302" s="73">
        <v>2.0565975649879998E-3</v>
      </c>
    </row>
    <row r="303" spans="2:5">
      <c r="B303" s="94"/>
      <c r="C303" s="71" t="s">
        <v>120</v>
      </c>
      <c r="D303" s="72">
        <v>8</v>
      </c>
      <c r="E303" s="73">
        <v>3.2905561039800002E-4</v>
      </c>
    </row>
    <row r="304" spans="2:5">
      <c r="B304" s="94"/>
      <c r="C304" s="71" t="s">
        <v>121</v>
      </c>
      <c r="D304" s="72">
        <v>4</v>
      </c>
      <c r="E304" s="73">
        <v>1.6452780519900001E-4</v>
      </c>
    </row>
    <row r="305" spans="2:5">
      <c r="B305" s="94"/>
      <c r="C305" s="71" t="s">
        <v>122</v>
      </c>
      <c r="D305" s="72">
        <v>35</v>
      </c>
      <c r="E305" s="73">
        <v>1.4396182954919999E-3</v>
      </c>
    </row>
    <row r="306" spans="2:5">
      <c r="B306" s="94"/>
      <c r="C306" s="71" t="s">
        <v>123</v>
      </c>
      <c r="D306" s="72">
        <v>41</v>
      </c>
      <c r="E306" s="73">
        <v>1.686410003291E-3</v>
      </c>
    </row>
    <row r="307" spans="2:5">
      <c r="B307" s="94"/>
      <c r="C307" s="71" t="s">
        <v>124</v>
      </c>
      <c r="D307" s="72">
        <v>34</v>
      </c>
      <c r="E307" s="73">
        <v>1.398486344192E-3</v>
      </c>
    </row>
    <row r="308" spans="2:5">
      <c r="B308" s="94"/>
      <c r="C308" s="71" t="s">
        <v>125</v>
      </c>
      <c r="D308" s="72">
        <v>28</v>
      </c>
      <c r="E308" s="73">
        <v>1.151694636394E-3</v>
      </c>
    </row>
    <row r="309" spans="2:5">
      <c r="B309" s="94"/>
      <c r="C309" s="71" t="s">
        <v>127</v>
      </c>
      <c r="D309" s="72">
        <v>12</v>
      </c>
      <c r="E309" s="73">
        <v>4.9358341559699998E-4</v>
      </c>
    </row>
    <row r="310" spans="2:5">
      <c r="B310" s="94"/>
      <c r="C310" s="71" t="s">
        <v>128</v>
      </c>
      <c r="D310" s="72">
        <v>9</v>
      </c>
      <c r="E310" s="73">
        <v>3.7018756169799997E-4</v>
      </c>
    </row>
    <row r="311" spans="2:5">
      <c r="B311" s="94"/>
      <c r="C311" s="71" t="s">
        <v>129</v>
      </c>
      <c r="D311" s="72">
        <v>11</v>
      </c>
      <c r="E311" s="73">
        <v>4.5245146429700003E-4</v>
      </c>
    </row>
    <row r="312" spans="2:5">
      <c r="B312" s="94"/>
      <c r="C312" s="71" t="s">
        <v>130</v>
      </c>
      <c r="D312" s="72">
        <v>5</v>
      </c>
      <c r="E312" s="73">
        <v>2.0565975649899999E-4</v>
      </c>
    </row>
    <row r="313" spans="2:5">
      <c r="B313" s="94"/>
      <c r="C313" s="71" t="s">
        <v>131</v>
      </c>
      <c r="D313" s="72">
        <v>9</v>
      </c>
      <c r="E313" s="73">
        <v>3.7018756169799997E-4</v>
      </c>
    </row>
    <row r="314" spans="2:5">
      <c r="B314" s="94"/>
      <c r="C314" s="71" t="s">
        <v>132</v>
      </c>
      <c r="D314" s="72">
        <v>145</v>
      </c>
      <c r="E314" s="73">
        <v>5.9641329384669999E-3</v>
      </c>
    </row>
    <row r="315" spans="2:5">
      <c r="B315" s="94"/>
      <c r="C315" s="71" t="s">
        <v>134</v>
      </c>
      <c r="D315" s="72">
        <v>24</v>
      </c>
      <c r="E315" s="73">
        <v>9.8716683119399995E-4</v>
      </c>
    </row>
    <row r="316" spans="2:5">
      <c r="B316" s="94"/>
      <c r="C316" s="71" t="s">
        <v>135</v>
      </c>
      <c r="D316" s="72">
        <v>87</v>
      </c>
      <c r="E316" s="73">
        <v>3.5784797630800001E-3</v>
      </c>
    </row>
    <row r="317" spans="2:5">
      <c r="B317" s="94"/>
      <c r="C317" s="71" t="s">
        <v>137</v>
      </c>
      <c r="D317" s="72">
        <v>10</v>
      </c>
      <c r="E317" s="73">
        <v>4.1131951299799998E-4</v>
      </c>
    </row>
    <row r="318" spans="2:5">
      <c r="B318" s="94"/>
      <c r="C318" s="71" t="s">
        <v>139</v>
      </c>
      <c r="D318" s="72">
        <v>43</v>
      </c>
      <c r="E318" s="73">
        <v>1.7686739058900001E-3</v>
      </c>
    </row>
    <row r="319" spans="2:5">
      <c r="B319" s="94"/>
      <c r="C319" s="71" t="s">
        <v>140</v>
      </c>
      <c r="D319" s="72">
        <v>3</v>
      </c>
      <c r="E319" s="73">
        <v>1.23395853899E-4</v>
      </c>
    </row>
    <row r="320" spans="2:5">
      <c r="B320" s="94"/>
      <c r="C320" s="71" t="s">
        <v>141</v>
      </c>
      <c r="D320" s="72">
        <v>73</v>
      </c>
      <c r="E320" s="73">
        <v>3.0026324448830001E-3</v>
      </c>
    </row>
    <row r="321" spans="2:5">
      <c r="B321" s="94"/>
      <c r="C321" s="71" t="s">
        <v>142</v>
      </c>
      <c r="D321" s="72">
        <v>4699</v>
      </c>
      <c r="E321" s="73">
        <v>0.19327903915761799</v>
      </c>
    </row>
    <row r="322" spans="2:5">
      <c r="B322" s="94"/>
      <c r="C322" s="71" t="s">
        <v>143</v>
      </c>
      <c r="D322" s="72">
        <v>1</v>
      </c>
      <c r="E322" s="73">
        <v>4.1131951299999999E-5</v>
      </c>
    </row>
    <row r="323" spans="2:5">
      <c r="B323" s="94"/>
      <c r="C323" s="71" t="s">
        <v>144</v>
      </c>
      <c r="D323" s="72">
        <v>1</v>
      </c>
      <c r="E323" s="73">
        <v>4.1131951299999999E-5</v>
      </c>
    </row>
    <row r="324" spans="2:5">
      <c r="B324" s="94"/>
      <c r="C324" s="71" t="s">
        <v>145</v>
      </c>
      <c r="D324" s="72">
        <v>16</v>
      </c>
      <c r="E324" s="73">
        <v>6.5811122079600004E-4</v>
      </c>
    </row>
    <row r="325" spans="2:5">
      <c r="B325" s="94"/>
      <c r="C325" s="71" t="s">
        <v>70</v>
      </c>
      <c r="D325" s="72">
        <v>1</v>
      </c>
      <c r="E325" s="73">
        <v>4.1131951299999999E-5</v>
      </c>
    </row>
    <row r="326" spans="2:5">
      <c r="B326" s="94"/>
      <c r="C326" s="71" t="s">
        <v>147</v>
      </c>
      <c r="D326" s="72">
        <v>19</v>
      </c>
      <c r="E326" s="73">
        <v>7.8150707469600001E-4</v>
      </c>
    </row>
    <row r="327" spans="2:5">
      <c r="B327" s="94"/>
      <c r="C327" s="71" t="s">
        <v>148</v>
      </c>
      <c r="D327" s="72">
        <v>1</v>
      </c>
      <c r="E327" s="73">
        <v>4.1131951299999999E-5</v>
      </c>
    </row>
    <row r="328" spans="2:5">
      <c r="B328" s="95"/>
      <c r="C328" s="36" t="s">
        <v>29</v>
      </c>
      <c r="D328" s="35">
        <v>6137</v>
      </c>
      <c r="E328" s="34">
        <v>0.25242678512668598</v>
      </c>
    </row>
    <row r="329" spans="2:5">
      <c r="B329" s="93" t="s">
        <v>206</v>
      </c>
      <c r="C329" s="71" t="s">
        <v>101</v>
      </c>
      <c r="D329" s="72">
        <v>1</v>
      </c>
      <c r="E329" s="73">
        <v>4.1131951299999999E-5</v>
      </c>
    </row>
    <row r="330" spans="2:5">
      <c r="B330" s="94"/>
      <c r="C330" s="71" t="s">
        <v>103</v>
      </c>
      <c r="D330" s="72">
        <v>1</v>
      </c>
      <c r="E330" s="73">
        <v>4.1131951299999999E-5</v>
      </c>
    </row>
    <row r="331" spans="2:5">
      <c r="B331" s="94"/>
      <c r="C331" s="71" t="s">
        <v>105</v>
      </c>
      <c r="D331" s="72">
        <v>2</v>
      </c>
      <c r="E331" s="73">
        <v>8.2263902599999999E-5</v>
      </c>
    </row>
    <row r="332" spans="2:5">
      <c r="B332" s="94"/>
      <c r="C332" s="71" t="s">
        <v>106</v>
      </c>
      <c r="D332" s="72">
        <v>1</v>
      </c>
      <c r="E332" s="73">
        <v>4.1131951299999999E-5</v>
      </c>
    </row>
    <row r="333" spans="2:5">
      <c r="B333" s="94"/>
      <c r="C333" s="71" t="s">
        <v>108</v>
      </c>
      <c r="D333" s="72">
        <v>1</v>
      </c>
      <c r="E333" s="73">
        <v>4.1131951299999999E-5</v>
      </c>
    </row>
    <row r="334" spans="2:5">
      <c r="B334" s="94"/>
      <c r="C334" s="71" t="s">
        <v>110</v>
      </c>
      <c r="D334" s="72">
        <v>9</v>
      </c>
      <c r="E334" s="73">
        <v>3.7018756169799997E-4</v>
      </c>
    </row>
    <row r="335" spans="2:5">
      <c r="B335" s="94"/>
      <c r="C335" s="71" t="s">
        <v>111</v>
      </c>
      <c r="D335" s="72">
        <v>19</v>
      </c>
      <c r="E335" s="73">
        <v>7.8150707469600001E-4</v>
      </c>
    </row>
    <row r="336" spans="2:5">
      <c r="B336" s="94"/>
      <c r="C336" s="71" t="s">
        <v>113</v>
      </c>
      <c r="D336" s="72">
        <v>9</v>
      </c>
      <c r="E336" s="73">
        <v>3.7018756169799997E-4</v>
      </c>
    </row>
    <row r="337" spans="2:5">
      <c r="B337" s="94"/>
      <c r="C337" s="71" t="s">
        <v>114</v>
      </c>
      <c r="D337" s="72">
        <v>1</v>
      </c>
      <c r="E337" s="73">
        <v>4.1131951299999999E-5</v>
      </c>
    </row>
    <row r="338" spans="2:5">
      <c r="B338" s="94"/>
      <c r="C338" s="71" t="s">
        <v>116</v>
      </c>
      <c r="D338" s="72">
        <v>3</v>
      </c>
      <c r="E338" s="73">
        <v>1.23395853899E-4</v>
      </c>
    </row>
    <row r="339" spans="2:5">
      <c r="B339" s="94"/>
      <c r="C339" s="71" t="s">
        <v>117</v>
      </c>
      <c r="D339" s="72">
        <v>1</v>
      </c>
      <c r="E339" s="73">
        <v>4.1131951299999999E-5</v>
      </c>
    </row>
    <row r="340" spans="2:5">
      <c r="B340" s="94"/>
      <c r="C340" s="71" t="s">
        <v>118</v>
      </c>
      <c r="D340" s="72">
        <v>1</v>
      </c>
      <c r="E340" s="73">
        <v>4.1131951299999999E-5</v>
      </c>
    </row>
    <row r="341" spans="2:5">
      <c r="B341" s="94"/>
      <c r="C341" s="71" t="s">
        <v>122</v>
      </c>
      <c r="D341" s="72">
        <v>4</v>
      </c>
      <c r="E341" s="73">
        <v>1.6452780519900001E-4</v>
      </c>
    </row>
    <row r="342" spans="2:5">
      <c r="B342" s="94"/>
      <c r="C342" s="71" t="s">
        <v>123</v>
      </c>
      <c r="D342" s="72">
        <v>6</v>
      </c>
      <c r="E342" s="73">
        <v>2.4679170779900002E-4</v>
      </c>
    </row>
    <row r="343" spans="2:5">
      <c r="B343" s="94"/>
      <c r="C343" s="71" t="s">
        <v>124</v>
      </c>
      <c r="D343" s="72">
        <v>5</v>
      </c>
      <c r="E343" s="73">
        <v>2.0565975649899999E-4</v>
      </c>
    </row>
    <row r="344" spans="2:5">
      <c r="B344" s="94"/>
      <c r="C344" s="71" t="s">
        <v>125</v>
      </c>
      <c r="D344" s="72">
        <v>2</v>
      </c>
      <c r="E344" s="73">
        <v>8.2263902599999999E-5</v>
      </c>
    </row>
    <row r="345" spans="2:5">
      <c r="B345" s="94"/>
      <c r="C345" s="71" t="s">
        <v>128</v>
      </c>
      <c r="D345" s="72">
        <v>2</v>
      </c>
      <c r="E345" s="73">
        <v>8.2263902599999999E-5</v>
      </c>
    </row>
    <row r="346" spans="2:5">
      <c r="B346" s="94"/>
      <c r="C346" s="71" t="s">
        <v>129</v>
      </c>
      <c r="D346" s="72">
        <v>1</v>
      </c>
      <c r="E346" s="73">
        <v>4.1131951299999999E-5</v>
      </c>
    </row>
    <row r="347" spans="2:5">
      <c r="B347" s="94"/>
      <c r="C347" s="71" t="s">
        <v>132</v>
      </c>
      <c r="D347" s="72">
        <v>4</v>
      </c>
      <c r="E347" s="73">
        <v>1.6452780519900001E-4</v>
      </c>
    </row>
    <row r="348" spans="2:5">
      <c r="B348" s="94"/>
      <c r="C348" s="71" t="s">
        <v>135</v>
      </c>
      <c r="D348" s="72">
        <v>4</v>
      </c>
      <c r="E348" s="73">
        <v>1.6452780519900001E-4</v>
      </c>
    </row>
    <row r="349" spans="2:5">
      <c r="B349" s="94"/>
      <c r="C349" s="71" t="s">
        <v>138</v>
      </c>
      <c r="D349" s="72">
        <v>1</v>
      </c>
      <c r="E349" s="73">
        <v>4.1131951299999999E-5</v>
      </c>
    </row>
    <row r="350" spans="2:5">
      <c r="B350" s="94"/>
      <c r="C350" s="71" t="s">
        <v>141</v>
      </c>
      <c r="D350" s="72">
        <v>11</v>
      </c>
      <c r="E350" s="73">
        <v>4.5245146429700003E-4</v>
      </c>
    </row>
    <row r="351" spans="2:5">
      <c r="B351" s="94"/>
      <c r="C351" s="71" t="s">
        <v>142</v>
      </c>
      <c r="D351" s="72">
        <v>366</v>
      </c>
      <c r="E351" s="73">
        <v>1.5054294175716E-2</v>
      </c>
    </row>
    <row r="352" spans="2:5">
      <c r="B352" s="94"/>
      <c r="C352" s="71" t="s">
        <v>145</v>
      </c>
      <c r="D352" s="72">
        <v>1</v>
      </c>
      <c r="E352" s="73">
        <v>4.1131951299999999E-5</v>
      </c>
    </row>
    <row r="353" spans="2:5">
      <c r="B353" s="94"/>
      <c r="C353" s="71" t="s">
        <v>147</v>
      </c>
      <c r="D353" s="72">
        <v>1</v>
      </c>
      <c r="E353" s="73">
        <v>4.1131951299999999E-5</v>
      </c>
    </row>
    <row r="354" spans="2:5">
      <c r="B354" s="95"/>
      <c r="C354" s="36" t="s">
        <v>29</v>
      </c>
      <c r="D354" s="35">
        <v>457</v>
      </c>
      <c r="E354" s="34">
        <v>1.8797301743995E-2</v>
      </c>
    </row>
    <row r="355" spans="2:5">
      <c r="B355" s="93" t="s">
        <v>207</v>
      </c>
      <c r="C355" s="71" t="s">
        <v>101</v>
      </c>
      <c r="D355" s="72">
        <v>9</v>
      </c>
      <c r="E355" s="73">
        <v>3.7018756169799997E-4</v>
      </c>
    </row>
    <row r="356" spans="2:5">
      <c r="B356" s="94"/>
      <c r="C356" s="71" t="s">
        <v>103</v>
      </c>
      <c r="D356" s="72">
        <v>3</v>
      </c>
      <c r="E356" s="73">
        <v>1.23395853899E-4</v>
      </c>
    </row>
    <row r="357" spans="2:5">
      <c r="B357" s="94"/>
      <c r="C357" s="71" t="s">
        <v>104</v>
      </c>
      <c r="D357" s="72">
        <v>17</v>
      </c>
      <c r="E357" s="73">
        <v>6.9924317209599999E-4</v>
      </c>
    </row>
    <row r="358" spans="2:5">
      <c r="B358" s="94"/>
      <c r="C358" s="71" t="s">
        <v>105</v>
      </c>
      <c r="D358" s="72">
        <v>22</v>
      </c>
      <c r="E358" s="73">
        <v>9.0490292859500001E-4</v>
      </c>
    </row>
    <row r="359" spans="2:5">
      <c r="B359" s="94"/>
      <c r="C359" s="71" t="s">
        <v>106</v>
      </c>
      <c r="D359" s="72">
        <v>3</v>
      </c>
      <c r="E359" s="73">
        <v>1.23395853899E-4</v>
      </c>
    </row>
    <row r="360" spans="2:5">
      <c r="B360" s="94"/>
      <c r="C360" s="71" t="s">
        <v>107</v>
      </c>
      <c r="D360" s="72">
        <v>1</v>
      </c>
      <c r="E360" s="73">
        <v>4.1131951299999999E-5</v>
      </c>
    </row>
    <row r="361" spans="2:5">
      <c r="B361" s="94"/>
      <c r="C361" s="71" t="s">
        <v>110</v>
      </c>
      <c r="D361" s="72">
        <v>48</v>
      </c>
      <c r="E361" s="73">
        <v>1.974333662389E-3</v>
      </c>
    </row>
    <row r="362" spans="2:5">
      <c r="B362" s="94"/>
      <c r="C362" s="71" t="s">
        <v>111</v>
      </c>
      <c r="D362" s="72">
        <v>36</v>
      </c>
      <c r="E362" s="73">
        <v>1.4807502467919999E-3</v>
      </c>
    </row>
    <row r="363" spans="2:5">
      <c r="B363" s="94"/>
      <c r="C363" s="71" t="s">
        <v>113</v>
      </c>
      <c r="D363" s="72">
        <v>26</v>
      </c>
      <c r="E363" s="73">
        <v>1.0694307337940001E-3</v>
      </c>
    </row>
    <row r="364" spans="2:5">
      <c r="B364" s="94"/>
      <c r="C364" s="71" t="s">
        <v>114</v>
      </c>
      <c r="D364" s="72">
        <v>15</v>
      </c>
      <c r="E364" s="73">
        <v>6.1697926949700005E-4</v>
      </c>
    </row>
    <row r="365" spans="2:5">
      <c r="B365" s="94"/>
      <c r="C365" s="71" t="s">
        <v>115</v>
      </c>
      <c r="D365" s="72">
        <v>1</v>
      </c>
      <c r="E365" s="73">
        <v>4.1131951299999999E-5</v>
      </c>
    </row>
    <row r="366" spans="2:5">
      <c r="B366" s="94"/>
      <c r="C366" s="71" t="s">
        <v>116</v>
      </c>
      <c r="D366" s="72">
        <v>7</v>
      </c>
      <c r="E366" s="73">
        <v>2.8792365909800001E-4</v>
      </c>
    </row>
    <row r="367" spans="2:5">
      <c r="B367" s="94"/>
      <c r="C367" s="71" t="s">
        <v>117</v>
      </c>
      <c r="D367" s="72">
        <v>3</v>
      </c>
      <c r="E367" s="73">
        <v>1.23395853899E-4</v>
      </c>
    </row>
    <row r="368" spans="2:5">
      <c r="B368" s="94"/>
      <c r="C368" s="71" t="s">
        <v>118</v>
      </c>
      <c r="D368" s="72">
        <v>19</v>
      </c>
      <c r="E368" s="73">
        <v>7.8150707469600001E-4</v>
      </c>
    </row>
    <row r="369" spans="2:5">
      <c r="B369" s="94"/>
      <c r="C369" s="71" t="s">
        <v>121</v>
      </c>
      <c r="D369" s="72">
        <v>1</v>
      </c>
      <c r="E369" s="73">
        <v>4.1131951299999999E-5</v>
      </c>
    </row>
    <row r="370" spans="2:5">
      <c r="B370" s="94"/>
      <c r="C370" s="71" t="s">
        <v>122</v>
      </c>
      <c r="D370" s="72">
        <v>10</v>
      </c>
      <c r="E370" s="73">
        <v>4.1131951299799998E-4</v>
      </c>
    </row>
    <row r="371" spans="2:5">
      <c r="B371" s="94"/>
      <c r="C371" s="71" t="s">
        <v>123</v>
      </c>
      <c r="D371" s="72">
        <v>10</v>
      </c>
      <c r="E371" s="73">
        <v>4.1131951299799998E-4</v>
      </c>
    </row>
    <row r="372" spans="2:5">
      <c r="B372" s="94"/>
      <c r="C372" s="71" t="s">
        <v>124</v>
      </c>
      <c r="D372" s="72">
        <v>16</v>
      </c>
      <c r="E372" s="73">
        <v>6.5811122079600004E-4</v>
      </c>
    </row>
    <row r="373" spans="2:5">
      <c r="B373" s="94"/>
      <c r="C373" s="71" t="s">
        <v>125</v>
      </c>
      <c r="D373" s="72">
        <v>10</v>
      </c>
      <c r="E373" s="73">
        <v>4.1131951299799998E-4</v>
      </c>
    </row>
    <row r="374" spans="2:5">
      <c r="B374" s="94"/>
      <c r="C374" s="71" t="s">
        <v>127</v>
      </c>
      <c r="D374" s="72">
        <v>4</v>
      </c>
      <c r="E374" s="73">
        <v>1.6452780519900001E-4</v>
      </c>
    </row>
    <row r="375" spans="2:5">
      <c r="B375" s="94"/>
      <c r="C375" s="71" t="s">
        <v>128</v>
      </c>
      <c r="D375" s="72">
        <v>4</v>
      </c>
      <c r="E375" s="73">
        <v>1.6452780519900001E-4</v>
      </c>
    </row>
    <row r="376" spans="2:5">
      <c r="B376" s="94"/>
      <c r="C376" s="71" t="s">
        <v>129</v>
      </c>
      <c r="D376" s="72">
        <v>1</v>
      </c>
      <c r="E376" s="73">
        <v>4.1131951299999999E-5</v>
      </c>
    </row>
    <row r="377" spans="2:5">
      <c r="B377" s="94"/>
      <c r="C377" s="71" t="s">
        <v>130</v>
      </c>
      <c r="D377" s="72">
        <v>1</v>
      </c>
      <c r="E377" s="73">
        <v>4.1131951299999999E-5</v>
      </c>
    </row>
    <row r="378" spans="2:5">
      <c r="B378" s="94"/>
      <c r="C378" s="71" t="s">
        <v>131</v>
      </c>
      <c r="D378" s="72">
        <v>1</v>
      </c>
      <c r="E378" s="73">
        <v>4.1131951299999999E-5</v>
      </c>
    </row>
    <row r="379" spans="2:5">
      <c r="B379" s="94"/>
      <c r="C379" s="71" t="s">
        <v>132</v>
      </c>
      <c r="D379" s="72">
        <v>41</v>
      </c>
      <c r="E379" s="73">
        <v>1.686410003291E-3</v>
      </c>
    </row>
    <row r="380" spans="2:5">
      <c r="B380" s="94"/>
      <c r="C380" s="71" t="s">
        <v>134</v>
      </c>
      <c r="D380" s="72">
        <v>13</v>
      </c>
      <c r="E380" s="73">
        <v>5.3471536689700004E-4</v>
      </c>
    </row>
    <row r="381" spans="2:5">
      <c r="B381" s="94"/>
      <c r="C381" s="71" t="s">
        <v>135</v>
      </c>
      <c r="D381" s="72">
        <v>26</v>
      </c>
      <c r="E381" s="73">
        <v>1.0694307337940001E-3</v>
      </c>
    </row>
    <row r="382" spans="2:5">
      <c r="B382" s="94"/>
      <c r="C382" s="71" t="s">
        <v>137</v>
      </c>
      <c r="D382" s="72">
        <v>3</v>
      </c>
      <c r="E382" s="73">
        <v>1.23395853899E-4</v>
      </c>
    </row>
    <row r="383" spans="2:5">
      <c r="B383" s="94"/>
      <c r="C383" s="71" t="s">
        <v>139</v>
      </c>
      <c r="D383" s="72">
        <v>5</v>
      </c>
      <c r="E383" s="73">
        <v>2.0565975649899999E-4</v>
      </c>
    </row>
    <row r="384" spans="2:5">
      <c r="B384" s="94"/>
      <c r="C384" s="71" t="s">
        <v>141</v>
      </c>
      <c r="D384" s="72">
        <v>21</v>
      </c>
      <c r="E384" s="73">
        <v>8.6377097729499995E-4</v>
      </c>
    </row>
    <row r="385" spans="2:5">
      <c r="B385" s="94"/>
      <c r="C385" s="71" t="s">
        <v>142</v>
      </c>
      <c r="D385" s="72">
        <v>1479</v>
      </c>
      <c r="E385" s="73">
        <v>6.0834155972359E-2</v>
      </c>
    </row>
    <row r="386" spans="2:5">
      <c r="B386" s="94"/>
      <c r="C386" s="71" t="s">
        <v>143</v>
      </c>
      <c r="D386" s="72">
        <v>3</v>
      </c>
      <c r="E386" s="73">
        <v>1.23395853899E-4</v>
      </c>
    </row>
    <row r="387" spans="2:5">
      <c r="B387" s="94"/>
      <c r="C387" s="71" t="s">
        <v>145</v>
      </c>
      <c r="D387" s="72">
        <v>3</v>
      </c>
      <c r="E387" s="73">
        <v>1.23395853899E-4</v>
      </c>
    </row>
    <row r="388" spans="2:5">
      <c r="B388" s="94"/>
      <c r="C388" s="71" t="s">
        <v>147</v>
      </c>
      <c r="D388" s="72">
        <v>3</v>
      </c>
      <c r="E388" s="73">
        <v>1.23395853899E-4</v>
      </c>
    </row>
    <row r="389" spans="2:5">
      <c r="B389" s="95"/>
      <c r="C389" s="36" t="s">
        <v>29</v>
      </c>
      <c r="D389" s="35">
        <v>1865</v>
      </c>
      <c r="E389" s="34">
        <v>7.6711089174070005E-2</v>
      </c>
    </row>
    <row r="390" spans="2:5">
      <c r="B390" s="93" t="s">
        <v>208</v>
      </c>
      <c r="C390" s="71" t="s">
        <v>101</v>
      </c>
      <c r="D390" s="72">
        <v>26</v>
      </c>
      <c r="E390" s="73">
        <v>1.0694307337940001E-3</v>
      </c>
    </row>
    <row r="391" spans="2:5">
      <c r="B391" s="94"/>
      <c r="C391" s="71" t="s">
        <v>103</v>
      </c>
      <c r="D391" s="72">
        <v>10</v>
      </c>
      <c r="E391" s="73">
        <v>4.1131951299799998E-4</v>
      </c>
    </row>
    <row r="392" spans="2:5">
      <c r="B392" s="94"/>
      <c r="C392" s="71" t="s">
        <v>104</v>
      </c>
      <c r="D392" s="72">
        <v>77</v>
      </c>
      <c r="E392" s="73">
        <v>3.1671602500819998E-3</v>
      </c>
    </row>
    <row r="393" spans="2:5">
      <c r="B393" s="94"/>
      <c r="C393" s="71" t="s">
        <v>105</v>
      </c>
      <c r="D393" s="72">
        <v>115</v>
      </c>
      <c r="E393" s="73">
        <v>4.7301743994740001E-3</v>
      </c>
    </row>
    <row r="394" spans="2:5">
      <c r="B394" s="94"/>
      <c r="C394" s="71" t="s">
        <v>106</v>
      </c>
      <c r="D394" s="72">
        <v>14</v>
      </c>
      <c r="E394" s="73">
        <v>5.7584731819699999E-4</v>
      </c>
    </row>
    <row r="395" spans="2:5">
      <c r="B395" s="94"/>
      <c r="C395" s="71" t="s">
        <v>107</v>
      </c>
      <c r="D395" s="72">
        <v>2</v>
      </c>
      <c r="E395" s="73">
        <v>8.2263902599999999E-5</v>
      </c>
    </row>
    <row r="396" spans="2:5">
      <c r="B396" s="94"/>
      <c r="C396" s="71" t="s">
        <v>108</v>
      </c>
      <c r="D396" s="72">
        <v>2</v>
      </c>
      <c r="E396" s="73">
        <v>8.2263902599999999E-5</v>
      </c>
    </row>
    <row r="397" spans="2:5">
      <c r="B397" s="94"/>
      <c r="C397" s="71" t="s">
        <v>110</v>
      </c>
      <c r="D397" s="72">
        <v>95</v>
      </c>
      <c r="E397" s="73">
        <v>3.9075353734779996E-3</v>
      </c>
    </row>
    <row r="398" spans="2:5">
      <c r="B398" s="94"/>
      <c r="C398" s="71" t="s">
        <v>111</v>
      </c>
      <c r="D398" s="72">
        <v>111</v>
      </c>
      <c r="E398" s="73">
        <v>4.5656465942740003E-3</v>
      </c>
    </row>
    <row r="399" spans="2:5">
      <c r="B399" s="94"/>
      <c r="C399" s="71" t="s">
        <v>112</v>
      </c>
      <c r="D399" s="72">
        <v>4</v>
      </c>
      <c r="E399" s="73">
        <v>1.6452780519900001E-4</v>
      </c>
    </row>
    <row r="400" spans="2:5">
      <c r="B400" s="94"/>
      <c r="C400" s="71" t="s">
        <v>113</v>
      </c>
      <c r="D400" s="72">
        <v>103</v>
      </c>
      <c r="E400" s="73">
        <v>4.2365909838759999E-3</v>
      </c>
    </row>
    <row r="401" spans="2:5">
      <c r="B401" s="94"/>
      <c r="C401" s="71" t="s">
        <v>114</v>
      </c>
      <c r="D401" s="72">
        <v>45</v>
      </c>
      <c r="E401" s="73">
        <v>1.85093780849E-3</v>
      </c>
    </row>
    <row r="402" spans="2:5">
      <c r="B402" s="94"/>
      <c r="C402" s="71" t="s">
        <v>115</v>
      </c>
      <c r="D402" s="72">
        <v>7</v>
      </c>
      <c r="E402" s="73">
        <v>2.8792365909800001E-4</v>
      </c>
    </row>
    <row r="403" spans="2:5">
      <c r="B403" s="94"/>
      <c r="C403" s="71" t="s">
        <v>116</v>
      </c>
      <c r="D403" s="72">
        <v>25</v>
      </c>
      <c r="E403" s="73">
        <v>1.0282987824939999E-3</v>
      </c>
    </row>
    <row r="404" spans="2:5">
      <c r="B404" s="94"/>
      <c r="C404" s="71" t="s">
        <v>117</v>
      </c>
      <c r="D404" s="72">
        <v>26</v>
      </c>
      <c r="E404" s="73">
        <v>1.0694307337940001E-3</v>
      </c>
    </row>
    <row r="405" spans="2:5">
      <c r="B405" s="94"/>
      <c r="C405" s="71" t="s">
        <v>118</v>
      </c>
      <c r="D405" s="72">
        <v>41</v>
      </c>
      <c r="E405" s="73">
        <v>1.686410003291E-3</v>
      </c>
    </row>
    <row r="406" spans="2:5">
      <c r="B406" s="94"/>
      <c r="C406" s="71" t="s">
        <v>119</v>
      </c>
      <c r="D406" s="72">
        <v>1</v>
      </c>
      <c r="E406" s="73">
        <v>4.1131951299999999E-5</v>
      </c>
    </row>
    <row r="407" spans="2:5">
      <c r="B407" s="94"/>
      <c r="C407" s="71" t="s">
        <v>120</v>
      </c>
      <c r="D407" s="72">
        <v>5</v>
      </c>
      <c r="E407" s="73">
        <v>2.0565975649899999E-4</v>
      </c>
    </row>
    <row r="408" spans="2:5">
      <c r="B408" s="94"/>
      <c r="C408" s="71" t="s">
        <v>121</v>
      </c>
      <c r="D408" s="72">
        <v>2</v>
      </c>
      <c r="E408" s="73">
        <v>8.2263902599999999E-5</v>
      </c>
    </row>
    <row r="409" spans="2:5">
      <c r="B409" s="94"/>
      <c r="C409" s="71" t="s">
        <v>122</v>
      </c>
      <c r="D409" s="72">
        <v>29</v>
      </c>
      <c r="E409" s="73">
        <v>1.1928265876930001E-3</v>
      </c>
    </row>
    <row r="410" spans="2:5">
      <c r="B410" s="94"/>
      <c r="C410" s="71" t="s">
        <v>123</v>
      </c>
      <c r="D410" s="72">
        <v>51</v>
      </c>
      <c r="E410" s="73">
        <v>2.0977295162880002E-3</v>
      </c>
    </row>
    <row r="411" spans="2:5">
      <c r="B411" s="94"/>
      <c r="C411" s="71" t="s">
        <v>124</v>
      </c>
      <c r="D411" s="72">
        <v>28</v>
      </c>
      <c r="E411" s="73">
        <v>1.151694636394E-3</v>
      </c>
    </row>
    <row r="412" spans="2:5">
      <c r="B412" s="94"/>
      <c r="C412" s="71" t="s">
        <v>125</v>
      </c>
      <c r="D412" s="72">
        <v>30</v>
      </c>
      <c r="E412" s="73">
        <v>1.233958538993E-3</v>
      </c>
    </row>
    <row r="413" spans="2:5">
      <c r="B413" s="94"/>
      <c r="C413" s="71" t="s">
        <v>126</v>
      </c>
      <c r="D413" s="72">
        <v>1</v>
      </c>
      <c r="E413" s="73">
        <v>4.1131951299999999E-5</v>
      </c>
    </row>
    <row r="414" spans="2:5">
      <c r="B414" s="94"/>
      <c r="C414" s="71" t="s">
        <v>127</v>
      </c>
      <c r="D414" s="72">
        <v>8</v>
      </c>
      <c r="E414" s="73">
        <v>3.2905561039800002E-4</v>
      </c>
    </row>
    <row r="415" spans="2:5">
      <c r="B415" s="94"/>
      <c r="C415" s="71" t="s">
        <v>128</v>
      </c>
      <c r="D415" s="72">
        <v>8</v>
      </c>
      <c r="E415" s="73">
        <v>3.2905561039800002E-4</v>
      </c>
    </row>
    <row r="416" spans="2:5">
      <c r="B416" s="94"/>
      <c r="C416" s="71" t="s">
        <v>129</v>
      </c>
      <c r="D416" s="72">
        <v>9</v>
      </c>
      <c r="E416" s="73">
        <v>3.7018756169799997E-4</v>
      </c>
    </row>
    <row r="417" spans="2:5">
      <c r="B417" s="94"/>
      <c r="C417" s="71" t="s">
        <v>130</v>
      </c>
      <c r="D417" s="72">
        <v>1</v>
      </c>
      <c r="E417" s="73">
        <v>4.1131951299999999E-5</v>
      </c>
    </row>
    <row r="418" spans="2:5">
      <c r="B418" s="94"/>
      <c r="C418" s="71" t="s">
        <v>131</v>
      </c>
      <c r="D418" s="72">
        <v>4</v>
      </c>
      <c r="E418" s="73">
        <v>1.6452780519900001E-4</v>
      </c>
    </row>
    <row r="419" spans="2:5">
      <c r="B419" s="94"/>
      <c r="C419" s="71" t="s">
        <v>132</v>
      </c>
      <c r="D419" s="72">
        <v>93</v>
      </c>
      <c r="E419" s="73">
        <v>3.8252714708790002E-3</v>
      </c>
    </row>
    <row r="420" spans="2:5">
      <c r="B420" s="94"/>
      <c r="C420" s="71" t="s">
        <v>133</v>
      </c>
      <c r="D420" s="72">
        <v>1</v>
      </c>
      <c r="E420" s="73">
        <v>4.1131951299999999E-5</v>
      </c>
    </row>
    <row r="421" spans="2:5">
      <c r="B421" s="94"/>
      <c r="C421" s="71" t="s">
        <v>134</v>
      </c>
      <c r="D421" s="72">
        <v>25</v>
      </c>
      <c r="E421" s="73">
        <v>1.0282987824939999E-3</v>
      </c>
    </row>
    <row r="422" spans="2:5">
      <c r="B422" s="94"/>
      <c r="C422" s="71" t="s">
        <v>135</v>
      </c>
      <c r="D422" s="72">
        <v>81</v>
      </c>
      <c r="E422" s="73">
        <v>3.331688055281E-3</v>
      </c>
    </row>
    <row r="423" spans="2:5">
      <c r="B423" s="94"/>
      <c r="C423" s="71" t="s">
        <v>136</v>
      </c>
      <c r="D423" s="72">
        <v>2</v>
      </c>
      <c r="E423" s="73">
        <v>8.2263902599999999E-5</v>
      </c>
    </row>
    <row r="424" spans="2:5">
      <c r="B424" s="94"/>
      <c r="C424" s="71" t="s">
        <v>137</v>
      </c>
      <c r="D424" s="72">
        <v>7</v>
      </c>
      <c r="E424" s="73">
        <v>2.8792365909800001E-4</v>
      </c>
    </row>
    <row r="425" spans="2:5">
      <c r="B425" s="94"/>
      <c r="C425" s="71" t="s">
        <v>138</v>
      </c>
      <c r="D425" s="72">
        <v>1</v>
      </c>
      <c r="E425" s="73">
        <v>4.1131951299999999E-5</v>
      </c>
    </row>
    <row r="426" spans="2:5">
      <c r="B426" s="94"/>
      <c r="C426" s="71" t="s">
        <v>139</v>
      </c>
      <c r="D426" s="72">
        <v>30</v>
      </c>
      <c r="E426" s="73">
        <v>1.233958538993E-3</v>
      </c>
    </row>
    <row r="427" spans="2:5">
      <c r="B427" s="94"/>
      <c r="C427" s="71" t="s">
        <v>140</v>
      </c>
      <c r="D427" s="72">
        <v>2</v>
      </c>
      <c r="E427" s="73">
        <v>8.2263902599999999E-5</v>
      </c>
    </row>
    <row r="428" spans="2:5">
      <c r="B428" s="94"/>
      <c r="C428" s="71" t="s">
        <v>141</v>
      </c>
      <c r="D428" s="72">
        <v>70</v>
      </c>
      <c r="E428" s="73">
        <v>2.8792365909839999E-3</v>
      </c>
    </row>
    <row r="429" spans="2:5">
      <c r="B429" s="94"/>
      <c r="C429" s="71" t="s">
        <v>142</v>
      </c>
      <c r="D429" s="72">
        <v>5182</v>
      </c>
      <c r="E429" s="73">
        <v>0.21314577163540599</v>
      </c>
    </row>
    <row r="430" spans="2:5">
      <c r="B430" s="94"/>
      <c r="C430" s="71" t="s">
        <v>143</v>
      </c>
      <c r="D430" s="72">
        <v>6</v>
      </c>
      <c r="E430" s="73">
        <v>2.4679170779900002E-4</v>
      </c>
    </row>
    <row r="431" spans="2:5">
      <c r="B431" s="94"/>
      <c r="C431" s="71" t="s">
        <v>145</v>
      </c>
      <c r="D431" s="72">
        <v>21</v>
      </c>
      <c r="E431" s="73">
        <v>8.6377097729499995E-4</v>
      </c>
    </row>
    <row r="432" spans="2:5">
      <c r="B432" s="94"/>
      <c r="C432" s="71" t="s">
        <v>70</v>
      </c>
      <c r="D432" s="72">
        <v>3</v>
      </c>
      <c r="E432" s="73">
        <v>1.23395853899E-4</v>
      </c>
    </row>
    <row r="433" spans="2:5">
      <c r="B433" s="94"/>
      <c r="C433" s="71" t="s">
        <v>147</v>
      </c>
      <c r="D433" s="72">
        <v>7</v>
      </c>
      <c r="E433" s="73">
        <v>2.8792365909800001E-4</v>
      </c>
    </row>
    <row r="434" spans="2:5">
      <c r="B434" s="95"/>
      <c r="C434" s="36" t="s">
        <v>29</v>
      </c>
      <c r="D434" s="35">
        <v>6411</v>
      </c>
      <c r="E434" s="34">
        <v>0.26369693978282299</v>
      </c>
    </row>
    <row r="435" spans="2:5">
      <c r="B435" s="93" t="s">
        <v>209</v>
      </c>
      <c r="C435" s="71" t="s">
        <v>103</v>
      </c>
      <c r="D435" s="72">
        <v>1</v>
      </c>
      <c r="E435" s="73">
        <v>4.1131951299999999E-5</v>
      </c>
    </row>
    <row r="436" spans="2:5">
      <c r="B436" s="94"/>
      <c r="C436" s="71" t="s">
        <v>104</v>
      </c>
      <c r="D436" s="72">
        <v>1</v>
      </c>
      <c r="E436" s="73">
        <v>4.1131951299999999E-5</v>
      </c>
    </row>
    <row r="437" spans="2:5">
      <c r="B437" s="94"/>
      <c r="C437" s="71" t="s">
        <v>105</v>
      </c>
      <c r="D437" s="72">
        <v>3</v>
      </c>
      <c r="E437" s="73">
        <v>1.23395853899E-4</v>
      </c>
    </row>
    <row r="438" spans="2:5">
      <c r="B438" s="94"/>
      <c r="C438" s="71" t="s">
        <v>110</v>
      </c>
      <c r="D438" s="72">
        <v>5</v>
      </c>
      <c r="E438" s="73">
        <v>2.0565975649899999E-4</v>
      </c>
    </row>
    <row r="439" spans="2:5">
      <c r="B439" s="94"/>
      <c r="C439" s="71" t="s">
        <v>111</v>
      </c>
      <c r="D439" s="72">
        <v>4</v>
      </c>
      <c r="E439" s="73">
        <v>1.6452780519900001E-4</v>
      </c>
    </row>
    <row r="440" spans="2:5">
      <c r="B440" s="94"/>
      <c r="C440" s="71" t="s">
        <v>113</v>
      </c>
      <c r="D440" s="72">
        <v>1</v>
      </c>
      <c r="E440" s="73">
        <v>4.1131951299999999E-5</v>
      </c>
    </row>
    <row r="441" spans="2:5">
      <c r="B441" s="94"/>
      <c r="C441" s="71" t="s">
        <v>122</v>
      </c>
      <c r="D441" s="72">
        <v>1</v>
      </c>
      <c r="E441" s="73">
        <v>4.1131951299999999E-5</v>
      </c>
    </row>
    <row r="442" spans="2:5">
      <c r="B442" s="94"/>
      <c r="C442" s="71" t="s">
        <v>125</v>
      </c>
      <c r="D442" s="72">
        <v>1</v>
      </c>
      <c r="E442" s="73">
        <v>4.1131951299999999E-5</v>
      </c>
    </row>
    <row r="443" spans="2:5">
      <c r="B443" s="94"/>
      <c r="C443" s="71" t="s">
        <v>129</v>
      </c>
      <c r="D443" s="72">
        <v>1</v>
      </c>
      <c r="E443" s="73">
        <v>4.1131951299999999E-5</v>
      </c>
    </row>
    <row r="444" spans="2:5">
      <c r="B444" s="94"/>
      <c r="C444" s="71" t="s">
        <v>130</v>
      </c>
      <c r="D444" s="72">
        <v>2</v>
      </c>
      <c r="E444" s="73">
        <v>8.2263902599999999E-5</v>
      </c>
    </row>
    <row r="445" spans="2:5">
      <c r="B445" s="94"/>
      <c r="C445" s="71" t="s">
        <v>131</v>
      </c>
      <c r="D445" s="72">
        <v>1</v>
      </c>
      <c r="E445" s="73">
        <v>4.1131951299999999E-5</v>
      </c>
    </row>
    <row r="446" spans="2:5">
      <c r="B446" s="94"/>
      <c r="C446" s="71" t="s">
        <v>135</v>
      </c>
      <c r="D446" s="72">
        <v>1</v>
      </c>
      <c r="E446" s="73">
        <v>4.1131951299999999E-5</v>
      </c>
    </row>
    <row r="447" spans="2:5">
      <c r="B447" s="94"/>
      <c r="C447" s="71" t="s">
        <v>137</v>
      </c>
      <c r="D447" s="72">
        <v>1</v>
      </c>
      <c r="E447" s="73">
        <v>4.1131951299999999E-5</v>
      </c>
    </row>
    <row r="448" spans="2:5">
      <c r="B448" s="94"/>
      <c r="C448" s="71" t="s">
        <v>141</v>
      </c>
      <c r="D448" s="72">
        <v>1</v>
      </c>
      <c r="E448" s="73">
        <v>4.1131951299999999E-5</v>
      </c>
    </row>
    <row r="449" spans="2:5">
      <c r="B449" s="94"/>
      <c r="C449" s="71" t="s">
        <v>142</v>
      </c>
      <c r="D449" s="72">
        <v>141</v>
      </c>
      <c r="E449" s="73">
        <v>5.7996051332680001E-3</v>
      </c>
    </row>
    <row r="450" spans="2:5">
      <c r="B450" s="94"/>
      <c r="C450" s="71" t="s">
        <v>147</v>
      </c>
      <c r="D450" s="72">
        <v>1</v>
      </c>
      <c r="E450" s="73">
        <v>4.1131951299999999E-5</v>
      </c>
    </row>
    <row r="451" spans="2:5">
      <c r="B451" s="95"/>
      <c r="C451" s="36" t="s">
        <v>29</v>
      </c>
      <c r="D451" s="35">
        <v>166</v>
      </c>
      <c r="E451" s="34">
        <v>6.8279039157619998E-3</v>
      </c>
    </row>
    <row r="452" spans="2:5">
      <c r="B452" s="93" t="s">
        <v>210</v>
      </c>
      <c r="C452" s="71" t="s">
        <v>103</v>
      </c>
      <c r="D452" s="72">
        <v>1</v>
      </c>
      <c r="E452" s="73">
        <v>4.1131951299999999E-5</v>
      </c>
    </row>
    <row r="453" spans="2:5">
      <c r="B453" s="94"/>
      <c r="C453" s="71" t="s">
        <v>105</v>
      </c>
      <c r="D453" s="72">
        <v>2</v>
      </c>
      <c r="E453" s="73">
        <v>8.2263902599999999E-5</v>
      </c>
    </row>
    <row r="454" spans="2:5">
      <c r="B454" s="94"/>
      <c r="C454" s="71" t="s">
        <v>110</v>
      </c>
      <c r="D454" s="72">
        <v>1</v>
      </c>
      <c r="E454" s="73">
        <v>4.1131951299999999E-5</v>
      </c>
    </row>
    <row r="455" spans="2:5">
      <c r="B455" s="94"/>
      <c r="C455" s="71" t="s">
        <v>111</v>
      </c>
      <c r="D455" s="72">
        <v>1</v>
      </c>
      <c r="E455" s="73">
        <v>4.1131951299999999E-5</v>
      </c>
    </row>
    <row r="456" spans="2:5">
      <c r="B456" s="94"/>
      <c r="C456" s="71" t="s">
        <v>113</v>
      </c>
      <c r="D456" s="72">
        <v>3</v>
      </c>
      <c r="E456" s="73">
        <v>1.23395853899E-4</v>
      </c>
    </row>
    <row r="457" spans="2:5">
      <c r="B457" s="94"/>
      <c r="C457" s="71" t="s">
        <v>114</v>
      </c>
      <c r="D457" s="72">
        <v>1</v>
      </c>
      <c r="E457" s="73">
        <v>4.1131951299999999E-5</v>
      </c>
    </row>
    <row r="458" spans="2:5">
      <c r="B458" s="94"/>
      <c r="C458" s="71" t="s">
        <v>115</v>
      </c>
      <c r="D458" s="72">
        <v>1</v>
      </c>
      <c r="E458" s="73">
        <v>4.1131951299999999E-5</v>
      </c>
    </row>
    <row r="459" spans="2:5">
      <c r="B459" s="94"/>
      <c r="C459" s="71" t="s">
        <v>116</v>
      </c>
      <c r="D459" s="72">
        <v>3</v>
      </c>
      <c r="E459" s="73">
        <v>1.23395853899E-4</v>
      </c>
    </row>
    <row r="460" spans="2:5">
      <c r="B460" s="94"/>
      <c r="C460" s="71" t="s">
        <v>122</v>
      </c>
      <c r="D460" s="72">
        <v>1</v>
      </c>
      <c r="E460" s="73">
        <v>4.1131951299999999E-5</v>
      </c>
    </row>
    <row r="461" spans="2:5">
      <c r="B461" s="94"/>
      <c r="C461" s="71" t="s">
        <v>124</v>
      </c>
      <c r="D461" s="72">
        <v>1</v>
      </c>
      <c r="E461" s="73">
        <v>4.1131951299999999E-5</v>
      </c>
    </row>
    <row r="462" spans="2:5">
      <c r="B462" s="94"/>
      <c r="C462" s="71" t="s">
        <v>132</v>
      </c>
      <c r="D462" s="72">
        <v>1</v>
      </c>
      <c r="E462" s="73">
        <v>4.1131951299999999E-5</v>
      </c>
    </row>
    <row r="463" spans="2:5">
      <c r="B463" s="94"/>
      <c r="C463" s="71" t="s">
        <v>133</v>
      </c>
      <c r="D463" s="72">
        <v>1</v>
      </c>
      <c r="E463" s="73">
        <v>4.1131951299999999E-5</v>
      </c>
    </row>
    <row r="464" spans="2:5">
      <c r="B464" s="94"/>
      <c r="C464" s="71" t="s">
        <v>134</v>
      </c>
      <c r="D464" s="72">
        <v>1</v>
      </c>
      <c r="E464" s="73">
        <v>4.1131951299999999E-5</v>
      </c>
    </row>
    <row r="465" spans="2:5">
      <c r="B465" s="94"/>
      <c r="C465" s="71" t="s">
        <v>135</v>
      </c>
      <c r="D465" s="72">
        <v>2</v>
      </c>
      <c r="E465" s="73">
        <v>8.2263902599999999E-5</v>
      </c>
    </row>
    <row r="466" spans="2:5">
      <c r="B466" s="94"/>
      <c r="C466" s="71" t="s">
        <v>141</v>
      </c>
      <c r="D466" s="72">
        <v>1</v>
      </c>
      <c r="E466" s="73">
        <v>4.1131951299999999E-5</v>
      </c>
    </row>
    <row r="467" spans="2:5">
      <c r="B467" s="94"/>
      <c r="C467" s="71" t="s">
        <v>142</v>
      </c>
      <c r="D467" s="72">
        <v>127</v>
      </c>
      <c r="E467" s="73">
        <v>5.2237578150710002E-3</v>
      </c>
    </row>
    <row r="468" spans="2:5">
      <c r="B468" s="94"/>
      <c r="C468" s="71" t="s">
        <v>143</v>
      </c>
      <c r="D468" s="72">
        <v>1</v>
      </c>
      <c r="E468" s="73">
        <v>4.1131951299999999E-5</v>
      </c>
    </row>
    <row r="469" spans="2:5">
      <c r="B469" s="95"/>
      <c r="C469" s="36" t="s">
        <v>29</v>
      </c>
      <c r="D469" s="35">
        <v>149</v>
      </c>
      <c r="E469" s="34">
        <v>6.1286607436659996E-3</v>
      </c>
    </row>
    <row r="470" spans="2:5">
      <c r="B470" s="93" t="s">
        <v>211</v>
      </c>
      <c r="C470" s="71" t="s">
        <v>101</v>
      </c>
      <c r="D470" s="72">
        <v>2</v>
      </c>
      <c r="E470" s="73">
        <v>8.2263902599999999E-5</v>
      </c>
    </row>
    <row r="471" spans="2:5">
      <c r="B471" s="94"/>
      <c r="C471" s="71" t="s">
        <v>104</v>
      </c>
      <c r="D471" s="72">
        <v>1</v>
      </c>
      <c r="E471" s="73">
        <v>4.1131951299999999E-5</v>
      </c>
    </row>
    <row r="472" spans="2:5">
      <c r="B472" s="94"/>
      <c r="C472" s="71" t="s">
        <v>106</v>
      </c>
      <c r="D472" s="72">
        <v>2</v>
      </c>
      <c r="E472" s="73">
        <v>8.2263902599999999E-5</v>
      </c>
    </row>
    <row r="473" spans="2:5">
      <c r="B473" s="94"/>
      <c r="C473" s="71" t="s">
        <v>116</v>
      </c>
      <c r="D473" s="72">
        <v>1</v>
      </c>
      <c r="E473" s="73">
        <v>4.1131951299999999E-5</v>
      </c>
    </row>
    <row r="474" spans="2:5">
      <c r="B474" s="94"/>
      <c r="C474" s="71" t="s">
        <v>125</v>
      </c>
      <c r="D474" s="72">
        <v>1</v>
      </c>
      <c r="E474" s="73">
        <v>4.1131951299999999E-5</v>
      </c>
    </row>
    <row r="475" spans="2:5">
      <c r="B475" s="94"/>
      <c r="C475" s="71" t="s">
        <v>129</v>
      </c>
      <c r="D475" s="72">
        <v>2</v>
      </c>
      <c r="E475" s="73">
        <v>8.2263902599999999E-5</v>
      </c>
    </row>
    <row r="476" spans="2:5">
      <c r="B476" s="94"/>
      <c r="C476" s="71" t="s">
        <v>134</v>
      </c>
      <c r="D476" s="72">
        <v>1</v>
      </c>
      <c r="E476" s="73">
        <v>4.1131951299999999E-5</v>
      </c>
    </row>
    <row r="477" spans="2:5">
      <c r="B477" s="94"/>
      <c r="C477" s="71" t="s">
        <v>135</v>
      </c>
      <c r="D477" s="72">
        <v>3</v>
      </c>
      <c r="E477" s="73">
        <v>1.23395853899E-4</v>
      </c>
    </row>
    <row r="478" spans="2:5">
      <c r="B478" s="94"/>
      <c r="C478" s="71" t="s">
        <v>136</v>
      </c>
      <c r="D478" s="72">
        <v>1</v>
      </c>
      <c r="E478" s="73">
        <v>4.1131951299999999E-5</v>
      </c>
    </row>
    <row r="479" spans="2:5">
      <c r="B479" s="94"/>
      <c r="C479" s="71" t="s">
        <v>142</v>
      </c>
      <c r="D479" s="72">
        <v>71</v>
      </c>
      <c r="E479" s="73">
        <v>2.9203685422839998E-3</v>
      </c>
    </row>
    <row r="480" spans="2:5">
      <c r="B480" s="95"/>
      <c r="C480" s="36" t="s">
        <v>29</v>
      </c>
      <c r="D480" s="35">
        <v>85</v>
      </c>
      <c r="E480" s="34">
        <v>3.4962158604800002E-3</v>
      </c>
    </row>
    <row r="481" spans="2:5">
      <c r="B481" s="93" t="s">
        <v>212</v>
      </c>
      <c r="C481" s="71" t="s">
        <v>110</v>
      </c>
      <c r="D481" s="72">
        <v>1</v>
      </c>
      <c r="E481" s="73">
        <v>4.1131951299999999E-5</v>
      </c>
    </row>
    <row r="482" spans="2:5">
      <c r="B482" s="94"/>
      <c r="C482" s="71" t="s">
        <v>116</v>
      </c>
      <c r="D482" s="72">
        <v>1</v>
      </c>
      <c r="E482" s="73">
        <v>4.1131951299999999E-5</v>
      </c>
    </row>
    <row r="483" spans="2:5">
      <c r="B483" s="94"/>
      <c r="C483" s="71" t="s">
        <v>123</v>
      </c>
      <c r="D483" s="72">
        <v>1</v>
      </c>
      <c r="E483" s="73">
        <v>4.1131951299999999E-5</v>
      </c>
    </row>
    <row r="484" spans="2:5">
      <c r="B484" s="94"/>
      <c r="C484" s="71" t="s">
        <v>127</v>
      </c>
      <c r="D484" s="72">
        <v>1</v>
      </c>
      <c r="E484" s="73">
        <v>4.1131951299999999E-5</v>
      </c>
    </row>
    <row r="485" spans="2:5">
      <c r="B485" s="94"/>
      <c r="C485" s="71" t="s">
        <v>135</v>
      </c>
      <c r="D485" s="72">
        <v>1</v>
      </c>
      <c r="E485" s="73">
        <v>4.1131951299999999E-5</v>
      </c>
    </row>
    <row r="486" spans="2:5">
      <c r="B486" s="94"/>
      <c r="C486" s="71" t="s">
        <v>142</v>
      </c>
      <c r="D486" s="72">
        <v>41</v>
      </c>
      <c r="E486" s="73">
        <v>1.686410003291E-3</v>
      </c>
    </row>
    <row r="487" spans="2:5">
      <c r="B487" s="95"/>
      <c r="C487" s="36" t="s">
        <v>29</v>
      </c>
      <c r="D487" s="35">
        <v>46</v>
      </c>
      <c r="E487" s="34">
        <v>1.8920697597890001E-3</v>
      </c>
    </row>
    <row r="488" spans="2:5">
      <c r="B488" s="93" t="s">
        <v>213</v>
      </c>
      <c r="C488" s="71" t="s">
        <v>101</v>
      </c>
      <c r="D488" s="72">
        <v>2</v>
      </c>
      <c r="E488" s="73">
        <v>8.2263902599999999E-5</v>
      </c>
    </row>
    <row r="489" spans="2:5">
      <c r="B489" s="94"/>
      <c r="C489" s="71" t="s">
        <v>103</v>
      </c>
      <c r="D489" s="72">
        <v>1</v>
      </c>
      <c r="E489" s="73">
        <v>4.1131951299999999E-5</v>
      </c>
    </row>
    <row r="490" spans="2:5">
      <c r="B490" s="94"/>
      <c r="C490" s="71" t="s">
        <v>104</v>
      </c>
      <c r="D490" s="72">
        <v>4</v>
      </c>
      <c r="E490" s="73">
        <v>1.6452780519900001E-4</v>
      </c>
    </row>
    <row r="491" spans="2:5">
      <c r="B491" s="94"/>
      <c r="C491" s="71" t="s">
        <v>105</v>
      </c>
      <c r="D491" s="72">
        <v>10</v>
      </c>
      <c r="E491" s="73">
        <v>4.1131951299799998E-4</v>
      </c>
    </row>
    <row r="492" spans="2:5">
      <c r="B492" s="94"/>
      <c r="C492" s="71" t="s">
        <v>106</v>
      </c>
      <c r="D492" s="72">
        <v>2</v>
      </c>
      <c r="E492" s="73">
        <v>8.2263902599999999E-5</v>
      </c>
    </row>
    <row r="493" spans="2:5">
      <c r="B493" s="94"/>
      <c r="C493" s="71" t="s">
        <v>107</v>
      </c>
      <c r="D493" s="72">
        <v>1</v>
      </c>
      <c r="E493" s="73">
        <v>4.1131951299999999E-5</v>
      </c>
    </row>
    <row r="494" spans="2:5">
      <c r="B494" s="94"/>
      <c r="C494" s="71" t="s">
        <v>108</v>
      </c>
      <c r="D494" s="72">
        <v>1</v>
      </c>
      <c r="E494" s="73">
        <v>4.1131951299999999E-5</v>
      </c>
    </row>
    <row r="495" spans="2:5">
      <c r="B495" s="94"/>
      <c r="C495" s="71" t="s">
        <v>109</v>
      </c>
      <c r="D495" s="72">
        <v>1</v>
      </c>
      <c r="E495" s="73">
        <v>4.1131951299999999E-5</v>
      </c>
    </row>
    <row r="496" spans="2:5">
      <c r="B496" s="94"/>
      <c r="C496" s="71" t="s">
        <v>110</v>
      </c>
      <c r="D496" s="72">
        <v>14</v>
      </c>
      <c r="E496" s="73">
        <v>5.7584731819699999E-4</v>
      </c>
    </row>
    <row r="497" spans="2:5">
      <c r="B497" s="94"/>
      <c r="C497" s="71" t="s">
        <v>111</v>
      </c>
      <c r="D497" s="72">
        <v>8</v>
      </c>
      <c r="E497" s="73">
        <v>3.2905561039800002E-4</v>
      </c>
    </row>
    <row r="498" spans="2:5">
      <c r="B498" s="94"/>
      <c r="C498" s="71" t="s">
        <v>113</v>
      </c>
      <c r="D498" s="72">
        <v>9</v>
      </c>
      <c r="E498" s="73">
        <v>3.7018756169799997E-4</v>
      </c>
    </row>
    <row r="499" spans="2:5">
      <c r="B499" s="94"/>
      <c r="C499" s="71" t="s">
        <v>114</v>
      </c>
      <c r="D499" s="72">
        <v>1</v>
      </c>
      <c r="E499" s="73">
        <v>4.1131951299999999E-5</v>
      </c>
    </row>
    <row r="500" spans="2:5">
      <c r="B500" s="94"/>
      <c r="C500" s="71" t="s">
        <v>115</v>
      </c>
      <c r="D500" s="72">
        <v>1</v>
      </c>
      <c r="E500" s="73">
        <v>4.1131951299999999E-5</v>
      </c>
    </row>
    <row r="501" spans="2:5">
      <c r="B501" s="94"/>
      <c r="C501" s="71" t="s">
        <v>116</v>
      </c>
      <c r="D501" s="72">
        <v>5</v>
      </c>
      <c r="E501" s="73">
        <v>2.0565975649899999E-4</v>
      </c>
    </row>
    <row r="502" spans="2:5">
      <c r="B502" s="94"/>
      <c r="C502" s="71" t="s">
        <v>117</v>
      </c>
      <c r="D502" s="72">
        <v>3</v>
      </c>
      <c r="E502" s="73">
        <v>1.23395853899E-4</v>
      </c>
    </row>
    <row r="503" spans="2:5">
      <c r="B503" s="94"/>
      <c r="C503" s="71" t="s">
        <v>118</v>
      </c>
      <c r="D503" s="72">
        <v>2</v>
      </c>
      <c r="E503" s="73">
        <v>8.2263902599999999E-5</v>
      </c>
    </row>
    <row r="504" spans="2:5">
      <c r="B504" s="94"/>
      <c r="C504" s="71" t="s">
        <v>120</v>
      </c>
      <c r="D504" s="72">
        <v>1</v>
      </c>
      <c r="E504" s="73">
        <v>4.1131951299999999E-5</v>
      </c>
    </row>
    <row r="505" spans="2:5">
      <c r="B505" s="94"/>
      <c r="C505" s="71" t="s">
        <v>122</v>
      </c>
      <c r="D505" s="72">
        <v>3</v>
      </c>
      <c r="E505" s="73">
        <v>1.23395853899E-4</v>
      </c>
    </row>
    <row r="506" spans="2:5">
      <c r="B506" s="94"/>
      <c r="C506" s="71" t="s">
        <v>123</v>
      </c>
      <c r="D506" s="72">
        <v>6</v>
      </c>
      <c r="E506" s="73">
        <v>2.4679170779900002E-4</v>
      </c>
    </row>
    <row r="507" spans="2:5">
      <c r="B507" s="94"/>
      <c r="C507" s="71" t="s">
        <v>124</v>
      </c>
      <c r="D507" s="72">
        <v>5</v>
      </c>
      <c r="E507" s="73">
        <v>2.0565975649899999E-4</v>
      </c>
    </row>
    <row r="508" spans="2:5">
      <c r="B508" s="94"/>
      <c r="C508" s="71" t="s">
        <v>125</v>
      </c>
      <c r="D508" s="72">
        <v>5</v>
      </c>
      <c r="E508" s="73">
        <v>2.0565975649899999E-4</v>
      </c>
    </row>
    <row r="509" spans="2:5">
      <c r="B509" s="94"/>
      <c r="C509" s="71" t="s">
        <v>128</v>
      </c>
      <c r="D509" s="72">
        <v>2</v>
      </c>
      <c r="E509" s="73">
        <v>8.2263902599999999E-5</v>
      </c>
    </row>
    <row r="510" spans="2:5">
      <c r="B510" s="94"/>
      <c r="C510" s="71" t="s">
        <v>130</v>
      </c>
      <c r="D510" s="72">
        <v>1</v>
      </c>
      <c r="E510" s="73">
        <v>4.1131951299999999E-5</v>
      </c>
    </row>
    <row r="511" spans="2:5">
      <c r="B511" s="94"/>
      <c r="C511" s="71" t="s">
        <v>132</v>
      </c>
      <c r="D511" s="72">
        <v>4</v>
      </c>
      <c r="E511" s="73">
        <v>1.6452780519900001E-4</v>
      </c>
    </row>
    <row r="512" spans="2:5">
      <c r="B512" s="94"/>
      <c r="C512" s="71" t="s">
        <v>134</v>
      </c>
      <c r="D512" s="72">
        <v>2</v>
      </c>
      <c r="E512" s="73">
        <v>8.2263902599999999E-5</v>
      </c>
    </row>
    <row r="513" spans="2:5">
      <c r="B513" s="94"/>
      <c r="C513" s="71" t="s">
        <v>135</v>
      </c>
      <c r="D513" s="72">
        <v>10</v>
      </c>
      <c r="E513" s="73">
        <v>4.1131951299799998E-4</v>
      </c>
    </row>
    <row r="514" spans="2:5">
      <c r="B514" s="94"/>
      <c r="C514" s="71" t="s">
        <v>139</v>
      </c>
      <c r="D514" s="72">
        <v>3</v>
      </c>
      <c r="E514" s="73">
        <v>1.23395853899E-4</v>
      </c>
    </row>
    <row r="515" spans="2:5">
      <c r="B515" s="94"/>
      <c r="C515" s="71" t="s">
        <v>141</v>
      </c>
      <c r="D515" s="72">
        <v>5</v>
      </c>
      <c r="E515" s="73">
        <v>2.0565975649899999E-4</v>
      </c>
    </row>
    <row r="516" spans="2:5">
      <c r="B516" s="94"/>
      <c r="C516" s="71" t="s">
        <v>142</v>
      </c>
      <c r="D516" s="72">
        <v>338</v>
      </c>
      <c r="E516" s="73">
        <v>1.3902599539322E-2</v>
      </c>
    </row>
    <row r="517" spans="2:5">
      <c r="B517" s="94"/>
      <c r="C517" s="71" t="s">
        <v>145</v>
      </c>
      <c r="D517" s="72">
        <v>2</v>
      </c>
      <c r="E517" s="73">
        <v>8.2263902599999999E-5</v>
      </c>
    </row>
    <row r="518" spans="2:5">
      <c r="B518" s="94"/>
      <c r="C518" s="71" t="s">
        <v>147</v>
      </c>
      <c r="D518" s="72">
        <v>2</v>
      </c>
      <c r="E518" s="73">
        <v>8.2263902599999999E-5</v>
      </c>
    </row>
    <row r="519" spans="2:5">
      <c r="B519" s="95"/>
      <c r="C519" s="36" t="s">
        <v>29</v>
      </c>
      <c r="D519" s="35">
        <v>454</v>
      </c>
      <c r="E519" s="34">
        <v>1.8673905890094999E-2</v>
      </c>
    </row>
    <row r="520" spans="2:5">
      <c r="B520" s="93" t="s">
        <v>214</v>
      </c>
      <c r="C520" s="71" t="s">
        <v>101</v>
      </c>
      <c r="D520" s="72">
        <v>1</v>
      </c>
      <c r="E520" s="73">
        <v>4.1131951299999999E-5</v>
      </c>
    </row>
    <row r="521" spans="2:5">
      <c r="B521" s="94"/>
      <c r="C521" s="71" t="s">
        <v>103</v>
      </c>
      <c r="D521" s="72">
        <v>5</v>
      </c>
      <c r="E521" s="73">
        <v>2.0565975649899999E-4</v>
      </c>
    </row>
    <row r="522" spans="2:5">
      <c r="B522" s="94"/>
      <c r="C522" s="71" t="s">
        <v>104</v>
      </c>
      <c r="D522" s="72">
        <v>13</v>
      </c>
      <c r="E522" s="73">
        <v>5.3471536689700004E-4</v>
      </c>
    </row>
    <row r="523" spans="2:5">
      <c r="B523" s="94"/>
      <c r="C523" s="71" t="s">
        <v>105</v>
      </c>
      <c r="D523" s="72">
        <v>18</v>
      </c>
      <c r="E523" s="73">
        <v>7.4037512339599995E-4</v>
      </c>
    </row>
    <row r="524" spans="2:5">
      <c r="B524" s="94"/>
      <c r="C524" s="71" t="s">
        <v>106</v>
      </c>
      <c r="D524" s="72">
        <v>7</v>
      </c>
      <c r="E524" s="73">
        <v>2.8792365909800001E-4</v>
      </c>
    </row>
    <row r="525" spans="2:5">
      <c r="B525" s="94"/>
      <c r="C525" s="71" t="s">
        <v>110</v>
      </c>
      <c r="D525" s="72">
        <v>23</v>
      </c>
      <c r="E525" s="73">
        <v>9.4603487989499996E-4</v>
      </c>
    </row>
    <row r="526" spans="2:5">
      <c r="B526" s="94"/>
      <c r="C526" s="71" t="s">
        <v>111</v>
      </c>
      <c r="D526" s="72">
        <v>34</v>
      </c>
      <c r="E526" s="73">
        <v>1.398486344192E-3</v>
      </c>
    </row>
    <row r="527" spans="2:5">
      <c r="B527" s="94"/>
      <c r="C527" s="71" t="s">
        <v>113</v>
      </c>
      <c r="D527" s="72">
        <v>30</v>
      </c>
      <c r="E527" s="73">
        <v>1.233958538993E-3</v>
      </c>
    </row>
    <row r="528" spans="2:5">
      <c r="B528" s="94"/>
      <c r="C528" s="71" t="s">
        <v>114</v>
      </c>
      <c r="D528" s="72">
        <v>12</v>
      </c>
      <c r="E528" s="73">
        <v>4.9358341559699998E-4</v>
      </c>
    </row>
    <row r="529" spans="2:5">
      <c r="B529" s="94"/>
      <c r="C529" s="71" t="s">
        <v>115</v>
      </c>
      <c r="D529" s="72">
        <v>2</v>
      </c>
      <c r="E529" s="73">
        <v>8.2263902599999999E-5</v>
      </c>
    </row>
    <row r="530" spans="2:5">
      <c r="B530" s="94"/>
      <c r="C530" s="71" t="s">
        <v>116</v>
      </c>
      <c r="D530" s="72">
        <v>4</v>
      </c>
      <c r="E530" s="73">
        <v>1.6452780519900001E-4</v>
      </c>
    </row>
    <row r="531" spans="2:5">
      <c r="B531" s="94"/>
      <c r="C531" s="71" t="s">
        <v>117</v>
      </c>
      <c r="D531" s="72">
        <v>4</v>
      </c>
      <c r="E531" s="73">
        <v>1.6452780519900001E-4</v>
      </c>
    </row>
    <row r="532" spans="2:5">
      <c r="B532" s="94"/>
      <c r="C532" s="71" t="s">
        <v>118</v>
      </c>
      <c r="D532" s="72">
        <v>10</v>
      </c>
      <c r="E532" s="73">
        <v>4.1131951299799998E-4</v>
      </c>
    </row>
    <row r="533" spans="2:5">
      <c r="B533" s="94"/>
      <c r="C533" s="71" t="s">
        <v>121</v>
      </c>
      <c r="D533" s="72">
        <v>2</v>
      </c>
      <c r="E533" s="73">
        <v>8.2263902599999999E-5</v>
      </c>
    </row>
    <row r="534" spans="2:5">
      <c r="B534" s="94"/>
      <c r="C534" s="71" t="s">
        <v>122</v>
      </c>
      <c r="D534" s="72">
        <v>13</v>
      </c>
      <c r="E534" s="73">
        <v>5.3471536689700004E-4</v>
      </c>
    </row>
    <row r="535" spans="2:5">
      <c r="B535" s="94"/>
      <c r="C535" s="71" t="s">
        <v>123</v>
      </c>
      <c r="D535" s="72">
        <v>16</v>
      </c>
      <c r="E535" s="73">
        <v>6.5811122079600004E-4</v>
      </c>
    </row>
    <row r="536" spans="2:5">
      <c r="B536" s="94"/>
      <c r="C536" s="71" t="s">
        <v>124</v>
      </c>
      <c r="D536" s="72">
        <v>5</v>
      </c>
      <c r="E536" s="73">
        <v>2.0565975649899999E-4</v>
      </c>
    </row>
    <row r="537" spans="2:5">
      <c r="B537" s="94"/>
      <c r="C537" s="71" t="s">
        <v>125</v>
      </c>
      <c r="D537" s="72">
        <v>9</v>
      </c>
      <c r="E537" s="73">
        <v>3.7018756169799997E-4</v>
      </c>
    </row>
    <row r="538" spans="2:5">
      <c r="B538" s="94"/>
      <c r="C538" s="71" t="s">
        <v>127</v>
      </c>
      <c r="D538" s="72">
        <v>2</v>
      </c>
      <c r="E538" s="73">
        <v>8.2263902599999999E-5</v>
      </c>
    </row>
    <row r="539" spans="2:5">
      <c r="B539" s="94"/>
      <c r="C539" s="71" t="s">
        <v>128</v>
      </c>
      <c r="D539" s="72">
        <v>2</v>
      </c>
      <c r="E539" s="73">
        <v>8.2263902599999999E-5</v>
      </c>
    </row>
    <row r="540" spans="2:5">
      <c r="B540" s="94"/>
      <c r="C540" s="71" t="s">
        <v>129</v>
      </c>
      <c r="D540" s="72">
        <v>4</v>
      </c>
      <c r="E540" s="73">
        <v>1.6452780519900001E-4</v>
      </c>
    </row>
    <row r="541" spans="2:5">
      <c r="B541" s="94"/>
      <c r="C541" s="71" t="s">
        <v>130</v>
      </c>
      <c r="D541" s="72">
        <v>1</v>
      </c>
      <c r="E541" s="73">
        <v>4.1131951299999999E-5</v>
      </c>
    </row>
    <row r="542" spans="2:5">
      <c r="B542" s="94"/>
      <c r="C542" s="71" t="s">
        <v>131</v>
      </c>
      <c r="D542" s="72">
        <v>8</v>
      </c>
      <c r="E542" s="73">
        <v>3.2905561039800002E-4</v>
      </c>
    </row>
    <row r="543" spans="2:5">
      <c r="B543" s="94"/>
      <c r="C543" s="71" t="s">
        <v>132</v>
      </c>
      <c r="D543" s="72">
        <v>16</v>
      </c>
      <c r="E543" s="73">
        <v>6.5811122079600004E-4</v>
      </c>
    </row>
    <row r="544" spans="2:5">
      <c r="B544" s="94"/>
      <c r="C544" s="71" t="s">
        <v>133</v>
      </c>
      <c r="D544" s="72">
        <v>1</v>
      </c>
      <c r="E544" s="73">
        <v>4.1131951299999999E-5</v>
      </c>
    </row>
    <row r="545" spans="2:5">
      <c r="B545" s="94"/>
      <c r="C545" s="71" t="s">
        <v>134</v>
      </c>
      <c r="D545" s="72">
        <v>9</v>
      </c>
      <c r="E545" s="73">
        <v>3.7018756169799997E-4</v>
      </c>
    </row>
    <row r="546" spans="2:5">
      <c r="B546" s="94"/>
      <c r="C546" s="71" t="s">
        <v>135</v>
      </c>
      <c r="D546" s="72">
        <v>9</v>
      </c>
      <c r="E546" s="73">
        <v>3.7018756169799997E-4</v>
      </c>
    </row>
    <row r="547" spans="2:5">
      <c r="B547" s="94"/>
      <c r="C547" s="71" t="s">
        <v>136</v>
      </c>
      <c r="D547" s="72">
        <v>2</v>
      </c>
      <c r="E547" s="73">
        <v>8.2263902599999999E-5</v>
      </c>
    </row>
    <row r="548" spans="2:5">
      <c r="B548" s="94"/>
      <c r="C548" s="71" t="s">
        <v>137</v>
      </c>
      <c r="D548" s="72">
        <v>3</v>
      </c>
      <c r="E548" s="73">
        <v>1.23395853899E-4</v>
      </c>
    </row>
    <row r="549" spans="2:5">
      <c r="B549" s="94"/>
      <c r="C549" s="71" t="s">
        <v>139</v>
      </c>
      <c r="D549" s="72">
        <v>7</v>
      </c>
      <c r="E549" s="73">
        <v>2.8792365909800001E-4</v>
      </c>
    </row>
    <row r="550" spans="2:5">
      <c r="B550" s="94"/>
      <c r="C550" s="71" t="s">
        <v>140</v>
      </c>
      <c r="D550" s="72">
        <v>1</v>
      </c>
      <c r="E550" s="73">
        <v>4.1131951299999999E-5</v>
      </c>
    </row>
    <row r="551" spans="2:5">
      <c r="B551" s="94"/>
      <c r="C551" s="71" t="s">
        <v>141</v>
      </c>
      <c r="D551" s="72">
        <v>13</v>
      </c>
      <c r="E551" s="73">
        <v>5.3471536689700004E-4</v>
      </c>
    </row>
    <row r="552" spans="2:5">
      <c r="B552" s="94"/>
      <c r="C552" s="71" t="s">
        <v>142</v>
      </c>
      <c r="D552" s="72">
        <v>1311</v>
      </c>
      <c r="E552" s="73">
        <v>5.3923988153998001E-2</v>
      </c>
    </row>
    <row r="553" spans="2:5">
      <c r="B553" s="94"/>
      <c r="C553" s="71" t="s">
        <v>143</v>
      </c>
      <c r="D553" s="72">
        <v>1</v>
      </c>
      <c r="E553" s="73">
        <v>4.1131951299999999E-5</v>
      </c>
    </row>
    <row r="554" spans="2:5">
      <c r="B554" s="94"/>
      <c r="C554" s="71" t="s">
        <v>145</v>
      </c>
      <c r="D554" s="72">
        <v>2</v>
      </c>
      <c r="E554" s="73">
        <v>8.2263902599999999E-5</v>
      </c>
    </row>
    <row r="555" spans="2:5">
      <c r="B555" s="94"/>
      <c r="C555" s="71" t="s">
        <v>147</v>
      </c>
      <c r="D555" s="72">
        <v>7</v>
      </c>
      <c r="E555" s="73">
        <v>2.8792365909800001E-4</v>
      </c>
    </row>
    <row r="556" spans="2:5">
      <c r="B556" s="94"/>
      <c r="C556" s="71" t="s">
        <v>148</v>
      </c>
      <c r="D556" s="72">
        <v>1</v>
      </c>
      <c r="E556" s="73">
        <v>4.1131951299999999E-5</v>
      </c>
    </row>
    <row r="557" spans="2:5">
      <c r="B557" s="95"/>
      <c r="C557" s="36" t="s">
        <v>29</v>
      </c>
      <c r="D557" s="35">
        <v>1608</v>
      </c>
      <c r="E557" s="34">
        <v>6.614017769003E-2</v>
      </c>
    </row>
    <row r="558" spans="2:5">
      <c r="B558" s="93" t="s">
        <v>215</v>
      </c>
      <c r="C558" s="71" t="s">
        <v>110</v>
      </c>
      <c r="D558" s="72">
        <v>1</v>
      </c>
      <c r="E558" s="73">
        <v>4.1131951299999999E-5</v>
      </c>
    </row>
    <row r="559" spans="2:5">
      <c r="B559" s="94"/>
      <c r="C559" s="71" t="s">
        <v>135</v>
      </c>
      <c r="D559" s="72">
        <v>1</v>
      </c>
      <c r="E559" s="73">
        <v>4.1131951299999999E-5</v>
      </c>
    </row>
    <row r="560" spans="2:5">
      <c r="B560" s="94"/>
      <c r="C560" s="71" t="s">
        <v>142</v>
      </c>
      <c r="D560" s="72">
        <v>15</v>
      </c>
      <c r="E560" s="73">
        <v>6.1697926949700005E-4</v>
      </c>
    </row>
    <row r="561" spans="2:5">
      <c r="B561" s="95"/>
      <c r="C561" s="36" t="s">
        <v>29</v>
      </c>
      <c r="D561" s="35">
        <v>17</v>
      </c>
      <c r="E561" s="34">
        <v>6.9924317209599999E-4</v>
      </c>
    </row>
    <row r="562" spans="2:5">
      <c r="B562" s="93" t="s">
        <v>216</v>
      </c>
      <c r="C562" s="71" t="s">
        <v>102</v>
      </c>
      <c r="D562" s="72">
        <v>1</v>
      </c>
      <c r="E562" s="73">
        <v>4.1131951299999999E-5</v>
      </c>
    </row>
    <row r="563" spans="2:5">
      <c r="B563" s="94"/>
      <c r="C563" s="71" t="s">
        <v>103</v>
      </c>
      <c r="D563" s="72">
        <v>1</v>
      </c>
      <c r="E563" s="73">
        <v>4.1131951299999999E-5</v>
      </c>
    </row>
    <row r="564" spans="2:5">
      <c r="B564" s="94"/>
      <c r="C564" s="71" t="s">
        <v>115</v>
      </c>
      <c r="D564" s="72">
        <v>1</v>
      </c>
      <c r="E564" s="73">
        <v>4.1131951299999999E-5</v>
      </c>
    </row>
    <row r="565" spans="2:5">
      <c r="B565" s="94"/>
      <c r="C565" s="71" t="s">
        <v>118</v>
      </c>
      <c r="D565" s="72">
        <v>1</v>
      </c>
      <c r="E565" s="73">
        <v>4.1131951299999999E-5</v>
      </c>
    </row>
    <row r="566" spans="2:5">
      <c r="B566" s="94"/>
      <c r="C566" s="71" t="s">
        <v>129</v>
      </c>
      <c r="D566" s="72">
        <v>1</v>
      </c>
      <c r="E566" s="73">
        <v>4.1131951299999999E-5</v>
      </c>
    </row>
    <row r="567" spans="2:5">
      <c r="B567" s="94"/>
      <c r="C567" s="71" t="s">
        <v>131</v>
      </c>
      <c r="D567" s="72">
        <v>1</v>
      </c>
      <c r="E567" s="73">
        <v>4.1131951299999999E-5</v>
      </c>
    </row>
    <row r="568" spans="2:5">
      <c r="B568" s="94"/>
      <c r="C568" s="71" t="s">
        <v>132</v>
      </c>
      <c r="D568" s="72">
        <v>1</v>
      </c>
      <c r="E568" s="73">
        <v>4.1131951299999999E-5</v>
      </c>
    </row>
    <row r="569" spans="2:5">
      <c r="B569" s="94"/>
      <c r="C569" s="71" t="s">
        <v>137</v>
      </c>
      <c r="D569" s="72">
        <v>1</v>
      </c>
      <c r="E569" s="73">
        <v>4.1131951299999999E-5</v>
      </c>
    </row>
    <row r="570" spans="2:5">
      <c r="B570" s="94"/>
      <c r="C570" s="71" t="s">
        <v>141</v>
      </c>
      <c r="D570" s="72">
        <v>2</v>
      </c>
      <c r="E570" s="73">
        <v>8.2263902599999999E-5</v>
      </c>
    </row>
    <row r="571" spans="2:5">
      <c r="B571" s="94"/>
      <c r="C571" s="71" t="s">
        <v>142</v>
      </c>
      <c r="D571" s="72">
        <v>52</v>
      </c>
      <c r="E571" s="73">
        <v>2.1388614675880002E-3</v>
      </c>
    </row>
    <row r="572" spans="2:5">
      <c r="B572" s="94"/>
      <c r="C572" s="71" t="s">
        <v>147</v>
      </c>
      <c r="D572" s="72">
        <v>1</v>
      </c>
      <c r="E572" s="73">
        <v>4.1131951299999999E-5</v>
      </c>
    </row>
    <row r="573" spans="2:5">
      <c r="B573" s="95"/>
      <c r="C573" s="36" t="s">
        <v>29</v>
      </c>
      <c r="D573" s="35">
        <v>63</v>
      </c>
      <c r="E573" s="34">
        <v>2.5913129318849999E-3</v>
      </c>
    </row>
    <row r="574" spans="2:5">
      <c r="B574" s="93" t="s">
        <v>217</v>
      </c>
      <c r="C574" s="71" t="s">
        <v>110</v>
      </c>
      <c r="D574" s="72">
        <v>2</v>
      </c>
      <c r="E574" s="73">
        <v>8.2263902599999999E-5</v>
      </c>
    </row>
    <row r="575" spans="2:5">
      <c r="B575" s="94"/>
      <c r="C575" s="71" t="s">
        <v>111</v>
      </c>
      <c r="D575" s="72">
        <v>1</v>
      </c>
      <c r="E575" s="73">
        <v>4.1131951299999999E-5</v>
      </c>
    </row>
    <row r="576" spans="2:5">
      <c r="B576" s="94"/>
      <c r="C576" s="71" t="s">
        <v>121</v>
      </c>
      <c r="D576" s="72">
        <v>1</v>
      </c>
      <c r="E576" s="73">
        <v>4.1131951299999999E-5</v>
      </c>
    </row>
    <row r="577" spans="2:5">
      <c r="B577" s="94"/>
      <c r="C577" s="71" t="s">
        <v>129</v>
      </c>
      <c r="D577" s="72">
        <v>1</v>
      </c>
      <c r="E577" s="73">
        <v>4.1131951299999999E-5</v>
      </c>
    </row>
    <row r="578" spans="2:5">
      <c r="B578" s="94"/>
      <c r="C578" s="71" t="s">
        <v>142</v>
      </c>
      <c r="D578" s="72">
        <v>10</v>
      </c>
      <c r="E578" s="73">
        <v>4.1131951299799998E-4</v>
      </c>
    </row>
    <row r="579" spans="2:5">
      <c r="B579" s="95"/>
      <c r="C579" s="36" t="s">
        <v>29</v>
      </c>
      <c r="D579" s="35">
        <v>15</v>
      </c>
      <c r="E579" s="34">
        <v>6.1697926949700005E-4</v>
      </c>
    </row>
    <row r="580" spans="2:5">
      <c r="B580" s="93" t="s">
        <v>218</v>
      </c>
      <c r="C580" s="71" t="s">
        <v>142</v>
      </c>
      <c r="D580" s="72">
        <v>1</v>
      </c>
      <c r="E580" s="73">
        <v>4.1131951299999999E-5</v>
      </c>
    </row>
    <row r="581" spans="2:5">
      <c r="B581" s="95"/>
      <c r="C581" s="36" t="s">
        <v>29</v>
      </c>
      <c r="D581" s="35">
        <v>1</v>
      </c>
      <c r="E581" s="34">
        <v>4.1131951299999999E-5</v>
      </c>
    </row>
    <row r="582" spans="2:5">
      <c r="B582" s="91" t="s">
        <v>29</v>
      </c>
      <c r="C582" s="92"/>
      <c r="D582" s="67">
        <v>24312</v>
      </c>
      <c r="E582" s="68">
        <v>1</v>
      </c>
    </row>
    <row r="584" spans="2:5" ht="15" customHeight="1">
      <c r="B584" s="12" t="s">
        <v>47</v>
      </c>
    </row>
    <row r="585" spans="2:5" ht="15" customHeight="1">
      <c r="B585" s="14" t="s">
        <v>18</v>
      </c>
    </row>
    <row r="586" spans="2:5" ht="15" customHeight="1">
      <c r="B586" s="13" t="s">
        <v>48</v>
      </c>
    </row>
    <row r="587" spans="2:5" ht="15" customHeight="1">
      <c r="B587" s="12" t="s">
        <v>17</v>
      </c>
    </row>
    <row r="588" spans="2:5" ht="15" customHeight="1">
      <c r="B588" s="12" t="s">
        <v>49</v>
      </c>
    </row>
  </sheetData>
  <mergeCells count="27">
    <mergeCell ref="B81:B101"/>
    <mergeCell ref="B7:E8"/>
    <mergeCell ref="B10:B28"/>
    <mergeCell ref="B29:B40"/>
    <mergeCell ref="B41:B59"/>
    <mergeCell ref="B60:B80"/>
    <mergeCell ref="B102:B123"/>
    <mergeCell ref="B124:B159"/>
    <mergeCell ref="B160:B198"/>
    <mergeCell ref="B199:B223"/>
    <mergeCell ref="B224:B253"/>
    <mergeCell ref="B488:B519"/>
    <mergeCell ref="B254:B286"/>
    <mergeCell ref="B287:B328"/>
    <mergeCell ref="B329:B354"/>
    <mergeCell ref="B355:B389"/>
    <mergeCell ref="B390:B434"/>
    <mergeCell ref="B435:B451"/>
    <mergeCell ref="B452:B469"/>
    <mergeCell ref="B470:B480"/>
    <mergeCell ref="B481:B487"/>
    <mergeCell ref="B582:C582"/>
    <mergeCell ref="B520:B557"/>
    <mergeCell ref="B558:B561"/>
    <mergeCell ref="B562:B573"/>
    <mergeCell ref="B574:B579"/>
    <mergeCell ref="B580:B58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724"/>
  <sheetViews>
    <sheetView showGridLines="0" view="pageBreakPreview" topLeftCell="A701" zoomScale="85" zoomScaleNormal="93" zoomScaleSheetLayoutView="85" workbookViewId="0">
      <selection activeCell="D713" sqref="D713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8.1406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8"/>
      <c r="C7" s="98"/>
      <c r="D7" s="98"/>
      <c r="E7" s="98"/>
    </row>
    <row r="8" spans="1:5" s="41" customFormat="1" ht="33" customHeight="1">
      <c r="A8" s="42"/>
      <c r="B8" s="98"/>
      <c r="C8" s="98"/>
      <c r="D8" s="98"/>
      <c r="E8" s="98"/>
    </row>
    <row r="9" spans="1:5" s="22" customFormat="1" ht="40.5" customHeight="1">
      <c r="B9" s="38" t="s">
        <v>22</v>
      </c>
      <c r="C9" s="40" t="s">
        <v>27</v>
      </c>
      <c r="D9" s="39" t="s">
        <v>20</v>
      </c>
      <c r="E9" s="38" t="s">
        <v>19</v>
      </c>
    </row>
    <row r="10" spans="1:5">
      <c r="B10" s="93" t="s">
        <v>77</v>
      </c>
      <c r="C10" s="71" t="s">
        <v>198</v>
      </c>
      <c r="D10" s="72">
        <v>1</v>
      </c>
      <c r="E10" s="73">
        <v>4.1131951299999999E-5</v>
      </c>
    </row>
    <row r="11" spans="1:5">
      <c r="B11" s="94"/>
      <c r="C11" s="71" t="s">
        <v>200</v>
      </c>
      <c r="D11" s="72">
        <v>1</v>
      </c>
      <c r="E11" s="73">
        <v>4.1131951299999999E-5</v>
      </c>
    </row>
    <row r="12" spans="1:5">
      <c r="B12" s="94"/>
      <c r="C12" s="71" t="s">
        <v>201</v>
      </c>
      <c r="D12" s="72">
        <v>2</v>
      </c>
      <c r="E12" s="73">
        <v>8.2263902599999999E-5</v>
      </c>
    </row>
    <row r="13" spans="1:5">
      <c r="B13" s="94"/>
      <c r="C13" s="71" t="s">
        <v>202</v>
      </c>
      <c r="D13" s="72">
        <v>1</v>
      </c>
      <c r="E13" s="73">
        <v>4.1131951299999999E-5</v>
      </c>
    </row>
    <row r="14" spans="1:5">
      <c r="B14" s="94"/>
      <c r="C14" s="71" t="s">
        <v>203</v>
      </c>
      <c r="D14" s="72">
        <v>1</v>
      </c>
      <c r="E14" s="73">
        <v>4.1131951299999999E-5</v>
      </c>
    </row>
    <row r="15" spans="1:5">
      <c r="B15" s="94"/>
      <c r="C15" s="71" t="s">
        <v>204</v>
      </c>
      <c r="D15" s="72">
        <v>1</v>
      </c>
      <c r="E15" s="73">
        <v>4.1131951299999999E-5</v>
      </c>
    </row>
    <row r="16" spans="1:5">
      <c r="B16" s="94"/>
      <c r="C16" s="71" t="s">
        <v>205</v>
      </c>
      <c r="D16" s="72">
        <v>15</v>
      </c>
      <c r="E16" s="73">
        <v>6.1697926949700005E-4</v>
      </c>
    </row>
    <row r="17" spans="2:5">
      <c r="B17" s="94"/>
      <c r="C17" s="71" t="s">
        <v>206</v>
      </c>
      <c r="D17" s="72">
        <v>1</v>
      </c>
      <c r="E17" s="73">
        <v>4.1131951299999999E-5</v>
      </c>
    </row>
    <row r="18" spans="2:5">
      <c r="B18" s="94"/>
      <c r="C18" s="71" t="s">
        <v>207</v>
      </c>
      <c r="D18" s="72">
        <v>4</v>
      </c>
      <c r="E18" s="73">
        <v>1.6452780519900001E-4</v>
      </c>
    </row>
    <row r="19" spans="2:5">
      <c r="B19" s="94"/>
      <c r="C19" s="71" t="s">
        <v>208</v>
      </c>
      <c r="D19" s="72">
        <v>7</v>
      </c>
      <c r="E19" s="73">
        <v>2.8792365909800001E-4</v>
      </c>
    </row>
    <row r="20" spans="2:5">
      <c r="B20" s="94"/>
      <c r="C20" s="71" t="s">
        <v>209</v>
      </c>
      <c r="D20" s="72">
        <v>2</v>
      </c>
      <c r="E20" s="73">
        <v>8.2263902599999999E-5</v>
      </c>
    </row>
    <row r="21" spans="2:5">
      <c r="B21" s="94"/>
      <c r="C21" s="71" t="s">
        <v>213</v>
      </c>
      <c r="D21" s="72">
        <v>2</v>
      </c>
      <c r="E21" s="73">
        <v>8.2263902599999999E-5</v>
      </c>
    </row>
    <row r="22" spans="2:5">
      <c r="B22" s="94"/>
      <c r="C22" s="71" t="s">
        <v>214</v>
      </c>
      <c r="D22" s="72">
        <v>1</v>
      </c>
      <c r="E22" s="73">
        <v>4.1131951299999999E-5</v>
      </c>
    </row>
    <row r="23" spans="2:5">
      <c r="B23" s="95"/>
      <c r="C23" s="36" t="s">
        <v>29</v>
      </c>
      <c r="D23" s="35">
        <v>39</v>
      </c>
      <c r="E23" s="34">
        <v>1.6041461006909999E-3</v>
      </c>
    </row>
    <row r="24" spans="2:5">
      <c r="B24" s="93" t="s">
        <v>56</v>
      </c>
      <c r="C24" s="71" t="s">
        <v>194</v>
      </c>
      <c r="D24" s="72">
        <v>6</v>
      </c>
      <c r="E24" s="73">
        <v>2.4679170779900002E-4</v>
      </c>
    </row>
    <row r="25" spans="2:5">
      <c r="B25" s="94"/>
      <c r="C25" s="71" t="s">
        <v>195</v>
      </c>
      <c r="D25" s="72">
        <v>4</v>
      </c>
      <c r="E25" s="73">
        <v>1.6452780519900001E-4</v>
      </c>
    </row>
    <row r="26" spans="2:5">
      <c r="B26" s="94"/>
      <c r="C26" s="71" t="s">
        <v>196</v>
      </c>
      <c r="D26" s="72">
        <v>2</v>
      </c>
      <c r="E26" s="73">
        <v>8.2263902599999999E-5</v>
      </c>
    </row>
    <row r="27" spans="2:5">
      <c r="B27" s="94"/>
      <c r="C27" s="71" t="s">
        <v>197</v>
      </c>
      <c r="D27" s="72">
        <v>5</v>
      </c>
      <c r="E27" s="73">
        <v>2.0565975649899999E-4</v>
      </c>
    </row>
    <row r="28" spans="2:5">
      <c r="B28" s="94"/>
      <c r="C28" s="71" t="s">
        <v>198</v>
      </c>
      <c r="D28" s="72">
        <v>6</v>
      </c>
      <c r="E28" s="73">
        <v>2.4679170779900002E-4</v>
      </c>
    </row>
    <row r="29" spans="2:5">
      <c r="B29" s="94"/>
      <c r="C29" s="71" t="s">
        <v>199</v>
      </c>
      <c r="D29" s="72">
        <v>9</v>
      </c>
      <c r="E29" s="73">
        <v>3.7018756169799997E-4</v>
      </c>
    </row>
    <row r="30" spans="2:5">
      <c r="B30" s="94"/>
      <c r="C30" s="71" t="s">
        <v>200</v>
      </c>
      <c r="D30" s="72">
        <v>25</v>
      </c>
      <c r="E30" s="73">
        <v>1.0282987824939999E-3</v>
      </c>
    </row>
    <row r="31" spans="2:5">
      <c r="B31" s="94"/>
      <c r="C31" s="71" t="s">
        <v>201</v>
      </c>
      <c r="D31" s="72">
        <v>77</v>
      </c>
      <c r="E31" s="73">
        <v>3.1671602500819998E-3</v>
      </c>
    </row>
    <row r="32" spans="2:5">
      <c r="B32" s="94"/>
      <c r="C32" s="71" t="s">
        <v>202</v>
      </c>
      <c r="D32" s="72">
        <v>4</v>
      </c>
      <c r="E32" s="73">
        <v>1.6452780519900001E-4</v>
      </c>
    </row>
    <row r="33" spans="2:5">
      <c r="B33" s="94"/>
      <c r="C33" s="71" t="s">
        <v>203</v>
      </c>
      <c r="D33" s="72">
        <v>14</v>
      </c>
      <c r="E33" s="73">
        <v>5.7584731819699999E-4</v>
      </c>
    </row>
    <row r="34" spans="2:5">
      <c r="B34" s="94"/>
      <c r="C34" s="71" t="s">
        <v>204</v>
      </c>
      <c r="D34" s="72">
        <v>10</v>
      </c>
      <c r="E34" s="73">
        <v>4.1131951299799998E-4</v>
      </c>
    </row>
    <row r="35" spans="2:5">
      <c r="B35" s="94"/>
      <c r="C35" s="71" t="s">
        <v>205</v>
      </c>
      <c r="D35" s="72">
        <v>193</v>
      </c>
      <c r="E35" s="73">
        <v>7.9384666008560003E-3</v>
      </c>
    </row>
    <row r="36" spans="2:5">
      <c r="B36" s="94"/>
      <c r="C36" s="71" t="s">
        <v>206</v>
      </c>
      <c r="D36" s="72">
        <v>24</v>
      </c>
      <c r="E36" s="73">
        <v>9.8716683119399995E-4</v>
      </c>
    </row>
    <row r="37" spans="2:5">
      <c r="B37" s="94"/>
      <c r="C37" s="71" t="s">
        <v>207</v>
      </c>
      <c r="D37" s="72">
        <v>45</v>
      </c>
      <c r="E37" s="73">
        <v>1.85093780849E-3</v>
      </c>
    </row>
    <row r="38" spans="2:5">
      <c r="B38" s="94"/>
      <c r="C38" s="71" t="s">
        <v>208</v>
      </c>
      <c r="D38" s="72">
        <v>151</v>
      </c>
      <c r="E38" s="73">
        <v>6.2109246462650003E-3</v>
      </c>
    </row>
    <row r="39" spans="2:5">
      <c r="B39" s="94"/>
      <c r="C39" s="71" t="s">
        <v>209</v>
      </c>
      <c r="D39" s="72">
        <v>4</v>
      </c>
      <c r="E39" s="73">
        <v>1.6452780519900001E-4</v>
      </c>
    </row>
    <row r="40" spans="2:5">
      <c r="B40" s="94"/>
      <c r="C40" s="71" t="s">
        <v>210</v>
      </c>
      <c r="D40" s="72">
        <v>2</v>
      </c>
      <c r="E40" s="73">
        <v>8.2263902599999999E-5</v>
      </c>
    </row>
    <row r="41" spans="2:5">
      <c r="B41" s="94"/>
      <c r="C41" s="71" t="s">
        <v>211</v>
      </c>
      <c r="D41" s="72">
        <v>3</v>
      </c>
      <c r="E41" s="73">
        <v>1.23395853899E-4</v>
      </c>
    </row>
    <row r="42" spans="2:5">
      <c r="B42" s="94"/>
      <c r="C42" s="71" t="s">
        <v>213</v>
      </c>
      <c r="D42" s="72">
        <v>10</v>
      </c>
      <c r="E42" s="73">
        <v>4.1131951299799998E-4</v>
      </c>
    </row>
    <row r="43" spans="2:5">
      <c r="B43" s="94"/>
      <c r="C43" s="71" t="s">
        <v>214</v>
      </c>
      <c r="D43" s="72">
        <v>37</v>
      </c>
      <c r="E43" s="73">
        <v>1.521882198091E-3</v>
      </c>
    </row>
    <row r="44" spans="2:5">
      <c r="B44" s="94"/>
      <c r="C44" s="71" t="s">
        <v>217</v>
      </c>
      <c r="D44" s="72">
        <v>1</v>
      </c>
      <c r="E44" s="73">
        <v>4.1131951299999999E-5</v>
      </c>
    </row>
    <row r="45" spans="2:5">
      <c r="B45" s="95"/>
      <c r="C45" s="36" t="s">
        <v>29</v>
      </c>
      <c r="D45" s="35">
        <v>632</v>
      </c>
      <c r="E45" s="34">
        <v>2.5995393221454E-2</v>
      </c>
    </row>
    <row r="46" spans="2:5">
      <c r="B46" s="93" t="s">
        <v>60</v>
      </c>
      <c r="C46" s="71" t="s">
        <v>194</v>
      </c>
      <c r="D46" s="72">
        <v>4</v>
      </c>
      <c r="E46" s="73">
        <v>1.6452780519900001E-4</v>
      </c>
    </row>
    <row r="47" spans="2:5">
      <c r="B47" s="94"/>
      <c r="C47" s="71" t="s">
        <v>195</v>
      </c>
      <c r="D47" s="72">
        <v>1</v>
      </c>
      <c r="E47" s="73">
        <v>4.1131951299999999E-5</v>
      </c>
    </row>
    <row r="48" spans="2:5">
      <c r="B48" s="94"/>
      <c r="C48" s="71" t="s">
        <v>196</v>
      </c>
      <c r="D48" s="72">
        <v>2</v>
      </c>
      <c r="E48" s="73">
        <v>8.2263902599999999E-5</v>
      </c>
    </row>
    <row r="49" spans="2:5">
      <c r="B49" s="94"/>
      <c r="C49" s="71" t="s">
        <v>197</v>
      </c>
      <c r="D49" s="72">
        <v>7</v>
      </c>
      <c r="E49" s="73">
        <v>2.8792365909800001E-4</v>
      </c>
    </row>
    <row r="50" spans="2:5">
      <c r="B50" s="94"/>
      <c r="C50" s="71" t="s">
        <v>198</v>
      </c>
      <c r="D50" s="72">
        <v>6</v>
      </c>
      <c r="E50" s="73">
        <v>2.4679170779900002E-4</v>
      </c>
    </row>
    <row r="51" spans="2:5">
      <c r="B51" s="94"/>
      <c r="C51" s="71" t="s">
        <v>199</v>
      </c>
      <c r="D51" s="72">
        <v>7</v>
      </c>
      <c r="E51" s="73">
        <v>2.8792365909800001E-4</v>
      </c>
    </row>
    <row r="52" spans="2:5">
      <c r="B52" s="94"/>
      <c r="C52" s="71" t="s">
        <v>200</v>
      </c>
      <c r="D52" s="72">
        <v>27</v>
      </c>
      <c r="E52" s="73">
        <v>1.110562685094E-3</v>
      </c>
    </row>
    <row r="53" spans="2:5">
      <c r="B53" s="94"/>
      <c r="C53" s="71" t="s">
        <v>201</v>
      </c>
      <c r="D53" s="72">
        <v>36</v>
      </c>
      <c r="E53" s="73">
        <v>1.4807502467919999E-3</v>
      </c>
    </row>
    <row r="54" spans="2:5">
      <c r="B54" s="94"/>
      <c r="C54" s="71" t="s">
        <v>202</v>
      </c>
      <c r="D54" s="72">
        <v>2</v>
      </c>
      <c r="E54" s="73">
        <v>8.2263902599999999E-5</v>
      </c>
    </row>
    <row r="55" spans="2:5">
      <c r="B55" s="94"/>
      <c r="C55" s="71" t="s">
        <v>203</v>
      </c>
      <c r="D55" s="72">
        <v>12</v>
      </c>
      <c r="E55" s="73">
        <v>4.9358341559699998E-4</v>
      </c>
    </row>
    <row r="56" spans="2:5">
      <c r="B56" s="94"/>
      <c r="C56" s="71" t="s">
        <v>204</v>
      </c>
      <c r="D56" s="72">
        <v>16</v>
      </c>
      <c r="E56" s="73">
        <v>6.5811122079600004E-4</v>
      </c>
    </row>
    <row r="57" spans="2:5">
      <c r="B57" s="94"/>
      <c r="C57" s="71" t="s">
        <v>205</v>
      </c>
      <c r="D57" s="72">
        <v>131</v>
      </c>
      <c r="E57" s="73">
        <v>5.3882856202699999E-3</v>
      </c>
    </row>
    <row r="58" spans="2:5">
      <c r="B58" s="94"/>
      <c r="C58" s="71" t="s">
        <v>206</v>
      </c>
      <c r="D58" s="72">
        <v>5</v>
      </c>
      <c r="E58" s="73">
        <v>2.0565975649899999E-4</v>
      </c>
    </row>
    <row r="59" spans="2:5">
      <c r="B59" s="94"/>
      <c r="C59" s="71" t="s">
        <v>207</v>
      </c>
      <c r="D59" s="72">
        <v>35</v>
      </c>
      <c r="E59" s="73">
        <v>1.4396182954919999E-3</v>
      </c>
    </row>
    <row r="60" spans="2:5">
      <c r="B60" s="94"/>
      <c r="C60" s="71" t="s">
        <v>208</v>
      </c>
      <c r="D60" s="72">
        <v>124</v>
      </c>
      <c r="E60" s="73">
        <v>5.1003619611709999E-3</v>
      </c>
    </row>
    <row r="61" spans="2:5">
      <c r="B61" s="94"/>
      <c r="C61" s="71" t="s">
        <v>209</v>
      </c>
      <c r="D61" s="72">
        <v>2</v>
      </c>
      <c r="E61" s="73">
        <v>8.2263902599999999E-5</v>
      </c>
    </row>
    <row r="62" spans="2:5">
      <c r="B62" s="94"/>
      <c r="C62" s="71" t="s">
        <v>210</v>
      </c>
      <c r="D62" s="72">
        <v>4</v>
      </c>
      <c r="E62" s="73">
        <v>1.6452780519900001E-4</v>
      </c>
    </row>
    <row r="63" spans="2:5">
      <c r="B63" s="94"/>
      <c r="C63" s="71" t="s">
        <v>211</v>
      </c>
      <c r="D63" s="72">
        <v>1</v>
      </c>
      <c r="E63" s="73">
        <v>4.1131951299999999E-5</v>
      </c>
    </row>
    <row r="64" spans="2:5">
      <c r="B64" s="94"/>
      <c r="C64" s="71" t="s">
        <v>212</v>
      </c>
      <c r="D64" s="72">
        <v>2</v>
      </c>
      <c r="E64" s="73">
        <v>8.2263902599999999E-5</v>
      </c>
    </row>
    <row r="65" spans="2:5">
      <c r="B65" s="94"/>
      <c r="C65" s="71" t="s">
        <v>213</v>
      </c>
      <c r="D65" s="72">
        <v>13</v>
      </c>
      <c r="E65" s="73">
        <v>5.3471536689700004E-4</v>
      </c>
    </row>
    <row r="66" spans="2:5">
      <c r="B66" s="94"/>
      <c r="C66" s="71" t="s">
        <v>214</v>
      </c>
      <c r="D66" s="72">
        <v>39</v>
      </c>
      <c r="E66" s="73">
        <v>1.6041461006909999E-3</v>
      </c>
    </row>
    <row r="67" spans="2:5">
      <c r="B67" s="94"/>
      <c r="C67" s="71" t="s">
        <v>216</v>
      </c>
      <c r="D67" s="72">
        <v>1</v>
      </c>
      <c r="E67" s="73">
        <v>4.1131951299999999E-5</v>
      </c>
    </row>
    <row r="68" spans="2:5">
      <c r="B68" s="95"/>
      <c r="C68" s="36" t="s">
        <v>29</v>
      </c>
      <c r="D68" s="35">
        <v>477</v>
      </c>
      <c r="E68" s="34">
        <v>1.9619940769990001E-2</v>
      </c>
    </row>
    <row r="69" spans="2:5">
      <c r="B69" s="93" t="s">
        <v>90</v>
      </c>
      <c r="C69" s="71" t="s">
        <v>195</v>
      </c>
      <c r="D69" s="72">
        <v>1</v>
      </c>
      <c r="E69" s="73">
        <v>4.1131951299999999E-5</v>
      </c>
    </row>
    <row r="70" spans="2:5">
      <c r="B70" s="94"/>
      <c r="C70" s="71" t="s">
        <v>200</v>
      </c>
      <c r="D70" s="72">
        <v>1</v>
      </c>
      <c r="E70" s="73">
        <v>4.1131951299999999E-5</v>
      </c>
    </row>
    <row r="71" spans="2:5">
      <c r="B71" s="94"/>
      <c r="C71" s="71" t="s">
        <v>204</v>
      </c>
      <c r="D71" s="72">
        <v>1</v>
      </c>
      <c r="E71" s="73">
        <v>4.1131951299999999E-5</v>
      </c>
    </row>
    <row r="72" spans="2:5">
      <c r="B72" s="94"/>
      <c r="C72" s="71" t="s">
        <v>205</v>
      </c>
      <c r="D72" s="72">
        <v>3</v>
      </c>
      <c r="E72" s="73">
        <v>1.23395853899E-4</v>
      </c>
    </row>
    <row r="73" spans="2:5">
      <c r="B73" s="94"/>
      <c r="C73" s="71" t="s">
        <v>208</v>
      </c>
      <c r="D73" s="72">
        <v>5</v>
      </c>
      <c r="E73" s="73">
        <v>2.0565975649899999E-4</v>
      </c>
    </row>
    <row r="74" spans="2:5">
      <c r="B74" s="94"/>
      <c r="C74" s="71" t="s">
        <v>214</v>
      </c>
      <c r="D74" s="72">
        <v>1</v>
      </c>
      <c r="E74" s="73">
        <v>4.1131951299999999E-5</v>
      </c>
    </row>
    <row r="75" spans="2:5">
      <c r="B75" s="95"/>
      <c r="C75" s="36" t="s">
        <v>29</v>
      </c>
      <c r="D75" s="35">
        <v>12</v>
      </c>
      <c r="E75" s="34">
        <v>4.9358341559699998E-4</v>
      </c>
    </row>
    <row r="76" spans="2:5">
      <c r="B76" s="93" t="s">
        <v>84</v>
      </c>
      <c r="C76" s="71" t="s">
        <v>200</v>
      </c>
      <c r="D76" s="72">
        <v>1</v>
      </c>
      <c r="E76" s="73">
        <v>4.1131951299999999E-5</v>
      </c>
    </row>
    <row r="77" spans="2:5">
      <c r="B77" s="94"/>
      <c r="C77" s="71" t="s">
        <v>201</v>
      </c>
      <c r="D77" s="72">
        <v>2</v>
      </c>
      <c r="E77" s="73">
        <v>8.2263902599999999E-5</v>
      </c>
    </row>
    <row r="78" spans="2:5">
      <c r="B78" s="94"/>
      <c r="C78" s="71" t="s">
        <v>202</v>
      </c>
      <c r="D78" s="72">
        <v>1</v>
      </c>
      <c r="E78" s="73">
        <v>4.1131951299999999E-5</v>
      </c>
    </row>
    <row r="79" spans="2:5">
      <c r="B79" s="94"/>
      <c r="C79" s="71" t="s">
        <v>203</v>
      </c>
      <c r="D79" s="72">
        <v>1</v>
      </c>
      <c r="E79" s="73">
        <v>4.1131951299999999E-5</v>
      </c>
    </row>
    <row r="80" spans="2:5">
      <c r="B80" s="94"/>
      <c r="C80" s="71" t="s">
        <v>205</v>
      </c>
      <c r="D80" s="72">
        <v>6</v>
      </c>
      <c r="E80" s="73">
        <v>2.4679170779900002E-4</v>
      </c>
    </row>
    <row r="81" spans="2:5">
      <c r="B81" s="94"/>
      <c r="C81" s="71" t="s">
        <v>207</v>
      </c>
      <c r="D81" s="72">
        <v>2</v>
      </c>
      <c r="E81" s="73">
        <v>8.2263902599999999E-5</v>
      </c>
    </row>
    <row r="82" spans="2:5">
      <c r="B82" s="94"/>
      <c r="C82" s="71" t="s">
        <v>208</v>
      </c>
      <c r="D82" s="72">
        <v>6</v>
      </c>
      <c r="E82" s="73">
        <v>2.4679170779900002E-4</v>
      </c>
    </row>
    <row r="83" spans="2:5">
      <c r="B83" s="94"/>
      <c r="C83" s="71" t="s">
        <v>213</v>
      </c>
      <c r="D83" s="72">
        <v>1</v>
      </c>
      <c r="E83" s="73">
        <v>4.1131951299999999E-5</v>
      </c>
    </row>
    <row r="84" spans="2:5">
      <c r="B84" s="94"/>
      <c r="C84" s="71" t="s">
        <v>214</v>
      </c>
      <c r="D84" s="72">
        <v>2</v>
      </c>
      <c r="E84" s="73">
        <v>8.2263902599999999E-5</v>
      </c>
    </row>
    <row r="85" spans="2:5">
      <c r="B85" s="94"/>
      <c r="C85" s="71" t="s">
        <v>217</v>
      </c>
      <c r="D85" s="72">
        <v>1</v>
      </c>
      <c r="E85" s="73">
        <v>4.1131951299999999E-5</v>
      </c>
    </row>
    <row r="86" spans="2:5">
      <c r="B86" s="95"/>
      <c r="C86" s="36" t="s">
        <v>29</v>
      </c>
      <c r="D86" s="35">
        <v>23</v>
      </c>
      <c r="E86" s="34">
        <v>9.4603487989499996E-4</v>
      </c>
    </row>
    <row r="87" spans="2:5">
      <c r="B87" s="93" t="s">
        <v>52</v>
      </c>
      <c r="C87" s="71" t="s">
        <v>194</v>
      </c>
      <c r="D87" s="72">
        <v>10</v>
      </c>
      <c r="E87" s="73">
        <v>4.1131951299799998E-4</v>
      </c>
    </row>
    <row r="88" spans="2:5">
      <c r="B88" s="94"/>
      <c r="C88" s="71" t="s">
        <v>195</v>
      </c>
      <c r="D88" s="72">
        <v>10</v>
      </c>
      <c r="E88" s="73">
        <v>4.1131951299799998E-4</v>
      </c>
    </row>
    <row r="89" spans="2:5">
      <c r="B89" s="94"/>
      <c r="C89" s="71" t="s">
        <v>196</v>
      </c>
      <c r="D89" s="72">
        <v>17</v>
      </c>
      <c r="E89" s="73">
        <v>6.9924317209599999E-4</v>
      </c>
    </row>
    <row r="90" spans="2:5">
      <c r="B90" s="94"/>
      <c r="C90" s="71" t="s">
        <v>197</v>
      </c>
      <c r="D90" s="72">
        <v>41</v>
      </c>
      <c r="E90" s="73">
        <v>1.686410003291E-3</v>
      </c>
    </row>
    <row r="91" spans="2:5">
      <c r="B91" s="94"/>
      <c r="C91" s="71" t="s">
        <v>198</v>
      </c>
      <c r="D91" s="72">
        <v>30</v>
      </c>
      <c r="E91" s="73">
        <v>1.233958538993E-3</v>
      </c>
    </row>
    <row r="92" spans="2:5">
      <c r="B92" s="94"/>
      <c r="C92" s="71" t="s">
        <v>199</v>
      </c>
      <c r="D92" s="72">
        <v>50</v>
      </c>
      <c r="E92" s="73">
        <v>2.0565975649879998E-3</v>
      </c>
    </row>
    <row r="93" spans="2:5">
      <c r="B93" s="94"/>
      <c r="C93" s="71" t="s">
        <v>200</v>
      </c>
      <c r="D93" s="72">
        <v>241</v>
      </c>
      <c r="E93" s="73">
        <v>9.9128002632440006E-3</v>
      </c>
    </row>
    <row r="94" spans="2:5">
      <c r="B94" s="94"/>
      <c r="C94" s="71" t="s">
        <v>201</v>
      </c>
      <c r="D94" s="72">
        <v>194</v>
      </c>
      <c r="E94" s="73">
        <v>7.9795985521549997E-3</v>
      </c>
    </row>
    <row r="95" spans="2:5">
      <c r="B95" s="94"/>
      <c r="C95" s="71" t="s">
        <v>202</v>
      </c>
      <c r="D95" s="72">
        <v>40</v>
      </c>
      <c r="E95" s="73">
        <v>1.6452780519910001E-3</v>
      </c>
    </row>
    <row r="96" spans="2:5">
      <c r="B96" s="94"/>
      <c r="C96" s="71" t="s">
        <v>203</v>
      </c>
      <c r="D96" s="72">
        <v>89</v>
      </c>
      <c r="E96" s="73">
        <v>3.66074366568E-3</v>
      </c>
    </row>
    <row r="97" spans="2:5">
      <c r="B97" s="94"/>
      <c r="C97" s="71" t="s">
        <v>204</v>
      </c>
      <c r="D97" s="72">
        <v>183</v>
      </c>
      <c r="E97" s="73">
        <v>7.527147087858E-3</v>
      </c>
    </row>
    <row r="98" spans="2:5">
      <c r="B98" s="94"/>
      <c r="C98" s="71" t="s">
        <v>205</v>
      </c>
      <c r="D98" s="72">
        <v>684</v>
      </c>
      <c r="E98" s="73">
        <v>2.8134254689042001E-2</v>
      </c>
    </row>
    <row r="99" spans="2:5">
      <c r="B99" s="94"/>
      <c r="C99" s="71" t="s">
        <v>206</v>
      </c>
      <c r="D99" s="72">
        <v>53</v>
      </c>
      <c r="E99" s="73">
        <v>2.1799934188880001E-3</v>
      </c>
    </row>
    <row r="100" spans="2:5">
      <c r="B100" s="94"/>
      <c r="C100" s="71" t="s">
        <v>207</v>
      </c>
      <c r="D100" s="72">
        <v>265</v>
      </c>
      <c r="E100" s="73">
        <v>1.0899967094439E-2</v>
      </c>
    </row>
    <row r="101" spans="2:5">
      <c r="B101" s="94"/>
      <c r="C101" s="71" t="s">
        <v>208</v>
      </c>
      <c r="D101" s="72">
        <v>775</v>
      </c>
      <c r="E101" s="73">
        <v>3.1877262257321001E-2</v>
      </c>
    </row>
    <row r="102" spans="2:5">
      <c r="B102" s="94"/>
      <c r="C102" s="71" t="s">
        <v>209</v>
      </c>
      <c r="D102" s="72">
        <v>27</v>
      </c>
      <c r="E102" s="73">
        <v>1.110562685094E-3</v>
      </c>
    </row>
    <row r="103" spans="2:5">
      <c r="B103" s="94"/>
      <c r="C103" s="71" t="s">
        <v>210</v>
      </c>
      <c r="D103" s="72">
        <v>16</v>
      </c>
      <c r="E103" s="73">
        <v>6.5811122079600004E-4</v>
      </c>
    </row>
    <row r="104" spans="2:5">
      <c r="B104" s="94"/>
      <c r="C104" s="71" t="s">
        <v>211</v>
      </c>
      <c r="D104" s="72">
        <v>12</v>
      </c>
      <c r="E104" s="73">
        <v>4.9358341559699998E-4</v>
      </c>
    </row>
    <row r="105" spans="2:5">
      <c r="B105" s="94"/>
      <c r="C105" s="71" t="s">
        <v>212</v>
      </c>
      <c r="D105" s="72">
        <v>13</v>
      </c>
      <c r="E105" s="73">
        <v>5.3471536689700004E-4</v>
      </c>
    </row>
    <row r="106" spans="2:5">
      <c r="B106" s="94"/>
      <c r="C106" s="71" t="s">
        <v>213</v>
      </c>
      <c r="D106" s="72">
        <v>51</v>
      </c>
      <c r="E106" s="73">
        <v>2.0977295162880002E-3</v>
      </c>
    </row>
    <row r="107" spans="2:5">
      <c r="B107" s="94"/>
      <c r="C107" s="71" t="s">
        <v>214</v>
      </c>
      <c r="D107" s="72">
        <v>199</v>
      </c>
      <c r="E107" s="73">
        <v>8.1852583086540007E-3</v>
      </c>
    </row>
    <row r="108" spans="2:5">
      <c r="B108" s="94"/>
      <c r="C108" s="71" t="s">
        <v>215</v>
      </c>
      <c r="D108" s="72">
        <v>1</v>
      </c>
      <c r="E108" s="73">
        <v>4.1131951299999999E-5</v>
      </c>
    </row>
    <row r="109" spans="2:5">
      <c r="B109" s="94"/>
      <c r="C109" s="71" t="s">
        <v>216</v>
      </c>
      <c r="D109" s="72">
        <v>7</v>
      </c>
      <c r="E109" s="73">
        <v>2.8792365909800001E-4</v>
      </c>
    </row>
    <row r="110" spans="2:5">
      <c r="B110" s="94"/>
      <c r="C110" s="71" t="s">
        <v>217</v>
      </c>
      <c r="D110" s="72">
        <v>3</v>
      </c>
      <c r="E110" s="73">
        <v>1.23395853899E-4</v>
      </c>
    </row>
    <row r="111" spans="2:5">
      <c r="B111" s="95"/>
      <c r="C111" s="36" t="s">
        <v>29</v>
      </c>
      <c r="D111" s="35">
        <v>3011</v>
      </c>
      <c r="E111" s="34">
        <v>0.123848305363606</v>
      </c>
    </row>
    <row r="112" spans="2:5">
      <c r="B112" s="93" t="s">
        <v>99</v>
      </c>
      <c r="C112" s="71" t="s">
        <v>213</v>
      </c>
      <c r="D112" s="72">
        <v>1</v>
      </c>
      <c r="E112" s="73">
        <v>4.1131951299999999E-5</v>
      </c>
    </row>
    <row r="113" spans="2:5">
      <c r="B113" s="94"/>
      <c r="C113" s="71" t="s">
        <v>214</v>
      </c>
      <c r="D113" s="72">
        <v>1</v>
      </c>
      <c r="E113" s="73">
        <v>4.1131951299999999E-5</v>
      </c>
    </row>
    <row r="114" spans="2:5">
      <c r="B114" s="95"/>
      <c r="C114" s="36" t="s">
        <v>29</v>
      </c>
      <c r="D114" s="35">
        <v>2</v>
      </c>
      <c r="E114" s="34">
        <v>8.2263902599999999E-5</v>
      </c>
    </row>
    <row r="115" spans="2:5">
      <c r="B115" s="93" t="s">
        <v>57</v>
      </c>
      <c r="C115" s="71" t="s">
        <v>194</v>
      </c>
      <c r="D115" s="72">
        <v>3</v>
      </c>
      <c r="E115" s="73">
        <v>1.23395853899E-4</v>
      </c>
    </row>
    <row r="116" spans="2:5">
      <c r="B116" s="94"/>
      <c r="C116" s="71" t="s">
        <v>195</v>
      </c>
      <c r="D116" s="72">
        <v>1</v>
      </c>
      <c r="E116" s="73">
        <v>4.1131951299999999E-5</v>
      </c>
    </row>
    <row r="117" spans="2:5">
      <c r="B117" s="94"/>
      <c r="C117" s="71" t="s">
        <v>196</v>
      </c>
      <c r="D117" s="72">
        <v>5</v>
      </c>
      <c r="E117" s="73">
        <v>2.0565975649899999E-4</v>
      </c>
    </row>
    <row r="118" spans="2:5">
      <c r="B118" s="94"/>
      <c r="C118" s="71" t="s">
        <v>197</v>
      </c>
      <c r="D118" s="72">
        <v>3</v>
      </c>
      <c r="E118" s="73">
        <v>1.23395853899E-4</v>
      </c>
    </row>
    <row r="119" spans="2:5">
      <c r="B119" s="94"/>
      <c r="C119" s="71" t="s">
        <v>198</v>
      </c>
      <c r="D119" s="72">
        <v>2</v>
      </c>
      <c r="E119" s="73">
        <v>8.2263902599999999E-5</v>
      </c>
    </row>
    <row r="120" spans="2:5">
      <c r="B120" s="94"/>
      <c r="C120" s="71" t="s">
        <v>199</v>
      </c>
      <c r="D120" s="72">
        <v>7</v>
      </c>
      <c r="E120" s="73">
        <v>2.8792365909800001E-4</v>
      </c>
    </row>
    <row r="121" spans="2:5">
      <c r="B121" s="94"/>
      <c r="C121" s="71" t="s">
        <v>200</v>
      </c>
      <c r="D121" s="72">
        <v>20</v>
      </c>
      <c r="E121" s="73">
        <v>8.22639025995E-4</v>
      </c>
    </row>
    <row r="122" spans="2:5">
      <c r="B122" s="94"/>
      <c r="C122" s="71" t="s">
        <v>201</v>
      </c>
      <c r="D122" s="72">
        <v>76</v>
      </c>
      <c r="E122" s="73">
        <v>3.1260282987819999E-3</v>
      </c>
    </row>
    <row r="123" spans="2:5">
      <c r="B123" s="94"/>
      <c r="C123" s="71" t="s">
        <v>202</v>
      </c>
      <c r="D123" s="72">
        <v>2</v>
      </c>
      <c r="E123" s="73">
        <v>8.2263902599999999E-5</v>
      </c>
    </row>
    <row r="124" spans="2:5">
      <c r="B124" s="94"/>
      <c r="C124" s="71" t="s">
        <v>203</v>
      </c>
      <c r="D124" s="72">
        <v>10</v>
      </c>
      <c r="E124" s="73">
        <v>4.1131951299799998E-4</v>
      </c>
    </row>
    <row r="125" spans="2:5">
      <c r="B125" s="94"/>
      <c r="C125" s="71" t="s">
        <v>204</v>
      </c>
      <c r="D125" s="72">
        <v>26</v>
      </c>
      <c r="E125" s="73">
        <v>1.0694307337940001E-3</v>
      </c>
    </row>
    <row r="126" spans="2:5">
      <c r="B126" s="94"/>
      <c r="C126" s="71" t="s">
        <v>205</v>
      </c>
      <c r="D126" s="72">
        <v>175</v>
      </c>
      <c r="E126" s="73">
        <v>7.1980914774599997E-3</v>
      </c>
    </row>
    <row r="127" spans="2:5">
      <c r="B127" s="94"/>
      <c r="C127" s="71" t="s">
        <v>206</v>
      </c>
      <c r="D127" s="72">
        <v>11</v>
      </c>
      <c r="E127" s="73">
        <v>4.5245146429700003E-4</v>
      </c>
    </row>
    <row r="128" spans="2:5">
      <c r="B128" s="94"/>
      <c r="C128" s="71" t="s">
        <v>207</v>
      </c>
      <c r="D128" s="72">
        <v>36</v>
      </c>
      <c r="E128" s="73">
        <v>1.4807502467919999E-3</v>
      </c>
    </row>
    <row r="129" spans="2:5">
      <c r="B129" s="94"/>
      <c r="C129" s="71" t="s">
        <v>208</v>
      </c>
      <c r="D129" s="72">
        <v>147</v>
      </c>
      <c r="E129" s="73">
        <v>6.0463968410659997E-3</v>
      </c>
    </row>
    <row r="130" spans="2:5">
      <c r="B130" s="94"/>
      <c r="C130" s="71" t="s">
        <v>209</v>
      </c>
      <c r="D130" s="72">
        <v>1</v>
      </c>
      <c r="E130" s="73">
        <v>4.1131951299999999E-5</v>
      </c>
    </row>
    <row r="131" spans="2:5">
      <c r="B131" s="94"/>
      <c r="C131" s="71" t="s">
        <v>210</v>
      </c>
      <c r="D131" s="72">
        <v>3</v>
      </c>
      <c r="E131" s="73">
        <v>1.23395853899E-4</v>
      </c>
    </row>
    <row r="132" spans="2:5">
      <c r="B132" s="94"/>
      <c r="C132" s="71" t="s">
        <v>213</v>
      </c>
      <c r="D132" s="72">
        <v>9</v>
      </c>
      <c r="E132" s="73">
        <v>3.7018756169799997E-4</v>
      </c>
    </row>
    <row r="133" spans="2:5">
      <c r="B133" s="94"/>
      <c r="C133" s="71" t="s">
        <v>214</v>
      </c>
      <c r="D133" s="72">
        <v>48</v>
      </c>
      <c r="E133" s="73">
        <v>1.974333662389E-3</v>
      </c>
    </row>
    <row r="134" spans="2:5">
      <c r="B134" s="95"/>
      <c r="C134" s="36" t="s">
        <v>29</v>
      </c>
      <c r="D134" s="35">
        <v>585</v>
      </c>
      <c r="E134" s="34">
        <v>2.4062191510365E-2</v>
      </c>
    </row>
    <row r="135" spans="2:5">
      <c r="B135" s="93" t="s">
        <v>53</v>
      </c>
      <c r="C135" s="71" t="s">
        <v>194</v>
      </c>
      <c r="D135" s="72">
        <v>8</v>
      </c>
      <c r="E135" s="73">
        <v>3.2905561039800002E-4</v>
      </c>
    </row>
    <row r="136" spans="2:5">
      <c r="B136" s="94"/>
      <c r="C136" s="71" t="s">
        <v>195</v>
      </c>
      <c r="D136" s="72">
        <v>3</v>
      </c>
      <c r="E136" s="73">
        <v>1.23395853899E-4</v>
      </c>
    </row>
    <row r="137" spans="2:5">
      <c r="B137" s="94"/>
      <c r="C137" s="71" t="s">
        <v>196</v>
      </c>
      <c r="D137" s="72">
        <v>9</v>
      </c>
      <c r="E137" s="73">
        <v>3.7018756169799997E-4</v>
      </c>
    </row>
    <row r="138" spans="2:5">
      <c r="B138" s="94"/>
      <c r="C138" s="71" t="s">
        <v>197</v>
      </c>
      <c r="D138" s="72">
        <v>16</v>
      </c>
      <c r="E138" s="73">
        <v>6.5811122079600004E-4</v>
      </c>
    </row>
    <row r="139" spans="2:5">
      <c r="B139" s="94"/>
      <c r="C139" s="71" t="s">
        <v>198</v>
      </c>
      <c r="D139" s="72">
        <v>11</v>
      </c>
      <c r="E139" s="73">
        <v>4.5245146429700003E-4</v>
      </c>
    </row>
    <row r="140" spans="2:5">
      <c r="B140" s="94"/>
      <c r="C140" s="71" t="s">
        <v>199</v>
      </c>
      <c r="D140" s="72">
        <v>19</v>
      </c>
      <c r="E140" s="73">
        <v>7.8150707469600001E-4</v>
      </c>
    </row>
    <row r="141" spans="2:5">
      <c r="B141" s="94"/>
      <c r="C141" s="71" t="s">
        <v>200</v>
      </c>
      <c r="D141" s="72">
        <v>110</v>
      </c>
      <c r="E141" s="73">
        <v>4.5245146429749999E-3</v>
      </c>
    </row>
    <row r="142" spans="2:5">
      <c r="B142" s="94"/>
      <c r="C142" s="71" t="s">
        <v>201</v>
      </c>
      <c r="D142" s="72">
        <v>173</v>
      </c>
      <c r="E142" s="73">
        <v>7.1158275748599998E-3</v>
      </c>
    </row>
    <row r="143" spans="2:5">
      <c r="B143" s="94"/>
      <c r="C143" s="71" t="s">
        <v>202</v>
      </c>
      <c r="D143" s="72">
        <v>23</v>
      </c>
      <c r="E143" s="73">
        <v>9.4603487989499996E-4</v>
      </c>
    </row>
    <row r="144" spans="2:5">
      <c r="B144" s="94"/>
      <c r="C144" s="71" t="s">
        <v>203</v>
      </c>
      <c r="D144" s="72">
        <v>37</v>
      </c>
      <c r="E144" s="73">
        <v>1.521882198091E-3</v>
      </c>
    </row>
    <row r="145" spans="2:5">
      <c r="B145" s="94"/>
      <c r="C145" s="71" t="s">
        <v>204</v>
      </c>
      <c r="D145" s="72">
        <v>71</v>
      </c>
      <c r="E145" s="73">
        <v>2.9203685422839998E-3</v>
      </c>
    </row>
    <row r="146" spans="2:5">
      <c r="B146" s="94"/>
      <c r="C146" s="71" t="s">
        <v>205</v>
      </c>
      <c r="D146" s="72">
        <v>690</v>
      </c>
      <c r="E146" s="73">
        <v>2.8381046396841001E-2</v>
      </c>
    </row>
    <row r="147" spans="2:5">
      <c r="B147" s="94"/>
      <c r="C147" s="71" t="s">
        <v>206</v>
      </c>
      <c r="D147" s="72">
        <v>40</v>
      </c>
      <c r="E147" s="73">
        <v>1.6452780519910001E-3</v>
      </c>
    </row>
    <row r="148" spans="2:5">
      <c r="B148" s="94"/>
      <c r="C148" s="71" t="s">
        <v>207</v>
      </c>
      <c r="D148" s="72">
        <v>160</v>
      </c>
      <c r="E148" s="73">
        <v>6.5811122079630002E-3</v>
      </c>
    </row>
    <row r="149" spans="2:5">
      <c r="B149" s="94"/>
      <c r="C149" s="71" t="s">
        <v>208</v>
      </c>
      <c r="D149" s="72">
        <v>676</v>
      </c>
      <c r="E149" s="73">
        <v>2.7805199078644E-2</v>
      </c>
    </row>
    <row r="150" spans="2:5">
      <c r="B150" s="94"/>
      <c r="C150" s="71" t="s">
        <v>209</v>
      </c>
      <c r="D150" s="72">
        <v>9</v>
      </c>
      <c r="E150" s="73">
        <v>3.7018756169799997E-4</v>
      </c>
    </row>
    <row r="151" spans="2:5">
      <c r="B151" s="94"/>
      <c r="C151" s="71" t="s">
        <v>210</v>
      </c>
      <c r="D151" s="72">
        <v>5</v>
      </c>
      <c r="E151" s="73">
        <v>2.0565975649899999E-4</v>
      </c>
    </row>
    <row r="152" spans="2:5">
      <c r="B152" s="94"/>
      <c r="C152" s="71" t="s">
        <v>211</v>
      </c>
      <c r="D152" s="72">
        <v>6</v>
      </c>
      <c r="E152" s="73">
        <v>2.4679170779900002E-4</v>
      </c>
    </row>
    <row r="153" spans="2:5">
      <c r="B153" s="94"/>
      <c r="C153" s="71" t="s">
        <v>212</v>
      </c>
      <c r="D153" s="72">
        <v>3</v>
      </c>
      <c r="E153" s="73">
        <v>1.23395853899E-4</v>
      </c>
    </row>
    <row r="154" spans="2:5">
      <c r="B154" s="94"/>
      <c r="C154" s="71" t="s">
        <v>213</v>
      </c>
      <c r="D154" s="72">
        <v>29</v>
      </c>
      <c r="E154" s="73">
        <v>1.1928265876930001E-3</v>
      </c>
    </row>
    <row r="155" spans="2:5">
      <c r="B155" s="94"/>
      <c r="C155" s="71" t="s">
        <v>214</v>
      </c>
      <c r="D155" s="72">
        <v>133</v>
      </c>
      <c r="E155" s="73">
        <v>5.4705495228689997E-3</v>
      </c>
    </row>
    <row r="156" spans="2:5">
      <c r="B156" s="94"/>
      <c r="C156" s="71" t="s">
        <v>215</v>
      </c>
      <c r="D156" s="72">
        <v>6</v>
      </c>
      <c r="E156" s="73">
        <v>2.4679170779900002E-4</v>
      </c>
    </row>
    <row r="157" spans="2:5">
      <c r="B157" s="94"/>
      <c r="C157" s="71" t="s">
        <v>216</v>
      </c>
      <c r="D157" s="72">
        <v>6</v>
      </c>
      <c r="E157" s="73">
        <v>2.4679170779900002E-4</v>
      </c>
    </row>
    <row r="158" spans="2:5">
      <c r="B158" s="94"/>
      <c r="C158" s="71" t="s">
        <v>217</v>
      </c>
      <c r="D158" s="72">
        <v>1</v>
      </c>
      <c r="E158" s="73">
        <v>4.1131951299999999E-5</v>
      </c>
    </row>
    <row r="159" spans="2:5">
      <c r="B159" s="95"/>
      <c r="C159" s="36" t="s">
        <v>29</v>
      </c>
      <c r="D159" s="35">
        <v>2244</v>
      </c>
      <c r="E159" s="34">
        <v>9.2300098716683002E-2</v>
      </c>
    </row>
    <row r="160" spans="2:5">
      <c r="B160" s="93" t="s">
        <v>92</v>
      </c>
      <c r="C160" s="71" t="s">
        <v>205</v>
      </c>
      <c r="D160" s="72">
        <v>3</v>
      </c>
      <c r="E160" s="73">
        <v>1.23395853899E-4</v>
      </c>
    </row>
    <row r="161" spans="2:5">
      <c r="B161" s="94"/>
      <c r="C161" s="71" t="s">
        <v>208</v>
      </c>
      <c r="D161" s="72">
        <v>3</v>
      </c>
      <c r="E161" s="73">
        <v>1.23395853899E-4</v>
      </c>
    </row>
    <row r="162" spans="2:5">
      <c r="B162" s="94"/>
      <c r="C162" s="71" t="s">
        <v>214</v>
      </c>
      <c r="D162" s="72">
        <v>2</v>
      </c>
      <c r="E162" s="73">
        <v>8.2263902599999999E-5</v>
      </c>
    </row>
    <row r="163" spans="2:5">
      <c r="B163" s="95"/>
      <c r="C163" s="36" t="s">
        <v>29</v>
      </c>
      <c r="D163" s="35">
        <v>8</v>
      </c>
      <c r="E163" s="34">
        <v>3.2905561039800002E-4</v>
      </c>
    </row>
    <row r="164" spans="2:5">
      <c r="B164" s="93" t="s">
        <v>73</v>
      </c>
      <c r="C164" s="71" t="s">
        <v>196</v>
      </c>
      <c r="D164" s="72">
        <v>1</v>
      </c>
      <c r="E164" s="73">
        <v>4.1131951299999999E-5</v>
      </c>
    </row>
    <row r="165" spans="2:5">
      <c r="B165" s="94"/>
      <c r="C165" s="71" t="s">
        <v>200</v>
      </c>
      <c r="D165" s="72">
        <v>2</v>
      </c>
      <c r="E165" s="73">
        <v>8.2263902599999999E-5</v>
      </c>
    </row>
    <row r="166" spans="2:5">
      <c r="B166" s="94"/>
      <c r="C166" s="71" t="s">
        <v>201</v>
      </c>
      <c r="D166" s="72">
        <v>3</v>
      </c>
      <c r="E166" s="73">
        <v>1.23395853899E-4</v>
      </c>
    </row>
    <row r="167" spans="2:5">
      <c r="B167" s="94"/>
      <c r="C167" s="71" t="s">
        <v>204</v>
      </c>
      <c r="D167" s="72">
        <v>5</v>
      </c>
      <c r="E167" s="73">
        <v>2.0565975649899999E-4</v>
      </c>
    </row>
    <row r="168" spans="2:5">
      <c r="B168" s="94"/>
      <c r="C168" s="71" t="s">
        <v>205</v>
      </c>
      <c r="D168" s="72">
        <v>22</v>
      </c>
      <c r="E168" s="73">
        <v>9.0490292859500001E-4</v>
      </c>
    </row>
    <row r="169" spans="2:5">
      <c r="B169" s="94"/>
      <c r="C169" s="71" t="s">
        <v>206</v>
      </c>
      <c r="D169" s="72">
        <v>1</v>
      </c>
      <c r="E169" s="73">
        <v>4.1131951299999999E-5</v>
      </c>
    </row>
    <row r="170" spans="2:5">
      <c r="B170" s="94"/>
      <c r="C170" s="71" t="s">
        <v>207</v>
      </c>
      <c r="D170" s="72">
        <v>3</v>
      </c>
      <c r="E170" s="73">
        <v>1.23395853899E-4</v>
      </c>
    </row>
    <row r="171" spans="2:5">
      <c r="B171" s="94"/>
      <c r="C171" s="71" t="s">
        <v>208</v>
      </c>
      <c r="D171" s="72">
        <v>14</v>
      </c>
      <c r="E171" s="73">
        <v>5.7584731819699999E-4</v>
      </c>
    </row>
    <row r="172" spans="2:5">
      <c r="B172" s="94"/>
      <c r="C172" s="71" t="s">
        <v>211</v>
      </c>
      <c r="D172" s="72">
        <v>2</v>
      </c>
      <c r="E172" s="73">
        <v>8.2263902599999999E-5</v>
      </c>
    </row>
    <row r="173" spans="2:5">
      <c r="B173" s="94"/>
      <c r="C173" s="71" t="s">
        <v>213</v>
      </c>
      <c r="D173" s="72">
        <v>2</v>
      </c>
      <c r="E173" s="73">
        <v>8.2263902599999999E-5</v>
      </c>
    </row>
    <row r="174" spans="2:5">
      <c r="B174" s="94"/>
      <c r="C174" s="71" t="s">
        <v>214</v>
      </c>
      <c r="D174" s="72">
        <v>6</v>
      </c>
      <c r="E174" s="73">
        <v>2.4679170779900002E-4</v>
      </c>
    </row>
    <row r="175" spans="2:5">
      <c r="B175" s="95"/>
      <c r="C175" s="36" t="s">
        <v>29</v>
      </c>
      <c r="D175" s="35">
        <v>61</v>
      </c>
      <c r="E175" s="34">
        <v>2.509049029286E-3</v>
      </c>
    </row>
    <row r="176" spans="2:5">
      <c r="B176" s="93" t="s">
        <v>64</v>
      </c>
      <c r="C176" s="71" t="s">
        <v>194</v>
      </c>
      <c r="D176" s="72">
        <v>3</v>
      </c>
      <c r="E176" s="73">
        <v>1.23395853899E-4</v>
      </c>
    </row>
    <row r="177" spans="2:5">
      <c r="B177" s="94"/>
      <c r="C177" s="71" t="s">
        <v>196</v>
      </c>
      <c r="D177" s="72">
        <v>1</v>
      </c>
      <c r="E177" s="73">
        <v>4.1131951299999999E-5</v>
      </c>
    </row>
    <row r="178" spans="2:5">
      <c r="B178" s="94"/>
      <c r="C178" s="71" t="s">
        <v>197</v>
      </c>
      <c r="D178" s="72">
        <v>5</v>
      </c>
      <c r="E178" s="73">
        <v>2.0565975649899999E-4</v>
      </c>
    </row>
    <row r="179" spans="2:5">
      <c r="B179" s="94"/>
      <c r="C179" s="71" t="s">
        <v>198</v>
      </c>
      <c r="D179" s="72">
        <v>5</v>
      </c>
      <c r="E179" s="73">
        <v>2.0565975649899999E-4</v>
      </c>
    </row>
    <row r="180" spans="2:5">
      <c r="B180" s="94"/>
      <c r="C180" s="71" t="s">
        <v>199</v>
      </c>
      <c r="D180" s="72">
        <v>2</v>
      </c>
      <c r="E180" s="73">
        <v>8.2263902599999999E-5</v>
      </c>
    </row>
    <row r="181" spans="2:5">
      <c r="B181" s="94"/>
      <c r="C181" s="71" t="s">
        <v>200</v>
      </c>
      <c r="D181" s="72">
        <v>15</v>
      </c>
      <c r="E181" s="73">
        <v>6.1697926949700005E-4</v>
      </c>
    </row>
    <row r="182" spans="2:5">
      <c r="B182" s="94"/>
      <c r="C182" s="71" t="s">
        <v>201</v>
      </c>
      <c r="D182" s="72">
        <v>18</v>
      </c>
      <c r="E182" s="73">
        <v>7.4037512339599995E-4</v>
      </c>
    </row>
    <row r="183" spans="2:5">
      <c r="B183" s="94"/>
      <c r="C183" s="71" t="s">
        <v>202</v>
      </c>
      <c r="D183" s="72">
        <v>1</v>
      </c>
      <c r="E183" s="73">
        <v>4.1131951299999999E-5</v>
      </c>
    </row>
    <row r="184" spans="2:5">
      <c r="B184" s="94"/>
      <c r="C184" s="71" t="s">
        <v>203</v>
      </c>
      <c r="D184" s="72">
        <v>5</v>
      </c>
      <c r="E184" s="73">
        <v>2.0565975649899999E-4</v>
      </c>
    </row>
    <row r="185" spans="2:5">
      <c r="B185" s="94"/>
      <c r="C185" s="71" t="s">
        <v>204</v>
      </c>
      <c r="D185" s="72">
        <v>14</v>
      </c>
      <c r="E185" s="73">
        <v>5.7584731819699999E-4</v>
      </c>
    </row>
    <row r="186" spans="2:5">
      <c r="B186" s="94"/>
      <c r="C186" s="71" t="s">
        <v>205</v>
      </c>
      <c r="D186" s="72">
        <v>54</v>
      </c>
      <c r="E186" s="73">
        <v>2.2211253701880001E-3</v>
      </c>
    </row>
    <row r="187" spans="2:5">
      <c r="B187" s="94"/>
      <c r="C187" s="71" t="s">
        <v>206</v>
      </c>
      <c r="D187" s="72">
        <v>4</v>
      </c>
      <c r="E187" s="73">
        <v>1.6452780519900001E-4</v>
      </c>
    </row>
    <row r="188" spans="2:5">
      <c r="B188" s="94"/>
      <c r="C188" s="71" t="s">
        <v>207</v>
      </c>
      <c r="D188" s="72">
        <v>17</v>
      </c>
      <c r="E188" s="73">
        <v>6.9924317209599999E-4</v>
      </c>
    </row>
    <row r="189" spans="2:5">
      <c r="B189" s="94"/>
      <c r="C189" s="71" t="s">
        <v>208</v>
      </c>
      <c r="D189" s="72">
        <v>45</v>
      </c>
      <c r="E189" s="73">
        <v>1.85093780849E-3</v>
      </c>
    </row>
    <row r="190" spans="2:5">
      <c r="B190" s="94"/>
      <c r="C190" s="71" t="s">
        <v>209</v>
      </c>
      <c r="D190" s="72">
        <v>1</v>
      </c>
      <c r="E190" s="73">
        <v>4.1131951299999999E-5</v>
      </c>
    </row>
    <row r="191" spans="2:5">
      <c r="B191" s="94"/>
      <c r="C191" s="71" t="s">
        <v>210</v>
      </c>
      <c r="D191" s="72">
        <v>1</v>
      </c>
      <c r="E191" s="73">
        <v>4.1131951299999999E-5</v>
      </c>
    </row>
    <row r="192" spans="2:5">
      <c r="B192" s="94"/>
      <c r="C192" s="71" t="s">
        <v>211</v>
      </c>
      <c r="D192" s="72">
        <v>1</v>
      </c>
      <c r="E192" s="73">
        <v>4.1131951299999999E-5</v>
      </c>
    </row>
    <row r="193" spans="2:5">
      <c r="B193" s="94"/>
      <c r="C193" s="71" t="s">
        <v>213</v>
      </c>
      <c r="D193" s="72">
        <v>5</v>
      </c>
      <c r="E193" s="73">
        <v>2.0565975649899999E-4</v>
      </c>
    </row>
    <row r="194" spans="2:5">
      <c r="B194" s="94"/>
      <c r="C194" s="71" t="s">
        <v>214</v>
      </c>
      <c r="D194" s="72">
        <v>16</v>
      </c>
      <c r="E194" s="73">
        <v>6.5811122079600004E-4</v>
      </c>
    </row>
    <row r="195" spans="2:5">
      <c r="B195" s="95"/>
      <c r="C195" s="36" t="s">
        <v>29</v>
      </c>
      <c r="D195" s="35">
        <v>213</v>
      </c>
      <c r="E195" s="34">
        <v>8.7611056268509999E-3</v>
      </c>
    </row>
    <row r="196" spans="2:5">
      <c r="B196" s="93" t="s">
        <v>94</v>
      </c>
      <c r="C196" s="71" t="s">
        <v>200</v>
      </c>
      <c r="D196" s="72">
        <v>1</v>
      </c>
      <c r="E196" s="73">
        <v>4.1131951299999999E-5</v>
      </c>
    </row>
    <row r="197" spans="2:5">
      <c r="B197" s="94"/>
      <c r="C197" s="71" t="s">
        <v>204</v>
      </c>
      <c r="D197" s="72">
        <v>1</v>
      </c>
      <c r="E197" s="73">
        <v>4.1131951299999999E-5</v>
      </c>
    </row>
    <row r="198" spans="2:5">
      <c r="B198" s="94"/>
      <c r="C198" s="71" t="s">
        <v>207</v>
      </c>
      <c r="D198" s="72">
        <v>1</v>
      </c>
      <c r="E198" s="73">
        <v>4.1131951299999999E-5</v>
      </c>
    </row>
    <row r="199" spans="2:5">
      <c r="B199" s="94"/>
      <c r="C199" s="71" t="s">
        <v>208</v>
      </c>
      <c r="D199" s="72">
        <v>1</v>
      </c>
      <c r="E199" s="73">
        <v>4.1131951299999999E-5</v>
      </c>
    </row>
    <row r="200" spans="2:5">
      <c r="B200" s="94"/>
      <c r="C200" s="71" t="s">
        <v>213</v>
      </c>
      <c r="D200" s="72">
        <v>1</v>
      </c>
      <c r="E200" s="73">
        <v>4.1131951299999999E-5</v>
      </c>
    </row>
    <row r="201" spans="2:5">
      <c r="B201" s="94"/>
      <c r="C201" s="71" t="s">
        <v>214</v>
      </c>
      <c r="D201" s="72">
        <v>2</v>
      </c>
      <c r="E201" s="73">
        <v>8.2263902599999999E-5</v>
      </c>
    </row>
    <row r="202" spans="2:5">
      <c r="B202" s="95"/>
      <c r="C202" s="36" t="s">
        <v>29</v>
      </c>
      <c r="D202" s="35">
        <v>7</v>
      </c>
      <c r="E202" s="34">
        <v>2.8792365909800001E-4</v>
      </c>
    </row>
    <row r="203" spans="2:5">
      <c r="B203" s="93" t="s">
        <v>89</v>
      </c>
      <c r="C203" s="71" t="s">
        <v>197</v>
      </c>
      <c r="D203" s="72">
        <v>1</v>
      </c>
      <c r="E203" s="73">
        <v>4.1131951299999999E-5</v>
      </c>
    </row>
    <row r="204" spans="2:5">
      <c r="B204" s="94"/>
      <c r="C204" s="71" t="s">
        <v>201</v>
      </c>
      <c r="D204" s="72">
        <v>1</v>
      </c>
      <c r="E204" s="73">
        <v>4.1131951299999999E-5</v>
      </c>
    </row>
    <row r="205" spans="2:5">
      <c r="B205" s="94"/>
      <c r="C205" s="71" t="s">
        <v>205</v>
      </c>
      <c r="D205" s="72">
        <v>6</v>
      </c>
      <c r="E205" s="73">
        <v>2.4679170779900002E-4</v>
      </c>
    </row>
    <row r="206" spans="2:5">
      <c r="B206" s="94"/>
      <c r="C206" s="71" t="s">
        <v>208</v>
      </c>
      <c r="D206" s="72">
        <v>3</v>
      </c>
      <c r="E206" s="73">
        <v>1.23395853899E-4</v>
      </c>
    </row>
    <row r="207" spans="2:5">
      <c r="B207" s="94"/>
      <c r="C207" s="71" t="s">
        <v>213</v>
      </c>
      <c r="D207" s="72">
        <v>1</v>
      </c>
      <c r="E207" s="73">
        <v>4.1131951299999999E-5</v>
      </c>
    </row>
    <row r="208" spans="2:5">
      <c r="B208" s="94"/>
      <c r="C208" s="71" t="s">
        <v>214</v>
      </c>
      <c r="D208" s="72">
        <v>1</v>
      </c>
      <c r="E208" s="73">
        <v>4.1131951299999999E-5</v>
      </c>
    </row>
    <row r="209" spans="2:5">
      <c r="B209" s="94"/>
      <c r="C209" s="71" t="s">
        <v>216</v>
      </c>
      <c r="D209" s="72">
        <v>1</v>
      </c>
      <c r="E209" s="73">
        <v>4.1131951299999999E-5</v>
      </c>
    </row>
    <row r="210" spans="2:5">
      <c r="B210" s="95"/>
      <c r="C210" s="36" t="s">
        <v>29</v>
      </c>
      <c r="D210" s="35">
        <v>14</v>
      </c>
      <c r="E210" s="34">
        <v>5.7584731819699999E-4</v>
      </c>
    </row>
    <row r="211" spans="2:5">
      <c r="B211" s="93" t="s">
        <v>72</v>
      </c>
      <c r="C211" s="71" t="s">
        <v>194</v>
      </c>
      <c r="D211" s="72">
        <v>1</v>
      </c>
      <c r="E211" s="73">
        <v>4.1131951299999999E-5</v>
      </c>
    </row>
    <row r="212" spans="2:5">
      <c r="B212" s="94"/>
      <c r="C212" s="71" t="s">
        <v>197</v>
      </c>
      <c r="D212" s="72">
        <v>2</v>
      </c>
      <c r="E212" s="73">
        <v>8.2263902599999999E-5</v>
      </c>
    </row>
    <row r="213" spans="2:5">
      <c r="B213" s="94"/>
      <c r="C213" s="71" t="s">
        <v>199</v>
      </c>
      <c r="D213" s="72">
        <v>2</v>
      </c>
      <c r="E213" s="73">
        <v>8.2263902599999999E-5</v>
      </c>
    </row>
    <row r="214" spans="2:5">
      <c r="B214" s="94"/>
      <c r="C214" s="71" t="s">
        <v>200</v>
      </c>
      <c r="D214" s="72">
        <v>4</v>
      </c>
      <c r="E214" s="73">
        <v>1.6452780519900001E-4</v>
      </c>
    </row>
    <row r="215" spans="2:5">
      <c r="B215" s="94"/>
      <c r="C215" s="71" t="s">
        <v>201</v>
      </c>
      <c r="D215" s="72">
        <v>5</v>
      </c>
      <c r="E215" s="73">
        <v>2.0565975649899999E-4</v>
      </c>
    </row>
    <row r="216" spans="2:5">
      <c r="B216" s="94"/>
      <c r="C216" s="71" t="s">
        <v>202</v>
      </c>
      <c r="D216" s="72">
        <v>1</v>
      </c>
      <c r="E216" s="73">
        <v>4.1131951299999999E-5</v>
      </c>
    </row>
    <row r="217" spans="2:5">
      <c r="B217" s="94"/>
      <c r="C217" s="71" t="s">
        <v>203</v>
      </c>
      <c r="D217" s="72">
        <v>2</v>
      </c>
      <c r="E217" s="73">
        <v>8.2263902599999999E-5</v>
      </c>
    </row>
    <row r="218" spans="2:5">
      <c r="B218" s="94"/>
      <c r="C218" s="71" t="s">
        <v>205</v>
      </c>
      <c r="D218" s="72">
        <v>20</v>
      </c>
      <c r="E218" s="73">
        <v>8.22639025995E-4</v>
      </c>
    </row>
    <row r="219" spans="2:5">
      <c r="B219" s="94"/>
      <c r="C219" s="71" t="s">
        <v>206</v>
      </c>
      <c r="D219" s="72">
        <v>2</v>
      </c>
      <c r="E219" s="73">
        <v>8.2263902599999999E-5</v>
      </c>
    </row>
    <row r="220" spans="2:5">
      <c r="B220" s="94"/>
      <c r="C220" s="71" t="s">
        <v>207</v>
      </c>
      <c r="D220" s="72">
        <v>3</v>
      </c>
      <c r="E220" s="73">
        <v>1.23395853899E-4</v>
      </c>
    </row>
    <row r="221" spans="2:5">
      <c r="B221" s="94"/>
      <c r="C221" s="71" t="s">
        <v>208</v>
      </c>
      <c r="D221" s="72">
        <v>14</v>
      </c>
      <c r="E221" s="73">
        <v>5.7584731819699999E-4</v>
      </c>
    </row>
    <row r="222" spans="2:5">
      <c r="B222" s="94"/>
      <c r="C222" s="71" t="s">
        <v>209</v>
      </c>
      <c r="D222" s="72">
        <v>1</v>
      </c>
      <c r="E222" s="73">
        <v>4.1131951299999999E-5</v>
      </c>
    </row>
    <row r="223" spans="2:5">
      <c r="B223" s="94"/>
      <c r="C223" s="71" t="s">
        <v>211</v>
      </c>
      <c r="D223" s="72">
        <v>1</v>
      </c>
      <c r="E223" s="73">
        <v>4.1131951299999999E-5</v>
      </c>
    </row>
    <row r="224" spans="2:5">
      <c r="B224" s="94"/>
      <c r="C224" s="71" t="s">
        <v>213</v>
      </c>
      <c r="D224" s="72">
        <v>1</v>
      </c>
      <c r="E224" s="73">
        <v>4.1131951299999999E-5</v>
      </c>
    </row>
    <row r="225" spans="2:5">
      <c r="B225" s="94"/>
      <c r="C225" s="71" t="s">
        <v>214</v>
      </c>
      <c r="D225" s="72">
        <v>4</v>
      </c>
      <c r="E225" s="73">
        <v>1.6452780519900001E-4</v>
      </c>
    </row>
    <row r="226" spans="2:5">
      <c r="B226" s="94"/>
      <c r="C226" s="71" t="s">
        <v>216</v>
      </c>
      <c r="D226" s="72">
        <v>1</v>
      </c>
      <c r="E226" s="73">
        <v>4.1131951299999999E-5</v>
      </c>
    </row>
    <row r="227" spans="2:5">
      <c r="B227" s="94"/>
      <c r="C227" s="71" t="s">
        <v>217</v>
      </c>
      <c r="D227" s="72">
        <v>1</v>
      </c>
      <c r="E227" s="73">
        <v>4.1131951299999999E-5</v>
      </c>
    </row>
    <row r="228" spans="2:5">
      <c r="B228" s="95"/>
      <c r="C228" s="36" t="s">
        <v>29</v>
      </c>
      <c r="D228" s="35">
        <v>65</v>
      </c>
      <c r="E228" s="34">
        <v>2.6735768344850002E-3</v>
      </c>
    </row>
    <row r="229" spans="2:5">
      <c r="B229" s="93" t="s">
        <v>75</v>
      </c>
      <c r="C229" s="71" t="s">
        <v>194</v>
      </c>
      <c r="D229" s="72">
        <v>1</v>
      </c>
      <c r="E229" s="73">
        <v>4.1131951299999999E-5</v>
      </c>
    </row>
    <row r="230" spans="2:5">
      <c r="B230" s="94"/>
      <c r="C230" s="71" t="s">
        <v>197</v>
      </c>
      <c r="D230" s="72">
        <v>2</v>
      </c>
      <c r="E230" s="73">
        <v>8.2263902599999999E-5</v>
      </c>
    </row>
    <row r="231" spans="2:5">
      <c r="B231" s="94"/>
      <c r="C231" s="71" t="s">
        <v>199</v>
      </c>
      <c r="D231" s="72">
        <v>1</v>
      </c>
      <c r="E231" s="73">
        <v>4.1131951299999999E-5</v>
      </c>
    </row>
    <row r="232" spans="2:5">
      <c r="B232" s="94"/>
      <c r="C232" s="71" t="s">
        <v>200</v>
      </c>
      <c r="D232" s="72">
        <v>3</v>
      </c>
      <c r="E232" s="73">
        <v>1.23395853899E-4</v>
      </c>
    </row>
    <row r="233" spans="2:5">
      <c r="B233" s="94"/>
      <c r="C233" s="71" t="s">
        <v>201</v>
      </c>
      <c r="D233" s="72">
        <v>6</v>
      </c>
      <c r="E233" s="73">
        <v>2.4679170779900002E-4</v>
      </c>
    </row>
    <row r="234" spans="2:5">
      <c r="B234" s="94"/>
      <c r="C234" s="71" t="s">
        <v>204</v>
      </c>
      <c r="D234" s="72">
        <v>3</v>
      </c>
      <c r="E234" s="73">
        <v>1.23395853899E-4</v>
      </c>
    </row>
    <row r="235" spans="2:5">
      <c r="B235" s="94"/>
      <c r="C235" s="71" t="s">
        <v>205</v>
      </c>
      <c r="D235" s="72">
        <v>7</v>
      </c>
      <c r="E235" s="73">
        <v>2.8792365909800001E-4</v>
      </c>
    </row>
    <row r="236" spans="2:5">
      <c r="B236" s="94"/>
      <c r="C236" s="71" t="s">
        <v>207</v>
      </c>
      <c r="D236" s="72">
        <v>5</v>
      </c>
      <c r="E236" s="73">
        <v>2.0565975649899999E-4</v>
      </c>
    </row>
    <row r="237" spans="2:5">
      <c r="B237" s="94"/>
      <c r="C237" s="71" t="s">
        <v>208</v>
      </c>
      <c r="D237" s="72">
        <v>14</v>
      </c>
      <c r="E237" s="73">
        <v>5.7584731819699999E-4</v>
      </c>
    </row>
    <row r="238" spans="2:5">
      <c r="B238" s="94"/>
      <c r="C238" s="71" t="s">
        <v>210</v>
      </c>
      <c r="D238" s="72">
        <v>2</v>
      </c>
      <c r="E238" s="73">
        <v>8.2263902599999999E-5</v>
      </c>
    </row>
    <row r="239" spans="2:5">
      <c r="B239" s="94"/>
      <c r="C239" s="71" t="s">
        <v>213</v>
      </c>
      <c r="D239" s="72">
        <v>2</v>
      </c>
      <c r="E239" s="73">
        <v>8.2263902599999999E-5</v>
      </c>
    </row>
    <row r="240" spans="2:5">
      <c r="B240" s="94"/>
      <c r="C240" s="71" t="s">
        <v>214</v>
      </c>
      <c r="D240" s="72">
        <v>4</v>
      </c>
      <c r="E240" s="73">
        <v>1.6452780519900001E-4</v>
      </c>
    </row>
    <row r="241" spans="2:5">
      <c r="B241" s="95"/>
      <c r="C241" s="36" t="s">
        <v>29</v>
      </c>
      <c r="D241" s="35">
        <v>50</v>
      </c>
      <c r="E241" s="34">
        <v>2.0565975649879998E-3</v>
      </c>
    </row>
    <row r="242" spans="2:5">
      <c r="B242" s="93" t="s">
        <v>51</v>
      </c>
      <c r="C242" s="71" t="s">
        <v>194</v>
      </c>
      <c r="D242" s="72">
        <v>38</v>
      </c>
      <c r="E242" s="73">
        <v>1.5630141493909999E-3</v>
      </c>
    </row>
    <row r="243" spans="2:5">
      <c r="B243" s="94"/>
      <c r="C243" s="71" t="s">
        <v>195</v>
      </c>
      <c r="D243" s="72">
        <v>16</v>
      </c>
      <c r="E243" s="73">
        <v>6.5811122079600004E-4</v>
      </c>
    </row>
    <row r="244" spans="2:5">
      <c r="B244" s="94"/>
      <c r="C244" s="71" t="s">
        <v>196</v>
      </c>
      <c r="D244" s="72">
        <v>25</v>
      </c>
      <c r="E244" s="73">
        <v>1.0282987824939999E-3</v>
      </c>
    </row>
    <row r="245" spans="2:5">
      <c r="B245" s="94"/>
      <c r="C245" s="71" t="s">
        <v>197</v>
      </c>
      <c r="D245" s="72">
        <v>73</v>
      </c>
      <c r="E245" s="73">
        <v>3.0026324448830001E-3</v>
      </c>
    </row>
    <row r="246" spans="2:5">
      <c r="B246" s="94"/>
      <c r="C246" s="71" t="s">
        <v>198</v>
      </c>
      <c r="D246" s="72">
        <v>55</v>
      </c>
      <c r="E246" s="73">
        <v>2.2622573214869999E-3</v>
      </c>
    </row>
    <row r="247" spans="2:5">
      <c r="B247" s="94"/>
      <c r="C247" s="71" t="s">
        <v>199</v>
      </c>
      <c r="D247" s="72">
        <v>63</v>
      </c>
      <c r="E247" s="73">
        <v>2.5913129318849999E-3</v>
      </c>
    </row>
    <row r="248" spans="2:5">
      <c r="B248" s="94"/>
      <c r="C248" s="71" t="s">
        <v>200</v>
      </c>
      <c r="D248" s="72">
        <v>355</v>
      </c>
      <c r="E248" s="73">
        <v>1.4601842711417999E-2</v>
      </c>
    </row>
    <row r="249" spans="2:5">
      <c r="B249" s="94"/>
      <c r="C249" s="71" t="s">
        <v>201</v>
      </c>
      <c r="D249" s="72">
        <v>515</v>
      </c>
      <c r="E249" s="73">
        <v>2.1182954919380999E-2</v>
      </c>
    </row>
    <row r="250" spans="2:5">
      <c r="B250" s="94"/>
      <c r="C250" s="71" t="s">
        <v>202</v>
      </c>
      <c r="D250" s="72">
        <v>58</v>
      </c>
      <c r="E250" s="73">
        <v>2.3856531753869998E-3</v>
      </c>
    </row>
    <row r="251" spans="2:5">
      <c r="B251" s="94"/>
      <c r="C251" s="71" t="s">
        <v>203</v>
      </c>
      <c r="D251" s="72">
        <v>133</v>
      </c>
      <c r="E251" s="73">
        <v>5.4705495228689997E-3</v>
      </c>
    </row>
    <row r="252" spans="2:5">
      <c r="B252" s="94"/>
      <c r="C252" s="71" t="s">
        <v>204</v>
      </c>
      <c r="D252" s="72">
        <v>246</v>
      </c>
      <c r="E252" s="73">
        <v>1.0118460019743E-2</v>
      </c>
    </row>
    <row r="253" spans="2:5">
      <c r="B253" s="94"/>
      <c r="C253" s="71" t="s">
        <v>205</v>
      </c>
      <c r="D253" s="72">
        <v>1554</v>
      </c>
      <c r="E253" s="73">
        <v>6.3919052319842004E-2</v>
      </c>
    </row>
    <row r="254" spans="2:5">
      <c r="B254" s="94"/>
      <c r="C254" s="71" t="s">
        <v>206</v>
      </c>
      <c r="D254" s="72">
        <v>97</v>
      </c>
      <c r="E254" s="73">
        <v>3.9897992760780003E-3</v>
      </c>
    </row>
    <row r="255" spans="2:5">
      <c r="B255" s="94"/>
      <c r="C255" s="71" t="s">
        <v>207</v>
      </c>
      <c r="D255" s="72">
        <v>475</v>
      </c>
      <c r="E255" s="73">
        <v>1.9537676867391E-2</v>
      </c>
    </row>
    <row r="256" spans="2:5">
      <c r="B256" s="94"/>
      <c r="C256" s="71" t="s">
        <v>208</v>
      </c>
      <c r="D256" s="72">
        <v>1599</v>
      </c>
      <c r="E256" s="73">
        <v>6.5769990128331998E-2</v>
      </c>
    </row>
    <row r="257" spans="2:5">
      <c r="B257" s="94"/>
      <c r="C257" s="71" t="s">
        <v>209</v>
      </c>
      <c r="D257" s="72">
        <v>23</v>
      </c>
      <c r="E257" s="73">
        <v>9.4603487989499996E-4</v>
      </c>
    </row>
    <row r="258" spans="2:5">
      <c r="B258" s="94"/>
      <c r="C258" s="71" t="s">
        <v>210</v>
      </c>
      <c r="D258" s="72">
        <v>23</v>
      </c>
      <c r="E258" s="73">
        <v>9.4603487989499996E-4</v>
      </c>
    </row>
    <row r="259" spans="2:5">
      <c r="B259" s="94"/>
      <c r="C259" s="71" t="s">
        <v>211</v>
      </c>
      <c r="D259" s="72">
        <v>22</v>
      </c>
      <c r="E259" s="73">
        <v>9.0490292859500001E-4</v>
      </c>
    </row>
    <row r="260" spans="2:5">
      <c r="B260" s="94"/>
      <c r="C260" s="71" t="s">
        <v>212</v>
      </c>
      <c r="D260" s="72">
        <v>7</v>
      </c>
      <c r="E260" s="73">
        <v>2.8792365909800001E-4</v>
      </c>
    </row>
    <row r="261" spans="2:5">
      <c r="B261" s="94"/>
      <c r="C261" s="71" t="s">
        <v>213</v>
      </c>
      <c r="D261" s="72">
        <v>123</v>
      </c>
      <c r="E261" s="73">
        <v>5.0592300098720004E-3</v>
      </c>
    </row>
    <row r="262" spans="2:5">
      <c r="B262" s="94"/>
      <c r="C262" s="71" t="s">
        <v>214</v>
      </c>
      <c r="D262" s="72">
        <v>372</v>
      </c>
      <c r="E262" s="73">
        <v>1.5301085883514001E-2</v>
      </c>
    </row>
    <row r="263" spans="2:5">
      <c r="B263" s="94"/>
      <c r="C263" s="71" t="s">
        <v>215</v>
      </c>
      <c r="D263" s="72">
        <v>4</v>
      </c>
      <c r="E263" s="73">
        <v>1.6452780519900001E-4</v>
      </c>
    </row>
    <row r="264" spans="2:5">
      <c r="B264" s="94"/>
      <c r="C264" s="71" t="s">
        <v>216</v>
      </c>
      <c r="D264" s="72">
        <v>12</v>
      </c>
      <c r="E264" s="73">
        <v>4.9358341559699998E-4</v>
      </c>
    </row>
    <row r="265" spans="2:5">
      <c r="B265" s="94"/>
      <c r="C265" s="71" t="s">
        <v>217</v>
      </c>
      <c r="D265" s="72">
        <v>4</v>
      </c>
      <c r="E265" s="73">
        <v>1.6452780519900001E-4</v>
      </c>
    </row>
    <row r="266" spans="2:5">
      <c r="B266" s="95"/>
      <c r="C266" s="36" t="s">
        <v>29</v>
      </c>
      <c r="D266" s="35">
        <v>5892</v>
      </c>
      <c r="E266" s="34">
        <v>0.24234945705824301</v>
      </c>
    </row>
    <row r="267" spans="2:5">
      <c r="B267" s="93" t="s">
        <v>68</v>
      </c>
      <c r="C267" s="71" t="s">
        <v>197</v>
      </c>
      <c r="D267" s="72">
        <v>2</v>
      </c>
      <c r="E267" s="73">
        <v>8.2263902599999999E-5</v>
      </c>
    </row>
    <row r="268" spans="2:5">
      <c r="B268" s="94"/>
      <c r="C268" s="71" t="s">
        <v>198</v>
      </c>
      <c r="D268" s="72">
        <v>1</v>
      </c>
      <c r="E268" s="73">
        <v>4.1131951299999999E-5</v>
      </c>
    </row>
    <row r="269" spans="2:5">
      <c r="B269" s="94"/>
      <c r="C269" s="71" t="s">
        <v>200</v>
      </c>
      <c r="D269" s="72">
        <v>13</v>
      </c>
      <c r="E269" s="73">
        <v>5.3471536689700004E-4</v>
      </c>
    </row>
    <row r="270" spans="2:5">
      <c r="B270" s="94"/>
      <c r="C270" s="71" t="s">
        <v>201</v>
      </c>
      <c r="D270" s="72">
        <v>13</v>
      </c>
      <c r="E270" s="73">
        <v>5.3471536689700004E-4</v>
      </c>
    </row>
    <row r="271" spans="2:5">
      <c r="B271" s="94"/>
      <c r="C271" s="71" t="s">
        <v>202</v>
      </c>
      <c r="D271" s="72">
        <v>1</v>
      </c>
      <c r="E271" s="73">
        <v>4.1131951299999999E-5</v>
      </c>
    </row>
    <row r="272" spans="2:5">
      <c r="B272" s="94"/>
      <c r="C272" s="71" t="s">
        <v>203</v>
      </c>
      <c r="D272" s="72">
        <v>6</v>
      </c>
      <c r="E272" s="73">
        <v>2.4679170779900002E-4</v>
      </c>
    </row>
    <row r="273" spans="2:5">
      <c r="B273" s="94"/>
      <c r="C273" s="71" t="s">
        <v>204</v>
      </c>
      <c r="D273" s="72">
        <v>2</v>
      </c>
      <c r="E273" s="73">
        <v>8.2263902599999999E-5</v>
      </c>
    </row>
    <row r="274" spans="2:5">
      <c r="B274" s="94"/>
      <c r="C274" s="71" t="s">
        <v>205</v>
      </c>
      <c r="D274" s="72">
        <v>32</v>
      </c>
      <c r="E274" s="73">
        <v>1.3162224415929999E-3</v>
      </c>
    </row>
    <row r="275" spans="2:5">
      <c r="B275" s="94"/>
      <c r="C275" s="71" t="s">
        <v>207</v>
      </c>
      <c r="D275" s="72">
        <v>13</v>
      </c>
      <c r="E275" s="73">
        <v>5.3471536689700004E-4</v>
      </c>
    </row>
    <row r="276" spans="2:5">
      <c r="B276" s="94"/>
      <c r="C276" s="71" t="s">
        <v>208</v>
      </c>
      <c r="D276" s="72">
        <v>38</v>
      </c>
      <c r="E276" s="73">
        <v>1.5630141493909999E-3</v>
      </c>
    </row>
    <row r="277" spans="2:5">
      <c r="B277" s="94"/>
      <c r="C277" s="71" t="s">
        <v>210</v>
      </c>
      <c r="D277" s="72">
        <v>2</v>
      </c>
      <c r="E277" s="73">
        <v>8.2263902599999999E-5</v>
      </c>
    </row>
    <row r="278" spans="2:5">
      <c r="B278" s="94"/>
      <c r="C278" s="71" t="s">
        <v>213</v>
      </c>
      <c r="D278" s="72">
        <v>3</v>
      </c>
      <c r="E278" s="73">
        <v>1.23395853899E-4</v>
      </c>
    </row>
    <row r="279" spans="2:5">
      <c r="B279" s="94"/>
      <c r="C279" s="71" t="s">
        <v>214</v>
      </c>
      <c r="D279" s="72">
        <v>6</v>
      </c>
      <c r="E279" s="73">
        <v>2.4679170779900002E-4</v>
      </c>
    </row>
    <row r="280" spans="2:5">
      <c r="B280" s="95"/>
      <c r="C280" s="36" t="s">
        <v>29</v>
      </c>
      <c r="D280" s="35">
        <v>132</v>
      </c>
      <c r="E280" s="34">
        <v>5.4294175715700003E-3</v>
      </c>
    </row>
    <row r="281" spans="2:5">
      <c r="B281" s="93" t="s">
        <v>66</v>
      </c>
      <c r="C281" s="71" t="s">
        <v>197</v>
      </c>
      <c r="D281" s="72">
        <v>1</v>
      </c>
      <c r="E281" s="73">
        <v>4.1131951299999999E-5</v>
      </c>
    </row>
    <row r="282" spans="2:5">
      <c r="B282" s="94"/>
      <c r="C282" s="71" t="s">
        <v>198</v>
      </c>
      <c r="D282" s="72">
        <v>1</v>
      </c>
      <c r="E282" s="73">
        <v>4.1131951299999999E-5</v>
      </c>
    </row>
    <row r="283" spans="2:5">
      <c r="B283" s="94"/>
      <c r="C283" s="71" t="s">
        <v>200</v>
      </c>
      <c r="D283" s="72">
        <v>13</v>
      </c>
      <c r="E283" s="73">
        <v>5.3471536689700004E-4</v>
      </c>
    </row>
    <row r="284" spans="2:5">
      <c r="B284" s="94"/>
      <c r="C284" s="71" t="s">
        <v>201</v>
      </c>
      <c r="D284" s="72">
        <v>16</v>
      </c>
      <c r="E284" s="73">
        <v>6.5811122079600004E-4</v>
      </c>
    </row>
    <row r="285" spans="2:5">
      <c r="B285" s="94"/>
      <c r="C285" s="71" t="s">
        <v>202</v>
      </c>
      <c r="D285" s="72">
        <v>3</v>
      </c>
      <c r="E285" s="73">
        <v>1.23395853899E-4</v>
      </c>
    </row>
    <row r="286" spans="2:5">
      <c r="B286" s="94"/>
      <c r="C286" s="71" t="s">
        <v>203</v>
      </c>
      <c r="D286" s="72">
        <v>4</v>
      </c>
      <c r="E286" s="73">
        <v>1.6452780519900001E-4</v>
      </c>
    </row>
    <row r="287" spans="2:5">
      <c r="B287" s="94"/>
      <c r="C287" s="71" t="s">
        <v>204</v>
      </c>
      <c r="D287" s="72">
        <v>6</v>
      </c>
      <c r="E287" s="73">
        <v>2.4679170779900002E-4</v>
      </c>
    </row>
    <row r="288" spans="2:5">
      <c r="B288" s="94"/>
      <c r="C288" s="71" t="s">
        <v>205</v>
      </c>
      <c r="D288" s="72">
        <v>42</v>
      </c>
      <c r="E288" s="73">
        <v>1.7275419545899999E-3</v>
      </c>
    </row>
    <row r="289" spans="2:5">
      <c r="B289" s="94"/>
      <c r="C289" s="71" t="s">
        <v>206</v>
      </c>
      <c r="D289" s="72">
        <v>5</v>
      </c>
      <c r="E289" s="73">
        <v>2.0565975649899999E-4</v>
      </c>
    </row>
    <row r="290" spans="2:5">
      <c r="B290" s="94"/>
      <c r="C290" s="71" t="s">
        <v>207</v>
      </c>
      <c r="D290" s="72">
        <v>11</v>
      </c>
      <c r="E290" s="73">
        <v>4.5245146429700003E-4</v>
      </c>
    </row>
    <row r="291" spans="2:5">
      <c r="B291" s="94"/>
      <c r="C291" s="71" t="s">
        <v>208</v>
      </c>
      <c r="D291" s="72">
        <v>50</v>
      </c>
      <c r="E291" s="73">
        <v>2.0565975649879998E-3</v>
      </c>
    </row>
    <row r="292" spans="2:5">
      <c r="B292" s="94"/>
      <c r="C292" s="71" t="s">
        <v>209</v>
      </c>
      <c r="D292" s="72">
        <v>1</v>
      </c>
      <c r="E292" s="73">
        <v>4.1131951299999999E-5</v>
      </c>
    </row>
    <row r="293" spans="2:5">
      <c r="B293" s="94"/>
      <c r="C293" s="71" t="s">
        <v>210</v>
      </c>
      <c r="D293" s="72">
        <v>3</v>
      </c>
      <c r="E293" s="73">
        <v>1.23395853899E-4</v>
      </c>
    </row>
    <row r="294" spans="2:5">
      <c r="B294" s="94"/>
      <c r="C294" s="71" t="s">
        <v>211</v>
      </c>
      <c r="D294" s="72">
        <v>2</v>
      </c>
      <c r="E294" s="73">
        <v>8.2263902599999999E-5</v>
      </c>
    </row>
    <row r="295" spans="2:5">
      <c r="B295" s="94"/>
      <c r="C295" s="71" t="s">
        <v>212</v>
      </c>
      <c r="D295" s="72">
        <v>1</v>
      </c>
      <c r="E295" s="73">
        <v>4.1131951299999999E-5</v>
      </c>
    </row>
    <row r="296" spans="2:5">
      <c r="B296" s="94"/>
      <c r="C296" s="71" t="s">
        <v>213</v>
      </c>
      <c r="D296" s="72">
        <v>8</v>
      </c>
      <c r="E296" s="73">
        <v>3.2905561039800002E-4</v>
      </c>
    </row>
    <row r="297" spans="2:5">
      <c r="B297" s="94"/>
      <c r="C297" s="71" t="s">
        <v>214</v>
      </c>
      <c r="D297" s="72">
        <v>10</v>
      </c>
      <c r="E297" s="73">
        <v>4.1131951299799998E-4</v>
      </c>
    </row>
    <row r="298" spans="2:5">
      <c r="B298" s="95"/>
      <c r="C298" s="36" t="s">
        <v>29</v>
      </c>
      <c r="D298" s="35">
        <v>177</v>
      </c>
      <c r="E298" s="34">
        <v>7.2803553800590004E-3</v>
      </c>
    </row>
    <row r="299" spans="2:5">
      <c r="B299" s="93" t="s">
        <v>54</v>
      </c>
      <c r="C299" s="71" t="s">
        <v>194</v>
      </c>
      <c r="D299" s="72">
        <v>2</v>
      </c>
      <c r="E299" s="73">
        <v>8.2263902599999999E-5</v>
      </c>
    </row>
    <row r="300" spans="2:5">
      <c r="B300" s="94"/>
      <c r="C300" s="71" t="s">
        <v>195</v>
      </c>
      <c r="D300" s="72">
        <v>2</v>
      </c>
      <c r="E300" s="73">
        <v>8.2263902599999999E-5</v>
      </c>
    </row>
    <row r="301" spans="2:5">
      <c r="B301" s="94"/>
      <c r="C301" s="71" t="s">
        <v>196</v>
      </c>
      <c r="D301" s="72">
        <v>2</v>
      </c>
      <c r="E301" s="73">
        <v>8.2263902599999999E-5</v>
      </c>
    </row>
    <row r="302" spans="2:5">
      <c r="B302" s="94"/>
      <c r="C302" s="71" t="s">
        <v>197</v>
      </c>
      <c r="D302" s="72">
        <v>8</v>
      </c>
      <c r="E302" s="73">
        <v>3.2905561039800002E-4</v>
      </c>
    </row>
    <row r="303" spans="2:5">
      <c r="B303" s="94"/>
      <c r="C303" s="71" t="s">
        <v>198</v>
      </c>
      <c r="D303" s="72">
        <v>7</v>
      </c>
      <c r="E303" s="73">
        <v>2.8792365909800001E-4</v>
      </c>
    </row>
    <row r="304" spans="2:5">
      <c r="B304" s="94"/>
      <c r="C304" s="71" t="s">
        <v>199</v>
      </c>
      <c r="D304" s="72">
        <v>13</v>
      </c>
      <c r="E304" s="73">
        <v>5.3471536689700004E-4</v>
      </c>
    </row>
    <row r="305" spans="2:5">
      <c r="B305" s="94"/>
      <c r="C305" s="71" t="s">
        <v>200</v>
      </c>
      <c r="D305" s="72">
        <v>83</v>
      </c>
      <c r="E305" s="73">
        <v>3.4139519578809999E-3</v>
      </c>
    </row>
    <row r="306" spans="2:5">
      <c r="B306" s="94"/>
      <c r="C306" s="71" t="s">
        <v>201</v>
      </c>
      <c r="D306" s="72">
        <v>46</v>
      </c>
      <c r="E306" s="73">
        <v>1.8920697597890001E-3</v>
      </c>
    </row>
    <row r="307" spans="2:5">
      <c r="B307" s="94"/>
      <c r="C307" s="71" t="s">
        <v>202</v>
      </c>
      <c r="D307" s="72">
        <v>19</v>
      </c>
      <c r="E307" s="73">
        <v>7.8150707469600001E-4</v>
      </c>
    </row>
    <row r="308" spans="2:5">
      <c r="B308" s="94"/>
      <c r="C308" s="71" t="s">
        <v>203</v>
      </c>
      <c r="D308" s="72">
        <v>40</v>
      </c>
      <c r="E308" s="73">
        <v>1.6452780519910001E-3</v>
      </c>
    </row>
    <row r="309" spans="2:5">
      <c r="B309" s="94"/>
      <c r="C309" s="71" t="s">
        <v>204</v>
      </c>
      <c r="D309" s="72">
        <v>43</v>
      </c>
      <c r="E309" s="73">
        <v>1.7686739058900001E-3</v>
      </c>
    </row>
    <row r="310" spans="2:5">
      <c r="B310" s="94"/>
      <c r="C310" s="71" t="s">
        <v>205</v>
      </c>
      <c r="D310" s="72">
        <v>210</v>
      </c>
      <c r="E310" s="73">
        <v>8.6377097729519996E-3</v>
      </c>
    </row>
    <row r="311" spans="2:5">
      <c r="B311" s="94"/>
      <c r="C311" s="71" t="s">
        <v>206</v>
      </c>
      <c r="D311" s="72">
        <v>28</v>
      </c>
      <c r="E311" s="73">
        <v>1.151694636394E-3</v>
      </c>
    </row>
    <row r="312" spans="2:5">
      <c r="B312" s="94"/>
      <c r="C312" s="71" t="s">
        <v>207</v>
      </c>
      <c r="D312" s="72">
        <v>73</v>
      </c>
      <c r="E312" s="73">
        <v>3.0026324448830001E-3</v>
      </c>
    </row>
    <row r="313" spans="2:5">
      <c r="B313" s="94"/>
      <c r="C313" s="71" t="s">
        <v>208</v>
      </c>
      <c r="D313" s="72">
        <v>292</v>
      </c>
      <c r="E313" s="73">
        <v>1.2010529779533E-2</v>
      </c>
    </row>
    <row r="314" spans="2:5">
      <c r="B314" s="94"/>
      <c r="C314" s="71" t="s">
        <v>209</v>
      </c>
      <c r="D314" s="72">
        <v>7</v>
      </c>
      <c r="E314" s="73">
        <v>2.8792365909800001E-4</v>
      </c>
    </row>
    <row r="315" spans="2:5">
      <c r="B315" s="94"/>
      <c r="C315" s="71" t="s">
        <v>210</v>
      </c>
      <c r="D315" s="72">
        <v>13</v>
      </c>
      <c r="E315" s="73">
        <v>5.3471536689700004E-4</v>
      </c>
    </row>
    <row r="316" spans="2:5">
      <c r="B316" s="94"/>
      <c r="C316" s="71" t="s">
        <v>211</v>
      </c>
      <c r="D316" s="72">
        <v>2</v>
      </c>
      <c r="E316" s="73">
        <v>8.2263902599999999E-5</v>
      </c>
    </row>
    <row r="317" spans="2:5">
      <c r="B317" s="94"/>
      <c r="C317" s="71" t="s">
        <v>213</v>
      </c>
      <c r="D317" s="72">
        <v>32</v>
      </c>
      <c r="E317" s="73">
        <v>1.3162224415929999E-3</v>
      </c>
    </row>
    <row r="318" spans="2:5">
      <c r="B318" s="94"/>
      <c r="C318" s="71" t="s">
        <v>214</v>
      </c>
      <c r="D318" s="72">
        <v>114</v>
      </c>
      <c r="E318" s="73">
        <v>4.6890424481739997E-3</v>
      </c>
    </row>
    <row r="319" spans="2:5">
      <c r="B319" s="94"/>
      <c r="C319" s="71" t="s">
        <v>215</v>
      </c>
      <c r="D319" s="72">
        <v>1</v>
      </c>
      <c r="E319" s="73">
        <v>4.1131951299999999E-5</v>
      </c>
    </row>
    <row r="320" spans="2:5">
      <c r="B320" s="94"/>
      <c r="C320" s="71" t="s">
        <v>216</v>
      </c>
      <c r="D320" s="72">
        <v>7</v>
      </c>
      <c r="E320" s="73">
        <v>2.8792365909800001E-4</v>
      </c>
    </row>
    <row r="321" spans="2:5">
      <c r="B321" s="95"/>
      <c r="C321" s="36" t="s">
        <v>29</v>
      </c>
      <c r="D321" s="35">
        <v>1044</v>
      </c>
      <c r="E321" s="34">
        <v>4.2941757156959998E-2</v>
      </c>
    </row>
    <row r="322" spans="2:5">
      <c r="B322" s="93" t="s">
        <v>81</v>
      </c>
      <c r="C322" s="71" t="s">
        <v>194</v>
      </c>
      <c r="D322" s="72">
        <v>1</v>
      </c>
      <c r="E322" s="73">
        <v>4.1131951299999999E-5</v>
      </c>
    </row>
    <row r="323" spans="2:5">
      <c r="B323" s="94"/>
      <c r="C323" s="71" t="s">
        <v>199</v>
      </c>
      <c r="D323" s="72">
        <v>2</v>
      </c>
      <c r="E323" s="73">
        <v>8.2263902599999999E-5</v>
      </c>
    </row>
    <row r="324" spans="2:5">
      <c r="B324" s="94"/>
      <c r="C324" s="71" t="s">
        <v>200</v>
      </c>
      <c r="D324" s="72">
        <v>1</v>
      </c>
      <c r="E324" s="73">
        <v>4.1131951299999999E-5</v>
      </c>
    </row>
    <row r="325" spans="2:5">
      <c r="B325" s="94"/>
      <c r="C325" s="71" t="s">
        <v>201</v>
      </c>
      <c r="D325" s="72">
        <v>4</v>
      </c>
      <c r="E325" s="73">
        <v>1.6452780519900001E-4</v>
      </c>
    </row>
    <row r="326" spans="2:5">
      <c r="B326" s="94"/>
      <c r="C326" s="71" t="s">
        <v>203</v>
      </c>
      <c r="D326" s="72">
        <v>1</v>
      </c>
      <c r="E326" s="73">
        <v>4.1131951299999999E-5</v>
      </c>
    </row>
    <row r="327" spans="2:5">
      <c r="B327" s="94"/>
      <c r="C327" s="71" t="s">
        <v>204</v>
      </c>
      <c r="D327" s="72">
        <v>1</v>
      </c>
      <c r="E327" s="73">
        <v>4.1131951299999999E-5</v>
      </c>
    </row>
    <row r="328" spans="2:5">
      <c r="B328" s="94"/>
      <c r="C328" s="71" t="s">
        <v>205</v>
      </c>
      <c r="D328" s="72">
        <v>8</v>
      </c>
      <c r="E328" s="73">
        <v>3.2905561039800002E-4</v>
      </c>
    </row>
    <row r="329" spans="2:5">
      <c r="B329" s="94"/>
      <c r="C329" s="71" t="s">
        <v>206</v>
      </c>
      <c r="D329" s="72">
        <v>2</v>
      </c>
      <c r="E329" s="73">
        <v>8.2263902599999999E-5</v>
      </c>
    </row>
    <row r="330" spans="2:5">
      <c r="B330" s="94"/>
      <c r="C330" s="71" t="s">
        <v>207</v>
      </c>
      <c r="D330" s="72">
        <v>3</v>
      </c>
      <c r="E330" s="73">
        <v>1.23395853899E-4</v>
      </c>
    </row>
    <row r="331" spans="2:5">
      <c r="B331" s="94"/>
      <c r="C331" s="71" t="s">
        <v>208</v>
      </c>
      <c r="D331" s="72">
        <v>6</v>
      </c>
      <c r="E331" s="73">
        <v>2.4679170779900002E-4</v>
      </c>
    </row>
    <row r="332" spans="2:5">
      <c r="B332" s="94"/>
      <c r="C332" s="71" t="s">
        <v>213</v>
      </c>
      <c r="D332" s="72">
        <v>2</v>
      </c>
      <c r="E332" s="73">
        <v>8.2263902599999999E-5</v>
      </c>
    </row>
    <row r="333" spans="2:5">
      <c r="B333" s="94"/>
      <c r="C333" s="71" t="s">
        <v>214</v>
      </c>
      <c r="D333" s="72">
        <v>2</v>
      </c>
      <c r="E333" s="73">
        <v>8.2263902599999999E-5</v>
      </c>
    </row>
    <row r="334" spans="2:5">
      <c r="B334" s="95"/>
      <c r="C334" s="36" t="s">
        <v>29</v>
      </c>
      <c r="D334" s="35">
        <v>33</v>
      </c>
      <c r="E334" s="34">
        <v>1.357354392892E-3</v>
      </c>
    </row>
    <row r="335" spans="2:5">
      <c r="B335" s="93" t="s">
        <v>59</v>
      </c>
      <c r="C335" s="71" t="s">
        <v>194</v>
      </c>
      <c r="D335" s="72">
        <v>4</v>
      </c>
      <c r="E335" s="73">
        <v>1.6452780519900001E-4</v>
      </c>
    </row>
    <row r="336" spans="2:5">
      <c r="B336" s="94"/>
      <c r="C336" s="71" t="s">
        <v>196</v>
      </c>
      <c r="D336" s="72">
        <v>4</v>
      </c>
      <c r="E336" s="73">
        <v>1.6452780519900001E-4</v>
      </c>
    </row>
    <row r="337" spans="2:5">
      <c r="B337" s="94"/>
      <c r="C337" s="71" t="s">
        <v>197</v>
      </c>
      <c r="D337" s="72">
        <v>9</v>
      </c>
      <c r="E337" s="73">
        <v>3.7018756169799997E-4</v>
      </c>
    </row>
    <row r="338" spans="2:5">
      <c r="B338" s="94"/>
      <c r="C338" s="71" t="s">
        <v>198</v>
      </c>
      <c r="D338" s="72">
        <v>8</v>
      </c>
      <c r="E338" s="73">
        <v>3.2905561039800002E-4</v>
      </c>
    </row>
    <row r="339" spans="2:5">
      <c r="B339" s="94"/>
      <c r="C339" s="71" t="s">
        <v>199</v>
      </c>
      <c r="D339" s="72">
        <v>4</v>
      </c>
      <c r="E339" s="73">
        <v>1.6452780519900001E-4</v>
      </c>
    </row>
    <row r="340" spans="2:5">
      <c r="B340" s="94"/>
      <c r="C340" s="71" t="s">
        <v>200</v>
      </c>
      <c r="D340" s="72">
        <v>22</v>
      </c>
      <c r="E340" s="73">
        <v>9.0490292859500001E-4</v>
      </c>
    </row>
    <row r="341" spans="2:5">
      <c r="B341" s="94"/>
      <c r="C341" s="71" t="s">
        <v>201</v>
      </c>
      <c r="D341" s="72">
        <v>55</v>
      </c>
      <c r="E341" s="73">
        <v>2.2622573214869999E-3</v>
      </c>
    </row>
    <row r="342" spans="2:5">
      <c r="B342" s="94"/>
      <c r="C342" s="71" t="s">
        <v>202</v>
      </c>
      <c r="D342" s="72">
        <v>7</v>
      </c>
      <c r="E342" s="73">
        <v>2.8792365909800001E-4</v>
      </c>
    </row>
    <row r="343" spans="2:5">
      <c r="B343" s="94"/>
      <c r="C343" s="71" t="s">
        <v>203</v>
      </c>
      <c r="D343" s="72">
        <v>13</v>
      </c>
      <c r="E343" s="73">
        <v>5.3471536689700004E-4</v>
      </c>
    </row>
    <row r="344" spans="2:5">
      <c r="B344" s="94"/>
      <c r="C344" s="71" t="s">
        <v>204</v>
      </c>
      <c r="D344" s="72">
        <v>24</v>
      </c>
      <c r="E344" s="73">
        <v>9.8716683119399995E-4</v>
      </c>
    </row>
    <row r="345" spans="2:5">
      <c r="B345" s="94"/>
      <c r="C345" s="71" t="s">
        <v>205</v>
      </c>
      <c r="D345" s="72">
        <v>136</v>
      </c>
      <c r="E345" s="73">
        <v>5.593945376769E-3</v>
      </c>
    </row>
    <row r="346" spans="2:5">
      <c r="B346" s="94"/>
      <c r="C346" s="71" t="s">
        <v>206</v>
      </c>
      <c r="D346" s="72">
        <v>5</v>
      </c>
      <c r="E346" s="73">
        <v>2.0565975649899999E-4</v>
      </c>
    </row>
    <row r="347" spans="2:5">
      <c r="B347" s="94"/>
      <c r="C347" s="71" t="s">
        <v>207</v>
      </c>
      <c r="D347" s="72">
        <v>44</v>
      </c>
      <c r="E347" s="73">
        <v>1.80980585719E-3</v>
      </c>
    </row>
    <row r="348" spans="2:5">
      <c r="B348" s="94"/>
      <c r="C348" s="71" t="s">
        <v>208</v>
      </c>
      <c r="D348" s="72">
        <v>150</v>
      </c>
      <c r="E348" s="73">
        <v>6.1697926949649999E-3</v>
      </c>
    </row>
    <row r="349" spans="2:5">
      <c r="B349" s="94"/>
      <c r="C349" s="71" t="s">
        <v>209</v>
      </c>
      <c r="D349" s="72">
        <v>2</v>
      </c>
      <c r="E349" s="73">
        <v>8.2263902599999999E-5</v>
      </c>
    </row>
    <row r="350" spans="2:5">
      <c r="B350" s="94"/>
      <c r="C350" s="71" t="s">
        <v>211</v>
      </c>
      <c r="D350" s="72">
        <v>2</v>
      </c>
      <c r="E350" s="73">
        <v>8.2263902599999999E-5</v>
      </c>
    </row>
    <row r="351" spans="2:5">
      <c r="B351" s="94"/>
      <c r="C351" s="71" t="s">
        <v>212</v>
      </c>
      <c r="D351" s="72">
        <v>1</v>
      </c>
      <c r="E351" s="73">
        <v>4.1131951299999999E-5</v>
      </c>
    </row>
    <row r="352" spans="2:5">
      <c r="B352" s="94"/>
      <c r="C352" s="71" t="s">
        <v>213</v>
      </c>
      <c r="D352" s="72">
        <v>13</v>
      </c>
      <c r="E352" s="73">
        <v>5.3471536689700004E-4</v>
      </c>
    </row>
    <row r="353" spans="2:5">
      <c r="B353" s="94"/>
      <c r="C353" s="71" t="s">
        <v>214</v>
      </c>
      <c r="D353" s="72">
        <v>22</v>
      </c>
      <c r="E353" s="73">
        <v>9.0490292859500001E-4</v>
      </c>
    </row>
    <row r="354" spans="2:5">
      <c r="B354" s="94"/>
      <c r="C354" s="71" t="s">
        <v>216</v>
      </c>
      <c r="D354" s="72">
        <v>2</v>
      </c>
      <c r="E354" s="73">
        <v>8.2263902599999999E-5</v>
      </c>
    </row>
    <row r="355" spans="2:5">
      <c r="B355" s="95"/>
      <c r="C355" s="36" t="s">
        <v>29</v>
      </c>
      <c r="D355" s="35">
        <v>527</v>
      </c>
      <c r="E355" s="34">
        <v>2.1676538334979002E-2</v>
      </c>
    </row>
    <row r="356" spans="2:5">
      <c r="B356" s="93" t="s">
        <v>69</v>
      </c>
      <c r="C356" s="71" t="s">
        <v>197</v>
      </c>
      <c r="D356" s="72">
        <v>2</v>
      </c>
      <c r="E356" s="73">
        <v>8.2263902599999999E-5</v>
      </c>
    </row>
    <row r="357" spans="2:5">
      <c r="B357" s="94"/>
      <c r="C357" s="71" t="s">
        <v>198</v>
      </c>
      <c r="D357" s="72">
        <v>3</v>
      </c>
      <c r="E357" s="73">
        <v>1.23395853899E-4</v>
      </c>
    </row>
    <row r="358" spans="2:5">
      <c r="B358" s="94"/>
      <c r="C358" s="71" t="s">
        <v>200</v>
      </c>
      <c r="D358" s="72">
        <v>8</v>
      </c>
      <c r="E358" s="73">
        <v>3.2905561039800002E-4</v>
      </c>
    </row>
    <row r="359" spans="2:5">
      <c r="B359" s="94"/>
      <c r="C359" s="71" t="s">
        <v>201</v>
      </c>
      <c r="D359" s="72">
        <v>16</v>
      </c>
      <c r="E359" s="73">
        <v>6.5811122079600004E-4</v>
      </c>
    </row>
    <row r="360" spans="2:5">
      <c r="B360" s="94"/>
      <c r="C360" s="71" t="s">
        <v>203</v>
      </c>
      <c r="D360" s="72">
        <v>1</v>
      </c>
      <c r="E360" s="73">
        <v>4.1131951299999999E-5</v>
      </c>
    </row>
    <row r="361" spans="2:5">
      <c r="B361" s="94"/>
      <c r="C361" s="71" t="s">
        <v>204</v>
      </c>
      <c r="D361" s="72">
        <v>2</v>
      </c>
      <c r="E361" s="73">
        <v>8.2263902599999999E-5</v>
      </c>
    </row>
    <row r="362" spans="2:5">
      <c r="B362" s="94"/>
      <c r="C362" s="71" t="s">
        <v>205</v>
      </c>
      <c r="D362" s="72">
        <v>28</v>
      </c>
      <c r="E362" s="73">
        <v>1.151694636394E-3</v>
      </c>
    </row>
    <row r="363" spans="2:5">
      <c r="B363" s="94"/>
      <c r="C363" s="71" t="s">
        <v>207</v>
      </c>
      <c r="D363" s="72">
        <v>7</v>
      </c>
      <c r="E363" s="73">
        <v>2.8792365909800001E-4</v>
      </c>
    </row>
    <row r="364" spans="2:5">
      <c r="B364" s="94"/>
      <c r="C364" s="71" t="s">
        <v>208</v>
      </c>
      <c r="D364" s="72">
        <v>50</v>
      </c>
      <c r="E364" s="73">
        <v>2.0565975649879998E-3</v>
      </c>
    </row>
    <row r="365" spans="2:5">
      <c r="B365" s="94"/>
      <c r="C365" s="71" t="s">
        <v>209</v>
      </c>
      <c r="D365" s="72">
        <v>1</v>
      </c>
      <c r="E365" s="73">
        <v>4.1131951299999999E-5</v>
      </c>
    </row>
    <row r="366" spans="2:5">
      <c r="B366" s="94"/>
      <c r="C366" s="71" t="s">
        <v>213</v>
      </c>
      <c r="D366" s="72">
        <v>2</v>
      </c>
      <c r="E366" s="73">
        <v>8.2263902599999999E-5</v>
      </c>
    </row>
    <row r="367" spans="2:5">
      <c r="B367" s="94"/>
      <c r="C367" s="71" t="s">
        <v>214</v>
      </c>
      <c r="D367" s="72">
        <v>6</v>
      </c>
      <c r="E367" s="73">
        <v>2.4679170779900002E-4</v>
      </c>
    </row>
    <row r="368" spans="2:5">
      <c r="B368" s="95"/>
      <c r="C368" s="36" t="s">
        <v>29</v>
      </c>
      <c r="D368" s="35">
        <v>126</v>
      </c>
      <c r="E368" s="34">
        <v>5.1826258637709998E-3</v>
      </c>
    </row>
    <row r="369" spans="2:5">
      <c r="B369" s="93" t="s">
        <v>50</v>
      </c>
      <c r="C369" s="71" t="s">
        <v>194</v>
      </c>
      <c r="D369" s="72">
        <v>43</v>
      </c>
      <c r="E369" s="73">
        <v>1.7686739058900001E-3</v>
      </c>
    </row>
    <row r="370" spans="2:5">
      <c r="B370" s="94"/>
      <c r="C370" s="71" t="s">
        <v>195</v>
      </c>
      <c r="D370" s="72">
        <v>21</v>
      </c>
      <c r="E370" s="73">
        <v>8.6377097729499995E-4</v>
      </c>
    </row>
    <row r="371" spans="2:5">
      <c r="B371" s="94"/>
      <c r="C371" s="71" t="s">
        <v>196</v>
      </c>
      <c r="D371" s="72">
        <v>28</v>
      </c>
      <c r="E371" s="73">
        <v>1.151694636394E-3</v>
      </c>
    </row>
    <row r="372" spans="2:5">
      <c r="B372" s="94"/>
      <c r="C372" s="71" t="s">
        <v>197</v>
      </c>
      <c r="D372" s="72">
        <v>81</v>
      </c>
      <c r="E372" s="73">
        <v>3.331688055281E-3</v>
      </c>
    </row>
    <row r="373" spans="2:5">
      <c r="B373" s="94"/>
      <c r="C373" s="71" t="s">
        <v>198</v>
      </c>
      <c r="D373" s="72">
        <v>70</v>
      </c>
      <c r="E373" s="73">
        <v>2.8792365909839999E-3</v>
      </c>
    </row>
    <row r="374" spans="2:5">
      <c r="B374" s="94"/>
      <c r="C374" s="71" t="s">
        <v>199</v>
      </c>
      <c r="D374" s="72">
        <v>115</v>
      </c>
      <c r="E374" s="73">
        <v>4.7301743994740001E-3</v>
      </c>
    </row>
    <row r="375" spans="2:5">
      <c r="B375" s="94"/>
      <c r="C375" s="71" t="s">
        <v>200</v>
      </c>
      <c r="D375" s="72">
        <v>550</v>
      </c>
      <c r="E375" s="73">
        <v>2.2622573214873001E-2</v>
      </c>
    </row>
    <row r="376" spans="2:5">
      <c r="B376" s="94"/>
      <c r="C376" s="71" t="s">
        <v>201</v>
      </c>
      <c r="D376" s="72">
        <v>439</v>
      </c>
      <c r="E376" s="73">
        <v>1.8056926620599E-2</v>
      </c>
    </row>
    <row r="377" spans="2:5">
      <c r="B377" s="94"/>
      <c r="C377" s="71" t="s">
        <v>202</v>
      </c>
      <c r="D377" s="72">
        <v>72</v>
      </c>
      <c r="E377" s="73">
        <v>2.9615004935830001E-3</v>
      </c>
    </row>
    <row r="378" spans="2:5">
      <c r="B378" s="94"/>
      <c r="C378" s="71" t="s">
        <v>203</v>
      </c>
      <c r="D378" s="72">
        <v>167</v>
      </c>
      <c r="E378" s="73">
        <v>6.8690358670620002E-3</v>
      </c>
    </row>
    <row r="379" spans="2:5">
      <c r="B379" s="94"/>
      <c r="C379" s="71" t="s">
        <v>204</v>
      </c>
      <c r="D379" s="72">
        <v>399</v>
      </c>
      <c r="E379" s="73">
        <v>1.6411648568607998E-2</v>
      </c>
    </row>
    <row r="380" spans="2:5">
      <c r="B380" s="94"/>
      <c r="C380" s="71" t="s">
        <v>205</v>
      </c>
      <c r="D380" s="72">
        <v>1252</v>
      </c>
      <c r="E380" s="73">
        <v>5.1497203027311998E-2</v>
      </c>
    </row>
    <row r="381" spans="2:5">
      <c r="B381" s="94"/>
      <c r="C381" s="71" t="s">
        <v>206</v>
      </c>
      <c r="D381" s="72">
        <v>127</v>
      </c>
      <c r="E381" s="73">
        <v>5.2237578150710002E-3</v>
      </c>
    </row>
    <row r="382" spans="2:5">
      <c r="B382" s="94"/>
      <c r="C382" s="71" t="s">
        <v>207</v>
      </c>
      <c r="D382" s="72">
        <v>435</v>
      </c>
      <c r="E382" s="73">
        <v>1.7892398815400001E-2</v>
      </c>
    </row>
    <row r="383" spans="2:5">
      <c r="B383" s="94"/>
      <c r="C383" s="71" t="s">
        <v>208</v>
      </c>
      <c r="D383" s="72">
        <v>1486</v>
      </c>
      <c r="E383" s="73">
        <v>6.1122079631458E-2</v>
      </c>
    </row>
    <row r="384" spans="2:5">
      <c r="B384" s="94"/>
      <c r="C384" s="71" t="s">
        <v>209</v>
      </c>
      <c r="D384" s="72">
        <v>71</v>
      </c>
      <c r="E384" s="73">
        <v>2.9203685422839998E-3</v>
      </c>
    </row>
    <row r="385" spans="2:5">
      <c r="B385" s="94"/>
      <c r="C385" s="71" t="s">
        <v>210</v>
      </c>
      <c r="D385" s="72">
        <v>65</v>
      </c>
      <c r="E385" s="73">
        <v>2.6735768344850002E-3</v>
      </c>
    </row>
    <row r="386" spans="2:5">
      <c r="B386" s="94"/>
      <c r="C386" s="71" t="s">
        <v>211</v>
      </c>
      <c r="D386" s="72">
        <v>28</v>
      </c>
      <c r="E386" s="73">
        <v>1.151694636394E-3</v>
      </c>
    </row>
    <row r="387" spans="2:5">
      <c r="B387" s="94"/>
      <c r="C387" s="71" t="s">
        <v>212</v>
      </c>
      <c r="D387" s="72">
        <v>14</v>
      </c>
      <c r="E387" s="73">
        <v>5.7584731819699999E-4</v>
      </c>
    </row>
    <row r="388" spans="2:5">
      <c r="B388" s="94"/>
      <c r="C388" s="71" t="s">
        <v>213</v>
      </c>
      <c r="D388" s="72">
        <v>77</v>
      </c>
      <c r="E388" s="73">
        <v>3.1671602500819998E-3</v>
      </c>
    </row>
    <row r="389" spans="2:5">
      <c r="B389" s="94"/>
      <c r="C389" s="71" t="s">
        <v>214</v>
      </c>
      <c r="D389" s="72">
        <v>377</v>
      </c>
      <c r="E389" s="73">
        <v>1.5506745640013E-2</v>
      </c>
    </row>
    <row r="390" spans="2:5">
      <c r="B390" s="94"/>
      <c r="C390" s="71" t="s">
        <v>215</v>
      </c>
      <c r="D390" s="72">
        <v>3</v>
      </c>
      <c r="E390" s="73">
        <v>1.23395853899E-4</v>
      </c>
    </row>
    <row r="391" spans="2:5">
      <c r="B391" s="94"/>
      <c r="C391" s="71" t="s">
        <v>216</v>
      </c>
      <c r="D391" s="72">
        <v>17</v>
      </c>
      <c r="E391" s="73">
        <v>6.9924317209599999E-4</v>
      </c>
    </row>
    <row r="392" spans="2:5">
      <c r="B392" s="94"/>
      <c r="C392" s="71" t="s">
        <v>217</v>
      </c>
      <c r="D392" s="72">
        <v>3</v>
      </c>
      <c r="E392" s="73">
        <v>1.23395853899E-4</v>
      </c>
    </row>
    <row r="393" spans="2:5">
      <c r="B393" s="94"/>
      <c r="C393" s="71" t="s">
        <v>218</v>
      </c>
      <c r="D393" s="72">
        <v>1</v>
      </c>
      <c r="E393" s="73">
        <v>4.1131951299999999E-5</v>
      </c>
    </row>
    <row r="394" spans="2:5">
      <c r="B394" s="95"/>
      <c r="C394" s="36" t="s">
        <v>29</v>
      </c>
      <c r="D394" s="35">
        <v>5941</v>
      </c>
      <c r="E394" s="34">
        <v>0.24436492267193199</v>
      </c>
    </row>
    <row r="395" spans="2:5">
      <c r="B395" s="93" t="s">
        <v>65</v>
      </c>
      <c r="C395" s="71" t="s">
        <v>194</v>
      </c>
      <c r="D395" s="72">
        <v>2</v>
      </c>
      <c r="E395" s="73">
        <v>8.2263902599999999E-5</v>
      </c>
    </row>
    <row r="396" spans="2:5">
      <c r="B396" s="94"/>
      <c r="C396" s="71" t="s">
        <v>195</v>
      </c>
      <c r="D396" s="72">
        <v>1</v>
      </c>
      <c r="E396" s="73">
        <v>4.1131951299999999E-5</v>
      </c>
    </row>
    <row r="397" spans="2:5">
      <c r="B397" s="94"/>
      <c r="C397" s="71" t="s">
        <v>196</v>
      </c>
      <c r="D397" s="72">
        <v>2</v>
      </c>
      <c r="E397" s="73">
        <v>8.2263902599999999E-5</v>
      </c>
    </row>
    <row r="398" spans="2:5">
      <c r="B398" s="94"/>
      <c r="C398" s="71" t="s">
        <v>197</v>
      </c>
      <c r="D398" s="72">
        <v>2</v>
      </c>
      <c r="E398" s="73">
        <v>8.2263902599999999E-5</v>
      </c>
    </row>
    <row r="399" spans="2:5">
      <c r="B399" s="94"/>
      <c r="C399" s="71" t="s">
        <v>198</v>
      </c>
      <c r="D399" s="72">
        <v>3</v>
      </c>
      <c r="E399" s="73">
        <v>1.23395853899E-4</v>
      </c>
    </row>
    <row r="400" spans="2:5">
      <c r="B400" s="94"/>
      <c r="C400" s="71" t="s">
        <v>199</v>
      </c>
      <c r="D400" s="72">
        <v>2</v>
      </c>
      <c r="E400" s="73">
        <v>8.2263902599999999E-5</v>
      </c>
    </row>
    <row r="401" spans="2:5">
      <c r="B401" s="94"/>
      <c r="C401" s="71" t="s">
        <v>200</v>
      </c>
      <c r="D401" s="72">
        <v>14</v>
      </c>
      <c r="E401" s="73">
        <v>5.7584731819699999E-4</v>
      </c>
    </row>
    <row r="402" spans="2:5">
      <c r="B402" s="94"/>
      <c r="C402" s="71" t="s">
        <v>201</v>
      </c>
      <c r="D402" s="72">
        <v>17</v>
      </c>
      <c r="E402" s="73">
        <v>6.9924317209599999E-4</v>
      </c>
    </row>
    <row r="403" spans="2:5">
      <c r="B403" s="94"/>
      <c r="C403" s="71" t="s">
        <v>202</v>
      </c>
      <c r="D403" s="72">
        <v>1</v>
      </c>
      <c r="E403" s="73">
        <v>4.1131951299999999E-5</v>
      </c>
    </row>
    <row r="404" spans="2:5">
      <c r="B404" s="94"/>
      <c r="C404" s="71" t="s">
        <v>203</v>
      </c>
      <c r="D404" s="72">
        <v>6</v>
      </c>
      <c r="E404" s="73">
        <v>2.4679170779900002E-4</v>
      </c>
    </row>
    <row r="405" spans="2:5">
      <c r="B405" s="94"/>
      <c r="C405" s="71" t="s">
        <v>204</v>
      </c>
      <c r="D405" s="72">
        <v>8</v>
      </c>
      <c r="E405" s="73">
        <v>3.2905561039800002E-4</v>
      </c>
    </row>
    <row r="406" spans="2:5">
      <c r="B406" s="94"/>
      <c r="C406" s="71" t="s">
        <v>205</v>
      </c>
      <c r="D406" s="72">
        <v>69</v>
      </c>
      <c r="E406" s="73">
        <v>2.8381046396839999E-3</v>
      </c>
    </row>
    <row r="407" spans="2:5">
      <c r="B407" s="94"/>
      <c r="C407" s="71" t="s">
        <v>206</v>
      </c>
      <c r="D407" s="72">
        <v>3</v>
      </c>
      <c r="E407" s="73">
        <v>1.23395853899E-4</v>
      </c>
    </row>
    <row r="408" spans="2:5">
      <c r="B408" s="94"/>
      <c r="C408" s="71" t="s">
        <v>207</v>
      </c>
      <c r="D408" s="72">
        <v>13</v>
      </c>
      <c r="E408" s="73">
        <v>5.3471536689700004E-4</v>
      </c>
    </row>
    <row r="409" spans="2:5">
      <c r="B409" s="94"/>
      <c r="C409" s="71" t="s">
        <v>208</v>
      </c>
      <c r="D409" s="72">
        <v>40</v>
      </c>
      <c r="E409" s="73">
        <v>1.6452780519910001E-3</v>
      </c>
    </row>
    <row r="410" spans="2:5">
      <c r="B410" s="94"/>
      <c r="C410" s="71" t="s">
        <v>209</v>
      </c>
      <c r="D410" s="72">
        <v>2</v>
      </c>
      <c r="E410" s="73">
        <v>8.2263902599999999E-5</v>
      </c>
    </row>
    <row r="411" spans="2:5">
      <c r="B411" s="94"/>
      <c r="C411" s="71" t="s">
        <v>213</v>
      </c>
      <c r="D411" s="72">
        <v>5</v>
      </c>
      <c r="E411" s="73">
        <v>2.0565975649899999E-4</v>
      </c>
    </row>
    <row r="412" spans="2:5">
      <c r="B412" s="94"/>
      <c r="C412" s="71" t="s">
        <v>214</v>
      </c>
      <c r="D412" s="72">
        <v>10</v>
      </c>
      <c r="E412" s="73">
        <v>4.1131951299799998E-4</v>
      </c>
    </row>
    <row r="413" spans="2:5">
      <c r="B413" s="95"/>
      <c r="C413" s="36" t="s">
        <v>29</v>
      </c>
      <c r="D413" s="35">
        <v>200</v>
      </c>
      <c r="E413" s="34">
        <v>8.2263902599539994E-3</v>
      </c>
    </row>
    <row r="414" spans="2:5">
      <c r="B414" s="93" t="s">
        <v>74</v>
      </c>
      <c r="C414" s="71" t="s">
        <v>196</v>
      </c>
      <c r="D414" s="72">
        <v>2</v>
      </c>
      <c r="E414" s="73">
        <v>8.2263902599999999E-5</v>
      </c>
    </row>
    <row r="415" spans="2:5">
      <c r="B415" s="94"/>
      <c r="C415" s="71" t="s">
        <v>200</v>
      </c>
      <c r="D415" s="72">
        <v>2</v>
      </c>
      <c r="E415" s="73">
        <v>8.2263902599999999E-5</v>
      </c>
    </row>
    <row r="416" spans="2:5">
      <c r="B416" s="94"/>
      <c r="C416" s="71" t="s">
        <v>201</v>
      </c>
      <c r="D416" s="72">
        <v>7</v>
      </c>
      <c r="E416" s="73">
        <v>2.8792365909800001E-4</v>
      </c>
    </row>
    <row r="417" spans="2:5">
      <c r="B417" s="94"/>
      <c r="C417" s="71" t="s">
        <v>202</v>
      </c>
      <c r="D417" s="72">
        <v>1</v>
      </c>
      <c r="E417" s="73">
        <v>4.1131951299999999E-5</v>
      </c>
    </row>
    <row r="418" spans="2:5">
      <c r="B418" s="94"/>
      <c r="C418" s="71" t="s">
        <v>204</v>
      </c>
      <c r="D418" s="72">
        <v>1</v>
      </c>
      <c r="E418" s="73">
        <v>4.1131951299999999E-5</v>
      </c>
    </row>
    <row r="419" spans="2:5">
      <c r="B419" s="94"/>
      <c r="C419" s="71" t="s">
        <v>205</v>
      </c>
      <c r="D419" s="72">
        <v>18</v>
      </c>
      <c r="E419" s="73">
        <v>7.4037512339599995E-4</v>
      </c>
    </row>
    <row r="420" spans="2:5">
      <c r="B420" s="94"/>
      <c r="C420" s="71" t="s">
        <v>206</v>
      </c>
      <c r="D420" s="72">
        <v>1</v>
      </c>
      <c r="E420" s="73">
        <v>4.1131951299999999E-5</v>
      </c>
    </row>
    <row r="421" spans="2:5">
      <c r="B421" s="94"/>
      <c r="C421" s="71" t="s">
        <v>207</v>
      </c>
      <c r="D421" s="72">
        <v>4</v>
      </c>
      <c r="E421" s="73">
        <v>1.6452780519900001E-4</v>
      </c>
    </row>
    <row r="422" spans="2:5">
      <c r="B422" s="94"/>
      <c r="C422" s="71" t="s">
        <v>208</v>
      </c>
      <c r="D422" s="72">
        <v>7</v>
      </c>
      <c r="E422" s="73">
        <v>2.8792365909800001E-4</v>
      </c>
    </row>
    <row r="423" spans="2:5">
      <c r="B423" s="94"/>
      <c r="C423" s="71" t="s">
        <v>209</v>
      </c>
      <c r="D423" s="72">
        <v>1</v>
      </c>
      <c r="E423" s="73">
        <v>4.1131951299999999E-5</v>
      </c>
    </row>
    <row r="424" spans="2:5">
      <c r="B424" s="94"/>
      <c r="C424" s="71" t="s">
        <v>213</v>
      </c>
      <c r="D424" s="72">
        <v>2</v>
      </c>
      <c r="E424" s="73">
        <v>8.2263902599999999E-5</v>
      </c>
    </row>
    <row r="425" spans="2:5">
      <c r="B425" s="94"/>
      <c r="C425" s="71" t="s">
        <v>214</v>
      </c>
      <c r="D425" s="72">
        <v>5</v>
      </c>
      <c r="E425" s="73">
        <v>2.0565975649899999E-4</v>
      </c>
    </row>
    <row r="426" spans="2:5">
      <c r="B426" s="94"/>
      <c r="C426" s="71" t="s">
        <v>216</v>
      </c>
      <c r="D426" s="72">
        <v>1</v>
      </c>
      <c r="E426" s="73">
        <v>4.1131951299999999E-5</v>
      </c>
    </row>
    <row r="427" spans="2:5">
      <c r="B427" s="95"/>
      <c r="C427" s="36" t="s">
        <v>29</v>
      </c>
      <c r="D427" s="35">
        <v>52</v>
      </c>
      <c r="E427" s="34">
        <v>2.1388614675880002E-3</v>
      </c>
    </row>
    <row r="428" spans="2:5">
      <c r="B428" s="93" t="s">
        <v>95</v>
      </c>
      <c r="C428" s="71" t="s">
        <v>200</v>
      </c>
      <c r="D428" s="72">
        <v>1</v>
      </c>
      <c r="E428" s="73">
        <v>4.1131951299999999E-5</v>
      </c>
    </row>
    <row r="429" spans="2:5">
      <c r="B429" s="94"/>
      <c r="C429" s="71" t="s">
        <v>204</v>
      </c>
      <c r="D429" s="72">
        <v>1</v>
      </c>
      <c r="E429" s="73">
        <v>4.1131951299999999E-5</v>
      </c>
    </row>
    <row r="430" spans="2:5">
      <c r="B430" s="94"/>
      <c r="C430" s="71" t="s">
        <v>205</v>
      </c>
      <c r="D430" s="72">
        <v>2</v>
      </c>
      <c r="E430" s="73">
        <v>8.2263902599999999E-5</v>
      </c>
    </row>
    <row r="431" spans="2:5">
      <c r="B431" s="94"/>
      <c r="C431" s="71" t="s">
        <v>207</v>
      </c>
      <c r="D431" s="72">
        <v>1</v>
      </c>
      <c r="E431" s="73">
        <v>4.1131951299999999E-5</v>
      </c>
    </row>
    <row r="432" spans="2:5">
      <c r="B432" s="95"/>
      <c r="C432" s="36" t="s">
        <v>29</v>
      </c>
      <c r="D432" s="35">
        <v>5</v>
      </c>
      <c r="E432" s="34">
        <v>2.0565975649899999E-4</v>
      </c>
    </row>
    <row r="433" spans="2:5">
      <c r="B433" s="93" t="s">
        <v>100</v>
      </c>
      <c r="C433" s="71" t="s">
        <v>195</v>
      </c>
      <c r="D433" s="72">
        <v>1</v>
      </c>
      <c r="E433" s="73">
        <v>4.1131951299999999E-5</v>
      </c>
    </row>
    <row r="434" spans="2:5">
      <c r="B434" s="95"/>
      <c r="C434" s="36" t="s">
        <v>29</v>
      </c>
      <c r="D434" s="35">
        <v>1</v>
      </c>
      <c r="E434" s="34">
        <v>4.1131951299999999E-5</v>
      </c>
    </row>
    <row r="435" spans="2:5">
      <c r="B435" s="93" t="s">
        <v>61</v>
      </c>
      <c r="C435" s="71" t="s">
        <v>194</v>
      </c>
      <c r="D435" s="72">
        <v>5</v>
      </c>
      <c r="E435" s="73">
        <v>2.0565975649899999E-4</v>
      </c>
    </row>
    <row r="436" spans="2:5">
      <c r="B436" s="94"/>
      <c r="C436" s="71" t="s">
        <v>195</v>
      </c>
      <c r="D436" s="72">
        <v>2</v>
      </c>
      <c r="E436" s="73">
        <v>8.2263902599999999E-5</v>
      </c>
    </row>
    <row r="437" spans="2:5">
      <c r="B437" s="94"/>
      <c r="C437" s="71" t="s">
        <v>196</v>
      </c>
      <c r="D437" s="72">
        <v>2</v>
      </c>
      <c r="E437" s="73">
        <v>8.2263902599999999E-5</v>
      </c>
    </row>
    <row r="438" spans="2:5">
      <c r="B438" s="94"/>
      <c r="C438" s="71" t="s">
        <v>197</v>
      </c>
      <c r="D438" s="72">
        <v>5</v>
      </c>
      <c r="E438" s="73">
        <v>2.0565975649899999E-4</v>
      </c>
    </row>
    <row r="439" spans="2:5">
      <c r="B439" s="94"/>
      <c r="C439" s="71" t="s">
        <v>198</v>
      </c>
      <c r="D439" s="72">
        <v>6</v>
      </c>
      <c r="E439" s="73">
        <v>2.4679170779900002E-4</v>
      </c>
    </row>
    <row r="440" spans="2:5">
      <c r="B440" s="94"/>
      <c r="C440" s="71" t="s">
        <v>199</v>
      </c>
      <c r="D440" s="72">
        <v>4</v>
      </c>
      <c r="E440" s="73">
        <v>1.6452780519900001E-4</v>
      </c>
    </row>
    <row r="441" spans="2:5">
      <c r="B441" s="94"/>
      <c r="C441" s="71" t="s">
        <v>200</v>
      </c>
      <c r="D441" s="72">
        <v>17</v>
      </c>
      <c r="E441" s="73">
        <v>6.9924317209599999E-4</v>
      </c>
    </row>
    <row r="442" spans="2:5">
      <c r="B442" s="94"/>
      <c r="C442" s="71" t="s">
        <v>201</v>
      </c>
      <c r="D442" s="72">
        <v>36</v>
      </c>
      <c r="E442" s="73">
        <v>1.4807502467919999E-3</v>
      </c>
    </row>
    <row r="443" spans="2:5">
      <c r="B443" s="94"/>
      <c r="C443" s="71" t="s">
        <v>202</v>
      </c>
      <c r="D443" s="72">
        <v>5</v>
      </c>
      <c r="E443" s="73">
        <v>2.0565975649899999E-4</v>
      </c>
    </row>
    <row r="444" spans="2:5">
      <c r="B444" s="94"/>
      <c r="C444" s="71" t="s">
        <v>203</v>
      </c>
      <c r="D444" s="72">
        <v>4</v>
      </c>
      <c r="E444" s="73">
        <v>1.6452780519900001E-4</v>
      </c>
    </row>
    <row r="445" spans="2:5">
      <c r="B445" s="94"/>
      <c r="C445" s="71" t="s">
        <v>204</v>
      </c>
      <c r="D445" s="72">
        <v>12</v>
      </c>
      <c r="E445" s="73">
        <v>4.9358341559699998E-4</v>
      </c>
    </row>
    <row r="446" spans="2:5">
      <c r="B446" s="94"/>
      <c r="C446" s="71" t="s">
        <v>205</v>
      </c>
      <c r="D446" s="72">
        <v>86</v>
      </c>
      <c r="E446" s="73">
        <v>3.5373478117800001E-3</v>
      </c>
    </row>
    <row r="447" spans="2:5">
      <c r="B447" s="94"/>
      <c r="C447" s="71" t="s">
        <v>206</v>
      </c>
      <c r="D447" s="72">
        <v>6</v>
      </c>
      <c r="E447" s="73">
        <v>2.4679170779900002E-4</v>
      </c>
    </row>
    <row r="448" spans="2:5">
      <c r="B448" s="94"/>
      <c r="C448" s="71" t="s">
        <v>207</v>
      </c>
      <c r="D448" s="72">
        <v>36</v>
      </c>
      <c r="E448" s="73">
        <v>1.4807502467919999E-3</v>
      </c>
    </row>
    <row r="449" spans="2:5">
      <c r="B449" s="94"/>
      <c r="C449" s="71" t="s">
        <v>208</v>
      </c>
      <c r="D449" s="72">
        <v>71</v>
      </c>
      <c r="E449" s="73">
        <v>2.9203685422839998E-3</v>
      </c>
    </row>
    <row r="450" spans="2:5">
      <c r="B450" s="94"/>
      <c r="C450" s="71" t="s">
        <v>210</v>
      </c>
      <c r="D450" s="72">
        <v>1</v>
      </c>
      <c r="E450" s="73">
        <v>4.1131951299999999E-5</v>
      </c>
    </row>
    <row r="451" spans="2:5">
      <c r="B451" s="94"/>
      <c r="C451" s="71" t="s">
        <v>213</v>
      </c>
      <c r="D451" s="72">
        <v>8</v>
      </c>
      <c r="E451" s="73">
        <v>3.2905561039800002E-4</v>
      </c>
    </row>
    <row r="452" spans="2:5">
      <c r="B452" s="94"/>
      <c r="C452" s="71" t="s">
        <v>214</v>
      </c>
      <c r="D452" s="72">
        <v>16</v>
      </c>
      <c r="E452" s="73">
        <v>6.5811122079600004E-4</v>
      </c>
    </row>
    <row r="453" spans="2:5">
      <c r="B453" s="94"/>
      <c r="C453" s="71" t="s">
        <v>216</v>
      </c>
      <c r="D453" s="72">
        <v>1</v>
      </c>
      <c r="E453" s="73">
        <v>4.1131951299999999E-5</v>
      </c>
    </row>
    <row r="454" spans="2:5">
      <c r="B454" s="95"/>
      <c r="C454" s="36" t="s">
        <v>29</v>
      </c>
      <c r="D454" s="35">
        <v>323</v>
      </c>
      <c r="E454" s="34">
        <v>1.3285620269826E-2</v>
      </c>
    </row>
    <row r="455" spans="2:5">
      <c r="B455" s="93" t="s">
        <v>76</v>
      </c>
      <c r="C455" s="71" t="s">
        <v>200</v>
      </c>
      <c r="D455" s="72">
        <v>1</v>
      </c>
      <c r="E455" s="73">
        <v>4.1131951299999999E-5</v>
      </c>
    </row>
    <row r="456" spans="2:5">
      <c r="B456" s="94"/>
      <c r="C456" s="71" t="s">
        <v>201</v>
      </c>
      <c r="D456" s="72">
        <v>4</v>
      </c>
      <c r="E456" s="73">
        <v>1.6452780519900001E-4</v>
      </c>
    </row>
    <row r="457" spans="2:5">
      <c r="B457" s="94"/>
      <c r="C457" s="71" t="s">
        <v>203</v>
      </c>
      <c r="D457" s="72">
        <v>1</v>
      </c>
      <c r="E457" s="73">
        <v>4.1131951299999999E-5</v>
      </c>
    </row>
    <row r="458" spans="2:5">
      <c r="B458" s="94"/>
      <c r="C458" s="71" t="s">
        <v>204</v>
      </c>
      <c r="D458" s="72">
        <v>1</v>
      </c>
      <c r="E458" s="73">
        <v>4.1131951299999999E-5</v>
      </c>
    </row>
    <row r="459" spans="2:5">
      <c r="B459" s="94"/>
      <c r="C459" s="71" t="s">
        <v>205</v>
      </c>
      <c r="D459" s="72">
        <v>13</v>
      </c>
      <c r="E459" s="73">
        <v>5.3471536689700004E-4</v>
      </c>
    </row>
    <row r="460" spans="2:5">
      <c r="B460" s="94"/>
      <c r="C460" s="71" t="s">
        <v>207</v>
      </c>
      <c r="D460" s="72">
        <v>1</v>
      </c>
      <c r="E460" s="73">
        <v>4.1131951299999999E-5</v>
      </c>
    </row>
    <row r="461" spans="2:5">
      <c r="B461" s="94"/>
      <c r="C461" s="71" t="s">
        <v>208</v>
      </c>
      <c r="D461" s="72">
        <v>7</v>
      </c>
      <c r="E461" s="73">
        <v>2.8792365909800001E-4</v>
      </c>
    </row>
    <row r="462" spans="2:5">
      <c r="B462" s="94"/>
      <c r="C462" s="71" t="s">
        <v>209</v>
      </c>
      <c r="D462" s="72">
        <v>2</v>
      </c>
      <c r="E462" s="73">
        <v>8.2263902599999999E-5</v>
      </c>
    </row>
    <row r="463" spans="2:5">
      <c r="B463" s="94"/>
      <c r="C463" s="71" t="s">
        <v>214</v>
      </c>
      <c r="D463" s="72">
        <v>11</v>
      </c>
      <c r="E463" s="73">
        <v>4.5245146429700003E-4</v>
      </c>
    </row>
    <row r="464" spans="2:5">
      <c r="B464" s="94"/>
      <c r="C464" s="71" t="s">
        <v>216</v>
      </c>
      <c r="D464" s="72">
        <v>2</v>
      </c>
      <c r="E464" s="73">
        <v>8.2263902599999999E-5</v>
      </c>
    </row>
    <row r="465" spans="2:5">
      <c r="B465" s="95"/>
      <c r="C465" s="36" t="s">
        <v>29</v>
      </c>
      <c r="D465" s="35">
        <v>43</v>
      </c>
      <c r="E465" s="34">
        <v>1.7686739058900001E-3</v>
      </c>
    </row>
    <row r="466" spans="2:5">
      <c r="B466" s="93" t="s">
        <v>63</v>
      </c>
      <c r="C466" s="71" t="s">
        <v>194</v>
      </c>
      <c r="D466" s="72">
        <v>4</v>
      </c>
      <c r="E466" s="73">
        <v>1.6452780519900001E-4</v>
      </c>
    </row>
    <row r="467" spans="2:5">
      <c r="B467" s="94"/>
      <c r="C467" s="71" t="s">
        <v>196</v>
      </c>
      <c r="D467" s="72">
        <v>1</v>
      </c>
      <c r="E467" s="73">
        <v>4.1131951299999999E-5</v>
      </c>
    </row>
    <row r="468" spans="2:5">
      <c r="B468" s="94"/>
      <c r="C468" s="71" t="s">
        <v>197</v>
      </c>
      <c r="D468" s="72">
        <v>1</v>
      </c>
      <c r="E468" s="73">
        <v>4.1131951299999999E-5</v>
      </c>
    </row>
    <row r="469" spans="2:5">
      <c r="B469" s="94"/>
      <c r="C469" s="71" t="s">
        <v>198</v>
      </c>
      <c r="D469" s="72">
        <v>2</v>
      </c>
      <c r="E469" s="73">
        <v>8.2263902599999999E-5</v>
      </c>
    </row>
    <row r="470" spans="2:5">
      <c r="B470" s="94"/>
      <c r="C470" s="71" t="s">
        <v>199</v>
      </c>
      <c r="D470" s="72">
        <v>3</v>
      </c>
      <c r="E470" s="73">
        <v>1.23395853899E-4</v>
      </c>
    </row>
    <row r="471" spans="2:5">
      <c r="B471" s="94"/>
      <c r="C471" s="71" t="s">
        <v>200</v>
      </c>
      <c r="D471" s="72">
        <v>7</v>
      </c>
      <c r="E471" s="73">
        <v>2.8792365909800001E-4</v>
      </c>
    </row>
    <row r="472" spans="2:5">
      <c r="B472" s="94"/>
      <c r="C472" s="71" t="s">
        <v>201</v>
      </c>
      <c r="D472" s="72">
        <v>22</v>
      </c>
      <c r="E472" s="73">
        <v>9.0490292859500001E-4</v>
      </c>
    </row>
    <row r="473" spans="2:5">
      <c r="B473" s="94"/>
      <c r="C473" s="71" t="s">
        <v>202</v>
      </c>
      <c r="D473" s="72">
        <v>3</v>
      </c>
      <c r="E473" s="73">
        <v>1.23395853899E-4</v>
      </c>
    </row>
    <row r="474" spans="2:5">
      <c r="B474" s="94"/>
      <c r="C474" s="71" t="s">
        <v>203</v>
      </c>
      <c r="D474" s="72">
        <v>5</v>
      </c>
      <c r="E474" s="73">
        <v>2.0565975649899999E-4</v>
      </c>
    </row>
    <row r="475" spans="2:5">
      <c r="B475" s="94"/>
      <c r="C475" s="71" t="s">
        <v>204</v>
      </c>
      <c r="D475" s="72">
        <v>5</v>
      </c>
      <c r="E475" s="73">
        <v>2.0565975649899999E-4</v>
      </c>
    </row>
    <row r="476" spans="2:5">
      <c r="B476" s="94"/>
      <c r="C476" s="71" t="s">
        <v>205</v>
      </c>
      <c r="D476" s="72">
        <v>71</v>
      </c>
      <c r="E476" s="73">
        <v>2.9203685422839998E-3</v>
      </c>
    </row>
    <row r="477" spans="2:5">
      <c r="B477" s="94"/>
      <c r="C477" s="71" t="s">
        <v>206</v>
      </c>
      <c r="D477" s="72">
        <v>4</v>
      </c>
      <c r="E477" s="73">
        <v>1.6452780519900001E-4</v>
      </c>
    </row>
    <row r="478" spans="2:5">
      <c r="B478" s="94"/>
      <c r="C478" s="71" t="s">
        <v>207</v>
      </c>
      <c r="D478" s="72">
        <v>23</v>
      </c>
      <c r="E478" s="73">
        <v>9.4603487989499996E-4</v>
      </c>
    </row>
    <row r="479" spans="2:5">
      <c r="B479" s="94"/>
      <c r="C479" s="71" t="s">
        <v>208</v>
      </c>
      <c r="D479" s="72">
        <v>56</v>
      </c>
      <c r="E479" s="73">
        <v>2.3033892727869999E-3</v>
      </c>
    </row>
    <row r="480" spans="2:5">
      <c r="B480" s="94"/>
      <c r="C480" s="71" t="s">
        <v>209</v>
      </c>
      <c r="D480" s="72">
        <v>1</v>
      </c>
      <c r="E480" s="73">
        <v>4.1131951299999999E-5</v>
      </c>
    </row>
    <row r="481" spans="2:5">
      <c r="B481" s="94"/>
      <c r="C481" s="71" t="s">
        <v>210</v>
      </c>
      <c r="D481" s="72">
        <v>2</v>
      </c>
      <c r="E481" s="73">
        <v>8.2263902599999999E-5</v>
      </c>
    </row>
    <row r="482" spans="2:5">
      <c r="B482" s="94"/>
      <c r="C482" s="71" t="s">
        <v>211</v>
      </c>
      <c r="D482" s="72">
        <v>2</v>
      </c>
      <c r="E482" s="73">
        <v>8.2263902599999999E-5</v>
      </c>
    </row>
    <row r="483" spans="2:5">
      <c r="B483" s="94"/>
      <c r="C483" s="71" t="s">
        <v>213</v>
      </c>
      <c r="D483" s="72">
        <v>6</v>
      </c>
      <c r="E483" s="73">
        <v>2.4679170779900002E-4</v>
      </c>
    </row>
    <row r="484" spans="2:5">
      <c r="B484" s="94"/>
      <c r="C484" s="71" t="s">
        <v>214</v>
      </c>
      <c r="D484" s="72">
        <v>8</v>
      </c>
      <c r="E484" s="73">
        <v>3.2905561039800002E-4</v>
      </c>
    </row>
    <row r="485" spans="2:5">
      <c r="B485" s="94"/>
      <c r="C485" s="71" t="s">
        <v>215</v>
      </c>
      <c r="D485" s="72">
        <v>1</v>
      </c>
      <c r="E485" s="73">
        <v>4.1131951299999999E-5</v>
      </c>
    </row>
    <row r="486" spans="2:5">
      <c r="B486" s="95"/>
      <c r="C486" s="36" t="s">
        <v>29</v>
      </c>
      <c r="D486" s="35">
        <v>227</v>
      </c>
      <c r="E486" s="34">
        <v>9.3369529450480007E-3</v>
      </c>
    </row>
    <row r="487" spans="2:5">
      <c r="B487" s="93" t="s">
        <v>71</v>
      </c>
      <c r="C487" s="71" t="s">
        <v>197</v>
      </c>
      <c r="D487" s="72">
        <v>1</v>
      </c>
      <c r="E487" s="73">
        <v>4.1131951299999999E-5</v>
      </c>
    </row>
    <row r="488" spans="2:5">
      <c r="B488" s="94"/>
      <c r="C488" s="71" t="s">
        <v>199</v>
      </c>
      <c r="D488" s="72">
        <v>1</v>
      </c>
      <c r="E488" s="73">
        <v>4.1131951299999999E-5</v>
      </c>
    </row>
    <row r="489" spans="2:5">
      <c r="B489" s="94"/>
      <c r="C489" s="71" t="s">
        <v>200</v>
      </c>
      <c r="D489" s="72">
        <v>8</v>
      </c>
      <c r="E489" s="73">
        <v>3.2905561039800002E-4</v>
      </c>
    </row>
    <row r="490" spans="2:5">
      <c r="B490" s="94"/>
      <c r="C490" s="71" t="s">
        <v>201</v>
      </c>
      <c r="D490" s="72">
        <v>5</v>
      </c>
      <c r="E490" s="73">
        <v>2.0565975649899999E-4</v>
      </c>
    </row>
    <row r="491" spans="2:5">
      <c r="B491" s="94"/>
      <c r="C491" s="71" t="s">
        <v>202</v>
      </c>
      <c r="D491" s="72">
        <v>1</v>
      </c>
      <c r="E491" s="73">
        <v>4.1131951299999999E-5</v>
      </c>
    </row>
    <row r="492" spans="2:5">
      <c r="B492" s="94"/>
      <c r="C492" s="71" t="s">
        <v>203</v>
      </c>
      <c r="D492" s="72">
        <v>2</v>
      </c>
      <c r="E492" s="73">
        <v>8.2263902599999999E-5</v>
      </c>
    </row>
    <row r="493" spans="2:5">
      <c r="B493" s="94"/>
      <c r="C493" s="71" t="s">
        <v>204</v>
      </c>
      <c r="D493" s="72">
        <v>2</v>
      </c>
      <c r="E493" s="73">
        <v>8.2263902599999999E-5</v>
      </c>
    </row>
    <row r="494" spans="2:5">
      <c r="B494" s="94"/>
      <c r="C494" s="71" t="s">
        <v>205</v>
      </c>
      <c r="D494" s="72">
        <v>19</v>
      </c>
      <c r="E494" s="73">
        <v>7.8150707469600001E-4</v>
      </c>
    </row>
    <row r="495" spans="2:5">
      <c r="B495" s="94"/>
      <c r="C495" s="71" t="s">
        <v>207</v>
      </c>
      <c r="D495" s="72">
        <v>5</v>
      </c>
      <c r="E495" s="73">
        <v>2.0565975649899999E-4</v>
      </c>
    </row>
    <row r="496" spans="2:5">
      <c r="B496" s="94"/>
      <c r="C496" s="71" t="s">
        <v>208</v>
      </c>
      <c r="D496" s="72">
        <v>16</v>
      </c>
      <c r="E496" s="73">
        <v>6.5811122079600004E-4</v>
      </c>
    </row>
    <row r="497" spans="2:5">
      <c r="B497" s="94"/>
      <c r="C497" s="71" t="s">
        <v>210</v>
      </c>
      <c r="D497" s="72">
        <v>1</v>
      </c>
      <c r="E497" s="73">
        <v>4.1131951299999999E-5</v>
      </c>
    </row>
    <row r="498" spans="2:5">
      <c r="B498" s="94"/>
      <c r="C498" s="71" t="s">
        <v>212</v>
      </c>
      <c r="D498" s="72">
        <v>1</v>
      </c>
      <c r="E498" s="73">
        <v>4.1131951299999999E-5</v>
      </c>
    </row>
    <row r="499" spans="2:5">
      <c r="B499" s="94"/>
      <c r="C499" s="71" t="s">
        <v>213</v>
      </c>
      <c r="D499" s="72">
        <v>1</v>
      </c>
      <c r="E499" s="73">
        <v>4.1131951299999999E-5</v>
      </c>
    </row>
    <row r="500" spans="2:5">
      <c r="B500" s="94"/>
      <c r="C500" s="71" t="s">
        <v>214</v>
      </c>
      <c r="D500" s="72">
        <v>3</v>
      </c>
      <c r="E500" s="73">
        <v>1.23395853899E-4</v>
      </c>
    </row>
    <row r="501" spans="2:5">
      <c r="B501" s="95"/>
      <c r="C501" s="36" t="s">
        <v>29</v>
      </c>
      <c r="D501" s="35">
        <v>66</v>
      </c>
      <c r="E501" s="34">
        <v>2.7147087857850001E-3</v>
      </c>
    </row>
    <row r="502" spans="2:5">
      <c r="B502" s="93" t="s">
        <v>62</v>
      </c>
      <c r="C502" s="71" t="s">
        <v>194</v>
      </c>
      <c r="D502" s="72">
        <v>2</v>
      </c>
      <c r="E502" s="73">
        <v>8.2263902599999999E-5</v>
      </c>
    </row>
    <row r="503" spans="2:5">
      <c r="B503" s="94"/>
      <c r="C503" s="71" t="s">
        <v>195</v>
      </c>
      <c r="D503" s="72">
        <v>1</v>
      </c>
      <c r="E503" s="73">
        <v>4.1131951299999999E-5</v>
      </c>
    </row>
    <row r="504" spans="2:5">
      <c r="B504" s="94"/>
      <c r="C504" s="71" t="s">
        <v>196</v>
      </c>
      <c r="D504" s="72">
        <v>4</v>
      </c>
      <c r="E504" s="73">
        <v>1.6452780519900001E-4</v>
      </c>
    </row>
    <row r="505" spans="2:5">
      <c r="B505" s="94"/>
      <c r="C505" s="71" t="s">
        <v>197</v>
      </c>
      <c r="D505" s="72">
        <v>7</v>
      </c>
      <c r="E505" s="73">
        <v>2.8792365909800001E-4</v>
      </c>
    </row>
    <row r="506" spans="2:5">
      <c r="B506" s="94"/>
      <c r="C506" s="71" t="s">
        <v>198</v>
      </c>
      <c r="D506" s="72">
        <v>3</v>
      </c>
      <c r="E506" s="73">
        <v>1.23395853899E-4</v>
      </c>
    </row>
    <row r="507" spans="2:5">
      <c r="B507" s="94"/>
      <c r="C507" s="71" t="s">
        <v>199</v>
      </c>
      <c r="D507" s="72">
        <v>10</v>
      </c>
      <c r="E507" s="73">
        <v>4.1131951299799998E-4</v>
      </c>
    </row>
    <row r="508" spans="2:5">
      <c r="B508" s="94"/>
      <c r="C508" s="71" t="s">
        <v>200</v>
      </c>
      <c r="D508" s="72">
        <v>17</v>
      </c>
      <c r="E508" s="73">
        <v>6.9924317209599999E-4</v>
      </c>
    </row>
    <row r="509" spans="2:5">
      <c r="B509" s="94"/>
      <c r="C509" s="71" t="s">
        <v>201</v>
      </c>
      <c r="D509" s="72">
        <v>30</v>
      </c>
      <c r="E509" s="73">
        <v>1.233958538993E-3</v>
      </c>
    </row>
    <row r="510" spans="2:5">
      <c r="B510" s="94"/>
      <c r="C510" s="71" t="s">
        <v>202</v>
      </c>
      <c r="D510" s="72">
        <v>6</v>
      </c>
      <c r="E510" s="73">
        <v>2.4679170779900002E-4</v>
      </c>
    </row>
    <row r="511" spans="2:5">
      <c r="B511" s="94"/>
      <c r="C511" s="71" t="s">
        <v>203</v>
      </c>
      <c r="D511" s="72">
        <v>8</v>
      </c>
      <c r="E511" s="73">
        <v>3.2905561039800002E-4</v>
      </c>
    </row>
    <row r="512" spans="2:5">
      <c r="B512" s="94"/>
      <c r="C512" s="71" t="s">
        <v>204</v>
      </c>
      <c r="D512" s="72">
        <v>4</v>
      </c>
      <c r="E512" s="73">
        <v>1.6452780519900001E-4</v>
      </c>
    </row>
    <row r="513" spans="2:5">
      <c r="B513" s="94"/>
      <c r="C513" s="71" t="s">
        <v>205</v>
      </c>
      <c r="D513" s="72">
        <v>92</v>
      </c>
      <c r="E513" s="73">
        <v>3.7841395195790002E-3</v>
      </c>
    </row>
    <row r="514" spans="2:5">
      <c r="B514" s="94"/>
      <c r="C514" s="71" t="s">
        <v>206</v>
      </c>
      <c r="D514" s="72">
        <v>7</v>
      </c>
      <c r="E514" s="73">
        <v>2.8792365909800001E-4</v>
      </c>
    </row>
    <row r="515" spans="2:5">
      <c r="B515" s="94"/>
      <c r="C515" s="71" t="s">
        <v>207</v>
      </c>
      <c r="D515" s="72">
        <v>35</v>
      </c>
      <c r="E515" s="73">
        <v>1.4396182954919999E-3</v>
      </c>
    </row>
    <row r="516" spans="2:5">
      <c r="B516" s="94"/>
      <c r="C516" s="71" t="s">
        <v>208</v>
      </c>
      <c r="D516" s="72">
        <v>55</v>
      </c>
      <c r="E516" s="73">
        <v>2.2622573214869999E-3</v>
      </c>
    </row>
    <row r="517" spans="2:5">
      <c r="B517" s="94"/>
      <c r="C517" s="71" t="s">
        <v>209</v>
      </c>
      <c r="D517" s="72">
        <v>3</v>
      </c>
      <c r="E517" s="73">
        <v>1.23395853899E-4</v>
      </c>
    </row>
    <row r="518" spans="2:5">
      <c r="B518" s="94"/>
      <c r="C518" s="71" t="s">
        <v>210</v>
      </c>
      <c r="D518" s="72">
        <v>1</v>
      </c>
      <c r="E518" s="73">
        <v>4.1131951299999999E-5</v>
      </c>
    </row>
    <row r="519" spans="2:5">
      <c r="B519" s="94"/>
      <c r="C519" s="71" t="s">
        <v>212</v>
      </c>
      <c r="D519" s="72">
        <v>1</v>
      </c>
      <c r="E519" s="73">
        <v>4.1131951299999999E-5</v>
      </c>
    </row>
    <row r="520" spans="2:5">
      <c r="B520" s="94"/>
      <c r="C520" s="71" t="s">
        <v>213</v>
      </c>
      <c r="D520" s="72">
        <v>11</v>
      </c>
      <c r="E520" s="73">
        <v>4.5245146429700003E-4</v>
      </c>
    </row>
    <row r="521" spans="2:5">
      <c r="B521" s="94"/>
      <c r="C521" s="71" t="s">
        <v>214</v>
      </c>
      <c r="D521" s="72">
        <v>12</v>
      </c>
      <c r="E521" s="73">
        <v>4.9358341559699998E-4</v>
      </c>
    </row>
    <row r="522" spans="2:5">
      <c r="B522" s="94"/>
      <c r="C522" s="71" t="s">
        <v>215</v>
      </c>
      <c r="D522" s="72">
        <v>1</v>
      </c>
      <c r="E522" s="73">
        <v>4.1131951299999999E-5</v>
      </c>
    </row>
    <row r="523" spans="2:5">
      <c r="B523" s="94"/>
      <c r="C523" s="71" t="s">
        <v>217</v>
      </c>
      <c r="D523" s="72">
        <v>1</v>
      </c>
      <c r="E523" s="73">
        <v>4.1131951299999999E-5</v>
      </c>
    </row>
    <row r="524" spans="2:5">
      <c r="B524" s="95"/>
      <c r="C524" s="36" t="s">
        <v>29</v>
      </c>
      <c r="D524" s="35">
        <v>311</v>
      </c>
      <c r="E524" s="34">
        <v>1.2792036854228001E-2</v>
      </c>
    </row>
    <row r="525" spans="2:5">
      <c r="B525" s="93" t="s">
        <v>91</v>
      </c>
      <c r="C525" s="71" t="s">
        <v>201</v>
      </c>
      <c r="D525" s="72">
        <v>2</v>
      </c>
      <c r="E525" s="73">
        <v>8.2263902599999999E-5</v>
      </c>
    </row>
    <row r="526" spans="2:5">
      <c r="B526" s="94"/>
      <c r="C526" s="71" t="s">
        <v>203</v>
      </c>
      <c r="D526" s="72">
        <v>1</v>
      </c>
      <c r="E526" s="73">
        <v>4.1131951299999999E-5</v>
      </c>
    </row>
    <row r="527" spans="2:5">
      <c r="B527" s="94"/>
      <c r="C527" s="71" t="s">
        <v>205</v>
      </c>
      <c r="D527" s="72">
        <v>4</v>
      </c>
      <c r="E527" s="73">
        <v>1.6452780519900001E-4</v>
      </c>
    </row>
    <row r="528" spans="2:5">
      <c r="B528" s="94"/>
      <c r="C528" s="71" t="s">
        <v>206</v>
      </c>
      <c r="D528" s="72">
        <v>1</v>
      </c>
      <c r="E528" s="73">
        <v>4.1131951299999999E-5</v>
      </c>
    </row>
    <row r="529" spans="2:5">
      <c r="B529" s="94"/>
      <c r="C529" s="71" t="s">
        <v>208</v>
      </c>
      <c r="D529" s="72">
        <v>4</v>
      </c>
      <c r="E529" s="73">
        <v>1.6452780519900001E-4</v>
      </c>
    </row>
    <row r="530" spans="2:5">
      <c r="B530" s="95"/>
      <c r="C530" s="36" t="s">
        <v>29</v>
      </c>
      <c r="D530" s="35">
        <v>12</v>
      </c>
      <c r="E530" s="34">
        <v>4.9358341559699998E-4</v>
      </c>
    </row>
    <row r="531" spans="2:5">
      <c r="B531" s="93" t="s">
        <v>79</v>
      </c>
      <c r="C531" s="71" t="s">
        <v>199</v>
      </c>
      <c r="D531" s="72">
        <v>1</v>
      </c>
      <c r="E531" s="73">
        <v>4.1131951299999999E-5</v>
      </c>
    </row>
    <row r="532" spans="2:5">
      <c r="B532" s="94"/>
      <c r="C532" s="71" t="s">
        <v>200</v>
      </c>
      <c r="D532" s="72">
        <v>2</v>
      </c>
      <c r="E532" s="73">
        <v>8.2263902599999999E-5</v>
      </c>
    </row>
    <row r="533" spans="2:5">
      <c r="B533" s="94"/>
      <c r="C533" s="71" t="s">
        <v>201</v>
      </c>
      <c r="D533" s="72">
        <v>2</v>
      </c>
      <c r="E533" s="73">
        <v>8.2263902599999999E-5</v>
      </c>
    </row>
    <row r="534" spans="2:5">
      <c r="B534" s="94"/>
      <c r="C534" s="71" t="s">
        <v>202</v>
      </c>
      <c r="D534" s="72">
        <v>1</v>
      </c>
      <c r="E534" s="73">
        <v>4.1131951299999999E-5</v>
      </c>
    </row>
    <row r="535" spans="2:5">
      <c r="B535" s="94"/>
      <c r="C535" s="71" t="s">
        <v>203</v>
      </c>
      <c r="D535" s="72">
        <v>1</v>
      </c>
      <c r="E535" s="73">
        <v>4.1131951299999999E-5</v>
      </c>
    </row>
    <row r="536" spans="2:5">
      <c r="B536" s="94"/>
      <c r="C536" s="71" t="s">
        <v>204</v>
      </c>
      <c r="D536" s="72">
        <v>1</v>
      </c>
      <c r="E536" s="73">
        <v>4.1131951299999999E-5</v>
      </c>
    </row>
    <row r="537" spans="2:5">
      <c r="B537" s="94"/>
      <c r="C537" s="71" t="s">
        <v>205</v>
      </c>
      <c r="D537" s="72">
        <v>6</v>
      </c>
      <c r="E537" s="73">
        <v>2.4679170779900002E-4</v>
      </c>
    </row>
    <row r="538" spans="2:5">
      <c r="B538" s="94"/>
      <c r="C538" s="71" t="s">
        <v>206</v>
      </c>
      <c r="D538" s="72">
        <v>1</v>
      </c>
      <c r="E538" s="73">
        <v>4.1131951299999999E-5</v>
      </c>
    </row>
    <row r="539" spans="2:5">
      <c r="B539" s="94"/>
      <c r="C539" s="71" t="s">
        <v>207</v>
      </c>
      <c r="D539" s="72">
        <v>4</v>
      </c>
      <c r="E539" s="73">
        <v>1.6452780519900001E-4</v>
      </c>
    </row>
    <row r="540" spans="2:5">
      <c r="B540" s="94"/>
      <c r="C540" s="71" t="s">
        <v>208</v>
      </c>
      <c r="D540" s="72">
        <v>9</v>
      </c>
      <c r="E540" s="73">
        <v>3.7018756169799997E-4</v>
      </c>
    </row>
    <row r="541" spans="2:5">
      <c r="B541" s="94"/>
      <c r="C541" s="71" t="s">
        <v>209</v>
      </c>
      <c r="D541" s="72">
        <v>2</v>
      </c>
      <c r="E541" s="73">
        <v>8.2263902599999999E-5</v>
      </c>
    </row>
    <row r="542" spans="2:5">
      <c r="B542" s="94"/>
      <c r="C542" s="71" t="s">
        <v>210</v>
      </c>
      <c r="D542" s="72">
        <v>1</v>
      </c>
      <c r="E542" s="73">
        <v>4.1131951299999999E-5</v>
      </c>
    </row>
    <row r="543" spans="2:5">
      <c r="B543" s="94"/>
      <c r="C543" s="71" t="s">
        <v>213</v>
      </c>
      <c r="D543" s="72">
        <v>1</v>
      </c>
      <c r="E543" s="73">
        <v>4.1131951299999999E-5</v>
      </c>
    </row>
    <row r="544" spans="2:5">
      <c r="B544" s="94"/>
      <c r="C544" s="71" t="s">
        <v>214</v>
      </c>
      <c r="D544" s="72">
        <v>4</v>
      </c>
      <c r="E544" s="73">
        <v>1.6452780519900001E-4</v>
      </c>
    </row>
    <row r="545" spans="2:5">
      <c r="B545" s="94"/>
      <c r="C545" s="71" t="s">
        <v>216</v>
      </c>
      <c r="D545" s="72">
        <v>1</v>
      </c>
      <c r="E545" s="73">
        <v>4.1131951299999999E-5</v>
      </c>
    </row>
    <row r="546" spans="2:5">
      <c r="B546" s="95"/>
      <c r="C546" s="36" t="s">
        <v>29</v>
      </c>
      <c r="D546" s="35">
        <v>37</v>
      </c>
      <c r="E546" s="34">
        <v>1.521882198091E-3</v>
      </c>
    </row>
    <row r="547" spans="2:5">
      <c r="B547" s="93" t="s">
        <v>93</v>
      </c>
      <c r="C547" s="71" t="s">
        <v>201</v>
      </c>
      <c r="D547" s="72">
        <v>1</v>
      </c>
      <c r="E547" s="73">
        <v>4.1131951299999999E-5</v>
      </c>
    </row>
    <row r="548" spans="2:5">
      <c r="B548" s="94"/>
      <c r="C548" s="71" t="s">
        <v>204</v>
      </c>
      <c r="D548" s="72">
        <v>2</v>
      </c>
      <c r="E548" s="73">
        <v>8.2263902599999999E-5</v>
      </c>
    </row>
    <row r="549" spans="2:5">
      <c r="B549" s="94"/>
      <c r="C549" s="71" t="s">
        <v>208</v>
      </c>
      <c r="D549" s="72">
        <v>2</v>
      </c>
      <c r="E549" s="73">
        <v>8.2263902599999999E-5</v>
      </c>
    </row>
    <row r="550" spans="2:5">
      <c r="B550" s="94"/>
      <c r="C550" s="71" t="s">
        <v>211</v>
      </c>
      <c r="D550" s="72">
        <v>1</v>
      </c>
      <c r="E550" s="73">
        <v>4.1131951299999999E-5</v>
      </c>
    </row>
    <row r="551" spans="2:5">
      <c r="B551" s="94"/>
      <c r="C551" s="71" t="s">
        <v>214</v>
      </c>
      <c r="D551" s="72">
        <v>2</v>
      </c>
      <c r="E551" s="73">
        <v>8.2263902599999999E-5</v>
      </c>
    </row>
    <row r="552" spans="2:5">
      <c r="B552" s="95"/>
      <c r="C552" s="36" t="s">
        <v>29</v>
      </c>
      <c r="D552" s="35">
        <v>8</v>
      </c>
      <c r="E552" s="34">
        <v>3.2905561039800002E-4</v>
      </c>
    </row>
    <row r="553" spans="2:5">
      <c r="B553" s="93" t="s">
        <v>83</v>
      </c>
      <c r="C553" s="71" t="s">
        <v>200</v>
      </c>
      <c r="D553" s="72">
        <v>2</v>
      </c>
      <c r="E553" s="73">
        <v>8.2263902599999999E-5</v>
      </c>
    </row>
    <row r="554" spans="2:5">
      <c r="B554" s="94"/>
      <c r="C554" s="71" t="s">
        <v>201</v>
      </c>
      <c r="D554" s="72">
        <v>1</v>
      </c>
      <c r="E554" s="73">
        <v>4.1131951299999999E-5</v>
      </c>
    </row>
    <row r="555" spans="2:5">
      <c r="B555" s="94"/>
      <c r="C555" s="71" t="s">
        <v>204</v>
      </c>
      <c r="D555" s="72">
        <v>2</v>
      </c>
      <c r="E555" s="73">
        <v>8.2263902599999999E-5</v>
      </c>
    </row>
    <row r="556" spans="2:5">
      <c r="B556" s="94"/>
      <c r="C556" s="71" t="s">
        <v>205</v>
      </c>
      <c r="D556" s="72">
        <v>12</v>
      </c>
      <c r="E556" s="73">
        <v>4.9358341559699998E-4</v>
      </c>
    </row>
    <row r="557" spans="2:5">
      <c r="B557" s="94"/>
      <c r="C557" s="71" t="s">
        <v>207</v>
      </c>
      <c r="D557" s="72">
        <v>1</v>
      </c>
      <c r="E557" s="73">
        <v>4.1131951299999999E-5</v>
      </c>
    </row>
    <row r="558" spans="2:5">
      <c r="B558" s="94"/>
      <c r="C558" s="71" t="s">
        <v>208</v>
      </c>
      <c r="D558" s="72">
        <v>8</v>
      </c>
      <c r="E558" s="73">
        <v>3.2905561039800002E-4</v>
      </c>
    </row>
    <row r="559" spans="2:5">
      <c r="B559" s="94"/>
      <c r="C559" s="71" t="s">
        <v>213</v>
      </c>
      <c r="D559" s="72">
        <v>1</v>
      </c>
      <c r="E559" s="73">
        <v>4.1131951299999999E-5</v>
      </c>
    </row>
    <row r="560" spans="2:5">
      <c r="B560" s="94"/>
      <c r="C560" s="71" t="s">
        <v>214</v>
      </c>
      <c r="D560" s="72">
        <v>1</v>
      </c>
      <c r="E560" s="73">
        <v>4.1131951299999999E-5</v>
      </c>
    </row>
    <row r="561" spans="2:5">
      <c r="B561" s="95"/>
      <c r="C561" s="36" t="s">
        <v>29</v>
      </c>
      <c r="D561" s="35">
        <v>28</v>
      </c>
      <c r="E561" s="34">
        <v>1.151694636394E-3</v>
      </c>
    </row>
    <row r="562" spans="2:5">
      <c r="B562" s="93" t="s">
        <v>58</v>
      </c>
      <c r="C562" s="71" t="s">
        <v>194</v>
      </c>
      <c r="D562" s="72">
        <v>5</v>
      </c>
      <c r="E562" s="73">
        <v>2.0565975649899999E-4</v>
      </c>
    </row>
    <row r="563" spans="2:5">
      <c r="B563" s="94"/>
      <c r="C563" s="71" t="s">
        <v>195</v>
      </c>
      <c r="D563" s="72">
        <v>2</v>
      </c>
      <c r="E563" s="73">
        <v>8.2263902599999999E-5</v>
      </c>
    </row>
    <row r="564" spans="2:5">
      <c r="B564" s="94"/>
      <c r="C564" s="71" t="s">
        <v>196</v>
      </c>
      <c r="D564" s="72">
        <v>3</v>
      </c>
      <c r="E564" s="73">
        <v>1.23395853899E-4</v>
      </c>
    </row>
    <row r="565" spans="2:5">
      <c r="B565" s="94"/>
      <c r="C565" s="71" t="s">
        <v>197</v>
      </c>
      <c r="D565" s="72">
        <v>9</v>
      </c>
      <c r="E565" s="73">
        <v>3.7018756169799997E-4</v>
      </c>
    </row>
    <row r="566" spans="2:5">
      <c r="B566" s="94"/>
      <c r="C566" s="71" t="s">
        <v>198</v>
      </c>
      <c r="D566" s="72">
        <v>6</v>
      </c>
      <c r="E566" s="73">
        <v>2.4679170779900002E-4</v>
      </c>
    </row>
    <row r="567" spans="2:5">
      <c r="B567" s="94"/>
      <c r="C567" s="71" t="s">
        <v>199</v>
      </c>
      <c r="D567" s="72">
        <v>5</v>
      </c>
      <c r="E567" s="73">
        <v>2.0565975649899999E-4</v>
      </c>
    </row>
    <row r="568" spans="2:5">
      <c r="B568" s="94"/>
      <c r="C568" s="71" t="s">
        <v>200</v>
      </c>
      <c r="D568" s="72">
        <v>19</v>
      </c>
      <c r="E568" s="73">
        <v>7.8150707469600001E-4</v>
      </c>
    </row>
    <row r="569" spans="2:5">
      <c r="B569" s="94"/>
      <c r="C569" s="71" t="s">
        <v>201</v>
      </c>
      <c r="D569" s="72">
        <v>77</v>
      </c>
      <c r="E569" s="73">
        <v>3.1671602500819998E-3</v>
      </c>
    </row>
    <row r="570" spans="2:5">
      <c r="B570" s="94"/>
      <c r="C570" s="71" t="s">
        <v>202</v>
      </c>
      <c r="D570" s="72">
        <v>6</v>
      </c>
      <c r="E570" s="73">
        <v>2.4679170779900002E-4</v>
      </c>
    </row>
    <row r="571" spans="2:5">
      <c r="B571" s="94"/>
      <c r="C571" s="71" t="s">
        <v>203</v>
      </c>
      <c r="D571" s="72">
        <v>8</v>
      </c>
      <c r="E571" s="73">
        <v>3.2905561039800002E-4</v>
      </c>
    </row>
    <row r="572" spans="2:5">
      <c r="B572" s="94"/>
      <c r="C572" s="71" t="s">
        <v>204</v>
      </c>
      <c r="D572" s="72">
        <v>18</v>
      </c>
      <c r="E572" s="73">
        <v>7.4037512339599995E-4</v>
      </c>
    </row>
    <row r="573" spans="2:5">
      <c r="B573" s="94"/>
      <c r="C573" s="71" t="s">
        <v>205</v>
      </c>
      <c r="D573" s="72">
        <v>203</v>
      </c>
      <c r="E573" s="73">
        <v>8.3497861138529996E-3</v>
      </c>
    </row>
    <row r="574" spans="2:5">
      <c r="B574" s="94"/>
      <c r="C574" s="71" t="s">
        <v>206</v>
      </c>
      <c r="D574" s="72">
        <v>6</v>
      </c>
      <c r="E574" s="73">
        <v>2.4679170779900002E-4</v>
      </c>
    </row>
    <row r="575" spans="2:5">
      <c r="B575" s="94"/>
      <c r="C575" s="71" t="s">
        <v>207</v>
      </c>
      <c r="D575" s="72">
        <v>47</v>
      </c>
      <c r="E575" s="73">
        <v>1.933201711089E-3</v>
      </c>
    </row>
    <row r="576" spans="2:5">
      <c r="B576" s="94"/>
      <c r="C576" s="71" t="s">
        <v>208</v>
      </c>
      <c r="D576" s="72">
        <v>134</v>
      </c>
      <c r="E576" s="73">
        <v>5.5116814741690001E-3</v>
      </c>
    </row>
    <row r="577" spans="2:5">
      <c r="B577" s="94"/>
      <c r="C577" s="71" t="s">
        <v>210</v>
      </c>
      <c r="D577" s="72">
        <v>1</v>
      </c>
      <c r="E577" s="73">
        <v>4.1131951299999999E-5</v>
      </c>
    </row>
    <row r="578" spans="2:5">
      <c r="B578" s="94"/>
      <c r="C578" s="71" t="s">
        <v>213</v>
      </c>
      <c r="D578" s="72">
        <v>7</v>
      </c>
      <c r="E578" s="73">
        <v>2.8792365909800001E-4</v>
      </c>
    </row>
    <row r="579" spans="2:5">
      <c r="B579" s="94"/>
      <c r="C579" s="71" t="s">
        <v>214</v>
      </c>
      <c r="D579" s="72">
        <v>26</v>
      </c>
      <c r="E579" s="73">
        <v>1.0694307337940001E-3</v>
      </c>
    </row>
    <row r="580" spans="2:5">
      <c r="B580" s="94"/>
      <c r="C580" s="71" t="s">
        <v>216</v>
      </c>
      <c r="D580" s="72">
        <v>1</v>
      </c>
      <c r="E580" s="73">
        <v>4.1131951299999999E-5</v>
      </c>
    </row>
    <row r="581" spans="2:5">
      <c r="B581" s="95"/>
      <c r="C581" s="36" t="s">
        <v>29</v>
      </c>
      <c r="D581" s="35">
        <v>583</v>
      </c>
      <c r="E581" s="34">
        <v>2.3979927607765999E-2</v>
      </c>
    </row>
    <row r="582" spans="2:5">
      <c r="B582" s="93" t="s">
        <v>85</v>
      </c>
      <c r="C582" s="71" t="s">
        <v>198</v>
      </c>
      <c r="D582" s="72">
        <v>1</v>
      </c>
      <c r="E582" s="73">
        <v>4.1131951299999999E-5</v>
      </c>
    </row>
    <row r="583" spans="2:5">
      <c r="B583" s="94"/>
      <c r="C583" s="71" t="s">
        <v>200</v>
      </c>
      <c r="D583" s="72">
        <v>1</v>
      </c>
      <c r="E583" s="73">
        <v>4.1131951299999999E-5</v>
      </c>
    </row>
    <row r="584" spans="2:5">
      <c r="B584" s="94"/>
      <c r="C584" s="71" t="s">
        <v>201</v>
      </c>
      <c r="D584" s="72">
        <v>3</v>
      </c>
      <c r="E584" s="73">
        <v>1.23395853899E-4</v>
      </c>
    </row>
    <row r="585" spans="2:5">
      <c r="B585" s="94"/>
      <c r="C585" s="71" t="s">
        <v>204</v>
      </c>
      <c r="D585" s="72">
        <v>1</v>
      </c>
      <c r="E585" s="73">
        <v>4.1131951299999999E-5</v>
      </c>
    </row>
    <row r="586" spans="2:5">
      <c r="B586" s="94"/>
      <c r="C586" s="71" t="s">
        <v>205</v>
      </c>
      <c r="D586" s="72">
        <v>6</v>
      </c>
      <c r="E586" s="73">
        <v>2.4679170779900002E-4</v>
      </c>
    </row>
    <row r="587" spans="2:5">
      <c r="B587" s="94"/>
      <c r="C587" s="71" t="s">
        <v>207</v>
      </c>
      <c r="D587" s="72">
        <v>3</v>
      </c>
      <c r="E587" s="73">
        <v>1.23395853899E-4</v>
      </c>
    </row>
    <row r="588" spans="2:5">
      <c r="B588" s="94"/>
      <c r="C588" s="71" t="s">
        <v>208</v>
      </c>
      <c r="D588" s="72">
        <v>5</v>
      </c>
      <c r="E588" s="73">
        <v>2.0565975649899999E-4</v>
      </c>
    </row>
    <row r="589" spans="2:5">
      <c r="B589" s="94"/>
      <c r="C589" s="71" t="s">
        <v>213</v>
      </c>
      <c r="D589" s="72">
        <v>1</v>
      </c>
      <c r="E589" s="73">
        <v>4.1131951299999999E-5</v>
      </c>
    </row>
    <row r="590" spans="2:5">
      <c r="B590" s="94"/>
      <c r="C590" s="71" t="s">
        <v>214</v>
      </c>
      <c r="D590" s="72">
        <v>1</v>
      </c>
      <c r="E590" s="73">
        <v>4.1131951299999999E-5</v>
      </c>
    </row>
    <row r="591" spans="2:5">
      <c r="B591" s="95"/>
      <c r="C591" s="36" t="s">
        <v>29</v>
      </c>
      <c r="D591" s="35">
        <v>22</v>
      </c>
      <c r="E591" s="34">
        <v>9.0490292859500001E-4</v>
      </c>
    </row>
    <row r="592" spans="2:5">
      <c r="B592" s="93" t="s">
        <v>67</v>
      </c>
      <c r="C592" s="71" t="s">
        <v>197</v>
      </c>
      <c r="D592" s="72">
        <v>1</v>
      </c>
      <c r="E592" s="73">
        <v>4.1131951299999999E-5</v>
      </c>
    </row>
    <row r="593" spans="2:5">
      <c r="B593" s="94"/>
      <c r="C593" s="71" t="s">
        <v>198</v>
      </c>
      <c r="D593" s="72">
        <v>1</v>
      </c>
      <c r="E593" s="73">
        <v>4.1131951299999999E-5</v>
      </c>
    </row>
    <row r="594" spans="2:5">
      <c r="B594" s="94"/>
      <c r="C594" s="71" t="s">
        <v>199</v>
      </c>
      <c r="D594" s="72">
        <v>1</v>
      </c>
      <c r="E594" s="73">
        <v>4.1131951299999999E-5</v>
      </c>
    </row>
    <row r="595" spans="2:5">
      <c r="B595" s="94"/>
      <c r="C595" s="71" t="s">
        <v>200</v>
      </c>
      <c r="D595" s="72">
        <v>2</v>
      </c>
      <c r="E595" s="73">
        <v>8.2263902599999999E-5</v>
      </c>
    </row>
    <row r="596" spans="2:5">
      <c r="B596" s="94"/>
      <c r="C596" s="71" t="s">
        <v>201</v>
      </c>
      <c r="D596" s="72">
        <v>10</v>
      </c>
      <c r="E596" s="73">
        <v>4.1131951299799998E-4</v>
      </c>
    </row>
    <row r="597" spans="2:5">
      <c r="B597" s="94"/>
      <c r="C597" s="71" t="s">
        <v>202</v>
      </c>
      <c r="D597" s="72">
        <v>2</v>
      </c>
      <c r="E597" s="73">
        <v>8.2263902599999999E-5</v>
      </c>
    </row>
    <row r="598" spans="2:5">
      <c r="B598" s="94"/>
      <c r="C598" s="71" t="s">
        <v>203</v>
      </c>
      <c r="D598" s="72">
        <v>4</v>
      </c>
      <c r="E598" s="73">
        <v>1.6452780519900001E-4</v>
      </c>
    </row>
    <row r="599" spans="2:5">
      <c r="B599" s="94"/>
      <c r="C599" s="71" t="s">
        <v>204</v>
      </c>
      <c r="D599" s="72">
        <v>2</v>
      </c>
      <c r="E599" s="73">
        <v>8.2263902599999999E-5</v>
      </c>
    </row>
    <row r="600" spans="2:5">
      <c r="B600" s="94"/>
      <c r="C600" s="71" t="s">
        <v>205</v>
      </c>
      <c r="D600" s="72">
        <v>43</v>
      </c>
      <c r="E600" s="73">
        <v>1.7686739058900001E-3</v>
      </c>
    </row>
    <row r="601" spans="2:5">
      <c r="B601" s="94"/>
      <c r="C601" s="71" t="s">
        <v>206</v>
      </c>
      <c r="D601" s="72">
        <v>6</v>
      </c>
      <c r="E601" s="73">
        <v>2.4679170779900002E-4</v>
      </c>
    </row>
    <row r="602" spans="2:5">
      <c r="B602" s="94"/>
      <c r="C602" s="71" t="s">
        <v>207</v>
      </c>
      <c r="D602" s="72">
        <v>10</v>
      </c>
      <c r="E602" s="73">
        <v>4.1131951299799998E-4</v>
      </c>
    </row>
    <row r="603" spans="2:5">
      <c r="B603" s="94"/>
      <c r="C603" s="71" t="s">
        <v>208</v>
      </c>
      <c r="D603" s="72">
        <v>52</v>
      </c>
      <c r="E603" s="73">
        <v>2.1388614675880002E-3</v>
      </c>
    </row>
    <row r="604" spans="2:5">
      <c r="B604" s="94"/>
      <c r="C604" s="71" t="s">
        <v>210</v>
      </c>
      <c r="D604" s="72">
        <v>1</v>
      </c>
      <c r="E604" s="73">
        <v>4.1131951299999999E-5</v>
      </c>
    </row>
    <row r="605" spans="2:5">
      <c r="B605" s="94"/>
      <c r="C605" s="71" t="s">
        <v>212</v>
      </c>
      <c r="D605" s="72">
        <v>1</v>
      </c>
      <c r="E605" s="73">
        <v>4.1131951299999999E-5</v>
      </c>
    </row>
    <row r="606" spans="2:5">
      <c r="B606" s="94"/>
      <c r="C606" s="71" t="s">
        <v>213</v>
      </c>
      <c r="D606" s="72">
        <v>6</v>
      </c>
      <c r="E606" s="73">
        <v>2.4679170779900002E-4</v>
      </c>
    </row>
    <row r="607" spans="2:5">
      <c r="B607" s="94"/>
      <c r="C607" s="71" t="s">
        <v>214</v>
      </c>
      <c r="D607" s="72">
        <v>16</v>
      </c>
      <c r="E607" s="73">
        <v>6.5811122079600004E-4</v>
      </c>
    </row>
    <row r="608" spans="2:5">
      <c r="B608" s="95"/>
      <c r="C608" s="36" t="s">
        <v>29</v>
      </c>
      <c r="D608" s="35">
        <v>158</v>
      </c>
      <c r="E608" s="34">
        <v>6.4988483053640004E-3</v>
      </c>
    </row>
    <row r="609" spans="2:5">
      <c r="B609" s="93" t="s">
        <v>88</v>
      </c>
      <c r="C609" s="71" t="s">
        <v>200</v>
      </c>
      <c r="D609" s="72">
        <v>2</v>
      </c>
      <c r="E609" s="73">
        <v>8.2263902599999999E-5</v>
      </c>
    </row>
    <row r="610" spans="2:5">
      <c r="B610" s="94"/>
      <c r="C610" s="71" t="s">
        <v>201</v>
      </c>
      <c r="D610" s="72">
        <v>2</v>
      </c>
      <c r="E610" s="73">
        <v>8.2263902599999999E-5</v>
      </c>
    </row>
    <row r="611" spans="2:5">
      <c r="B611" s="94"/>
      <c r="C611" s="71" t="s">
        <v>205</v>
      </c>
      <c r="D611" s="72">
        <v>2</v>
      </c>
      <c r="E611" s="73">
        <v>8.2263902599999999E-5</v>
      </c>
    </row>
    <row r="612" spans="2:5">
      <c r="B612" s="94"/>
      <c r="C612" s="71" t="s">
        <v>207</v>
      </c>
      <c r="D612" s="72">
        <v>3</v>
      </c>
      <c r="E612" s="73">
        <v>1.23395853899E-4</v>
      </c>
    </row>
    <row r="613" spans="2:5">
      <c r="B613" s="94"/>
      <c r="C613" s="71" t="s">
        <v>208</v>
      </c>
      <c r="D613" s="72">
        <v>6</v>
      </c>
      <c r="E613" s="73">
        <v>2.4679170779900002E-4</v>
      </c>
    </row>
    <row r="614" spans="2:5">
      <c r="B614" s="94"/>
      <c r="C614" s="71" t="s">
        <v>210</v>
      </c>
      <c r="D614" s="72">
        <v>1</v>
      </c>
      <c r="E614" s="73">
        <v>4.1131951299999999E-5</v>
      </c>
    </row>
    <row r="615" spans="2:5">
      <c r="B615" s="94"/>
      <c r="C615" s="71" t="s">
        <v>214</v>
      </c>
      <c r="D615" s="72">
        <v>2</v>
      </c>
      <c r="E615" s="73">
        <v>8.2263902599999999E-5</v>
      </c>
    </row>
    <row r="616" spans="2:5">
      <c r="B616" s="95"/>
      <c r="C616" s="36" t="s">
        <v>29</v>
      </c>
      <c r="D616" s="35">
        <v>18</v>
      </c>
      <c r="E616" s="34">
        <v>7.4037512339599995E-4</v>
      </c>
    </row>
    <row r="617" spans="2:5">
      <c r="B617" s="93" t="s">
        <v>55</v>
      </c>
      <c r="C617" s="71" t="s">
        <v>194</v>
      </c>
      <c r="D617" s="72">
        <v>2</v>
      </c>
      <c r="E617" s="73">
        <v>8.2263902599999999E-5</v>
      </c>
    </row>
    <row r="618" spans="2:5">
      <c r="B618" s="94"/>
      <c r="C618" s="71" t="s">
        <v>195</v>
      </c>
      <c r="D618" s="72">
        <v>3</v>
      </c>
      <c r="E618" s="73">
        <v>1.23395853899E-4</v>
      </c>
    </row>
    <row r="619" spans="2:5">
      <c r="B619" s="94"/>
      <c r="C619" s="71" t="s">
        <v>196</v>
      </c>
      <c r="D619" s="72">
        <v>5</v>
      </c>
      <c r="E619" s="73">
        <v>2.0565975649899999E-4</v>
      </c>
    </row>
    <row r="620" spans="2:5">
      <c r="B620" s="94"/>
      <c r="C620" s="71" t="s">
        <v>197</v>
      </c>
      <c r="D620" s="72">
        <v>4</v>
      </c>
      <c r="E620" s="73">
        <v>1.6452780519900001E-4</v>
      </c>
    </row>
    <row r="621" spans="2:5">
      <c r="B621" s="94"/>
      <c r="C621" s="71" t="s">
        <v>198</v>
      </c>
      <c r="D621" s="72">
        <v>3</v>
      </c>
      <c r="E621" s="73">
        <v>1.23395853899E-4</v>
      </c>
    </row>
    <row r="622" spans="2:5">
      <c r="B622" s="94"/>
      <c r="C622" s="71" t="s">
        <v>199</v>
      </c>
      <c r="D622" s="72">
        <v>3</v>
      </c>
      <c r="E622" s="73">
        <v>1.23395853899E-4</v>
      </c>
    </row>
    <row r="623" spans="2:5">
      <c r="B623" s="94"/>
      <c r="C623" s="71" t="s">
        <v>200</v>
      </c>
      <c r="D623" s="72">
        <v>39</v>
      </c>
      <c r="E623" s="73">
        <v>1.6041461006909999E-3</v>
      </c>
    </row>
    <row r="624" spans="2:5">
      <c r="B624" s="94"/>
      <c r="C624" s="71" t="s">
        <v>201</v>
      </c>
      <c r="D624" s="72">
        <v>45</v>
      </c>
      <c r="E624" s="73">
        <v>1.85093780849E-3</v>
      </c>
    </row>
    <row r="625" spans="2:5">
      <c r="B625" s="94"/>
      <c r="C625" s="71" t="s">
        <v>202</v>
      </c>
      <c r="D625" s="72">
        <v>7</v>
      </c>
      <c r="E625" s="73">
        <v>2.8792365909800001E-4</v>
      </c>
    </row>
    <row r="626" spans="2:5">
      <c r="B626" s="94"/>
      <c r="C626" s="71" t="s">
        <v>203</v>
      </c>
      <c r="D626" s="72">
        <v>12</v>
      </c>
      <c r="E626" s="73">
        <v>4.9358341559699998E-4</v>
      </c>
    </row>
    <row r="627" spans="2:5">
      <c r="B627" s="94"/>
      <c r="C627" s="71" t="s">
        <v>204</v>
      </c>
      <c r="D627" s="72">
        <v>36</v>
      </c>
      <c r="E627" s="73">
        <v>1.4807502467919999E-3</v>
      </c>
    </row>
    <row r="628" spans="2:5">
      <c r="B628" s="94"/>
      <c r="C628" s="71" t="s">
        <v>205</v>
      </c>
      <c r="D628" s="72">
        <v>155</v>
      </c>
      <c r="E628" s="73">
        <v>6.3754524514640001E-3</v>
      </c>
    </row>
    <row r="629" spans="2:5">
      <c r="B629" s="94"/>
      <c r="C629" s="71" t="s">
        <v>206</v>
      </c>
      <c r="D629" s="72">
        <v>15</v>
      </c>
      <c r="E629" s="73">
        <v>6.1697926949700005E-4</v>
      </c>
    </row>
    <row r="630" spans="2:5">
      <c r="B630" s="94"/>
      <c r="C630" s="71" t="s">
        <v>207</v>
      </c>
      <c r="D630" s="72">
        <v>32</v>
      </c>
      <c r="E630" s="73">
        <v>1.3162224415929999E-3</v>
      </c>
    </row>
    <row r="631" spans="2:5">
      <c r="B631" s="94"/>
      <c r="C631" s="71" t="s">
        <v>208</v>
      </c>
      <c r="D631" s="72">
        <v>209</v>
      </c>
      <c r="E631" s="73">
        <v>8.5965778216519993E-3</v>
      </c>
    </row>
    <row r="632" spans="2:5">
      <c r="B632" s="94"/>
      <c r="C632" s="71" t="s">
        <v>209</v>
      </c>
      <c r="D632" s="72">
        <v>1</v>
      </c>
      <c r="E632" s="73">
        <v>4.1131951299999999E-5</v>
      </c>
    </row>
    <row r="633" spans="2:5">
      <c r="B633" s="94"/>
      <c r="C633" s="71" t="s">
        <v>210</v>
      </c>
      <c r="D633" s="72">
        <v>1</v>
      </c>
      <c r="E633" s="73">
        <v>4.1131951299999999E-5</v>
      </c>
    </row>
    <row r="634" spans="2:5">
      <c r="B634" s="94"/>
      <c r="C634" s="71" t="s">
        <v>212</v>
      </c>
      <c r="D634" s="72">
        <v>2</v>
      </c>
      <c r="E634" s="73">
        <v>8.2263902599999999E-5</v>
      </c>
    </row>
    <row r="635" spans="2:5">
      <c r="B635" s="94"/>
      <c r="C635" s="71" t="s">
        <v>213</v>
      </c>
      <c r="D635" s="72">
        <v>9</v>
      </c>
      <c r="E635" s="73">
        <v>3.7018756169799997E-4</v>
      </c>
    </row>
    <row r="636" spans="2:5">
      <c r="B636" s="94"/>
      <c r="C636" s="71" t="s">
        <v>214</v>
      </c>
      <c r="D636" s="72">
        <v>75</v>
      </c>
      <c r="E636" s="73">
        <v>3.084896347483E-3</v>
      </c>
    </row>
    <row r="637" spans="2:5">
      <c r="B637" s="94"/>
      <c r="C637" s="71" t="s">
        <v>216</v>
      </c>
      <c r="D637" s="72">
        <v>2</v>
      </c>
      <c r="E637" s="73">
        <v>8.2263902599999999E-5</v>
      </c>
    </row>
    <row r="638" spans="2:5">
      <c r="B638" s="95"/>
      <c r="C638" s="36" t="s">
        <v>29</v>
      </c>
      <c r="D638" s="35">
        <v>660</v>
      </c>
      <c r="E638" s="34">
        <v>2.7147087857848001E-2</v>
      </c>
    </row>
    <row r="639" spans="2:5">
      <c r="B639" s="93" t="s">
        <v>82</v>
      </c>
      <c r="C639" s="71" t="s">
        <v>198</v>
      </c>
      <c r="D639" s="72">
        <v>1</v>
      </c>
      <c r="E639" s="73">
        <v>4.1131951299999999E-5</v>
      </c>
    </row>
    <row r="640" spans="2:5">
      <c r="B640" s="94"/>
      <c r="C640" s="71" t="s">
        <v>199</v>
      </c>
      <c r="D640" s="72">
        <v>2</v>
      </c>
      <c r="E640" s="73">
        <v>8.2263902599999999E-5</v>
      </c>
    </row>
    <row r="641" spans="2:5">
      <c r="B641" s="94"/>
      <c r="C641" s="71" t="s">
        <v>201</v>
      </c>
      <c r="D641" s="72">
        <v>2</v>
      </c>
      <c r="E641" s="73">
        <v>8.2263902599999999E-5</v>
      </c>
    </row>
    <row r="642" spans="2:5">
      <c r="B642" s="94"/>
      <c r="C642" s="71" t="s">
        <v>202</v>
      </c>
      <c r="D642" s="72">
        <v>1</v>
      </c>
      <c r="E642" s="73">
        <v>4.1131951299999999E-5</v>
      </c>
    </row>
    <row r="643" spans="2:5">
      <c r="B643" s="94"/>
      <c r="C643" s="71" t="s">
        <v>203</v>
      </c>
      <c r="D643" s="72">
        <v>1</v>
      </c>
      <c r="E643" s="73">
        <v>4.1131951299999999E-5</v>
      </c>
    </row>
    <row r="644" spans="2:5">
      <c r="B644" s="94"/>
      <c r="C644" s="71" t="s">
        <v>204</v>
      </c>
      <c r="D644" s="72">
        <v>3</v>
      </c>
      <c r="E644" s="73">
        <v>1.23395853899E-4</v>
      </c>
    </row>
    <row r="645" spans="2:5">
      <c r="B645" s="94"/>
      <c r="C645" s="71" t="s">
        <v>205</v>
      </c>
      <c r="D645" s="72">
        <v>8</v>
      </c>
      <c r="E645" s="73">
        <v>3.2905561039800002E-4</v>
      </c>
    </row>
    <row r="646" spans="2:5">
      <c r="B646" s="94"/>
      <c r="C646" s="71" t="s">
        <v>207</v>
      </c>
      <c r="D646" s="72">
        <v>3</v>
      </c>
      <c r="E646" s="73">
        <v>1.23395853899E-4</v>
      </c>
    </row>
    <row r="647" spans="2:5">
      <c r="B647" s="94"/>
      <c r="C647" s="71" t="s">
        <v>208</v>
      </c>
      <c r="D647" s="72">
        <v>12</v>
      </c>
      <c r="E647" s="73">
        <v>4.9358341559699998E-4</v>
      </c>
    </row>
    <row r="648" spans="2:5">
      <c r="B648" s="95"/>
      <c r="C648" s="36" t="s">
        <v>29</v>
      </c>
      <c r="D648" s="35">
        <v>33</v>
      </c>
      <c r="E648" s="34">
        <v>1.357354392892E-3</v>
      </c>
    </row>
    <row r="649" spans="2:5">
      <c r="B649" s="93" t="s">
        <v>86</v>
      </c>
      <c r="C649" s="71" t="s">
        <v>196</v>
      </c>
      <c r="D649" s="72">
        <v>1</v>
      </c>
      <c r="E649" s="73">
        <v>4.1131951299999999E-5</v>
      </c>
    </row>
    <row r="650" spans="2:5">
      <c r="B650" s="94"/>
      <c r="C650" s="71" t="s">
        <v>197</v>
      </c>
      <c r="D650" s="72">
        <v>1</v>
      </c>
      <c r="E650" s="73">
        <v>4.1131951299999999E-5</v>
      </c>
    </row>
    <row r="651" spans="2:5">
      <c r="B651" s="94"/>
      <c r="C651" s="71" t="s">
        <v>200</v>
      </c>
      <c r="D651" s="72">
        <v>1</v>
      </c>
      <c r="E651" s="73">
        <v>4.1131951299999999E-5</v>
      </c>
    </row>
    <row r="652" spans="2:5">
      <c r="B652" s="94"/>
      <c r="C652" s="71" t="s">
        <v>201</v>
      </c>
      <c r="D652" s="72">
        <v>3</v>
      </c>
      <c r="E652" s="73">
        <v>1.23395853899E-4</v>
      </c>
    </row>
    <row r="653" spans="2:5">
      <c r="B653" s="94"/>
      <c r="C653" s="71" t="s">
        <v>202</v>
      </c>
      <c r="D653" s="72">
        <v>1</v>
      </c>
      <c r="E653" s="73">
        <v>4.1131951299999999E-5</v>
      </c>
    </row>
    <row r="654" spans="2:5">
      <c r="B654" s="94"/>
      <c r="C654" s="71" t="s">
        <v>203</v>
      </c>
      <c r="D654" s="72">
        <v>1</v>
      </c>
      <c r="E654" s="73">
        <v>4.1131951299999999E-5</v>
      </c>
    </row>
    <row r="655" spans="2:5">
      <c r="B655" s="94"/>
      <c r="C655" s="71" t="s">
        <v>205</v>
      </c>
      <c r="D655" s="72">
        <v>4</v>
      </c>
      <c r="E655" s="73">
        <v>1.6452780519900001E-4</v>
      </c>
    </row>
    <row r="656" spans="2:5">
      <c r="B656" s="94"/>
      <c r="C656" s="71" t="s">
        <v>208</v>
      </c>
      <c r="D656" s="72">
        <v>7</v>
      </c>
      <c r="E656" s="73">
        <v>2.8792365909800001E-4</v>
      </c>
    </row>
    <row r="657" spans="2:5">
      <c r="B657" s="94"/>
      <c r="C657" s="71" t="s">
        <v>214</v>
      </c>
      <c r="D657" s="72">
        <v>2</v>
      </c>
      <c r="E657" s="73">
        <v>8.2263902599999999E-5</v>
      </c>
    </row>
    <row r="658" spans="2:5">
      <c r="B658" s="95"/>
      <c r="C658" s="36" t="s">
        <v>29</v>
      </c>
      <c r="D658" s="35">
        <v>21</v>
      </c>
      <c r="E658" s="34">
        <v>8.6377097729499995E-4</v>
      </c>
    </row>
    <row r="659" spans="2:5">
      <c r="B659" s="93" t="s">
        <v>87</v>
      </c>
      <c r="C659" s="71" t="s">
        <v>195</v>
      </c>
      <c r="D659" s="72">
        <v>1</v>
      </c>
      <c r="E659" s="73">
        <v>4.1131951299999999E-5</v>
      </c>
    </row>
    <row r="660" spans="2:5">
      <c r="B660" s="94"/>
      <c r="C660" s="71" t="s">
        <v>200</v>
      </c>
      <c r="D660" s="72">
        <v>3</v>
      </c>
      <c r="E660" s="73">
        <v>1.23395853899E-4</v>
      </c>
    </row>
    <row r="661" spans="2:5">
      <c r="B661" s="94"/>
      <c r="C661" s="71" t="s">
        <v>204</v>
      </c>
      <c r="D661" s="72">
        <v>1</v>
      </c>
      <c r="E661" s="73">
        <v>4.1131951299999999E-5</v>
      </c>
    </row>
    <row r="662" spans="2:5">
      <c r="B662" s="94"/>
      <c r="C662" s="71" t="s">
        <v>205</v>
      </c>
      <c r="D662" s="72">
        <v>4</v>
      </c>
      <c r="E662" s="73">
        <v>1.6452780519900001E-4</v>
      </c>
    </row>
    <row r="663" spans="2:5">
      <c r="B663" s="94"/>
      <c r="C663" s="71" t="s">
        <v>208</v>
      </c>
      <c r="D663" s="72">
        <v>9</v>
      </c>
      <c r="E663" s="73">
        <v>3.7018756169799997E-4</v>
      </c>
    </row>
    <row r="664" spans="2:5">
      <c r="B664" s="94"/>
      <c r="C664" s="71" t="s">
        <v>213</v>
      </c>
      <c r="D664" s="72">
        <v>2</v>
      </c>
      <c r="E664" s="73">
        <v>8.2263902599999999E-5</v>
      </c>
    </row>
    <row r="665" spans="2:5">
      <c r="B665" s="94"/>
      <c r="C665" s="71" t="s">
        <v>214</v>
      </c>
      <c r="D665" s="72">
        <v>1</v>
      </c>
      <c r="E665" s="73">
        <v>4.1131951299999999E-5</v>
      </c>
    </row>
    <row r="666" spans="2:5">
      <c r="B666" s="95"/>
      <c r="C666" s="36" t="s">
        <v>29</v>
      </c>
      <c r="D666" s="35">
        <v>21</v>
      </c>
      <c r="E666" s="34">
        <v>8.6377097729499995E-4</v>
      </c>
    </row>
    <row r="667" spans="2:5">
      <c r="B667" s="93" t="s">
        <v>80</v>
      </c>
      <c r="C667" s="71" t="s">
        <v>196</v>
      </c>
      <c r="D667" s="72">
        <v>1</v>
      </c>
      <c r="E667" s="73">
        <v>4.1131951299999999E-5</v>
      </c>
    </row>
    <row r="668" spans="2:5">
      <c r="B668" s="94"/>
      <c r="C668" s="71" t="s">
        <v>197</v>
      </c>
      <c r="D668" s="72">
        <v>1</v>
      </c>
      <c r="E668" s="73">
        <v>4.1131951299999999E-5</v>
      </c>
    </row>
    <row r="669" spans="2:5">
      <c r="B669" s="94"/>
      <c r="C669" s="71" t="s">
        <v>199</v>
      </c>
      <c r="D669" s="72">
        <v>1</v>
      </c>
      <c r="E669" s="73">
        <v>4.1131951299999999E-5</v>
      </c>
    </row>
    <row r="670" spans="2:5">
      <c r="B670" s="94"/>
      <c r="C670" s="71" t="s">
        <v>200</v>
      </c>
      <c r="D670" s="72">
        <v>4</v>
      </c>
      <c r="E670" s="73">
        <v>1.6452780519900001E-4</v>
      </c>
    </row>
    <row r="671" spans="2:5">
      <c r="B671" s="94"/>
      <c r="C671" s="71" t="s">
        <v>201</v>
      </c>
      <c r="D671" s="72">
        <v>7</v>
      </c>
      <c r="E671" s="73">
        <v>2.8792365909800001E-4</v>
      </c>
    </row>
    <row r="672" spans="2:5">
      <c r="B672" s="94"/>
      <c r="C672" s="71" t="s">
        <v>202</v>
      </c>
      <c r="D672" s="72">
        <v>1</v>
      </c>
      <c r="E672" s="73">
        <v>4.1131951299999999E-5</v>
      </c>
    </row>
    <row r="673" spans="2:5">
      <c r="B673" s="94"/>
      <c r="C673" s="71" t="s">
        <v>205</v>
      </c>
      <c r="D673" s="72">
        <v>9</v>
      </c>
      <c r="E673" s="73">
        <v>3.7018756169799997E-4</v>
      </c>
    </row>
    <row r="674" spans="2:5">
      <c r="B674" s="94"/>
      <c r="C674" s="71" t="s">
        <v>207</v>
      </c>
      <c r="D674" s="72">
        <v>2</v>
      </c>
      <c r="E674" s="73">
        <v>8.2263902599999999E-5</v>
      </c>
    </row>
    <row r="675" spans="2:5">
      <c r="B675" s="94"/>
      <c r="C675" s="71" t="s">
        <v>208</v>
      </c>
      <c r="D675" s="72">
        <v>6</v>
      </c>
      <c r="E675" s="73">
        <v>2.4679170779900002E-4</v>
      </c>
    </row>
    <row r="676" spans="2:5">
      <c r="B676" s="94"/>
      <c r="C676" s="71" t="s">
        <v>209</v>
      </c>
      <c r="D676" s="72">
        <v>2</v>
      </c>
      <c r="E676" s="73">
        <v>8.2263902599999999E-5</v>
      </c>
    </row>
    <row r="677" spans="2:5">
      <c r="B677" s="94"/>
      <c r="C677" s="71" t="s">
        <v>213</v>
      </c>
      <c r="D677" s="72">
        <v>2</v>
      </c>
      <c r="E677" s="73">
        <v>8.2263902599999999E-5</v>
      </c>
    </row>
    <row r="678" spans="2:5">
      <c r="B678" s="94"/>
      <c r="C678" s="71" t="s">
        <v>214</v>
      </c>
      <c r="D678" s="72">
        <v>1</v>
      </c>
      <c r="E678" s="73">
        <v>4.1131951299999999E-5</v>
      </c>
    </row>
    <row r="679" spans="2:5">
      <c r="B679" s="95"/>
      <c r="C679" s="36" t="s">
        <v>29</v>
      </c>
      <c r="D679" s="35">
        <v>37</v>
      </c>
      <c r="E679" s="34">
        <v>1.521882198091E-3</v>
      </c>
    </row>
    <row r="680" spans="2:5">
      <c r="B680" s="93" t="s">
        <v>78</v>
      </c>
      <c r="C680" s="71" t="s">
        <v>196</v>
      </c>
      <c r="D680" s="72">
        <v>1</v>
      </c>
      <c r="E680" s="73">
        <v>4.1131951299999999E-5</v>
      </c>
    </row>
    <row r="681" spans="2:5">
      <c r="B681" s="94"/>
      <c r="C681" s="71" t="s">
        <v>199</v>
      </c>
      <c r="D681" s="72">
        <v>1</v>
      </c>
      <c r="E681" s="73">
        <v>4.1131951299999999E-5</v>
      </c>
    </row>
    <row r="682" spans="2:5">
      <c r="B682" s="94"/>
      <c r="C682" s="71" t="s">
        <v>200</v>
      </c>
      <c r="D682" s="72">
        <v>2</v>
      </c>
      <c r="E682" s="73">
        <v>8.2263902599999999E-5</v>
      </c>
    </row>
    <row r="683" spans="2:5">
      <c r="B683" s="94"/>
      <c r="C683" s="71" t="s">
        <v>201</v>
      </c>
      <c r="D683" s="72">
        <v>2</v>
      </c>
      <c r="E683" s="73">
        <v>8.2263902599999999E-5</v>
      </c>
    </row>
    <row r="684" spans="2:5">
      <c r="B684" s="94"/>
      <c r="C684" s="71" t="s">
        <v>202</v>
      </c>
      <c r="D684" s="72">
        <v>1</v>
      </c>
      <c r="E684" s="73">
        <v>4.1131951299999999E-5</v>
      </c>
    </row>
    <row r="685" spans="2:5">
      <c r="B685" s="94"/>
      <c r="C685" s="71" t="s">
        <v>203</v>
      </c>
      <c r="D685" s="72">
        <v>1</v>
      </c>
      <c r="E685" s="73">
        <v>4.1131951299999999E-5</v>
      </c>
    </row>
    <row r="686" spans="2:5">
      <c r="B686" s="94"/>
      <c r="C686" s="71" t="s">
        <v>204</v>
      </c>
      <c r="D686" s="72">
        <v>1</v>
      </c>
      <c r="E686" s="73">
        <v>4.1131951299999999E-5</v>
      </c>
    </row>
    <row r="687" spans="2:5">
      <c r="B687" s="94"/>
      <c r="C687" s="71" t="s">
        <v>205</v>
      </c>
      <c r="D687" s="72">
        <v>14</v>
      </c>
      <c r="E687" s="73">
        <v>5.7584731819699999E-4</v>
      </c>
    </row>
    <row r="688" spans="2:5">
      <c r="B688" s="94"/>
      <c r="C688" s="71" t="s">
        <v>206</v>
      </c>
      <c r="D688" s="72">
        <v>1</v>
      </c>
      <c r="E688" s="73">
        <v>4.1131951299999999E-5</v>
      </c>
    </row>
    <row r="689" spans="2:5">
      <c r="B689" s="94"/>
      <c r="C689" s="71" t="s">
        <v>207</v>
      </c>
      <c r="D689" s="72">
        <v>2</v>
      </c>
      <c r="E689" s="73">
        <v>8.2263902599999999E-5</v>
      </c>
    </row>
    <row r="690" spans="2:5">
      <c r="B690" s="94"/>
      <c r="C690" s="71" t="s">
        <v>208</v>
      </c>
      <c r="D690" s="72">
        <v>11</v>
      </c>
      <c r="E690" s="73">
        <v>4.5245146429700003E-4</v>
      </c>
    </row>
    <row r="691" spans="2:5">
      <c r="B691" s="94"/>
      <c r="C691" s="71" t="s">
        <v>214</v>
      </c>
      <c r="D691" s="72">
        <v>2</v>
      </c>
      <c r="E691" s="73">
        <v>8.2263902599999999E-5</v>
      </c>
    </row>
    <row r="692" spans="2:5">
      <c r="B692" s="95"/>
      <c r="C692" s="36" t="s">
        <v>29</v>
      </c>
      <c r="D692" s="35">
        <v>39</v>
      </c>
      <c r="E692" s="34">
        <v>1.6041461006909999E-3</v>
      </c>
    </row>
    <row r="693" spans="2:5">
      <c r="B693" s="93" t="s">
        <v>96</v>
      </c>
      <c r="C693" s="71" t="s">
        <v>205</v>
      </c>
      <c r="D693" s="72">
        <v>1</v>
      </c>
      <c r="E693" s="73">
        <v>4.1131951299999999E-5</v>
      </c>
    </row>
    <row r="694" spans="2:5">
      <c r="B694" s="94"/>
      <c r="C694" s="71" t="s">
        <v>208</v>
      </c>
      <c r="D694" s="72">
        <v>3</v>
      </c>
      <c r="E694" s="73">
        <v>1.23395853899E-4</v>
      </c>
    </row>
    <row r="695" spans="2:5">
      <c r="B695" s="94"/>
      <c r="C695" s="71" t="s">
        <v>216</v>
      </c>
      <c r="D695" s="72">
        <v>1</v>
      </c>
      <c r="E695" s="73">
        <v>4.1131951299999999E-5</v>
      </c>
    </row>
    <row r="696" spans="2:5">
      <c r="B696" s="95"/>
      <c r="C696" s="36" t="s">
        <v>29</v>
      </c>
      <c r="D696" s="35">
        <v>5</v>
      </c>
      <c r="E696" s="34">
        <v>2.0565975649899999E-4</v>
      </c>
    </row>
    <row r="697" spans="2:5">
      <c r="B697" s="93" t="s">
        <v>97</v>
      </c>
      <c r="C697" s="71" t="s">
        <v>205</v>
      </c>
      <c r="D697" s="72">
        <v>1</v>
      </c>
      <c r="E697" s="73">
        <v>4.1131951299999999E-5</v>
      </c>
    </row>
    <row r="698" spans="2:5">
      <c r="B698" s="94"/>
      <c r="C698" s="71" t="s">
        <v>208</v>
      </c>
      <c r="D698" s="72">
        <v>1</v>
      </c>
      <c r="E698" s="73">
        <v>4.1131951299999999E-5</v>
      </c>
    </row>
    <row r="699" spans="2:5">
      <c r="B699" s="94"/>
      <c r="C699" s="71" t="s">
        <v>214</v>
      </c>
      <c r="D699" s="72">
        <v>1</v>
      </c>
      <c r="E699" s="73">
        <v>4.1131951299999999E-5</v>
      </c>
    </row>
    <row r="700" spans="2:5">
      <c r="B700" s="95"/>
      <c r="C700" s="36" t="s">
        <v>29</v>
      </c>
      <c r="D700" s="35">
        <v>3</v>
      </c>
      <c r="E700" s="34">
        <v>1.23395853899E-4</v>
      </c>
    </row>
    <row r="701" spans="2:5">
      <c r="B701" s="93" t="s">
        <v>70</v>
      </c>
      <c r="C701" s="71" t="s">
        <v>194</v>
      </c>
      <c r="D701" s="72">
        <v>1</v>
      </c>
      <c r="E701" s="73">
        <v>4.1131951299999999E-5</v>
      </c>
    </row>
    <row r="702" spans="2:5">
      <c r="B702" s="94"/>
      <c r="C702" s="71" t="s">
        <v>198</v>
      </c>
      <c r="D702" s="72">
        <v>1</v>
      </c>
      <c r="E702" s="73">
        <v>4.1131951299999999E-5</v>
      </c>
    </row>
    <row r="703" spans="2:5">
      <c r="B703" s="94"/>
      <c r="C703" s="71" t="s">
        <v>200</v>
      </c>
      <c r="D703" s="72">
        <v>10</v>
      </c>
      <c r="E703" s="73">
        <v>4.1131951299799998E-4</v>
      </c>
    </row>
    <row r="704" spans="2:5">
      <c r="B704" s="94"/>
      <c r="C704" s="71" t="s">
        <v>201</v>
      </c>
      <c r="D704" s="72">
        <v>7</v>
      </c>
      <c r="E704" s="73">
        <v>2.8792365909800001E-4</v>
      </c>
    </row>
    <row r="705" spans="2:5">
      <c r="B705" s="94"/>
      <c r="C705" s="71" t="s">
        <v>203</v>
      </c>
      <c r="D705" s="72">
        <v>2</v>
      </c>
      <c r="E705" s="73">
        <v>8.2263902599999999E-5</v>
      </c>
    </row>
    <row r="706" spans="2:5">
      <c r="B706" s="94"/>
      <c r="C706" s="71" t="s">
        <v>204</v>
      </c>
      <c r="D706" s="72">
        <v>1</v>
      </c>
      <c r="E706" s="73">
        <v>4.1131951299999999E-5</v>
      </c>
    </row>
    <row r="707" spans="2:5">
      <c r="B707" s="94"/>
      <c r="C707" s="71" t="s">
        <v>205</v>
      </c>
      <c r="D707" s="72">
        <v>23</v>
      </c>
      <c r="E707" s="73">
        <v>9.4603487989499996E-4</v>
      </c>
    </row>
    <row r="708" spans="2:5">
      <c r="B708" s="94"/>
      <c r="C708" s="71" t="s">
        <v>206</v>
      </c>
      <c r="D708" s="72">
        <v>1</v>
      </c>
      <c r="E708" s="73">
        <v>4.1131951299999999E-5</v>
      </c>
    </row>
    <row r="709" spans="2:5">
      <c r="B709" s="94"/>
      <c r="C709" s="71" t="s">
        <v>207</v>
      </c>
      <c r="D709" s="72">
        <v>3</v>
      </c>
      <c r="E709" s="73">
        <v>1.23395853899E-4</v>
      </c>
    </row>
    <row r="710" spans="2:5">
      <c r="B710" s="94"/>
      <c r="C710" s="71" t="s">
        <v>208</v>
      </c>
      <c r="D710" s="72">
        <v>24</v>
      </c>
      <c r="E710" s="73">
        <v>9.8716683119399995E-4</v>
      </c>
    </row>
    <row r="711" spans="2:5">
      <c r="B711" s="94"/>
      <c r="C711" s="71" t="s">
        <v>213</v>
      </c>
      <c r="D711" s="72">
        <v>4</v>
      </c>
      <c r="E711" s="73">
        <v>1.6452780519900001E-4</v>
      </c>
    </row>
    <row r="712" spans="2:5">
      <c r="B712" s="94"/>
      <c r="C712" s="71" t="s">
        <v>214</v>
      </c>
      <c r="D712" s="72">
        <v>4</v>
      </c>
      <c r="E712" s="73">
        <v>1.6452780519900001E-4</v>
      </c>
    </row>
    <row r="713" spans="2:5">
      <c r="B713" s="95"/>
      <c r="C713" s="36" t="s">
        <v>29</v>
      </c>
      <c r="D713" s="35">
        <v>81</v>
      </c>
      <c r="E713" s="34">
        <v>3.331688055281E-3</v>
      </c>
    </row>
    <row r="714" spans="2:5">
      <c r="B714" s="93" t="s">
        <v>98</v>
      </c>
      <c r="C714" s="71" t="s">
        <v>194</v>
      </c>
      <c r="D714" s="72">
        <v>1</v>
      </c>
      <c r="E714" s="73">
        <v>4.1131951299999999E-5</v>
      </c>
    </row>
    <row r="715" spans="2:5">
      <c r="B715" s="94"/>
      <c r="C715" s="71" t="s">
        <v>205</v>
      </c>
      <c r="D715" s="72">
        <v>1</v>
      </c>
      <c r="E715" s="73">
        <v>4.1131951299999999E-5</v>
      </c>
    </row>
    <row r="716" spans="2:5">
      <c r="B716" s="94"/>
      <c r="C716" s="71" t="s">
        <v>208</v>
      </c>
      <c r="D716" s="72">
        <v>1</v>
      </c>
      <c r="E716" s="73">
        <v>4.1131951299999999E-5</v>
      </c>
    </row>
    <row r="717" spans="2:5">
      <c r="B717" s="95"/>
      <c r="C717" s="36" t="s">
        <v>29</v>
      </c>
      <c r="D717" s="35">
        <v>3</v>
      </c>
      <c r="E717" s="34">
        <v>1.23395853899E-4</v>
      </c>
    </row>
    <row r="718" spans="2:5">
      <c r="B718" s="91" t="s">
        <v>29</v>
      </c>
      <c r="C718" s="92"/>
      <c r="D718" s="67">
        <v>24312</v>
      </c>
      <c r="E718" s="68">
        <v>1</v>
      </c>
    </row>
    <row r="720" spans="2:5" ht="15" customHeight="1">
      <c r="B720" s="12" t="s">
        <v>47</v>
      </c>
    </row>
    <row r="721" spans="2:2" ht="15" customHeight="1">
      <c r="B721" s="14" t="s">
        <v>18</v>
      </c>
    </row>
    <row r="722" spans="2:2" ht="15" customHeight="1">
      <c r="B722" s="13" t="s">
        <v>48</v>
      </c>
    </row>
    <row r="723" spans="2:2" ht="15" customHeight="1">
      <c r="B723" s="12" t="s">
        <v>17</v>
      </c>
    </row>
    <row r="724" spans="2:2" ht="15" customHeight="1">
      <c r="B724" s="12" t="s">
        <v>49</v>
      </c>
    </row>
  </sheetData>
  <mergeCells count="53">
    <mergeCell ref="B7:E8"/>
    <mergeCell ref="B617:B638"/>
    <mergeCell ref="B531:B546"/>
    <mergeCell ref="B547:B552"/>
    <mergeCell ref="B553:B561"/>
    <mergeCell ref="B562:B581"/>
    <mergeCell ref="B582:B591"/>
    <mergeCell ref="B335:B355"/>
    <mergeCell ref="B356:B368"/>
    <mergeCell ref="B229:B241"/>
    <mergeCell ref="B592:B608"/>
    <mergeCell ref="B609:B616"/>
    <mergeCell ref="B435:B454"/>
    <mergeCell ref="B455:B465"/>
    <mergeCell ref="B466:B486"/>
    <mergeCell ref="B487:B501"/>
    <mergeCell ref="B502:B524"/>
    <mergeCell ref="B525:B530"/>
    <mergeCell ref="B242:B266"/>
    <mergeCell ref="B267:B280"/>
    <mergeCell ref="B281:B298"/>
    <mergeCell ref="B299:B321"/>
    <mergeCell ref="B322:B334"/>
    <mergeCell ref="B369:B394"/>
    <mergeCell ref="B395:B413"/>
    <mergeCell ref="B414:B427"/>
    <mergeCell ref="B428:B432"/>
    <mergeCell ref="B433:B434"/>
    <mergeCell ref="B10:B23"/>
    <mergeCell ref="B24:B45"/>
    <mergeCell ref="B46:B68"/>
    <mergeCell ref="B69:B75"/>
    <mergeCell ref="B76:B86"/>
    <mergeCell ref="B87:B111"/>
    <mergeCell ref="B112:B114"/>
    <mergeCell ref="B115:B134"/>
    <mergeCell ref="B135:B159"/>
    <mergeCell ref="B160:B163"/>
    <mergeCell ref="B164:B175"/>
    <mergeCell ref="B176:B195"/>
    <mergeCell ref="B196:B202"/>
    <mergeCell ref="B203:B210"/>
    <mergeCell ref="B211:B228"/>
    <mergeCell ref="B639:B648"/>
    <mergeCell ref="B649:B658"/>
    <mergeCell ref="B659:B666"/>
    <mergeCell ref="B667:B679"/>
    <mergeCell ref="B680:B692"/>
    <mergeCell ref="B693:B696"/>
    <mergeCell ref="B697:B700"/>
    <mergeCell ref="B701:B713"/>
    <mergeCell ref="B714:B717"/>
    <mergeCell ref="B718:C71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E20"/>
  <sheetViews>
    <sheetView showGridLines="0" view="pageBreakPreview" topLeftCell="A8" zoomScale="115" zoomScaleNormal="100" zoomScaleSheetLayoutView="115" workbookViewId="0">
      <selection activeCell="A20" sqref="A12:XFD20"/>
    </sheetView>
  </sheetViews>
  <sheetFormatPr baseColWidth="10" defaultColWidth="11.42578125" defaultRowHeight="15"/>
  <cols>
    <col min="1" max="1" width="9.28515625" style="10" customWidth="1"/>
    <col min="2" max="2" width="21.7109375" style="10" customWidth="1"/>
    <col min="3" max="3" width="17.7109375" style="11" customWidth="1"/>
    <col min="4" max="4" width="17.7109375" style="10" customWidth="1"/>
    <col min="5" max="5" width="9.28515625" style="10" customWidth="1"/>
    <col min="6" max="6" width="5.7109375" style="10" customWidth="1"/>
    <col min="7" max="16384" width="11.42578125" style="10"/>
  </cols>
  <sheetData>
    <row r="1" spans="2:5" s="22" customFormat="1" ht="15" customHeight="1">
      <c r="C1" s="28"/>
    </row>
    <row r="2" spans="2:5" s="22" customFormat="1" ht="15" customHeight="1">
      <c r="C2" s="28"/>
    </row>
    <row r="3" spans="2:5" s="22" customFormat="1" ht="15" customHeight="1">
      <c r="C3" s="28"/>
    </row>
    <row r="4" spans="2:5" s="22" customFormat="1" ht="30" customHeight="1">
      <c r="C4" s="28"/>
      <c r="D4" s="27"/>
    </row>
    <row r="5" spans="2:5" s="22" customFormat="1" ht="15" customHeight="1">
      <c r="C5" s="28"/>
      <c r="D5" s="27"/>
    </row>
    <row r="6" spans="2:5" s="22" customFormat="1" ht="15" customHeight="1">
      <c r="C6" s="28"/>
      <c r="D6" s="27"/>
    </row>
    <row r="7" spans="2:5" s="22" customFormat="1" ht="15" customHeight="1">
      <c r="B7" s="90" t="s">
        <v>37</v>
      </c>
      <c r="C7" s="90"/>
      <c r="D7" s="90"/>
    </row>
    <row r="8" spans="2:5" s="22" customFormat="1" ht="15" customHeight="1">
      <c r="B8" s="90"/>
      <c r="C8" s="90"/>
      <c r="D8" s="90"/>
    </row>
    <row r="9" spans="2:5" s="22" customFormat="1" ht="33" customHeight="1">
      <c r="B9" s="90"/>
      <c r="C9" s="90"/>
      <c r="D9" s="90"/>
    </row>
    <row r="10" spans="2:5" s="22" customFormat="1" ht="4.5" customHeight="1">
      <c r="B10" s="26"/>
      <c r="C10" s="26"/>
      <c r="D10" s="26"/>
    </row>
    <row r="11" spans="2:5" s="22" customFormat="1" ht="33" customHeight="1">
      <c r="B11" s="25" t="s">
        <v>30</v>
      </c>
      <c r="C11" s="24" t="s">
        <v>20</v>
      </c>
      <c r="D11" s="23" t="s">
        <v>19</v>
      </c>
    </row>
    <row r="12" spans="2:5" ht="14.45" customHeight="1">
      <c r="B12" s="20" t="s">
        <v>149</v>
      </c>
      <c r="C12" s="19">
        <v>12130</v>
      </c>
      <c r="D12" s="18">
        <v>0.49893056926620599</v>
      </c>
    </row>
    <row r="13" spans="2:5" ht="14.45" customHeight="1">
      <c r="B13" s="20" t="s">
        <v>150</v>
      </c>
      <c r="C13" s="19">
        <v>12182</v>
      </c>
      <c r="D13" s="18">
        <v>0.50106943073379395</v>
      </c>
    </row>
    <row r="14" spans="2:5" ht="14.45" customHeight="1">
      <c r="B14" s="17" t="s">
        <v>29</v>
      </c>
      <c r="C14" s="16">
        <v>24312</v>
      </c>
      <c r="D14" s="15">
        <v>1</v>
      </c>
    </row>
    <row r="15" spans="2:5" ht="14.45" customHeight="1">
      <c r="B15" s="21"/>
      <c r="C15" s="48"/>
      <c r="D15" s="48"/>
      <c r="E15" s="21"/>
    </row>
    <row r="16" spans="2:5" ht="14.45" customHeight="1">
      <c r="B16" s="12" t="s">
        <v>47</v>
      </c>
      <c r="C16" s="48"/>
      <c r="D16" s="48"/>
      <c r="E16" s="21"/>
    </row>
    <row r="17" spans="2:4" ht="14.45" customHeight="1">
      <c r="B17" s="14" t="s">
        <v>18</v>
      </c>
      <c r="C17" s="47"/>
      <c r="D17" s="47"/>
    </row>
    <row r="18" spans="2:4" ht="14.45" customHeight="1">
      <c r="B18" s="13" t="s">
        <v>48</v>
      </c>
      <c r="C18" s="46"/>
      <c r="D18" s="46"/>
    </row>
    <row r="19" spans="2:4" ht="14.45" customHeight="1">
      <c r="B19" s="12" t="s">
        <v>17</v>
      </c>
    </row>
    <row r="20" spans="2:4" ht="14.45" customHeight="1">
      <c r="B20" s="12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69"/>
  <sheetViews>
    <sheetView showGridLines="0" view="pageBreakPreview" zoomScaleNormal="100" zoomScaleSheetLayoutView="100" workbookViewId="0">
      <selection activeCell="B168" sqref="B168"/>
    </sheetView>
  </sheetViews>
  <sheetFormatPr baseColWidth="10" defaultColWidth="11.42578125" defaultRowHeight="11.25"/>
  <cols>
    <col min="1" max="1" width="5.7109375" style="22" customWidth="1"/>
    <col min="2" max="3" width="23.7109375" style="41" customWidth="1"/>
    <col min="4" max="4" width="15.7109375" style="44" customWidth="1"/>
    <col min="5" max="5" width="15.7109375" style="41" customWidth="1"/>
    <col min="6" max="6" width="2.5703125" style="22" customWidth="1"/>
    <col min="7" max="16384" width="11.42578125" style="22"/>
  </cols>
  <sheetData>
    <row r="1" spans="2:6" s="10" customFormat="1" ht="15">
      <c r="B1" s="41"/>
      <c r="C1" s="41"/>
    </row>
    <row r="2" spans="2:6" s="41" customFormat="1">
      <c r="B2" s="50"/>
    </row>
    <row r="3" spans="2:6" ht="15" customHeight="1">
      <c r="B3" s="51"/>
      <c r="C3" s="28"/>
      <c r="D3" s="22"/>
      <c r="F3" s="41"/>
    </row>
    <row r="4" spans="2:6" ht="30" customHeight="1">
      <c r="B4" s="51"/>
      <c r="C4" s="28"/>
      <c r="D4" s="22"/>
      <c r="F4" s="41"/>
    </row>
    <row r="5" spans="2:6" ht="15" customHeight="1">
      <c r="B5" s="51"/>
      <c r="C5" s="28"/>
      <c r="D5" s="22"/>
      <c r="F5" s="41"/>
    </row>
    <row r="6" spans="2:6" s="41" customFormat="1">
      <c r="B6" s="43"/>
      <c r="C6" s="37"/>
    </row>
    <row r="7" spans="2:6" s="41" customFormat="1">
      <c r="B7" s="50"/>
    </row>
    <row r="8" spans="2:6" s="10" customFormat="1" ht="15" customHeight="1">
      <c r="B8" s="90" t="s">
        <v>39</v>
      </c>
      <c r="C8" s="90"/>
      <c r="D8" s="90"/>
      <c r="E8" s="90"/>
    </row>
    <row r="9" spans="2:6" s="10" customFormat="1" ht="15" customHeight="1">
      <c r="B9" s="90"/>
      <c r="C9" s="90"/>
      <c r="D9" s="90"/>
      <c r="E9" s="90"/>
      <c r="F9" s="49"/>
    </row>
    <row r="10" spans="2:6" s="10" customFormat="1" ht="15" customHeight="1">
      <c r="B10" s="90"/>
      <c r="C10" s="90"/>
      <c r="D10" s="90"/>
      <c r="E10" s="90"/>
    </row>
    <row r="11" spans="2:6" s="10" customFormat="1" ht="15" customHeight="1">
      <c r="B11" s="52"/>
      <c r="C11" s="52"/>
      <c r="D11" s="52"/>
      <c r="E11" s="52"/>
    </row>
    <row r="12" spans="2:6" s="10" customFormat="1" ht="36.950000000000003" customHeight="1">
      <c r="B12" s="56" t="s">
        <v>22</v>
      </c>
      <c r="C12" s="56" t="s">
        <v>30</v>
      </c>
      <c r="D12" s="56" t="s">
        <v>20</v>
      </c>
      <c r="E12" s="56" t="s">
        <v>19</v>
      </c>
    </row>
    <row r="13" spans="2:6" ht="14.45" customHeight="1">
      <c r="B13" s="93" t="s">
        <v>77</v>
      </c>
      <c r="C13" s="71" t="s">
        <v>149</v>
      </c>
      <c r="D13" s="72">
        <v>18</v>
      </c>
      <c r="E13" s="73">
        <v>7.4037512339599995E-4</v>
      </c>
    </row>
    <row r="14" spans="2:6" ht="14.45" customHeight="1">
      <c r="B14" s="94"/>
      <c r="C14" s="71" t="s">
        <v>150</v>
      </c>
      <c r="D14" s="72">
        <v>21</v>
      </c>
      <c r="E14" s="73">
        <v>8.6377097729499995E-4</v>
      </c>
    </row>
    <row r="15" spans="2:6" ht="14.45" customHeight="1">
      <c r="B15" s="95"/>
      <c r="C15" s="62" t="s">
        <v>29</v>
      </c>
      <c r="D15" s="63">
        <v>39</v>
      </c>
      <c r="E15" s="64">
        <v>1.6041461006909999E-3</v>
      </c>
    </row>
    <row r="16" spans="2:6" ht="14.45" customHeight="1">
      <c r="B16" s="93" t="s">
        <v>56</v>
      </c>
      <c r="C16" s="71" t="s">
        <v>149</v>
      </c>
      <c r="D16" s="72">
        <v>264</v>
      </c>
      <c r="E16" s="73">
        <v>1.0858835143139E-2</v>
      </c>
    </row>
    <row r="17" spans="2:5" ht="14.45" customHeight="1">
      <c r="B17" s="94"/>
      <c r="C17" s="71" t="s">
        <v>150</v>
      </c>
      <c r="D17" s="72">
        <v>368</v>
      </c>
      <c r="E17" s="73">
        <v>1.5136558078315E-2</v>
      </c>
    </row>
    <row r="18" spans="2:5" ht="14.45" customHeight="1">
      <c r="B18" s="95" t="s">
        <v>331</v>
      </c>
      <c r="C18" s="62" t="s">
        <v>29</v>
      </c>
      <c r="D18" s="63">
        <v>632</v>
      </c>
      <c r="E18" s="64">
        <v>2.5995393221454E-2</v>
      </c>
    </row>
    <row r="19" spans="2:5" ht="14.45" customHeight="1">
      <c r="B19" s="93" t="s">
        <v>60</v>
      </c>
      <c r="C19" s="71" t="s">
        <v>149</v>
      </c>
      <c r="D19" s="72">
        <v>224</v>
      </c>
      <c r="E19" s="73">
        <v>9.2135570911479996E-3</v>
      </c>
    </row>
    <row r="20" spans="2:5" ht="14.45" customHeight="1">
      <c r="B20" s="94"/>
      <c r="C20" s="71" t="s">
        <v>150</v>
      </c>
      <c r="D20" s="72">
        <v>253</v>
      </c>
      <c r="E20" s="73">
        <v>1.0406383678842E-2</v>
      </c>
    </row>
    <row r="21" spans="2:5" ht="14.45" customHeight="1">
      <c r="B21" s="95" t="s">
        <v>332</v>
      </c>
      <c r="C21" s="62" t="s">
        <v>29</v>
      </c>
      <c r="D21" s="63">
        <v>477</v>
      </c>
      <c r="E21" s="64">
        <v>1.9619940769990001E-2</v>
      </c>
    </row>
    <row r="22" spans="2:5" ht="14.45" customHeight="1">
      <c r="B22" s="93" t="s">
        <v>90</v>
      </c>
      <c r="C22" s="71" t="s">
        <v>149</v>
      </c>
      <c r="D22" s="72">
        <v>2</v>
      </c>
      <c r="E22" s="73">
        <v>8.2263902599999999E-5</v>
      </c>
    </row>
    <row r="23" spans="2:5" ht="14.45" customHeight="1">
      <c r="B23" s="94"/>
      <c r="C23" s="71" t="s">
        <v>150</v>
      </c>
      <c r="D23" s="72">
        <v>10</v>
      </c>
      <c r="E23" s="73">
        <v>4.1131951299799998E-4</v>
      </c>
    </row>
    <row r="24" spans="2:5" ht="14.45" customHeight="1">
      <c r="B24" s="95" t="s">
        <v>333</v>
      </c>
      <c r="C24" s="62" t="s">
        <v>29</v>
      </c>
      <c r="D24" s="63">
        <v>12</v>
      </c>
      <c r="E24" s="64">
        <v>4.9358341559699998E-4</v>
      </c>
    </row>
    <row r="25" spans="2:5" ht="14.45" customHeight="1">
      <c r="B25" s="93" t="s">
        <v>84</v>
      </c>
      <c r="C25" s="71" t="s">
        <v>149</v>
      </c>
      <c r="D25" s="72">
        <v>7</v>
      </c>
      <c r="E25" s="73">
        <v>2.8792365909800001E-4</v>
      </c>
    </row>
    <row r="26" spans="2:5" ht="14.45" customHeight="1">
      <c r="B26" s="94"/>
      <c r="C26" s="71" t="s">
        <v>150</v>
      </c>
      <c r="D26" s="72">
        <v>16</v>
      </c>
      <c r="E26" s="73">
        <v>6.5811122079600004E-4</v>
      </c>
    </row>
    <row r="27" spans="2:5" ht="14.45" customHeight="1">
      <c r="B27" s="95" t="s">
        <v>334</v>
      </c>
      <c r="C27" s="62" t="s">
        <v>29</v>
      </c>
      <c r="D27" s="63">
        <v>23</v>
      </c>
      <c r="E27" s="64">
        <v>9.4603487989499996E-4</v>
      </c>
    </row>
    <row r="28" spans="2:5" ht="14.45" customHeight="1">
      <c r="B28" s="93" t="s">
        <v>52</v>
      </c>
      <c r="C28" s="71" t="s">
        <v>149</v>
      </c>
      <c r="D28" s="72">
        <v>1630</v>
      </c>
      <c r="E28" s="73">
        <v>6.7045080618625005E-2</v>
      </c>
    </row>
    <row r="29" spans="2:5" ht="14.45" customHeight="1">
      <c r="B29" s="94"/>
      <c r="C29" s="71" t="s">
        <v>150</v>
      </c>
      <c r="D29" s="72">
        <v>1381</v>
      </c>
      <c r="E29" s="73">
        <v>5.6803224744981999E-2</v>
      </c>
    </row>
    <row r="30" spans="2:5" ht="14.45" customHeight="1">
      <c r="B30" s="95" t="s">
        <v>335</v>
      </c>
      <c r="C30" s="62" t="s">
        <v>29</v>
      </c>
      <c r="D30" s="63">
        <v>3011</v>
      </c>
      <c r="E30" s="64">
        <v>0.123848305363606</v>
      </c>
    </row>
    <row r="31" spans="2:5" ht="14.45" customHeight="1">
      <c r="B31" s="93" t="s">
        <v>99</v>
      </c>
      <c r="C31" s="71" t="s">
        <v>149</v>
      </c>
      <c r="D31" s="72">
        <v>2</v>
      </c>
      <c r="E31" s="73">
        <v>8.2263902599999999E-5</v>
      </c>
    </row>
    <row r="32" spans="2:5" ht="14.45" customHeight="1">
      <c r="B32" s="95" t="s">
        <v>336</v>
      </c>
      <c r="C32" s="62" t="s">
        <v>29</v>
      </c>
      <c r="D32" s="63">
        <v>2</v>
      </c>
      <c r="E32" s="64">
        <v>8.2263902599999999E-5</v>
      </c>
    </row>
    <row r="33" spans="2:5" ht="14.45" customHeight="1">
      <c r="B33" s="93" t="s">
        <v>57</v>
      </c>
      <c r="C33" s="71" t="s">
        <v>149</v>
      </c>
      <c r="D33" s="72">
        <v>264</v>
      </c>
      <c r="E33" s="73">
        <v>1.0858835143139E-2</v>
      </c>
    </row>
    <row r="34" spans="2:5" ht="14.45" customHeight="1">
      <c r="B34" s="94"/>
      <c r="C34" s="71" t="s">
        <v>150</v>
      </c>
      <c r="D34" s="72">
        <v>321</v>
      </c>
      <c r="E34" s="73">
        <v>1.3203356367226001E-2</v>
      </c>
    </row>
    <row r="35" spans="2:5" ht="14.45" customHeight="1">
      <c r="B35" s="95" t="s">
        <v>337</v>
      </c>
      <c r="C35" s="62" t="s">
        <v>29</v>
      </c>
      <c r="D35" s="63">
        <v>585</v>
      </c>
      <c r="E35" s="64">
        <v>2.4062191510365E-2</v>
      </c>
    </row>
    <row r="36" spans="2:5" ht="14.45" customHeight="1">
      <c r="B36" s="93" t="s">
        <v>53</v>
      </c>
      <c r="C36" s="71" t="s">
        <v>149</v>
      </c>
      <c r="D36" s="72">
        <v>1061</v>
      </c>
      <c r="E36" s="73">
        <v>4.3641000329055997E-2</v>
      </c>
    </row>
    <row r="37" spans="2:5" ht="14.45" customHeight="1">
      <c r="B37" s="94"/>
      <c r="C37" s="71" t="s">
        <v>150</v>
      </c>
      <c r="D37" s="72">
        <v>1183</v>
      </c>
      <c r="E37" s="73">
        <v>4.8659098387627997E-2</v>
      </c>
    </row>
    <row r="38" spans="2:5" ht="14.45" customHeight="1">
      <c r="B38" s="95" t="s">
        <v>338</v>
      </c>
      <c r="C38" s="62" t="s">
        <v>29</v>
      </c>
      <c r="D38" s="63">
        <v>2244</v>
      </c>
      <c r="E38" s="64">
        <v>9.2300098716683002E-2</v>
      </c>
    </row>
    <row r="39" spans="2:5" ht="14.45" customHeight="1">
      <c r="B39" s="93" t="s">
        <v>92</v>
      </c>
      <c r="C39" s="71" t="s">
        <v>149</v>
      </c>
      <c r="D39" s="72">
        <v>3</v>
      </c>
      <c r="E39" s="73">
        <v>1.23395853899E-4</v>
      </c>
    </row>
    <row r="40" spans="2:5" ht="14.45" customHeight="1">
      <c r="B40" s="94"/>
      <c r="C40" s="71" t="s">
        <v>150</v>
      </c>
      <c r="D40" s="72">
        <v>5</v>
      </c>
      <c r="E40" s="73">
        <v>2.0565975649899999E-4</v>
      </c>
    </row>
    <row r="41" spans="2:5" ht="14.45" customHeight="1">
      <c r="B41" s="95" t="s">
        <v>339</v>
      </c>
      <c r="C41" s="62" t="s">
        <v>29</v>
      </c>
      <c r="D41" s="63">
        <v>8</v>
      </c>
      <c r="E41" s="64">
        <v>3.2905561039800002E-4</v>
      </c>
    </row>
    <row r="42" spans="2:5" ht="14.45" customHeight="1">
      <c r="B42" s="93" t="s">
        <v>73</v>
      </c>
      <c r="C42" s="71" t="s">
        <v>149</v>
      </c>
      <c r="D42" s="72">
        <v>26</v>
      </c>
      <c r="E42" s="73">
        <v>1.0694307337940001E-3</v>
      </c>
    </row>
    <row r="43" spans="2:5" ht="14.45" customHeight="1">
      <c r="B43" s="94"/>
      <c r="C43" s="71" t="s">
        <v>150</v>
      </c>
      <c r="D43" s="72">
        <v>35</v>
      </c>
      <c r="E43" s="73">
        <v>1.4396182954919999E-3</v>
      </c>
    </row>
    <row r="44" spans="2:5" ht="14.45" customHeight="1">
      <c r="B44" s="95" t="s">
        <v>340</v>
      </c>
      <c r="C44" s="62" t="s">
        <v>29</v>
      </c>
      <c r="D44" s="63">
        <v>61</v>
      </c>
      <c r="E44" s="64">
        <v>2.509049029286E-3</v>
      </c>
    </row>
    <row r="45" spans="2:5" ht="14.45" customHeight="1">
      <c r="B45" s="93" t="s">
        <v>64</v>
      </c>
      <c r="C45" s="71" t="s">
        <v>149</v>
      </c>
      <c r="D45" s="72">
        <v>93</v>
      </c>
      <c r="E45" s="73">
        <v>3.8252714708790002E-3</v>
      </c>
    </row>
    <row r="46" spans="2:5" ht="14.45" customHeight="1">
      <c r="B46" s="94"/>
      <c r="C46" s="71" t="s">
        <v>150</v>
      </c>
      <c r="D46" s="72">
        <v>120</v>
      </c>
      <c r="E46" s="73">
        <v>4.9358341559720001E-3</v>
      </c>
    </row>
    <row r="47" spans="2:5" ht="14.45" customHeight="1">
      <c r="B47" s="95" t="s">
        <v>341</v>
      </c>
      <c r="C47" s="62" t="s">
        <v>29</v>
      </c>
      <c r="D47" s="63">
        <v>213</v>
      </c>
      <c r="E47" s="64">
        <v>8.7611056268509999E-3</v>
      </c>
    </row>
    <row r="48" spans="2:5" ht="14.45" customHeight="1">
      <c r="B48" s="93" t="s">
        <v>94</v>
      </c>
      <c r="C48" s="71" t="s">
        <v>149</v>
      </c>
      <c r="D48" s="72">
        <v>3</v>
      </c>
      <c r="E48" s="73">
        <v>1.23395853899E-4</v>
      </c>
    </row>
    <row r="49" spans="2:5" ht="14.45" customHeight="1">
      <c r="B49" s="94"/>
      <c r="C49" s="71" t="s">
        <v>150</v>
      </c>
      <c r="D49" s="72">
        <v>4</v>
      </c>
      <c r="E49" s="73">
        <v>1.6452780519900001E-4</v>
      </c>
    </row>
    <row r="50" spans="2:5" ht="14.45" customHeight="1">
      <c r="B50" s="95" t="s">
        <v>342</v>
      </c>
      <c r="C50" s="62" t="s">
        <v>29</v>
      </c>
      <c r="D50" s="63">
        <v>7</v>
      </c>
      <c r="E50" s="64">
        <v>2.8792365909800001E-4</v>
      </c>
    </row>
    <row r="51" spans="2:5" ht="14.45" customHeight="1">
      <c r="B51" s="93" t="s">
        <v>89</v>
      </c>
      <c r="C51" s="71" t="s">
        <v>149</v>
      </c>
      <c r="D51" s="72">
        <v>9</v>
      </c>
      <c r="E51" s="73">
        <v>3.7018756169799997E-4</v>
      </c>
    </row>
    <row r="52" spans="2:5" ht="14.45" customHeight="1">
      <c r="B52" s="94"/>
      <c r="C52" s="71" t="s">
        <v>150</v>
      </c>
      <c r="D52" s="72">
        <v>5</v>
      </c>
      <c r="E52" s="73">
        <v>2.0565975649899999E-4</v>
      </c>
    </row>
    <row r="53" spans="2:5" ht="14.45" customHeight="1">
      <c r="B53" s="95" t="s">
        <v>343</v>
      </c>
      <c r="C53" s="62" t="s">
        <v>29</v>
      </c>
      <c r="D53" s="63">
        <v>14</v>
      </c>
      <c r="E53" s="64">
        <v>5.7584731819699999E-4</v>
      </c>
    </row>
    <row r="54" spans="2:5" ht="14.45" customHeight="1">
      <c r="B54" s="93" t="s">
        <v>72</v>
      </c>
      <c r="C54" s="71" t="s">
        <v>149</v>
      </c>
      <c r="D54" s="72">
        <v>26</v>
      </c>
      <c r="E54" s="73">
        <v>1.0694307337940001E-3</v>
      </c>
    </row>
    <row r="55" spans="2:5" ht="14.45" customHeight="1">
      <c r="B55" s="94"/>
      <c r="C55" s="71" t="s">
        <v>150</v>
      </c>
      <c r="D55" s="72">
        <v>39</v>
      </c>
      <c r="E55" s="73">
        <v>1.6041461006909999E-3</v>
      </c>
    </row>
    <row r="56" spans="2:5" ht="14.45" customHeight="1">
      <c r="B56" s="95" t="s">
        <v>344</v>
      </c>
      <c r="C56" s="62" t="s">
        <v>29</v>
      </c>
      <c r="D56" s="63">
        <v>65</v>
      </c>
      <c r="E56" s="64">
        <v>2.6735768344850002E-3</v>
      </c>
    </row>
    <row r="57" spans="2:5" ht="14.45" customHeight="1">
      <c r="B57" s="93" t="s">
        <v>75</v>
      </c>
      <c r="C57" s="71" t="s">
        <v>149</v>
      </c>
      <c r="D57" s="72">
        <v>27</v>
      </c>
      <c r="E57" s="73">
        <v>1.110562685094E-3</v>
      </c>
    </row>
    <row r="58" spans="2:5" ht="14.45" customHeight="1">
      <c r="B58" s="94"/>
      <c r="C58" s="71" t="s">
        <v>150</v>
      </c>
      <c r="D58" s="72">
        <v>23</v>
      </c>
      <c r="E58" s="73">
        <v>9.4603487989499996E-4</v>
      </c>
    </row>
    <row r="59" spans="2:5" ht="14.45" customHeight="1">
      <c r="B59" s="95" t="s">
        <v>345</v>
      </c>
      <c r="C59" s="62" t="s">
        <v>29</v>
      </c>
      <c r="D59" s="63">
        <v>50</v>
      </c>
      <c r="E59" s="64">
        <v>2.0565975649879998E-3</v>
      </c>
    </row>
    <row r="60" spans="2:5" ht="14.45" customHeight="1">
      <c r="B60" s="93" t="s">
        <v>51</v>
      </c>
      <c r="C60" s="71" t="s">
        <v>149</v>
      </c>
      <c r="D60" s="72">
        <v>2724</v>
      </c>
      <c r="E60" s="73">
        <v>0.112043435340573</v>
      </c>
    </row>
    <row r="61" spans="2:5" ht="14.45" customHeight="1">
      <c r="B61" s="94"/>
      <c r="C61" s="71" t="s">
        <v>150</v>
      </c>
      <c r="D61" s="72">
        <v>3168</v>
      </c>
      <c r="E61" s="73">
        <v>0.13030602171767</v>
      </c>
    </row>
    <row r="62" spans="2:5" ht="14.45" customHeight="1">
      <c r="B62" s="95" t="s">
        <v>346</v>
      </c>
      <c r="C62" s="62" t="s">
        <v>29</v>
      </c>
      <c r="D62" s="63">
        <v>5892</v>
      </c>
      <c r="E62" s="64">
        <v>0.24234945705824301</v>
      </c>
    </row>
    <row r="63" spans="2:5" ht="14.45" customHeight="1">
      <c r="B63" s="93" t="s">
        <v>68</v>
      </c>
      <c r="C63" s="71" t="s">
        <v>149</v>
      </c>
      <c r="D63" s="72">
        <v>55</v>
      </c>
      <c r="E63" s="73">
        <v>2.2622573214869999E-3</v>
      </c>
    </row>
    <row r="64" spans="2:5" ht="14.45" customHeight="1">
      <c r="B64" s="94"/>
      <c r="C64" s="71" t="s">
        <v>150</v>
      </c>
      <c r="D64" s="72">
        <v>77</v>
      </c>
      <c r="E64" s="73">
        <v>3.1671602500819998E-3</v>
      </c>
    </row>
    <row r="65" spans="2:5" ht="14.45" customHeight="1">
      <c r="B65" s="95" t="s">
        <v>347</v>
      </c>
      <c r="C65" s="62" t="s">
        <v>29</v>
      </c>
      <c r="D65" s="63">
        <v>132</v>
      </c>
      <c r="E65" s="64">
        <v>5.4294175715700003E-3</v>
      </c>
    </row>
    <row r="66" spans="2:5" ht="14.45" customHeight="1">
      <c r="B66" s="93" t="s">
        <v>66</v>
      </c>
      <c r="C66" s="71" t="s">
        <v>149</v>
      </c>
      <c r="D66" s="72">
        <v>76</v>
      </c>
      <c r="E66" s="73">
        <v>3.1260282987819999E-3</v>
      </c>
    </row>
    <row r="67" spans="2:5" ht="14.45" customHeight="1">
      <c r="B67" s="94"/>
      <c r="C67" s="71" t="s">
        <v>150</v>
      </c>
      <c r="D67" s="72">
        <v>101</v>
      </c>
      <c r="E67" s="73">
        <v>4.1543270812770001E-3</v>
      </c>
    </row>
    <row r="68" spans="2:5" ht="14.45" customHeight="1">
      <c r="B68" s="95" t="s">
        <v>348</v>
      </c>
      <c r="C68" s="62" t="s">
        <v>29</v>
      </c>
      <c r="D68" s="63">
        <v>177</v>
      </c>
      <c r="E68" s="64">
        <v>7.2803553800590004E-3</v>
      </c>
    </row>
    <row r="69" spans="2:5" ht="14.45" customHeight="1">
      <c r="B69" s="93" t="s">
        <v>54</v>
      </c>
      <c r="C69" s="71" t="s">
        <v>149</v>
      </c>
      <c r="D69" s="72">
        <v>604</v>
      </c>
      <c r="E69" s="73">
        <v>2.4843698585061001E-2</v>
      </c>
    </row>
    <row r="70" spans="2:5" ht="14.45" customHeight="1">
      <c r="B70" s="94"/>
      <c r="C70" s="71" t="s">
        <v>150</v>
      </c>
      <c r="D70" s="72">
        <v>440</v>
      </c>
      <c r="E70" s="73">
        <v>1.8098058571899001E-2</v>
      </c>
    </row>
    <row r="71" spans="2:5" ht="14.45" customHeight="1">
      <c r="B71" s="95" t="s">
        <v>349</v>
      </c>
      <c r="C71" s="62" t="s">
        <v>29</v>
      </c>
      <c r="D71" s="63">
        <v>1044</v>
      </c>
      <c r="E71" s="64">
        <v>4.2941757156959998E-2</v>
      </c>
    </row>
    <row r="72" spans="2:5" ht="14.45" customHeight="1">
      <c r="B72" s="93" t="s">
        <v>81</v>
      </c>
      <c r="C72" s="71" t="s">
        <v>149</v>
      </c>
      <c r="D72" s="72">
        <v>13</v>
      </c>
      <c r="E72" s="73">
        <v>5.3471536689700004E-4</v>
      </c>
    </row>
    <row r="73" spans="2:5" ht="14.45" customHeight="1">
      <c r="B73" s="94"/>
      <c r="C73" s="71" t="s">
        <v>150</v>
      </c>
      <c r="D73" s="72">
        <v>20</v>
      </c>
      <c r="E73" s="73">
        <v>8.22639025995E-4</v>
      </c>
    </row>
    <row r="74" spans="2:5" ht="14.45" customHeight="1">
      <c r="B74" s="95" t="s">
        <v>350</v>
      </c>
      <c r="C74" s="62" t="s">
        <v>29</v>
      </c>
      <c r="D74" s="63">
        <v>33</v>
      </c>
      <c r="E74" s="64">
        <v>1.357354392892E-3</v>
      </c>
    </row>
    <row r="75" spans="2:5" ht="14.45" customHeight="1">
      <c r="B75" s="93" t="s">
        <v>59</v>
      </c>
      <c r="C75" s="71" t="s">
        <v>149</v>
      </c>
      <c r="D75" s="72">
        <v>221</v>
      </c>
      <c r="E75" s="73">
        <v>9.0901612372489993E-3</v>
      </c>
    </row>
    <row r="76" spans="2:5" ht="14.45" customHeight="1">
      <c r="B76" s="94"/>
      <c r="C76" s="71" t="s">
        <v>150</v>
      </c>
      <c r="D76" s="72">
        <v>306</v>
      </c>
      <c r="E76" s="73">
        <v>1.258637709773E-2</v>
      </c>
    </row>
    <row r="77" spans="2:5" ht="14.45" customHeight="1">
      <c r="B77" s="95" t="s">
        <v>351</v>
      </c>
      <c r="C77" s="62" t="s">
        <v>29</v>
      </c>
      <c r="D77" s="63">
        <v>527</v>
      </c>
      <c r="E77" s="64">
        <v>2.1676538334979002E-2</v>
      </c>
    </row>
    <row r="78" spans="2:5" ht="14.45" customHeight="1">
      <c r="B78" s="93" t="s">
        <v>69</v>
      </c>
      <c r="C78" s="71" t="s">
        <v>149</v>
      </c>
      <c r="D78" s="72">
        <v>71</v>
      </c>
      <c r="E78" s="73">
        <v>2.9203685422839998E-3</v>
      </c>
    </row>
    <row r="79" spans="2:5" ht="14.45" customHeight="1">
      <c r="B79" s="94"/>
      <c r="C79" s="71" t="s">
        <v>150</v>
      </c>
      <c r="D79" s="72">
        <v>55</v>
      </c>
      <c r="E79" s="73">
        <v>2.2622573214869999E-3</v>
      </c>
    </row>
    <row r="80" spans="2:5" ht="14.45" customHeight="1">
      <c r="B80" s="95" t="s">
        <v>352</v>
      </c>
      <c r="C80" s="62" t="s">
        <v>29</v>
      </c>
      <c r="D80" s="63">
        <v>126</v>
      </c>
      <c r="E80" s="64">
        <v>5.1826258637709998E-3</v>
      </c>
    </row>
    <row r="81" spans="2:5" ht="14.45" customHeight="1">
      <c r="B81" s="93" t="s">
        <v>50</v>
      </c>
      <c r="C81" s="71" t="s">
        <v>149</v>
      </c>
      <c r="D81" s="72">
        <v>3398</v>
      </c>
      <c r="E81" s="73">
        <v>0.139766370516617</v>
      </c>
    </row>
    <row r="82" spans="2:5" ht="14.45" customHeight="1">
      <c r="B82" s="94"/>
      <c r="C82" s="71" t="s">
        <v>150</v>
      </c>
      <c r="D82" s="72">
        <v>2543</v>
      </c>
      <c r="E82" s="73">
        <v>0.104598552155314</v>
      </c>
    </row>
    <row r="83" spans="2:5" ht="14.45" customHeight="1">
      <c r="B83" s="95" t="s">
        <v>353</v>
      </c>
      <c r="C83" s="62" t="s">
        <v>29</v>
      </c>
      <c r="D83" s="63">
        <v>5941</v>
      </c>
      <c r="E83" s="64">
        <v>0.24436492267193199</v>
      </c>
    </row>
    <row r="84" spans="2:5" ht="14.45" customHeight="1">
      <c r="B84" s="93" t="s">
        <v>65</v>
      </c>
      <c r="C84" s="71" t="s">
        <v>149</v>
      </c>
      <c r="D84" s="72">
        <v>87</v>
      </c>
      <c r="E84" s="73">
        <v>3.5784797630800001E-3</v>
      </c>
    </row>
    <row r="85" spans="2:5" ht="14.45" customHeight="1">
      <c r="B85" s="94"/>
      <c r="C85" s="71" t="s">
        <v>150</v>
      </c>
      <c r="D85" s="72">
        <v>113</v>
      </c>
      <c r="E85" s="73">
        <v>4.6479104968740002E-3</v>
      </c>
    </row>
    <row r="86" spans="2:5" ht="14.45" customHeight="1">
      <c r="B86" s="95" t="s">
        <v>354</v>
      </c>
      <c r="C86" s="62" t="s">
        <v>29</v>
      </c>
      <c r="D86" s="63">
        <v>200</v>
      </c>
      <c r="E86" s="64">
        <v>8.2263902599539994E-3</v>
      </c>
    </row>
    <row r="87" spans="2:5" ht="14.45" customHeight="1">
      <c r="B87" s="93" t="s">
        <v>74</v>
      </c>
      <c r="C87" s="71" t="s">
        <v>149</v>
      </c>
      <c r="D87" s="72">
        <v>22</v>
      </c>
      <c r="E87" s="73">
        <v>9.0490292859500001E-4</v>
      </c>
    </row>
    <row r="88" spans="2:5" ht="14.45" customHeight="1">
      <c r="B88" s="94"/>
      <c r="C88" s="71" t="s">
        <v>150</v>
      </c>
      <c r="D88" s="72">
        <v>30</v>
      </c>
      <c r="E88" s="73">
        <v>1.233958538993E-3</v>
      </c>
    </row>
    <row r="89" spans="2:5" ht="14.45" customHeight="1">
      <c r="B89" s="95" t="s">
        <v>355</v>
      </c>
      <c r="C89" s="62" t="s">
        <v>29</v>
      </c>
      <c r="D89" s="63">
        <v>52</v>
      </c>
      <c r="E89" s="64">
        <v>2.1388614675880002E-3</v>
      </c>
    </row>
    <row r="90" spans="2:5" ht="14.45" customHeight="1">
      <c r="B90" s="93" t="s">
        <v>95</v>
      </c>
      <c r="C90" s="71" t="s">
        <v>149</v>
      </c>
      <c r="D90" s="72">
        <v>1</v>
      </c>
      <c r="E90" s="73">
        <v>4.1131951299999999E-5</v>
      </c>
    </row>
    <row r="91" spans="2:5" ht="14.45" customHeight="1">
      <c r="B91" s="94"/>
      <c r="C91" s="71" t="s">
        <v>150</v>
      </c>
      <c r="D91" s="72">
        <v>4</v>
      </c>
      <c r="E91" s="73">
        <v>1.6452780519900001E-4</v>
      </c>
    </row>
    <row r="92" spans="2:5" ht="14.45" customHeight="1">
      <c r="B92" s="95" t="s">
        <v>356</v>
      </c>
      <c r="C92" s="62" t="s">
        <v>29</v>
      </c>
      <c r="D92" s="63">
        <v>5</v>
      </c>
      <c r="E92" s="64">
        <v>2.0565975649899999E-4</v>
      </c>
    </row>
    <row r="93" spans="2:5" ht="14.45" customHeight="1">
      <c r="B93" s="93" t="s">
        <v>100</v>
      </c>
      <c r="C93" s="71" t="s">
        <v>149</v>
      </c>
      <c r="D93" s="72">
        <v>1</v>
      </c>
      <c r="E93" s="73">
        <v>4.1131951299999999E-5</v>
      </c>
    </row>
    <row r="94" spans="2:5" ht="14.45" customHeight="1">
      <c r="B94" s="95" t="s">
        <v>357</v>
      </c>
      <c r="C94" s="62" t="s">
        <v>29</v>
      </c>
      <c r="D94" s="63">
        <v>1</v>
      </c>
      <c r="E94" s="64">
        <v>4.1131951299999999E-5</v>
      </c>
    </row>
    <row r="95" spans="2:5" ht="14.45" customHeight="1">
      <c r="B95" s="93" t="s">
        <v>61</v>
      </c>
      <c r="C95" s="71" t="s">
        <v>149</v>
      </c>
      <c r="D95" s="72">
        <v>137</v>
      </c>
      <c r="E95" s="73">
        <v>5.6350773280680003E-3</v>
      </c>
    </row>
    <row r="96" spans="2:5" ht="14.45" customHeight="1">
      <c r="B96" s="94"/>
      <c r="C96" s="71" t="s">
        <v>150</v>
      </c>
      <c r="D96" s="72">
        <v>186</v>
      </c>
      <c r="E96" s="73">
        <v>7.6505429417570003E-3</v>
      </c>
    </row>
    <row r="97" spans="2:5" ht="14.45" customHeight="1">
      <c r="B97" s="95" t="s">
        <v>358</v>
      </c>
      <c r="C97" s="62" t="s">
        <v>29</v>
      </c>
      <c r="D97" s="63">
        <v>323</v>
      </c>
      <c r="E97" s="64">
        <v>1.3285620269826E-2</v>
      </c>
    </row>
    <row r="98" spans="2:5" ht="14.45" customHeight="1">
      <c r="B98" s="93" t="s">
        <v>76</v>
      </c>
      <c r="C98" s="71" t="s">
        <v>149</v>
      </c>
      <c r="D98" s="72">
        <v>15</v>
      </c>
      <c r="E98" s="73">
        <v>6.1697926949700005E-4</v>
      </c>
    </row>
    <row r="99" spans="2:5" ht="14.45" customHeight="1">
      <c r="B99" s="94"/>
      <c r="C99" s="71" t="s">
        <v>150</v>
      </c>
      <c r="D99" s="72">
        <v>28</v>
      </c>
      <c r="E99" s="73">
        <v>1.151694636394E-3</v>
      </c>
    </row>
    <row r="100" spans="2:5" ht="14.45" customHeight="1">
      <c r="B100" s="95" t="s">
        <v>359</v>
      </c>
      <c r="C100" s="62" t="s">
        <v>29</v>
      </c>
      <c r="D100" s="63">
        <v>43</v>
      </c>
      <c r="E100" s="64">
        <v>1.7686739058900001E-3</v>
      </c>
    </row>
    <row r="101" spans="2:5" ht="14.45" customHeight="1">
      <c r="B101" s="93" t="s">
        <v>63</v>
      </c>
      <c r="C101" s="71" t="s">
        <v>149</v>
      </c>
      <c r="D101" s="72">
        <v>113</v>
      </c>
      <c r="E101" s="73">
        <v>4.6479104968740002E-3</v>
      </c>
    </row>
    <row r="102" spans="2:5" ht="14.45" customHeight="1">
      <c r="B102" s="94"/>
      <c r="C102" s="71" t="s">
        <v>150</v>
      </c>
      <c r="D102" s="72">
        <v>114</v>
      </c>
      <c r="E102" s="73">
        <v>4.6890424481739997E-3</v>
      </c>
    </row>
    <row r="103" spans="2:5" ht="14.45" customHeight="1">
      <c r="B103" s="95" t="s">
        <v>360</v>
      </c>
      <c r="C103" s="62" t="s">
        <v>29</v>
      </c>
      <c r="D103" s="63">
        <v>227</v>
      </c>
      <c r="E103" s="64">
        <v>9.3369529450480007E-3</v>
      </c>
    </row>
    <row r="104" spans="2:5" ht="14.45" customHeight="1">
      <c r="B104" s="93" t="s">
        <v>71</v>
      </c>
      <c r="C104" s="71" t="s">
        <v>149</v>
      </c>
      <c r="D104" s="72">
        <v>29</v>
      </c>
      <c r="E104" s="73">
        <v>1.1928265876930001E-3</v>
      </c>
    </row>
    <row r="105" spans="2:5" ht="14.45" customHeight="1">
      <c r="B105" s="94"/>
      <c r="C105" s="71" t="s">
        <v>150</v>
      </c>
      <c r="D105" s="72">
        <v>37</v>
      </c>
      <c r="E105" s="73">
        <v>1.521882198091E-3</v>
      </c>
    </row>
    <row r="106" spans="2:5" ht="14.45" customHeight="1">
      <c r="B106" s="95" t="s">
        <v>361</v>
      </c>
      <c r="C106" s="62" t="s">
        <v>29</v>
      </c>
      <c r="D106" s="63">
        <v>66</v>
      </c>
      <c r="E106" s="64">
        <v>2.7147087857850001E-3</v>
      </c>
    </row>
    <row r="107" spans="2:5" ht="14.45" customHeight="1">
      <c r="B107" s="93" t="s">
        <v>62</v>
      </c>
      <c r="C107" s="71" t="s">
        <v>149</v>
      </c>
      <c r="D107" s="72">
        <v>148</v>
      </c>
      <c r="E107" s="73">
        <v>6.0875287923660001E-3</v>
      </c>
    </row>
    <row r="108" spans="2:5" ht="14.45" customHeight="1">
      <c r="B108" s="94"/>
      <c r="C108" s="71" t="s">
        <v>150</v>
      </c>
      <c r="D108" s="72">
        <v>163</v>
      </c>
      <c r="E108" s="73">
        <v>6.7045080618620004E-3</v>
      </c>
    </row>
    <row r="109" spans="2:5" ht="14.45" customHeight="1">
      <c r="B109" s="95" t="s">
        <v>362</v>
      </c>
      <c r="C109" s="62" t="s">
        <v>29</v>
      </c>
      <c r="D109" s="63">
        <v>311</v>
      </c>
      <c r="E109" s="64">
        <v>1.2792036854228001E-2</v>
      </c>
    </row>
    <row r="110" spans="2:5" ht="14.45" customHeight="1">
      <c r="B110" s="93" t="s">
        <v>91</v>
      </c>
      <c r="C110" s="71" t="s">
        <v>149</v>
      </c>
      <c r="D110" s="72">
        <v>7</v>
      </c>
      <c r="E110" s="73">
        <v>2.8792365909800001E-4</v>
      </c>
    </row>
    <row r="111" spans="2:5" ht="14.45" customHeight="1">
      <c r="B111" s="94"/>
      <c r="C111" s="71" t="s">
        <v>150</v>
      </c>
      <c r="D111" s="72">
        <v>5</v>
      </c>
      <c r="E111" s="73">
        <v>2.0565975649899999E-4</v>
      </c>
    </row>
    <row r="112" spans="2:5" ht="14.45" customHeight="1">
      <c r="B112" s="95" t="s">
        <v>363</v>
      </c>
      <c r="C112" s="62" t="s">
        <v>29</v>
      </c>
      <c r="D112" s="63">
        <v>12</v>
      </c>
      <c r="E112" s="64">
        <v>4.9358341559699998E-4</v>
      </c>
    </row>
    <row r="113" spans="2:5" ht="14.45" customHeight="1">
      <c r="B113" s="93" t="s">
        <v>79</v>
      </c>
      <c r="C113" s="71" t="s">
        <v>149</v>
      </c>
      <c r="D113" s="72">
        <v>11</v>
      </c>
      <c r="E113" s="73">
        <v>4.5245146429700003E-4</v>
      </c>
    </row>
    <row r="114" spans="2:5" ht="14.45" customHeight="1">
      <c r="B114" s="94"/>
      <c r="C114" s="71" t="s">
        <v>150</v>
      </c>
      <c r="D114" s="72">
        <v>26</v>
      </c>
      <c r="E114" s="73">
        <v>1.0694307337940001E-3</v>
      </c>
    </row>
    <row r="115" spans="2:5" ht="14.45" customHeight="1">
      <c r="B115" s="95" t="s">
        <v>364</v>
      </c>
      <c r="C115" s="62" t="s">
        <v>29</v>
      </c>
      <c r="D115" s="63">
        <v>37</v>
      </c>
      <c r="E115" s="64">
        <v>1.521882198091E-3</v>
      </c>
    </row>
    <row r="116" spans="2:5" ht="14.45" customHeight="1">
      <c r="B116" s="93" t="s">
        <v>93</v>
      </c>
      <c r="C116" s="71" t="s">
        <v>149</v>
      </c>
      <c r="D116" s="72">
        <v>4</v>
      </c>
      <c r="E116" s="73">
        <v>1.6452780519900001E-4</v>
      </c>
    </row>
    <row r="117" spans="2:5" ht="14.45" customHeight="1">
      <c r="B117" s="94"/>
      <c r="C117" s="71" t="s">
        <v>150</v>
      </c>
      <c r="D117" s="72">
        <v>4</v>
      </c>
      <c r="E117" s="73">
        <v>1.6452780519900001E-4</v>
      </c>
    </row>
    <row r="118" spans="2:5" ht="14.45" customHeight="1">
      <c r="B118" s="95" t="s">
        <v>365</v>
      </c>
      <c r="C118" s="62" t="s">
        <v>29</v>
      </c>
      <c r="D118" s="63">
        <v>8</v>
      </c>
      <c r="E118" s="64">
        <v>3.2905561039800002E-4</v>
      </c>
    </row>
    <row r="119" spans="2:5" ht="14.45" customHeight="1">
      <c r="B119" s="93" t="s">
        <v>83</v>
      </c>
      <c r="C119" s="71" t="s">
        <v>149</v>
      </c>
      <c r="D119" s="72">
        <v>12</v>
      </c>
      <c r="E119" s="73">
        <v>4.9358341559699998E-4</v>
      </c>
    </row>
    <row r="120" spans="2:5" ht="14.45" customHeight="1">
      <c r="B120" s="94"/>
      <c r="C120" s="71" t="s">
        <v>150</v>
      </c>
      <c r="D120" s="72">
        <v>16</v>
      </c>
      <c r="E120" s="73">
        <v>6.5811122079600004E-4</v>
      </c>
    </row>
    <row r="121" spans="2:5" ht="14.45" customHeight="1">
      <c r="B121" s="95" t="s">
        <v>366</v>
      </c>
      <c r="C121" s="62" t="s">
        <v>29</v>
      </c>
      <c r="D121" s="63">
        <v>28</v>
      </c>
      <c r="E121" s="64">
        <v>1.151694636394E-3</v>
      </c>
    </row>
    <row r="122" spans="2:5" ht="14.45" customHeight="1">
      <c r="B122" s="93" t="s">
        <v>58</v>
      </c>
      <c r="C122" s="71" t="s">
        <v>149</v>
      </c>
      <c r="D122" s="72">
        <v>220</v>
      </c>
      <c r="E122" s="73">
        <v>9.0490292859490007E-3</v>
      </c>
    </row>
    <row r="123" spans="2:5" ht="14.45" customHeight="1">
      <c r="B123" s="94"/>
      <c r="C123" s="71" t="s">
        <v>150</v>
      </c>
      <c r="D123" s="72">
        <v>363</v>
      </c>
      <c r="E123" s="73">
        <v>1.4930898321816001E-2</v>
      </c>
    </row>
    <row r="124" spans="2:5" ht="14.45" customHeight="1">
      <c r="B124" s="95" t="s">
        <v>367</v>
      </c>
      <c r="C124" s="62" t="s">
        <v>29</v>
      </c>
      <c r="D124" s="63">
        <v>583</v>
      </c>
      <c r="E124" s="64">
        <v>2.3979927607765999E-2</v>
      </c>
    </row>
    <row r="125" spans="2:5" ht="14.45" customHeight="1">
      <c r="B125" s="93" t="s">
        <v>85</v>
      </c>
      <c r="C125" s="71" t="s">
        <v>149</v>
      </c>
      <c r="D125" s="72">
        <v>9</v>
      </c>
      <c r="E125" s="73">
        <v>3.7018756169799997E-4</v>
      </c>
    </row>
    <row r="126" spans="2:5" ht="14.45" customHeight="1">
      <c r="B126" s="94"/>
      <c r="C126" s="71" t="s">
        <v>150</v>
      </c>
      <c r="D126" s="72">
        <v>13</v>
      </c>
      <c r="E126" s="73">
        <v>5.3471536689700004E-4</v>
      </c>
    </row>
    <row r="127" spans="2:5" ht="14.45" customHeight="1">
      <c r="B127" s="95" t="s">
        <v>368</v>
      </c>
      <c r="C127" s="62" t="s">
        <v>29</v>
      </c>
      <c r="D127" s="63">
        <v>22</v>
      </c>
      <c r="E127" s="64">
        <v>9.0490292859500001E-4</v>
      </c>
    </row>
    <row r="128" spans="2:5" ht="14.45" customHeight="1">
      <c r="B128" s="93" t="s">
        <v>67</v>
      </c>
      <c r="C128" s="71" t="s">
        <v>149</v>
      </c>
      <c r="D128" s="72">
        <v>59</v>
      </c>
      <c r="E128" s="73">
        <v>2.4267851266860001E-3</v>
      </c>
    </row>
    <row r="129" spans="2:5" ht="14.45" customHeight="1">
      <c r="B129" s="94"/>
      <c r="C129" s="71" t="s">
        <v>150</v>
      </c>
      <c r="D129" s="72">
        <v>99</v>
      </c>
      <c r="E129" s="73">
        <v>4.0720631786770002E-3</v>
      </c>
    </row>
    <row r="130" spans="2:5" ht="14.45" customHeight="1">
      <c r="B130" s="95" t="s">
        <v>369</v>
      </c>
      <c r="C130" s="62" t="s">
        <v>29</v>
      </c>
      <c r="D130" s="63">
        <v>158</v>
      </c>
      <c r="E130" s="64">
        <v>6.4988483053640004E-3</v>
      </c>
    </row>
    <row r="131" spans="2:5" ht="14.45" customHeight="1">
      <c r="B131" s="93" t="s">
        <v>88</v>
      </c>
      <c r="C131" s="71" t="s">
        <v>149</v>
      </c>
      <c r="D131" s="72">
        <v>5</v>
      </c>
      <c r="E131" s="73">
        <v>2.0565975649899999E-4</v>
      </c>
    </row>
    <row r="132" spans="2:5" ht="14.45" customHeight="1">
      <c r="B132" s="94"/>
      <c r="C132" s="71" t="s">
        <v>150</v>
      </c>
      <c r="D132" s="72">
        <v>13</v>
      </c>
      <c r="E132" s="73">
        <v>5.3471536689700004E-4</v>
      </c>
    </row>
    <row r="133" spans="2:5" ht="14.45" customHeight="1">
      <c r="B133" s="95" t="s">
        <v>370</v>
      </c>
      <c r="C133" s="62" t="s">
        <v>29</v>
      </c>
      <c r="D133" s="63">
        <v>18</v>
      </c>
      <c r="E133" s="64">
        <v>7.4037512339599995E-4</v>
      </c>
    </row>
    <row r="134" spans="2:5" ht="14.45" customHeight="1">
      <c r="B134" s="93" t="s">
        <v>55</v>
      </c>
      <c r="C134" s="71" t="s">
        <v>149</v>
      </c>
      <c r="D134" s="72">
        <v>317</v>
      </c>
      <c r="E134" s="73">
        <v>1.3038828562027E-2</v>
      </c>
    </row>
    <row r="135" spans="2:5" ht="14.45" customHeight="1">
      <c r="B135" s="94"/>
      <c r="C135" s="71" t="s">
        <v>150</v>
      </c>
      <c r="D135" s="72">
        <v>343</v>
      </c>
      <c r="E135" s="73">
        <v>1.4108259295820999E-2</v>
      </c>
    </row>
    <row r="136" spans="2:5" ht="14.45" customHeight="1">
      <c r="B136" s="95" t="s">
        <v>371</v>
      </c>
      <c r="C136" s="62" t="s">
        <v>29</v>
      </c>
      <c r="D136" s="63">
        <v>660</v>
      </c>
      <c r="E136" s="64">
        <v>2.7147087857848001E-2</v>
      </c>
    </row>
    <row r="137" spans="2:5" ht="14.45" customHeight="1">
      <c r="B137" s="93" t="s">
        <v>82</v>
      </c>
      <c r="C137" s="71" t="s">
        <v>149</v>
      </c>
      <c r="D137" s="72">
        <v>18</v>
      </c>
      <c r="E137" s="73">
        <v>7.4037512339599995E-4</v>
      </c>
    </row>
    <row r="138" spans="2:5" ht="14.45" customHeight="1">
      <c r="B138" s="94"/>
      <c r="C138" s="71" t="s">
        <v>150</v>
      </c>
      <c r="D138" s="72">
        <v>15</v>
      </c>
      <c r="E138" s="73">
        <v>6.1697926949700005E-4</v>
      </c>
    </row>
    <row r="139" spans="2:5" ht="14.45" customHeight="1">
      <c r="B139" s="95" t="s">
        <v>372</v>
      </c>
      <c r="C139" s="62" t="s">
        <v>29</v>
      </c>
      <c r="D139" s="63">
        <v>33</v>
      </c>
      <c r="E139" s="64">
        <v>1.357354392892E-3</v>
      </c>
    </row>
    <row r="140" spans="2:5" ht="14.45" customHeight="1">
      <c r="B140" s="93" t="s">
        <v>86</v>
      </c>
      <c r="C140" s="71" t="s">
        <v>149</v>
      </c>
      <c r="D140" s="72">
        <v>12</v>
      </c>
      <c r="E140" s="73">
        <v>4.9358341559699998E-4</v>
      </c>
    </row>
    <row r="141" spans="2:5" ht="14.45" customHeight="1">
      <c r="B141" s="94"/>
      <c r="C141" s="71" t="s">
        <v>150</v>
      </c>
      <c r="D141" s="72">
        <v>9</v>
      </c>
      <c r="E141" s="73">
        <v>3.7018756169799997E-4</v>
      </c>
    </row>
    <row r="142" spans="2:5" ht="14.45" customHeight="1">
      <c r="B142" s="95" t="s">
        <v>373</v>
      </c>
      <c r="C142" s="62" t="s">
        <v>29</v>
      </c>
      <c r="D142" s="63">
        <v>21</v>
      </c>
      <c r="E142" s="64">
        <v>8.6377097729499995E-4</v>
      </c>
    </row>
    <row r="143" spans="2:5" ht="14.45" customHeight="1">
      <c r="B143" s="93" t="s">
        <v>87</v>
      </c>
      <c r="C143" s="71" t="s">
        <v>149</v>
      </c>
      <c r="D143" s="72">
        <v>7</v>
      </c>
      <c r="E143" s="73">
        <v>2.8792365909800001E-4</v>
      </c>
    </row>
    <row r="144" spans="2:5" ht="14.45" customHeight="1">
      <c r="B144" s="94"/>
      <c r="C144" s="71" t="s">
        <v>150</v>
      </c>
      <c r="D144" s="72">
        <v>14</v>
      </c>
      <c r="E144" s="73">
        <v>5.7584731819699999E-4</v>
      </c>
    </row>
    <row r="145" spans="2:5" ht="14.45" customHeight="1">
      <c r="B145" s="95" t="s">
        <v>374</v>
      </c>
      <c r="C145" s="62" t="s">
        <v>29</v>
      </c>
      <c r="D145" s="63">
        <v>21</v>
      </c>
      <c r="E145" s="64">
        <v>8.6377097729499995E-4</v>
      </c>
    </row>
    <row r="146" spans="2:5" ht="14.45" customHeight="1">
      <c r="B146" s="93" t="s">
        <v>80</v>
      </c>
      <c r="C146" s="71" t="s">
        <v>149</v>
      </c>
      <c r="D146" s="72">
        <v>16</v>
      </c>
      <c r="E146" s="73">
        <v>6.5811122079600004E-4</v>
      </c>
    </row>
    <row r="147" spans="2:5" ht="14.45" customHeight="1">
      <c r="B147" s="94"/>
      <c r="C147" s="71" t="s">
        <v>150</v>
      </c>
      <c r="D147" s="72">
        <v>21</v>
      </c>
      <c r="E147" s="73">
        <v>8.6377097729499995E-4</v>
      </c>
    </row>
    <row r="148" spans="2:5" ht="14.45" customHeight="1">
      <c r="B148" s="95" t="s">
        <v>375</v>
      </c>
      <c r="C148" s="62" t="s">
        <v>29</v>
      </c>
      <c r="D148" s="63">
        <v>37</v>
      </c>
      <c r="E148" s="64">
        <v>1.521882198091E-3</v>
      </c>
    </row>
    <row r="149" spans="2:5" ht="14.45" customHeight="1">
      <c r="B149" s="93" t="s">
        <v>78</v>
      </c>
      <c r="C149" s="71" t="s">
        <v>149</v>
      </c>
      <c r="D149" s="72">
        <v>20</v>
      </c>
      <c r="E149" s="73">
        <v>8.22639025995E-4</v>
      </c>
    </row>
    <row r="150" spans="2:5" ht="14.45" customHeight="1">
      <c r="B150" s="94"/>
      <c r="C150" s="71" t="s">
        <v>150</v>
      </c>
      <c r="D150" s="72">
        <v>19</v>
      </c>
      <c r="E150" s="73">
        <v>7.8150707469600001E-4</v>
      </c>
    </row>
    <row r="151" spans="2:5" ht="14.45" customHeight="1">
      <c r="B151" s="95" t="s">
        <v>376</v>
      </c>
      <c r="C151" s="62" t="s">
        <v>29</v>
      </c>
      <c r="D151" s="63">
        <v>39</v>
      </c>
      <c r="E151" s="64">
        <v>1.6041461006909999E-3</v>
      </c>
    </row>
    <row r="152" spans="2:5" ht="14.45" customHeight="1">
      <c r="B152" s="93" t="s">
        <v>96</v>
      </c>
      <c r="C152" s="71" t="s">
        <v>149</v>
      </c>
      <c r="D152" s="72">
        <v>3</v>
      </c>
      <c r="E152" s="73">
        <v>1.23395853899E-4</v>
      </c>
    </row>
    <row r="153" spans="2:5" ht="14.45" customHeight="1">
      <c r="B153" s="94"/>
      <c r="C153" s="71" t="s">
        <v>150</v>
      </c>
      <c r="D153" s="72">
        <v>2</v>
      </c>
      <c r="E153" s="73">
        <v>8.2263902599999999E-5</v>
      </c>
    </row>
    <row r="154" spans="2:5" ht="14.45" customHeight="1">
      <c r="B154" s="95" t="s">
        <v>377</v>
      </c>
      <c r="C154" s="62" t="s">
        <v>29</v>
      </c>
      <c r="D154" s="63">
        <v>5</v>
      </c>
      <c r="E154" s="64">
        <v>2.0565975649899999E-4</v>
      </c>
    </row>
    <row r="155" spans="2:5" ht="14.45" customHeight="1">
      <c r="B155" s="93" t="s">
        <v>97</v>
      </c>
      <c r="C155" s="71" t="s">
        <v>150</v>
      </c>
      <c r="D155" s="72">
        <v>3</v>
      </c>
      <c r="E155" s="73">
        <v>1.23395853899E-4</v>
      </c>
    </row>
    <row r="156" spans="2:5" ht="14.45" customHeight="1">
      <c r="B156" s="95"/>
      <c r="C156" s="62" t="s">
        <v>29</v>
      </c>
      <c r="D156" s="63">
        <v>3</v>
      </c>
      <c r="E156" s="64">
        <v>1.23395853899E-4</v>
      </c>
    </row>
    <row r="157" spans="2:5" ht="14.45" customHeight="1">
      <c r="B157" s="93" t="s">
        <v>70</v>
      </c>
      <c r="C157" s="71" t="s">
        <v>149</v>
      </c>
      <c r="D157" s="72">
        <v>34</v>
      </c>
      <c r="E157" s="73">
        <v>1.398486344192E-3</v>
      </c>
    </row>
    <row r="158" spans="2:5" ht="14.45" customHeight="1">
      <c r="B158" s="94"/>
      <c r="C158" s="71" t="s">
        <v>150</v>
      </c>
      <c r="D158" s="72">
        <v>47</v>
      </c>
      <c r="E158" s="73">
        <v>1.933201711089E-3</v>
      </c>
    </row>
    <row r="159" spans="2:5" ht="14.45" customHeight="1">
      <c r="B159" s="95" t="s">
        <v>191</v>
      </c>
      <c r="C159" s="62" t="s">
        <v>29</v>
      </c>
      <c r="D159" s="63">
        <v>81</v>
      </c>
      <c r="E159" s="64">
        <v>3.331688055281E-3</v>
      </c>
    </row>
    <row r="160" spans="2:5" ht="14.45" customHeight="1">
      <c r="B160" s="93" t="s">
        <v>98</v>
      </c>
      <c r="C160" s="71" t="s">
        <v>149</v>
      </c>
      <c r="D160" s="72">
        <v>2</v>
      </c>
      <c r="E160" s="73">
        <v>8.2263902599999999E-5</v>
      </c>
    </row>
    <row r="161" spans="2:5" ht="14.45" customHeight="1">
      <c r="B161" s="94"/>
      <c r="C161" s="71" t="s">
        <v>150</v>
      </c>
      <c r="D161" s="72">
        <v>1</v>
      </c>
      <c r="E161" s="73">
        <v>4.1131951299999999E-5</v>
      </c>
    </row>
    <row r="162" spans="2:5" ht="14.45" customHeight="1">
      <c r="B162" s="95" t="s">
        <v>378</v>
      </c>
      <c r="C162" s="62" t="s">
        <v>29</v>
      </c>
      <c r="D162" s="63">
        <v>3</v>
      </c>
      <c r="E162" s="64">
        <v>1.23395853899E-4</v>
      </c>
    </row>
    <row r="163" spans="2:5" ht="14.45" customHeight="1">
      <c r="B163" s="99" t="s">
        <v>29</v>
      </c>
      <c r="C163" s="100"/>
      <c r="D163" s="60">
        <v>24312</v>
      </c>
      <c r="E163" s="61">
        <v>1</v>
      </c>
    </row>
    <row r="164" spans="2:5" ht="14.45" customHeight="1"/>
    <row r="165" spans="2:5" ht="14.45" customHeight="1">
      <c r="B165" s="12" t="s">
        <v>47</v>
      </c>
    </row>
    <row r="166" spans="2:5" ht="14.45" customHeight="1">
      <c r="B166" s="14" t="s">
        <v>18</v>
      </c>
    </row>
    <row r="167" spans="2:5" ht="14.45" customHeight="1">
      <c r="B167" s="13" t="s">
        <v>48</v>
      </c>
    </row>
    <row r="168" spans="2:5" ht="14.45" customHeight="1">
      <c r="B168" s="12" t="s">
        <v>17</v>
      </c>
    </row>
    <row r="169" spans="2:5" ht="14.45" customHeight="1">
      <c r="B169" s="12" t="s">
        <v>49</v>
      </c>
    </row>
  </sheetData>
  <mergeCells count="53">
    <mergeCell ref="B39:B41"/>
    <mergeCell ref="B42:B44"/>
    <mergeCell ref="B25:B27"/>
    <mergeCell ref="B28:B30"/>
    <mergeCell ref="B31:B32"/>
    <mergeCell ref="B33:B35"/>
    <mergeCell ref="B36:B38"/>
    <mergeCell ref="B8:E10"/>
    <mergeCell ref="B13:B15"/>
    <mergeCell ref="B16:B18"/>
    <mergeCell ref="B19:B21"/>
    <mergeCell ref="B22:B24"/>
    <mergeCell ref="B45:B47"/>
    <mergeCell ref="B48:B50"/>
    <mergeCell ref="B51:B53"/>
    <mergeCell ref="B54:B56"/>
    <mergeCell ref="B57:B59"/>
    <mergeCell ref="B90:B92"/>
    <mergeCell ref="B93:B94"/>
    <mergeCell ref="B95:B97"/>
    <mergeCell ref="B98:B100"/>
    <mergeCell ref="B60:B62"/>
    <mergeCell ref="B63:B65"/>
    <mergeCell ref="B66:B68"/>
    <mergeCell ref="B69:B71"/>
    <mergeCell ref="B72:B74"/>
    <mergeCell ref="B75:B77"/>
    <mergeCell ref="B78:B80"/>
    <mergeCell ref="B81:B83"/>
    <mergeCell ref="B84:B86"/>
    <mergeCell ref="B87:B89"/>
    <mergeCell ref="B101:B103"/>
    <mergeCell ref="B104:B106"/>
    <mergeCell ref="B107:B109"/>
    <mergeCell ref="B110:B112"/>
    <mergeCell ref="B113:B115"/>
    <mergeCell ref="B137:B139"/>
    <mergeCell ref="B140:B142"/>
    <mergeCell ref="B146:B148"/>
    <mergeCell ref="B143:B145"/>
    <mergeCell ref="B116:B118"/>
    <mergeCell ref="B119:B121"/>
    <mergeCell ref="B122:B124"/>
    <mergeCell ref="B125:B127"/>
    <mergeCell ref="B128:B130"/>
    <mergeCell ref="B131:B133"/>
    <mergeCell ref="B134:B136"/>
    <mergeCell ref="B163:C163"/>
    <mergeCell ref="B149:B151"/>
    <mergeCell ref="B152:B154"/>
    <mergeCell ref="B155:B156"/>
    <mergeCell ref="B157:B159"/>
    <mergeCell ref="B160:B162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59"/>
  <sheetViews>
    <sheetView showGridLines="0" view="pageBreakPreview" zoomScaleNormal="100" zoomScaleSheetLayoutView="100" workbookViewId="0">
      <selection activeCell="E153" sqref="E153"/>
    </sheetView>
  </sheetViews>
  <sheetFormatPr baseColWidth="10" defaultColWidth="11.42578125" defaultRowHeight="11.25"/>
  <cols>
    <col min="1" max="1" width="5.7109375" style="22" customWidth="1"/>
    <col min="2" max="3" width="23.7109375" style="41" customWidth="1"/>
    <col min="4" max="4" width="15.7109375" style="44" customWidth="1"/>
    <col min="5" max="5" width="15.7109375" style="41" customWidth="1"/>
    <col min="6" max="6" width="2.42578125" style="22" customWidth="1"/>
    <col min="7" max="16384" width="11.42578125" style="22"/>
  </cols>
  <sheetData>
    <row r="1" spans="2:6" s="10" customFormat="1" ht="15">
      <c r="B1" s="41"/>
      <c r="C1" s="41"/>
    </row>
    <row r="2" spans="2:6" s="41" customFormat="1">
      <c r="B2" s="50"/>
    </row>
    <row r="3" spans="2:6" ht="15" customHeight="1">
      <c r="B3" s="51"/>
      <c r="C3" s="28"/>
      <c r="D3" s="22"/>
      <c r="F3" s="41"/>
    </row>
    <row r="4" spans="2:6" ht="30" customHeight="1">
      <c r="B4" s="51"/>
      <c r="C4" s="28"/>
      <c r="D4" s="22"/>
      <c r="F4" s="41"/>
    </row>
    <row r="5" spans="2:6" ht="15" customHeight="1">
      <c r="B5" s="51"/>
      <c r="C5" s="28"/>
      <c r="D5" s="22"/>
      <c r="F5" s="41"/>
    </row>
    <row r="6" spans="2:6" s="41" customFormat="1">
      <c r="B6" s="43"/>
      <c r="C6" s="37"/>
    </row>
    <row r="7" spans="2:6" s="41" customFormat="1">
      <c r="B7" s="50"/>
    </row>
    <row r="8" spans="2:6" s="10" customFormat="1" ht="15" customHeight="1">
      <c r="B8" s="90" t="s">
        <v>40</v>
      </c>
      <c r="C8" s="90"/>
      <c r="D8" s="90"/>
      <c r="E8" s="90"/>
    </row>
    <row r="9" spans="2:6" s="10" customFormat="1" ht="15" customHeight="1">
      <c r="B9" s="90"/>
      <c r="C9" s="90"/>
      <c r="D9" s="90"/>
      <c r="E9" s="90"/>
      <c r="F9" s="49"/>
    </row>
    <row r="10" spans="2:6" s="10" customFormat="1" ht="15" customHeight="1">
      <c r="B10" s="90"/>
      <c r="C10" s="90"/>
      <c r="D10" s="90"/>
      <c r="E10" s="90"/>
    </row>
    <row r="11" spans="2:6" s="10" customFormat="1" ht="15" customHeight="1">
      <c r="B11" s="52"/>
      <c r="C11" s="52"/>
      <c r="D11" s="52"/>
      <c r="E11" s="52"/>
    </row>
    <row r="12" spans="2:6" s="10" customFormat="1" ht="36.950000000000003" customHeight="1">
      <c r="B12" s="56" t="s">
        <v>25</v>
      </c>
      <c r="C12" s="56" t="s">
        <v>30</v>
      </c>
      <c r="D12" s="56" t="s">
        <v>20</v>
      </c>
      <c r="E12" s="56" t="s">
        <v>19</v>
      </c>
    </row>
    <row r="13" spans="2:6" ht="13.5">
      <c r="B13" s="93" t="s">
        <v>101</v>
      </c>
      <c r="C13" s="71" t="s">
        <v>149</v>
      </c>
      <c r="D13" s="72">
        <v>46</v>
      </c>
      <c r="E13" s="73">
        <v>1.8920697597890001E-3</v>
      </c>
    </row>
    <row r="14" spans="2:6" ht="13.5">
      <c r="B14" s="94"/>
      <c r="C14" s="71" t="s">
        <v>150</v>
      </c>
      <c r="D14" s="72">
        <v>64</v>
      </c>
      <c r="E14" s="73">
        <v>2.6324448831849998E-3</v>
      </c>
    </row>
    <row r="15" spans="2:6" ht="13.5">
      <c r="B15" s="95"/>
      <c r="C15" s="62" t="s">
        <v>29</v>
      </c>
      <c r="D15" s="63">
        <v>110</v>
      </c>
      <c r="E15" s="64">
        <v>4.5245146429749999E-3</v>
      </c>
    </row>
    <row r="16" spans="2:6" ht="13.5">
      <c r="B16" s="93" t="s">
        <v>102</v>
      </c>
      <c r="C16" s="71" t="s">
        <v>149</v>
      </c>
      <c r="D16" s="72">
        <v>1</v>
      </c>
      <c r="E16" s="73">
        <v>4.1131951299999999E-5</v>
      </c>
    </row>
    <row r="17" spans="2:5" ht="13.5">
      <c r="B17" s="95"/>
      <c r="C17" s="62" t="s">
        <v>29</v>
      </c>
      <c r="D17" s="63">
        <v>1</v>
      </c>
      <c r="E17" s="64">
        <v>4.1131951299999999E-5</v>
      </c>
    </row>
    <row r="18" spans="2:5" ht="13.5">
      <c r="B18" s="93" t="s">
        <v>103</v>
      </c>
      <c r="C18" s="71" t="s">
        <v>149</v>
      </c>
      <c r="D18" s="72">
        <v>14</v>
      </c>
      <c r="E18" s="73">
        <v>5.7584731819699999E-4</v>
      </c>
    </row>
    <row r="19" spans="2:5" ht="13.5">
      <c r="B19" s="94"/>
      <c r="C19" s="71" t="s">
        <v>150</v>
      </c>
      <c r="D19" s="72">
        <v>25</v>
      </c>
      <c r="E19" s="73">
        <v>1.0282987824939999E-3</v>
      </c>
    </row>
    <row r="20" spans="2:5" ht="13.5">
      <c r="B20" s="95"/>
      <c r="C20" s="62" t="s">
        <v>29</v>
      </c>
      <c r="D20" s="63">
        <v>39</v>
      </c>
      <c r="E20" s="64">
        <v>1.6041461006909999E-3</v>
      </c>
    </row>
    <row r="21" spans="2:5" ht="13.5">
      <c r="B21" s="93" t="s">
        <v>104</v>
      </c>
      <c r="C21" s="71" t="s">
        <v>149</v>
      </c>
      <c r="D21" s="72">
        <v>116</v>
      </c>
      <c r="E21" s="73">
        <v>4.7713063507730004E-3</v>
      </c>
    </row>
    <row r="22" spans="2:5" ht="13.5">
      <c r="B22" s="94"/>
      <c r="C22" s="71" t="s">
        <v>150</v>
      </c>
      <c r="D22" s="72">
        <v>156</v>
      </c>
      <c r="E22" s="73">
        <v>6.4165844027639996E-3</v>
      </c>
    </row>
    <row r="23" spans="2:5" ht="13.5">
      <c r="B23" s="95"/>
      <c r="C23" s="62" t="s">
        <v>29</v>
      </c>
      <c r="D23" s="63">
        <v>272</v>
      </c>
      <c r="E23" s="64">
        <v>1.1187890753537001E-2</v>
      </c>
    </row>
    <row r="24" spans="2:5" ht="13.5">
      <c r="B24" s="93" t="s">
        <v>105</v>
      </c>
      <c r="C24" s="71" t="s">
        <v>149</v>
      </c>
      <c r="D24" s="72">
        <v>188</v>
      </c>
      <c r="E24" s="73">
        <v>7.7328068443570002E-3</v>
      </c>
    </row>
    <row r="25" spans="2:5" ht="13.5">
      <c r="B25" s="94"/>
      <c r="C25" s="71" t="s">
        <v>150</v>
      </c>
      <c r="D25" s="72">
        <v>172</v>
      </c>
      <c r="E25" s="73">
        <v>7.0746956235600003E-3</v>
      </c>
    </row>
    <row r="26" spans="2:5" ht="13.5">
      <c r="B26" s="95" t="s">
        <v>151</v>
      </c>
      <c r="C26" s="62" t="s">
        <v>29</v>
      </c>
      <c r="D26" s="63">
        <v>360</v>
      </c>
      <c r="E26" s="64">
        <v>1.4807502467917E-2</v>
      </c>
    </row>
    <row r="27" spans="2:5" ht="13.5">
      <c r="B27" s="93" t="s">
        <v>106</v>
      </c>
      <c r="C27" s="71" t="s">
        <v>149</v>
      </c>
      <c r="D27" s="72">
        <v>27</v>
      </c>
      <c r="E27" s="73">
        <v>1.110562685094E-3</v>
      </c>
    </row>
    <row r="28" spans="2:5" ht="13.5">
      <c r="B28" s="94"/>
      <c r="C28" s="71" t="s">
        <v>150</v>
      </c>
      <c r="D28" s="72">
        <v>35</v>
      </c>
      <c r="E28" s="73">
        <v>1.4396182954919999E-3</v>
      </c>
    </row>
    <row r="29" spans="2:5" ht="13.5">
      <c r="B29" s="95" t="s">
        <v>152</v>
      </c>
      <c r="C29" s="62" t="s">
        <v>29</v>
      </c>
      <c r="D29" s="63">
        <v>62</v>
      </c>
      <c r="E29" s="64">
        <v>2.550180980586E-3</v>
      </c>
    </row>
    <row r="30" spans="2:5" ht="13.5">
      <c r="B30" s="93" t="s">
        <v>107</v>
      </c>
      <c r="C30" s="71" t="s">
        <v>149</v>
      </c>
      <c r="D30" s="72">
        <v>4</v>
      </c>
      <c r="E30" s="73">
        <v>1.6452780519900001E-4</v>
      </c>
    </row>
    <row r="31" spans="2:5" ht="13.5">
      <c r="B31" s="94"/>
      <c r="C31" s="71" t="s">
        <v>150</v>
      </c>
      <c r="D31" s="72">
        <v>4</v>
      </c>
      <c r="E31" s="73">
        <v>1.6452780519900001E-4</v>
      </c>
    </row>
    <row r="32" spans="2:5" ht="13.5">
      <c r="B32" s="95" t="s">
        <v>153</v>
      </c>
      <c r="C32" s="62" t="s">
        <v>29</v>
      </c>
      <c r="D32" s="63">
        <v>8</v>
      </c>
      <c r="E32" s="64">
        <v>3.2905561039800002E-4</v>
      </c>
    </row>
    <row r="33" spans="2:5" ht="13.5">
      <c r="B33" s="93" t="s">
        <v>108</v>
      </c>
      <c r="C33" s="71" t="s">
        <v>149</v>
      </c>
      <c r="D33" s="72">
        <v>5</v>
      </c>
      <c r="E33" s="73">
        <v>2.0565975649899999E-4</v>
      </c>
    </row>
    <row r="34" spans="2:5" ht="13.5">
      <c r="B34" s="94"/>
      <c r="C34" s="71" t="s">
        <v>150</v>
      </c>
      <c r="D34" s="72">
        <v>5</v>
      </c>
      <c r="E34" s="73">
        <v>2.0565975649899999E-4</v>
      </c>
    </row>
    <row r="35" spans="2:5" ht="13.5">
      <c r="B35" s="95" t="s">
        <v>154</v>
      </c>
      <c r="C35" s="62" t="s">
        <v>29</v>
      </c>
      <c r="D35" s="63">
        <v>10</v>
      </c>
      <c r="E35" s="64">
        <v>4.1131951299799998E-4</v>
      </c>
    </row>
    <row r="36" spans="2:5" ht="13.5">
      <c r="B36" s="93" t="s">
        <v>109</v>
      </c>
      <c r="C36" s="71" t="s">
        <v>149</v>
      </c>
      <c r="D36" s="72">
        <v>1</v>
      </c>
      <c r="E36" s="73">
        <v>4.1131951299999999E-5</v>
      </c>
    </row>
    <row r="37" spans="2:5" ht="13.5">
      <c r="B37" s="95"/>
      <c r="C37" s="62" t="s">
        <v>29</v>
      </c>
      <c r="D37" s="63">
        <v>1</v>
      </c>
      <c r="E37" s="64">
        <v>4.1131951299999999E-5</v>
      </c>
    </row>
    <row r="38" spans="2:5" ht="13.5">
      <c r="B38" s="93" t="s">
        <v>110</v>
      </c>
      <c r="C38" s="71" t="s">
        <v>149</v>
      </c>
      <c r="D38" s="72">
        <v>235</v>
      </c>
      <c r="E38" s="73">
        <v>9.6660085554460002E-3</v>
      </c>
    </row>
    <row r="39" spans="2:5" ht="13.5">
      <c r="B39" s="94"/>
      <c r="C39" s="71" t="s">
        <v>150</v>
      </c>
      <c r="D39" s="72">
        <v>280</v>
      </c>
      <c r="E39" s="73">
        <v>1.1516946363936E-2</v>
      </c>
    </row>
    <row r="40" spans="2:5" ht="13.5">
      <c r="B40" s="95" t="s">
        <v>155</v>
      </c>
      <c r="C40" s="62" t="s">
        <v>29</v>
      </c>
      <c r="D40" s="63">
        <v>515</v>
      </c>
      <c r="E40" s="64">
        <v>2.1182954919380999E-2</v>
      </c>
    </row>
    <row r="41" spans="2:5" ht="13.5">
      <c r="B41" s="93" t="s">
        <v>111</v>
      </c>
      <c r="C41" s="71" t="s">
        <v>149</v>
      </c>
      <c r="D41" s="72">
        <v>202</v>
      </c>
      <c r="E41" s="73">
        <v>8.3086541625529992E-3</v>
      </c>
    </row>
    <row r="42" spans="2:5" ht="13.5">
      <c r="B42" s="94"/>
      <c r="C42" s="71" t="s">
        <v>150</v>
      </c>
      <c r="D42" s="72">
        <v>271</v>
      </c>
      <c r="E42" s="73">
        <v>1.1146758802238E-2</v>
      </c>
    </row>
    <row r="43" spans="2:5" ht="13.5">
      <c r="B43" s="95" t="s">
        <v>156</v>
      </c>
      <c r="C43" s="62" t="s">
        <v>29</v>
      </c>
      <c r="D43" s="63">
        <v>473</v>
      </c>
      <c r="E43" s="64">
        <v>1.9455412964790999E-2</v>
      </c>
    </row>
    <row r="44" spans="2:5" ht="13.5">
      <c r="B44" s="93" t="s">
        <v>112</v>
      </c>
      <c r="C44" s="71" t="s">
        <v>149</v>
      </c>
      <c r="D44" s="72">
        <v>2</v>
      </c>
      <c r="E44" s="73">
        <v>8.2263902599999999E-5</v>
      </c>
    </row>
    <row r="45" spans="2:5" ht="13.5">
      <c r="B45" s="94"/>
      <c r="C45" s="71" t="s">
        <v>150</v>
      </c>
      <c r="D45" s="72">
        <v>7</v>
      </c>
      <c r="E45" s="73">
        <v>2.8792365909800001E-4</v>
      </c>
    </row>
    <row r="46" spans="2:5" ht="13.5">
      <c r="B46" s="95" t="s">
        <v>157</v>
      </c>
      <c r="C46" s="62" t="s">
        <v>29</v>
      </c>
      <c r="D46" s="63">
        <v>9</v>
      </c>
      <c r="E46" s="64">
        <v>3.7018756169799997E-4</v>
      </c>
    </row>
    <row r="47" spans="2:5" ht="13.5">
      <c r="B47" s="93" t="s">
        <v>113</v>
      </c>
      <c r="C47" s="71" t="s">
        <v>149</v>
      </c>
      <c r="D47" s="72">
        <v>191</v>
      </c>
      <c r="E47" s="73">
        <v>7.8562026982559995E-3</v>
      </c>
    </row>
    <row r="48" spans="2:5" ht="13.5">
      <c r="B48" s="94"/>
      <c r="C48" s="71" t="s">
        <v>150</v>
      </c>
      <c r="D48" s="72">
        <v>227</v>
      </c>
      <c r="E48" s="73">
        <v>9.3369529450480007E-3</v>
      </c>
    </row>
    <row r="49" spans="2:5" ht="13.5">
      <c r="B49" s="95" t="s">
        <v>158</v>
      </c>
      <c r="C49" s="62" t="s">
        <v>29</v>
      </c>
      <c r="D49" s="63">
        <v>418</v>
      </c>
      <c r="E49" s="64">
        <v>1.7193155643303999E-2</v>
      </c>
    </row>
    <row r="50" spans="2:5" ht="13.5">
      <c r="B50" s="93" t="s">
        <v>114</v>
      </c>
      <c r="C50" s="71" t="s">
        <v>149</v>
      </c>
      <c r="D50" s="72">
        <v>80</v>
      </c>
      <c r="E50" s="73">
        <v>3.2905561039820001E-3</v>
      </c>
    </row>
    <row r="51" spans="2:5" ht="13.5">
      <c r="B51" s="94"/>
      <c r="C51" s="71" t="s">
        <v>150</v>
      </c>
      <c r="D51" s="72">
        <v>93</v>
      </c>
      <c r="E51" s="73">
        <v>3.8252714708790002E-3</v>
      </c>
    </row>
    <row r="52" spans="2:5" ht="13.5">
      <c r="B52" s="95" t="s">
        <v>159</v>
      </c>
      <c r="C52" s="62" t="s">
        <v>29</v>
      </c>
      <c r="D52" s="63">
        <v>173</v>
      </c>
      <c r="E52" s="64">
        <v>7.1158275748599998E-3</v>
      </c>
    </row>
    <row r="53" spans="2:5" ht="13.5">
      <c r="B53" s="93" t="s">
        <v>115</v>
      </c>
      <c r="C53" s="71" t="s">
        <v>149</v>
      </c>
      <c r="D53" s="72">
        <v>8</v>
      </c>
      <c r="E53" s="73">
        <v>3.2905561039800002E-4</v>
      </c>
    </row>
    <row r="54" spans="2:5" ht="13.5">
      <c r="B54" s="94"/>
      <c r="C54" s="71" t="s">
        <v>150</v>
      </c>
      <c r="D54" s="72">
        <v>19</v>
      </c>
      <c r="E54" s="73">
        <v>7.8150707469600001E-4</v>
      </c>
    </row>
    <row r="55" spans="2:5" ht="13.5">
      <c r="B55" s="95" t="s">
        <v>160</v>
      </c>
      <c r="C55" s="62" t="s">
        <v>29</v>
      </c>
      <c r="D55" s="63">
        <v>27</v>
      </c>
      <c r="E55" s="64">
        <v>1.110562685094E-3</v>
      </c>
    </row>
    <row r="56" spans="2:5" ht="13.5">
      <c r="B56" s="93" t="s">
        <v>116</v>
      </c>
      <c r="C56" s="71" t="s">
        <v>149</v>
      </c>
      <c r="D56" s="72">
        <v>40</v>
      </c>
      <c r="E56" s="73">
        <v>1.6452780519910001E-3</v>
      </c>
    </row>
    <row r="57" spans="2:5" ht="13.5">
      <c r="B57" s="94"/>
      <c r="C57" s="71" t="s">
        <v>150</v>
      </c>
      <c r="D57" s="72">
        <v>45</v>
      </c>
      <c r="E57" s="73">
        <v>1.85093780849E-3</v>
      </c>
    </row>
    <row r="58" spans="2:5" ht="13.5">
      <c r="B58" s="95" t="s">
        <v>161</v>
      </c>
      <c r="C58" s="62" t="s">
        <v>29</v>
      </c>
      <c r="D58" s="63">
        <v>85</v>
      </c>
      <c r="E58" s="64">
        <v>3.4962158604800002E-3</v>
      </c>
    </row>
    <row r="59" spans="2:5" ht="13.5">
      <c r="B59" s="93" t="s">
        <v>117</v>
      </c>
      <c r="C59" s="71" t="s">
        <v>149</v>
      </c>
      <c r="D59" s="72">
        <v>29</v>
      </c>
      <c r="E59" s="73">
        <v>1.1928265876930001E-3</v>
      </c>
    </row>
    <row r="60" spans="2:5" ht="13.5">
      <c r="B60" s="94"/>
      <c r="C60" s="71" t="s">
        <v>150</v>
      </c>
      <c r="D60" s="72">
        <v>54</v>
      </c>
      <c r="E60" s="73">
        <v>2.2211253701880001E-3</v>
      </c>
    </row>
    <row r="61" spans="2:5" ht="13.5">
      <c r="B61" s="95" t="s">
        <v>162</v>
      </c>
      <c r="C61" s="62" t="s">
        <v>29</v>
      </c>
      <c r="D61" s="63">
        <v>83</v>
      </c>
      <c r="E61" s="64">
        <v>3.4139519578809999E-3</v>
      </c>
    </row>
    <row r="62" spans="2:5" ht="13.5">
      <c r="B62" s="93" t="s">
        <v>118</v>
      </c>
      <c r="C62" s="71" t="s">
        <v>149</v>
      </c>
      <c r="D62" s="72">
        <v>68</v>
      </c>
      <c r="E62" s="73">
        <v>2.796972688384E-3</v>
      </c>
    </row>
    <row r="63" spans="2:5" ht="13.5">
      <c r="B63" s="94"/>
      <c r="C63" s="71" t="s">
        <v>150</v>
      </c>
      <c r="D63" s="72">
        <v>98</v>
      </c>
      <c r="E63" s="73">
        <v>4.0309312273769998E-3</v>
      </c>
    </row>
    <row r="64" spans="2:5" ht="13.5">
      <c r="B64" s="95" t="s">
        <v>163</v>
      </c>
      <c r="C64" s="62" t="s">
        <v>29</v>
      </c>
      <c r="D64" s="63">
        <v>166</v>
      </c>
      <c r="E64" s="64">
        <v>6.8279039157619998E-3</v>
      </c>
    </row>
    <row r="65" spans="2:5" ht="13.5">
      <c r="B65" s="93" t="s">
        <v>119</v>
      </c>
      <c r="C65" s="71" t="s">
        <v>150</v>
      </c>
      <c r="D65" s="72">
        <v>1</v>
      </c>
      <c r="E65" s="73">
        <v>4.1131951299999999E-5</v>
      </c>
    </row>
    <row r="66" spans="2:5" ht="13.5">
      <c r="B66" s="95" t="s">
        <v>164</v>
      </c>
      <c r="C66" s="62" t="s">
        <v>29</v>
      </c>
      <c r="D66" s="63">
        <v>1</v>
      </c>
      <c r="E66" s="64">
        <v>4.1131951299999999E-5</v>
      </c>
    </row>
    <row r="67" spans="2:5" ht="13.5">
      <c r="B67" s="93" t="s">
        <v>120</v>
      </c>
      <c r="C67" s="71" t="s">
        <v>149</v>
      </c>
      <c r="D67" s="72">
        <v>4</v>
      </c>
      <c r="E67" s="73">
        <v>1.6452780519900001E-4</v>
      </c>
    </row>
    <row r="68" spans="2:5" ht="13.5">
      <c r="B68" s="94"/>
      <c r="C68" s="71" t="s">
        <v>150</v>
      </c>
      <c r="D68" s="72">
        <v>13</v>
      </c>
      <c r="E68" s="73">
        <v>5.3471536689700004E-4</v>
      </c>
    </row>
    <row r="69" spans="2:5" ht="13.5">
      <c r="B69" s="95" t="s">
        <v>165</v>
      </c>
      <c r="C69" s="62" t="s">
        <v>29</v>
      </c>
      <c r="D69" s="63">
        <v>17</v>
      </c>
      <c r="E69" s="64">
        <v>6.9924317209599999E-4</v>
      </c>
    </row>
    <row r="70" spans="2:5" ht="13.5">
      <c r="B70" s="93" t="s">
        <v>121</v>
      </c>
      <c r="C70" s="71" t="s">
        <v>149</v>
      </c>
      <c r="D70" s="72">
        <v>2</v>
      </c>
      <c r="E70" s="73">
        <v>8.2263902599999999E-5</v>
      </c>
    </row>
    <row r="71" spans="2:5" ht="13.5">
      <c r="B71" s="94"/>
      <c r="C71" s="71" t="s">
        <v>150</v>
      </c>
      <c r="D71" s="72">
        <v>11</v>
      </c>
      <c r="E71" s="73">
        <v>4.5245146429700003E-4</v>
      </c>
    </row>
    <row r="72" spans="2:5" ht="13.5">
      <c r="B72" s="95" t="s">
        <v>166</v>
      </c>
      <c r="C72" s="62" t="s">
        <v>29</v>
      </c>
      <c r="D72" s="63">
        <v>13</v>
      </c>
      <c r="E72" s="64">
        <v>5.3471536689700004E-4</v>
      </c>
    </row>
    <row r="73" spans="2:5" ht="13.5">
      <c r="B73" s="93" t="s">
        <v>122</v>
      </c>
      <c r="C73" s="71" t="s">
        <v>149</v>
      </c>
      <c r="D73" s="72">
        <v>62</v>
      </c>
      <c r="E73" s="73">
        <v>2.550180980586E-3</v>
      </c>
    </row>
    <row r="74" spans="2:5" ht="13.5">
      <c r="B74" s="94"/>
      <c r="C74" s="71" t="s">
        <v>150</v>
      </c>
      <c r="D74" s="72">
        <v>75</v>
      </c>
      <c r="E74" s="73">
        <v>3.084896347483E-3</v>
      </c>
    </row>
    <row r="75" spans="2:5" ht="13.5">
      <c r="B75" s="95" t="s">
        <v>167</v>
      </c>
      <c r="C75" s="62" t="s">
        <v>29</v>
      </c>
      <c r="D75" s="63">
        <v>137</v>
      </c>
      <c r="E75" s="64">
        <v>5.6350773280680003E-3</v>
      </c>
    </row>
    <row r="76" spans="2:5" ht="13.5">
      <c r="B76" s="93" t="s">
        <v>123</v>
      </c>
      <c r="C76" s="71" t="s">
        <v>149</v>
      </c>
      <c r="D76" s="72">
        <v>60</v>
      </c>
      <c r="E76" s="73">
        <v>2.4679170779860001E-3</v>
      </c>
    </row>
    <row r="77" spans="2:5" ht="13.5">
      <c r="B77" s="94"/>
      <c r="C77" s="71" t="s">
        <v>150</v>
      </c>
      <c r="D77" s="72">
        <v>93</v>
      </c>
      <c r="E77" s="73">
        <v>3.8252714708790002E-3</v>
      </c>
    </row>
    <row r="78" spans="2:5" ht="13.5">
      <c r="B78" s="95" t="s">
        <v>168</v>
      </c>
      <c r="C78" s="62" t="s">
        <v>29</v>
      </c>
      <c r="D78" s="63">
        <v>153</v>
      </c>
      <c r="E78" s="64">
        <v>6.2931885488650002E-3</v>
      </c>
    </row>
    <row r="79" spans="2:5" ht="13.5">
      <c r="B79" s="93" t="s">
        <v>124</v>
      </c>
      <c r="C79" s="71" t="s">
        <v>149</v>
      </c>
      <c r="D79" s="72">
        <v>63</v>
      </c>
      <c r="E79" s="73">
        <v>2.5913129318849999E-3</v>
      </c>
    </row>
    <row r="80" spans="2:5" ht="13.5">
      <c r="B80" s="94"/>
      <c r="C80" s="71" t="s">
        <v>150</v>
      </c>
      <c r="D80" s="72">
        <v>86</v>
      </c>
      <c r="E80" s="73">
        <v>3.5373478117800001E-3</v>
      </c>
    </row>
    <row r="81" spans="2:5" ht="13.5">
      <c r="B81" s="95" t="s">
        <v>169</v>
      </c>
      <c r="C81" s="62" t="s">
        <v>29</v>
      </c>
      <c r="D81" s="63">
        <v>149</v>
      </c>
      <c r="E81" s="64">
        <v>6.1286607436659996E-3</v>
      </c>
    </row>
    <row r="82" spans="2:5" ht="13.5">
      <c r="B82" s="93" t="s">
        <v>125</v>
      </c>
      <c r="C82" s="71" t="s">
        <v>149</v>
      </c>
      <c r="D82" s="72">
        <v>45</v>
      </c>
      <c r="E82" s="73">
        <v>1.85093780849E-3</v>
      </c>
    </row>
    <row r="83" spans="2:5" ht="13.5">
      <c r="B83" s="94"/>
      <c r="C83" s="71" t="s">
        <v>150</v>
      </c>
      <c r="D83" s="72">
        <v>72</v>
      </c>
      <c r="E83" s="73">
        <v>2.9615004935830001E-3</v>
      </c>
    </row>
    <row r="84" spans="2:5" ht="13.5">
      <c r="B84" s="95" t="s">
        <v>170</v>
      </c>
      <c r="C84" s="62" t="s">
        <v>29</v>
      </c>
      <c r="D84" s="63">
        <v>117</v>
      </c>
      <c r="E84" s="64">
        <v>4.8124383020729999E-3</v>
      </c>
    </row>
    <row r="85" spans="2:5" ht="13.5">
      <c r="B85" s="93" t="s">
        <v>126</v>
      </c>
      <c r="C85" s="71" t="s">
        <v>150</v>
      </c>
      <c r="D85" s="72">
        <v>2</v>
      </c>
      <c r="E85" s="73">
        <v>8.2263902599999999E-5</v>
      </c>
    </row>
    <row r="86" spans="2:5" ht="13.5">
      <c r="B86" s="95" t="s">
        <v>171</v>
      </c>
      <c r="C86" s="62" t="s">
        <v>29</v>
      </c>
      <c r="D86" s="63">
        <v>2</v>
      </c>
      <c r="E86" s="64">
        <v>8.2263902599999999E-5</v>
      </c>
    </row>
    <row r="87" spans="2:5" ht="13.5">
      <c r="B87" s="93" t="s">
        <v>127</v>
      </c>
      <c r="C87" s="71" t="s">
        <v>149</v>
      </c>
      <c r="D87" s="72">
        <v>21</v>
      </c>
      <c r="E87" s="73">
        <v>8.6377097729499995E-4</v>
      </c>
    </row>
    <row r="88" spans="2:5" ht="13.5">
      <c r="B88" s="94"/>
      <c r="C88" s="71" t="s">
        <v>150</v>
      </c>
      <c r="D88" s="72">
        <v>20</v>
      </c>
      <c r="E88" s="73">
        <v>8.22639025995E-4</v>
      </c>
    </row>
    <row r="89" spans="2:5" ht="13.5">
      <c r="B89" s="95" t="s">
        <v>172</v>
      </c>
      <c r="C89" s="62" t="s">
        <v>29</v>
      </c>
      <c r="D89" s="63">
        <v>41</v>
      </c>
      <c r="E89" s="64">
        <v>1.686410003291E-3</v>
      </c>
    </row>
    <row r="90" spans="2:5" ht="13.5">
      <c r="B90" s="93" t="s">
        <v>128</v>
      </c>
      <c r="C90" s="71" t="s">
        <v>149</v>
      </c>
      <c r="D90" s="72">
        <v>12</v>
      </c>
      <c r="E90" s="73">
        <v>4.9358341559699998E-4</v>
      </c>
    </row>
    <row r="91" spans="2:5" ht="13.5">
      <c r="B91" s="94"/>
      <c r="C91" s="71" t="s">
        <v>150</v>
      </c>
      <c r="D91" s="72">
        <v>25</v>
      </c>
      <c r="E91" s="73">
        <v>1.0282987824939999E-3</v>
      </c>
    </row>
    <row r="92" spans="2:5" ht="13.5">
      <c r="B92" s="95" t="s">
        <v>173</v>
      </c>
      <c r="C92" s="62" t="s">
        <v>29</v>
      </c>
      <c r="D92" s="63">
        <v>37</v>
      </c>
      <c r="E92" s="64">
        <v>1.521882198091E-3</v>
      </c>
    </row>
    <row r="93" spans="2:5" ht="13.5">
      <c r="B93" s="93" t="s">
        <v>129</v>
      </c>
      <c r="C93" s="71" t="s">
        <v>149</v>
      </c>
      <c r="D93" s="72">
        <v>16</v>
      </c>
      <c r="E93" s="73">
        <v>6.5811122079600004E-4</v>
      </c>
    </row>
    <row r="94" spans="2:5" ht="13.5">
      <c r="B94" s="94"/>
      <c r="C94" s="71" t="s">
        <v>150</v>
      </c>
      <c r="D94" s="72">
        <v>25</v>
      </c>
      <c r="E94" s="73">
        <v>1.0282987824939999E-3</v>
      </c>
    </row>
    <row r="95" spans="2:5" ht="13.5">
      <c r="B95" s="95" t="s">
        <v>174</v>
      </c>
      <c r="C95" s="62" t="s">
        <v>29</v>
      </c>
      <c r="D95" s="63">
        <v>41</v>
      </c>
      <c r="E95" s="64">
        <v>1.686410003291E-3</v>
      </c>
    </row>
    <row r="96" spans="2:5" ht="13.5">
      <c r="B96" s="93" t="s">
        <v>130</v>
      </c>
      <c r="C96" s="71" t="s">
        <v>149</v>
      </c>
      <c r="D96" s="72">
        <v>4</v>
      </c>
      <c r="E96" s="73">
        <v>1.6452780519900001E-4</v>
      </c>
    </row>
    <row r="97" spans="2:5" ht="13.5">
      <c r="B97" s="94"/>
      <c r="C97" s="71" t="s">
        <v>150</v>
      </c>
      <c r="D97" s="72">
        <v>8</v>
      </c>
      <c r="E97" s="73">
        <v>3.2905561039800002E-4</v>
      </c>
    </row>
    <row r="98" spans="2:5" ht="13.5">
      <c r="B98" s="95" t="s">
        <v>175</v>
      </c>
      <c r="C98" s="62" t="s">
        <v>29</v>
      </c>
      <c r="D98" s="63">
        <v>12</v>
      </c>
      <c r="E98" s="64">
        <v>4.9358341559699998E-4</v>
      </c>
    </row>
    <row r="99" spans="2:5" ht="13.5">
      <c r="B99" s="93" t="s">
        <v>131</v>
      </c>
      <c r="C99" s="71" t="s">
        <v>149</v>
      </c>
      <c r="D99" s="72">
        <v>13</v>
      </c>
      <c r="E99" s="73">
        <v>5.3471536689700004E-4</v>
      </c>
    </row>
    <row r="100" spans="2:5" ht="13.5">
      <c r="B100" s="94"/>
      <c r="C100" s="71" t="s">
        <v>150</v>
      </c>
      <c r="D100" s="72">
        <v>18</v>
      </c>
      <c r="E100" s="73">
        <v>7.4037512339599995E-4</v>
      </c>
    </row>
    <row r="101" spans="2:5" ht="13.5">
      <c r="B101" s="95" t="s">
        <v>176</v>
      </c>
      <c r="C101" s="62" t="s">
        <v>29</v>
      </c>
      <c r="D101" s="63">
        <v>31</v>
      </c>
      <c r="E101" s="64">
        <v>1.275090490293E-3</v>
      </c>
    </row>
    <row r="102" spans="2:5" ht="13.5">
      <c r="B102" s="93" t="s">
        <v>132</v>
      </c>
      <c r="C102" s="71" t="s">
        <v>149</v>
      </c>
      <c r="D102" s="72">
        <v>167</v>
      </c>
      <c r="E102" s="73">
        <v>6.8690358670620002E-3</v>
      </c>
    </row>
    <row r="103" spans="2:5" ht="13.5">
      <c r="B103" s="94"/>
      <c r="C103" s="71" t="s">
        <v>150</v>
      </c>
      <c r="D103" s="72">
        <v>255</v>
      </c>
      <c r="E103" s="73">
        <v>1.0488647581441E-2</v>
      </c>
    </row>
    <row r="104" spans="2:5" ht="13.5">
      <c r="B104" s="95" t="s">
        <v>177</v>
      </c>
      <c r="C104" s="62" t="s">
        <v>29</v>
      </c>
      <c r="D104" s="63">
        <v>422</v>
      </c>
      <c r="E104" s="64">
        <v>1.7357683448503001E-2</v>
      </c>
    </row>
    <row r="105" spans="2:5" ht="13.5">
      <c r="B105" s="93" t="s">
        <v>133</v>
      </c>
      <c r="C105" s="71" t="s">
        <v>149</v>
      </c>
      <c r="D105" s="72">
        <v>1</v>
      </c>
      <c r="E105" s="73">
        <v>4.1131951299999999E-5</v>
      </c>
    </row>
    <row r="106" spans="2:5" ht="13.5">
      <c r="B106" s="94"/>
      <c r="C106" s="71" t="s">
        <v>150</v>
      </c>
      <c r="D106" s="72">
        <v>4</v>
      </c>
      <c r="E106" s="73">
        <v>1.6452780519900001E-4</v>
      </c>
    </row>
    <row r="107" spans="2:5" ht="13.5">
      <c r="B107" s="95" t="s">
        <v>178</v>
      </c>
      <c r="C107" s="62" t="s">
        <v>29</v>
      </c>
      <c r="D107" s="63">
        <v>5</v>
      </c>
      <c r="E107" s="64">
        <v>2.0565975649899999E-4</v>
      </c>
    </row>
    <row r="108" spans="2:5" ht="13.5">
      <c r="B108" s="93" t="s">
        <v>134</v>
      </c>
      <c r="C108" s="71" t="s">
        <v>149</v>
      </c>
      <c r="D108" s="72">
        <v>47</v>
      </c>
      <c r="E108" s="73">
        <v>1.933201711089E-3</v>
      </c>
    </row>
    <row r="109" spans="2:5" ht="13.5">
      <c r="B109" s="94"/>
      <c r="C109" s="71" t="s">
        <v>150</v>
      </c>
      <c r="D109" s="72">
        <v>65</v>
      </c>
      <c r="E109" s="73">
        <v>2.6735768344850002E-3</v>
      </c>
    </row>
    <row r="110" spans="2:5" ht="13.5">
      <c r="B110" s="95" t="s">
        <v>179</v>
      </c>
      <c r="C110" s="62" t="s">
        <v>29</v>
      </c>
      <c r="D110" s="63">
        <v>112</v>
      </c>
      <c r="E110" s="64">
        <v>4.6067785455739998E-3</v>
      </c>
    </row>
    <row r="111" spans="2:5" ht="13.5">
      <c r="B111" s="93" t="s">
        <v>135</v>
      </c>
      <c r="C111" s="71" t="s">
        <v>149</v>
      </c>
      <c r="D111" s="72">
        <v>141</v>
      </c>
      <c r="E111" s="73">
        <v>5.7996051332680001E-3</v>
      </c>
    </row>
    <row r="112" spans="2:5" ht="13.5">
      <c r="B112" s="94"/>
      <c r="C112" s="71" t="s">
        <v>150</v>
      </c>
      <c r="D112" s="72">
        <v>154</v>
      </c>
      <c r="E112" s="73">
        <v>6.3343205001649997E-3</v>
      </c>
    </row>
    <row r="113" spans="2:5" ht="13.5">
      <c r="B113" s="95" t="s">
        <v>180</v>
      </c>
      <c r="C113" s="62" t="s">
        <v>29</v>
      </c>
      <c r="D113" s="63">
        <v>295</v>
      </c>
      <c r="E113" s="64">
        <v>1.2133925633432E-2</v>
      </c>
    </row>
    <row r="114" spans="2:5" ht="13.5">
      <c r="B114" s="93" t="s">
        <v>136</v>
      </c>
      <c r="C114" s="71" t="s">
        <v>149</v>
      </c>
      <c r="D114" s="72">
        <v>4</v>
      </c>
      <c r="E114" s="73">
        <v>1.6452780519900001E-4</v>
      </c>
    </row>
    <row r="115" spans="2:5" ht="13.5">
      <c r="B115" s="94"/>
      <c r="C115" s="71" t="s">
        <v>150</v>
      </c>
      <c r="D115" s="72">
        <v>4</v>
      </c>
      <c r="E115" s="73">
        <v>1.6452780519900001E-4</v>
      </c>
    </row>
    <row r="116" spans="2:5" ht="13.5">
      <c r="B116" s="95" t="s">
        <v>181</v>
      </c>
      <c r="C116" s="62" t="s">
        <v>29</v>
      </c>
      <c r="D116" s="63">
        <v>8</v>
      </c>
      <c r="E116" s="64">
        <v>3.2905561039800002E-4</v>
      </c>
    </row>
    <row r="117" spans="2:5" ht="13.5">
      <c r="B117" s="93" t="s">
        <v>137</v>
      </c>
      <c r="C117" s="71" t="s">
        <v>149</v>
      </c>
      <c r="D117" s="72">
        <v>11</v>
      </c>
      <c r="E117" s="73">
        <v>4.5245146429700003E-4</v>
      </c>
    </row>
    <row r="118" spans="2:5" ht="13.5">
      <c r="B118" s="94"/>
      <c r="C118" s="71" t="s">
        <v>150</v>
      </c>
      <c r="D118" s="72">
        <v>21</v>
      </c>
      <c r="E118" s="73">
        <v>8.6377097729499995E-4</v>
      </c>
    </row>
    <row r="119" spans="2:5" ht="13.5">
      <c r="B119" s="95" t="s">
        <v>182</v>
      </c>
      <c r="C119" s="62" t="s">
        <v>29</v>
      </c>
      <c r="D119" s="63">
        <v>32</v>
      </c>
      <c r="E119" s="64">
        <v>1.3162224415929999E-3</v>
      </c>
    </row>
    <row r="120" spans="2:5" ht="13.5">
      <c r="B120" s="93" t="s">
        <v>138</v>
      </c>
      <c r="C120" s="71" t="s">
        <v>149</v>
      </c>
      <c r="D120" s="72">
        <v>1</v>
      </c>
      <c r="E120" s="73">
        <v>4.1131951299999999E-5</v>
      </c>
    </row>
    <row r="121" spans="2:5" ht="13.5">
      <c r="B121" s="94"/>
      <c r="C121" s="71" t="s">
        <v>150</v>
      </c>
      <c r="D121" s="72">
        <v>2</v>
      </c>
      <c r="E121" s="73">
        <v>8.2263902599999999E-5</v>
      </c>
    </row>
    <row r="122" spans="2:5" ht="13.5">
      <c r="B122" s="95" t="s">
        <v>183</v>
      </c>
      <c r="C122" s="62" t="s">
        <v>29</v>
      </c>
      <c r="D122" s="63">
        <v>3</v>
      </c>
      <c r="E122" s="64">
        <v>1.23395853899E-4</v>
      </c>
    </row>
    <row r="123" spans="2:5" ht="13.5">
      <c r="B123" s="93" t="s">
        <v>139</v>
      </c>
      <c r="C123" s="71" t="s">
        <v>149</v>
      </c>
      <c r="D123" s="72">
        <v>41</v>
      </c>
      <c r="E123" s="73">
        <v>1.686410003291E-3</v>
      </c>
    </row>
    <row r="124" spans="2:5" ht="13.5">
      <c r="B124" s="94"/>
      <c r="C124" s="71" t="s">
        <v>150</v>
      </c>
      <c r="D124" s="72">
        <v>73</v>
      </c>
      <c r="E124" s="73">
        <v>3.0026324448830001E-3</v>
      </c>
    </row>
    <row r="125" spans="2:5" ht="13.5">
      <c r="B125" s="95" t="s">
        <v>184</v>
      </c>
      <c r="C125" s="62" t="s">
        <v>29</v>
      </c>
      <c r="D125" s="63">
        <v>114</v>
      </c>
      <c r="E125" s="64">
        <v>4.6890424481739997E-3</v>
      </c>
    </row>
    <row r="126" spans="2:5" ht="13.5">
      <c r="B126" s="93" t="s">
        <v>140</v>
      </c>
      <c r="C126" s="71" t="s">
        <v>149</v>
      </c>
      <c r="D126" s="72">
        <v>1</v>
      </c>
      <c r="E126" s="73">
        <v>4.1131951299999999E-5</v>
      </c>
    </row>
    <row r="127" spans="2:5" ht="13.5">
      <c r="B127" s="94"/>
      <c r="C127" s="71" t="s">
        <v>150</v>
      </c>
      <c r="D127" s="72">
        <v>5</v>
      </c>
      <c r="E127" s="73">
        <v>2.0565975649899999E-4</v>
      </c>
    </row>
    <row r="128" spans="2:5" ht="13.5">
      <c r="B128" s="95" t="s">
        <v>185</v>
      </c>
      <c r="C128" s="62" t="s">
        <v>29</v>
      </c>
      <c r="D128" s="63">
        <v>6</v>
      </c>
      <c r="E128" s="64">
        <v>2.4679170779900002E-4</v>
      </c>
    </row>
    <row r="129" spans="2:5" ht="13.5">
      <c r="B129" s="93" t="s">
        <v>141</v>
      </c>
      <c r="C129" s="71" t="s">
        <v>149</v>
      </c>
      <c r="D129" s="72">
        <v>105</v>
      </c>
      <c r="E129" s="73">
        <v>4.3188548864759998E-3</v>
      </c>
    </row>
    <row r="130" spans="2:5" ht="13.5">
      <c r="B130" s="94"/>
      <c r="C130" s="71" t="s">
        <v>150</v>
      </c>
      <c r="D130" s="72">
        <v>162</v>
      </c>
      <c r="E130" s="73">
        <v>6.6633761105630001E-3</v>
      </c>
    </row>
    <row r="131" spans="2:5" ht="13.5">
      <c r="B131" s="95" t="s">
        <v>186</v>
      </c>
      <c r="C131" s="62" t="s">
        <v>29</v>
      </c>
      <c r="D131" s="63">
        <v>267</v>
      </c>
      <c r="E131" s="64">
        <v>1.0982230997039001E-2</v>
      </c>
    </row>
    <row r="132" spans="2:5" ht="13.5">
      <c r="B132" s="93" t="s">
        <v>142</v>
      </c>
      <c r="C132" s="71" t="s">
        <v>149</v>
      </c>
      <c r="D132" s="72">
        <v>9992</v>
      </c>
      <c r="E132" s="73">
        <v>0.410990457387298</v>
      </c>
    </row>
    <row r="133" spans="2:5" ht="13.5">
      <c r="B133" s="94"/>
      <c r="C133" s="71" t="s">
        <v>150</v>
      </c>
      <c r="D133" s="72">
        <v>9348</v>
      </c>
      <c r="E133" s="73">
        <v>0.38450148075024698</v>
      </c>
    </row>
    <row r="134" spans="2:5" ht="13.5">
      <c r="B134" s="95" t="s">
        <v>187</v>
      </c>
      <c r="C134" s="62" t="s">
        <v>29</v>
      </c>
      <c r="D134" s="63">
        <v>19340</v>
      </c>
      <c r="E134" s="64">
        <v>0.79549193813754504</v>
      </c>
    </row>
    <row r="135" spans="2:5" ht="13.5">
      <c r="B135" s="93" t="s">
        <v>143</v>
      </c>
      <c r="C135" s="71" t="s">
        <v>149</v>
      </c>
      <c r="D135" s="72">
        <v>7</v>
      </c>
      <c r="E135" s="73">
        <v>2.8792365909800001E-4</v>
      </c>
    </row>
    <row r="136" spans="2:5" ht="13.5">
      <c r="B136" s="94"/>
      <c r="C136" s="71" t="s">
        <v>150</v>
      </c>
      <c r="D136" s="72">
        <v>9</v>
      </c>
      <c r="E136" s="73">
        <v>3.7018756169799997E-4</v>
      </c>
    </row>
    <row r="137" spans="2:5" ht="13.5">
      <c r="B137" s="95" t="s">
        <v>188</v>
      </c>
      <c r="C137" s="62" t="s">
        <v>29</v>
      </c>
      <c r="D137" s="63">
        <v>16</v>
      </c>
      <c r="E137" s="64">
        <v>6.5811122079600004E-4</v>
      </c>
    </row>
    <row r="138" spans="2:5" ht="13.5">
      <c r="B138" s="93" t="s">
        <v>144</v>
      </c>
      <c r="C138" s="71" t="s">
        <v>150</v>
      </c>
      <c r="D138" s="72">
        <v>1</v>
      </c>
      <c r="E138" s="73">
        <v>4.1131951299999999E-5</v>
      </c>
    </row>
    <row r="139" spans="2:5" ht="13.5">
      <c r="B139" s="95" t="s">
        <v>189</v>
      </c>
      <c r="C139" s="62" t="s">
        <v>29</v>
      </c>
      <c r="D139" s="63">
        <v>1</v>
      </c>
      <c r="E139" s="64">
        <v>4.1131951299999999E-5</v>
      </c>
    </row>
    <row r="140" spans="2:5" ht="13.5">
      <c r="B140" s="93" t="s">
        <v>145</v>
      </c>
      <c r="C140" s="71" t="s">
        <v>149</v>
      </c>
      <c r="D140" s="72">
        <v>29</v>
      </c>
      <c r="E140" s="73">
        <v>1.1928265876930001E-3</v>
      </c>
    </row>
    <row r="141" spans="2:5" ht="13.5">
      <c r="B141" s="94"/>
      <c r="C141" s="71" t="s">
        <v>150</v>
      </c>
      <c r="D141" s="72">
        <v>35</v>
      </c>
      <c r="E141" s="73">
        <v>1.4396182954919999E-3</v>
      </c>
    </row>
    <row r="142" spans="2:5" ht="13.5">
      <c r="B142" s="95" t="s">
        <v>190</v>
      </c>
      <c r="C142" s="62" t="s">
        <v>29</v>
      </c>
      <c r="D142" s="63">
        <v>64</v>
      </c>
      <c r="E142" s="64">
        <v>2.6324448831849998E-3</v>
      </c>
    </row>
    <row r="143" spans="2:5" ht="13.5">
      <c r="B143" s="93" t="s">
        <v>70</v>
      </c>
      <c r="C143" s="71" t="s">
        <v>149</v>
      </c>
      <c r="D143" s="72">
        <v>2</v>
      </c>
      <c r="E143" s="73">
        <v>8.2263902599999999E-5</v>
      </c>
    </row>
    <row r="144" spans="2:5" ht="13.5">
      <c r="B144" s="94"/>
      <c r="C144" s="71" t="s">
        <v>150</v>
      </c>
      <c r="D144" s="72">
        <v>2</v>
      </c>
      <c r="E144" s="73">
        <v>8.2263902599999999E-5</v>
      </c>
    </row>
    <row r="145" spans="2:5" ht="13.5">
      <c r="B145" s="95" t="s">
        <v>191</v>
      </c>
      <c r="C145" s="62" t="s">
        <v>29</v>
      </c>
      <c r="D145" s="63">
        <v>4</v>
      </c>
      <c r="E145" s="64">
        <v>1.6452780519900001E-4</v>
      </c>
    </row>
    <row r="146" spans="2:5" ht="13.5">
      <c r="B146" s="93" t="s">
        <v>146</v>
      </c>
      <c r="C146" s="71" t="s">
        <v>150</v>
      </c>
      <c r="D146" s="72">
        <v>1</v>
      </c>
      <c r="E146" s="73">
        <v>4.1131951299999999E-5</v>
      </c>
    </row>
    <row r="147" spans="2:5" ht="13.5">
      <c r="B147" s="95" t="s">
        <v>192</v>
      </c>
      <c r="C147" s="62" t="s">
        <v>29</v>
      </c>
      <c r="D147" s="63">
        <v>1</v>
      </c>
      <c r="E147" s="64">
        <v>4.1131951299999999E-5</v>
      </c>
    </row>
    <row r="148" spans="2:5" ht="13.5">
      <c r="B148" s="93" t="s">
        <v>147</v>
      </c>
      <c r="C148" s="71" t="s">
        <v>149</v>
      </c>
      <c r="D148" s="72">
        <v>22</v>
      </c>
      <c r="E148" s="73">
        <v>9.0490292859500001E-4</v>
      </c>
    </row>
    <row r="149" spans="2:5" ht="13.5">
      <c r="B149" s="94"/>
      <c r="C149" s="71" t="s">
        <v>150</v>
      </c>
      <c r="D149" s="72">
        <v>34</v>
      </c>
      <c r="E149" s="73">
        <v>1.398486344192E-3</v>
      </c>
    </row>
    <row r="150" spans="2:5" ht="13.5">
      <c r="B150" s="95" t="s">
        <v>193</v>
      </c>
      <c r="C150" s="62" t="s">
        <v>29</v>
      </c>
      <c r="D150" s="63">
        <v>56</v>
      </c>
      <c r="E150" s="64">
        <v>2.3033892727869999E-3</v>
      </c>
    </row>
    <row r="151" spans="2:5" ht="13.5">
      <c r="B151" s="93" t="s">
        <v>148</v>
      </c>
      <c r="C151" s="71" t="s">
        <v>150</v>
      </c>
      <c r="D151" s="72">
        <v>3</v>
      </c>
      <c r="E151" s="73">
        <v>1.23395853899E-4</v>
      </c>
    </row>
    <row r="152" spans="2:5" ht="13.5">
      <c r="B152" s="95"/>
      <c r="C152" s="62" t="s">
        <v>29</v>
      </c>
      <c r="D152" s="63">
        <v>3</v>
      </c>
      <c r="E152" s="64">
        <v>1.23395853899E-4</v>
      </c>
    </row>
    <row r="153" spans="2:5" ht="14.45" customHeight="1">
      <c r="B153" s="99" t="s">
        <v>29</v>
      </c>
      <c r="C153" s="100"/>
      <c r="D153" s="60">
        <v>24312</v>
      </c>
      <c r="E153" s="61">
        <v>1</v>
      </c>
    </row>
    <row r="154" spans="2:5" ht="14.45" customHeight="1"/>
    <row r="155" spans="2:5" ht="14.45" customHeight="1">
      <c r="B155" s="12" t="s">
        <v>47</v>
      </c>
    </row>
    <row r="156" spans="2:5" ht="14.45" customHeight="1">
      <c r="B156" s="14" t="s">
        <v>18</v>
      </c>
    </row>
    <row r="157" spans="2:5" ht="14.45" customHeight="1">
      <c r="B157" s="13" t="s">
        <v>48</v>
      </c>
    </row>
    <row r="158" spans="2:5" ht="14.45" customHeight="1">
      <c r="B158" s="12" t="s">
        <v>17</v>
      </c>
    </row>
    <row r="159" spans="2:5" ht="14.45" customHeight="1">
      <c r="B159" s="12" t="s">
        <v>49</v>
      </c>
    </row>
  </sheetData>
  <mergeCells count="51">
    <mergeCell ref="B24:B26"/>
    <mergeCell ref="B27:B29"/>
    <mergeCell ref="B30:B32"/>
    <mergeCell ref="B62:B64"/>
    <mergeCell ref="B33:B35"/>
    <mergeCell ref="B36:B37"/>
    <mergeCell ref="B38:B40"/>
    <mergeCell ref="B41:B43"/>
    <mergeCell ref="B8:E10"/>
    <mergeCell ref="B13:B15"/>
    <mergeCell ref="B16:B17"/>
    <mergeCell ref="B18:B20"/>
    <mergeCell ref="B21:B23"/>
    <mergeCell ref="B123:B125"/>
    <mergeCell ref="B126:B128"/>
    <mergeCell ref="B102:B104"/>
    <mergeCell ref="B105:B107"/>
    <mergeCell ref="B108:B110"/>
    <mergeCell ref="B111:B113"/>
    <mergeCell ref="B114:B116"/>
    <mergeCell ref="B117:B119"/>
    <mergeCell ref="B120:B122"/>
    <mergeCell ref="B44:B46"/>
    <mergeCell ref="B47:B49"/>
    <mergeCell ref="B50:B52"/>
    <mergeCell ref="B53:B55"/>
    <mergeCell ref="B56:B58"/>
    <mergeCell ref="B59:B61"/>
    <mergeCell ref="B73:B75"/>
    <mergeCell ref="B76:B78"/>
    <mergeCell ref="B79:B81"/>
    <mergeCell ref="B82:B84"/>
    <mergeCell ref="B65:B66"/>
    <mergeCell ref="B67:B69"/>
    <mergeCell ref="B70:B72"/>
    <mergeCell ref="B85:B86"/>
    <mergeCell ref="B148:B150"/>
    <mergeCell ref="B151:B152"/>
    <mergeCell ref="B153:C153"/>
    <mergeCell ref="B87:B89"/>
    <mergeCell ref="B90:B92"/>
    <mergeCell ref="B93:B95"/>
    <mergeCell ref="B96:B98"/>
    <mergeCell ref="B99:B101"/>
    <mergeCell ref="B129:B131"/>
    <mergeCell ref="B132:B134"/>
    <mergeCell ref="B135:B137"/>
    <mergeCell ref="B138:B139"/>
    <mergeCell ref="B140:B142"/>
    <mergeCell ref="B143:B145"/>
    <mergeCell ref="B146:B14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J35"/>
  <sheetViews>
    <sheetView showGridLines="0" view="pageBreakPreview" zoomScaleNormal="175" zoomScaleSheetLayoutView="100" workbookViewId="0">
      <selection activeCell="G18" sqref="G18"/>
    </sheetView>
  </sheetViews>
  <sheetFormatPr baseColWidth="10" defaultColWidth="11.42578125" defaultRowHeight="11.25"/>
  <cols>
    <col min="1" max="1" width="5.7109375" style="22" customWidth="1"/>
    <col min="2" max="2" width="19" style="41" customWidth="1"/>
    <col min="3" max="3" width="26.42578125" style="41" customWidth="1"/>
    <col min="4" max="4" width="17.140625" style="44" customWidth="1"/>
    <col min="5" max="5" width="16.5703125" style="44" customWidth="1"/>
    <col min="6" max="6" width="16.5703125" style="41" customWidth="1"/>
    <col min="7" max="7" width="2.5703125" style="22" customWidth="1"/>
    <col min="8" max="16384" width="11.42578125" style="22"/>
  </cols>
  <sheetData>
    <row r="1" spans="2:7" s="10" customFormat="1" ht="15">
      <c r="B1" s="41"/>
      <c r="C1" s="41"/>
    </row>
    <row r="2" spans="2:7" s="41" customFormat="1">
      <c r="B2" s="50"/>
    </row>
    <row r="3" spans="2:7" ht="15" customHeight="1">
      <c r="B3" s="51"/>
      <c r="C3" s="28"/>
      <c r="D3" s="22"/>
      <c r="E3" s="22"/>
      <c r="G3" s="41"/>
    </row>
    <row r="4" spans="2:7" ht="30" customHeight="1">
      <c r="B4" s="51"/>
      <c r="C4" s="28"/>
      <c r="D4" s="22"/>
      <c r="E4" s="22"/>
      <c r="G4" s="41"/>
    </row>
    <row r="5" spans="2:7" ht="15" customHeight="1">
      <c r="B5" s="51"/>
      <c r="C5" s="28"/>
      <c r="D5" s="22"/>
      <c r="E5" s="22"/>
      <c r="G5" s="41"/>
    </row>
    <row r="6" spans="2:7" s="41" customFormat="1">
      <c r="B6" s="43"/>
      <c r="C6" s="37"/>
    </row>
    <row r="7" spans="2:7" s="41" customFormat="1">
      <c r="B7" s="50"/>
    </row>
    <row r="8" spans="2:7" s="10" customFormat="1" ht="15" customHeight="1">
      <c r="B8" s="90" t="s">
        <v>379</v>
      </c>
      <c r="C8" s="90"/>
      <c r="D8" s="90"/>
      <c r="E8" s="90"/>
      <c r="F8" s="90"/>
    </row>
    <row r="9" spans="2:7" s="10" customFormat="1" ht="15" customHeight="1">
      <c r="B9" s="90"/>
      <c r="C9" s="90"/>
      <c r="D9" s="90"/>
      <c r="E9" s="90"/>
      <c r="F9" s="90"/>
      <c r="G9" s="49"/>
    </row>
    <row r="10" spans="2:7" s="10" customFormat="1" ht="15" customHeight="1">
      <c r="B10" s="90"/>
      <c r="C10" s="90"/>
      <c r="D10" s="90"/>
      <c r="E10" s="90"/>
      <c r="F10" s="90"/>
    </row>
    <row r="11" spans="2:7" s="10" customFormat="1" ht="15" customHeight="1">
      <c r="B11" s="52"/>
      <c r="C11" s="52"/>
      <c r="D11" s="52"/>
      <c r="E11" s="52"/>
      <c r="F11" s="52"/>
    </row>
    <row r="12" spans="2:7" s="10" customFormat="1" ht="40.5">
      <c r="B12" s="56" t="s">
        <v>30</v>
      </c>
      <c r="C12" s="56" t="s">
        <v>33</v>
      </c>
      <c r="D12" s="56" t="s">
        <v>20</v>
      </c>
      <c r="E12" s="56" t="s">
        <v>32</v>
      </c>
      <c r="F12" s="56" t="s">
        <v>31</v>
      </c>
    </row>
    <row r="13" spans="2:7" ht="14.45" customHeight="1">
      <c r="B13" s="101" t="s">
        <v>149</v>
      </c>
      <c r="C13" s="57" t="s">
        <v>264</v>
      </c>
      <c r="D13" s="58">
        <v>51</v>
      </c>
      <c r="E13" s="69">
        <v>4.2044517724649996E-3</v>
      </c>
      <c r="F13" s="59">
        <v>2.0977295162880002E-3</v>
      </c>
    </row>
    <row r="14" spans="2:7" ht="14.45" customHeight="1">
      <c r="B14" s="102"/>
      <c r="C14" s="57" t="s">
        <v>265</v>
      </c>
      <c r="D14" s="58">
        <v>1877</v>
      </c>
      <c r="E14" s="69">
        <v>0.15474031327287699</v>
      </c>
      <c r="F14" s="59">
        <v>7.7204672589667997E-2</v>
      </c>
    </row>
    <row r="15" spans="2:7" ht="14.45" customHeight="1">
      <c r="B15" s="102"/>
      <c r="C15" s="57" t="s">
        <v>266</v>
      </c>
      <c r="D15" s="58">
        <v>3123</v>
      </c>
      <c r="E15" s="69">
        <v>0.25746084089035498</v>
      </c>
      <c r="F15" s="59">
        <v>0.12845508390918101</v>
      </c>
    </row>
    <row r="16" spans="2:7" ht="14.45" customHeight="1">
      <c r="B16" s="102"/>
      <c r="C16" s="57" t="s">
        <v>267</v>
      </c>
      <c r="D16" s="58">
        <v>3787</v>
      </c>
      <c r="E16" s="69">
        <v>0.31220115416323202</v>
      </c>
      <c r="F16" s="59">
        <v>0.155766699572228</v>
      </c>
    </row>
    <row r="17" spans="2:10" ht="14.45" customHeight="1">
      <c r="B17" s="102"/>
      <c r="C17" s="57" t="s">
        <v>268</v>
      </c>
      <c r="D17" s="58">
        <v>2883</v>
      </c>
      <c r="E17" s="69">
        <v>0.237675185490519</v>
      </c>
      <c r="F17" s="59">
        <v>0.11858341559723599</v>
      </c>
    </row>
    <row r="18" spans="2:10" ht="14.45" customHeight="1">
      <c r="B18" s="102"/>
      <c r="C18" s="57" t="s">
        <v>269</v>
      </c>
      <c r="D18" s="58">
        <v>344</v>
      </c>
      <c r="E18" s="69">
        <v>2.8359439406430001E-2</v>
      </c>
      <c r="F18" s="59">
        <v>1.4149391247121E-2</v>
      </c>
    </row>
    <row r="19" spans="2:10" ht="14.45" customHeight="1">
      <c r="B19" s="102"/>
      <c r="C19" s="57" t="s">
        <v>270</v>
      </c>
      <c r="D19" s="58">
        <v>10</v>
      </c>
      <c r="E19" s="69">
        <v>8.2440230832600005E-4</v>
      </c>
      <c r="F19" s="59">
        <v>4.1131951299799998E-4</v>
      </c>
    </row>
    <row r="20" spans="2:10" ht="14.45" customHeight="1">
      <c r="B20" s="103"/>
      <c r="C20" s="57" t="s">
        <v>271</v>
      </c>
      <c r="D20" s="58">
        <v>55</v>
      </c>
      <c r="E20" s="69">
        <v>4.5342126957959999E-3</v>
      </c>
      <c r="F20" s="59">
        <v>2.2622573214869999E-3</v>
      </c>
    </row>
    <row r="21" spans="2:10" ht="14.45" customHeight="1">
      <c r="B21" s="101" t="s">
        <v>150</v>
      </c>
      <c r="C21" s="57" t="s">
        <v>264</v>
      </c>
      <c r="D21" s="58">
        <v>78</v>
      </c>
      <c r="E21" s="69">
        <v>6.4028895091120001E-3</v>
      </c>
      <c r="F21" s="59">
        <v>3.2082922013819998E-3</v>
      </c>
    </row>
    <row r="22" spans="2:10" ht="14.45" customHeight="1">
      <c r="B22" s="102"/>
      <c r="C22" s="57" t="s">
        <v>265</v>
      </c>
      <c r="D22" s="58">
        <v>1962</v>
      </c>
      <c r="E22" s="69">
        <v>0.161057297652274</v>
      </c>
      <c r="F22" s="59">
        <v>8.0700888450148001E-2</v>
      </c>
    </row>
    <row r="23" spans="2:10" ht="14.45" customHeight="1">
      <c r="B23" s="102"/>
      <c r="C23" s="57" t="s">
        <v>266</v>
      </c>
      <c r="D23" s="58">
        <v>3193</v>
      </c>
      <c r="E23" s="69">
        <v>0.26210802823838503</v>
      </c>
      <c r="F23" s="59">
        <v>0.131334320500165</v>
      </c>
    </row>
    <row r="24" spans="2:10" ht="14.45" customHeight="1">
      <c r="B24" s="102"/>
      <c r="C24" s="57" t="s">
        <v>267</v>
      </c>
      <c r="D24" s="58">
        <v>3611</v>
      </c>
      <c r="E24" s="69">
        <v>0.29642094894106102</v>
      </c>
      <c r="F24" s="59">
        <v>0.14852747614346801</v>
      </c>
    </row>
    <row r="25" spans="2:10" ht="14.45" customHeight="1">
      <c r="B25" s="102"/>
      <c r="C25" s="57" t="s">
        <v>268</v>
      </c>
      <c r="D25" s="58">
        <v>2936</v>
      </c>
      <c r="E25" s="69">
        <v>0.24101132818913201</v>
      </c>
      <c r="F25" s="59">
        <v>0.12076340901612399</v>
      </c>
    </row>
    <row r="26" spans="2:10" ht="14.45" customHeight="1">
      <c r="B26" s="102"/>
      <c r="C26" s="57" t="s">
        <v>269</v>
      </c>
      <c r="D26" s="58">
        <v>337</v>
      </c>
      <c r="E26" s="69">
        <v>2.7663766212444998E-2</v>
      </c>
      <c r="F26" s="59">
        <v>1.3861467588022E-2</v>
      </c>
    </row>
    <row r="27" spans="2:10" ht="14.45" customHeight="1">
      <c r="B27" s="102"/>
      <c r="C27" s="57" t="s">
        <v>270</v>
      </c>
      <c r="D27" s="58">
        <v>11</v>
      </c>
      <c r="E27" s="69">
        <v>9.0297159743899999E-4</v>
      </c>
      <c r="F27" s="59">
        <v>4.5245146429700003E-4</v>
      </c>
    </row>
    <row r="28" spans="2:10" ht="14.45" customHeight="1">
      <c r="B28" s="103"/>
      <c r="C28" s="57" t="s">
        <v>271</v>
      </c>
      <c r="D28" s="58">
        <v>54</v>
      </c>
      <c r="E28" s="69">
        <v>4.4327696601539996E-3</v>
      </c>
      <c r="F28" s="59">
        <v>2.2211253701880001E-3</v>
      </c>
    </row>
    <row r="29" spans="2:10" ht="14.45" customHeight="1">
      <c r="B29" s="99" t="s">
        <v>29</v>
      </c>
      <c r="C29" s="100"/>
      <c r="D29" s="60">
        <v>24312</v>
      </c>
      <c r="E29" s="61">
        <v>1</v>
      </c>
      <c r="F29" s="61">
        <v>1</v>
      </c>
    </row>
    <row r="30" spans="2:10" ht="14.45" customHeight="1"/>
    <row r="31" spans="2:10" ht="14.45" customHeight="1">
      <c r="B31" s="12" t="s">
        <v>47</v>
      </c>
      <c r="J31" s="41"/>
    </row>
    <row r="32" spans="2:10" ht="14.45" customHeight="1">
      <c r="B32" s="14" t="s">
        <v>18</v>
      </c>
    </row>
    <row r="33" spans="2:2" ht="14.45" customHeight="1">
      <c r="B33" s="13" t="s">
        <v>48</v>
      </c>
    </row>
    <row r="34" spans="2:2" ht="14.45" customHeight="1">
      <c r="B34" s="12" t="s">
        <v>17</v>
      </c>
    </row>
    <row r="35" spans="2:2" ht="14.45" customHeight="1">
      <c r="B35" s="12" t="s">
        <v>49</v>
      </c>
    </row>
  </sheetData>
  <mergeCells count="4">
    <mergeCell ref="B8:F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E78"/>
  <sheetViews>
    <sheetView showGridLines="0" tabSelected="1" view="pageBreakPreview" topLeftCell="A61" zoomScale="115" zoomScaleNormal="100" zoomScaleSheetLayoutView="115" workbookViewId="0">
      <selection activeCell="C72" sqref="C72"/>
    </sheetView>
  </sheetViews>
  <sheetFormatPr baseColWidth="10" defaultColWidth="11.42578125" defaultRowHeight="15"/>
  <cols>
    <col min="1" max="1" width="9.28515625" style="10" customWidth="1"/>
    <col min="2" max="2" width="43.85546875" style="10" customWidth="1"/>
    <col min="3" max="3" width="17.7109375" style="11" customWidth="1"/>
    <col min="4" max="4" width="17.7109375" style="10" customWidth="1"/>
    <col min="5" max="5" width="8.5703125" style="10" customWidth="1"/>
    <col min="6" max="6" width="5.7109375" style="10" customWidth="1"/>
    <col min="7" max="16384" width="11.42578125" style="10"/>
  </cols>
  <sheetData>
    <row r="1" spans="2:5" s="22" customFormat="1" ht="15" customHeight="1">
      <c r="C1" s="28"/>
    </row>
    <row r="2" spans="2:5" s="22" customFormat="1" ht="15" customHeight="1">
      <c r="C2" s="28"/>
    </row>
    <row r="3" spans="2:5" s="22" customFormat="1" ht="15" customHeight="1">
      <c r="C3" s="28"/>
    </row>
    <row r="4" spans="2:5" s="22" customFormat="1" ht="30" customHeight="1">
      <c r="C4" s="28"/>
      <c r="D4" s="27"/>
    </row>
    <row r="5" spans="2:5" s="22" customFormat="1" ht="15" customHeight="1">
      <c r="C5" s="28"/>
      <c r="D5" s="27"/>
    </row>
    <row r="6" spans="2:5" s="22" customFormat="1" ht="15" customHeight="1">
      <c r="C6" s="28"/>
      <c r="D6" s="27"/>
    </row>
    <row r="7" spans="2:5" s="22" customFormat="1" ht="15" customHeight="1">
      <c r="B7" s="90" t="s">
        <v>380</v>
      </c>
      <c r="C7" s="90"/>
      <c r="D7" s="90"/>
    </row>
    <row r="8" spans="2:5" s="22" customFormat="1" ht="15" customHeight="1">
      <c r="B8" s="90"/>
      <c r="C8" s="90"/>
      <c r="D8" s="90"/>
    </row>
    <row r="9" spans="2:5" s="22" customFormat="1" ht="33" customHeight="1">
      <c r="B9" s="90"/>
      <c r="C9" s="90"/>
      <c r="D9" s="90"/>
    </row>
    <row r="10" spans="2:5" s="22" customFormat="1" ht="4.5" customHeight="1">
      <c r="B10" s="26"/>
      <c r="C10" s="26"/>
      <c r="D10" s="26"/>
    </row>
    <row r="11" spans="2:5" s="22" customFormat="1" ht="33" customHeight="1">
      <c r="B11" s="74" t="s">
        <v>34</v>
      </c>
      <c r="C11" s="75" t="s">
        <v>20</v>
      </c>
      <c r="D11" s="74" t="s">
        <v>19</v>
      </c>
    </row>
    <row r="12" spans="2:5">
      <c r="B12" s="20" t="s">
        <v>272</v>
      </c>
      <c r="C12" s="19">
        <v>11301</v>
      </c>
      <c r="D12" s="18">
        <v>0.464832181638697</v>
      </c>
    </row>
    <row r="13" spans="2:5">
      <c r="B13" s="20" t="s">
        <v>273</v>
      </c>
      <c r="C13" s="19">
        <v>7503</v>
      </c>
      <c r="D13" s="18">
        <v>0.30861303060217199</v>
      </c>
    </row>
    <row r="14" spans="2:5">
      <c r="B14" s="20" t="s">
        <v>274</v>
      </c>
      <c r="C14" s="19">
        <v>1044</v>
      </c>
      <c r="D14" s="18">
        <v>4.2941757156959998E-2</v>
      </c>
      <c r="E14" s="21"/>
    </row>
    <row r="15" spans="2:5">
      <c r="B15" s="20" t="s">
        <v>275</v>
      </c>
      <c r="C15" s="19">
        <v>881</v>
      </c>
      <c r="D15" s="18">
        <v>3.6237249095096999E-2</v>
      </c>
      <c r="E15" s="21"/>
    </row>
    <row r="16" spans="2:5">
      <c r="B16" s="20" t="s">
        <v>276</v>
      </c>
      <c r="C16" s="19">
        <v>740</v>
      </c>
      <c r="D16" s="18">
        <v>3.0437643961830001E-2</v>
      </c>
    </row>
    <row r="17" spans="2:4">
      <c r="B17" s="20" t="s">
        <v>277</v>
      </c>
      <c r="C17" s="19">
        <v>283</v>
      </c>
      <c r="D17" s="18">
        <v>1.1640342217835E-2</v>
      </c>
    </row>
    <row r="18" spans="2:4">
      <c r="B18" s="20" t="s">
        <v>278</v>
      </c>
      <c r="C18" s="19">
        <v>250</v>
      </c>
      <c r="D18" s="18">
        <v>1.0282987824942001E-2</v>
      </c>
    </row>
    <row r="19" spans="2:4" ht="27">
      <c r="B19" s="20" t="s">
        <v>279</v>
      </c>
      <c r="C19" s="19">
        <v>218</v>
      </c>
      <c r="D19" s="18">
        <v>8.9667653833500009E-3</v>
      </c>
    </row>
    <row r="20" spans="2:4">
      <c r="B20" s="20" t="s">
        <v>280</v>
      </c>
      <c r="C20" s="19">
        <v>214</v>
      </c>
      <c r="D20" s="18">
        <v>8.8022375781510002E-3</v>
      </c>
    </row>
    <row r="21" spans="2:4">
      <c r="B21" s="20" t="s">
        <v>281</v>
      </c>
      <c r="C21" s="19">
        <v>214</v>
      </c>
      <c r="D21" s="18">
        <v>8.8022375781510002E-3</v>
      </c>
    </row>
    <row r="22" spans="2:4">
      <c r="B22" s="20" t="s">
        <v>282</v>
      </c>
      <c r="C22" s="19">
        <v>208</v>
      </c>
      <c r="D22" s="18">
        <v>8.5554458703520006E-3</v>
      </c>
    </row>
    <row r="23" spans="2:4">
      <c r="B23" s="20" t="s">
        <v>283</v>
      </c>
      <c r="C23" s="19">
        <v>167</v>
      </c>
      <c r="D23" s="18">
        <v>6.8690358670620002E-3</v>
      </c>
    </row>
    <row r="24" spans="2:4">
      <c r="B24" s="20" t="s">
        <v>284</v>
      </c>
      <c r="C24" s="19">
        <v>128</v>
      </c>
      <c r="D24" s="18">
        <v>5.2648897663709997E-3</v>
      </c>
    </row>
    <row r="25" spans="2:4">
      <c r="B25" s="20" t="s">
        <v>285</v>
      </c>
      <c r="C25" s="19">
        <v>124</v>
      </c>
      <c r="D25" s="18">
        <v>5.1003619611709999E-3</v>
      </c>
    </row>
    <row r="26" spans="2:4">
      <c r="B26" s="20" t="s">
        <v>286</v>
      </c>
      <c r="C26" s="19">
        <v>109</v>
      </c>
      <c r="D26" s="18">
        <v>4.4833826916750004E-3</v>
      </c>
    </row>
    <row r="27" spans="2:4">
      <c r="B27" s="20" t="s">
        <v>287</v>
      </c>
      <c r="C27" s="19">
        <v>107</v>
      </c>
      <c r="D27" s="18">
        <v>4.4011187890749997E-3</v>
      </c>
    </row>
    <row r="28" spans="2:4">
      <c r="B28" s="20" t="s">
        <v>288</v>
      </c>
      <c r="C28" s="19">
        <v>98</v>
      </c>
      <c r="D28" s="18">
        <v>4.0309312273769998E-3</v>
      </c>
    </row>
    <row r="29" spans="2:4">
      <c r="B29" s="20" t="s">
        <v>289</v>
      </c>
      <c r="C29" s="19">
        <v>93</v>
      </c>
      <c r="D29" s="18">
        <v>3.8252714708790002E-3</v>
      </c>
    </row>
    <row r="30" spans="2:4">
      <c r="B30" s="20" t="s">
        <v>290</v>
      </c>
      <c r="C30" s="19">
        <v>73</v>
      </c>
      <c r="D30" s="18">
        <v>3.0026324448830001E-3</v>
      </c>
    </row>
    <row r="31" spans="2:4">
      <c r="B31" s="20" t="s">
        <v>291</v>
      </c>
      <c r="C31" s="19">
        <v>71</v>
      </c>
      <c r="D31" s="18">
        <v>2.9203685422839998E-3</v>
      </c>
    </row>
    <row r="32" spans="2:4">
      <c r="B32" s="20" t="s">
        <v>292</v>
      </c>
      <c r="C32" s="19">
        <v>63</v>
      </c>
      <c r="D32" s="18">
        <v>2.5913129318849999E-3</v>
      </c>
    </row>
    <row r="33" spans="2:4">
      <c r="B33" s="20" t="s">
        <v>293</v>
      </c>
      <c r="C33" s="19">
        <v>57</v>
      </c>
      <c r="D33" s="18">
        <v>2.3445212240869998E-3</v>
      </c>
    </row>
    <row r="34" spans="2:4">
      <c r="B34" s="20" t="s">
        <v>294</v>
      </c>
      <c r="C34" s="19">
        <v>57</v>
      </c>
      <c r="D34" s="18">
        <v>2.3445212240869998E-3</v>
      </c>
    </row>
    <row r="35" spans="2:4">
      <c r="B35" s="20" t="s">
        <v>295</v>
      </c>
      <c r="C35" s="19">
        <v>45</v>
      </c>
      <c r="D35" s="18">
        <v>1.85093780849E-3</v>
      </c>
    </row>
    <row r="36" spans="2:4">
      <c r="B36" s="20" t="s">
        <v>296</v>
      </c>
      <c r="C36" s="19">
        <v>42</v>
      </c>
      <c r="D36" s="18">
        <v>1.7275419545899999E-3</v>
      </c>
    </row>
    <row r="37" spans="2:4">
      <c r="B37" s="20" t="s">
        <v>297</v>
      </c>
      <c r="C37" s="19">
        <v>24</v>
      </c>
      <c r="D37" s="18">
        <v>9.8716683119399995E-4</v>
      </c>
    </row>
    <row r="38" spans="2:4">
      <c r="B38" s="20" t="s">
        <v>298</v>
      </c>
      <c r="C38" s="19">
        <v>20</v>
      </c>
      <c r="D38" s="18">
        <v>8.22639025995E-4</v>
      </c>
    </row>
    <row r="39" spans="2:4">
      <c r="B39" s="20" t="s">
        <v>299</v>
      </c>
      <c r="C39" s="19">
        <v>18</v>
      </c>
      <c r="D39" s="18">
        <v>7.4037512339599995E-4</v>
      </c>
    </row>
    <row r="40" spans="2:4">
      <c r="B40" s="20" t="s">
        <v>300</v>
      </c>
      <c r="C40" s="19">
        <v>15</v>
      </c>
      <c r="D40" s="18">
        <v>6.1697926949700005E-4</v>
      </c>
    </row>
    <row r="41" spans="2:4">
      <c r="B41" s="20" t="s">
        <v>301</v>
      </c>
      <c r="C41" s="19">
        <v>11</v>
      </c>
      <c r="D41" s="18">
        <v>4.5245146429700003E-4</v>
      </c>
    </row>
    <row r="42" spans="2:4">
      <c r="B42" s="20" t="s">
        <v>302</v>
      </c>
      <c r="C42" s="19">
        <v>11</v>
      </c>
      <c r="D42" s="18">
        <v>4.5245146429700003E-4</v>
      </c>
    </row>
    <row r="43" spans="2:4">
      <c r="B43" s="20" t="s">
        <v>303</v>
      </c>
      <c r="C43" s="19">
        <v>10</v>
      </c>
      <c r="D43" s="18">
        <v>4.1131951299799998E-4</v>
      </c>
    </row>
    <row r="44" spans="2:4">
      <c r="B44" s="20" t="s">
        <v>304</v>
      </c>
      <c r="C44" s="19">
        <v>10</v>
      </c>
      <c r="D44" s="18">
        <v>4.1131951299799998E-4</v>
      </c>
    </row>
    <row r="45" spans="2:4">
      <c r="B45" s="20" t="s">
        <v>305</v>
      </c>
      <c r="C45" s="19">
        <v>10</v>
      </c>
      <c r="D45" s="18">
        <v>4.1131951299799998E-4</v>
      </c>
    </row>
    <row r="46" spans="2:4">
      <c r="B46" s="20" t="s">
        <v>306</v>
      </c>
      <c r="C46" s="19">
        <v>9</v>
      </c>
      <c r="D46" s="18">
        <v>3.7018756169799997E-4</v>
      </c>
    </row>
    <row r="47" spans="2:4">
      <c r="B47" s="20" t="s">
        <v>307</v>
      </c>
      <c r="C47" s="19">
        <v>9</v>
      </c>
      <c r="D47" s="18">
        <v>3.7018756169799997E-4</v>
      </c>
    </row>
    <row r="48" spans="2:4">
      <c r="B48" s="20" t="s">
        <v>308</v>
      </c>
      <c r="C48" s="19">
        <v>8</v>
      </c>
      <c r="D48" s="18">
        <v>3.2905561039800002E-4</v>
      </c>
    </row>
    <row r="49" spans="2:4">
      <c r="B49" s="20" t="s">
        <v>309</v>
      </c>
      <c r="C49" s="19">
        <v>8</v>
      </c>
      <c r="D49" s="18">
        <v>3.2905561039800002E-4</v>
      </c>
    </row>
    <row r="50" spans="2:4">
      <c r="B50" s="20" t="s">
        <v>310</v>
      </c>
      <c r="C50" s="19">
        <v>8</v>
      </c>
      <c r="D50" s="18">
        <v>3.2905561039800002E-4</v>
      </c>
    </row>
    <row r="51" spans="2:4">
      <c r="B51" s="20" t="s">
        <v>311</v>
      </c>
      <c r="C51" s="19">
        <v>6</v>
      </c>
      <c r="D51" s="18">
        <v>2.4679170779900002E-4</v>
      </c>
    </row>
    <row r="52" spans="2:4">
      <c r="B52" s="20" t="s">
        <v>312</v>
      </c>
      <c r="C52" s="19">
        <v>5</v>
      </c>
      <c r="D52" s="18">
        <v>2.0565975649899999E-4</v>
      </c>
    </row>
    <row r="53" spans="2:4">
      <c r="B53" s="20" t="s">
        <v>313</v>
      </c>
      <c r="C53" s="19">
        <v>5</v>
      </c>
      <c r="D53" s="18">
        <v>2.0565975649899999E-4</v>
      </c>
    </row>
    <row r="54" spans="2:4">
      <c r="B54" s="20" t="s">
        <v>314</v>
      </c>
      <c r="C54" s="19">
        <v>4</v>
      </c>
      <c r="D54" s="18">
        <v>1.6452780519900001E-4</v>
      </c>
    </row>
    <row r="55" spans="2:4">
      <c r="B55" s="20" t="s">
        <v>315</v>
      </c>
      <c r="C55" s="19">
        <v>3</v>
      </c>
      <c r="D55" s="18">
        <v>1.23395853899E-4</v>
      </c>
    </row>
    <row r="56" spans="2:4">
      <c r="B56" s="20" t="s">
        <v>215</v>
      </c>
      <c r="C56" s="19">
        <v>3</v>
      </c>
      <c r="D56" s="18">
        <v>1.23395853899E-4</v>
      </c>
    </row>
    <row r="57" spans="2:4">
      <c r="B57" s="20" t="s">
        <v>316</v>
      </c>
      <c r="C57" s="19">
        <v>3</v>
      </c>
      <c r="D57" s="18">
        <v>1.23395853899E-4</v>
      </c>
    </row>
    <row r="58" spans="2:4">
      <c r="B58" s="20" t="s">
        <v>317</v>
      </c>
      <c r="C58" s="19">
        <v>3</v>
      </c>
      <c r="D58" s="18">
        <v>1.23395853899E-4</v>
      </c>
    </row>
    <row r="59" spans="2:4">
      <c r="B59" s="20" t="s">
        <v>318</v>
      </c>
      <c r="C59" s="19">
        <v>3</v>
      </c>
      <c r="D59" s="18">
        <v>1.23395853899E-4</v>
      </c>
    </row>
    <row r="60" spans="2:4">
      <c r="B60" s="20" t="s">
        <v>319</v>
      </c>
      <c r="C60" s="19">
        <v>3</v>
      </c>
      <c r="D60" s="18">
        <v>1.23395853899E-4</v>
      </c>
    </row>
    <row r="61" spans="2:4">
      <c r="B61" s="20" t="s">
        <v>320</v>
      </c>
      <c r="C61" s="19">
        <v>2</v>
      </c>
      <c r="D61" s="18">
        <v>8.2263902599999999E-5</v>
      </c>
    </row>
    <row r="62" spans="2:4">
      <c r="B62" s="20" t="s">
        <v>321</v>
      </c>
      <c r="C62" s="19">
        <v>2</v>
      </c>
      <c r="D62" s="18">
        <v>8.2263902599999999E-5</v>
      </c>
    </row>
    <row r="63" spans="2:4">
      <c r="B63" s="20" t="s">
        <v>322</v>
      </c>
      <c r="C63" s="19">
        <v>1</v>
      </c>
      <c r="D63" s="18">
        <v>4.1131951299999999E-5</v>
      </c>
    </row>
    <row r="64" spans="2:4">
      <c r="B64" s="20" t="s">
        <v>323</v>
      </c>
      <c r="C64" s="19">
        <v>1</v>
      </c>
      <c r="D64" s="18">
        <v>4.1131951299999999E-5</v>
      </c>
    </row>
    <row r="65" spans="2:4">
      <c r="B65" s="20" t="s">
        <v>324</v>
      </c>
      <c r="C65" s="19">
        <v>1</v>
      </c>
      <c r="D65" s="18">
        <v>4.1131951299999999E-5</v>
      </c>
    </row>
    <row r="66" spans="2:4">
      <c r="B66" s="20" t="s">
        <v>325</v>
      </c>
      <c r="C66" s="19">
        <v>1</v>
      </c>
      <c r="D66" s="18">
        <v>4.1131951299999999E-5</v>
      </c>
    </row>
    <row r="67" spans="2:4">
      <c r="B67" s="20" t="s">
        <v>326</v>
      </c>
      <c r="C67" s="19">
        <v>1</v>
      </c>
      <c r="D67" s="18">
        <v>4.1131951299999999E-5</v>
      </c>
    </row>
    <row r="68" spans="2:4">
      <c r="B68" s="20" t="s">
        <v>327</v>
      </c>
      <c r="C68" s="19">
        <v>1</v>
      </c>
      <c r="D68" s="18">
        <v>4.1131951299999999E-5</v>
      </c>
    </row>
    <row r="69" spans="2:4">
      <c r="B69" s="20" t="s">
        <v>328</v>
      </c>
      <c r="C69" s="19">
        <v>1</v>
      </c>
      <c r="D69" s="18">
        <v>4.1131951299999999E-5</v>
      </c>
    </row>
    <row r="70" spans="2:4">
      <c r="B70" s="20" t="s">
        <v>329</v>
      </c>
      <c r="C70" s="19">
        <v>1</v>
      </c>
      <c r="D70" s="18">
        <v>4.1131951299999999E-5</v>
      </c>
    </row>
    <row r="71" spans="2:4">
      <c r="B71" s="20" t="s">
        <v>330</v>
      </c>
      <c r="C71" s="19">
        <v>1</v>
      </c>
      <c r="D71" s="18">
        <v>4.1131951299999999E-5</v>
      </c>
    </row>
    <row r="72" spans="2:4">
      <c r="B72" s="17" t="s">
        <v>29</v>
      </c>
      <c r="C72" s="16">
        <v>24312</v>
      </c>
      <c r="D72" s="15">
        <v>1</v>
      </c>
    </row>
    <row r="73" spans="2:4" ht="14.45" customHeight="1"/>
    <row r="74" spans="2:4" ht="14.45" customHeight="1">
      <c r="B74" s="12" t="s">
        <v>47</v>
      </c>
    </row>
    <row r="75" spans="2:4" ht="14.45" customHeight="1">
      <c r="B75" s="14" t="s">
        <v>18</v>
      </c>
    </row>
    <row r="76" spans="2:4" ht="14.45" customHeight="1">
      <c r="B76" s="13" t="s">
        <v>48</v>
      </c>
    </row>
    <row r="77" spans="2:4" ht="14.45" customHeight="1">
      <c r="B77" s="12" t="s">
        <v>17</v>
      </c>
    </row>
    <row r="78" spans="2:4" ht="14.45" customHeight="1">
      <c r="B78" s="12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21</vt:i4>
      </vt:variant>
    </vt:vector>
  </HeadingPairs>
  <TitlesOfParts>
    <vt:vector size="36" baseType="lpstr">
      <vt:lpstr>Índice</vt:lpstr>
      <vt:lpstr>Tamaulipas_EdoUsa</vt:lpstr>
      <vt:lpstr>Tamaulipas_Cons</vt:lpstr>
      <vt:lpstr>TamaulipasXCons</vt:lpstr>
      <vt:lpstr>Tamaulipas_EdoMun</vt:lpstr>
      <vt:lpstr>Tamaulipas_USAMuni</vt:lpstr>
      <vt:lpstr>Tamaulipas_MUNICIPIO</vt:lpstr>
      <vt:lpstr>Tamaulipas_educ_gral</vt:lpstr>
      <vt:lpstr>Tamaulipas_NivelE_Cons</vt:lpstr>
      <vt:lpstr>Tamaulipas_EducCons</vt:lpstr>
      <vt:lpstr>Tamaulipas_GenGral</vt:lpstr>
      <vt:lpstr>Tamaulipas_GENERO</vt:lpstr>
      <vt:lpstr>Tamaulipas_GENERO_EUA</vt:lpstr>
      <vt:lpstr>Tamaulipas_Gen_Edad</vt:lpstr>
      <vt:lpstr>Tamaulipas_ocup_gral</vt:lpstr>
      <vt:lpstr>Tamaulipas_educ_gral!Área_de_impresión</vt:lpstr>
      <vt:lpstr>Tamaulipas_EducCons!Área_de_impresión</vt:lpstr>
      <vt:lpstr>Tamaulipas_Gen_Edad!Área_de_impresión</vt:lpstr>
      <vt:lpstr>Tamaulipas_MUNICIPIO!Área_de_impresión</vt:lpstr>
      <vt:lpstr>Tamaulipas_NivelE_Cons!Área_de_impresión</vt:lpstr>
      <vt:lpstr>Tamaulipas_ocup_gral!Área_de_impresión</vt:lpstr>
      <vt:lpstr>Tamaulipas_USAMuni!Área_de_impresión</vt:lpstr>
      <vt:lpstr>Tamaulipas_Cons!Títulos_a_imprimir</vt:lpstr>
      <vt:lpstr>Tamaulipas_EdoMun!Títulos_a_imprimir</vt:lpstr>
      <vt:lpstr>Tamaulipas_EdoUsa!Títulos_a_imprimir</vt:lpstr>
      <vt:lpstr>Tamaulipas_educ_gral!Títulos_a_imprimir</vt:lpstr>
      <vt:lpstr>Tamaulipas_EducCons!Títulos_a_imprimir</vt:lpstr>
      <vt:lpstr>Tamaulipas_Gen_Edad!Títulos_a_imprimir</vt:lpstr>
      <vt:lpstr>Tamaulipas_GENERO!Títulos_a_imprimir</vt:lpstr>
      <vt:lpstr>Tamaulipas_GENERO_EUA!Títulos_a_imprimir</vt:lpstr>
      <vt:lpstr>Tamaulipas_GenGral!Títulos_a_imprimir</vt:lpstr>
      <vt:lpstr>Tamaulipas_MUNICIPIO!Títulos_a_imprimir</vt:lpstr>
      <vt:lpstr>Tamaulipas_NivelE_Cons!Títulos_a_imprimir</vt:lpstr>
      <vt:lpstr>Tamaulipas_ocup_gral!Títulos_a_imprimir</vt:lpstr>
      <vt:lpstr>Tamaulipas_USAMuni!Títulos_a_imprimir</vt:lpstr>
      <vt:lpstr>TamaulipasXCons!Títulos_a_imprimir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2020-06-04T00:51:41Z</dcterms:created>
  <dcterms:modified xsi:type="dcterms:W3CDTF">2024-12-31T16:55:15Z</dcterms:modified>
</cp:coreProperties>
</file>