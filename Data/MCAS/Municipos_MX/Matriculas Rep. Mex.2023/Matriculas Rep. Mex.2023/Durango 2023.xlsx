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4FC37736-6726-49CD-AB51-058821545227}" xr6:coauthVersionLast="47" xr6:coauthVersionMax="47" xr10:uidLastSave="{00000000-0000-0000-0000-000000000000}"/>
  <bookViews>
    <workbookView xWindow="-110" yWindow="-110" windowWidth="19420" windowHeight="10420" tabRatio="757" xr2:uid="{00000000-000D-0000-FFFF-FFFF00000000}"/>
  </bookViews>
  <sheets>
    <sheet name="Índice" sheetId="1" r:id="rId1"/>
    <sheet name="Durango_EdoUsa" sheetId="2" r:id="rId2"/>
    <sheet name="Durango_Cons" sheetId="15" r:id="rId3"/>
    <sheet name="DurangoXCons" sheetId="16" r:id="rId4"/>
    <sheet name="Durango_EdoMun" sheetId="5" r:id="rId5"/>
    <sheet name="Durango_USAMuni" sheetId="6" r:id="rId6"/>
    <sheet name="Durango_MUNICIPIO" sheetId="7" r:id="rId7"/>
    <sheet name="Durango_educ_gral" sheetId="8" r:id="rId8"/>
    <sheet name="Durango_NivelE_Cons" sheetId="9" r:id="rId9"/>
    <sheet name="Durango_EducCons" sheetId="10" r:id="rId10"/>
    <sheet name="Durango_GenGral" sheetId="11" r:id="rId11"/>
    <sheet name="Durango_GENERO" sheetId="12" r:id="rId12"/>
    <sheet name="Durango_GENERO_EUA" sheetId="17" r:id="rId13"/>
    <sheet name="Durango_Gen_Edad" sheetId="13" r:id="rId14"/>
    <sheet name="Durango_ocup_gral" sheetId="14" r:id="rId15"/>
  </sheets>
  <definedNames>
    <definedName name="_xlnm._FilterDatabase" localSheetId="2" hidden="1">Durango_Cons!$B$11:$D$11</definedName>
    <definedName name="_xlnm._FilterDatabase" localSheetId="4" hidden="1">Durango_EdoMun!$B$11:$D$11</definedName>
    <definedName name="_xlnm._FilterDatabase" localSheetId="1" hidden="1">Durango_EdoUsa!$B$11:$D$11</definedName>
    <definedName name="_xlnm._FilterDatabase" localSheetId="7" hidden="1">Durango_educ_gral!$B$11:$D$11</definedName>
    <definedName name="_xlnm._FilterDatabase" localSheetId="9" hidden="1">Durango_EducCons!$B$9:$E$9</definedName>
    <definedName name="_xlnm._FilterDatabase" localSheetId="11" hidden="1">Durango_GENERO!$B$12:$E$12</definedName>
    <definedName name="_xlnm._FilterDatabase" localSheetId="12" hidden="1">Durango_GENERO_EUA!$B$12:$E$12</definedName>
    <definedName name="_xlnm._FilterDatabase" localSheetId="10" hidden="1">Durango_GenGral!$B$11:$D$11</definedName>
    <definedName name="_xlnm._FilterDatabase" localSheetId="6" hidden="1">Durango_MUNICIPIO!$B$9:$E$9</definedName>
    <definedName name="_xlnm._FilterDatabase" localSheetId="8" hidden="1">Durango_NivelE_Cons!$B$9:$E$9</definedName>
    <definedName name="_xlnm._FilterDatabase" localSheetId="14" hidden="1">Durango_ocup_gral!$B$11:$D$11</definedName>
    <definedName name="_xlnm._FilterDatabase" localSheetId="5" hidden="1">Durango_USAMuni!$B$9:$E$9</definedName>
    <definedName name="_xlnm._FilterDatabase" localSheetId="3" hidden="1">DurangoXCons!$B$11:$D$11</definedName>
    <definedName name="_xlnm.Print_Area" localSheetId="7">Durango_educ_gral!$A$1:$F$42</definedName>
    <definedName name="_xlnm.Print_Area" localSheetId="9">Durango_EducCons!$A$1:$E$816</definedName>
    <definedName name="_xlnm.Print_Area" localSheetId="10">Durango_GenGral!$A$1:$G$20</definedName>
    <definedName name="_xlnm.Print_Area" localSheetId="6">Durango_MUNICIPIO!$A$1:$E$1310</definedName>
    <definedName name="_xlnm.Print_Area" localSheetId="8">Durango_NivelE_Cons!$A$1:$E$608</definedName>
    <definedName name="_xlnm.Print_Area" localSheetId="5">Durango_USAMuni!$A$1:$E$974</definedName>
    <definedName name="_xlnm.Print_Titles" localSheetId="2">Durango_Cons!$1:$11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3">Durango_Gen_Edad!$1:$12</definedName>
    <definedName name="_xlnm.Print_Titles" localSheetId="11">Durango_GENERO!$1:$12</definedName>
    <definedName name="_xlnm.Print_Titles" localSheetId="12">Durango_GENERO_EUA!$1:$12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4">Durango_ocup_gral!$1:$11</definedName>
    <definedName name="_xlnm.Print_Titles" localSheetId="5">Durango_USAMuni!$1:$9</definedName>
    <definedName name="_xlnm.Print_Titles" localSheetId="3">DurangoXCons!$1:$11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22" i="16" l="1"/>
  <c r="D12" i="16" l="1"/>
  <c r="D14" i="16"/>
  <c r="D15" i="16"/>
  <c r="D13" i="16"/>
  <c r="D16" i="16"/>
  <c r="D21" i="16"/>
  <c r="D17" i="16"/>
  <c r="D18" i="16"/>
  <c r="D19" i="16"/>
  <c r="D20" i="16"/>
</calcChain>
</file>

<file path=xl/sharedStrings.xml><?xml version="1.0" encoding="utf-8"?>
<sst xmlns="http://schemas.openxmlformats.org/spreadsheetml/2006/main" count="4698" uniqueCount="365">
  <si>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</si>
  <si>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</si>
  <si>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</si>
  <si>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</si>
  <si>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</si>
  <si>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</si>
  <si>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</si>
  <si>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</si>
  <si>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</si>
  <si>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</si>
  <si>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</si>
  <si>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</si>
  <si>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</si>
  <si>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</si>
  <si>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</si>
  <si>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</si>
  <si>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</si>
  <si>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</si>
  <si>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</si>
  <si>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</si>
  <si>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</si>
  <si>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</si>
  <si>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</si>
  <si>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</si>
  <si>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</si>
  <si>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</si>
  <si>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</si>
  <si>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</si>
  <si>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</si>
  <si>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</si>
  <si>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</si>
  <si>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</si>
  <si>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</si>
  <si>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DURANGO POR GÉNERO Y EDAD EN EE.UU.</t>
  </si>
  <si>
    <t>Ocupación</t>
  </si>
  <si>
    <t xml:space="preserve"> </t>
  </si>
  <si>
    <t>5.2 Por Circunscripción Consular</t>
  </si>
  <si>
    <t>5.3 Por Estado de la Unión Americana</t>
  </si>
  <si>
    <t>MATRÍCULAS CONSULARES DE ALTA SEGURIDAD EXPEDIDAS A ORIGINARIOS DE DURANGO EN LOS CONSULADOS DE MÉXICO EN EE.UU.</t>
  </si>
  <si>
    <t>MATRÍCULAS CONSULARES EXPEDIDAS A ORIGINARIOS DE DURANGO POR GÉNERO EN EE.UU</t>
  </si>
  <si>
    <t>MATRÍCULAS CONSULARES EXPEDIDAS EN EE.UU. A ORIGINARIOS DE DURANGO POR NIVEL DE EDUCACIÓN</t>
  </si>
  <si>
    <t>MATRÍCULAS CONSULARES EXPEDIDAS A ORIGINARIOS DE DURANGO POR GÉNERO Y CONSULADO</t>
  </si>
  <si>
    <t>MATRÍCULAS CONSULARES EXPEDIDAS A ORIGINARIOS DE DURANGO POR GÉNERO Y POR ESTADO DE LA UNIÓN AMERICANA</t>
  </si>
  <si>
    <t>MATRÍCULAS CONSULARES DE ALTA SEGURIDAD EXPEDIDAS POR MUNICIPIO A ORIGINARIOS DEL ESTADO DE DURANGO EN LOS CONSULADOS DE MÉXICO EN EE.UU</t>
  </si>
  <si>
    <t>LOS 10 CONSULADOS  DE MÉXICO EN EE.UU., CON MAYOR NÚMERO DE EXPEDICIÓN DE  MATRÍCULAS CONSULARES DE ALTA SEGURIDAD A ORIGINARIOS DE DURANGO</t>
  </si>
  <si>
    <t>TOTAL TOP 10</t>
  </si>
  <si>
    <t>TOTAL GENERAL</t>
  </si>
  <si>
    <t>Matrículas consulares expedidas a originarios de Durango en el 2023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</si>
  <si>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</si>
  <si>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</si>
  <si>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</si>
  <si>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</si>
  <si>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</si>
  <si>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</si>
  <si>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</si>
  <si>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</si>
  <si>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</si>
  <si>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</si>
  <si>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</si>
  <si>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</si>
  <si>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</si>
  <si>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</si>
  <si>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</si>
  <si>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</si>
  <si>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</si>
  <si>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</si>
  <si>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</si>
  <si>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</si>
  <si>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</si>
  <si>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</si>
  <si>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</si>
  <si>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</si>
  <si>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</si>
  <si>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</si>
  <si>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</si>
  <si>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</si>
  <si>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</si>
  <si>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</si>
  <si>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</si>
  <si>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</si>
  <si>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</si>
  <si>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</si>
  <si>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</si>
  <si>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</si>
  <si>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</si>
  <si>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</si>
  <si>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</si>
  <si>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</si>
  <si>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</si>
  <si>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</si>
  <si>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</si>
  <si>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</si>
  <si>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</si>
  <si>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</si>
  <si>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</si>
  <si>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</si>
  <si>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</si>
  <si>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DALLAS</t>
  </si>
  <si>
    <t>CHICAGO</t>
  </si>
  <si>
    <t>LOS ANGELES</t>
  </si>
  <si>
    <t>KANSAS CITY</t>
  </si>
  <si>
    <t>DENVER</t>
  </si>
  <si>
    <t>OKLAHOMA CITY</t>
  </si>
  <si>
    <t>HOUSTON</t>
  </si>
  <si>
    <t>PHOENIX</t>
  </si>
  <si>
    <t>LAS VEGAS</t>
  </si>
  <si>
    <t>LITTLE ROCK</t>
  </si>
  <si>
    <t>EL PASO</t>
  </si>
  <si>
    <t>ALBUQUERQUE</t>
  </si>
  <si>
    <t>ATLANTA</t>
  </si>
  <si>
    <t>FRESNO</t>
  </si>
  <si>
    <t>SAN BERNARDINO</t>
  </si>
  <si>
    <t>RALEIGH</t>
  </si>
  <si>
    <t>AUSTIN</t>
  </si>
  <si>
    <t>SAN ANTONIO</t>
  </si>
  <si>
    <t>SANTA ANA</t>
  </si>
  <si>
    <t>INDIANAPOLIS</t>
  </si>
  <si>
    <t>SAN JOSE</t>
  </si>
  <si>
    <t>SACRAMENTO</t>
  </si>
  <si>
    <t>SAINT PAUL</t>
  </si>
  <si>
    <t>DETROIT</t>
  </si>
  <si>
    <t>MILWAUKEE</t>
  </si>
  <si>
    <t>OMAHA</t>
  </si>
  <si>
    <t>SAN DIEGO</t>
  </si>
  <si>
    <t>ORLANDO</t>
  </si>
  <si>
    <t>MCALLEN</t>
  </si>
  <si>
    <t>PRESIDIO</t>
  </si>
  <si>
    <t>BOISE</t>
  </si>
  <si>
    <t>SAN FRANCISCO</t>
  </si>
  <si>
    <t>SALT LAKE CITY</t>
  </si>
  <si>
    <t>OXNARD</t>
  </si>
  <si>
    <t>MIAMI</t>
  </si>
  <si>
    <t>NUEVA ORLEANS</t>
  </si>
  <si>
    <t>SEATTLE</t>
  </si>
  <si>
    <t>BROWNSVILLE</t>
  </si>
  <si>
    <t>FILADELFIA</t>
  </si>
  <si>
    <t>PORTLAND</t>
  </si>
  <si>
    <t>LAREDO</t>
  </si>
  <si>
    <t>NUEVA YORK</t>
  </si>
  <si>
    <t>TUCSON</t>
  </si>
  <si>
    <t>DEL RIO</t>
  </si>
  <si>
    <t>YUMA</t>
  </si>
  <si>
    <t>BOSTON</t>
  </si>
  <si>
    <t>CALEXICO</t>
  </si>
  <si>
    <t>EAGLE PASS</t>
  </si>
  <si>
    <t>NEW BRUNSWICK</t>
  </si>
  <si>
    <t>NOGALES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</si>
  <si>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</si>
  <si>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</si>
  <si>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</si>
  <si>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</si>
  <si>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</si>
  <si>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</si>
  <si>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</si>
  <si>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</si>
  <si>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</si>
  <si>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</si>
  <si>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</si>
  <si>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</si>
  <si>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</si>
  <si>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</si>
  <si>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</si>
  <si>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</si>
  <si>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</si>
  <si>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</si>
  <si>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</si>
  <si>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</si>
  <si>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</si>
  <si>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</si>
  <si>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</si>
  <si>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</si>
  <si>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</si>
  <si>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NEVADA Total</t>
  </si>
  <si>
    <t>NEW HAMPSHIRE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</si>
  <si>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</si>
  <si>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</si>
  <si>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</si>
  <si>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</si>
  <si>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</si>
  <si>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</si>
  <si>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</si>
  <si>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</si>
  <si>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</si>
  <si>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SOUTH CAROLINA Total</t>
  </si>
  <si>
    <t>SOUTH DAKOTA Total</t>
  </si>
  <si>
    <t>TENNESSEE Total</t>
  </si>
  <si>
    <t>TEXAS Total</t>
  </si>
  <si>
    <t>UTAH Total</t>
  </si>
  <si>
    <t>VIRGINIA Total</t>
  </si>
  <si>
    <t>WASHINGTON Total</t>
  </si>
  <si>
    <t>WISCONSIN Total</t>
  </si>
  <si>
    <t>WYOMING Total</t>
  </si>
  <si>
    <t>CUENCAMÉ</t>
  </si>
  <si>
    <t>DURANGO</t>
  </si>
  <si>
    <t>GENERAL SIMÓN BOLÍVAR</t>
  </si>
  <si>
    <t>GUADALUPE VICTORIA</t>
  </si>
  <si>
    <t>GÓMEZ PALACIO</t>
  </si>
  <si>
    <t>LERDO</t>
  </si>
  <si>
    <t>MAPIMÍ</t>
  </si>
  <si>
    <t>MEZQUITAL</t>
  </si>
  <si>
    <t>PÁNUCO DE CORONADO</t>
  </si>
  <si>
    <t>RODEO</t>
  </si>
  <si>
    <t>SANTA CLARA</t>
  </si>
  <si>
    <t>SANTIAGO PAPASQUIARO</t>
  </si>
  <si>
    <t>CANATLÁN</t>
  </si>
  <si>
    <t>CANELAS</t>
  </si>
  <si>
    <t>CONETO DE COMONFORT</t>
  </si>
  <si>
    <t>EL ORO</t>
  </si>
  <si>
    <t>GUANACEVÍ</t>
  </si>
  <si>
    <t>HIDALGO</t>
  </si>
  <si>
    <t>INDÉ</t>
  </si>
  <si>
    <t>NAZAS</t>
  </si>
  <si>
    <t>NO SE REGISTRÓ EL MUNICIPIO/CONDADO/ALCALDÍA DE NACIMIENTO</t>
  </si>
  <si>
    <t>NOMBRE DE DIOS</t>
  </si>
  <si>
    <t>NUEVO IDEAL</t>
  </si>
  <si>
    <t>OCAMPO</t>
  </si>
  <si>
    <t>OTÁEZ</t>
  </si>
  <si>
    <t>PEÑÓN BLANCO</t>
  </si>
  <si>
    <t>POANAS</t>
  </si>
  <si>
    <t>PUEBLO NUEVO</t>
  </si>
  <si>
    <t>SAN BERNARDO</t>
  </si>
  <si>
    <t>SAN DIMAS</t>
  </si>
  <si>
    <t>SAN JUAN DE GUADALUPE</t>
  </si>
  <si>
    <t>SAN JUAN DEL RÍO</t>
  </si>
  <si>
    <t>SAN LUIS DEL CORDERO</t>
  </si>
  <si>
    <t>SAN PEDRO DEL GALLO</t>
  </si>
  <si>
    <t>SÚCHIL</t>
  </si>
  <si>
    <t>TAMAZULA</t>
  </si>
  <si>
    <t>TEPEHUANES</t>
  </si>
  <si>
    <t>TLAHUALILO</t>
  </si>
  <si>
    <t>TOPIA</t>
  </si>
  <si>
    <t>VICENTE GUERRERO</t>
  </si>
  <si>
    <t>EL NARANJO</t>
  </si>
  <si>
    <t>FRANCISCO I. MADERO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</si>
  <si>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</si>
  <si>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</si>
  <si>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</si>
  <si>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</si>
  <si>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</si>
  <si>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</si>
  <si>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</si>
  <si>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</si>
  <si>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</si>
  <si>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</si>
  <si>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</si>
  <si>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</si>
  <si>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</si>
  <si>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</si>
  <si>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</si>
  <si>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</si>
  <si>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</si>
  <si>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</si>
  <si>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</si>
  <si>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</si>
  <si>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</si>
  <si>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</si>
  <si>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</si>
  <si>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</si>
  <si>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</si>
  <si>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</si>
  <si>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</si>
  <si>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</si>
  <si>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</si>
  <si>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</si>
  <si>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</si>
  <si>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</si>
  <si>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</si>
  <si>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</si>
  <si>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</si>
  <si>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</si>
  <si>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</si>
  <si>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</si>
  <si>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AGROPECUARIA, TRAB. DE LA INDUSTRIA</t>
  </si>
  <si>
    <t>JARDINERO(A)</t>
  </si>
  <si>
    <t>PINTOR(A)</t>
  </si>
  <si>
    <t>JUBILADO(A)/PENSIONADO(A)</t>
  </si>
  <si>
    <t>SIN ESPECIFICAR</t>
  </si>
  <si>
    <t>OPERARIO(A)</t>
  </si>
  <si>
    <t>LIMPIEZA, EMPLEADO DE</t>
  </si>
  <si>
    <t>MECÁNICO(A)</t>
  </si>
  <si>
    <t>DESEMPLEADO</t>
  </si>
  <si>
    <t>CARPINTERO/TAPICERO</t>
  </si>
  <si>
    <t>CHOFER</t>
  </si>
  <si>
    <t>MESERO(A)</t>
  </si>
  <si>
    <t>CAJERO(A)/COBRADOR(A)</t>
  </si>
  <si>
    <t>EMPRESARIO(A)</t>
  </si>
  <si>
    <t>PROFESIONISTA</t>
  </si>
  <si>
    <t>SOLDADOR</t>
  </si>
  <si>
    <t>TÉCNICO(A) EN MANTENIMIENTO</t>
  </si>
  <si>
    <t>VENDEDOR(A)</t>
  </si>
  <si>
    <t>DISCAPACITADO</t>
  </si>
  <si>
    <t>BELLEZA, PROFESIONAL DE SERVICIOS DE</t>
  </si>
  <si>
    <t>CARNICERO(A)</t>
  </si>
  <si>
    <t>ENFERMERO(A)/TRAB. DE APOYO EN SALUD</t>
  </si>
  <si>
    <t>GERENTE/DIRECTOR(A)</t>
  </si>
  <si>
    <t>DISEÑADOR(A)</t>
  </si>
  <si>
    <t>TRABAJADOR(A) DOMÉSTICO(A)</t>
  </si>
  <si>
    <t>AEROCOMERCIAL, TRAB. DE LA INDUSTRIA</t>
  </si>
  <si>
    <t>ARTISTA INTERPRETATIVO(A)</t>
  </si>
  <si>
    <t>INGENIERO(A)</t>
  </si>
  <si>
    <t>MINISTRO(A) RELIGIOSO(A)</t>
  </si>
  <si>
    <t>ADMINISTRADOR(A)/CONTADOR(A)</t>
  </si>
  <si>
    <t>ARTESANO(A)</t>
  </si>
  <si>
    <t>ARTISTA PLÁSTICO/PINTOR(A)</t>
  </si>
  <si>
    <t>COMERCIANTE</t>
  </si>
  <si>
    <t>FOTÓGRAFO(A)</t>
  </si>
  <si>
    <t>HOJALATERO</t>
  </si>
  <si>
    <t>SUPERVISOR(A)</t>
  </si>
  <si>
    <t>AUTOR(A)/PERIODISTA/TRADUCTOR(A)</t>
  </si>
  <si>
    <t>CONSULTOR</t>
  </si>
  <si>
    <t>EXTRACCIÓN, TRAB. DE LA INDUSTRIA DE LA</t>
  </si>
  <si>
    <t>HERRERO(A)/CERRAJERO(A)/JOYERO(A)</t>
  </si>
  <si>
    <t>OTRO</t>
  </si>
  <si>
    <t>POLICÍA/ SERV. SEGURIDAD Y PROTECCIÓN</t>
  </si>
  <si>
    <t>TRABAJADOR(A) SOCIAL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</si>
  <si>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</si>
  <si>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</si>
  <si>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</si>
  <si>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</si>
  <si>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</si>
  <si>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</si>
  <si>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</si>
  <si>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</si>
  <si>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</si>
  <si>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</si>
  <si>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</si>
  <si>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</si>
  <si>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</si>
  <si>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</si>
  <si>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</si>
  <si>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</si>
  <si>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</si>
  <si>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</si>
  <si>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</si>
  <si>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</si>
  <si>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</si>
  <si>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</si>
  <si>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</si>
  <si>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</si>
  <si>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</si>
  <si>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</si>
  <si>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</si>
  <si>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</si>
  <si>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</si>
  <si>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</si>
  <si>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</si>
  <si>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</si>
  <si>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</si>
  <si>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</si>
  <si>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</si>
  <si>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</si>
  <si>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</si>
  <si>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</si>
  <si>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</si>
  <si>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</si>
  <si>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</si>
  <si>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</si>
  <si>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</si>
  <si>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</si>
  <si>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</si>
  <si>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</si>
  <si>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</si>
  <si>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</si>
  <si>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DE ALTA SEGURIDAD EXPEDIDAS A ORIGINARIOS DE DURANGO POR ESTADO DE LA UNIÓN AMERICANA</t>
  </si>
  <si>
    <t>MATRÍCULAS CONSULARES EXPEDIDAS EN EE.UU. ORIGINARIOS DE DURANGO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</si>
</sst>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11"/>
      <name val="Montserrat"/>
    </font>
    <font>
      <sz val="8"/>
      <color indexed="8"/>
      <name val="Montserrat"/>
    </font>
    <font>
      <sz val="8"/>
      <color theme="1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0"/>
  </cellStyleXfs>
  <cellXfs count="9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8" fillId="3" borderId="0" xfId="0" applyFont="1" applyFill="1"/>
    <xf numFmtId="0" fontId="16" fillId="3" borderId="0" xfId="0" applyFont="1" applyFill="1" applyAlignment="1">
      <alignment vertical="center"/>
    </xf>
    <xf numFmtId="3" fontId="11" fillId="3" borderId="0" xfId="0" applyNumberFormat="1" applyFont="1" applyFill="1"/>
    <xf numFmtId="1" fontId="11" fillId="3" borderId="0" xfId="0" applyNumberFormat="1" applyFont="1" applyFill="1"/>
    <xf numFmtId="0" fontId="4" fillId="3" borderId="0" xfId="0" applyFont="1" applyFill="1"/>
    <xf numFmtId="0" fontId="11" fillId="3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  <xf numFmtId="49" fontId="9" fillId="3" borderId="9" xfId="0" applyNumberFormat="1" applyFont="1" applyFill="1" applyBorder="1" applyAlignment="1">
      <alignment vertical="top" wrapText="1"/>
    </xf>
    <xf numFmtId="165" fontId="8" fillId="3" borderId="9" xfId="0" applyNumberFormat="1" applyFont="1" applyFill="1" applyBorder="1" applyAlignment="1">
      <alignment horizontal="right"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49" fontId="24" fillId="10" borderId="12" xfId="0" applyNumberFormat="1" applyFont="1" applyFill="1" applyBorder="1" applyAlignment="1">
      <alignment vertical="center" wrapText="1"/>
    </xf>
    <xf numFmtId="3" fontId="24" fillId="10" borderId="9" xfId="0" applyNumberFormat="1" applyFont="1" applyFill="1" applyBorder="1" applyAlignment="1">
      <alignment horizontal="right" vertical="center" wrapText="1"/>
    </xf>
    <xf numFmtId="164" fontId="24" fillId="10" borderId="9" xfId="0" applyNumberFormat="1" applyFont="1" applyFill="1" applyBorder="1" applyAlignment="1">
      <alignment horizontal="right" vertical="center" wrapText="1"/>
    </xf>
    <xf numFmtId="0" fontId="25" fillId="3" borderId="0" xfId="0" applyFont="1" applyFill="1"/>
    <xf numFmtId="0" fontId="1" fillId="3" borderId="0" xfId="0" applyFont="1" applyFill="1"/>
    <xf numFmtId="3" fontId="1" fillId="3" borderId="0" xfId="0" applyNumberFormat="1" applyFont="1" applyFill="1"/>
    <xf numFmtId="0" fontId="26" fillId="0" borderId="0" xfId="0" applyFont="1" applyAlignment="1">
      <alignment horizontal="justify" vertical="center"/>
    </xf>
    <xf numFmtId="0" fontId="26" fillId="0" borderId="0" xfId="0" applyFont="1" applyAlignment="1">
      <alignment vertical="top"/>
    </xf>
    <xf numFmtId="0" fontId="27" fillId="0" borderId="0" xfId="0" applyFont="1"/>
    <xf numFmtId="0" fontId="27" fillId="3" borderId="0" xfId="0" applyFont="1" applyFill="1"/>
    <xf numFmtId="3" fontId="27" fillId="3" borderId="0" xfId="0" applyNumberFormat="1" applyFont="1" applyFill="1"/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3" fillId="0" borderId="4" xfId="1" applyFont="1" applyBorder="1" applyAlignment="1">
      <alignment horizontal="left"/>
    </xf>
    <xf numFmtId="0" fontId="3" fillId="0" borderId="0" xfId="1" applyFont="1" applyBorder="1" applyAlignment="1">
      <alignment horizontal="left"/>
    </xf>
    <xf numFmtId="0" fontId="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/>
    </xf>
    <xf numFmtId="49" fontId="9" fillId="3" borderId="15" xfId="0" applyNumberFormat="1" applyFont="1" applyFill="1" applyBorder="1" applyAlignment="1">
      <alignment horizontal="center" vertical="center"/>
    </xf>
    <xf numFmtId="49" fontId="9" fillId="3" borderId="14" xfId="0" applyNumberFormat="1" applyFont="1" applyFill="1" applyBorder="1" applyAlignment="1">
      <alignment horizontal="center" vertical="center"/>
    </xf>
    <xf numFmtId="49" fontId="9" fillId="3" borderId="9" xfId="0" applyNumberFormat="1" applyFont="1" applyFill="1" applyBorder="1" applyAlignment="1">
      <alignment horizontal="center" vertical="center" wrapText="1"/>
    </xf>
    <xf numFmtId="49" fontId="7" fillId="9" borderId="9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362666</xdr:colOff>
      <xdr:row>1</xdr:row>
      <xdr:rowOff>161617</xdr:rowOff>
    </xdr:from>
    <xdr:to>
      <xdr:col>3</xdr:col>
      <xdr:colOff>874763</xdr:colOff>
      <xdr:row>2</xdr:row>
      <xdr:rowOff>161617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48816" y="69501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200025</xdr:colOff>
      <xdr:row>1</xdr:row>
      <xdr:rowOff>0</xdr:rowOff>
    </xdr:from>
    <xdr:to>
      <xdr:col>1</xdr:col>
      <xdr:colOff>505384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DED2E63-93EB-48CB-AFA7-C102C8658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57150</xdr:rowOff>
    </xdr:from>
    <xdr:to>
      <xdr:col>5</xdr:col>
      <xdr:colOff>188247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724400" y="15811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161925</xdr:colOff>
      <xdr:row>1</xdr:row>
      <xdr:rowOff>9525</xdr:rowOff>
    </xdr:from>
    <xdr:to>
      <xdr:col>1</xdr:col>
      <xdr:colOff>467284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FC82595-8025-463D-80BC-D8234EC76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7053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0</xdr:rowOff>
    </xdr:from>
    <xdr:to>
      <xdr:col>1</xdr:col>
      <xdr:colOff>400609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B62AF13-53A0-40A9-9AE4-8AC25E16D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171175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094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76200</xdr:rowOff>
    </xdr:from>
    <xdr:to>
      <xdr:col>1</xdr:col>
      <xdr:colOff>419659</xdr:colOff>
      <xdr:row>4</xdr:row>
      <xdr:rowOff>28574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D57407A-6801-4F3D-A72B-A9A4BA2C5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6670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DURANGO POR ESTADO EN EE.UU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555438</xdr:colOff>
      <xdr:row>7</xdr:row>
      <xdr:rowOff>9338</xdr:rowOff>
    </xdr:from>
    <xdr:to>
      <xdr:col>4</xdr:col>
      <xdr:colOff>1065667</xdr:colOff>
      <xdr:row>7</xdr:row>
      <xdr:rowOff>200484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403850" y="1757456"/>
          <a:ext cx="510229" cy="1911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114300</xdr:colOff>
      <xdr:row>0</xdr:row>
      <xdr:rowOff>142875</xdr:rowOff>
    </xdr:from>
    <xdr:to>
      <xdr:col>1</xdr:col>
      <xdr:colOff>1038784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18A3A4A-5D82-4626-BA82-832E2E356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DURANGO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575236</xdr:colOff>
      <xdr:row>7</xdr:row>
      <xdr:rowOff>52295</xdr:rowOff>
    </xdr:from>
    <xdr:to>
      <xdr:col>4</xdr:col>
      <xdr:colOff>1087333</xdr:colOff>
      <xdr:row>7</xdr:row>
      <xdr:rowOff>242795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759824" y="180041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0</xdr:rowOff>
    </xdr:from>
    <xdr:to>
      <xdr:col>1</xdr:col>
      <xdr:colOff>991159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9EE8F92-9134-458F-9098-8FCA927C6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99392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21554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940768</xdr:colOff>
      <xdr:row>1</xdr:row>
      <xdr:rowOff>130313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1159" y="323574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19050</xdr:rowOff>
    </xdr:from>
    <xdr:to>
      <xdr:col>1</xdr:col>
      <xdr:colOff>448234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2FA27D3-150F-4BE6-96CD-D165B75F8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DURANGO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114300</xdr:colOff>
      <xdr:row>1</xdr:row>
      <xdr:rowOff>28575</xdr:rowOff>
    </xdr:from>
    <xdr:to>
      <xdr:col>1</xdr:col>
      <xdr:colOff>1038784</xdr:colOff>
      <xdr:row>3</xdr:row>
      <xdr:rowOff>361949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E8A83EA-D396-48A8-90BE-17F10B9A9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DURANGO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552173</xdr:colOff>
      <xdr:row>7</xdr:row>
      <xdr:rowOff>82826</xdr:rowOff>
    </xdr:from>
    <xdr:to>
      <xdr:col>4</xdr:col>
      <xdr:colOff>1064270</xdr:colOff>
      <xdr:row>7</xdr:row>
      <xdr:rowOff>273326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79419" y="183137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19050</xdr:rowOff>
    </xdr:from>
    <xdr:to>
      <xdr:col>1</xdr:col>
      <xdr:colOff>981634</xdr:colOff>
      <xdr:row>3</xdr:row>
      <xdr:rowOff>352424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9A1BFF6-6716-4687-94E5-CDE0E9648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50482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180975</xdr:colOff>
      <xdr:row>1</xdr:row>
      <xdr:rowOff>9525</xdr:rowOff>
    </xdr:from>
    <xdr:to>
      <xdr:col>1</xdr:col>
      <xdr:colOff>486334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AEB6323-0EFD-4AD9-AD87-A0CF1528A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165272" y="17199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76200</xdr:rowOff>
    </xdr:from>
    <xdr:to>
      <xdr:col>1</xdr:col>
      <xdr:colOff>981634</xdr:colOff>
      <xdr:row>3</xdr:row>
      <xdr:rowOff>266699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521B9C-C651-4FB0-9816-8E0761423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7620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163911" y="1724025"/>
          <a:ext cx="50937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133350</xdr:rowOff>
    </xdr:from>
    <xdr:to>
      <xdr:col>1</xdr:col>
      <xdr:colOff>991159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B4B6D3B-EEB7-48EA-970C-2DCD7AE1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1009650</xdr:colOff>
      <xdr:row>9</xdr:row>
      <xdr:rowOff>50800</xdr:rowOff>
    </xdr:from>
    <xdr:to>
      <xdr:col>6</xdr:col>
      <xdr:colOff>366047</xdr:colOff>
      <xdr:row>10</xdr:row>
      <xdr:rowOff>50800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10400" y="1765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76200</xdr:rowOff>
    </xdr:from>
    <xdr:to>
      <xdr:col>1</xdr:col>
      <xdr:colOff>991159</xdr:colOff>
      <xdr:row>3</xdr:row>
      <xdr:rowOff>266699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62B182A-E56E-41DB-BF6F-126F262E3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7620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579783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54684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753029</xdr:colOff>
      <xdr:row>1</xdr:row>
      <xdr:rowOff>168966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0377" y="362227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1223065</xdr:colOff>
      <xdr:row>8</xdr:row>
      <xdr:rowOff>82274</xdr:rowOff>
    </xdr:from>
    <xdr:to>
      <xdr:col>4</xdr:col>
      <xdr:colOff>525212</xdr:colOff>
      <xdr:row>8</xdr:row>
      <xdr:rowOff>275535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10413" y="1816100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0</xdr:rowOff>
    </xdr:from>
    <xdr:to>
      <xdr:col>1</xdr:col>
      <xdr:colOff>410134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3C66753-31C7-451F-A372-56D6A7534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9050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8" t="s">
        <v>47</v>
      </c>
      <c r="B1" s="79"/>
      <c r="C1" s="79"/>
      <c r="D1" s="80"/>
    </row>
    <row r="2" spans="1:4">
      <c r="A2" s="2"/>
      <c r="B2" s="3"/>
      <c r="C2" s="3"/>
      <c r="D2" s="4"/>
    </row>
    <row r="3" spans="1:4">
      <c r="A3" s="81" t="s">
        <v>0</v>
      </c>
      <c r="B3" s="82"/>
      <c r="C3" s="82"/>
      <c r="D3" s="83"/>
    </row>
    <row r="4" spans="1:4">
      <c r="A4" s="81"/>
      <c r="B4" s="82"/>
      <c r="C4" s="82"/>
      <c r="D4" s="83"/>
    </row>
    <row r="5" spans="1:4">
      <c r="A5" s="5"/>
      <c r="B5" s="6"/>
      <c r="C5" s="6"/>
      <c r="D5" s="7"/>
    </row>
    <row r="6" spans="1:4" ht="18.5">
      <c r="A6" s="72" t="s">
        <v>1</v>
      </c>
      <c r="B6" s="73"/>
      <c r="C6" s="73"/>
      <c r="D6" s="74"/>
    </row>
    <row r="7" spans="1:4">
      <c r="A7" s="8"/>
      <c r="D7" s="9"/>
    </row>
    <row r="8" spans="1:4" ht="18.5">
      <c r="A8" s="72" t="s">
        <v>2</v>
      </c>
      <c r="B8" s="73"/>
      <c r="C8" s="73"/>
      <c r="D8" s="74"/>
    </row>
    <row r="9" spans="1:4" ht="18.5">
      <c r="A9" s="8"/>
      <c r="B9" s="72" t="s">
        <v>3</v>
      </c>
      <c r="C9" s="73"/>
      <c r="D9" s="73"/>
    </row>
    <row r="10" spans="1:4">
      <c r="A10" s="8"/>
      <c r="D10" s="9"/>
    </row>
    <row r="11" spans="1:4" ht="18.5">
      <c r="A11" s="49" t="s">
        <v>4</v>
      </c>
      <c r="D11" s="9"/>
    </row>
    <row r="12" spans="1:4" ht="18.5">
      <c r="A12" s="8"/>
      <c r="B12" s="72" t="s">
        <v>5</v>
      </c>
      <c r="C12" s="73"/>
      <c r="D12" s="73"/>
    </row>
    <row r="13" spans="1:4" ht="18.5">
      <c r="A13" s="8"/>
      <c r="B13" s="72" t="s">
        <v>6</v>
      </c>
      <c r="C13" s="73"/>
      <c r="D13" s="73"/>
    </row>
    <row r="14" spans="1:4" ht="18.5">
      <c r="A14" s="8"/>
      <c r="B14" s="72" t="s">
        <v>7</v>
      </c>
      <c r="C14" s="73"/>
      <c r="D14" s="73"/>
    </row>
    <row r="15" spans="1:4">
      <c r="A15" s="8"/>
      <c r="D15" s="9"/>
    </row>
    <row r="16" spans="1:4" ht="18.5">
      <c r="A16" s="49" t="s">
        <v>8</v>
      </c>
      <c r="D16" s="9"/>
    </row>
    <row r="17" spans="1:4" ht="18.5">
      <c r="A17" s="8"/>
      <c r="B17" s="72" t="s">
        <v>9</v>
      </c>
      <c r="C17" s="73"/>
      <c r="D17" s="73"/>
    </row>
    <row r="18" spans="1:4" ht="18.5">
      <c r="A18" s="8"/>
      <c r="B18" s="72" t="s">
        <v>10</v>
      </c>
      <c r="C18" s="73"/>
      <c r="D18" s="73"/>
    </row>
    <row r="19" spans="1:4" ht="18.5">
      <c r="A19" s="8"/>
      <c r="B19" s="72" t="s">
        <v>11</v>
      </c>
      <c r="C19" s="73"/>
      <c r="D19" s="73"/>
    </row>
    <row r="20" spans="1:4">
      <c r="A20" s="8"/>
      <c r="D20" s="9"/>
    </row>
    <row r="21" spans="1:4" ht="18.5">
      <c r="A21" s="49" t="s">
        <v>12</v>
      </c>
      <c r="D21" s="9"/>
    </row>
    <row r="22" spans="1:4" ht="18.5">
      <c r="A22" s="8"/>
      <c r="B22" s="72" t="s">
        <v>13</v>
      </c>
      <c r="C22" s="73"/>
      <c r="D22" s="73"/>
    </row>
    <row r="23" spans="1:4" ht="18.5">
      <c r="A23" s="8"/>
      <c r="B23" s="72" t="s">
        <v>36</v>
      </c>
      <c r="C23" s="73"/>
      <c r="D23" s="73"/>
    </row>
    <row r="24" spans="1:4" ht="18.5">
      <c r="A24" s="8"/>
      <c r="B24" s="72" t="s">
        <v>37</v>
      </c>
      <c r="C24" s="73"/>
      <c r="D24" s="73"/>
    </row>
    <row r="25" spans="1:4">
      <c r="A25" s="8"/>
      <c r="D25" s="9"/>
    </row>
    <row r="26" spans="1:4" ht="18.5">
      <c r="A26" s="72" t="s">
        <v>14</v>
      </c>
      <c r="B26" s="73"/>
      <c r="C26" s="73"/>
      <c r="D26" s="74"/>
    </row>
    <row r="27" spans="1:4">
      <c r="A27" s="8"/>
      <c r="D27" s="9"/>
    </row>
    <row r="28" spans="1:4">
      <c r="A28" s="75" t="s">
        <v>15</v>
      </c>
      <c r="B28" s="76"/>
      <c r="C28" s="76"/>
      <c r="D28" s="77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Durango_USAMuni!A1" display="3.2 Por Estado de USA" xr:uid="{00000000-0004-0000-0000-00000D000000}"/>
    <hyperlink ref="A8:D8" location="Durango_Cons!A1" display="2. Por Circunscripción Consular" xr:uid="{00000000-0004-0000-0000-00000E000000}"/>
    <hyperlink ref="B9:D9" location="DurangoXCons!A1" display="2.1 Top ten por circunscripción consular" xr:uid="{00000000-0004-0000-0000-00000F000000}"/>
    <hyperlink ref="A6:D6" location="Durango_EdoUsa!A1" display="1. Por Estados de USA" xr:uid="{00000000-0004-0000-0000-000010000000}"/>
    <hyperlink ref="B12:D12" location="Durango_EdoMun!A1" display="3.1 Municipio general" xr:uid="{00000000-0004-0000-0000-000011000000}"/>
    <hyperlink ref="B14:D14" location="Durango_MUNICIPIO!A1" display="3.3 Por Circunscripción Consular" xr:uid="{00000000-0004-0000-0000-000012000000}"/>
    <hyperlink ref="B17:D17" location="Durango_educ_gral!A1" display="4.1 Educación general" xr:uid="{00000000-0004-0000-0000-000013000000}"/>
    <hyperlink ref="B18:D18" location="Durango_NivelE_Cons!A1" display="4.2 Por Estado de USA" xr:uid="{00000000-0004-0000-0000-000014000000}"/>
    <hyperlink ref="B19:D19" location="Durango_EducCons!A1" display="4.3 Por Circunscripción Consular" xr:uid="{00000000-0004-0000-0000-000015000000}"/>
    <hyperlink ref="B22:D22" location="Durango_GenGral!A1" display="5.1 Género General" xr:uid="{00000000-0004-0000-0000-000016000000}"/>
    <hyperlink ref="B23:D23" location="Durango_GENERO!A1" display="5.2 Por Circunscripción Consular" xr:uid="{00000000-0004-0000-0000-000017000000}"/>
    <hyperlink ref="A26:D26" location="Durango_Gen_Edad!A1" display="6. Por estructura de Edad" xr:uid="{00000000-0004-0000-0000-000018000000}"/>
    <hyperlink ref="A28:D28" location="Durango_ocup_gral!A1" display="7. Por Ocupación" xr:uid="{00000000-0004-0000-0000-000019000000}"/>
    <hyperlink ref="B24" location="Durang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B1:D64"/>
  <sheetViews>
    <sheetView showGridLines="0" view="pageBreakPreview" topLeftCell="A48" zoomScale="115" zoomScaleNormal="100" zoomScaleSheetLayoutView="115" workbookViewId="0">
      <selection activeCell="C11" sqref="C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363</v>
      </c>
      <c r="C7" s="84"/>
      <c r="D7" s="84"/>
    </row>
    <row r="8" spans="2:4" s="24" customFormat="1" ht="15" customHeight="1">
      <c r="B8" s="84"/>
      <c r="C8" s="84"/>
      <c r="D8" s="84"/>
    </row>
    <row r="9" spans="2:4" s="24" customFormat="1" ht="33" customHeight="1">
      <c r="B9" s="84"/>
      <c r="C9" s="84"/>
      <c r="D9" s="84"/>
    </row>
    <row r="10" spans="2:4" s="24" customFormat="1" ht="4.5" customHeight="1">
      <c r="B10" s="28"/>
      <c r="C10" s="28"/>
      <c r="D10" s="28"/>
    </row>
    <row r="11" spans="2:4" s="24" customFormat="1" ht="30" customHeight="1">
      <c r="B11" s="27" t="s">
        <v>20</v>
      </c>
      <c r="C11" s="26" t="s">
        <v>19</v>
      </c>
      <c r="D11" s="25" t="s">
        <v>18</v>
      </c>
    </row>
    <row r="12" spans="2:4" ht="14.5" customHeight="1">
      <c r="B12" s="23" t="s">
        <v>51</v>
      </c>
      <c r="C12" s="22">
        <v>53</v>
      </c>
      <c r="D12" s="21">
        <v>2.8133128085349999E-3</v>
      </c>
    </row>
    <row r="13" spans="2:4" ht="14.5" customHeight="1">
      <c r="B13" s="23" t="s">
        <v>52</v>
      </c>
      <c r="C13" s="22">
        <v>595</v>
      </c>
      <c r="D13" s="21">
        <v>3.1583417378842002E-2</v>
      </c>
    </row>
    <row r="14" spans="2:4" ht="14.5" customHeight="1">
      <c r="B14" s="23" t="s">
        <v>53</v>
      </c>
      <c r="C14" s="22">
        <v>282</v>
      </c>
      <c r="D14" s="21">
        <v>1.4968947396358999E-2</v>
      </c>
    </row>
    <row r="15" spans="2:4" ht="14.5" customHeight="1">
      <c r="B15" s="23" t="s">
        <v>54</v>
      </c>
      <c r="C15" s="22">
        <v>3254</v>
      </c>
      <c r="D15" s="21">
        <v>0.17272679016933001</v>
      </c>
    </row>
    <row r="16" spans="2:4" ht="14.5" customHeight="1">
      <c r="B16" s="23" t="s">
        <v>55</v>
      </c>
      <c r="C16" s="22">
        <v>936</v>
      </c>
      <c r="D16" s="21">
        <v>4.9684165826211997E-2</v>
      </c>
    </row>
    <row r="17" spans="2:4" ht="14.5" customHeight="1">
      <c r="B17" s="23" t="s">
        <v>56</v>
      </c>
      <c r="C17" s="22">
        <v>4</v>
      </c>
      <c r="D17" s="21">
        <v>2.1232549498399999E-4</v>
      </c>
    </row>
    <row r="18" spans="2:4" ht="14.5" customHeight="1">
      <c r="B18" s="23" t="s">
        <v>57</v>
      </c>
      <c r="C18" s="22">
        <v>16</v>
      </c>
      <c r="D18" s="21">
        <v>8.4930197993500001E-4</v>
      </c>
    </row>
    <row r="19" spans="2:4" ht="14.5" customHeight="1">
      <c r="B19" s="23" t="s">
        <v>58</v>
      </c>
      <c r="C19" s="22">
        <v>175</v>
      </c>
      <c r="D19" s="21">
        <v>9.289240405542E-3</v>
      </c>
    </row>
    <row r="20" spans="2:4" ht="14.5" customHeight="1">
      <c r="B20" s="23" t="s">
        <v>59</v>
      </c>
      <c r="C20" s="22">
        <v>292</v>
      </c>
      <c r="D20" s="21">
        <v>1.5499761133817999E-2</v>
      </c>
    </row>
    <row r="21" spans="2:4" ht="14.5" customHeight="1">
      <c r="B21" s="23" t="s">
        <v>60</v>
      </c>
      <c r="C21" s="22">
        <v>1</v>
      </c>
      <c r="D21" s="21">
        <v>5.3081373745999998E-5</v>
      </c>
    </row>
    <row r="22" spans="2:4" ht="14.5" customHeight="1">
      <c r="B22" s="23" t="s">
        <v>61</v>
      </c>
      <c r="C22" s="22">
        <v>75</v>
      </c>
      <c r="D22" s="21">
        <v>3.9811030309459998E-3</v>
      </c>
    </row>
    <row r="23" spans="2:4" ht="14.5" customHeight="1">
      <c r="B23" s="23" t="s">
        <v>62</v>
      </c>
      <c r="C23" s="22">
        <v>2756</v>
      </c>
      <c r="D23" s="21">
        <v>0.14629226604384499</v>
      </c>
    </row>
    <row r="24" spans="2:4" ht="14.5" customHeight="1">
      <c r="B24" s="23" t="s">
        <v>63</v>
      </c>
      <c r="C24" s="22">
        <v>281</v>
      </c>
      <c r="D24" s="21">
        <v>1.4915866022613E-2</v>
      </c>
    </row>
    <row r="25" spans="2:4" ht="14.5" customHeight="1">
      <c r="B25" s="23" t="s">
        <v>64</v>
      </c>
      <c r="C25" s="22">
        <v>48</v>
      </c>
      <c r="D25" s="21">
        <v>2.547905939806E-3</v>
      </c>
    </row>
    <row r="26" spans="2:4" ht="14.5" customHeight="1">
      <c r="B26" s="23" t="s">
        <v>65</v>
      </c>
      <c r="C26" s="22">
        <v>1038</v>
      </c>
      <c r="D26" s="21">
        <v>5.5098465948299001E-2</v>
      </c>
    </row>
    <row r="27" spans="2:4" ht="14.5" customHeight="1">
      <c r="B27" s="23" t="s">
        <v>66</v>
      </c>
      <c r="C27" s="22">
        <v>61</v>
      </c>
      <c r="D27" s="21">
        <v>3.2379637985029998E-3</v>
      </c>
    </row>
    <row r="28" spans="2:4" ht="14.5" customHeight="1">
      <c r="B28" s="23" t="s">
        <v>67</v>
      </c>
      <c r="C28" s="22">
        <v>39</v>
      </c>
      <c r="D28" s="21">
        <v>2.0701735760919999E-3</v>
      </c>
    </row>
    <row r="29" spans="2:4" ht="14.5" customHeight="1">
      <c r="B29" s="23" t="s">
        <v>68</v>
      </c>
      <c r="C29" s="22">
        <v>12</v>
      </c>
      <c r="D29" s="21">
        <v>6.3697648495099997E-4</v>
      </c>
    </row>
    <row r="30" spans="2:4" ht="14.5" customHeight="1">
      <c r="B30" s="23" t="s">
        <v>69</v>
      </c>
      <c r="C30" s="22">
        <v>3</v>
      </c>
      <c r="D30" s="21">
        <v>1.5924412123800001E-4</v>
      </c>
    </row>
    <row r="31" spans="2:4" ht="14.5" customHeight="1">
      <c r="B31" s="23" t="s">
        <v>70</v>
      </c>
      <c r="C31" s="22">
        <v>117</v>
      </c>
      <c r="D31" s="21">
        <v>6.210520728276E-3</v>
      </c>
    </row>
    <row r="32" spans="2:4" ht="14.5" customHeight="1">
      <c r="B32" s="23" t="s">
        <v>71</v>
      </c>
      <c r="C32" s="22">
        <v>168</v>
      </c>
      <c r="D32" s="21">
        <v>8.9176707893200008E-3</v>
      </c>
    </row>
    <row r="33" spans="2:4" ht="14.5" customHeight="1">
      <c r="B33" s="23" t="s">
        <v>72</v>
      </c>
      <c r="C33" s="22">
        <v>20</v>
      </c>
      <c r="D33" s="21">
        <v>1.0616274749190001E-3</v>
      </c>
    </row>
    <row r="34" spans="2:4" ht="14.5" customHeight="1">
      <c r="B34" s="23" t="s">
        <v>73</v>
      </c>
      <c r="C34" s="22">
        <v>208</v>
      </c>
      <c r="D34" s="21">
        <v>1.1040925739158E-2</v>
      </c>
    </row>
    <row r="35" spans="2:4" ht="14.5" customHeight="1">
      <c r="B35" s="23" t="s">
        <v>74</v>
      </c>
      <c r="C35" s="22">
        <v>6</v>
      </c>
      <c r="D35" s="21">
        <v>3.1848824247600002E-4</v>
      </c>
    </row>
    <row r="36" spans="2:4" ht="14.5" customHeight="1">
      <c r="B36" s="23" t="s">
        <v>75</v>
      </c>
      <c r="C36" s="22">
        <v>81</v>
      </c>
      <c r="D36" s="21">
        <v>4.2995912734219996E-3</v>
      </c>
    </row>
    <row r="37" spans="2:4" ht="14.5" customHeight="1">
      <c r="B37" s="23" t="s">
        <v>76</v>
      </c>
      <c r="C37" s="22">
        <v>597</v>
      </c>
      <c r="D37" s="21">
        <v>3.1689580126334001E-2</v>
      </c>
    </row>
    <row r="38" spans="2:4" ht="14.5" customHeight="1">
      <c r="B38" s="23" t="s">
        <v>77</v>
      </c>
      <c r="C38" s="22">
        <v>1</v>
      </c>
      <c r="D38" s="21">
        <v>5.3081373745999998E-5</v>
      </c>
    </row>
    <row r="39" spans="2:4" ht="14.5" customHeight="1">
      <c r="B39" s="23" t="s">
        <v>78</v>
      </c>
      <c r="C39" s="22">
        <v>15</v>
      </c>
      <c r="D39" s="21">
        <v>7.9622060618899997E-4</v>
      </c>
    </row>
    <row r="40" spans="2:4" ht="14.5" customHeight="1">
      <c r="B40" s="23" t="s">
        <v>79</v>
      </c>
      <c r="C40" s="22">
        <v>429</v>
      </c>
      <c r="D40" s="21">
        <v>2.2771909337014E-2</v>
      </c>
    </row>
    <row r="41" spans="2:4" ht="14.5" customHeight="1">
      <c r="B41" s="23" t="s">
        <v>80</v>
      </c>
      <c r="C41" s="22">
        <v>17</v>
      </c>
      <c r="D41" s="21">
        <v>9.0238335368100005E-4</v>
      </c>
    </row>
    <row r="42" spans="2:4" ht="14.5" customHeight="1">
      <c r="B42" s="23" t="s">
        <v>81</v>
      </c>
      <c r="C42" s="22">
        <v>245</v>
      </c>
      <c r="D42" s="21">
        <v>1.3004936567758E-2</v>
      </c>
    </row>
    <row r="43" spans="2:4" ht="14.5" customHeight="1">
      <c r="B43" s="23" t="s">
        <v>82</v>
      </c>
      <c r="C43" s="22">
        <v>11</v>
      </c>
      <c r="D43" s="21">
        <v>5.8389511120500003E-4</v>
      </c>
    </row>
    <row r="44" spans="2:4" ht="14.5" customHeight="1">
      <c r="B44" s="23" t="s">
        <v>83</v>
      </c>
      <c r="C44" s="22">
        <v>75</v>
      </c>
      <c r="D44" s="21">
        <v>3.9811030309459998E-3</v>
      </c>
    </row>
    <row r="45" spans="2:4" ht="14.5" customHeight="1">
      <c r="B45" s="23" t="s">
        <v>84</v>
      </c>
      <c r="C45" s="22">
        <v>850</v>
      </c>
      <c r="D45" s="21">
        <v>4.5119167684059998E-2</v>
      </c>
    </row>
    <row r="46" spans="2:4" ht="14.5" customHeight="1">
      <c r="B46" s="23" t="s">
        <v>85</v>
      </c>
      <c r="C46" s="22">
        <v>24</v>
      </c>
      <c r="D46" s="21">
        <v>1.273952969903E-3</v>
      </c>
    </row>
    <row r="47" spans="2:4" ht="14.5" customHeight="1">
      <c r="B47" s="23" t="s">
        <v>86</v>
      </c>
      <c r="C47" s="22">
        <v>8</v>
      </c>
      <c r="D47" s="21">
        <v>4.2465098996799999E-4</v>
      </c>
    </row>
    <row r="48" spans="2:4" ht="14.5" customHeight="1">
      <c r="B48" s="23" t="s">
        <v>87</v>
      </c>
      <c r="C48" s="22">
        <v>49</v>
      </c>
      <c r="D48" s="21">
        <v>2.6009873135519998E-3</v>
      </c>
    </row>
    <row r="49" spans="2:4" ht="14.5" customHeight="1">
      <c r="B49" s="23" t="s">
        <v>88</v>
      </c>
      <c r="C49" s="22">
        <v>4</v>
      </c>
      <c r="D49" s="21">
        <v>2.1232549498399999E-4</v>
      </c>
    </row>
    <row r="50" spans="2:4" ht="14.5" customHeight="1">
      <c r="B50" s="23" t="s">
        <v>89</v>
      </c>
      <c r="C50" s="22">
        <v>204</v>
      </c>
      <c r="D50" s="21">
        <v>1.0828600244173999E-2</v>
      </c>
    </row>
    <row r="51" spans="2:4" ht="14.5" customHeight="1">
      <c r="B51" s="23" t="s">
        <v>90</v>
      </c>
      <c r="C51" s="22">
        <v>5396</v>
      </c>
      <c r="D51" s="21">
        <v>0.28642709273316003</v>
      </c>
    </row>
    <row r="52" spans="2:4" ht="14.5" customHeight="1">
      <c r="B52" s="23" t="s">
        <v>91</v>
      </c>
      <c r="C52" s="22">
        <v>69</v>
      </c>
      <c r="D52" s="21">
        <v>3.6626147884710001E-3</v>
      </c>
    </row>
    <row r="53" spans="2:4" ht="14.5" customHeight="1">
      <c r="B53" s="23" t="s">
        <v>92</v>
      </c>
      <c r="C53" s="22">
        <v>45</v>
      </c>
      <c r="D53" s="21">
        <v>2.3886618185680001E-3</v>
      </c>
    </row>
    <row r="54" spans="2:4" ht="14.5" customHeight="1">
      <c r="B54" s="23" t="s">
        <v>93</v>
      </c>
      <c r="C54" s="22">
        <v>59</v>
      </c>
      <c r="D54" s="21">
        <v>3.1318010510110001E-3</v>
      </c>
    </row>
    <row r="55" spans="2:4" ht="14.5" customHeight="1">
      <c r="B55" s="23" t="s">
        <v>94</v>
      </c>
      <c r="C55" s="22">
        <v>1</v>
      </c>
      <c r="D55" s="21">
        <v>5.3081373745999998E-5</v>
      </c>
    </row>
    <row r="56" spans="2:4" ht="14.5" customHeight="1">
      <c r="B56" s="23" t="s">
        <v>95</v>
      </c>
      <c r="C56" s="22">
        <v>181</v>
      </c>
      <c r="D56" s="21">
        <v>9.6077286480170006E-3</v>
      </c>
    </row>
    <row r="57" spans="2:4" ht="14.5" customHeight="1">
      <c r="B57" s="23" t="s">
        <v>96</v>
      </c>
      <c r="C57" s="22">
        <v>38</v>
      </c>
      <c r="D57" s="21">
        <v>2.017092202346E-3</v>
      </c>
    </row>
    <row r="58" spans="2:4" ht="14.5" customHeight="1">
      <c r="B58" s="20" t="s">
        <v>28</v>
      </c>
      <c r="C58" s="19">
        <v>18839</v>
      </c>
      <c r="D58" s="18">
        <v>1</v>
      </c>
    </row>
    <row r="59" spans="2:4" ht="14.5" customHeight="1">
      <c r="B59" s="16"/>
    </row>
    <row r="60" spans="2:4" ht="14.5" customHeight="1">
      <c r="B60" s="15" t="s">
        <v>48</v>
      </c>
    </row>
    <row r="61" spans="2:4" ht="14.5" customHeight="1">
      <c r="B61" s="17" t="s">
        <v>17</v>
      </c>
    </row>
    <row r="62" spans="2:4" ht="14.5" customHeight="1">
      <c r="B62" s="16" t="s">
        <v>49</v>
      </c>
    </row>
    <row r="63" spans="2:4" ht="14.5" customHeight="1">
      <c r="B63" s="15" t="s">
        <v>16</v>
      </c>
    </row>
    <row r="64" spans="2:4" ht="14.5" customHeight="1">
      <c r="B64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9"/>
  <sheetViews>
    <sheetView showGridLines="0" view="pageBreakPreview" topLeftCell="A8" zoomScale="115" zoomScaleNormal="100" zoomScaleSheetLayoutView="115" workbookViewId="0">
      <selection activeCell="H29" sqref="H29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38</v>
      </c>
      <c r="C7" s="84"/>
      <c r="D7" s="84"/>
    </row>
    <row r="8" spans="2:4" s="24" customFormat="1" ht="15" customHeight="1">
      <c r="B8" s="84"/>
      <c r="C8" s="84"/>
      <c r="D8" s="84"/>
    </row>
    <row r="9" spans="2:4" s="24" customFormat="1" ht="33" customHeight="1">
      <c r="B9" s="84"/>
      <c r="C9" s="84"/>
      <c r="D9" s="84"/>
    </row>
    <row r="10" spans="2:4" s="24" customFormat="1" ht="4.5" customHeight="1">
      <c r="B10" s="28"/>
      <c r="C10" s="28"/>
      <c r="D10" s="28"/>
    </row>
    <row r="11" spans="2:4" s="24" customFormat="1" ht="33" customHeight="1">
      <c r="B11" s="27" t="s">
        <v>21</v>
      </c>
      <c r="C11" s="26" t="s">
        <v>19</v>
      </c>
      <c r="D11" s="25" t="s">
        <v>18</v>
      </c>
    </row>
    <row r="12" spans="2:4">
      <c r="B12" s="23" t="s">
        <v>97</v>
      </c>
      <c r="C12" s="22">
        <v>3360</v>
      </c>
      <c r="D12" s="21">
        <v>0.17835341578640099</v>
      </c>
    </row>
    <row r="13" spans="2:4">
      <c r="B13" s="23" t="s">
        <v>98</v>
      </c>
      <c r="C13" s="22">
        <v>2940</v>
      </c>
      <c r="D13" s="21">
        <v>0.15605923881310099</v>
      </c>
    </row>
    <row r="14" spans="2:4">
      <c r="B14" s="23" t="s">
        <v>99</v>
      </c>
      <c r="C14" s="22">
        <v>1665</v>
      </c>
      <c r="D14" s="21">
        <v>8.8380487287011006E-2</v>
      </c>
    </row>
    <row r="15" spans="2:4">
      <c r="B15" s="23" t="s">
        <v>100</v>
      </c>
      <c r="C15" s="22">
        <v>1179</v>
      </c>
      <c r="D15" s="21">
        <v>6.2582939646478E-2</v>
      </c>
    </row>
    <row r="16" spans="2:4">
      <c r="B16" s="23" t="s">
        <v>101</v>
      </c>
      <c r="C16" s="22">
        <v>956</v>
      </c>
      <c r="D16" s="21">
        <v>5.0745793301130999E-2</v>
      </c>
    </row>
    <row r="17" spans="2:4">
      <c r="B17" s="23" t="s">
        <v>102</v>
      </c>
      <c r="C17" s="22">
        <v>797</v>
      </c>
      <c r="D17" s="21">
        <v>4.2305854875523997E-2</v>
      </c>
    </row>
    <row r="18" spans="2:4">
      <c r="B18" s="23" t="s">
        <v>103</v>
      </c>
      <c r="C18" s="22">
        <v>769</v>
      </c>
      <c r="D18" s="21">
        <v>4.0819576410637999E-2</v>
      </c>
    </row>
    <row r="19" spans="2:4">
      <c r="B19" s="23" t="s">
        <v>104</v>
      </c>
      <c r="C19" s="22">
        <v>572</v>
      </c>
      <c r="D19" s="21">
        <v>3.0362545782685001E-2</v>
      </c>
    </row>
    <row r="20" spans="2:4">
      <c r="B20" s="23" t="s">
        <v>105</v>
      </c>
      <c r="C20" s="22">
        <v>560</v>
      </c>
      <c r="D20" s="21">
        <v>2.9725569297732998E-2</v>
      </c>
    </row>
    <row r="21" spans="2:4">
      <c r="B21" s="23" t="s">
        <v>106</v>
      </c>
      <c r="C21" s="22">
        <v>529</v>
      </c>
      <c r="D21" s="21">
        <v>2.8080046711608998E-2</v>
      </c>
    </row>
    <row r="22" spans="2:4">
      <c r="B22" s="23" t="s">
        <v>107</v>
      </c>
      <c r="C22" s="22">
        <v>456</v>
      </c>
      <c r="D22" s="21">
        <v>2.4205106428153999E-2</v>
      </c>
    </row>
    <row r="23" spans="2:4">
      <c r="B23" s="23" t="s">
        <v>108</v>
      </c>
      <c r="C23" s="22">
        <v>421</v>
      </c>
      <c r="D23" s="21">
        <v>2.2347258347046001E-2</v>
      </c>
    </row>
    <row r="24" spans="2:4">
      <c r="B24" s="23" t="s">
        <v>109</v>
      </c>
      <c r="C24" s="22">
        <v>395</v>
      </c>
      <c r="D24" s="21">
        <v>2.0967142629650999E-2</v>
      </c>
    </row>
    <row r="25" spans="2:4">
      <c r="B25" s="23" t="s">
        <v>110</v>
      </c>
      <c r="C25" s="22">
        <v>358</v>
      </c>
      <c r="D25" s="21">
        <v>1.9003131801050999E-2</v>
      </c>
    </row>
    <row r="26" spans="2:4">
      <c r="B26" s="23" t="s">
        <v>111</v>
      </c>
      <c r="C26" s="22">
        <v>337</v>
      </c>
      <c r="D26" s="21">
        <v>1.7888422952386001E-2</v>
      </c>
    </row>
    <row r="27" spans="2:4">
      <c r="B27" s="23" t="s">
        <v>112</v>
      </c>
      <c r="C27" s="22">
        <v>313</v>
      </c>
      <c r="D27" s="21">
        <v>1.6614469982483001E-2</v>
      </c>
    </row>
    <row r="28" spans="2:4">
      <c r="B28" s="23" t="s">
        <v>113</v>
      </c>
      <c r="C28" s="22">
        <v>305</v>
      </c>
      <c r="D28" s="21">
        <v>1.6189818992516002E-2</v>
      </c>
    </row>
    <row r="29" spans="2:4">
      <c r="B29" s="23" t="s">
        <v>114</v>
      </c>
      <c r="C29" s="22">
        <v>230</v>
      </c>
      <c r="D29" s="21">
        <v>1.2208715961569E-2</v>
      </c>
    </row>
    <row r="30" spans="2:4">
      <c r="B30" s="23" t="s">
        <v>115</v>
      </c>
      <c r="C30" s="22">
        <v>218</v>
      </c>
      <c r="D30" s="21">
        <v>1.1571739476618E-2</v>
      </c>
    </row>
    <row r="31" spans="2:4">
      <c r="B31" s="23" t="s">
        <v>116</v>
      </c>
      <c r="C31" s="22">
        <v>216</v>
      </c>
      <c r="D31" s="21">
        <v>1.1465576729126001E-2</v>
      </c>
    </row>
    <row r="32" spans="2:4">
      <c r="B32" s="23" t="s">
        <v>117</v>
      </c>
      <c r="C32" s="22">
        <v>214</v>
      </c>
      <c r="D32" s="21">
        <v>1.1359413981634E-2</v>
      </c>
    </row>
    <row r="33" spans="2:4">
      <c r="B33" s="23" t="s">
        <v>118</v>
      </c>
      <c r="C33" s="22">
        <v>210</v>
      </c>
      <c r="D33" s="21">
        <v>1.1147088486649999E-2</v>
      </c>
    </row>
    <row r="34" spans="2:4">
      <c r="B34" s="23" t="s">
        <v>119</v>
      </c>
      <c r="C34" s="22">
        <v>197</v>
      </c>
      <c r="D34" s="21">
        <v>1.0457030627952999E-2</v>
      </c>
    </row>
    <row r="35" spans="2:4">
      <c r="B35" s="23" t="s">
        <v>120</v>
      </c>
      <c r="C35" s="22">
        <v>167</v>
      </c>
      <c r="D35" s="21">
        <v>8.8645894155739997E-3</v>
      </c>
    </row>
    <row r="36" spans="2:4">
      <c r="B36" s="23" t="s">
        <v>121</v>
      </c>
      <c r="C36" s="22">
        <v>149</v>
      </c>
      <c r="D36" s="21">
        <v>7.9091246881469995E-3</v>
      </c>
    </row>
    <row r="37" spans="2:4">
      <c r="B37" s="23" t="s">
        <v>122</v>
      </c>
      <c r="C37" s="22">
        <v>126</v>
      </c>
      <c r="D37" s="21">
        <v>6.6882530919899997E-3</v>
      </c>
    </row>
    <row r="38" spans="2:4">
      <c r="B38" s="23" t="s">
        <v>123</v>
      </c>
      <c r="C38" s="22">
        <v>121</v>
      </c>
      <c r="D38" s="21">
        <v>6.4228462232600002E-3</v>
      </c>
    </row>
    <row r="39" spans="2:4">
      <c r="B39" s="23" t="s">
        <v>124</v>
      </c>
      <c r="C39" s="22">
        <v>110</v>
      </c>
      <c r="D39" s="21">
        <v>5.838951112055E-3</v>
      </c>
    </row>
    <row r="40" spans="2:4">
      <c r="B40" s="23" t="s">
        <v>125</v>
      </c>
      <c r="C40" s="22">
        <v>105</v>
      </c>
      <c r="D40" s="21">
        <v>5.5735442433249996E-3</v>
      </c>
    </row>
    <row r="41" spans="2:4">
      <c r="B41" s="23" t="s">
        <v>126</v>
      </c>
      <c r="C41" s="22">
        <v>90</v>
      </c>
      <c r="D41" s="21">
        <v>4.7773236371360002E-3</v>
      </c>
    </row>
    <row r="42" spans="2:4">
      <c r="B42" s="23" t="s">
        <v>127</v>
      </c>
      <c r="C42" s="22">
        <v>88</v>
      </c>
      <c r="D42" s="21">
        <v>4.6711608896439997E-3</v>
      </c>
    </row>
    <row r="43" spans="2:4">
      <c r="B43" s="23" t="s">
        <v>128</v>
      </c>
      <c r="C43" s="22">
        <v>80</v>
      </c>
      <c r="D43" s="21">
        <v>4.2465098996760002E-3</v>
      </c>
    </row>
    <row r="44" spans="2:4">
      <c r="B44" s="23" t="s">
        <v>129</v>
      </c>
      <c r="C44" s="22">
        <v>78</v>
      </c>
      <c r="D44" s="21">
        <v>4.1403471521839997E-3</v>
      </c>
    </row>
    <row r="45" spans="2:4">
      <c r="B45" s="23" t="s">
        <v>130</v>
      </c>
      <c r="C45" s="22">
        <v>76</v>
      </c>
      <c r="D45" s="21">
        <v>4.0341844046920001E-3</v>
      </c>
    </row>
    <row r="46" spans="2:4">
      <c r="B46" s="23" t="s">
        <v>131</v>
      </c>
      <c r="C46" s="22">
        <v>72</v>
      </c>
      <c r="D46" s="21">
        <v>3.821858909709E-3</v>
      </c>
    </row>
    <row r="47" spans="2:4">
      <c r="B47" s="23" t="s">
        <v>132</v>
      </c>
      <c r="C47" s="22">
        <v>59</v>
      </c>
      <c r="D47" s="21">
        <v>3.1318010510110001E-3</v>
      </c>
    </row>
    <row r="48" spans="2:4">
      <c r="B48" s="23" t="s">
        <v>93</v>
      </c>
      <c r="C48" s="22">
        <v>56</v>
      </c>
      <c r="D48" s="21">
        <v>2.9725569297729998E-3</v>
      </c>
    </row>
    <row r="49" spans="2:4">
      <c r="B49" s="23" t="s">
        <v>133</v>
      </c>
      <c r="C49" s="22">
        <v>46</v>
      </c>
      <c r="D49" s="21">
        <v>2.4417431923139999E-3</v>
      </c>
    </row>
    <row r="50" spans="2:4">
      <c r="B50" s="23" t="s">
        <v>134</v>
      </c>
      <c r="C50" s="22">
        <v>39</v>
      </c>
      <c r="D50" s="21">
        <v>2.0701735760919999E-3</v>
      </c>
    </row>
    <row r="51" spans="2:4">
      <c r="B51" s="23" t="s">
        <v>135</v>
      </c>
      <c r="C51" s="22">
        <v>37</v>
      </c>
      <c r="D51" s="21">
        <v>1.9640108285999998E-3</v>
      </c>
    </row>
    <row r="52" spans="2:4">
      <c r="B52" s="23" t="s">
        <v>136</v>
      </c>
      <c r="C52" s="22">
        <v>33</v>
      </c>
      <c r="D52" s="21">
        <v>1.7516853336160001E-3</v>
      </c>
    </row>
    <row r="53" spans="2:4">
      <c r="B53" s="23" t="s">
        <v>137</v>
      </c>
      <c r="C53" s="22">
        <v>23</v>
      </c>
      <c r="D53" s="21">
        <v>1.220871596157E-3</v>
      </c>
    </row>
    <row r="54" spans="2:4">
      <c r="B54" s="23" t="s">
        <v>138</v>
      </c>
      <c r="C54" s="22">
        <v>21</v>
      </c>
      <c r="D54" s="21">
        <v>1.1147088486650001E-3</v>
      </c>
    </row>
    <row r="55" spans="2:4">
      <c r="B55" s="23" t="s">
        <v>139</v>
      </c>
      <c r="C55" s="22">
        <v>20</v>
      </c>
      <c r="D55" s="21">
        <v>1.0616274749190001E-3</v>
      </c>
    </row>
    <row r="56" spans="2:4">
      <c r="B56" s="23" t="s">
        <v>140</v>
      </c>
      <c r="C56" s="22">
        <v>19</v>
      </c>
      <c r="D56" s="21">
        <v>1.008546101173E-3</v>
      </c>
    </row>
    <row r="57" spans="2:4">
      <c r="B57" s="23" t="s">
        <v>141</v>
      </c>
      <c r="C57" s="22">
        <v>10</v>
      </c>
      <c r="D57" s="21">
        <v>5.3081373745999996E-4</v>
      </c>
    </row>
    <row r="58" spans="2:4">
      <c r="B58" s="23" t="s">
        <v>142</v>
      </c>
      <c r="C58" s="22">
        <v>6</v>
      </c>
      <c r="D58" s="21">
        <v>3.1848824247600002E-4</v>
      </c>
    </row>
    <row r="59" spans="2:4" ht="15" customHeight="1">
      <c r="B59" s="23" t="s">
        <v>143</v>
      </c>
      <c r="C59" s="22">
        <v>5</v>
      </c>
      <c r="D59" s="21">
        <v>2.6540686872999998E-4</v>
      </c>
    </row>
    <row r="60" spans="2:4" ht="15" customHeight="1">
      <c r="B60" s="23" t="s">
        <v>144</v>
      </c>
      <c r="C60" s="22">
        <v>4</v>
      </c>
      <c r="D60" s="21">
        <v>2.1232549498399999E-4</v>
      </c>
    </row>
    <row r="61" spans="2:4" ht="15" customHeight="1">
      <c r="B61" s="23" t="s">
        <v>145</v>
      </c>
      <c r="C61" s="22">
        <v>1</v>
      </c>
      <c r="D61" s="21">
        <v>5.3081373745999998E-5</v>
      </c>
    </row>
    <row r="62" spans="2:4" ht="15" customHeight="1">
      <c r="B62" s="23" t="s">
        <v>146</v>
      </c>
      <c r="C62" s="22">
        <v>1</v>
      </c>
      <c r="D62" s="21">
        <v>5.3081373745999998E-5</v>
      </c>
    </row>
    <row r="63" spans="2:4" ht="15" customHeight="1">
      <c r="B63" s="20" t="s">
        <v>28</v>
      </c>
      <c r="C63" s="19">
        <v>18839</v>
      </c>
      <c r="D63" s="18">
        <v>1</v>
      </c>
    </row>
    <row r="64" spans="2:4">
      <c r="B64" s="15"/>
    </row>
    <row r="65" spans="2:3">
      <c r="B65" s="15" t="s">
        <v>48</v>
      </c>
    </row>
    <row r="66" spans="2:3">
      <c r="B66" s="17" t="s">
        <v>17</v>
      </c>
    </row>
    <row r="67" spans="2:3">
      <c r="B67" s="16" t="s">
        <v>49</v>
      </c>
      <c r="C67" s="13"/>
    </row>
    <row r="68" spans="2:3">
      <c r="B68" s="15" t="s">
        <v>16</v>
      </c>
      <c r="C68" s="13"/>
    </row>
    <row r="69" spans="2:3">
      <c r="B69" s="15" t="s">
        <v>50</v>
      </c>
      <c r="C69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29"/>
  <sheetViews>
    <sheetView showGridLines="0" view="pageBreakPreview" topLeftCell="A18" zoomScale="115" zoomScaleNormal="100" zoomScaleSheetLayoutView="115" workbookViewId="0">
      <selection activeCell="C12" sqref="C12:C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44</v>
      </c>
      <c r="C7" s="84"/>
      <c r="D7" s="84"/>
    </row>
    <row r="8" spans="2:4" s="24" customFormat="1" ht="15" customHeight="1">
      <c r="B8" s="84"/>
      <c r="C8" s="84"/>
      <c r="D8" s="84"/>
    </row>
    <row r="9" spans="2:4" s="24" customFormat="1" ht="33" customHeight="1">
      <c r="B9" s="84"/>
      <c r="C9" s="84"/>
      <c r="D9" s="84"/>
    </row>
    <row r="10" spans="2:4" s="24" customFormat="1" ht="4.5" customHeight="1">
      <c r="B10" s="28"/>
      <c r="C10" s="28"/>
      <c r="D10" s="28"/>
    </row>
    <row r="11" spans="2:4" s="24" customFormat="1" ht="33" customHeight="1">
      <c r="B11" s="27" t="s">
        <v>21</v>
      </c>
      <c r="C11" s="26" t="s">
        <v>19</v>
      </c>
      <c r="D11" s="25" t="s">
        <v>18</v>
      </c>
    </row>
    <row r="12" spans="2:4">
      <c r="B12" s="23" t="s">
        <v>97</v>
      </c>
      <c r="C12" s="22">
        <v>3360</v>
      </c>
      <c r="D12" s="21">
        <f t="shared" ref="D12:D22" si="0">C12/$C$22</f>
        <v>0.25211975688452015</v>
      </c>
    </row>
    <row r="13" spans="2:4">
      <c r="B13" s="23" t="s">
        <v>98</v>
      </c>
      <c r="C13" s="22">
        <v>2940</v>
      </c>
      <c r="D13" s="21">
        <f t="shared" si="0"/>
        <v>0.22060478727395513</v>
      </c>
    </row>
    <row r="14" spans="2:4">
      <c r="B14" s="23" t="s">
        <v>99</v>
      </c>
      <c r="C14" s="22">
        <v>1665</v>
      </c>
      <c r="D14" s="21">
        <f t="shared" si="0"/>
        <v>0.12493434381331132</v>
      </c>
    </row>
    <row r="15" spans="2:4">
      <c r="B15" s="23" t="s">
        <v>100</v>
      </c>
      <c r="C15" s="22">
        <v>1179</v>
      </c>
      <c r="D15" s="21">
        <f t="shared" si="0"/>
        <v>8.8467021835371806E-2</v>
      </c>
    </row>
    <row r="16" spans="2:4">
      <c r="B16" s="23" t="s">
        <v>101</v>
      </c>
      <c r="C16" s="22">
        <v>956</v>
      </c>
      <c r="D16" s="21">
        <f t="shared" si="0"/>
        <v>7.1734073685000371E-2</v>
      </c>
    </row>
    <row r="17" spans="2:4">
      <c r="B17" s="23" t="s">
        <v>102</v>
      </c>
      <c r="C17" s="22">
        <v>797</v>
      </c>
      <c r="D17" s="21">
        <f t="shared" si="0"/>
        <v>5.9803406618143616E-2</v>
      </c>
    </row>
    <row r="18" spans="2:4">
      <c r="B18" s="23" t="s">
        <v>103</v>
      </c>
      <c r="C18" s="22">
        <v>769</v>
      </c>
      <c r="D18" s="21">
        <f t="shared" si="0"/>
        <v>5.7702408644105953E-2</v>
      </c>
    </row>
    <row r="19" spans="2:4">
      <c r="B19" s="23" t="s">
        <v>104</v>
      </c>
      <c r="C19" s="22">
        <v>572</v>
      </c>
      <c r="D19" s="21">
        <f t="shared" si="0"/>
        <v>4.2920387183912355E-2</v>
      </c>
    </row>
    <row r="20" spans="2:4">
      <c r="B20" s="23" t="s">
        <v>105</v>
      </c>
      <c r="C20" s="22">
        <v>560</v>
      </c>
      <c r="D20" s="21">
        <f t="shared" si="0"/>
        <v>4.2019959480753356E-2</v>
      </c>
    </row>
    <row r="21" spans="2:4">
      <c r="B21" s="23" t="s">
        <v>106</v>
      </c>
      <c r="C21" s="22">
        <v>529</v>
      </c>
      <c r="D21" s="21">
        <f t="shared" si="0"/>
        <v>3.969385458092594E-2</v>
      </c>
    </row>
    <row r="22" spans="2:4">
      <c r="B22" s="20" t="s">
        <v>45</v>
      </c>
      <c r="C22" s="19">
        <f>SUM(C12:C21)</f>
        <v>13327</v>
      </c>
      <c r="D22" s="18">
        <f t="shared" si="0"/>
        <v>1</v>
      </c>
    </row>
    <row r="23" spans="2:4">
      <c r="B23" s="20" t="s">
        <v>46</v>
      </c>
      <c r="C23" s="19">
        <v>18839</v>
      </c>
    </row>
    <row r="24" spans="2:4">
      <c r="B24" s="15"/>
      <c r="C24" s="13"/>
    </row>
    <row r="25" spans="2:4">
      <c r="B25" s="15" t="s">
        <v>48</v>
      </c>
      <c r="C25" s="13"/>
    </row>
    <row r="26" spans="2:4">
      <c r="B26" s="17" t="s">
        <v>17</v>
      </c>
      <c r="C26" s="13"/>
    </row>
    <row r="27" spans="2:4">
      <c r="B27" s="16" t="s">
        <v>49</v>
      </c>
      <c r="C27" s="13"/>
    </row>
    <row r="28" spans="2:4">
      <c r="B28" s="15" t="s">
        <v>16</v>
      </c>
      <c r="C28" s="13"/>
    </row>
    <row r="29" spans="2:4">
      <c r="B29" s="15" t="s">
        <v>50</v>
      </c>
      <c r="C29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tilla_PorMunicipio2">
    <tabColor rgb="FFFFFF00"/>
  </sheetPr>
  <dimension ref="B1:D60"/>
  <sheetViews>
    <sheetView showGridLines="0" view="pageBreakPreview" topLeftCell="A45" zoomScale="115" zoomScaleNormal="100" zoomScaleSheetLayoutView="115" workbookViewId="0">
      <selection activeCell="E10" sqref="E10"/>
    </sheetView>
  </sheetViews>
  <sheetFormatPr baseColWidth="10" defaultColWidth="11.453125" defaultRowHeight="14.5"/>
  <cols>
    <col min="1" max="1" width="9.26953125" style="13" customWidth="1"/>
    <col min="2" max="2" width="3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26953125" style="13" customWidth="1"/>
    <col min="7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43</v>
      </c>
      <c r="C7" s="84"/>
      <c r="D7" s="84"/>
    </row>
    <row r="8" spans="2:4" s="24" customFormat="1" ht="15" customHeight="1">
      <c r="B8" s="84"/>
      <c r="C8" s="84"/>
      <c r="D8" s="84"/>
    </row>
    <row r="9" spans="2:4" s="24" customFormat="1" ht="33" customHeight="1">
      <c r="B9" s="84"/>
      <c r="C9" s="84"/>
      <c r="D9" s="84"/>
    </row>
    <row r="10" spans="2:4" s="24" customFormat="1" ht="4.5" customHeight="1">
      <c r="B10" s="28"/>
      <c r="C10" s="28"/>
      <c r="D10" s="28"/>
    </row>
    <row r="11" spans="2:4" s="24" customFormat="1" ht="33" customHeight="1">
      <c r="B11" s="27" t="s">
        <v>22</v>
      </c>
      <c r="C11" s="26" t="s">
        <v>19</v>
      </c>
      <c r="D11" s="25" t="s">
        <v>18</v>
      </c>
    </row>
    <row r="12" spans="2:4" ht="14.5" customHeight="1">
      <c r="B12" s="23" t="s">
        <v>193</v>
      </c>
      <c r="C12" s="22">
        <v>4321</v>
      </c>
      <c r="D12" s="21">
        <v>0.22936461595626101</v>
      </c>
    </row>
    <row r="13" spans="2:4" ht="14.5" customHeight="1">
      <c r="B13" s="23" t="s">
        <v>196</v>
      </c>
      <c r="C13" s="22">
        <v>1402</v>
      </c>
      <c r="D13" s="21">
        <v>7.4420085991824994E-2</v>
      </c>
    </row>
    <row r="14" spans="2:4" ht="14.5" customHeight="1">
      <c r="B14" s="23" t="s">
        <v>204</v>
      </c>
      <c r="C14" s="22">
        <v>1199</v>
      </c>
      <c r="D14" s="21">
        <v>6.3644567121397003E-2</v>
      </c>
    </row>
    <row r="15" spans="2:4" ht="14.5" customHeight="1">
      <c r="B15" s="23" t="s">
        <v>203</v>
      </c>
      <c r="C15" s="22">
        <v>1089</v>
      </c>
      <c r="D15" s="21">
        <v>5.7805616009341997E-2</v>
      </c>
    </row>
    <row r="16" spans="2:4" ht="14.5" customHeight="1">
      <c r="B16" s="23" t="s">
        <v>195</v>
      </c>
      <c r="C16" s="22">
        <v>1038</v>
      </c>
      <c r="D16" s="21">
        <v>5.5098465948299001E-2</v>
      </c>
    </row>
    <row r="17" spans="2:4" ht="14.5" customHeight="1">
      <c r="B17" s="23" t="s">
        <v>197</v>
      </c>
      <c r="C17" s="22">
        <v>728</v>
      </c>
      <c r="D17" s="21">
        <v>3.8643240087052999E-2</v>
      </c>
    </row>
    <row r="18" spans="2:4" ht="14.5" customHeight="1">
      <c r="B18" s="23" t="s">
        <v>231</v>
      </c>
      <c r="C18" s="22">
        <v>661</v>
      </c>
      <c r="D18" s="21">
        <v>3.5086788046074999E-2</v>
      </c>
    </row>
    <row r="19" spans="2:4" ht="14.5" customHeight="1">
      <c r="B19" s="23" t="s">
        <v>192</v>
      </c>
      <c r="C19" s="22">
        <v>598</v>
      </c>
      <c r="D19" s="21">
        <v>3.1742661500079997E-2</v>
      </c>
    </row>
    <row r="20" spans="2:4" ht="14.5" customHeight="1">
      <c r="B20" s="23" t="s">
        <v>218</v>
      </c>
      <c r="C20" s="22">
        <v>484</v>
      </c>
      <c r="D20" s="21">
        <v>2.5691384893041E-2</v>
      </c>
    </row>
    <row r="21" spans="2:4" ht="14.5" customHeight="1">
      <c r="B21" s="23" t="s">
        <v>207</v>
      </c>
      <c r="C21" s="22">
        <v>453</v>
      </c>
      <c r="D21" s="21">
        <v>2.4045862306917E-2</v>
      </c>
    </row>
    <row r="22" spans="2:4" ht="14.5" customHeight="1">
      <c r="B22" s="23" t="s">
        <v>223</v>
      </c>
      <c r="C22" s="22">
        <v>436</v>
      </c>
      <c r="D22" s="21">
        <v>2.3143478953235E-2</v>
      </c>
    </row>
    <row r="23" spans="2:4" ht="14.5" customHeight="1">
      <c r="B23" s="23" t="s">
        <v>201</v>
      </c>
      <c r="C23" s="22">
        <v>415</v>
      </c>
      <c r="D23" s="21">
        <v>2.2028770104570002E-2</v>
      </c>
    </row>
    <row r="24" spans="2:4" ht="14.5" customHeight="1">
      <c r="B24" s="23" t="s">
        <v>228</v>
      </c>
      <c r="C24" s="22">
        <v>389</v>
      </c>
      <c r="D24" s="21">
        <v>2.0648654387175999E-2</v>
      </c>
    </row>
    <row r="25" spans="2:4" ht="14.5" customHeight="1">
      <c r="B25" s="23" t="s">
        <v>200</v>
      </c>
      <c r="C25" s="22">
        <v>378</v>
      </c>
      <c r="D25" s="21">
        <v>2.0064759275969998E-2</v>
      </c>
    </row>
    <row r="26" spans="2:4" ht="14.5" customHeight="1">
      <c r="B26" s="23" t="s">
        <v>198</v>
      </c>
      <c r="C26" s="22">
        <v>370</v>
      </c>
      <c r="D26" s="21">
        <v>1.9640108286002E-2</v>
      </c>
    </row>
    <row r="27" spans="2:4" ht="14.5" customHeight="1">
      <c r="B27" s="23" t="s">
        <v>227</v>
      </c>
      <c r="C27" s="22">
        <v>349</v>
      </c>
      <c r="D27" s="21">
        <v>1.8525399437337001E-2</v>
      </c>
    </row>
    <row r="28" spans="2:4" ht="14.5" customHeight="1">
      <c r="B28" s="23" t="s">
        <v>194</v>
      </c>
      <c r="C28" s="22">
        <v>319</v>
      </c>
      <c r="D28" s="21">
        <v>1.6932958224959001E-2</v>
      </c>
    </row>
    <row r="29" spans="2:4" ht="14.5" customHeight="1">
      <c r="B29" s="23" t="s">
        <v>214</v>
      </c>
      <c r="C29" s="22">
        <v>306</v>
      </c>
      <c r="D29" s="21">
        <v>1.6242900366260998E-2</v>
      </c>
    </row>
    <row r="30" spans="2:4" ht="14.5" customHeight="1">
      <c r="B30" s="23" t="s">
        <v>211</v>
      </c>
      <c r="C30" s="22">
        <v>297</v>
      </c>
      <c r="D30" s="21">
        <v>1.5765168002548E-2</v>
      </c>
    </row>
    <row r="31" spans="2:4" ht="14.5" customHeight="1">
      <c r="B31" s="23" t="s">
        <v>213</v>
      </c>
      <c r="C31" s="22">
        <v>288</v>
      </c>
      <c r="D31" s="21">
        <v>1.5287435638834E-2</v>
      </c>
    </row>
    <row r="32" spans="2:4" ht="14.5" customHeight="1">
      <c r="B32" s="23" t="s">
        <v>208</v>
      </c>
      <c r="C32" s="22">
        <v>271</v>
      </c>
      <c r="D32" s="21">
        <v>1.4385052285153001E-2</v>
      </c>
    </row>
    <row r="33" spans="2:4" ht="14.5" customHeight="1">
      <c r="B33" s="23" t="s">
        <v>221</v>
      </c>
      <c r="C33" s="22">
        <v>262</v>
      </c>
      <c r="D33" s="21">
        <v>1.390731992144E-2</v>
      </c>
    </row>
    <row r="34" spans="2:4" ht="14.5" customHeight="1">
      <c r="B34" s="23" t="s">
        <v>229</v>
      </c>
      <c r="C34" s="22">
        <v>247</v>
      </c>
      <c r="D34" s="21">
        <v>1.3111099315250001E-2</v>
      </c>
    </row>
    <row r="35" spans="2:4" ht="14.5" customHeight="1">
      <c r="B35" s="23" t="s">
        <v>206</v>
      </c>
      <c r="C35" s="22">
        <v>232</v>
      </c>
      <c r="D35" s="21">
        <v>1.2314878709061E-2</v>
      </c>
    </row>
    <row r="36" spans="2:4" ht="14.5" customHeight="1">
      <c r="B36" s="23" t="s">
        <v>222</v>
      </c>
      <c r="C36" s="22">
        <v>222</v>
      </c>
      <c r="D36" s="21">
        <v>1.1784064971601E-2</v>
      </c>
    </row>
    <row r="37" spans="2:4" ht="14.5" customHeight="1">
      <c r="B37" s="23" t="s">
        <v>210</v>
      </c>
      <c r="C37" s="22">
        <v>214</v>
      </c>
      <c r="D37" s="21">
        <v>1.1359413981634E-2</v>
      </c>
    </row>
    <row r="38" spans="2:4" ht="14.5" customHeight="1">
      <c r="B38" s="23" t="s">
        <v>230</v>
      </c>
      <c r="C38" s="22">
        <v>208</v>
      </c>
      <c r="D38" s="21">
        <v>1.1040925739158E-2</v>
      </c>
    </row>
    <row r="39" spans="2:4" ht="14.5" customHeight="1">
      <c r="B39" s="23" t="s">
        <v>202</v>
      </c>
      <c r="C39" s="22">
        <v>201</v>
      </c>
      <c r="D39" s="21">
        <v>1.0669356122936E-2</v>
      </c>
    </row>
    <row r="40" spans="2:4" ht="14.5" customHeight="1">
      <c r="B40" s="23" t="s">
        <v>215</v>
      </c>
      <c r="C40" s="22">
        <v>191</v>
      </c>
      <c r="D40" s="21">
        <v>1.0138542385477E-2</v>
      </c>
    </row>
    <row r="41" spans="2:4" ht="14.5" customHeight="1">
      <c r="B41" s="23" t="s">
        <v>217</v>
      </c>
      <c r="C41" s="22">
        <v>186</v>
      </c>
      <c r="D41" s="21">
        <v>9.8731355167469993E-3</v>
      </c>
    </row>
    <row r="42" spans="2:4" ht="14.5" customHeight="1">
      <c r="B42" s="23" t="s">
        <v>226</v>
      </c>
      <c r="C42" s="22">
        <v>155</v>
      </c>
      <c r="D42" s="21">
        <v>8.2276129306229993E-3</v>
      </c>
    </row>
    <row r="43" spans="2:4" ht="14.5" customHeight="1">
      <c r="B43" s="23" t="s">
        <v>219</v>
      </c>
      <c r="C43" s="22">
        <v>154</v>
      </c>
      <c r="D43" s="21">
        <v>8.1745315568769999E-3</v>
      </c>
    </row>
    <row r="44" spans="2:4" ht="14.5" customHeight="1">
      <c r="B44" s="23" t="s">
        <v>216</v>
      </c>
      <c r="C44" s="22">
        <v>152</v>
      </c>
      <c r="D44" s="21">
        <v>8.0683688093849994E-3</v>
      </c>
    </row>
    <row r="45" spans="2:4" ht="14.5" customHeight="1">
      <c r="B45" s="23" t="s">
        <v>220</v>
      </c>
      <c r="C45" s="22">
        <v>142</v>
      </c>
      <c r="D45" s="21">
        <v>7.5375550719250003E-3</v>
      </c>
    </row>
    <row r="46" spans="2:4" ht="14.5" customHeight="1">
      <c r="B46" s="23" t="s">
        <v>199</v>
      </c>
      <c r="C46" s="22">
        <v>140</v>
      </c>
      <c r="D46" s="21">
        <v>7.4313923244329998E-3</v>
      </c>
    </row>
    <row r="47" spans="2:4" ht="14.5" customHeight="1">
      <c r="B47" s="23" t="s">
        <v>205</v>
      </c>
      <c r="C47" s="22">
        <v>107</v>
      </c>
      <c r="D47" s="21">
        <v>5.6797069908170001E-3</v>
      </c>
    </row>
    <row r="48" spans="2:4" ht="14.5" customHeight="1">
      <c r="B48" s="23" t="s">
        <v>209</v>
      </c>
      <c r="C48" s="22">
        <v>102</v>
      </c>
      <c r="D48" s="21">
        <v>5.4143001220869997E-3</v>
      </c>
    </row>
    <row r="49" spans="2:4" ht="14.5" customHeight="1">
      <c r="B49" s="23" t="s">
        <v>224</v>
      </c>
      <c r="C49" s="22">
        <v>63</v>
      </c>
      <c r="D49" s="21">
        <v>3.3441265459949999E-3</v>
      </c>
    </row>
    <row r="50" spans="2:4" ht="14.5" customHeight="1">
      <c r="B50" s="23" t="s">
        <v>225</v>
      </c>
      <c r="C50" s="22">
        <v>45</v>
      </c>
      <c r="D50" s="21">
        <v>2.3886618185680001E-3</v>
      </c>
    </row>
    <row r="51" spans="2:4" ht="42">
      <c r="B51" s="23" t="s">
        <v>212</v>
      </c>
      <c r="C51" s="22">
        <v>23</v>
      </c>
      <c r="D51" s="21">
        <v>1.220871596157E-3</v>
      </c>
    </row>
    <row r="52" spans="2:4">
      <c r="B52" s="23" t="s">
        <v>232</v>
      </c>
      <c r="C52" s="22">
        <v>1</v>
      </c>
      <c r="D52" s="21">
        <v>5.3081373745999998E-5</v>
      </c>
    </row>
    <row r="53" spans="2:4">
      <c r="B53" s="23" t="s">
        <v>233</v>
      </c>
      <c r="C53" s="22">
        <v>1</v>
      </c>
      <c r="D53" s="21">
        <v>5.3081373745999998E-5</v>
      </c>
    </row>
    <row r="54" spans="2:4">
      <c r="B54" s="20" t="s">
        <v>28</v>
      </c>
      <c r="C54" s="19">
        <v>18839</v>
      </c>
      <c r="D54" s="18">
        <v>1</v>
      </c>
    </row>
    <row r="55" spans="2:4">
      <c r="B55" s="16"/>
    </row>
    <row r="56" spans="2:4">
      <c r="B56" s="15" t="s">
        <v>48</v>
      </c>
    </row>
    <row r="57" spans="2:4">
      <c r="B57" s="17" t="s">
        <v>17</v>
      </c>
    </row>
    <row r="58" spans="2:4">
      <c r="B58" s="16" t="s">
        <v>49</v>
      </c>
    </row>
    <row r="59" spans="2:4">
      <c r="B59" s="15" t="s">
        <v>16</v>
      </c>
    </row>
    <row r="60" spans="2:4">
      <c r="B60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974"/>
  <sheetViews>
    <sheetView showGridLines="0" view="pageBreakPreview" zoomScale="85" zoomScaleNormal="100" zoomScaleSheetLayoutView="85" workbookViewId="0">
      <selection activeCell="F9" sqref="F9"/>
    </sheetView>
  </sheetViews>
  <sheetFormatPr baseColWidth="10" defaultColWidth="35" defaultRowHeight="15" customHeight="1"/>
  <cols>
    <col min="1" max="1" width="1" style="31" customWidth="1"/>
    <col min="2" max="2" width="22.81640625" style="32" customWidth="1"/>
    <col min="3" max="3" width="31.453125" style="32" customWidth="1"/>
    <col min="4" max="4" width="14.26953125" style="32" customWidth="1"/>
    <col min="5" max="5" width="16.81640625" style="32" customWidth="1"/>
    <col min="6" max="16384" width="35" style="31"/>
  </cols>
  <sheetData>
    <row r="1" spans="1:5" s="40" customFormat="1" ht="12" customHeight="1">
      <c r="B1" s="42"/>
      <c r="C1" s="36"/>
      <c r="D1" s="36"/>
      <c r="E1" s="36"/>
    </row>
    <row r="2" spans="1:5" s="40" customFormat="1" ht="15" customHeight="1">
      <c r="C2" s="44"/>
    </row>
    <row r="3" spans="1:5" s="40" customFormat="1" ht="15" customHeight="1">
      <c r="C3" s="44"/>
    </row>
    <row r="4" spans="1:5" s="40" customFormat="1" ht="30" customHeight="1">
      <c r="C4" s="44"/>
      <c r="D4" s="43"/>
    </row>
    <row r="5" spans="1:5" s="40" customFormat="1" ht="15" customHeight="1">
      <c r="C5" s="44"/>
      <c r="D5" s="43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88"/>
      <c r="C7" s="88"/>
      <c r="D7" s="88"/>
      <c r="E7" s="88"/>
    </row>
    <row r="8" spans="1:5" s="40" customFormat="1" ht="33" customHeight="1">
      <c r="A8" s="41"/>
      <c r="B8" s="88"/>
      <c r="C8" s="88"/>
      <c r="D8" s="88"/>
      <c r="E8" s="88"/>
    </row>
    <row r="9" spans="1:5" s="24" customFormat="1" ht="40.5" customHeight="1">
      <c r="B9" s="37" t="s">
        <v>24</v>
      </c>
      <c r="C9" s="39" t="s">
        <v>23</v>
      </c>
      <c r="D9" s="38" t="s">
        <v>19</v>
      </c>
      <c r="E9" s="37" t="s">
        <v>18</v>
      </c>
    </row>
    <row r="10" spans="1:5" s="64" customFormat="1" ht="14.5" customHeight="1">
      <c r="B10" s="85" t="s">
        <v>51</v>
      </c>
      <c r="C10" s="58" t="s">
        <v>192</v>
      </c>
      <c r="D10" s="59">
        <v>1</v>
      </c>
      <c r="E10" s="60">
        <v>5.3081373745999998E-5</v>
      </c>
    </row>
    <row r="11" spans="1:5" s="64" customFormat="1" ht="14.5" customHeight="1">
      <c r="B11" s="86"/>
      <c r="C11" s="58" t="s">
        <v>193</v>
      </c>
      <c r="D11" s="59">
        <v>12</v>
      </c>
      <c r="E11" s="60">
        <v>6.3697648495099997E-4</v>
      </c>
    </row>
    <row r="12" spans="1:5" s="64" customFormat="1" ht="14.5" customHeight="1">
      <c r="B12" s="86"/>
      <c r="C12" s="58" t="s">
        <v>194</v>
      </c>
      <c r="D12" s="59">
        <v>11</v>
      </c>
      <c r="E12" s="60">
        <v>5.8389511120500003E-4</v>
      </c>
    </row>
    <row r="13" spans="1:5" s="64" customFormat="1" ht="14.5" customHeight="1">
      <c r="B13" s="86"/>
      <c r="C13" s="58" t="s">
        <v>195</v>
      </c>
      <c r="D13" s="59">
        <v>3</v>
      </c>
      <c r="E13" s="60">
        <v>1.5924412123800001E-4</v>
      </c>
    </row>
    <row r="14" spans="1:5" s="64" customFormat="1" ht="14.5" customHeight="1">
      <c r="B14" s="86"/>
      <c r="C14" s="58" t="s">
        <v>196</v>
      </c>
      <c r="D14" s="59">
        <v>3</v>
      </c>
      <c r="E14" s="60">
        <v>1.5924412123800001E-4</v>
      </c>
    </row>
    <row r="15" spans="1:5" s="64" customFormat="1" ht="14.5" customHeight="1">
      <c r="B15" s="86"/>
      <c r="C15" s="58" t="s">
        <v>197</v>
      </c>
      <c r="D15" s="59">
        <v>2</v>
      </c>
      <c r="E15" s="60">
        <v>1.06162747492E-4</v>
      </c>
    </row>
    <row r="16" spans="1:5" s="64" customFormat="1" ht="14.5" customHeight="1">
      <c r="B16" s="86"/>
      <c r="C16" s="58" t="s">
        <v>198</v>
      </c>
      <c r="D16" s="59">
        <v>1</v>
      </c>
      <c r="E16" s="60">
        <v>5.3081373745999998E-5</v>
      </c>
    </row>
    <row r="17" spans="2:5" s="64" customFormat="1" ht="14.5" customHeight="1">
      <c r="B17" s="86"/>
      <c r="C17" s="58" t="s">
        <v>199</v>
      </c>
      <c r="D17" s="59">
        <v>1</v>
      </c>
      <c r="E17" s="60">
        <v>5.3081373745999998E-5</v>
      </c>
    </row>
    <row r="18" spans="2:5" s="64" customFormat="1" ht="14.5" customHeight="1">
      <c r="B18" s="86"/>
      <c r="C18" s="58" t="s">
        <v>200</v>
      </c>
      <c r="D18" s="59">
        <v>2</v>
      </c>
      <c r="E18" s="60">
        <v>1.06162747492E-4</v>
      </c>
    </row>
    <row r="19" spans="2:5" s="64" customFormat="1" ht="14.5" customHeight="1">
      <c r="B19" s="86"/>
      <c r="C19" s="58" t="s">
        <v>201</v>
      </c>
      <c r="D19" s="59">
        <v>1</v>
      </c>
      <c r="E19" s="60">
        <v>5.3081373745999998E-5</v>
      </c>
    </row>
    <row r="20" spans="2:5" s="64" customFormat="1" ht="14.5" customHeight="1">
      <c r="B20" s="86"/>
      <c r="C20" s="58" t="s">
        <v>202</v>
      </c>
      <c r="D20" s="59">
        <v>2</v>
      </c>
      <c r="E20" s="60">
        <v>1.06162747492E-4</v>
      </c>
    </row>
    <row r="21" spans="2:5" s="64" customFormat="1" ht="14.5" customHeight="1">
      <c r="B21" s="86"/>
      <c r="C21" s="58" t="s">
        <v>203</v>
      </c>
      <c r="D21" s="59">
        <v>14</v>
      </c>
      <c r="E21" s="60">
        <v>7.4313923244300004E-4</v>
      </c>
    </row>
    <row r="22" spans="2:5" s="64" customFormat="1" ht="14.5" customHeight="1">
      <c r="B22" s="87"/>
      <c r="C22" s="35" t="s">
        <v>28</v>
      </c>
      <c r="D22" s="34">
        <v>53</v>
      </c>
      <c r="E22" s="33">
        <v>2.8133128085349999E-3</v>
      </c>
    </row>
    <row r="23" spans="2:5" s="64" customFormat="1" ht="14.5" customHeight="1">
      <c r="B23" s="85" t="s">
        <v>52</v>
      </c>
      <c r="C23" s="58" t="s">
        <v>204</v>
      </c>
      <c r="D23" s="59">
        <v>37</v>
      </c>
      <c r="E23" s="60">
        <v>1.9640108285999998E-3</v>
      </c>
    </row>
    <row r="24" spans="2:5" s="64" customFormat="1" ht="14.5" customHeight="1">
      <c r="B24" s="86"/>
      <c r="C24" s="58" t="s">
        <v>205</v>
      </c>
      <c r="D24" s="59">
        <v>3</v>
      </c>
      <c r="E24" s="60">
        <v>1.5924412123800001E-4</v>
      </c>
    </row>
    <row r="25" spans="2:5" s="64" customFormat="1" ht="14.5" customHeight="1">
      <c r="B25" s="86"/>
      <c r="C25" s="58" t="s">
        <v>206</v>
      </c>
      <c r="D25" s="59">
        <v>8</v>
      </c>
      <c r="E25" s="60">
        <v>4.2465098996799999E-4</v>
      </c>
    </row>
    <row r="26" spans="2:5" s="64" customFormat="1" ht="14.5" customHeight="1">
      <c r="B26" s="86"/>
      <c r="C26" s="58" t="s">
        <v>192</v>
      </c>
      <c r="D26" s="59">
        <v>10</v>
      </c>
      <c r="E26" s="60">
        <v>5.3081373745999996E-4</v>
      </c>
    </row>
    <row r="27" spans="2:5" s="64" customFormat="1" ht="14.5" customHeight="1">
      <c r="B27" s="86"/>
      <c r="C27" s="58" t="s">
        <v>193</v>
      </c>
      <c r="D27" s="59">
        <v>134</v>
      </c>
      <c r="E27" s="60">
        <v>7.112904081958E-3</v>
      </c>
    </row>
    <row r="28" spans="2:5" s="64" customFormat="1" ht="14.5" customHeight="1">
      <c r="B28" s="86"/>
      <c r="C28" s="58" t="s">
        <v>207</v>
      </c>
      <c r="D28" s="59">
        <v>11</v>
      </c>
      <c r="E28" s="60">
        <v>5.8389511120500003E-4</v>
      </c>
    </row>
    <row r="29" spans="2:5" s="64" customFormat="1" ht="14.5" customHeight="1">
      <c r="B29" s="86"/>
      <c r="C29" s="58" t="s">
        <v>194</v>
      </c>
      <c r="D29" s="59">
        <v>2</v>
      </c>
      <c r="E29" s="60">
        <v>1.06162747492E-4</v>
      </c>
    </row>
    <row r="30" spans="2:5" s="64" customFormat="1" ht="14.5" customHeight="1">
      <c r="B30" s="86"/>
      <c r="C30" s="58" t="s">
        <v>195</v>
      </c>
      <c r="D30" s="59">
        <v>9</v>
      </c>
      <c r="E30" s="60">
        <v>4.7773236371400003E-4</v>
      </c>
    </row>
    <row r="31" spans="2:5" s="64" customFormat="1" ht="14.5" customHeight="1">
      <c r="B31" s="86"/>
      <c r="C31" s="58" t="s">
        <v>208</v>
      </c>
      <c r="D31" s="59">
        <v>7</v>
      </c>
      <c r="E31" s="60">
        <v>3.71569616222E-4</v>
      </c>
    </row>
    <row r="32" spans="2:5" s="64" customFormat="1" ht="14.5" customHeight="1">
      <c r="B32" s="86"/>
      <c r="C32" s="58" t="s">
        <v>196</v>
      </c>
      <c r="D32" s="59">
        <v>39</v>
      </c>
      <c r="E32" s="60">
        <v>2.0701735760919999E-3</v>
      </c>
    </row>
    <row r="33" spans="2:5" s="64" customFormat="1" ht="14.5" customHeight="1">
      <c r="B33" s="86"/>
      <c r="C33" s="58" t="s">
        <v>209</v>
      </c>
      <c r="D33" s="59">
        <v>8</v>
      </c>
      <c r="E33" s="60">
        <v>4.2465098996799999E-4</v>
      </c>
    </row>
    <row r="34" spans="2:5" s="64" customFormat="1" ht="14.5" customHeight="1">
      <c r="B34" s="86"/>
      <c r="C34" s="58" t="s">
        <v>210</v>
      </c>
      <c r="D34" s="59">
        <v>5</v>
      </c>
      <c r="E34" s="60">
        <v>2.6540686872999998E-4</v>
      </c>
    </row>
    <row r="35" spans="2:5" s="64" customFormat="1" ht="14.5" customHeight="1">
      <c r="B35" s="86"/>
      <c r="C35" s="58" t="s">
        <v>197</v>
      </c>
      <c r="D35" s="59">
        <v>16</v>
      </c>
      <c r="E35" s="60">
        <v>8.4930197993500001E-4</v>
      </c>
    </row>
    <row r="36" spans="2:5" s="64" customFormat="1" ht="14.5" customHeight="1">
      <c r="B36" s="86"/>
      <c r="C36" s="58" t="s">
        <v>198</v>
      </c>
      <c r="D36" s="59">
        <v>17</v>
      </c>
      <c r="E36" s="60">
        <v>9.0238335368100005E-4</v>
      </c>
    </row>
    <row r="37" spans="2:5" s="64" customFormat="1" ht="14.5" customHeight="1">
      <c r="B37" s="86"/>
      <c r="C37" s="58" t="s">
        <v>199</v>
      </c>
      <c r="D37" s="59">
        <v>2</v>
      </c>
      <c r="E37" s="60">
        <v>1.06162747492E-4</v>
      </c>
    </row>
    <row r="38" spans="2:5" s="64" customFormat="1" ht="14.5" customHeight="1">
      <c r="B38" s="86"/>
      <c r="C38" s="58" t="s">
        <v>211</v>
      </c>
      <c r="D38" s="59">
        <v>3</v>
      </c>
      <c r="E38" s="60">
        <v>1.5924412123800001E-4</v>
      </c>
    </row>
    <row r="39" spans="2:5" s="64" customFormat="1" ht="14.5" customHeight="1">
      <c r="B39" s="86"/>
      <c r="C39" s="58" t="s">
        <v>212</v>
      </c>
      <c r="D39" s="59">
        <v>2</v>
      </c>
      <c r="E39" s="60">
        <v>1.06162747492E-4</v>
      </c>
    </row>
    <row r="40" spans="2:5" s="64" customFormat="1" ht="14.5" customHeight="1">
      <c r="B40" s="86"/>
      <c r="C40" s="58" t="s">
        <v>213</v>
      </c>
      <c r="D40" s="59">
        <v>16</v>
      </c>
      <c r="E40" s="60">
        <v>8.4930197993500001E-4</v>
      </c>
    </row>
    <row r="41" spans="2:5" s="64" customFormat="1" ht="14.5" customHeight="1">
      <c r="B41" s="86"/>
      <c r="C41" s="58" t="s">
        <v>214</v>
      </c>
      <c r="D41" s="59">
        <v>21</v>
      </c>
      <c r="E41" s="60">
        <v>1.1147088486650001E-3</v>
      </c>
    </row>
    <row r="42" spans="2:5" s="64" customFormat="1" ht="14.5" customHeight="1">
      <c r="B42" s="86"/>
      <c r="C42" s="58" t="s">
        <v>215</v>
      </c>
      <c r="D42" s="59">
        <v>36</v>
      </c>
      <c r="E42" s="60">
        <v>1.910929454854E-3</v>
      </c>
    </row>
    <row r="43" spans="2:5" s="64" customFormat="1" ht="14.5" customHeight="1">
      <c r="B43" s="86"/>
      <c r="C43" s="58" t="s">
        <v>216</v>
      </c>
      <c r="D43" s="59">
        <v>4</v>
      </c>
      <c r="E43" s="60">
        <v>2.1232549498399999E-4</v>
      </c>
    </row>
    <row r="44" spans="2:5" s="64" customFormat="1" ht="14.5" customHeight="1">
      <c r="B44" s="86"/>
      <c r="C44" s="58" t="s">
        <v>217</v>
      </c>
      <c r="D44" s="59">
        <v>4</v>
      </c>
      <c r="E44" s="60">
        <v>2.1232549498399999E-4</v>
      </c>
    </row>
    <row r="45" spans="2:5" s="64" customFormat="1" ht="14.5" customHeight="1">
      <c r="B45" s="86"/>
      <c r="C45" s="58" t="s">
        <v>218</v>
      </c>
      <c r="D45" s="59">
        <v>14</v>
      </c>
      <c r="E45" s="60">
        <v>7.4313923244300004E-4</v>
      </c>
    </row>
    <row r="46" spans="2:5" s="64" customFormat="1" ht="14.5" customHeight="1">
      <c r="B46" s="86"/>
      <c r="C46" s="58" t="s">
        <v>219</v>
      </c>
      <c r="D46" s="59">
        <v>6</v>
      </c>
      <c r="E46" s="60">
        <v>3.1848824247600002E-4</v>
      </c>
    </row>
    <row r="47" spans="2:5" s="64" customFormat="1" ht="14.5" customHeight="1">
      <c r="B47" s="86"/>
      <c r="C47" s="58" t="s">
        <v>200</v>
      </c>
      <c r="D47" s="59">
        <v>2</v>
      </c>
      <c r="E47" s="60">
        <v>1.06162747492E-4</v>
      </c>
    </row>
    <row r="48" spans="2:5" s="64" customFormat="1" ht="14.5" customHeight="1">
      <c r="B48" s="86"/>
      <c r="C48" s="58" t="s">
        <v>201</v>
      </c>
      <c r="D48" s="59">
        <v>16</v>
      </c>
      <c r="E48" s="60">
        <v>8.4930197993500001E-4</v>
      </c>
    </row>
    <row r="49" spans="2:5" s="64" customFormat="1" ht="14.5" customHeight="1">
      <c r="B49" s="86"/>
      <c r="C49" s="58" t="s">
        <v>220</v>
      </c>
      <c r="D49" s="59">
        <v>8</v>
      </c>
      <c r="E49" s="60">
        <v>4.2465098996799999E-4</v>
      </c>
    </row>
    <row r="50" spans="2:5" s="64" customFormat="1" ht="14.5" customHeight="1">
      <c r="B50" s="86"/>
      <c r="C50" s="58" t="s">
        <v>221</v>
      </c>
      <c r="D50" s="59">
        <v>10</v>
      </c>
      <c r="E50" s="60">
        <v>5.3081373745999996E-4</v>
      </c>
    </row>
    <row r="51" spans="2:5" s="64" customFormat="1" ht="14.5" customHeight="1">
      <c r="B51" s="86"/>
      <c r="C51" s="58" t="s">
        <v>222</v>
      </c>
      <c r="D51" s="59">
        <v>1</v>
      </c>
      <c r="E51" s="60">
        <v>5.3081373745999998E-5</v>
      </c>
    </row>
    <row r="52" spans="2:5" s="64" customFormat="1" ht="14.5" customHeight="1">
      <c r="B52" s="86"/>
      <c r="C52" s="58" t="s">
        <v>223</v>
      </c>
      <c r="D52" s="59">
        <v>3</v>
      </c>
      <c r="E52" s="60">
        <v>1.5924412123800001E-4</v>
      </c>
    </row>
    <row r="53" spans="2:5" s="64" customFormat="1" ht="14.5" customHeight="1">
      <c r="B53" s="86"/>
      <c r="C53" s="58" t="s">
        <v>224</v>
      </c>
      <c r="D53" s="59">
        <v>1</v>
      </c>
      <c r="E53" s="60">
        <v>5.3081373745999998E-5</v>
      </c>
    </row>
    <row r="54" spans="2:5" s="64" customFormat="1" ht="14.5" customHeight="1">
      <c r="B54" s="86"/>
      <c r="C54" s="58" t="s">
        <v>225</v>
      </c>
      <c r="D54" s="59">
        <v>1</v>
      </c>
      <c r="E54" s="60">
        <v>5.3081373745999998E-5</v>
      </c>
    </row>
    <row r="55" spans="2:5" s="64" customFormat="1" ht="14.5" customHeight="1">
      <c r="B55" s="86"/>
      <c r="C55" s="58" t="s">
        <v>202</v>
      </c>
      <c r="D55" s="59">
        <v>1</v>
      </c>
      <c r="E55" s="60">
        <v>5.3081373745999998E-5</v>
      </c>
    </row>
    <row r="56" spans="2:5" s="64" customFormat="1" ht="14.5" customHeight="1">
      <c r="B56" s="86"/>
      <c r="C56" s="58" t="s">
        <v>203</v>
      </c>
      <c r="D56" s="59">
        <v>64</v>
      </c>
      <c r="E56" s="60">
        <v>3.3972079197410001E-3</v>
      </c>
    </row>
    <row r="57" spans="2:5" s="64" customFormat="1" ht="14.5" customHeight="1">
      <c r="B57" s="86"/>
      <c r="C57" s="58" t="s">
        <v>226</v>
      </c>
      <c r="D57" s="59">
        <v>3</v>
      </c>
      <c r="E57" s="60">
        <v>1.5924412123800001E-4</v>
      </c>
    </row>
    <row r="58" spans="2:5" s="64" customFormat="1" ht="14.5" customHeight="1">
      <c r="B58" s="86"/>
      <c r="C58" s="58" t="s">
        <v>227</v>
      </c>
      <c r="D58" s="59">
        <v>24</v>
      </c>
      <c r="E58" s="60">
        <v>1.273952969903E-3</v>
      </c>
    </row>
    <row r="59" spans="2:5" s="64" customFormat="1" ht="14.5" customHeight="1">
      <c r="B59" s="86"/>
      <c r="C59" s="58" t="s">
        <v>228</v>
      </c>
      <c r="D59" s="59">
        <v>2</v>
      </c>
      <c r="E59" s="60">
        <v>1.06162747492E-4</v>
      </c>
    </row>
    <row r="60" spans="2:5" s="64" customFormat="1" ht="14.5" customHeight="1">
      <c r="B60" s="86"/>
      <c r="C60" s="58" t="s">
        <v>229</v>
      </c>
      <c r="D60" s="59">
        <v>14</v>
      </c>
      <c r="E60" s="60">
        <v>7.4313923244300004E-4</v>
      </c>
    </row>
    <row r="61" spans="2:5" s="64" customFormat="1" ht="14.5" customHeight="1">
      <c r="B61" s="86"/>
      <c r="C61" s="58" t="s">
        <v>230</v>
      </c>
      <c r="D61" s="59">
        <v>20</v>
      </c>
      <c r="E61" s="60">
        <v>1.0616274749190001E-3</v>
      </c>
    </row>
    <row r="62" spans="2:5" s="64" customFormat="1" ht="14.5" customHeight="1">
      <c r="B62" s="86"/>
      <c r="C62" s="58" t="s">
        <v>231</v>
      </c>
      <c r="D62" s="59">
        <v>11</v>
      </c>
      <c r="E62" s="60">
        <v>5.8389511120500003E-4</v>
      </c>
    </row>
    <row r="63" spans="2:5" s="64" customFormat="1" ht="14.5" customHeight="1">
      <c r="B63" s="87"/>
      <c r="C63" s="35" t="s">
        <v>28</v>
      </c>
      <c r="D63" s="34">
        <v>595</v>
      </c>
      <c r="E63" s="33">
        <v>3.1583417378842002E-2</v>
      </c>
    </row>
    <row r="64" spans="2:5" s="64" customFormat="1" ht="14.5" customHeight="1">
      <c r="B64" s="85" t="s">
        <v>53</v>
      </c>
      <c r="C64" s="58" t="s">
        <v>204</v>
      </c>
      <c r="D64" s="59">
        <v>2</v>
      </c>
      <c r="E64" s="60">
        <v>1.06162747492E-4</v>
      </c>
    </row>
    <row r="65" spans="2:5" s="64" customFormat="1" ht="14.5" customHeight="1">
      <c r="B65" s="86"/>
      <c r="C65" s="58" t="s">
        <v>205</v>
      </c>
      <c r="D65" s="59">
        <v>1</v>
      </c>
      <c r="E65" s="60">
        <v>5.3081373745999998E-5</v>
      </c>
    </row>
    <row r="66" spans="2:5" s="64" customFormat="1" ht="14.5" customHeight="1">
      <c r="B66" s="86"/>
      <c r="C66" s="58" t="s">
        <v>192</v>
      </c>
      <c r="D66" s="59">
        <v>2</v>
      </c>
      <c r="E66" s="60">
        <v>1.06162747492E-4</v>
      </c>
    </row>
    <row r="67" spans="2:5" s="64" customFormat="1" ht="14.5" customHeight="1">
      <c r="B67" s="86"/>
      <c r="C67" s="58" t="s">
        <v>193</v>
      </c>
      <c r="D67" s="59">
        <v>128</v>
      </c>
      <c r="E67" s="60">
        <v>6.7944158394820002E-3</v>
      </c>
    </row>
    <row r="68" spans="2:5" s="64" customFormat="1" ht="14.5" customHeight="1">
      <c r="B68" s="86"/>
      <c r="C68" s="58" t="s">
        <v>232</v>
      </c>
      <c r="D68" s="59">
        <v>1</v>
      </c>
      <c r="E68" s="60">
        <v>5.3081373745999998E-5</v>
      </c>
    </row>
    <row r="69" spans="2:5" s="64" customFormat="1" ht="14.5" customHeight="1">
      <c r="B69" s="86"/>
      <c r="C69" s="58" t="s">
        <v>194</v>
      </c>
      <c r="D69" s="59">
        <v>9</v>
      </c>
      <c r="E69" s="60">
        <v>4.7773236371400003E-4</v>
      </c>
    </row>
    <row r="70" spans="2:5" s="64" customFormat="1" ht="14.5" customHeight="1">
      <c r="B70" s="86"/>
      <c r="C70" s="58" t="s">
        <v>195</v>
      </c>
      <c r="D70" s="59">
        <v>7</v>
      </c>
      <c r="E70" s="60">
        <v>3.71569616222E-4</v>
      </c>
    </row>
    <row r="71" spans="2:5" s="64" customFormat="1" ht="14.5" customHeight="1">
      <c r="B71" s="86"/>
      <c r="C71" s="58" t="s">
        <v>208</v>
      </c>
      <c r="D71" s="59">
        <v>1</v>
      </c>
      <c r="E71" s="60">
        <v>5.3081373745999998E-5</v>
      </c>
    </row>
    <row r="72" spans="2:5" s="64" customFormat="1" ht="14.5" customHeight="1">
      <c r="B72" s="86"/>
      <c r="C72" s="58" t="s">
        <v>196</v>
      </c>
      <c r="D72" s="59">
        <v>11</v>
      </c>
      <c r="E72" s="60">
        <v>5.8389511120500003E-4</v>
      </c>
    </row>
    <row r="73" spans="2:5" s="64" customFormat="1" ht="14.5" customHeight="1">
      <c r="B73" s="86"/>
      <c r="C73" s="58" t="s">
        <v>210</v>
      </c>
      <c r="D73" s="59">
        <v>1</v>
      </c>
      <c r="E73" s="60">
        <v>5.3081373745999998E-5</v>
      </c>
    </row>
    <row r="74" spans="2:5" s="64" customFormat="1" ht="14.5" customHeight="1">
      <c r="B74" s="86"/>
      <c r="C74" s="58" t="s">
        <v>197</v>
      </c>
      <c r="D74" s="59">
        <v>15</v>
      </c>
      <c r="E74" s="60">
        <v>7.9622060618899997E-4</v>
      </c>
    </row>
    <row r="75" spans="2:5" s="64" customFormat="1" ht="14.5" customHeight="1">
      <c r="B75" s="86"/>
      <c r="C75" s="58" t="s">
        <v>198</v>
      </c>
      <c r="D75" s="59">
        <v>3</v>
      </c>
      <c r="E75" s="60">
        <v>1.5924412123800001E-4</v>
      </c>
    </row>
    <row r="76" spans="2:5" s="64" customFormat="1" ht="14.5" customHeight="1">
      <c r="B76" s="86"/>
      <c r="C76" s="58" t="s">
        <v>211</v>
      </c>
      <c r="D76" s="59">
        <v>1</v>
      </c>
      <c r="E76" s="60">
        <v>5.3081373745999998E-5</v>
      </c>
    </row>
    <row r="77" spans="2:5" s="64" customFormat="1" ht="14.5" customHeight="1">
      <c r="B77" s="86"/>
      <c r="C77" s="58" t="s">
        <v>213</v>
      </c>
      <c r="D77" s="59">
        <v>6</v>
      </c>
      <c r="E77" s="60">
        <v>3.1848824247600002E-4</v>
      </c>
    </row>
    <row r="78" spans="2:5" s="64" customFormat="1" ht="14.5" customHeight="1">
      <c r="B78" s="86"/>
      <c r="C78" s="58" t="s">
        <v>215</v>
      </c>
      <c r="D78" s="59">
        <v>4</v>
      </c>
      <c r="E78" s="60">
        <v>2.1232549498399999E-4</v>
      </c>
    </row>
    <row r="79" spans="2:5" s="64" customFormat="1" ht="14.5" customHeight="1">
      <c r="B79" s="86"/>
      <c r="C79" s="58" t="s">
        <v>217</v>
      </c>
      <c r="D79" s="59">
        <v>3</v>
      </c>
      <c r="E79" s="60">
        <v>1.5924412123800001E-4</v>
      </c>
    </row>
    <row r="80" spans="2:5" s="64" customFormat="1" ht="14.5" customHeight="1">
      <c r="B80" s="86"/>
      <c r="C80" s="58" t="s">
        <v>218</v>
      </c>
      <c r="D80" s="59">
        <v>26</v>
      </c>
      <c r="E80" s="60">
        <v>1.3801157173950001E-3</v>
      </c>
    </row>
    <row r="81" spans="2:5" s="64" customFormat="1" ht="14.5" customHeight="1">
      <c r="B81" s="86"/>
      <c r="C81" s="58" t="s">
        <v>219</v>
      </c>
      <c r="D81" s="59">
        <v>1</v>
      </c>
      <c r="E81" s="60">
        <v>5.3081373745999998E-5</v>
      </c>
    </row>
    <row r="82" spans="2:5" s="64" customFormat="1" ht="14.5" customHeight="1">
      <c r="B82" s="86"/>
      <c r="C82" s="58" t="s">
        <v>200</v>
      </c>
      <c r="D82" s="59">
        <v>1</v>
      </c>
      <c r="E82" s="60">
        <v>5.3081373745999998E-5</v>
      </c>
    </row>
    <row r="83" spans="2:5" s="64" customFormat="1" ht="14.5" customHeight="1">
      <c r="B83" s="86"/>
      <c r="C83" s="58" t="s">
        <v>201</v>
      </c>
      <c r="D83" s="59">
        <v>4</v>
      </c>
      <c r="E83" s="60">
        <v>2.1232549498399999E-4</v>
      </c>
    </row>
    <row r="84" spans="2:5" s="64" customFormat="1" ht="14.5" customHeight="1">
      <c r="B84" s="86"/>
      <c r="C84" s="58" t="s">
        <v>221</v>
      </c>
      <c r="D84" s="59">
        <v>2</v>
      </c>
      <c r="E84" s="60">
        <v>1.06162747492E-4</v>
      </c>
    </row>
    <row r="85" spans="2:5" s="64" customFormat="1" ht="14.5" customHeight="1">
      <c r="B85" s="86"/>
      <c r="C85" s="58" t="s">
        <v>222</v>
      </c>
      <c r="D85" s="59">
        <v>3</v>
      </c>
      <c r="E85" s="60">
        <v>1.5924412123800001E-4</v>
      </c>
    </row>
    <row r="86" spans="2:5" s="64" customFormat="1" ht="14.5" customHeight="1">
      <c r="B86" s="86"/>
      <c r="C86" s="58" t="s">
        <v>223</v>
      </c>
      <c r="D86" s="59">
        <v>6</v>
      </c>
      <c r="E86" s="60">
        <v>3.1848824247600002E-4</v>
      </c>
    </row>
    <row r="87" spans="2:5" s="64" customFormat="1" ht="14.5" customHeight="1">
      <c r="B87" s="86"/>
      <c r="C87" s="58" t="s">
        <v>224</v>
      </c>
      <c r="D87" s="59">
        <v>1</v>
      </c>
      <c r="E87" s="60">
        <v>5.3081373745999998E-5</v>
      </c>
    </row>
    <row r="88" spans="2:5" s="64" customFormat="1" ht="14.5" customHeight="1">
      <c r="B88" s="86"/>
      <c r="C88" s="58" t="s">
        <v>225</v>
      </c>
      <c r="D88" s="59">
        <v>1</v>
      </c>
      <c r="E88" s="60">
        <v>5.3081373745999998E-5</v>
      </c>
    </row>
    <row r="89" spans="2:5" s="64" customFormat="1" ht="14.5" customHeight="1">
      <c r="B89" s="86"/>
      <c r="C89" s="58" t="s">
        <v>202</v>
      </c>
      <c r="D89" s="59">
        <v>1</v>
      </c>
      <c r="E89" s="60">
        <v>5.3081373745999998E-5</v>
      </c>
    </row>
    <row r="90" spans="2:5" s="64" customFormat="1" ht="14.5" customHeight="1">
      <c r="B90" s="86"/>
      <c r="C90" s="58" t="s">
        <v>203</v>
      </c>
      <c r="D90" s="59">
        <v>5</v>
      </c>
      <c r="E90" s="60">
        <v>2.6540686872999998E-4</v>
      </c>
    </row>
    <row r="91" spans="2:5" s="64" customFormat="1" ht="14.5" customHeight="1">
      <c r="B91" s="86"/>
      <c r="C91" s="58" t="s">
        <v>226</v>
      </c>
      <c r="D91" s="59">
        <v>2</v>
      </c>
      <c r="E91" s="60">
        <v>1.06162747492E-4</v>
      </c>
    </row>
    <row r="92" spans="2:5" s="64" customFormat="1" ht="14.5" customHeight="1">
      <c r="B92" s="86"/>
      <c r="C92" s="58" t="s">
        <v>227</v>
      </c>
      <c r="D92" s="59">
        <v>1</v>
      </c>
      <c r="E92" s="60">
        <v>5.3081373745999998E-5</v>
      </c>
    </row>
    <row r="93" spans="2:5" s="64" customFormat="1" ht="14.5" customHeight="1">
      <c r="B93" s="86"/>
      <c r="C93" s="58" t="s">
        <v>228</v>
      </c>
      <c r="D93" s="59">
        <v>1</v>
      </c>
      <c r="E93" s="60">
        <v>5.3081373745999998E-5</v>
      </c>
    </row>
    <row r="94" spans="2:5" s="64" customFormat="1" ht="14.5" customHeight="1">
      <c r="B94" s="86"/>
      <c r="C94" s="58" t="s">
        <v>229</v>
      </c>
      <c r="D94" s="59">
        <v>2</v>
      </c>
      <c r="E94" s="60">
        <v>1.06162747492E-4</v>
      </c>
    </row>
    <row r="95" spans="2:5" s="64" customFormat="1" ht="14.5" customHeight="1">
      <c r="B95" s="86"/>
      <c r="C95" s="58" t="s">
        <v>230</v>
      </c>
      <c r="D95" s="59">
        <v>1</v>
      </c>
      <c r="E95" s="60">
        <v>5.3081373745999998E-5</v>
      </c>
    </row>
    <row r="96" spans="2:5" s="64" customFormat="1" ht="14.5" customHeight="1">
      <c r="B96" s="86"/>
      <c r="C96" s="58" t="s">
        <v>231</v>
      </c>
      <c r="D96" s="59">
        <v>29</v>
      </c>
      <c r="E96" s="60">
        <v>1.539359838633E-3</v>
      </c>
    </row>
    <row r="97" spans="2:5" s="64" customFormat="1" ht="14.5" customHeight="1">
      <c r="B97" s="87"/>
      <c r="C97" s="35" t="s">
        <v>28</v>
      </c>
      <c r="D97" s="34">
        <v>282</v>
      </c>
      <c r="E97" s="33">
        <v>1.4968947396358999E-2</v>
      </c>
    </row>
    <row r="98" spans="2:5" s="64" customFormat="1" ht="14.5" customHeight="1">
      <c r="B98" s="85" t="s">
        <v>54</v>
      </c>
      <c r="C98" s="58" t="s">
        <v>204</v>
      </c>
      <c r="D98" s="59">
        <v>225</v>
      </c>
      <c r="E98" s="60">
        <v>1.1943309092839E-2</v>
      </c>
    </row>
    <row r="99" spans="2:5" s="64" customFormat="1" ht="14.5" customHeight="1">
      <c r="B99" s="86"/>
      <c r="C99" s="58" t="s">
        <v>205</v>
      </c>
      <c r="D99" s="59">
        <v>70</v>
      </c>
      <c r="E99" s="60">
        <v>3.7156961622169999E-3</v>
      </c>
    </row>
    <row r="100" spans="2:5" s="64" customFormat="1" ht="14.5" customHeight="1">
      <c r="B100" s="86"/>
      <c r="C100" s="58" t="s">
        <v>206</v>
      </c>
      <c r="D100" s="59">
        <v>56</v>
      </c>
      <c r="E100" s="60">
        <v>2.9725569297729998E-3</v>
      </c>
    </row>
    <row r="101" spans="2:5" s="64" customFormat="1" ht="14.5" customHeight="1">
      <c r="B101" s="86"/>
      <c r="C101" s="58" t="s">
        <v>192</v>
      </c>
      <c r="D101" s="59">
        <v>92</v>
      </c>
      <c r="E101" s="60">
        <v>4.8834863846279998E-3</v>
      </c>
    </row>
    <row r="102" spans="2:5" s="64" customFormat="1" ht="14.5" customHeight="1">
      <c r="B102" s="86"/>
      <c r="C102" s="58" t="s">
        <v>193</v>
      </c>
      <c r="D102" s="59">
        <v>896</v>
      </c>
      <c r="E102" s="60">
        <v>4.7560910876373E-2</v>
      </c>
    </row>
    <row r="103" spans="2:5" s="64" customFormat="1" ht="14.5" customHeight="1">
      <c r="B103" s="86"/>
      <c r="C103" s="58" t="s">
        <v>207</v>
      </c>
      <c r="D103" s="59">
        <v>52</v>
      </c>
      <c r="E103" s="60">
        <v>2.7602314347900002E-3</v>
      </c>
    </row>
    <row r="104" spans="2:5" s="64" customFormat="1" ht="14.5" customHeight="1">
      <c r="B104" s="86"/>
      <c r="C104" s="58" t="s">
        <v>194</v>
      </c>
      <c r="D104" s="59">
        <v>24</v>
      </c>
      <c r="E104" s="60">
        <v>1.273952969903E-3</v>
      </c>
    </row>
    <row r="105" spans="2:5" s="64" customFormat="1" ht="14.5" customHeight="1">
      <c r="B105" s="86"/>
      <c r="C105" s="58" t="s">
        <v>195</v>
      </c>
      <c r="D105" s="59">
        <v>75</v>
      </c>
      <c r="E105" s="60">
        <v>3.9811030309459998E-3</v>
      </c>
    </row>
    <row r="106" spans="2:5" s="64" customFormat="1" ht="14.5" customHeight="1">
      <c r="B106" s="86"/>
      <c r="C106" s="58" t="s">
        <v>208</v>
      </c>
      <c r="D106" s="59">
        <v>9</v>
      </c>
      <c r="E106" s="60">
        <v>4.7773236371400003E-4</v>
      </c>
    </row>
    <row r="107" spans="2:5" s="64" customFormat="1" ht="14.5" customHeight="1">
      <c r="B107" s="86"/>
      <c r="C107" s="58" t="s">
        <v>196</v>
      </c>
      <c r="D107" s="59">
        <v>199</v>
      </c>
      <c r="E107" s="60">
        <v>1.0563193375445E-2</v>
      </c>
    </row>
    <row r="108" spans="2:5" s="64" customFormat="1" ht="14.5" customHeight="1">
      <c r="B108" s="86"/>
      <c r="C108" s="58" t="s">
        <v>209</v>
      </c>
      <c r="D108" s="59">
        <v>10</v>
      </c>
      <c r="E108" s="60">
        <v>5.3081373745999996E-4</v>
      </c>
    </row>
    <row r="109" spans="2:5" s="64" customFormat="1" ht="14.5" customHeight="1">
      <c r="B109" s="86"/>
      <c r="C109" s="58" t="s">
        <v>210</v>
      </c>
      <c r="D109" s="59">
        <v>37</v>
      </c>
      <c r="E109" s="60">
        <v>1.9640108285999998E-3</v>
      </c>
    </row>
    <row r="110" spans="2:5" s="64" customFormat="1" ht="14.5" customHeight="1">
      <c r="B110" s="86"/>
      <c r="C110" s="58" t="s">
        <v>197</v>
      </c>
      <c r="D110" s="59">
        <v>79</v>
      </c>
      <c r="E110" s="60">
        <v>4.19342852593E-3</v>
      </c>
    </row>
    <row r="111" spans="2:5" s="64" customFormat="1" ht="14.5" customHeight="1">
      <c r="B111" s="86"/>
      <c r="C111" s="58" t="s">
        <v>198</v>
      </c>
      <c r="D111" s="59">
        <v>42</v>
      </c>
      <c r="E111" s="60">
        <v>2.2294176973300002E-3</v>
      </c>
    </row>
    <row r="112" spans="2:5" s="64" customFormat="1" ht="14.5" customHeight="1">
      <c r="B112" s="86"/>
      <c r="C112" s="58" t="s">
        <v>199</v>
      </c>
      <c r="D112" s="59">
        <v>21</v>
      </c>
      <c r="E112" s="60">
        <v>1.1147088486650001E-3</v>
      </c>
    </row>
    <row r="113" spans="2:5" s="64" customFormat="1" ht="14.5" customHeight="1">
      <c r="B113" s="86"/>
      <c r="C113" s="58" t="s">
        <v>211</v>
      </c>
      <c r="D113" s="59">
        <v>15</v>
      </c>
      <c r="E113" s="60">
        <v>7.9622060618899997E-4</v>
      </c>
    </row>
    <row r="114" spans="2:5" s="64" customFormat="1" ht="14.5" customHeight="1">
      <c r="B114" s="86"/>
      <c r="C114" s="58" t="s">
        <v>212</v>
      </c>
      <c r="D114" s="59">
        <v>1</v>
      </c>
      <c r="E114" s="60">
        <v>5.3081373745999998E-5</v>
      </c>
    </row>
    <row r="115" spans="2:5" s="64" customFormat="1" ht="14.5" customHeight="1">
      <c r="B115" s="86"/>
      <c r="C115" s="58" t="s">
        <v>213</v>
      </c>
      <c r="D115" s="59">
        <v>65</v>
      </c>
      <c r="E115" s="60">
        <v>3.4502892934869999E-3</v>
      </c>
    </row>
    <row r="116" spans="2:5" s="64" customFormat="1" ht="14.5" customHeight="1">
      <c r="B116" s="86"/>
      <c r="C116" s="58" t="s">
        <v>214</v>
      </c>
      <c r="D116" s="59">
        <v>38</v>
      </c>
      <c r="E116" s="60">
        <v>2.017092202346E-3</v>
      </c>
    </row>
    <row r="117" spans="2:5" s="64" customFormat="1" ht="14.5" customHeight="1">
      <c r="B117" s="86"/>
      <c r="C117" s="58" t="s">
        <v>215</v>
      </c>
      <c r="D117" s="59">
        <v>15</v>
      </c>
      <c r="E117" s="60">
        <v>7.9622060618899997E-4</v>
      </c>
    </row>
    <row r="118" spans="2:5" s="64" customFormat="1" ht="14.5" customHeight="1">
      <c r="B118" s="86"/>
      <c r="C118" s="58" t="s">
        <v>216</v>
      </c>
      <c r="D118" s="59">
        <v>91</v>
      </c>
      <c r="E118" s="60">
        <v>4.8304050108819996E-3</v>
      </c>
    </row>
    <row r="119" spans="2:5" s="64" customFormat="1" ht="14.5" customHeight="1">
      <c r="B119" s="86"/>
      <c r="C119" s="58" t="s">
        <v>217</v>
      </c>
      <c r="D119" s="59">
        <v>18</v>
      </c>
      <c r="E119" s="60">
        <v>9.5546472742699998E-4</v>
      </c>
    </row>
    <row r="120" spans="2:5" s="64" customFormat="1" ht="14.5" customHeight="1">
      <c r="B120" s="86"/>
      <c r="C120" s="58" t="s">
        <v>218</v>
      </c>
      <c r="D120" s="59">
        <v>80</v>
      </c>
      <c r="E120" s="60">
        <v>4.2465098996760002E-3</v>
      </c>
    </row>
    <row r="121" spans="2:5" s="64" customFormat="1" ht="14.5" customHeight="1">
      <c r="B121" s="86"/>
      <c r="C121" s="58" t="s">
        <v>219</v>
      </c>
      <c r="D121" s="59">
        <v>59</v>
      </c>
      <c r="E121" s="60">
        <v>3.1318010510110001E-3</v>
      </c>
    </row>
    <row r="122" spans="2:5" s="64" customFormat="1" ht="14.5" customHeight="1">
      <c r="B122" s="86"/>
      <c r="C122" s="58" t="s">
        <v>200</v>
      </c>
      <c r="D122" s="59">
        <v>17</v>
      </c>
      <c r="E122" s="60">
        <v>9.0238335368100005E-4</v>
      </c>
    </row>
    <row r="123" spans="2:5" s="64" customFormat="1" ht="14.5" customHeight="1">
      <c r="B123" s="86"/>
      <c r="C123" s="58" t="s">
        <v>201</v>
      </c>
      <c r="D123" s="59">
        <v>65</v>
      </c>
      <c r="E123" s="60">
        <v>3.4502892934869999E-3</v>
      </c>
    </row>
    <row r="124" spans="2:5" s="64" customFormat="1" ht="14.5" customHeight="1">
      <c r="B124" s="86"/>
      <c r="C124" s="58" t="s">
        <v>220</v>
      </c>
      <c r="D124" s="59">
        <v>11</v>
      </c>
      <c r="E124" s="60">
        <v>5.8389511120500003E-4</v>
      </c>
    </row>
    <row r="125" spans="2:5" s="64" customFormat="1" ht="14.5" customHeight="1">
      <c r="B125" s="86"/>
      <c r="C125" s="58" t="s">
        <v>221</v>
      </c>
      <c r="D125" s="59">
        <v>84</v>
      </c>
      <c r="E125" s="60">
        <v>4.4588353946600004E-3</v>
      </c>
    </row>
    <row r="126" spans="2:5" s="64" customFormat="1" ht="14.5" customHeight="1">
      <c r="B126" s="86"/>
      <c r="C126" s="58" t="s">
        <v>222</v>
      </c>
      <c r="D126" s="59">
        <v>3</v>
      </c>
      <c r="E126" s="60">
        <v>1.5924412123800001E-4</v>
      </c>
    </row>
    <row r="127" spans="2:5" s="64" customFormat="1" ht="14.5" customHeight="1">
      <c r="B127" s="86"/>
      <c r="C127" s="58" t="s">
        <v>223</v>
      </c>
      <c r="D127" s="59">
        <v>43</v>
      </c>
      <c r="E127" s="60">
        <v>2.282499071076E-3</v>
      </c>
    </row>
    <row r="128" spans="2:5" s="64" customFormat="1" ht="14.5" customHeight="1">
      <c r="B128" s="86"/>
      <c r="C128" s="58" t="s">
        <v>224</v>
      </c>
      <c r="D128" s="59">
        <v>8</v>
      </c>
      <c r="E128" s="60">
        <v>4.2465098996799999E-4</v>
      </c>
    </row>
    <row r="129" spans="2:5" s="64" customFormat="1" ht="14.5" customHeight="1">
      <c r="B129" s="86"/>
      <c r="C129" s="58" t="s">
        <v>225</v>
      </c>
      <c r="D129" s="59">
        <v>5</v>
      </c>
      <c r="E129" s="60">
        <v>2.6540686872999998E-4</v>
      </c>
    </row>
    <row r="130" spans="2:5" s="64" customFormat="1" ht="14.5" customHeight="1">
      <c r="B130" s="86"/>
      <c r="C130" s="58" t="s">
        <v>202</v>
      </c>
      <c r="D130" s="59">
        <v>19</v>
      </c>
      <c r="E130" s="60">
        <v>1.008546101173E-3</v>
      </c>
    </row>
    <row r="131" spans="2:5" s="64" customFormat="1" ht="14.5" customHeight="1">
      <c r="B131" s="86"/>
      <c r="C131" s="58" t="s">
        <v>203</v>
      </c>
      <c r="D131" s="59">
        <v>204</v>
      </c>
      <c r="E131" s="60">
        <v>1.0828600244173999E-2</v>
      </c>
    </row>
    <row r="132" spans="2:5" s="64" customFormat="1" ht="14.5" customHeight="1">
      <c r="B132" s="86"/>
      <c r="C132" s="58" t="s">
        <v>226</v>
      </c>
      <c r="D132" s="59">
        <v>8</v>
      </c>
      <c r="E132" s="60">
        <v>4.2465098996799999E-4</v>
      </c>
    </row>
    <row r="133" spans="2:5" s="64" customFormat="1" ht="14.5" customHeight="1">
      <c r="B133" s="86"/>
      <c r="C133" s="58" t="s">
        <v>227</v>
      </c>
      <c r="D133" s="59">
        <v>268</v>
      </c>
      <c r="E133" s="60">
        <v>1.4225808163914999E-2</v>
      </c>
    </row>
    <row r="134" spans="2:5" s="64" customFormat="1" ht="14.5" customHeight="1">
      <c r="B134" s="86"/>
      <c r="C134" s="58" t="s">
        <v>228</v>
      </c>
      <c r="D134" s="59">
        <v>54</v>
      </c>
      <c r="E134" s="60">
        <v>2.8663941822810002E-3</v>
      </c>
    </row>
    <row r="135" spans="2:5" s="64" customFormat="1" ht="14.5" customHeight="1">
      <c r="B135" s="86"/>
      <c r="C135" s="58" t="s">
        <v>229</v>
      </c>
      <c r="D135" s="59">
        <v>14</v>
      </c>
      <c r="E135" s="60">
        <v>7.4313923244300004E-4</v>
      </c>
    </row>
    <row r="136" spans="2:5" s="64" customFormat="1" ht="14.5" customHeight="1">
      <c r="B136" s="86"/>
      <c r="C136" s="58" t="s">
        <v>230</v>
      </c>
      <c r="D136" s="59">
        <v>77</v>
      </c>
      <c r="E136" s="60">
        <v>4.0872657784380003E-3</v>
      </c>
    </row>
    <row r="137" spans="2:5" s="64" customFormat="1" ht="14.5" customHeight="1">
      <c r="B137" s="86"/>
      <c r="C137" s="58" t="s">
        <v>231</v>
      </c>
      <c r="D137" s="59">
        <v>105</v>
      </c>
      <c r="E137" s="60">
        <v>5.5735442433249996E-3</v>
      </c>
    </row>
    <row r="138" spans="2:5" s="64" customFormat="1" ht="14.5" customHeight="1">
      <c r="B138" s="87"/>
      <c r="C138" s="35" t="s">
        <v>28</v>
      </c>
      <c r="D138" s="34">
        <v>3254</v>
      </c>
      <c r="E138" s="33">
        <v>0.17272679016933001</v>
      </c>
    </row>
    <row r="139" spans="2:5" s="64" customFormat="1" ht="14.5" customHeight="1">
      <c r="B139" s="85" t="s">
        <v>55</v>
      </c>
      <c r="C139" s="58" t="s">
        <v>204</v>
      </c>
      <c r="D139" s="59">
        <v>47</v>
      </c>
      <c r="E139" s="60">
        <v>2.4948245660600002E-3</v>
      </c>
    </row>
    <row r="140" spans="2:5" s="64" customFormat="1" ht="14.5" customHeight="1">
      <c r="B140" s="86"/>
      <c r="C140" s="58" t="s">
        <v>206</v>
      </c>
      <c r="D140" s="59">
        <v>11</v>
      </c>
      <c r="E140" s="60">
        <v>5.8389511120500003E-4</v>
      </c>
    </row>
    <row r="141" spans="2:5" s="64" customFormat="1" ht="14.5" customHeight="1">
      <c r="B141" s="86"/>
      <c r="C141" s="58" t="s">
        <v>192</v>
      </c>
      <c r="D141" s="59">
        <v>12</v>
      </c>
      <c r="E141" s="60">
        <v>6.3697648495099997E-4</v>
      </c>
    </row>
    <row r="142" spans="2:5" s="64" customFormat="1" ht="14.5" customHeight="1">
      <c r="B142" s="86"/>
      <c r="C142" s="58" t="s">
        <v>193</v>
      </c>
      <c r="D142" s="59">
        <v>218</v>
      </c>
      <c r="E142" s="60">
        <v>1.1571739476618E-2</v>
      </c>
    </row>
    <row r="143" spans="2:5" s="64" customFormat="1" ht="14.5" customHeight="1">
      <c r="B143" s="86"/>
      <c r="C143" s="58" t="s">
        <v>207</v>
      </c>
      <c r="D143" s="59">
        <v>22</v>
      </c>
      <c r="E143" s="60">
        <v>1.1677902224109999E-3</v>
      </c>
    </row>
    <row r="144" spans="2:5" s="64" customFormat="1" ht="14.5" customHeight="1">
      <c r="B144" s="86"/>
      <c r="C144" s="58" t="s">
        <v>194</v>
      </c>
      <c r="D144" s="59">
        <v>1</v>
      </c>
      <c r="E144" s="60">
        <v>5.3081373745999998E-5</v>
      </c>
    </row>
    <row r="145" spans="2:5" s="64" customFormat="1" ht="14.5" customHeight="1">
      <c r="B145" s="86"/>
      <c r="C145" s="58" t="s">
        <v>195</v>
      </c>
      <c r="D145" s="59">
        <v>42</v>
      </c>
      <c r="E145" s="60">
        <v>2.2294176973300002E-3</v>
      </c>
    </row>
    <row r="146" spans="2:5" s="64" customFormat="1" ht="14.5" customHeight="1">
      <c r="B146" s="86"/>
      <c r="C146" s="58" t="s">
        <v>208</v>
      </c>
      <c r="D146" s="59">
        <v>7</v>
      </c>
      <c r="E146" s="60">
        <v>3.71569616222E-4</v>
      </c>
    </row>
    <row r="147" spans="2:5" s="64" customFormat="1" ht="14.5" customHeight="1">
      <c r="B147" s="86"/>
      <c r="C147" s="58" t="s">
        <v>196</v>
      </c>
      <c r="D147" s="59">
        <v>88</v>
      </c>
      <c r="E147" s="60">
        <v>4.6711608896439997E-3</v>
      </c>
    </row>
    <row r="148" spans="2:5" s="64" customFormat="1" ht="14.5" customHeight="1">
      <c r="B148" s="86"/>
      <c r="C148" s="58" t="s">
        <v>209</v>
      </c>
      <c r="D148" s="59">
        <v>8</v>
      </c>
      <c r="E148" s="60">
        <v>4.2465098996799999E-4</v>
      </c>
    </row>
    <row r="149" spans="2:5" s="64" customFormat="1" ht="14.5" customHeight="1">
      <c r="B149" s="86"/>
      <c r="C149" s="58" t="s">
        <v>210</v>
      </c>
      <c r="D149" s="59">
        <v>27</v>
      </c>
      <c r="E149" s="60">
        <v>1.4331970911409999E-3</v>
      </c>
    </row>
    <row r="150" spans="2:5" s="64" customFormat="1" ht="14.5" customHeight="1">
      <c r="B150" s="86"/>
      <c r="C150" s="58" t="s">
        <v>197</v>
      </c>
      <c r="D150" s="59">
        <v>43</v>
      </c>
      <c r="E150" s="60">
        <v>2.282499071076E-3</v>
      </c>
    </row>
    <row r="151" spans="2:5" s="64" customFormat="1" ht="14.5" customHeight="1">
      <c r="B151" s="86"/>
      <c r="C151" s="58" t="s">
        <v>198</v>
      </c>
      <c r="D151" s="59">
        <v>27</v>
      </c>
      <c r="E151" s="60">
        <v>1.4331970911409999E-3</v>
      </c>
    </row>
    <row r="152" spans="2:5" s="64" customFormat="1" ht="14.5" customHeight="1">
      <c r="B152" s="86"/>
      <c r="C152" s="58" t="s">
        <v>199</v>
      </c>
      <c r="D152" s="59">
        <v>7</v>
      </c>
      <c r="E152" s="60">
        <v>3.71569616222E-4</v>
      </c>
    </row>
    <row r="153" spans="2:5" s="64" customFormat="1" ht="14.5" customHeight="1">
      <c r="B153" s="86"/>
      <c r="C153" s="58" t="s">
        <v>211</v>
      </c>
      <c r="D153" s="59">
        <v>41</v>
      </c>
      <c r="E153" s="60">
        <v>2.1763363235839999E-3</v>
      </c>
    </row>
    <row r="154" spans="2:5" s="64" customFormat="1" ht="14.5" customHeight="1">
      <c r="B154" s="86"/>
      <c r="C154" s="58" t="s">
        <v>213</v>
      </c>
      <c r="D154" s="59">
        <v>4</v>
      </c>
      <c r="E154" s="60">
        <v>2.1232549498399999E-4</v>
      </c>
    </row>
    <row r="155" spans="2:5" s="64" customFormat="1" ht="14.5" customHeight="1">
      <c r="B155" s="86"/>
      <c r="C155" s="58" t="s">
        <v>214</v>
      </c>
      <c r="D155" s="59">
        <v>16</v>
      </c>
      <c r="E155" s="60">
        <v>8.4930197993500001E-4</v>
      </c>
    </row>
    <row r="156" spans="2:5" s="64" customFormat="1" ht="14.5" customHeight="1">
      <c r="B156" s="86"/>
      <c r="C156" s="58" t="s">
        <v>215</v>
      </c>
      <c r="D156" s="59">
        <v>28</v>
      </c>
      <c r="E156" s="60">
        <v>1.4862784648869999E-3</v>
      </c>
    </row>
    <row r="157" spans="2:5" s="64" customFormat="1" ht="14.5" customHeight="1">
      <c r="B157" s="86"/>
      <c r="C157" s="58" t="s">
        <v>216</v>
      </c>
      <c r="D157" s="59">
        <v>1</v>
      </c>
      <c r="E157" s="60">
        <v>5.3081373745999998E-5</v>
      </c>
    </row>
    <row r="158" spans="2:5" s="64" customFormat="1" ht="14.5" customHeight="1">
      <c r="B158" s="86"/>
      <c r="C158" s="58" t="s">
        <v>217</v>
      </c>
      <c r="D158" s="59">
        <v>11</v>
      </c>
      <c r="E158" s="60">
        <v>5.8389511120500003E-4</v>
      </c>
    </row>
    <row r="159" spans="2:5" s="64" customFormat="1" ht="14.5" customHeight="1">
      <c r="B159" s="86"/>
      <c r="C159" s="58" t="s">
        <v>218</v>
      </c>
      <c r="D159" s="59">
        <v>53</v>
      </c>
      <c r="E159" s="60">
        <v>2.8133128085349999E-3</v>
      </c>
    </row>
    <row r="160" spans="2:5" s="64" customFormat="1" ht="14.5" customHeight="1">
      <c r="B160" s="86"/>
      <c r="C160" s="58" t="s">
        <v>219</v>
      </c>
      <c r="D160" s="59">
        <v>4</v>
      </c>
      <c r="E160" s="60">
        <v>2.1232549498399999E-4</v>
      </c>
    </row>
    <row r="161" spans="2:5" s="64" customFormat="1" ht="14.5" customHeight="1">
      <c r="B161" s="86"/>
      <c r="C161" s="58" t="s">
        <v>200</v>
      </c>
      <c r="D161" s="59">
        <v>20</v>
      </c>
      <c r="E161" s="60">
        <v>1.0616274749190001E-3</v>
      </c>
    </row>
    <row r="162" spans="2:5" s="64" customFormat="1" ht="14.5" customHeight="1">
      <c r="B162" s="86"/>
      <c r="C162" s="58" t="s">
        <v>201</v>
      </c>
      <c r="D162" s="59">
        <v>45</v>
      </c>
      <c r="E162" s="60">
        <v>2.3886618185680001E-3</v>
      </c>
    </row>
    <row r="163" spans="2:5" s="64" customFormat="1" ht="14.5" customHeight="1">
      <c r="B163" s="86"/>
      <c r="C163" s="58" t="s">
        <v>220</v>
      </c>
      <c r="D163" s="59">
        <v>18</v>
      </c>
      <c r="E163" s="60">
        <v>9.5546472742699998E-4</v>
      </c>
    </row>
    <row r="164" spans="2:5" s="64" customFormat="1" ht="14.5" customHeight="1">
      <c r="B164" s="86"/>
      <c r="C164" s="58" t="s">
        <v>221</v>
      </c>
      <c r="D164" s="59">
        <v>13</v>
      </c>
      <c r="E164" s="60">
        <v>6.90057858697E-4</v>
      </c>
    </row>
    <row r="165" spans="2:5" s="64" customFormat="1" ht="14.5" customHeight="1">
      <c r="B165" s="86"/>
      <c r="C165" s="58" t="s">
        <v>222</v>
      </c>
      <c r="D165" s="59">
        <v>1</v>
      </c>
      <c r="E165" s="60">
        <v>5.3081373745999998E-5</v>
      </c>
    </row>
    <row r="166" spans="2:5" s="64" customFormat="1" ht="14.5" customHeight="1">
      <c r="B166" s="86"/>
      <c r="C166" s="58" t="s">
        <v>223</v>
      </c>
      <c r="D166" s="59">
        <v>11</v>
      </c>
      <c r="E166" s="60">
        <v>5.8389511120500003E-4</v>
      </c>
    </row>
    <row r="167" spans="2:5" s="64" customFormat="1" ht="14.5" customHeight="1">
      <c r="B167" s="86"/>
      <c r="C167" s="58" t="s">
        <v>224</v>
      </c>
      <c r="D167" s="59">
        <v>18</v>
      </c>
      <c r="E167" s="60">
        <v>9.5546472742699998E-4</v>
      </c>
    </row>
    <row r="168" spans="2:5" s="64" customFormat="1" ht="14.5" customHeight="1">
      <c r="B168" s="86"/>
      <c r="C168" s="58" t="s">
        <v>225</v>
      </c>
      <c r="D168" s="59">
        <v>7</v>
      </c>
      <c r="E168" s="60">
        <v>3.71569616222E-4</v>
      </c>
    </row>
    <row r="169" spans="2:5" s="64" customFormat="1" ht="14.5" customHeight="1">
      <c r="B169" s="86"/>
      <c r="C169" s="58" t="s">
        <v>202</v>
      </c>
      <c r="D169" s="59">
        <v>5</v>
      </c>
      <c r="E169" s="60">
        <v>2.6540686872999998E-4</v>
      </c>
    </row>
    <row r="170" spans="2:5" s="64" customFormat="1" ht="14.5" customHeight="1">
      <c r="B170" s="86"/>
      <c r="C170" s="58" t="s">
        <v>203</v>
      </c>
      <c r="D170" s="59">
        <v>12</v>
      </c>
      <c r="E170" s="60">
        <v>6.3697648495099997E-4</v>
      </c>
    </row>
    <row r="171" spans="2:5" s="64" customFormat="1" ht="14.5" customHeight="1">
      <c r="B171" s="86"/>
      <c r="C171" s="58" t="s">
        <v>226</v>
      </c>
      <c r="D171" s="59">
        <v>1</v>
      </c>
      <c r="E171" s="60">
        <v>5.3081373745999998E-5</v>
      </c>
    </row>
    <row r="172" spans="2:5" s="64" customFormat="1" ht="14.5" customHeight="1">
      <c r="B172" s="86"/>
      <c r="C172" s="58" t="s">
        <v>227</v>
      </c>
      <c r="D172" s="59">
        <v>5</v>
      </c>
      <c r="E172" s="60">
        <v>2.6540686872999998E-4</v>
      </c>
    </row>
    <row r="173" spans="2:5" s="64" customFormat="1" ht="14.5" customHeight="1">
      <c r="B173" s="86"/>
      <c r="C173" s="58" t="s">
        <v>228</v>
      </c>
      <c r="D173" s="59">
        <v>8</v>
      </c>
      <c r="E173" s="60">
        <v>4.2465098996799999E-4</v>
      </c>
    </row>
    <row r="174" spans="2:5" s="64" customFormat="1" ht="14.5" customHeight="1">
      <c r="B174" s="86"/>
      <c r="C174" s="58" t="s">
        <v>229</v>
      </c>
      <c r="D174" s="59">
        <v>23</v>
      </c>
      <c r="E174" s="60">
        <v>1.220871596157E-3</v>
      </c>
    </row>
    <row r="175" spans="2:5" s="64" customFormat="1" ht="14.5" customHeight="1">
      <c r="B175" s="86"/>
      <c r="C175" s="58" t="s">
        <v>230</v>
      </c>
      <c r="D175" s="59">
        <v>5</v>
      </c>
      <c r="E175" s="60">
        <v>2.6540686872999998E-4</v>
      </c>
    </row>
    <row r="176" spans="2:5" s="64" customFormat="1" ht="14.5" customHeight="1">
      <c r="B176" s="86"/>
      <c r="C176" s="58" t="s">
        <v>231</v>
      </c>
      <c r="D176" s="59">
        <v>26</v>
      </c>
      <c r="E176" s="60">
        <v>1.3801157173950001E-3</v>
      </c>
    </row>
    <row r="177" spans="2:5" s="64" customFormat="1" ht="14.5" customHeight="1">
      <c r="B177" s="87"/>
      <c r="C177" s="35" t="s">
        <v>28</v>
      </c>
      <c r="D177" s="34">
        <v>936</v>
      </c>
      <c r="E177" s="33">
        <v>4.9684165826211997E-2</v>
      </c>
    </row>
    <row r="178" spans="2:5" s="64" customFormat="1" ht="14.5" customHeight="1">
      <c r="B178" s="85" t="s">
        <v>56</v>
      </c>
      <c r="C178" s="58" t="s">
        <v>193</v>
      </c>
      <c r="D178" s="59">
        <v>3</v>
      </c>
      <c r="E178" s="60">
        <v>1.5924412123800001E-4</v>
      </c>
    </row>
    <row r="179" spans="2:5" s="64" customFormat="1" ht="14.5" customHeight="1">
      <c r="B179" s="86"/>
      <c r="C179" s="58" t="s">
        <v>195</v>
      </c>
      <c r="D179" s="59">
        <v>1</v>
      </c>
      <c r="E179" s="60">
        <v>5.3081373745999998E-5</v>
      </c>
    </row>
    <row r="180" spans="2:5" s="64" customFormat="1" ht="14.5" customHeight="1">
      <c r="B180" s="87"/>
      <c r="C180" s="35" t="s">
        <v>28</v>
      </c>
      <c r="D180" s="34">
        <v>4</v>
      </c>
      <c r="E180" s="33">
        <v>2.1232549498399999E-4</v>
      </c>
    </row>
    <row r="181" spans="2:5" s="64" customFormat="1" ht="14.5" customHeight="1">
      <c r="B181" s="85" t="s">
        <v>57</v>
      </c>
      <c r="C181" s="58" t="s">
        <v>193</v>
      </c>
      <c r="D181" s="59">
        <v>9</v>
      </c>
      <c r="E181" s="60">
        <v>4.7773236371400003E-4</v>
      </c>
    </row>
    <row r="182" spans="2:5" s="64" customFormat="1" ht="14.5" customHeight="1">
      <c r="B182" s="86"/>
      <c r="C182" s="58" t="s">
        <v>199</v>
      </c>
      <c r="D182" s="59">
        <v>2</v>
      </c>
      <c r="E182" s="60">
        <v>1.06162747492E-4</v>
      </c>
    </row>
    <row r="183" spans="2:5" s="64" customFormat="1" ht="14.5" customHeight="1">
      <c r="B183" s="86"/>
      <c r="C183" s="58" t="s">
        <v>217</v>
      </c>
      <c r="D183" s="59">
        <v>1</v>
      </c>
      <c r="E183" s="60">
        <v>5.3081373745999998E-5</v>
      </c>
    </row>
    <row r="184" spans="2:5" s="64" customFormat="1" ht="14.5" customHeight="1">
      <c r="B184" s="86"/>
      <c r="C184" s="58" t="s">
        <v>219</v>
      </c>
      <c r="D184" s="59">
        <v>1</v>
      </c>
      <c r="E184" s="60">
        <v>5.3081373745999998E-5</v>
      </c>
    </row>
    <row r="185" spans="2:5" s="64" customFormat="1" ht="14.5" customHeight="1">
      <c r="B185" s="86"/>
      <c r="C185" s="58" t="s">
        <v>200</v>
      </c>
      <c r="D185" s="59">
        <v>1</v>
      </c>
      <c r="E185" s="60">
        <v>5.3081373745999998E-5</v>
      </c>
    </row>
    <row r="186" spans="2:5" s="64" customFormat="1" ht="14.5" customHeight="1">
      <c r="B186" s="86"/>
      <c r="C186" s="58" t="s">
        <v>203</v>
      </c>
      <c r="D186" s="59">
        <v>1</v>
      </c>
      <c r="E186" s="60">
        <v>5.3081373745999998E-5</v>
      </c>
    </row>
    <row r="187" spans="2:5" s="64" customFormat="1" ht="14.5" customHeight="1">
      <c r="B187" s="86"/>
      <c r="C187" s="58" t="s">
        <v>231</v>
      </c>
      <c r="D187" s="59">
        <v>1</v>
      </c>
      <c r="E187" s="60">
        <v>5.3081373745999998E-5</v>
      </c>
    </row>
    <row r="188" spans="2:5" s="64" customFormat="1" ht="14.5" customHeight="1">
      <c r="B188" s="87"/>
      <c r="C188" s="35" t="s">
        <v>28</v>
      </c>
      <c r="D188" s="34">
        <v>16</v>
      </c>
      <c r="E188" s="33">
        <v>8.4930197993500001E-4</v>
      </c>
    </row>
    <row r="189" spans="2:5" s="64" customFormat="1" ht="14.5" customHeight="1">
      <c r="B189" s="85" t="s">
        <v>58</v>
      </c>
      <c r="C189" s="58" t="s">
        <v>204</v>
      </c>
      <c r="D189" s="59">
        <v>3</v>
      </c>
      <c r="E189" s="60">
        <v>1.5924412123800001E-4</v>
      </c>
    </row>
    <row r="190" spans="2:5" s="64" customFormat="1" ht="14.5" customHeight="1">
      <c r="B190" s="86"/>
      <c r="C190" s="58" t="s">
        <v>192</v>
      </c>
      <c r="D190" s="59">
        <v>6</v>
      </c>
      <c r="E190" s="60">
        <v>3.1848824247600002E-4</v>
      </c>
    </row>
    <row r="191" spans="2:5" s="64" customFormat="1" ht="14.5" customHeight="1">
      <c r="B191" s="86"/>
      <c r="C191" s="58" t="s">
        <v>193</v>
      </c>
      <c r="D191" s="59">
        <v>34</v>
      </c>
      <c r="E191" s="60">
        <v>1.8047667073620001E-3</v>
      </c>
    </row>
    <row r="192" spans="2:5" s="64" customFormat="1" ht="14.5" customHeight="1">
      <c r="B192" s="86"/>
      <c r="C192" s="58" t="s">
        <v>207</v>
      </c>
      <c r="D192" s="59">
        <v>3</v>
      </c>
      <c r="E192" s="60">
        <v>1.5924412123800001E-4</v>
      </c>
    </row>
    <row r="193" spans="2:5" s="64" customFormat="1" ht="14.5" customHeight="1">
      <c r="B193" s="86"/>
      <c r="C193" s="58" t="s">
        <v>194</v>
      </c>
      <c r="D193" s="59">
        <v>5</v>
      </c>
      <c r="E193" s="60">
        <v>2.6540686872999998E-4</v>
      </c>
    </row>
    <row r="194" spans="2:5" s="64" customFormat="1" ht="14.5" customHeight="1">
      <c r="B194" s="86"/>
      <c r="C194" s="58" t="s">
        <v>195</v>
      </c>
      <c r="D194" s="59">
        <v>11</v>
      </c>
      <c r="E194" s="60">
        <v>5.8389511120500003E-4</v>
      </c>
    </row>
    <row r="195" spans="2:5" s="64" customFormat="1" ht="14.5" customHeight="1">
      <c r="B195" s="86"/>
      <c r="C195" s="58" t="s">
        <v>208</v>
      </c>
      <c r="D195" s="59">
        <v>5</v>
      </c>
      <c r="E195" s="60">
        <v>2.6540686872999998E-4</v>
      </c>
    </row>
    <row r="196" spans="2:5" s="64" customFormat="1" ht="14.5" customHeight="1">
      <c r="B196" s="86"/>
      <c r="C196" s="58" t="s">
        <v>196</v>
      </c>
      <c r="D196" s="59">
        <v>21</v>
      </c>
      <c r="E196" s="60">
        <v>1.1147088486650001E-3</v>
      </c>
    </row>
    <row r="197" spans="2:5" s="64" customFormat="1" ht="14.5" customHeight="1">
      <c r="B197" s="86"/>
      <c r="C197" s="58" t="s">
        <v>209</v>
      </c>
      <c r="D197" s="59">
        <v>8</v>
      </c>
      <c r="E197" s="60">
        <v>4.2465098996799999E-4</v>
      </c>
    </row>
    <row r="198" spans="2:5" s="64" customFormat="1" ht="14.5" customHeight="1">
      <c r="B198" s="86"/>
      <c r="C198" s="58" t="s">
        <v>197</v>
      </c>
      <c r="D198" s="59">
        <v>7</v>
      </c>
      <c r="E198" s="60">
        <v>3.71569616222E-4</v>
      </c>
    </row>
    <row r="199" spans="2:5" s="64" customFormat="1" ht="14.5" customHeight="1">
      <c r="B199" s="86"/>
      <c r="C199" s="58" t="s">
        <v>198</v>
      </c>
      <c r="D199" s="59">
        <v>4</v>
      </c>
      <c r="E199" s="60">
        <v>2.1232549498399999E-4</v>
      </c>
    </row>
    <row r="200" spans="2:5" s="64" customFormat="1" ht="14.5" customHeight="1">
      <c r="B200" s="86"/>
      <c r="C200" s="58" t="s">
        <v>199</v>
      </c>
      <c r="D200" s="59">
        <v>8</v>
      </c>
      <c r="E200" s="60">
        <v>4.2465098996799999E-4</v>
      </c>
    </row>
    <row r="201" spans="2:5" s="64" customFormat="1" ht="14.5" customHeight="1">
      <c r="B201" s="86"/>
      <c r="C201" s="58" t="s">
        <v>211</v>
      </c>
      <c r="D201" s="59">
        <v>4</v>
      </c>
      <c r="E201" s="60">
        <v>2.1232549498399999E-4</v>
      </c>
    </row>
    <row r="202" spans="2:5" s="64" customFormat="1" ht="14.5" customHeight="1">
      <c r="B202" s="86"/>
      <c r="C202" s="58" t="s">
        <v>212</v>
      </c>
      <c r="D202" s="59">
        <v>2</v>
      </c>
      <c r="E202" s="60">
        <v>1.06162747492E-4</v>
      </c>
    </row>
    <row r="203" spans="2:5" s="64" customFormat="1" ht="14.5" customHeight="1">
      <c r="B203" s="86"/>
      <c r="C203" s="58" t="s">
        <v>213</v>
      </c>
      <c r="D203" s="59">
        <v>1</v>
      </c>
      <c r="E203" s="60">
        <v>5.3081373745999998E-5</v>
      </c>
    </row>
    <row r="204" spans="2:5" s="64" customFormat="1" ht="14.5" customHeight="1">
      <c r="B204" s="86"/>
      <c r="C204" s="58" t="s">
        <v>214</v>
      </c>
      <c r="D204" s="59">
        <v>2</v>
      </c>
      <c r="E204" s="60">
        <v>1.06162747492E-4</v>
      </c>
    </row>
    <row r="205" spans="2:5" s="64" customFormat="1" ht="14.5" customHeight="1">
      <c r="B205" s="86"/>
      <c r="C205" s="58" t="s">
        <v>215</v>
      </c>
      <c r="D205" s="59">
        <v>2</v>
      </c>
      <c r="E205" s="60">
        <v>1.06162747492E-4</v>
      </c>
    </row>
    <row r="206" spans="2:5" s="64" customFormat="1" ht="14.5" customHeight="1">
      <c r="B206" s="86"/>
      <c r="C206" s="58" t="s">
        <v>216</v>
      </c>
      <c r="D206" s="59">
        <v>5</v>
      </c>
      <c r="E206" s="60">
        <v>2.6540686872999998E-4</v>
      </c>
    </row>
    <row r="207" spans="2:5" s="64" customFormat="1" ht="14.5" customHeight="1">
      <c r="B207" s="86"/>
      <c r="C207" s="58" t="s">
        <v>217</v>
      </c>
      <c r="D207" s="59">
        <v>2</v>
      </c>
      <c r="E207" s="60">
        <v>1.06162747492E-4</v>
      </c>
    </row>
    <row r="208" spans="2:5" s="64" customFormat="1" ht="14.5" customHeight="1">
      <c r="B208" s="86"/>
      <c r="C208" s="58" t="s">
        <v>218</v>
      </c>
      <c r="D208" s="59">
        <v>1</v>
      </c>
      <c r="E208" s="60">
        <v>5.3081373745999998E-5</v>
      </c>
    </row>
    <row r="209" spans="2:5" s="64" customFormat="1" ht="14.5" customHeight="1">
      <c r="B209" s="86"/>
      <c r="C209" s="58" t="s">
        <v>219</v>
      </c>
      <c r="D209" s="59">
        <v>1</v>
      </c>
      <c r="E209" s="60">
        <v>5.3081373745999998E-5</v>
      </c>
    </row>
    <row r="210" spans="2:5" s="64" customFormat="1" ht="14.5" customHeight="1">
      <c r="B210" s="86"/>
      <c r="C210" s="58" t="s">
        <v>201</v>
      </c>
      <c r="D210" s="59">
        <v>2</v>
      </c>
      <c r="E210" s="60">
        <v>1.06162747492E-4</v>
      </c>
    </row>
    <row r="211" spans="2:5" s="64" customFormat="1" ht="14.5" customHeight="1">
      <c r="B211" s="86"/>
      <c r="C211" s="58" t="s">
        <v>220</v>
      </c>
      <c r="D211" s="59">
        <v>3</v>
      </c>
      <c r="E211" s="60">
        <v>1.5924412123800001E-4</v>
      </c>
    </row>
    <row r="212" spans="2:5" s="64" customFormat="1" ht="14.5" customHeight="1">
      <c r="B212" s="86"/>
      <c r="C212" s="58" t="s">
        <v>221</v>
      </c>
      <c r="D212" s="59">
        <v>5</v>
      </c>
      <c r="E212" s="60">
        <v>2.6540686872999998E-4</v>
      </c>
    </row>
    <row r="213" spans="2:5" s="64" customFormat="1" ht="14.5" customHeight="1">
      <c r="B213" s="86"/>
      <c r="C213" s="58" t="s">
        <v>222</v>
      </c>
      <c r="D213" s="59">
        <v>2</v>
      </c>
      <c r="E213" s="60">
        <v>1.06162747492E-4</v>
      </c>
    </row>
    <row r="214" spans="2:5" s="64" customFormat="1" ht="14.5" customHeight="1">
      <c r="B214" s="86"/>
      <c r="C214" s="58" t="s">
        <v>223</v>
      </c>
      <c r="D214" s="59">
        <v>2</v>
      </c>
      <c r="E214" s="60">
        <v>1.06162747492E-4</v>
      </c>
    </row>
    <row r="215" spans="2:5" s="64" customFormat="1" ht="14.5" customHeight="1">
      <c r="B215" s="86"/>
      <c r="C215" s="58" t="s">
        <v>202</v>
      </c>
      <c r="D215" s="59">
        <v>3</v>
      </c>
      <c r="E215" s="60">
        <v>1.5924412123800001E-4</v>
      </c>
    </row>
    <row r="216" spans="2:5" s="64" customFormat="1" ht="14.5" customHeight="1">
      <c r="B216" s="86"/>
      <c r="C216" s="58" t="s">
        <v>203</v>
      </c>
      <c r="D216" s="59">
        <v>12</v>
      </c>
      <c r="E216" s="60">
        <v>6.3697648495099997E-4</v>
      </c>
    </row>
    <row r="217" spans="2:5" s="64" customFormat="1" ht="14.5" customHeight="1">
      <c r="B217" s="86"/>
      <c r="C217" s="58" t="s">
        <v>226</v>
      </c>
      <c r="D217" s="59">
        <v>2</v>
      </c>
      <c r="E217" s="60">
        <v>1.06162747492E-4</v>
      </c>
    </row>
    <row r="218" spans="2:5" s="64" customFormat="1" ht="14.5" customHeight="1">
      <c r="B218" s="86"/>
      <c r="C218" s="58" t="s">
        <v>227</v>
      </c>
      <c r="D218" s="59">
        <v>2</v>
      </c>
      <c r="E218" s="60">
        <v>1.06162747492E-4</v>
      </c>
    </row>
    <row r="219" spans="2:5" s="64" customFormat="1" ht="14.5" customHeight="1">
      <c r="B219" s="86"/>
      <c r="C219" s="58" t="s">
        <v>228</v>
      </c>
      <c r="D219" s="59">
        <v>2</v>
      </c>
      <c r="E219" s="60">
        <v>1.06162747492E-4</v>
      </c>
    </row>
    <row r="220" spans="2:5" s="64" customFormat="1" ht="14.5" customHeight="1">
      <c r="B220" s="86"/>
      <c r="C220" s="58" t="s">
        <v>230</v>
      </c>
      <c r="D220" s="59">
        <v>1</v>
      </c>
      <c r="E220" s="60">
        <v>5.3081373745999998E-5</v>
      </c>
    </row>
    <row r="221" spans="2:5" s="64" customFormat="1" ht="14.5" customHeight="1">
      <c r="B221" s="86"/>
      <c r="C221" s="58" t="s">
        <v>231</v>
      </c>
      <c r="D221" s="59">
        <v>4</v>
      </c>
      <c r="E221" s="60">
        <v>2.1232549498399999E-4</v>
      </c>
    </row>
    <row r="222" spans="2:5" s="64" customFormat="1" ht="14.5" customHeight="1">
      <c r="B222" s="87"/>
      <c r="C222" s="35" t="s">
        <v>28</v>
      </c>
      <c r="D222" s="34">
        <v>175</v>
      </c>
      <c r="E222" s="33">
        <v>9.289240405542E-3</v>
      </c>
    </row>
    <row r="223" spans="2:5" s="64" customFormat="1" ht="14.5" customHeight="1">
      <c r="B223" s="85" t="s">
        <v>59</v>
      </c>
      <c r="C223" s="58" t="s">
        <v>204</v>
      </c>
      <c r="D223" s="59">
        <v>11</v>
      </c>
      <c r="E223" s="60">
        <v>5.8389511120500003E-4</v>
      </c>
    </row>
    <row r="224" spans="2:5" s="64" customFormat="1" ht="14.5" customHeight="1">
      <c r="B224" s="86"/>
      <c r="C224" s="58" t="s">
        <v>205</v>
      </c>
      <c r="D224" s="59">
        <v>2</v>
      </c>
      <c r="E224" s="60">
        <v>1.06162747492E-4</v>
      </c>
    </row>
    <row r="225" spans="2:5" s="64" customFormat="1" ht="14.5" customHeight="1">
      <c r="B225" s="86"/>
      <c r="C225" s="58" t="s">
        <v>192</v>
      </c>
      <c r="D225" s="59">
        <v>2</v>
      </c>
      <c r="E225" s="60">
        <v>1.06162747492E-4</v>
      </c>
    </row>
    <row r="226" spans="2:5" s="64" customFormat="1" ht="14.5" customHeight="1">
      <c r="B226" s="86"/>
      <c r="C226" s="58" t="s">
        <v>193</v>
      </c>
      <c r="D226" s="59">
        <v>113</v>
      </c>
      <c r="E226" s="60">
        <v>5.9981952332929999E-3</v>
      </c>
    </row>
    <row r="227" spans="2:5" s="64" customFormat="1" ht="14.5" customHeight="1">
      <c r="B227" s="86"/>
      <c r="C227" s="58" t="s">
        <v>207</v>
      </c>
      <c r="D227" s="59">
        <v>2</v>
      </c>
      <c r="E227" s="60">
        <v>1.06162747492E-4</v>
      </c>
    </row>
    <row r="228" spans="2:5" s="64" customFormat="1" ht="14.5" customHeight="1">
      <c r="B228" s="86"/>
      <c r="C228" s="58" t="s">
        <v>194</v>
      </c>
      <c r="D228" s="59">
        <v>7</v>
      </c>
      <c r="E228" s="60">
        <v>3.71569616222E-4</v>
      </c>
    </row>
    <row r="229" spans="2:5" s="64" customFormat="1" ht="14.5" customHeight="1">
      <c r="B229" s="86"/>
      <c r="C229" s="58" t="s">
        <v>195</v>
      </c>
      <c r="D229" s="59">
        <v>56</v>
      </c>
      <c r="E229" s="60">
        <v>2.9725569297729998E-3</v>
      </c>
    </row>
    <row r="230" spans="2:5" s="64" customFormat="1" ht="14.5" customHeight="1">
      <c r="B230" s="86"/>
      <c r="C230" s="58" t="s">
        <v>208</v>
      </c>
      <c r="D230" s="59">
        <v>2</v>
      </c>
      <c r="E230" s="60">
        <v>1.06162747492E-4</v>
      </c>
    </row>
    <row r="231" spans="2:5" s="64" customFormat="1" ht="14.5" customHeight="1">
      <c r="B231" s="86"/>
      <c r="C231" s="58" t="s">
        <v>196</v>
      </c>
      <c r="D231" s="59">
        <v>19</v>
      </c>
      <c r="E231" s="60">
        <v>1.008546101173E-3</v>
      </c>
    </row>
    <row r="232" spans="2:5" s="64" customFormat="1" ht="14.5" customHeight="1">
      <c r="B232" s="86"/>
      <c r="C232" s="58" t="s">
        <v>197</v>
      </c>
      <c r="D232" s="59">
        <v>7</v>
      </c>
      <c r="E232" s="60">
        <v>3.71569616222E-4</v>
      </c>
    </row>
    <row r="233" spans="2:5" s="64" customFormat="1" ht="14.5" customHeight="1">
      <c r="B233" s="86"/>
      <c r="C233" s="58" t="s">
        <v>198</v>
      </c>
      <c r="D233" s="59">
        <v>1</v>
      </c>
      <c r="E233" s="60">
        <v>5.3081373745999998E-5</v>
      </c>
    </row>
    <row r="234" spans="2:5" s="64" customFormat="1" ht="14.5" customHeight="1">
      <c r="B234" s="86"/>
      <c r="C234" s="58" t="s">
        <v>199</v>
      </c>
      <c r="D234" s="59">
        <v>3</v>
      </c>
      <c r="E234" s="60">
        <v>1.5924412123800001E-4</v>
      </c>
    </row>
    <row r="235" spans="2:5" s="64" customFormat="1" ht="14.5" customHeight="1">
      <c r="B235" s="86"/>
      <c r="C235" s="58" t="s">
        <v>213</v>
      </c>
      <c r="D235" s="59">
        <v>5</v>
      </c>
      <c r="E235" s="60">
        <v>2.6540686872999998E-4</v>
      </c>
    </row>
    <row r="236" spans="2:5" s="64" customFormat="1" ht="14.5" customHeight="1">
      <c r="B236" s="86"/>
      <c r="C236" s="58" t="s">
        <v>214</v>
      </c>
      <c r="D236" s="59">
        <v>3</v>
      </c>
      <c r="E236" s="60">
        <v>1.5924412123800001E-4</v>
      </c>
    </row>
    <row r="237" spans="2:5" s="64" customFormat="1" ht="14.5" customHeight="1">
      <c r="B237" s="86"/>
      <c r="C237" s="58" t="s">
        <v>215</v>
      </c>
      <c r="D237" s="59">
        <v>1</v>
      </c>
      <c r="E237" s="60">
        <v>5.3081373745999998E-5</v>
      </c>
    </row>
    <row r="238" spans="2:5" s="64" customFormat="1" ht="14.5" customHeight="1">
      <c r="B238" s="86"/>
      <c r="C238" s="58" t="s">
        <v>216</v>
      </c>
      <c r="D238" s="59">
        <v>3</v>
      </c>
      <c r="E238" s="60">
        <v>1.5924412123800001E-4</v>
      </c>
    </row>
    <row r="239" spans="2:5" s="64" customFormat="1" ht="14.5" customHeight="1">
      <c r="B239" s="86"/>
      <c r="C239" s="58" t="s">
        <v>218</v>
      </c>
      <c r="D239" s="59">
        <v>4</v>
      </c>
      <c r="E239" s="60">
        <v>2.1232549498399999E-4</v>
      </c>
    </row>
    <row r="240" spans="2:5" s="64" customFormat="1" ht="14.5" customHeight="1">
      <c r="B240" s="86"/>
      <c r="C240" s="58" t="s">
        <v>219</v>
      </c>
      <c r="D240" s="59">
        <v>5</v>
      </c>
      <c r="E240" s="60">
        <v>2.6540686872999998E-4</v>
      </c>
    </row>
    <row r="241" spans="2:5" s="64" customFormat="1" ht="14.5" customHeight="1">
      <c r="B241" s="86"/>
      <c r="C241" s="58" t="s">
        <v>200</v>
      </c>
      <c r="D241" s="59">
        <v>7</v>
      </c>
      <c r="E241" s="60">
        <v>3.71569616222E-4</v>
      </c>
    </row>
    <row r="242" spans="2:5" s="64" customFormat="1" ht="14.5" customHeight="1">
      <c r="B242" s="86"/>
      <c r="C242" s="58" t="s">
        <v>201</v>
      </c>
      <c r="D242" s="59">
        <v>2</v>
      </c>
      <c r="E242" s="60">
        <v>1.06162747492E-4</v>
      </c>
    </row>
    <row r="243" spans="2:5" s="64" customFormat="1" ht="14.5" customHeight="1">
      <c r="B243" s="86"/>
      <c r="C243" s="58" t="s">
        <v>221</v>
      </c>
      <c r="D243" s="59">
        <v>2</v>
      </c>
      <c r="E243" s="60">
        <v>1.06162747492E-4</v>
      </c>
    </row>
    <row r="244" spans="2:5" s="64" customFormat="1" ht="14.5" customHeight="1">
      <c r="B244" s="86"/>
      <c r="C244" s="58" t="s">
        <v>222</v>
      </c>
      <c r="D244" s="59">
        <v>1</v>
      </c>
      <c r="E244" s="60">
        <v>5.3081373745999998E-5</v>
      </c>
    </row>
    <row r="245" spans="2:5" s="64" customFormat="1" ht="14.5" customHeight="1">
      <c r="B245" s="86"/>
      <c r="C245" s="58" t="s">
        <v>223</v>
      </c>
      <c r="D245" s="59">
        <v>2</v>
      </c>
      <c r="E245" s="60">
        <v>1.06162747492E-4</v>
      </c>
    </row>
    <row r="246" spans="2:5" s="64" customFormat="1" ht="14.5" customHeight="1">
      <c r="B246" s="86"/>
      <c r="C246" s="58" t="s">
        <v>225</v>
      </c>
      <c r="D246" s="59">
        <v>1</v>
      </c>
      <c r="E246" s="60">
        <v>5.3081373745999998E-5</v>
      </c>
    </row>
    <row r="247" spans="2:5" s="64" customFormat="1" ht="14.5" customHeight="1">
      <c r="B247" s="86"/>
      <c r="C247" s="58" t="s">
        <v>202</v>
      </c>
      <c r="D247" s="59">
        <v>4</v>
      </c>
      <c r="E247" s="60">
        <v>2.1232549498399999E-4</v>
      </c>
    </row>
    <row r="248" spans="2:5" s="64" customFormat="1" ht="14.5" customHeight="1">
      <c r="B248" s="86"/>
      <c r="C248" s="58" t="s">
        <v>203</v>
      </c>
      <c r="D248" s="59">
        <v>22</v>
      </c>
      <c r="E248" s="60">
        <v>1.1677902224109999E-3</v>
      </c>
    </row>
    <row r="249" spans="2:5" s="64" customFormat="1" ht="14.5" customHeight="1">
      <c r="B249" s="86"/>
      <c r="C249" s="58" t="s">
        <v>228</v>
      </c>
      <c r="D249" s="59">
        <v>2</v>
      </c>
      <c r="E249" s="60">
        <v>1.06162747492E-4</v>
      </c>
    </row>
    <row r="250" spans="2:5" s="64" customFormat="1" ht="14.5" customHeight="1">
      <c r="B250" s="86"/>
      <c r="C250" s="58" t="s">
        <v>231</v>
      </c>
      <c r="D250" s="59">
        <v>3</v>
      </c>
      <c r="E250" s="60">
        <v>1.5924412123800001E-4</v>
      </c>
    </row>
    <row r="251" spans="2:5" s="64" customFormat="1" ht="14.5" customHeight="1">
      <c r="B251" s="87"/>
      <c r="C251" s="35" t="s">
        <v>28</v>
      </c>
      <c r="D251" s="34">
        <v>292</v>
      </c>
      <c r="E251" s="33">
        <v>1.5499761133817999E-2</v>
      </c>
    </row>
    <row r="252" spans="2:5" s="64" customFormat="1" ht="14.5" customHeight="1">
      <c r="B252" s="85" t="s">
        <v>60</v>
      </c>
      <c r="C252" s="58" t="s">
        <v>211</v>
      </c>
      <c r="D252" s="59">
        <v>1</v>
      </c>
      <c r="E252" s="60">
        <v>5.3081373745999998E-5</v>
      </c>
    </row>
    <row r="253" spans="2:5" s="64" customFormat="1" ht="14.5" customHeight="1">
      <c r="B253" s="87"/>
      <c r="C253" s="35" t="s">
        <v>28</v>
      </c>
      <c r="D253" s="34">
        <v>1</v>
      </c>
      <c r="E253" s="33">
        <v>5.3081373745999998E-5</v>
      </c>
    </row>
    <row r="254" spans="2:5" s="64" customFormat="1" ht="14.5" customHeight="1">
      <c r="B254" s="85" t="s">
        <v>61</v>
      </c>
      <c r="C254" s="58" t="s">
        <v>204</v>
      </c>
      <c r="D254" s="59">
        <v>1</v>
      </c>
      <c r="E254" s="60">
        <v>5.3081373745999998E-5</v>
      </c>
    </row>
    <row r="255" spans="2:5" s="64" customFormat="1" ht="14.5" customHeight="1">
      <c r="B255" s="86"/>
      <c r="C255" s="58" t="s">
        <v>192</v>
      </c>
      <c r="D255" s="59">
        <v>1</v>
      </c>
      <c r="E255" s="60">
        <v>5.3081373745999998E-5</v>
      </c>
    </row>
    <row r="256" spans="2:5" s="64" customFormat="1" ht="14.5" customHeight="1">
      <c r="B256" s="86"/>
      <c r="C256" s="58" t="s">
        <v>193</v>
      </c>
      <c r="D256" s="59">
        <v>8</v>
      </c>
      <c r="E256" s="60">
        <v>4.2465098996799999E-4</v>
      </c>
    </row>
    <row r="257" spans="2:5" s="64" customFormat="1" ht="14.5" customHeight="1">
      <c r="B257" s="86"/>
      <c r="C257" s="58" t="s">
        <v>207</v>
      </c>
      <c r="D257" s="59">
        <v>2</v>
      </c>
      <c r="E257" s="60">
        <v>1.06162747492E-4</v>
      </c>
    </row>
    <row r="258" spans="2:5" s="64" customFormat="1" ht="14.5" customHeight="1">
      <c r="B258" s="86"/>
      <c r="C258" s="58" t="s">
        <v>195</v>
      </c>
      <c r="D258" s="59">
        <v>2</v>
      </c>
      <c r="E258" s="60">
        <v>1.06162747492E-4</v>
      </c>
    </row>
    <row r="259" spans="2:5" s="64" customFormat="1" ht="14.5" customHeight="1">
      <c r="B259" s="86"/>
      <c r="C259" s="58" t="s">
        <v>196</v>
      </c>
      <c r="D259" s="59">
        <v>14</v>
      </c>
      <c r="E259" s="60">
        <v>7.4313923244300004E-4</v>
      </c>
    </row>
    <row r="260" spans="2:5" s="64" customFormat="1" ht="14.5" customHeight="1">
      <c r="B260" s="86"/>
      <c r="C260" s="58" t="s">
        <v>197</v>
      </c>
      <c r="D260" s="59">
        <v>6</v>
      </c>
      <c r="E260" s="60">
        <v>3.1848824247600002E-4</v>
      </c>
    </row>
    <row r="261" spans="2:5" s="64" customFormat="1" ht="14.5" customHeight="1">
      <c r="B261" s="86"/>
      <c r="C261" s="58" t="s">
        <v>198</v>
      </c>
      <c r="D261" s="59">
        <v>1</v>
      </c>
      <c r="E261" s="60">
        <v>5.3081373745999998E-5</v>
      </c>
    </row>
    <row r="262" spans="2:5" s="64" customFormat="1" ht="14.5" customHeight="1">
      <c r="B262" s="86"/>
      <c r="C262" s="58" t="s">
        <v>199</v>
      </c>
      <c r="D262" s="59">
        <v>4</v>
      </c>
      <c r="E262" s="60">
        <v>2.1232549498399999E-4</v>
      </c>
    </row>
    <row r="263" spans="2:5" s="64" customFormat="1" ht="14.5" customHeight="1">
      <c r="B263" s="86"/>
      <c r="C263" s="58" t="s">
        <v>212</v>
      </c>
      <c r="D263" s="59">
        <v>1</v>
      </c>
      <c r="E263" s="60">
        <v>5.3081373745999998E-5</v>
      </c>
    </row>
    <row r="264" spans="2:5" s="64" customFormat="1" ht="14.5" customHeight="1">
      <c r="B264" s="86"/>
      <c r="C264" s="58" t="s">
        <v>214</v>
      </c>
      <c r="D264" s="59">
        <v>1</v>
      </c>
      <c r="E264" s="60">
        <v>5.3081373745999998E-5</v>
      </c>
    </row>
    <row r="265" spans="2:5" s="64" customFormat="1" ht="14.5" customHeight="1">
      <c r="B265" s="86"/>
      <c r="C265" s="58" t="s">
        <v>217</v>
      </c>
      <c r="D265" s="59">
        <v>2</v>
      </c>
      <c r="E265" s="60">
        <v>1.06162747492E-4</v>
      </c>
    </row>
    <row r="266" spans="2:5" s="64" customFormat="1" ht="14.5" customHeight="1">
      <c r="B266" s="86"/>
      <c r="C266" s="58" t="s">
        <v>218</v>
      </c>
      <c r="D266" s="59">
        <v>3</v>
      </c>
      <c r="E266" s="60">
        <v>1.5924412123800001E-4</v>
      </c>
    </row>
    <row r="267" spans="2:5" s="64" customFormat="1" ht="14.5" customHeight="1">
      <c r="B267" s="86"/>
      <c r="C267" s="58" t="s">
        <v>219</v>
      </c>
      <c r="D267" s="59">
        <v>1</v>
      </c>
      <c r="E267" s="60">
        <v>5.3081373745999998E-5</v>
      </c>
    </row>
    <row r="268" spans="2:5" s="64" customFormat="1" ht="14.5" customHeight="1">
      <c r="B268" s="86"/>
      <c r="C268" s="58" t="s">
        <v>201</v>
      </c>
      <c r="D268" s="59">
        <v>6</v>
      </c>
      <c r="E268" s="60">
        <v>3.1848824247600002E-4</v>
      </c>
    </row>
    <row r="269" spans="2:5" s="64" customFormat="1" ht="14.5" customHeight="1">
      <c r="B269" s="86"/>
      <c r="C269" s="58" t="s">
        <v>220</v>
      </c>
      <c r="D269" s="59">
        <v>1</v>
      </c>
      <c r="E269" s="60">
        <v>5.3081373745999998E-5</v>
      </c>
    </row>
    <row r="270" spans="2:5" s="64" customFormat="1" ht="14.5" customHeight="1">
      <c r="B270" s="86"/>
      <c r="C270" s="58" t="s">
        <v>221</v>
      </c>
      <c r="D270" s="59">
        <v>4</v>
      </c>
      <c r="E270" s="60">
        <v>2.1232549498399999E-4</v>
      </c>
    </row>
    <row r="271" spans="2:5" s="64" customFormat="1" ht="14.5" customHeight="1">
      <c r="B271" s="86"/>
      <c r="C271" s="58" t="s">
        <v>203</v>
      </c>
      <c r="D271" s="59">
        <v>1</v>
      </c>
      <c r="E271" s="60">
        <v>5.3081373745999998E-5</v>
      </c>
    </row>
    <row r="272" spans="2:5" s="64" customFormat="1" ht="14.5" customHeight="1">
      <c r="B272" s="86"/>
      <c r="C272" s="58" t="s">
        <v>227</v>
      </c>
      <c r="D272" s="59">
        <v>11</v>
      </c>
      <c r="E272" s="60">
        <v>5.8389511120500003E-4</v>
      </c>
    </row>
    <row r="273" spans="2:5" s="64" customFormat="1" ht="14.5" customHeight="1">
      <c r="B273" s="86"/>
      <c r="C273" s="58" t="s">
        <v>228</v>
      </c>
      <c r="D273" s="59">
        <v>1</v>
      </c>
      <c r="E273" s="60">
        <v>5.3081373745999998E-5</v>
      </c>
    </row>
    <row r="274" spans="2:5" s="64" customFormat="1" ht="14.5" customHeight="1">
      <c r="B274" s="86"/>
      <c r="C274" s="58" t="s">
        <v>230</v>
      </c>
      <c r="D274" s="59">
        <v>1</v>
      </c>
      <c r="E274" s="60">
        <v>5.3081373745999998E-5</v>
      </c>
    </row>
    <row r="275" spans="2:5" s="64" customFormat="1" ht="14.5" customHeight="1">
      <c r="B275" s="86"/>
      <c r="C275" s="58" t="s">
        <v>231</v>
      </c>
      <c r="D275" s="59">
        <v>3</v>
      </c>
      <c r="E275" s="60">
        <v>1.5924412123800001E-4</v>
      </c>
    </row>
    <row r="276" spans="2:5" s="64" customFormat="1" ht="14.5" customHeight="1">
      <c r="B276" s="87"/>
      <c r="C276" s="35" t="s">
        <v>28</v>
      </c>
      <c r="D276" s="34">
        <v>75</v>
      </c>
      <c r="E276" s="33">
        <v>3.9811030309459998E-3</v>
      </c>
    </row>
    <row r="277" spans="2:5" s="64" customFormat="1" ht="14.5" customHeight="1">
      <c r="B277" s="85" t="s">
        <v>62</v>
      </c>
      <c r="C277" s="58" t="s">
        <v>204</v>
      </c>
      <c r="D277" s="59">
        <v>186</v>
      </c>
      <c r="E277" s="60">
        <v>9.8731355167469993E-3</v>
      </c>
    </row>
    <row r="278" spans="2:5" s="64" customFormat="1" ht="14.5" customHeight="1">
      <c r="B278" s="86"/>
      <c r="C278" s="58" t="s">
        <v>205</v>
      </c>
      <c r="D278" s="59">
        <v>16</v>
      </c>
      <c r="E278" s="60">
        <v>8.4930197993500001E-4</v>
      </c>
    </row>
    <row r="279" spans="2:5" s="64" customFormat="1" ht="14.5" customHeight="1">
      <c r="B279" s="86"/>
      <c r="C279" s="58" t="s">
        <v>206</v>
      </c>
      <c r="D279" s="59">
        <v>9</v>
      </c>
      <c r="E279" s="60">
        <v>4.7773236371400003E-4</v>
      </c>
    </row>
    <row r="280" spans="2:5" s="64" customFormat="1" ht="14.5" customHeight="1">
      <c r="B280" s="86"/>
      <c r="C280" s="58" t="s">
        <v>192</v>
      </c>
      <c r="D280" s="59">
        <v>118</v>
      </c>
      <c r="E280" s="60">
        <v>6.2636021020220003E-3</v>
      </c>
    </row>
    <row r="281" spans="2:5" s="64" customFormat="1" ht="14.5" customHeight="1">
      <c r="B281" s="86"/>
      <c r="C281" s="58" t="s">
        <v>193</v>
      </c>
      <c r="D281" s="59">
        <v>701</v>
      </c>
      <c r="E281" s="60">
        <v>3.7210042995912997E-2</v>
      </c>
    </row>
    <row r="282" spans="2:5" s="64" customFormat="1" ht="14.5" customHeight="1">
      <c r="B282" s="86"/>
      <c r="C282" s="58" t="s">
        <v>207</v>
      </c>
      <c r="D282" s="59">
        <v>205</v>
      </c>
      <c r="E282" s="60">
        <v>1.0881681617920001E-2</v>
      </c>
    </row>
    <row r="283" spans="2:5" s="64" customFormat="1" ht="14.5" customHeight="1">
      <c r="B283" s="86"/>
      <c r="C283" s="58" t="s">
        <v>194</v>
      </c>
      <c r="D283" s="59">
        <v>4</v>
      </c>
      <c r="E283" s="60">
        <v>2.1232549498399999E-4</v>
      </c>
    </row>
    <row r="284" spans="2:5" s="64" customFormat="1" ht="14.5" customHeight="1">
      <c r="B284" s="86"/>
      <c r="C284" s="58" t="s">
        <v>195</v>
      </c>
      <c r="D284" s="59">
        <v>18</v>
      </c>
      <c r="E284" s="60">
        <v>9.5546472742699998E-4</v>
      </c>
    </row>
    <row r="285" spans="2:5" s="64" customFormat="1" ht="14.5" customHeight="1">
      <c r="B285" s="86"/>
      <c r="C285" s="58" t="s">
        <v>208</v>
      </c>
      <c r="D285" s="59">
        <v>162</v>
      </c>
      <c r="E285" s="60">
        <v>8.5991825468439993E-3</v>
      </c>
    </row>
    <row r="286" spans="2:5" s="64" customFormat="1" ht="14.5" customHeight="1">
      <c r="B286" s="86"/>
      <c r="C286" s="58" t="s">
        <v>196</v>
      </c>
      <c r="D286" s="59">
        <v>91</v>
      </c>
      <c r="E286" s="60">
        <v>4.8304050108819996E-3</v>
      </c>
    </row>
    <row r="287" spans="2:5" s="64" customFormat="1" ht="14.5" customHeight="1">
      <c r="B287" s="86"/>
      <c r="C287" s="58" t="s">
        <v>209</v>
      </c>
      <c r="D287" s="59">
        <v>8</v>
      </c>
      <c r="E287" s="60">
        <v>4.2465098996799999E-4</v>
      </c>
    </row>
    <row r="288" spans="2:5" s="64" customFormat="1" ht="14.5" customHeight="1">
      <c r="B288" s="86"/>
      <c r="C288" s="58" t="s">
        <v>210</v>
      </c>
      <c r="D288" s="59">
        <v>36</v>
      </c>
      <c r="E288" s="60">
        <v>1.910929454854E-3</v>
      </c>
    </row>
    <row r="289" spans="2:5" s="64" customFormat="1" ht="14.5" customHeight="1">
      <c r="B289" s="86"/>
      <c r="C289" s="58" t="s">
        <v>197</v>
      </c>
      <c r="D289" s="59">
        <v>45</v>
      </c>
      <c r="E289" s="60">
        <v>2.3886618185680001E-3</v>
      </c>
    </row>
    <row r="290" spans="2:5" s="64" customFormat="1" ht="14.5" customHeight="1">
      <c r="B290" s="86"/>
      <c r="C290" s="58" t="s">
        <v>198</v>
      </c>
      <c r="D290" s="59">
        <v>6</v>
      </c>
      <c r="E290" s="60">
        <v>3.1848824247600002E-4</v>
      </c>
    </row>
    <row r="291" spans="2:5" s="64" customFormat="1" ht="14.5" customHeight="1">
      <c r="B291" s="86"/>
      <c r="C291" s="58" t="s">
        <v>199</v>
      </c>
      <c r="D291" s="59">
        <v>5</v>
      </c>
      <c r="E291" s="60">
        <v>2.6540686872999998E-4</v>
      </c>
    </row>
    <row r="292" spans="2:5" s="64" customFormat="1" ht="14.5" customHeight="1">
      <c r="B292" s="86"/>
      <c r="C292" s="58" t="s">
        <v>211</v>
      </c>
      <c r="D292" s="59">
        <v>9</v>
      </c>
      <c r="E292" s="60">
        <v>4.7773236371400003E-4</v>
      </c>
    </row>
    <row r="293" spans="2:5" s="64" customFormat="1" ht="14.5" customHeight="1">
      <c r="B293" s="86"/>
      <c r="C293" s="58" t="s">
        <v>212</v>
      </c>
      <c r="D293" s="59">
        <v>2</v>
      </c>
      <c r="E293" s="60">
        <v>1.06162747492E-4</v>
      </c>
    </row>
    <row r="294" spans="2:5" s="64" customFormat="1" ht="14.5" customHeight="1">
      <c r="B294" s="86"/>
      <c r="C294" s="58" t="s">
        <v>213</v>
      </c>
      <c r="D294" s="59">
        <v>18</v>
      </c>
      <c r="E294" s="60">
        <v>9.5546472742699998E-4</v>
      </c>
    </row>
    <row r="295" spans="2:5" s="64" customFormat="1" ht="14.5" customHeight="1">
      <c r="B295" s="86"/>
      <c r="C295" s="58" t="s">
        <v>214</v>
      </c>
      <c r="D295" s="59">
        <v>78</v>
      </c>
      <c r="E295" s="60">
        <v>4.1403471521839997E-3</v>
      </c>
    </row>
    <row r="296" spans="2:5" s="64" customFormat="1" ht="14.5" customHeight="1">
      <c r="B296" s="86"/>
      <c r="C296" s="58" t="s">
        <v>215</v>
      </c>
      <c r="D296" s="59">
        <v>18</v>
      </c>
      <c r="E296" s="60">
        <v>9.5546472742699998E-4</v>
      </c>
    </row>
    <row r="297" spans="2:5" s="64" customFormat="1" ht="14.5" customHeight="1">
      <c r="B297" s="86"/>
      <c r="C297" s="58" t="s">
        <v>216</v>
      </c>
      <c r="D297" s="59">
        <v>22</v>
      </c>
      <c r="E297" s="60">
        <v>1.1677902224109999E-3</v>
      </c>
    </row>
    <row r="298" spans="2:5" s="64" customFormat="1" ht="14.5" customHeight="1">
      <c r="B298" s="86"/>
      <c r="C298" s="58" t="s">
        <v>217</v>
      </c>
      <c r="D298" s="59">
        <v>10</v>
      </c>
      <c r="E298" s="60">
        <v>5.3081373745999996E-4</v>
      </c>
    </row>
    <row r="299" spans="2:5" s="64" customFormat="1" ht="14.5" customHeight="1">
      <c r="B299" s="86"/>
      <c r="C299" s="58" t="s">
        <v>218</v>
      </c>
      <c r="D299" s="59">
        <v>67</v>
      </c>
      <c r="E299" s="60">
        <v>3.556452040979E-3</v>
      </c>
    </row>
    <row r="300" spans="2:5" s="64" customFormat="1" ht="14.5" customHeight="1">
      <c r="B300" s="86"/>
      <c r="C300" s="58" t="s">
        <v>219</v>
      </c>
      <c r="D300" s="59">
        <v>19</v>
      </c>
      <c r="E300" s="60">
        <v>1.008546101173E-3</v>
      </c>
    </row>
    <row r="301" spans="2:5" s="64" customFormat="1" ht="14.5" customHeight="1">
      <c r="B301" s="86"/>
      <c r="C301" s="58" t="s">
        <v>200</v>
      </c>
      <c r="D301" s="59">
        <v>7</v>
      </c>
      <c r="E301" s="60">
        <v>3.71569616222E-4</v>
      </c>
    </row>
    <row r="302" spans="2:5" s="64" customFormat="1" ht="14.5" customHeight="1">
      <c r="B302" s="86"/>
      <c r="C302" s="58" t="s">
        <v>201</v>
      </c>
      <c r="D302" s="59">
        <v>24</v>
      </c>
      <c r="E302" s="60">
        <v>1.273952969903E-3</v>
      </c>
    </row>
    <row r="303" spans="2:5" s="64" customFormat="1" ht="14.5" customHeight="1">
      <c r="B303" s="86"/>
      <c r="C303" s="58" t="s">
        <v>220</v>
      </c>
      <c r="D303" s="59">
        <v>12</v>
      </c>
      <c r="E303" s="60">
        <v>6.3697648495099997E-4</v>
      </c>
    </row>
    <row r="304" spans="2:5" s="64" customFormat="1" ht="14.5" customHeight="1">
      <c r="B304" s="86"/>
      <c r="C304" s="58" t="s">
        <v>221</v>
      </c>
      <c r="D304" s="59">
        <v>71</v>
      </c>
      <c r="E304" s="60">
        <v>3.7687775359630002E-3</v>
      </c>
    </row>
    <row r="305" spans="2:5" s="64" customFormat="1" ht="14.5" customHeight="1">
      <c r="B305" s="86"/>
      <c r="C305" s="58" t="s">
        <v>223</v>
      </c>
      <c r="D305" s="59">
        <v>31</v>
      </c>
      <c r="E305" s="60">
        <v>1.6455225861250001E-3</v>
      </c>
    </row>
    <row r="306" spans="2:5" s="64" customFormat="1" ht="14.5" customHeight="1">
      <c r="B306" s="86"/>
      <c r="C306" s="58" t="s">
        <v>224</v>
      </c>
      <c r="D306" s="59">
        <v>2</v>
      </c>
      <c r="E306" s="60">
        <v>1.06162747492E-4</v>
      </c>
    </row>
    <row r="307" spans="2:5" s="64" customFormat="1" ht="14.5" customHeight="1">
      <c r="B307" s="86"/>
      <c r="C307" s="58" t="s">
        <v>225</v>
      </c>
      <c r="D307" s="59">
        <v>1</v>
      </c>
      <c r="E307" s="60">
        <v>5.3081373745999998E-5</v>
      </c>
    </row>
    <row r="308" spans="2:5" s="64" customFormat="1" ht="14.5" customHeight="1">
      <c r="B308" s="86"/>
      <c r="C308" s="58" t="s">
        <v>202</v>
      </c>
      <c r="D308" s="59">
        <v>4</v>
      </c>
      <c r="E308" s="60">
        <v>2.1232549498399999E-4</v>
      </c>
    </row>
    <row r="309" spans="2:5" s="64" customFormat="1" ht="14.5" customHeight="1">
      <c r="B309" s="86"/>
      <c r="C309" s="58" t="s">
        <v>203</v>
      </c>
      <c r="D309" s="59">
        <v>496</v>
      </c>
      <c r="E309" s="60">
        <v>2.6328361377992E-2</v>
      </c>
    </row>
    <row r="310" spans="2:5" s="64" customFormat="1" ht="14.5" customHeight="1">
      <c r="B310" s="86"/>
      <c r="C310" s="58" t="s">
        <v>226</v>
      </c>
      <c r="D310" s="59">
        <v>4</v>
      </c>
      <c r="E310" s="60">
        <v>2.1232549498399999E-4</v>
      </c>
    </row>
    <row r="311" spans="2:5" s="64" customFormat="1" ht="14.5" customHeight="1">
      <c r="B311" s="86"/>
      <c r="C311" s="58" t="s">
        <v>227</v>
      </c>
      <c r="D311" s="59">
        <v>9</v>
      </c>
      <c r="E311" s="60">
        <v>4.7773236371400003E-4</v>
      </c>
    </row>
    <row r="312" spans="2:5" s="64" customFormat="1" ht="14.5" customHeight="1">
      <c r="B312" s="86"/>
      <c r="C312" s="58" t="s">
        <v>228</v>
      </c>
      <c r="D312" s="59">
        <v>171</v>
      </c>
      <c r="E312" s="60">
        <v>9.0769149105580007E-3</v>
      </c>
    </row>
    <row r="313" spans="2:5" s="64" customFormat="1" ht="14.5" customHeight="1">
      <c r="B313" s="86"/>
      <c r="C313" s="58" t="s">
        <v>229</v>
      </c>
      <c r="D313" s="59">
        <v>11</v>
      </c>
      <c r="E313" s="60">
        <v>5.8389511120500003E-4</v>
      </c>
    </row>
    <row r="314" spans="2:5" s="64" customFormat="1" ht="14.5" customHeight="1">
      <c r="B314" s="86"/>
      <c r="C314" s="58" t="s">
        <v>230</v>
      </c>
      <c r="D314" s="59">
        <v>15</v>
      </c>
      <c r="E314" s="60">
        <v>7.9622060618899997E-4</v>
      </c>
    </row>
    <row r="315" spans="2:5" s="64" customFormat="1" ht="14.5" customHeight="1">
      <c r="B315" s="86"/>
      <c r="C315" s="58" t="s">
        <v>231</v>
      </c>
      <c r="D315" s="59">
        <v>45</v>
      </c>
      <c r="E315" s="60">
        <v>2.3886618185680001E-3</v>
      </c>
    </row>
    <row r="316" spans="2:5" s="64" customFormat="1" ht="14.5" customHeight="1">
      <c r="B316" s="87"/>
      <c r="C316" s="35" t="s">
        <v>28</v>
      </c>
      <c r="D316" s="34">
        <v>2756</v>
      </c>
      <c r="E316" s="33">
        <v>0.14629226604384499</v>
      </c>
    </row>
    <row r="317" spans="2:5" s="64" customFormat="1" ht="14.5" customHeight="1">
      <c r="B317" s="85" t="s">
        <v>63</v>
      </c>
      <c r="C317" s="58" t="s">
        <v>204</v>
      </c>
      <c r="D317" s="59">
        <v>23</v>
      </c>
      <c r="E317" s="60">
        <v>1.220871596157E-3</v>
      </c>
    </row>
    <row r="318" spans="2:5" s="64" customFormat="1" ht="14.5" customHeight="1">
      <c r="B318" s="86"/>
      <c r="C318" s="58" t="s">
        <v>206</v>
      </c>
      <c r="D318" s="59">
        <v>67</v>
      </c>
      <c r="E318" s="60">
        <v>3.556452040979E-3</v>
      </c>
    </row>
    <row r="319" spans="2:5" s="64" customFormat="1" ht="14.5" customHeight="1">
      <c r="B319" s="86"/>
      <c r="C319" s="58" t="s">
        <v>192</v>
      </c>
      <c r="D319" s="59">
        <v>10</v>
      </c>
      <c r="E319" s="60">
        <v>5.3081373745999996E-4</v>
      </c>
    </row>
    <row r="320" spans="2:5" s="64" customFormat="1" ht="14.5" customHeight="1">
      <c r="B320" s="86"/>
      <c r="C320" s="58" t="s">
        <v>193</v>
      </c>
      <c r="D320" s="59">
        <v>49</v>
      </c>
      <c r="E320" s="60">
        <v>2.6009873135519998E-3</v>
      </c>
    </row>
    <row r="321" spans="2:5" s="64" customFormat="1" ht="14.5" customHeight="1">
      <c r="B321" s="86"/>
      <c r="C321" s="58" t="s">
        <v>207</v>
      </c>
      <c r="D321" s="59">
        <v>12</v>
      </c>
      <c r="E321" s="60">
        <v>6.3697648495099997E-4</v>
      </c>
    </row>
    <row r="322" spans="2:5" s="64" customFormat="1" ht="14.5" customHeight="1">
      <c r="B322" s="86"/>
      <c r="C322" s="58" t="s">
        <v>195</v>
      </c>
      <c r="D322" s="59">
        <v>6</v>
      </c>
      <c r="E322" s="60">
        <v>3.1848824247600002E-4</v>
      </c>
    </row>
    <row r="323" spans="2:5" s="64" customFormat="1" ht="14.5" customHeight="1">
      <c r="B323" s="86"/>
      <c r="C323" s="58" t="s">
        <v>208</v>
      </c>
      <c r="D323" s="59">
        <v>3</v>
      </c>
      <c r="E323" s="60">
        <v>1.5924412123800001E-4</v>
      </c>
    </row>
    <row r="324" spans="2:5" s="64" customFormat="1" ht="14.5" customHeight="1">
      <c r="B324" s="86"/>
      <c r="C324" s="58" t="s">
        <v>196</v>
      </c>
      <c r="D324" s="59">
        <v>7</v>
      </c>
      <c r="E324" s="60">
        <v>3.71569616222E-4</v>
      </c>
    </row>
    <row r="325" spans="2:5" s="64" customFormat="1" ht="14.5" customHeight="1">
      <c r="B325" s="86"/>
      <c r="C325" s="58" t="s">
        <v>209</v>
      </c>
      <c r="D325" s="59">
        <v>1</v>
      </c>
      <c r="E325" s="60">
        <v>5.3081373745999998E-5</v>
      </c>
    </row>
    <row r="326" spans="2:5" s="64" customFormat="1" ht="14.5" customHeight="1">
      <c r="B326" s="86"/>
      <c r="C326" s="58" t="s">
        <v>210</v>
      </c>
      <c r="D326" s="59">
        <v>3</v>
      </c>
      <c r="E326" s="60">
        <v>1.5924412123800001E-4</v>
      </c>
    </row>
    <row r="327" spans="2:5" s="64" customFormat="1" ht="14.5" customHeight="1">
      <c r="B327" s="86"/>
      <c r="C327" s="58" t="s">
        <v>197</v>
      </c>
      <c r="D327" s="59">
        <v>2</v>
      </c>
      <c r="E327" s="60">
        <v>1.06162747492E-4</v>
      </c>
    </row>
    <row r="328" spans="2:5" s="64" customFormat="1" ht="14.5" customHeight="1">
      <c r="B328" s="86"/>
      <c r="C328" s="58" t="s">
        <v>198</v>
      </c>
      <c r="D328" s="59">
        <v>2</v>
      </c>
      <c r="E328" s="60">
        <v>1.06162747492E-4</v>
      </c>
    </row>
    <row r="329" spans="2:5" s="64" customFormat="1" ht="14.5" customHeight="1">
      <c r="B329" s="86"/>
      <c r="C329" s="58" t="s">
        <v>199</v>
      </c>
      <c r="D329" s="59">
        <v>1</v>
      </c>
      <c r="E329" s="60">
        <v>5.3081373745999998E-5</v>
      </c>
    </row>
    <row r="330" spans="2:5" s="64" customFormat="1" ht="14.5" customHeight="1">
      <c r="B330" s="86"/>
      <c r="C330" s="58" t="s">
        <v>211</v>
      </c>
      <c r="D330" s="59">
        <v>3</v>
      </c>
      <c r="E330" s="60">
        <v>1.5924412123800001E-4</v>
      </c>
    </row>
    <row r="331" spans="2:5" s="64" customFormat="1" ht="14.5" customHeight="1">
      <c r="B331" s="86"/>
      <c r="C331" s="58" t="s">
        <v>213</v>
      </c>
      <c r="D331" s="59">
        <v>1</v>
      </c>
      <c r="E331" s="60">
        <v>5.3081373745999998E-5</v>
      </c>
    </row>
    <row r="332" spans="2:5" s="64" customFormat="1" ht="14.5" customHeight="1">
      <c r="B332" s="86"/>
      <c r="C332" s="58" t="s">
        <v>214</v>
      </c>
      <c r="D332" s="59">
        <v>6</v>
      </c>
      <c r="E332" s="60">
        <v>3.1848824247600002E-4</v>
      </c>
    </row>
    <row r="333" spans="2:5" s="64" customFormat="1" ht="14.5" customHeight="1">
      <c r="B333" s="86"/>
      <c r="C333" s="58" t="s">
        <v>215</v>
      </c>
      <c r="D333" s="59">
        <v>1</v>
      </c>
      <c r="E333" s="60">
        <v>5.3081373745999998E-5</v>
      </c>
    </row>
    <row r="334" spans="2:5" s="64" customFormat="1" ht="14.5" customHeight="1">
      <c r="B334" s="86"/>
      <c r="C334" s="58" t="s">
        <v>216</v>
      </c>
      <c r="D334" s="59">
        <v>2</v>
      </c>
      <c r="E334" s="60">
        <v>1.06162747492E-4</v>
      </c>
    </row>
    <row r="335" spans="2:5" s="64" customFormat="1" ht="14.5" customHeight="1">
      <c r="B335" s="86"/>
      <c r="C335" s="58" t="s">
        <v>218</v>
      </c>
      <c r="D335" s="59">
        <v>2</v>
      </c>
      <c r="E335" s="60">
        <v>1.06162747492E-4</v>
      </c>
    </row>
    <row r="336" spans="2:5" s="64" customFormat="1" ht="14.5" customHeight="1">
      <c r="B336" s="86"/>
      <c r="C336" s="58" t="s">
        <v>219</v>
      </c>
      <c r="D336" s="59">
        <v>4</v>
      </c>
      <c r="E336" s="60">
        <v>2.1232549498399999E-4</v>
      </c>
    </row>
    <row r="337" spans="2:5" s="64" customFormat="1" ht="14.5" customHeight="1">
      <c r="B337" s="86"/>
      <c r="C337" s="58" t="s">
        <v>201</v>
      </c>
      <c r="D337" s="59">
        <v>23</v>
      </c>
      <c r="E337" s="60">
        <v>1.220871596157E-3</v>
      </c>
    </row>
    <row r="338" spans="2:5" s="64" customFormat="1" ht="14.5" customHeight="1">
      <c r="B338" s="86"/>
      <c r="C338" s="58" t="s">
        <v>220</v>
      </c>
      <c r="D338" s="59">
        <v>4</v>
      </c>
      <c r="E338" s="60">
        <v>2.1232549498399999E-4</v>
      </c>
    </row>
    <row r="339" spans="2:5" s="64" customFormat="1" ht="14.5" customHeight="1">
      <c r="B339" s="86"/>
      <c r="C339" s="58" t="s">
        <v>221</v>
      </c>
      <c r="D339" s="59">
        <v>3</v>
      </c>
      <c r="E339" s="60">
        <v>1.5924412123800001E-4</v>
      </c>
    </row>
    <row r="340" spans="2:5" s="64" customFormat="1" ht="14.5" customHeight="1">
      <c r="B340" s="86"/>
      <c r="C340" s="58" t="s">
        <v>223</v>
      </c>
      <c r="D340" s="59">
        <v>10</v>
      </c>
      <c r="E340" s="60">
        <v>5.3081373745999996E-4</v>
      </c>
    </row>
    <row r="341" spans="2:5" s="64" customFormat="1" ht="14.5" customHeight="1">
      <c r="B341" s="86"/>
      <c r="C341" s="58" t="s">
        <v>202</v>
      </c>
      <c r="D341" s="59">
        <v>5</v>
      </c>
      <c r="E341" s="60">
        <v>2.6540686872999998E-4</v>
      </c>
    </row>
    <row r="342" spans="2:5" s="64" customFormat="1" ht="14.5" customHeight="1">
      <c r="B342" s="86"/>
      <c r="C342" s="58" t="s">
        <v>203</v>
      </c>
      <c r="D342" s="59">
        <v>17</v>
      </c>
      <c r="E342" s="60">
        <v>9.0238335368100005E-4</v>
      </c>
    </row>
    <row r="343" spans="2:5" s="64" customFormat="1" ht="14.5" customHeight="1">
      <c r="B343" s="86"/>
      <c r="C343" s="58" t="s">
        <v>226</v>
      </c>
      <c r="D343" s="59">
        <v>1</v>
      </c>
      <c r="E343" s="60">
        <v>5.3081373745999998E-5</v>
      </c>
    </row>
    <row r="344" spans="2:5" s="64" customFormat="1" ht="14.5" customHeight="1">
      <c r="B344" s="86"/>
      <c r="C344" s="58" t="s">
        <v>228</v>
      </c>
      <c r="D344" s="59">
        <v>2</v>
      </c>
      <c r="E344" s="60">
        <v>1.06162747492E-4</v>
      </c>
    </row>
    <row r="345" spans="2:5" s="64" customFormat="1" ht="14.5" customHeight="1">
      <c r="B345" s="86"/>
      <c r="C345" s="58" t="s">
        <v>229</v>
      </c>
      <c r="D345" s="59">
        <v>4</v>
      </c>
      <c r="E345" s="60">
        <v>2.1232549498399999E-4</v>
      </c>
    </row>
    <row r="346" spans="2:5" s="64" customFormat="1" ht="14.5" customHeight="1">
      <c r="B346" s="86"/>
      <c r="C346" s="58" t="s">
        <v>230</v>
      </c>
      <c r="D346" s="59">
        <v>5</v>
      </c>
      <c r="E346" s="60">
        <v>2.6540686872999998E-4</v>
      </c>
    </row>
    <row r="347" spans="2:5" s="64" customFormat="1" ht="14.5" customHeight="1">
      <c r="B347" s="86"/>
      <c r="C347" s="58" t="s">
        <v>231</v>
      </c>
      <c r="D347" s="59">
        <v>2</v>
      </c>
      <c r="E347" s="60">
        <v>1.06162747492E-4</v>
      </c>
    </row>
    <row r="348" spans="2:5" s="64" customFormat="1" ht="14.5" customHeight="1">
      <c r="B348" s="87"/>
      <c r="C348" s="35" t="s">
        <v>28</v>
      </c>
      <c r="D348" s="34">
        <v>281</v>
      </c>
      <c r="E348" s="33">
        <v>1.4915866022613E-2</v>
      </c>
    </row>
    <row r="349" spans="2:5" s="64" customFormat="1" ht="14.5" customHeight="1">
      <c r="B349" s="85" t="s">
        <v>64</v>
      </c>
      <c r="C349" s="58" t="s">
        <v>204</v>
      </c>
      <c r="D349" s="59">
        <v>2</v>
      </c>
      <c r="E349" s="60">
        <v>1.06162747492E-4</v>
      </c>
    </row>
    <row r="350" spans="2:5" s="64" customFormat="1" ht="14.5" customHeight="1">
      <c r="B350" s="86"/>
      <c r="C350" s="58" t="s">
        <v>192</v>
      </c>
      <c r="D350" s="59">
        <v>2</v>
      </c>
      <c r="E350" s="60">
        <v>1.06162747492E-4</v>
      </c>
    </row>
    <row r="351" spans="2:5" s="64" customFormat="1" ht="14.5" customHeight="1">
      <c r="B351" s="86"/>
      <c r="C351" s="58" t="s">
        <v>193</v>
      </c>
      <c r="D351" s="59">
        <v>8</v>
      </c>
      <c r="E351" s="60">
        <v>4.2465098996799999E-4</v>
      </c>
    </row>
    <row r="352" spans="2:5" s="64" customFormat="1" ht="14.5" customHeight="1">
      <c r="B352" s="86"/>
      <c r="C352" s="58" t="s">
        <v>207</v>
      </c>
      <c r="D352" s="59">
        <v>2</v>
      </c>
      <c r="E352" s="60">
        <v>1.06162747492E-4</v>
      </c>
    </row>
    <row r="353" spans="2:5" s="64" customFormat="1" ht="14.5" customHeight="1">
      <c r="B353" s="86"/>
      <c r="C353" s="58" t="s">
        <v>195</v>
      </c>
      <c r="D353" s="59">
        <v>2</v>
      </c>
      <c r="E353" s="60">
        <v>1.06162747492E-4</v>
      </c>
    </row>
    <row r="354" spans="2:5" s="64" customFormat="1" ht="14.5" customHeight="1">
      <c r="B354" s="86"/>
      <c r="C354" s="58" t="s">
        <v>208</v>
      </c>
      <c r="D354" s="59">
        <v>6</v>
      </c>
      <c r="E354" s="60">
        <v>3.1848824247600002E-4</v>
      </c>
    </row>
    <row r="355" spans="2:5" s="64" customFormat="1" ht="14.5" customHeight="1">
      <c r="B355" s="86"/>
      <c r="C355" s="58" t="s">
        <v>196</v>
      </c>
      <c r="D355" s="59">
        <v>4</v>
      </c>
      <c r="E355" s="60">
        <v>2.1232549498399999E-4</v>
      </c>
    </row>
    <row r="356" spans="2:5" s="64" customFormat="1" ht="14.5" customHeight="1">
      <c r="B356" s="86"/>
      <c r="C356" s="58" t="s">
        <v>210</v>
      </c>
      <c r="D356" s="59">
        <v>1</v>
      </c>
      <c r="E356" s="60">
        <v>5.3081373745999998E-5</v>
      </c>
    </row>
    <row r="357" spans="2:5" s="64" customFormat="1" ht="14.5" customHeight="1">
      <c r="B357" s="86"/>
      <c r="C357" s="58" t="s">
        <v>197</v>
      </c>
      <c r="D357" s="59">
        <v>4</v>
      </c>
      <c r="E357" s="60">
        <v>2.1232549498399999E-4</v>
      </c>
    </row>
    <row r="358" spans="2:5" s="64" customFormat="1" ht="14.5" customHeight="1">
      <c r="B358" s="86"/>
      <c r="C358" s="58" t="s">
        <v>198</v>
      </c>
      <c r="D358" s="59">
        <v>2</v>
      </c>
      <c r="E358" s="60">
        <v>1.06162747492E-4</v>
      </c>
    </row>
    <row r="359" spans="2:5" s="64" customFormat="1" ht="14.5" customHeight="1">
      <c r="B359" s="86"/>
      <c r="C359" s="58" t="s">
        <v>213</v>
      </c>
      <c r="D359" s="59">
        <v>1</v>
      </c>
      <c r="E359" s="60">
        <v>5.3081373745999998E-5</v>
      </c>
    </row>
    <row r="360" spans="2:5" s="64" customFormat="1" ht="14.5" customHeight="1">
      <c r="B360" s="86"/>
      <c r="C360" s="58" t="s">
        <v>214</v>
      </c>
      <c r="D360" s="59">
        <v>2</v>
      </c>
      <c r="E360" s="60">
        <v>1.06162747492E-4</v>
      </c>
    </row>
    <row r="361" spans="2:5" s="64" customFormat="1" ht="14.5" customHeight="1">
      <c r="B361" s="86"/>
      <c r="C361" s="58" t="s">
        <v>217</v>
      </c>
      <c r="D361" s="59">
        <v>1</v>
      </c>
      <c r="E361" s="60">
        <v>5.3081373745999998E-5</v>
      </c>
    </row>
    <row r="362" spans="2:5" s="64" customFormat="1" ht="14.5" customHeight="1">
      <c r="B362" s="86"/>
      <c r="C362" s="58" t="s">
        <v>201</v>
      </c>
      <c r="D362" s="59">
        <v>1</v>
      </c>
      <c r="E362" s="60">
        <v>5.3081373745999998E-5</v>
      </c>
    </row>
    <row r="363" spans="2:5" s="64" customFormat="1" ht="14.5" customHeight="1">
      <c r="B363" s="86"/>
      <c r="C363" s="58" t="s">
        <v>203</v>
      </c>
      <c r="D363" s="59">
        <v>7</v>
      </c>
      <c r="E363" s="60">
        <v>3.71569616222E-4</v>
      </c>
    </row>
    <row r="364" spans="2:5" s="64" customFormat="1" ht="14.5" customHeight="1">
      <c r="B364" s="86"/>
      <c r="C364" s="58" t="s">
        <v>228</v>
      </c>
      <c r="D364" s="59">
        <v>1</v>
      </c>
      <c r="E364" s="60">
        <v>5.3081373745999998E-5</v>
      </c>
    </row>
    <row r="365" spans="2:5" s="64" customFormat="1" ht="14.5" customHeight="1">
      <c r="B365" s="86"/>
      <c r="C365" s="58" t="s">
        <v>229</v>
      </c>
      <c r="D365" s="59">
        <v>2</v>
      </c>
      <c r="E365" s="60">
        <v>1.06162747492E-4</v>
      </c>
    </row>
    <row r="366" spans="2:5" s="64" customFormat="1" ht="14.5" customHeight="1">
      <c r="B366" s="87"/>
      <c r="C366" s="35" t="s">
        <v>28</v>
      </c>
      <c r="D366" s="34">
        <v>48</v>
      </c>
      <c r="E366" s="33">
        <v>2.547905939806E-3</v>
      </c>
    </row>
    <row r="367" spans="2:5" s="64" customFormat="1" ht="14.5" customHeight="1">
      <c r="B367" s="85" t="s">
        <v>65</v>
      </c>
      <c r="C367" s="58" t="s">
        <v>204</v>
      </c>
      <c r="D367" s="59">
        <v>57</v>
      </c>
      <c r="E367" s="60">
        <v>3.0256383035190001E-3</v>
      </c>
    </row>
    <row r="368" spans="2:5" s="64" customFormat="1" ht="14.5" customHeight="1">
      <c r="B368" s="86"/>
      <c r="C368" s="58" t="s">
        <v>206</v>
      </c>
      <c r="D368" s="59">
        <v>4</v>
      </c>
      <c r="E368" s="60">
        <v>2.1232549498399999E-4</v>
      </c>
    </row>
    <row r="369" spans="2:5" s="64" customFormat="1" ht="14.5" customHeight="1">
      <c r="B369" s="86"/>
      <c r="C369" s="58" t="s">
        <v>192</v>
      </c>
      <c r="D369" s="59">
        <v>36</v>
      </c>
      <c r="E369" s="60">
        <v>1.910929454854E-3</v>
      </c>
    </row>
    <row r="370" spans="2:5" s="64" customFormat="1" ht="14.5" customHeight="1">
      <c r="B370" s="86"/>
      <c r="C370" s="58" t="s">
        <v>193</v>
      </c>
      <c r="D370" s="59">
        <v>206</v>
      </c>
      <c r="E370" s="60">
        <v>1.0934762991666E-2</v>
      </c>
    </row>
    <row r="371" spans="2:5" s="64" customFormat="1" ht="14.5" customHeight="1">
      <c r="B371" s="86"/>
      <c r="C371" s="58" t="s">
        <v>207</v>
      </c>
      <c r="D371" s="59">
        <v>23</v>
      </c>
      <c r="E371" s="60">
        <v>1.220871596157E-3</v>
      </c>
    </row>
    <row r="372" spans="2:5" s="64" customFormat="1" ht="14.5" customHeight="1">
      <c r="B372" s="86"/>
      <c r="C372" s="58" t="s">
        <v>194</v>
      </c>
      <c r="D372" s="59">
        <v>28</v>
      </c>
      <c r="E372" s="60">
        <v>1.4862784648869999E-3</v>
      </c>
    </row>
    <row r="373" spans="2:5" s="64" customFormat="1" ht="14.5" customHeight="1">
      <c r="B373" s="86"/>
      <c r="C373" s="58" t="s">
        <v>195</v>
      </c>
      <c r="D373" s="59">
        <v>170</v>
      </c>
      <c r="E373" s="60">
        <v>9.0238335368119996E-3</v>
      </c>
    </row>
    <row r="374" spans="2:5" s="64" customFormat="1" ht="14.5" customHeight="1">
      <c r="B374" s="86"/>
      <c r="C374" s="58" t="s">
        <v>208</v>
      </c>
      <c r="D374" s="59">
        <v>8</v>
      </c>
      <c r="E374" s="60">
        <v>4.2465098996799999E-4</v>
      </c>
    </row>
    <row r="375" spans="2:5" s="64" customFormat="1" ht="14.5" customHeight="1">
      <c r="B375" s="86"/>
      <c r="C375" s="58" t="s">
        <v>196</v>
      </c>
      <c r="D375" s="59">
        <v>88</v>
      </c>
      <c r="E375" s="60">
        <v>4.6711608896439997E-3</v>
      </c>
    </row>
    <row r="376" spans="2:5" s="64" customFormat="1" ht="14.5" customHeight="1">
      <c r="B376" s="86"/>
      <c r="C376" s="58" t="s">
        <v>209</v>
      </c>
      <c r="D376" s="59">
        <v>16</v>
      </c>
      <c r="E376" s="60">
        <v>8.4930197993500001E-4</v>
      </c>
    </row>
    <row r="377" spans="2:5" s="64" customFormat="1" ht="14.5" customHeight="1">
      <c r="B377" s="86"/>
      <c r="C377" s="58" t="s">
        <v>210</v>
      </c>
      <c r="D377" s="59">
        <v>19</v>
      </c>
      <c r="E377" s="60">
        <v>1.008546101173E-3</v>
      </c>
    </row>
    <row r="378" spans="2:5" s="64" customFormat="1" ht="14.5" customHeight="1">
      <c r="B378" s="86"/>
      <c r="C378" s="58" t="s">
        <v>197</v>
      </c>
      <c r="D378" s="59">
        <v>42</v>
      </c>
      <c r="E378" s="60">
        <v>2.2294176973300002E-3</v>
      </c>
    </row>
    <row r="379" spans="2:5" s="64" customFormat="1" ht="14.5" customHeight="1">
      <c r="B379" s="86"/>
      <c r="C379" s="58" t="s">
        <v>198</v>
      </c>
      <c r="D379" s="59">
        <v>29</v>
      </c>
      <c r="E379" s="60">
        <v>1.539359838633E-3</v>
      </c>
    </row>
    <row r="380" spans="2:5" s="64" customFormat="1" ht="14.5" customHeight="1">
      <c r="B380" s="86"/>
      <c r="C380" s="58" t="s">
        <v>199</v>
      </c>
      <c r="D380" s="59">
        <v>5</v>
      </c>
      <c r="E380" s="60">
        <v>2.6540686872999998E-4</v>
      </c>
    </row>
    <row r="381" spans="2:5" s="64" customFormat="1" ht="14.5" customHeight="1">
      <c r="B381" s="86"/>
      <c r="C381" s="58" t="s">
        <v>211</v>
      </c>
      <c r="D381" s="59">
        <v>33</v>
      </c>
      <c r="E381" s="60">
        <v>1.7516853336160001E-3</v>
      </c>
    </row>
    <row r="382" spans="2:5" s="64" customFormat="1" ht="14.5" customHeight="1">
      <c r="B382" s="86"/>
      <c r="C382" s="58" t="s">
        <v>212</v>
      </c>
      <c r="D382" s="59">
        <v>2</v>
      </c>
      <c r="E382" s="60">
        <v>1.06162747492E-4</v>
      </c>
    </row>
    <row r="383" spans="2:5" s="64" customFormat="1" ht="14.5" customHeight="1">
      <c r="B383" s="86"/>
      <c r="C383" s="58" t="s">
        <v>213</v>
      </c>
      <c r="D383" s="59">
        <v>14</v>
      </c>
      <c r="E383" s="60">
        <v>7.4313923244300004E-4</v>
      </c>
    </row>
    <row r="384" spans="2:5" s="64" customFormat="1" ht="14.5" customHeight="1">
      <c r="B384" s="86"/>
      <c r="C384" s="58" t="s">
        <v>214</v>
      </c>
      <c r="D384" s="59">
        <v>5</v>
      </c>
      <c r="E384" s="60">
        <v>2.6540686872999998E-4</v>
      </c>
    </row>
    <row r="385" spans="2:5" s="64" customFormat="1" ht="14.5" customHeight="1">
      <c r="B385" s="86"/>
      <c r="C385" s="58" t="s">
        <v>215</v>
      </c>
      <c r="D385" s="59">
        <v>5</v>
      </c>
      <c r="E385" s="60">
        <v>2.6540686872999998E-4</v>
      </c>
    </row>
    <row r="386" spans="2:5" s="64" customFormat="1" ht="14.5" customHeight="1">
      <c r="B386" s="86"/>
      <c r="C386" s="58" t="s">
        <v>217</v>
      </c>
      <c r="D386" s="59">
        <v>6</v>
      </c>
      <c r="E386" s="60">
        <v>3.1848824247600002E-4</v>
      </c>
    </row>
    <row r="387" spans="2:5" s="64" customFormat="1" ht="14.5" customHeight="1">
      <c r="B387" s="86"/>
      <c r="C387" s="58" t="s">
        <v>218</v>
      </c>
      <c r="D387" s="59">
        <v>9</v>
      </c>
      <c r="E387" s="60">
        <v>4.7773236371400003E-4</v>
      </c>
    </row>
    <row r="388" spans="2:5" s="64" customFormat="1" ht="14.5" customHeight="1">
      <c r="B388" s="86"/>
      <c r="C388" s="58" t="s">
        <v>219</v>
      </c>
      <c r="D388" s="59">
        <v>2</v>
      </c>
      <c r="E388" s="60">
        <v>1.06162747492E-4</v>
      </c>
    </row>
    <row r="389" spans="2:5" s="64" customFormat="1" ht="14.5" customHeight="1">
      <c r="B389" s="86"/>
      <c r="C389" s="58" t="s">
        <v>200</v>
      </c>
      <c r="D389" s="59">
        <v>78</v>
      </c>
      <c r="E389" s="60">
        <v>4.1403471521839997E-3</v>
      </c>
    </row>
    <row r="390" spans="2:5" s="64" customFormat="1" ht="14.5" customHeight="1">
      <c r="B390" s="86"/>
      <c r="C390" s="58" t="s">
        <v>201</v>
      </c>
      <c r="D390" s="59">
        <v>36</v>
      </c>
      <c r="E390" s="60">
        <v>1.910929454854E-3</v>
      </c>
    </row>
    <row r="391" spans="2:5" s="64" customFormat="1" ht="14.5" customHeight="1">
      <c r="B391" s="86"/>
      <c r="C391" s="58" t="s">
        <v>220</v>
      </c>
      <c r="D391" s="59">
        <v>7</v>
      </c>
      <c r="E391" s="60">
        <v>3.71569616222E-4</v>
      </c>
    </row>
    <row r="392" spans="2:5" s="64" customFormat="1" ht="14.5" customHeight="1">
      <c r="B392" s="86"/>
      <c r="C392" s="58" t="s">
        <v>221</v>
      </c>
      <c r="D392" s="59">
        <v>9</v>
      </c>
      <c r="E392" s="60">
        <v>4.7773236371400003E-4</v>
      </c>
    </row>
    <row r="393" spans="2:5" s="64" customFormat="1" ht="14.5" customHeight="1">
      <c r="B393" s="86"/>
      <c r="C393" s="58" t="s">
        <v>222</v>
      </c>
      <c r="D393" s="59">
        <v>9</v>
      </c>
      <c r="E393" s="60">
        <v>4.7773236371400003E-4</v>
      </c>
    </row>
    <row r="394" spans="2:5" s="64" customFormat="1" ht="14.5" customHeight="1">
      <c r="B394" s="86"/>
      <c r="C394" s="58" t="s">
        <v>223</v>
      </c>
      <c r="D394" s="59">
        <v>12</v>
      </c>
      <c r="E394" s="60">
        <v>6.3697648495099997E-4</v>
      </c>
    </row>
    <row r="395" spans="2:5" s="64" customFormat="1" ht="14.5" customHeight="1">
      <c r="B395" s="86"/>
      <c r="C395" s="58" t="s">
        <v>224</v>
      </c>
      <c r="D395" s="59">
        <v>2</v>
      </c>
      <c r="E395" s="60">
        <v>1.06162747492E-4</v>
      </c>
    </row>
    <row r="396" spans="2:5" s="64" customFormat="1" ht="14.5" customHeight="1">
      <c r="B396" s="86"/>
      <c r="C396" s="58" t="s">
        <v>225</v>
      </c>
      <c r="D396" s="59">
        <v>1</v>
      </c>
      <c r="E396" s="60">
        <v>5.3081373745999998E-5</v>
      </c>
    </row>
    <row r="397" spans="2:5" s="64" customFormat="1" ht="14.5" customHeight="1">
      <c r="B397" s="86"/>
      <c r="C397" s="58" t="s">
        <v>202</v>
      </c>
      <c r="D397" s="59">
        <v>13</v>
      </c>
      <c r="E397" s="60">
        <v>6.90057858697E-4</v>
      </c>
    </row>
    <row r="398" spans="2:5" s="64" customFormat="1" ht="14.5" customHeight="1">
      <c r="B398" s="86"/>
      <c r="C398" s="58" t="s">
        <v>203</v>
      </c>
      <c r="D398" s="59">
        <v>7</v>
      </c>
      <c r="E398" s="60">
        <v>3.71569616222E-4</v>
      </c>
    </row>
    <row r="399" spans="2:5" s="64" customFormat="1" ht="14.5" customHeight="1">
      <c r="B399" s="86"/>
      <c r="C399" s="58" t="s">
        <v>226</v>
      </c>
      <c r="D399" s="59">
        <v>6</v>
      </c>
      <c r="E399" s="60">
        <v>3.1848824247600002E-4</v>
      </c>
    </row>
    <row r="400" spans="2:5" s="64" customFormat="1" ht="14.5" customHeight="1">
      <c r="B400" s="86"/>
      <c r="C400" s="58" t="s">
        <v>227</v>
      </c>
      <c r="D400" s="59">
        <v>2</v>
      </c>
      <c r="E400" s="60">
        <v>1.06162747492E-4</v>
      </c>
    </row>
    <row r="401" spans="2:5" s="64" customFormat="1" ht="14.5" customHeight="1">
      <c r="B401" s="86"/>
      <c r="C401" s="58" t="s">
        <v>228</v>
      </c>
      <c r="D401" s="59">
        <v>6</v>
      </c>
      <c r="E401" s="60">
        <v>3.1848824247600002E-4</v>
      </c>
    </row>
    <row r="402" spans="2:5" s="64" customFormat="1" ht="14.5" customHeight="1">
      <c r="B402" s="86"/>
      <c r="C402" s="58" t="s">
        <v>229</v>
      </c>
      <c r="D402" s="59">
        <v>10</v>
      </c>
      <c r="E402" s="60">
        <v>5.3081373745999996E-4</v>
      </c>
    </row>
    <row r="403" spans="2:5" s="64" customFormat="1" ht="14.5" customHeight="1">
      <c r="B403" s="86"/>
      <c r="C403" s="58" t="s">
        <v>230</v>
      </c>
      <c r="D403" s="59">
        <v>6</v>
      </c>
      <c r="E403" s="60">
        <v>3.1848824247600002E-4</v>
      </c>
    </row>
    <row r="404" spans="2:5" s="64" customFormat="1" ht="14.5" customHeight="1">
      <c r="B404" s="86"/>
      <c r="C404" s="58" t="s">
        <v>231</v>
      </c>
      <c r="D404" s="59">
        <v>27</v>
      </c>
      <c r="E404" s="60">
        <v>1.4331970911409999E-3</v>
      </c>
    </row>
    <row r="405" spans="2:5" s="64" customFormat="1" ht="14.5" customHeight="1">
      <c r="B405" s="87"/>
      <c r="C405" s="35" t="s">
        <v>28</v>
      </c>
      <c r="D405" s="34">
        <v>1038</v>
      </c>
      <c r="E405" s="33">
        <v>5.5098465948299001E-2</v>
      </c>
    </row>
    <row r="406" spans="2:5" s="64" customFormat="1" ht="14.5" customHeight="1">
      <c r="B406" s="85" t="s">
        <v>66</v>
      </c>
      <c r="C406" s="58" t="s">
        <v>204</v>
      </c>
      <c r="D406" s="59">
        <v>10</v>
      </c>
      <c r="E406" s="60">
        <v>5.3081373745999996E-4</v>
      </c>
    </row>
    <row r="407" spans="2:5" s="64" customFormat="1" ht="14.5" customHeight="1">
      <c r="B407" s="86"/>
      <c r="C407" s="58" t="s">
        <v>192</v>
      </c>
      <c r="D407" s="59">
        <v>3</v>
      </c>
      <c r="E407" s="60">
        <v>1.5924412123800001E-4</v>
      </c>
    </row>
    <row r="408" spans="2:5" s="64" customFormat="1" ht="14.5" customHeight="1">
      <c r="B408" s="86"/>
      <c r="C408" s="58" t="s">
        <v>193</v>
      </c>
      <c r="D408" s="59">
        <v>6</v>
      </c>
      <c r="E408" s="60">
        <v>3.1848824247600002E-4</v>
      </c>
    </row>
    <row r="409" spans="2:5" s="64" customFormat="1" ht="14.5" customHeight="1">
      <c r="B409" s="86"/>
      <c r="C409" s="58" t="s">
        <v>207</v>
      </c>
      <c r="D409" s="59">
        <v>7</v>
      </c>
      <c r="E409" s="60">
        <v>3.71569616222E-4</v>
      </c>
    </row>
    <row r="410" spans="2:5" s="64" customFormat="1" ht="14.5" customHeight="1">
      <c r="B410" s="86"/>
      <c r="C410" s="58" t="s">
        <v>195</v>
      </c>
      <c r="D410" s="59">
        <v>3</v>
      </c>
      <c r="E410" s="60">
        <v>1.5924412123800001E-4</v>
      </c>
    </row>
    <row r="411" spans="2:5" s="64" customFormat="1" ht="14.5" customHeight="1">
      <c r="B411" s="86"/>
      <c r="C411" s="58" t="s">
        <v>196</v>
      </c>
      <c r="D411" s="59">
        <v>6</v>
      </c>
      <c r="E411" s="60">
        <v>3.1848824247600002E-4</v>
      </c>
    </row>
    <row r="412" spans="2:5" s="64" customFormat="1" ht="14.5" customHeight="1">
      <c r="B412" s="86"/>
      <c r="C412" s="58" t="s">
        <v>197</v>
      </c>
      <c r="D412" s="59">
        <v>5</v>
      </c>
      <c r="E412" s="60">
        <v>2.6540686872999998E-4</v>
      </c>
    </row>
    <row r="413" spans="2:5" s="64" customFormat="1" ht="14.5" customHeight="1">
      <c r="B413" s="86"/>
      <c r="C413" s="58" t="s">
        <v>198</v>
      </c>
      <c r="D413" s="59">
        <v>3</v>
      </c>
      <c r="E413" s="60">
        <v>1.5924412123800001E-4</v>
      </c>
    </row>
    <row r="414" spans="2:5" s="64" customFormat="1" ht="14.5" customHeight="1">
      <c r="B414" s="86"/>
      <c r="C414" s="58" t="s">
        <v>213</v>
      </c>
      <c r="D414" s="59">
        <v>2</v>
      </c>
      <c r="E414" s="60">
        <v>1.06162747492E-4</v>
      </c>
    </row>
    <row r="415" spans="2:5" s="64" customFormat="1" ht="14.5" customHeight="1">
      <c r="B415" s="86"/>
      <c r="C415" s="58" t="s">
        <v>215</v>
      </c>
      <c r="D415" s="59">
        <v>1</v>
      </c>
      <c r="E415" s="60">
        <v>5.3081373745999998E-5</v>
      </c>
    </row>
    <row r="416" spans="2:5" s="64" customFormat="1" ht="14.5" customHeight="1">
      <c r="B416" s="86"/>
      <c r="C416" s="58" t="s">
        <v>217</v>
      </c>
      <c r="D416" s="59">
        <v>2</v>
      </c>
      <c r="E416" s="60">
        <v>1.06162747492E-4</v>
      </c>
    </row>
    <row r="417" spans="2:5" s="64" customFormat="1" ht="14.5" customHeight="1">
      <c r="B417" s="86"/>
      <c r="C417" s="58" t="s">
        <v>219</v>
      </c>
      <c r="D417" s="59">
        <v>1</v>
      </c>
      <c r="E417" s="60">
        <v>5.3081373745999998E-5</v>
      </c>
    </row>
    <row r="418" spans="2:5" s="64" customFormat="1" ht="14.5" customHeight="1">
      <c r="B418" s="86"/>
      <c r="C418" s="58" t="s">
        <v>201</v>
      </c>
      <c r="D418" s="59">
        <v>3</v>
      </c>
      <c r="E418" s="60">
        <v>1.5924412123800001E-4</v>
      </c>
    </row>
    <row r="419" spans="2:5" s="64" customFormat="1" ht="14.5" customHeight="1">
      <c r="B419" s="86"/>
      <c r="C419" s="58" t="s">
        <v>220</v>
      </c>
      <c r="D419" s="59">
        <v>1</v>
      </c>
      <c r="E419" s="60">
        <v>5.3081373745999998E-5</v>
      </c>
    </row>
    <row r="420" spans="2:5" s="64" customFormat="1" ht="14.5" customHeight="1">
      <c r="B420" s="86"/>
      <c r="C420" s="58" t="s">
        <v>222</v>
      </c>
      <c r="D420" s="59">
        <v>4</v>
      </c>
      <c r="E420" s="60">
        <v>2.1232549498399999E-4</v>
      </c>
    </row>
    <row r="421" spans="2:5" s="64" customFormat="1" ht="14.5" customHeight="1">
      <c r="B421" s="86"/>
      <c r="C421" s="58" t="s">
        <v>203</v>
      </c>
      <c r="D421" s="59">
        <v>4</v>
      </c>
      <c r="E421" s="60">
        <v>2.1232549498399999E-4</v>
      </c>
    </row>
    <row r="422" spans="2:5" s="64" customFormat="1" ht="14.5" customHeight="1">
      <c r="B422" s="87"/>
      <c r="C422" s="35" t="s">
        <v>28</v>
      </c>
      <c r="D422" s="34">
        <v>61</v>
      </c>
      <c r="E422" s="33">
        <v>3.2379637985029998E-3</v>
      </c>
    </row>
    <row r="423" spans="2:5" s="64" customFormat="1" ht="14.5" customHeight="1">
      <c r="B423" s="85" t="s">
        <v>67</v>
      </c>
      <c r="C423" s="58" t="s">
        <v>204</v>
      </c>
      <c r="D423" s="59">
        <v>1</v>
      </c>
      <c r="E423" s="60">
        <v>5.3081373745999998E-5</v>
      </c>
    </row>
    <row r="424" spans="2:5" s="64" customFormat="1" ht="14.5" customHeight="1">
      <c r="B424" s="86"/>
      <c r="C424" s="58" t="s">
        <v>193</v>
      </c>
      <c r="D424" s="59">
        <v>9</v>
      </c>
      <c r="E424" s="60">
        <v>4.7773236371400003E-4</v>
      </c>
    </row>
    <row r="425" spans="2:5" s="64" customFormat="1" ht="14.5" customHeight="1">
      <c r="B425" s="86"/>
      <c r="C425" s="58" t="s">
        <v>195</v>
      </c>
      <c r="D425" s="59">
        <v>6</v>
      </c>
      <c r="E425" s="60">
        <v>3.1848824247600002E-4</v>
      </c>
    </row>
    <row r="426" spans="2:5" s="64" customFormat="1" ht="14.5" customHeight="1">
      <c r="B426" s="86"/>
      <c r="C426" s="58" t="s">
        <v>196</v>
      </c>
      <c r="D426" s="59">
        <v>3</v>
      </c>
      <c r="E426" s="60">
        <v>1.5924412123800001E-4</v>
      </c>
    </row>
    <row r="427" spans="2:5" s="64" customFormat="1" ht="14.5" customHeight="1">
      <c r="B427" s="86"/>
      <c r="C427" s="58" t="s">
        <v>197</v>
      </c>
      <c r="D427" s="59">
        <v>6</v>
      </c>
      <c r="E427" s="60">
        <v>3.1848824247600002E-4</v>
      </c>
    </row>
    <row r="428" spans="2:5" s="64" customFormat="1" ht="14.5" customHeight="1">
      <c r="B428" s="86"/>
      <c r="C428" s="58" t="s">
        <v>199</v>
      </c>
      <c r="D428" s="59">
        <v>2</v>
      </c>
      <c r="E428" s="60">
        <v>1.06162747492E-4</v>
      </c>
    </row>
    <row r="429" spans="2:5" s="64" customFormat="1" ht="14.5" customHeight="1">
      <c r="B429" s="86"/>
      <c r="C429" s="58" t="s">
        <v>211</v>
      </c>
      <c r="D429" s="59">
        <v>4</v>
      </c>
      <c r="E429" s="60">
        <v>2.1232549498399999E-4</v>
      </c>
    </row>
    <row r="430" spans="2:5" s="64" customFormat="1" ht="14.5" customHeight="1">
      <c r="B430" s="86"/>
      <c r="C430" s="58" t="s">
        <v>200</v>
      </c>
      <c r="D430" s="59">
        <v>2</v>
      </c>
      <c r="E430" s="60">
        <v>1.06162747492E-4</v>
      </c>
    </row>
    <row r="431" spans="2:5" s="64" customFormat="1" ht="14.5" customHeight="1">
      <c r="B431" s="86"/>
      <c r="C431" s="58" t="s">
        <v>221</v>
      </c>
      <c r="D431" s="59">
        <v>2</v>
      </c>
      <c r="E431" s="60">
        <v>1.06162747492E-4</v>
      </c>
    </row>
    <row r="432" spans="2:5" s="64" customFormat="1" ht="14.5" customHeight="1">
      <c r="B432" s="86"/>
      <c r="C432" s="58" t="s">
        <v>222</v>
      </c>
      <c r="D432" s="59">
        <v>1</v>
      </c>
      <c r="E432" s="60">
        <v>5.3081373745999998E-5</v>
      </c>
    </row>
    <row r="433" spans="2:5" s="64" customFormat="1" ht="14.5" customHeight="1">
      <c r="B433" s="86"/>
      <c r="C433" s="58" t="s">
        <v>228</v>
      </c>
      <c r="D433" s="59">
        <v>1</v>
      </c>
      <c r="E433" s="60">
        <v>5.3081373745999998E-5</v>
      </c>
    </row>
    <row r="434" spans="2:5" s="64" customFormat="1" ht="14.5" customHeight="1">
      <c r="B434" s="86"/>
      <c r="C434" s="58" t="s">
        <v>231</v>
      </c>
      <c r="D434" s="59">
        <v>2</v>
      </c>
      <c r="E434" s="60">
        <v>1.06162747492E-4</v>
      </c>
    </row>
    <row r="435" spans="2:5" s="64" customFormat="1" ht="14.5" customHeight="1">
      <c r="B435" s="87"/>
      <c r="C435" s="35" t="s">
        <v>28</v>
      </c>
      <c r="D435" s="34">
        <v>39</v>
      </c>
      <c r="E435" s="33">
        <v>2.0701735760919999E-3</v>
      </c>
    </row>
    <row r="436" spans="2:5" s="64" customFormat="1" ht="14.5" customHeight="1">
      <c r="B436" s="85" t="s">
        <v>68</v>
      </c>
      <c r="C436" s="58" t="s">
        <v>204</v>
      </c>
      <c r="D436" s="59">
        <v>1</v>
      </c>
      <c r="E436" s="60">
        <v>5.3081373745999998E-5</v>
      </c>
    </row>
    <row r="437" spans="2:5" s="64" customFormat="1" ht="14.5" customHeight="1">
      <c r="B437" s="86"/>
      <c r="C437" s="58" t="s">
        <v>193</v>
      </c>
      <c r="D437" s="59">
        <v>6</v>
      </c>
      <c r="E437" s="60">
        <v>3.1848824247600002E-4</v>
      </c>
    </row>
    <row r="438" spans="2:5" s="64" customFormat="1" ht="14.5" customHeight="1">
      <c r="B438" s="86"/>
      <c r="C438" s="58" t="s">
        <v>195</v>
      </c>
      <c r="D438" s="59">
        <v>1</v>
      </c>
      <c r="E438" s="60">
        <v>5.3081373745999998E-5</v>
      </c>
    </row>
    <row r="439" spans="2:5" s="64" customFormat="1" ht="14.5" customHeight="1">
      <c r="B439" s="86"/>
      <c r="C439" s="58" t="s">
        <v>208</v>
      </c>
      <c r="D439" s="59">
        <v>1</v>
      </c>
      <c r="E439" s="60">
        <v>5.3081373745999998E-5</v>
      </c>
    </row>
    <row r="440" spans="2:5" s="64" customFormat="1" ht="14.5" customHeight="1">
      <c r="B440" s="86"/>
      <c r="C440" s="58" t="s">
        <v>197</v>
      </c>
      <c r="D440" s="59">
        <v>1</v>
      </c>
      <c r="E440" s="60">
        <v>5.3081373745999998E-5</v>
      </c>
    </row>
    <row r="441" spans="2:5" s="64" customFormat="1" ht="14.5" customHeight="1">
      <c r="B441" s="86"/>
      <c r="C441" s="58" t="s">
        <v>220</v>
      </c>
      <c r="D441" s="59">
        <v>1</v>
      </c>
      <c r="E441" s="60">
        <v>5.3081373745999998E-5</v>
      </c>
    </row>
    <row r="442" spans="2:5" s="64" customFormat="1" ht="14.5" customHeight="1">
      <c r="B442" s="86"/>
      <c r="C442" s="58" t="s">
        <v>223</v>
      </c>
      <c r="D442" s="59">
        <v>1</v>
      </c>
      <c r="E442" s="60">
        <v>5.3081373745999998E-5</v>
      </c>
    </row>
    <row r="443" spans="2:5" s="64" customFormat="1" ht="14.5" customHeight="1">
      <c r="B443" s="87"/>
      <c r="C443" s="35" t="s">
        <v>28</v>
      </c>
      <c r="D443" s="34">
        <v>12</v>
      </c>
      <c r="E443" s="33">
        <v>6.3697648495099997E-4</v>
      </c>
    </row>
    <row r="444" spans="2:5" s="64" customFormat="1" ht="14.5" customHeight="1">
      <c r="B444" s="85" t="s">
        <v>69</v>
      </c>
      <c r="C444" s="58" t="s">
        <v>211</v>
      </c>
      <c r="D444" s="59">
        <v>1</v>
      </c>
      <c r="E444" s="60">
        <v>5.3081373745999998E-5</v>
      </c>
    </row>
    <row r="445" spans="2:5" s="64" customFormat="1" ht="14.5" customHeight="1">
      <c r="B445" s="86"/>
      <c r="C445" s="58" t="s">
        <v>222</v>
      </c>
      <c r="D445" s="59">
        <v>2</v>
      </c>
      <c r="E445" s="60">
        <v>1.06162747492E-4</v>
      </c>
    </row>
    <row r="446" spans="2:5" s="64" customFormat="1" ht="14.5" customHeight="1">
      <c r="B446" s="87"/>
      <c r="C446" s="35" t="s">
        <v>28</v>
      </c>
      <c r="D446" s="34">
        <v>3</v>
      </c>
      <c r="E446" s="33">
        <v>1.5924412123800001E-4</v>
      </c>
    </row>
    <row r="447" spans="2:5" s="64" customFormat="1" ht="14.5" customHeight="1">
      <c r="B447" s="85" t="s">
        <v>70</v>
      </c>
      <c r="C447" s="58" t="s">
        <v>204</v>
      </c>
      <c r="D447" s="59">
        <v>4</v>
      </c>
      <c r="E447" s="60">
        <v>2.1232549498399999E-4</v>
      </c>
    </row>
    <row r="448" spans="2:5" s="64" customFormat="1" ht="14.5" customHeight="1">
      <c r="B448" s="86"/>
      <c r="C448" s="58" t="s">
        <v>205</v>
      </c>
      <c r="D448" s="59">
        <v>1</v>
      </c>
      <c r="E448" s="60">
        <v>5.3081373745999998E-5</v>
      </c>
    </row>
    <row r="449" spans="2:5" s="64" customFormat="1" ht="14.5" customHeight="1">
      <c r="B449" s="86"/>
      <c r="C449" s="58" t="s">
        <v>206</v>
      </c>
      <c r="D449" s="59">
        <v>2</v>
      </c>
      <c r="E449" s="60">
        <v>1.06162747492E-4</v>
      </c>
    </row>
    <row r="450" spans="2:5" s="64" customFormat="1" ht="14.5" customHeight="1">
      <c r="B450" s="86"/>
      <c r="C450" s="58" t="s">
        <v>193</v>
      </c>
      <c r="D450" s="59">
        <v>18</v>
      </c>
      <c r="E450" s="60">
        <v>9.5546472742699998E-4</v>
      </c>
    </row>
    <row r="451" spans="2:5" s="64" customFormat="1" ht="14.5" customHeight="1">
      <c r="B451" s="86"/>
      <c r="C451" s="58" t="s">
        <v>207</v>
      </c>
      <c r="D451" s="59">
        <v>5</v>
      </c>
      <c r="E451" s="60">
        <v>2.6540686872999998E-4</v>
      </c>
    </row>
    <row r="452" spans="2:5" s="64" customFormat="1" ht="14.5" customHeight="1">
      <c r="B452" s="86"/>
      <c r="C452" s="58" t="s">
        <v>194</v>
      </c>
      <c r="D452" s="59">
        <v>1</v>
      </c>
      <c r="E452" s="60">
        <v>5.3081373745999998E-5</v>
      </c>
    </row>
    <row r="453" spans="2:5" s="64" customFormat="1" ht="14.5" customHeight="1">
      <c r="B453" s="86"/>
      <c r="C453" s="58" t="s">
        <v>195</v>
      </c>
      <c r="D453" s="59">
        <v>5</v>
      </c>
      <c r="E453" s="60">
        <v>2.6540686872999998E-4</v>
      </c>
    </row>
    <row r="454" spans="2:5" s="64" customFormat="1" ht="14.5" customHeight="1">
      <c r="B454" s="86"/>
      <c r="C454" s="58" t="s">
        <v>208</v>
      </c>
      <c r="D454" s="59">
        <v>2</v>
      </c>
      <c r="E454" s="60">
        <v>1.06162747492E-4</v>
      </c>
    </row>
    <row r="455" spans="2:5" s="64" customFormat="1" ht="14.5" customHeight="1">
      <c r="B455" s="86"/>
      <c r="C455" s="58" t="s">
        <v>196</v>
      </c>
      <c r="D455" s="59">
        <v>12</v>
      </c>
      <c r="E455" s="60">
        <v>6.3697648495099997E-4</v>
      </c>
    </row>
    <row r="456" spans="2:5" s="64" customFormat="1" ht="14.5" customHeight="1">
      <c r="B456" s="86"/>
      <c r="C456" s="58" t="s">
        <v>209</v>
      </c>
      <c r="D456" s="59">
        <v>3</v>
      </c>
      <c r="E456" s="60">
        <v>1.5924412123800001E-4</v>
      </c>
    </row>
    <row r="457" spans="2:5" s="64" customFormat="1" ht="14.5" customHeight="1">
      <c r="B457" s="86"/>
      <c r="C457" s="58" t="s">
        <v>210</v>
      </c>
      <c r="D457" s="59">
        <v>13</v>
      </c>
      <c r="E457" s="60">
        <v>6.90057858697E-4</v>
      </c>
    </row>
    <row r="458" spans="2:5" s="64" customFormat="1" ht="14.5" customHeight="1">
      <c r="B458" s="86"/>
      <c r="C458" s="58" t="s">
        <v>197</v>
      </c>
      <c r="D458" s="59">
        <v>3</v>
      </c>
      <c r="E458" s="60">
        <v>1.5924412123800001E-4</v>
      </c>
    </row>
    <row r="459" spans="2:5" s="64" customFormat="1" ht="14.5" customHeight="1">
      <c r="B459" s="86"/>
      <c r="C459" s="58" t="s">
        <v>198</v>
      </c>
      <c r="D459" s="59">
        <v>7</v>
      </c>
      <c r="E459" s="60">
        <v>3.71569616222E-4</v>
      </c>
    </row>
    <row r="460" spans="2:5" s="64" customFormat="1" ht="14.5" customHeight="1">
      <c r="B460" s="86"/>
      <c r="C460" s="58" t="s">
        <v>211</v>
      </c>
      <c r="D460" s="59">
        <v>1</v>
      </c>
      <c r="E460" s="60">
        <v>5.3081373745999998E-5</v>
      </c>
    </row>
    <row r="461" spans="2:5" s="64" customFormat="1" ht="14.5" customHeight="1">
      <c r="B461" s="86"/>
      <c r="C461" s="58" t="s">
        <v>214</v>
      </c>
      <c r="D461" s="59">
        <v>1</v>
      </c>
      <c r="E461" s="60">
        <v>5.3081373745999998E-5</v>
      </c>
    </row>
    <row r="462" spans="2:5" s="64" customFormat="1" ht="14.5" customHeight="1">
      <c r="B462" s="86"/>
      <c r="C462" s="58" t="s">
        <v>215</v>
      </c>
      <c r="D462" s="59">
        <v>3</v>
      </c>
      <c r="E462" s="60">
        <v>1.5924412123800001E-4</v>
      </c>
    </row>
    <row r="463" spans="2:5" s="64" customFormat="1" ht="14.5" customHeight="1">
      <c r="B463" s="86"/>
      <c r="C463" s="58" t="s">
        <v>219</v>
      </c>
      <c r="D463" s="59">
        <v>6</v>
      </c>
      <c r="E463" s="60">
        <v>3.1848824247600002E-4</v>
      </c>
    </row>
    <row r="464" spans="2:5" s="64" customFormat="1" ht="14.5" customHeight="1">
      <c r="B464" s="86"/>
      <c r="C464" s="58" t="s">
        <v>201</v>
      </c>
      <c r="D464" s="59">
        <v>2</v>
      </c>
      <c r="E464" s="60">
        <v>1.06162747492E-4</v>
      </c>
    </row>
    <row r="465" spans="2:5" s="64" customFormat="1" ht="14.5" customHeight="1">
      <c r="B465" s="86"/>
      <c r="C465" s="58" t="s">
        <v>220</v>
      </c>
      <c r="D465" s="59">
        <v>1</v>
      </c>
      <c r="E465" s="60">
        <v>5.3081373745999998E-5</v>
      </c>
    </row>
    <row r="466" spans="2:5" s="64" customFormat="1" ht="14.5" customHeight="1">
      <c r="B466" s="86"/>
      <c r="C466" s="58" t="s">
        <v>221</v>
      </c>
      <c r="D466" s="59">
        <v>4</v>
      </c>
      <c r="E466" s="60">
        <v>2.1232549498399999E-4</v>
      </c>
    </row>
    <row r="467" spans="2:5" s="64" customFormat="1" ht="14.5" customHeight="1">
      <c r="B467" s="86"/>
      <c r="C467" s="58" t="s">
        <v>203</v>
      </c>
      <c r="D467" s="59">
        <v>2</v>
      </c>
      <c r="E467" s="60">
        <v>1.06162747492E-4</v>
      </c>
    </row>
    <row r="468" spans="2:5" s="64" customFormat="1" ht="14.5" customHeight="1">
      <c r="B468" s="86"/>
      <c r="C468" s="58" t="s">
        <v>226</v>
      </c>
      <c r="D468" s="59">
        <v>1</v>
      </c>
      <c r="E468" s="60">
        <v>5.3081373745999998E-5</v>
      </c>
    </row>
    <row r="469" spans="2:5" s="64" customFormat="1" ht="14.5" customHeight="1">
      <c r="B469" s="86"/>
      <c r="C469" s="58" t="s">
        <v>228</v>
      </c>
      <c r="D469" s="59">
        <v>15</v>
      </c>
      <c r="E469" s="60">
        <v>7.9622060618899997E-4</v>
      </c>
    </row>
    <row r="470" spans="2:5" s="64" customFormat="1" ht="14.5" customHeight="1">
      <c r="B470" s="86"/>
      <c r="C470" s="58" t="s">
        <v>230</v>
      </c>
      <c r="D470" s="59">
        <v>3</v>
      </c>
      <c r="E470" s="60">
        <v>1.5924412123800001E-4</v>
      </c>
    </row>
    <row r="471" spans="2:5" s="64" customFormat="1" ht="14.5" customHeight="1">
      <c r="B471" s="86"/>
      <c r="C471" s="58" t="s">
        <v>231</v>
      </c>
      <c r="D471" s="59">
        <v>2</v>
      </c>
      <c r="E471" s="60">
        <v>1.06162747492E-4</v>
      </c>
    </row>
    <row r="472" spans="2:5" s="64" customFormat="1" ht="14.5" customHeight="1">
      <c r="B472" s="87"/>
      <c r="C472" s="35" t="s">
        <v>28</v>
      </c>
      <c r="D472" s="34">
        <v>117</v>
      </c>
      <c r="E472" s="33">
        <v>6.210520728276E-3</v>
      </c>
    </row>
    <row r="473" spans="2:5" s="64" customFormat="1" ht="14.5" customHeight="1">
      <c r="B473" s="85" t="s">
        <v>71</v>
      </c>
      <c r="C473" s="58" t="s">
        <v>204</v>
      </c>
      <c r="D473" s="59">
        <v>7</v>
      </c>
      <c r="E473" s="60">
        <v>3.71569616222E-4</v>
      </c>
    </row>
    <row r="474" spans="2:5" s="64" customFormat="1" ht="14.5" customHeight="1">
      <c r="B474" s="86"/>
      <c r="C474" s="58" t="s">
        <v>192</v>
      </c>
      <c r="D474" s="59">
        <v>6</v>
      </c>
      <c r="E474" s="60">
        <v>3.1848824247600002E-4</v>
      </c>
    </row>
    <row r="475" spans="2:5" s="64" customFormat="1" ht="14.5" customHeight="1">
      <c r="B475" s="86"/>
      <c r="C475" s="58" t="s">
        <v>193</v>
      </c>
      <c r="D475" s="59">
        <v>29</v>
      </c>
      <c r="E475" s="60">
        <v>1.539359838633E-3</v>
      </c>
    </row>
    <row r="476" spans="2:5" s="64" customFormat="1" ht="14.5" customHeight="1">
      <c r="B476" s="86"/>
      <c r="C476" s="58" t="s">
        <v>207</v>
      </c>
      <c r="D476" s="59">
        <v>5</v>
      </c>
      <c r="E476" s="60">
        <v>2.6540686872999998E-4</v>
      </c>
    </row>
    <row r="477" spans="2:5" s="64" customFormat="1" ht="14.5" customHeight="1">
      <c r="B477" s="86"/>
      <c r="C477" s="58" t="s">
        <v>195</v>
      </c>
      <c r="D477" s="59">
        <v>21</v>
      </c>
      <c r="E477" s="60">
        <v>1.1147088486650001E-3</v>
      </c>
    </row>
    <row r="478" spans="2:5" s="64" customFormat="1" ht="14.5" customHeight="1">
      <c r="B478" s="86"/>
      <c r="C478" s="58" t="s">
        <v>208</v>
      </c>
      <c r="D478" s="59">
        <v>3</v>
      </c>
      <c r="E478" s="60">
        <v>1.5924412123800001E-4</v>
      </c>
    </row>
    <row r="479" spans="2:5" s="64" customFormat="1" ht="14.5" customHeight="1">
      <c r="B479" s="86"/>
      <c r="C479" s="58" t="s">
        <v>196</v>
      </c>
      <c r="D479" s="59">
        <v>16</v>
      </c>
      <c r="E479" s="60">
        <v>8.4930197993500001E-4</v>
      </c>
    </row>
    <row r="480" spans="2:5" s="64" customFormat="1" ht="14.5" customHeight="1">
      <c r="B480" s="86"/>
      <c r="C480" s="58" t="s">
        <v>197</v>
      </c>
      <c r="D480" s="59">
        <v>20</v>
      </c>
      <c r="E480" s="60">
        <v>1.0616274749190001E-3</v>
      </c>
    </row>
    <row r="481" spans="2:5" s="64" customFormat="1" ht="14.5" customHeight="1">
      <c r="B481" s="86"/>
      <c r="C481" s="58" t="s">
        <v>198</v>
      </c>
      <c r="D481" s="59">
        <v>5</v>
      </c>
      <c r="E481" s="60">
        <v>2.6540686872999998E-4</v>
      </c>
    </row>
    <row r="482" spans="2:5" s="64" customFormat="1" ht="14.5" customHeight="1">
      <c r="B482" s="86"/>
      <c r="C482" s="58" t="s">
        <v>213</v>
      </c>
      <c r="D482" s="59">
        <v>1</v>
      </c>
      <c r="E482" s="60">
        <v>5.3081373745999998E-5</v>
      </c>
    </row>
    <row r="483" spans="2:5" s="64" customFormat="1" ht="14.5" customHeight="1">
      <c r="B483" s="86"/>
      <c r="C483" s="58" t="s">
        <v>217</v>
      </c>
      <c r="D483" s="59">
        <v>2</v>
      </c>
      <c r="E483" s="60">
        <v>1.06162747492E-4</v>
      </c>
    </row>
    <row r="484" spans="2:5" s="64" customFormat="1" ht="14.5" customHeight="1">
      <c r="B484" s="86"/>
      <c r="C484" s="58" t="s">
        <v>218</v>
      </c>
      <c r="D484" s="59">
        <v>1</v>
      </c>
      <c r="E484" s="60">
        <v>5.3081373745999998E-5</v>
      </c>
    </row>
    <row r="485" spans="2:5" s="64" customFormat="1" ht="14.5" customHeight="1">
      <c r="B485" s="86"/>
      <c r="C485" s="58" t="s">
        <v>219</v>
      </c>
      <c r="D485" s="59">
        <v>3</v>
      </c>
      <c r="E485" s="60">
        <v>1.5924412123800001E-4</v>
      </c>
    </row>
    <row r="486" spans="2:5" s="64" customFormat="1" ht="14.5" customHeight="1">
      <c r="B486" s="86"/>
      <c r="C486" s="58" t="s">
        <v>200</v>
      </c>
      <c r="D486" s="59">
        <v>1</v>
      </c>
      <c r="E486" s="60">
        <v>5.3081373745999998E-5</v>
      </c>
    </row>
    <row r="487" spans="2:5" s="64" customFormat="1" ht="14.5" customHeight="1">
      <c r="B487" s="86"/>
      <c r="C487" s="58" t="s">
        <v>201</v>
      </c>
      <c r="D487" s="59">
        <v>27</v>
      </c>
      <c r="E487" s="60">
        <v>1.4331970911409999E-3</v>
      </c>
    </row>
    <row r="488" spans="2:5" s="64" customFormat="1" ht="14.5" customHeight="1">
      <c r="B488" s="86"/>
      <c r="C488" s="58" t="s">
        <v>220</v>
      </c>
      <c r="D488" s="59">
        <v>1</v>
      </c>
      <c r="E488" s="60">
        <v>5.3081373745999998E-5</v>
      </c>
    </row>
    <row r="489" spans="2:5" s="64" customFormat="1" ht="14.5" customHeight="1">
      <c r="B489" s="86"/>
      <c r="C489" s="58" t="s">
        <v>203</v>
      </c>
      <c r="D489" s="59">
        <v>6</v>
      </c>
      <c r="E489" s="60">
        <v>3.1848824247600002E-4</v>
      </c>
    </row>
    <row r="490" spans="2:5" s="64" customFormat="1" ht="14.5" customHeight="1">
      <c r="B490" s="86"/>
      <c r="C490" s="58" t="s">
        <v>227</v>
      </c>
      <c r="D490" s="59">
        <v>2</v>
      </c>
      <c r="E490" s="60">
        <v>1.06162747492E-4</v>
      </c>
    </row>
    <row r="491" spans="2:5" s="64" customFormat="1" ht="14.5" customHeight="1">
      <c r="B491" s="86"/>
      <c r="C491" s="58" t="s">
        <v>228</v>
      </c>
      <c r="D491" s="59">
        <v>7</v>
      </c>
      <c r="E491" s="60">
        <v>3.71569616222E-4</v>
      </c>
    </row>
    <row r="492" spans="2:5" s="64" customFormat="1" ht="14.5" customHeight="1">
      <c r="B492" s="86"/>
      <c r="C492" s="58" t="s">
        <v>229</v>
      </c>
      <c r="D492" s="59">
        <v>3</v>
      </c>
      <c r="E492" s="60">
        <v>1.5924412123800001E-4</v>
      </c>
    </row>
    <row r="493" spans="2:5" s="64" customFormat="1" ht="14.5" customHeight="1">
      <c r="B493" s="86"/>
      <c r="C493" s="58" t="s">
        <v>231</v>
      </c>
      <c r="D493" s="59">
        <v>2</v>
      </c>
      <c r="E493" s="60">
        <v>1.06162747492E-4</v>
      </c>
    </row>
    <row r="494" spans="2:5" s="64" customFormat="1" ht="14.5" customHeight="1">
      <c r="B494" s="87"/>
      <c r="C494" s="35" t="s">
        <v>28</v>
      </c>
      <c r="D494" s="34">
        <v>168</v>
      </c>
      <c r="E494" s="33">
        <v>8.9176707893200008E-3</v>
      </c>
    </row>
    <row r="495" spans="2:5" s="64" customFormat="1" ht="14.5" customHeight="1">
      <c r="B495" s="85" t="s">
        <v>72</v>
      </c>
      <c r="C495" s="58" t="s">
        <v>204</v>
      </c>
      <c r="D495" s="59">
        <v>2</v>
      </c>
      <c r="E495" s="60">
        <v>1.06162747492E-4</v>
      </c>
    </row>
    <row r="496" spans="2:5" s="64" customFormat="1" ht="14.5" customHeight="1">
      <c r="B496" s="86"/>
      <c r="C496" s="58" t="s">
        <v>192</v>
      </c>
      <c r="D496" s="59">
        <v>4</v>
      </c>
      <c r="E496" s="60">
        <v>2.1232549498399999E-4</v>
      </c>
    </row>
    <row r="497" spans="2:5" s="64" customFormat="1" ht="14.5" customHeight="1">
      <c r="B497" s="86"/>
      <c r="C497" s="58" t="s">
        <v>193</v>
      </c>
      <c r="D497" s="59">
        <v>4</v>
      </c>
      <c r="E497" s="60">
        <v>2.1232549498399999E-4</v>
      </c>
    </row>
    <row r="498" spans="2:5" s="64" customFormat="1" ht="14.5" customHeight="1">
      <c r="B498" s="86"/>
      <c r="C498" s="58" t="s">
        <v>195</v>
      </c>
      <c r="D498" s="59">
        <v>1</v>
      </c>
      <c r="E498" s="60">
        <v>5.3081373745999998E-5</v>
      </c>
    </row>
    <row r="499" spans="2:5" s="64" customFormat="1" ht="14.5" customHeight="1">
      <c r="B499" s="86"/>
      <c r="C499" s="58" t="s">
        <v>196</v>
      </c>
      <c r="D499" s="59">
        <v>1</v>
      </c>
      <c r="E499" s="60">
        <v>5.3081373745999998E-5</v>
      </c>
    </row>
    <row r="500" spans="2:5" s="64" customFormat="1" ht="14.5" customHeight="1">
      <c r="B500" s="86"/>
      <c r="C500" s="58" t="s">
        <v>197</v>
      </c>
      <c r="D500" s="59">
        <v>4</v>
      </c>
      <c r="E500" s="60">
        <v>2.1232549498399999E-4</v>
      </c>
    </row>
    <row r="501" spans="2:5" s="64" customFormat="1" ht="14.5" customHeight="1">
      <c r="B501" s="86"/>
      <c r="C501" s="58" t="s">
        <v>213</v>
      </c>
      <c r="D501" s="59">
        <v>1</v>
      </c>
      <c r="E501" s="60">
        <v>5.3081373745999998E-5</v>
      </c>
    </row>
    <row r="502" spans="2:5" s="64" customFormat="1" ht="14.5" customHeight="1">
      <c r="B502" s="86"/>
      <c r="C502" s="58" t="s">
        <v>225</v>
      </c>
      <c r="D502" s="59">
        <v>1</v>
      </c>
      <c r="E502" s="60">
        <v>5.3081373745999998E-5</v>
      </c>
    </row>
    <row r="503" spans="2:5" s="64" customFormat="1" ht="14.5" customHeight="1">
      <c r="B503" s="86"/>
      <c r="C503" s="58" t="s">
        <v>203</v>
      </c>
      <c r="D503" s="59">
        <v>1</v>
      </c>
      <c r="E503" s="60">
        <v>5.3081373745999998E-5</v>
      </c>
    </row>
    <row r="504" spans="2:5" s="64" customFormat="1" ht="14.5" customHeight="1">
      <c r="B504" s="86"/>
      <c r="C504" s="58" t="s">
        <v>229</v>
      </c>
      <c r="D504" s="59">
        <v>1</v>
      </c>
      <c r="E504" s="60">
        <v>5.3081373745999998E-5</v>
      </c>
    </row>
    <row r="505" spans="2:5" s="64" customFormat="1" ht="14.5" customHeight="1">
      <c r="B505" s="87"/>
      <c r="C505" s="35" t="s">
        <v>28</v>
      </c>
      <c r="D505" s="34">
        <v>20</v>
      </c>
      <c r="E505" s="33">
        <v>1.0616274749190001E-3</v>
      </c>
    </row>
    <row r="506" spans="2:5" s="64" customFormat="1" ht="14.5" customHeight="1">
      <c r="B506" s="85" t="s">
        <v>73</v>
      </c>
      <c r="C506" s="58" t="s">
        <v>204</v>
      </c>
      <c r="D506" s="59">
        <v>3</v>
      </c>
      <c r="E506" s="60">
        <v>1.5924412123800001E-4</v>
      </c>
    </row>
    <row r="507" spans="2:5" s="64" customFormat="1" ht="14.5" customHeight="1">
      <c r="B507" s="86"/>
      <c r="C507" s="58" t="s">
        <v>206</v>
      </c>
      <c r="D507" s="59">
        <v>2</v>
      </c>
      <c r="E507" s="60">
        <v>1.06162747492E-4</v>
      </c>
    </row>
    <row r="508" spans="2:5" s="64" customFormat="1" ht="14.5" customHeight="1">
      <c r="B508" s="86"/>
      <c r="C508" s="58" t="s">
        <v>192</v>
      </c>
      <c r="D508" s="59">
        <v>7</v>
      </c>
      <c r="E508" s="60">
        <v>3.71569616222E-4</v>
      </c>
    </row>
    <row r="509" spans="2:5" s="64" customFormat="1" ht="14.5" customHeight="1">
      <c r="B509" s="86"/>
      <c r="C509" s="58" t="s">
        <v>193</v>
      </c>
      <c r="D509" s="59">
        <v>37</v>
      </c>
      <c r="E509" s="60">
        <v>1.9640108285999998E-3</v>
      </c>
    </row>
    <row r="510" spans="2:5" s="64" customFormat="1" ht="14.5" customHeight="1">
      <c r="B510" s="86"/>
      <c r="C510" s="58" t="s">
        <v>207</v>
      </c>
      <c r="D510" s="59">
        <v>4</v>
      </c>
      <c r="E510" s="60">
        <v>2.1232549498399999E-4</v>
      </c>
    </row>
    <row r="511" spans="2:5" s="64" customFormat="1" ht="14.5" customHeight="1">
      <c r="B511" s="86"/>
      <c r="C511" s="58" t="s">
        <v>195</v>
      </c>
      <c r="D511" s="59">
        <v>4</v>
      </c>
      <c r="E511" s="60">
        <v>2.1232549498399999E-4</v>
      </c>
    </row>
    <row r="512" spans="2:5" s="64" customFormat="1" ht="14.5" customHeight="1">
      <c r="B512" s="86"/>
      <c r="C512" s="58" t="s">
        <v>208</v>
      </c>
      <c r="D512" s="59">
        <v>2</v>
      </c>
      <c r="E512" s="60">
        <v>1.06162747492E-4</v>
      </c>
    </row>
    <row r="513" spans="2:5" s="64" customFormat="1" ht="14.5" customHeight="1">
      <c r="B513" s="86"/>
      <c r="C513" s="58" t="s">
        <v>196</v>
      </c>
      <c r="D513" s="59">
        <v>26</v>
      </c>
      <c r="E513" s="60">
        <v>1.3801157173950001E-3</v>
      </c>
    </row>
    <row r="514" spans="2:5" s="64" customFormat="1" ht="14.5" customHeight="1">
      <c r="B514" s="86"/>
      <c r="C514" s="58" t="s">
        <v>209</v>
      </c>
      <c r="D514" s="59">
        <v>3</v>
      </c>
      <c r="E514" s="60">
        <v>1.5924412123800001E-4</v>
      </c>
    </row>
    <row r="515" spans="2:5" s="64" customFormat="1" ht="14.5" customHeight="1">
      <c r="B515" s="86"/>
      <c r="C515" s="58" t="s">
        <v>210</v>
      </c>
      <c r="D515" s="59">
        <v>2</v>
      </c>
      <c r="E515" s="60">
        <v>1.06162747492E-4</v>
      </c>
    </row>
    <row r="516" spans="2:5" s="64" customFormat="1" ht="14.5" customHeight="1">
      <c r="B516" s="86"/>
      <c r="C516" s="58" t="s">
        <v>197</v>
      </c>
      <c r="D516" s="59">
        <v>13</v>
      </c>
      <c r="E516" s="60">
        <v>6.90057858697E-4</v>
      </c>
    </row>
    <row r="517" spans="2:5" s="64" customFormat="1" ht="14.5" customHeight="1">
      <c r="B517" s="86"/>
      <c r="C517" s="58" t="s">
        <v>198</v>
      </c>
      <c r="D517" s="59">
        <v>7</v>
      </c>
      <c r="E517" s="60">
        <v>3.71569616222E-4</v>
      </c>
    </row>
    <row r="518" spans="2:5" s="64" customFormat="1" ht="14.5" customHeight="1">
      <c r="B518" s="86"/>
      <c r="C518" s="58" t="s">
        <v>211</v>
      </c>
      <c r="D518" s="59">
        <v>13</v>
      </c>
      <c r="E518" s="60">
        <v>6.90057858697E-4</v>
      </c>
    </row>
    <row r="519" spans="2:5" s="64" customFormat="1" ht="14.5" customHeight="1">
      <c r="B519" s="86"/>
      <c r="C519" s="58" t="s">
        <v>212</v>
      </c>
      <c r="D519" s="59">
        <v>2</v>
      </c>
      <c r="E519" s="60">
        <v>1.06162747492E-4</v>
      </c>
    </row>
    <row r="520" spans="2:5" s="64" customFormat="1" ht="14.5" customHeight="1">
      <c r="B520" s="86"/>
      <c r="C520" s="58" t="s">
        <v>213</v>
      </c>
      <c r="D520" s="59">
        <v>2</v>
      </c>
      <c r="E520" s="60">
        <v>1.06162747492E-4</v>
      </c>
    </row>
    <row r="521" spans="2:5" s="64" customFormat="1" ht="14.5" customHeight="1">
      <c r="B521" s="86"/>
      <c r="C521" s="58" t="s">
        <v>214</v>
      </c>
      <c r="D521" s="59">
        <v>1</v>
      </c>
      <c r="E521" s="60">
        <v>5.3081373745999998E-5</v>
      </c>
    </row>
    <row r="522" spans="2:5" s="64" customFormat="1" ht="14.5" customHeight="1">
      <c r="B522" s="86"/>
      <c r="C522" s="58" t="s">
        <v>215</v>
      </c>
      <c r="D522" s="59">
        <v>11</v>
      </c>
      <c r="E522" s="60">
        <v>5.8389511120500003E-4</v>
      </c>
    </row>
    <row r="523" spans="2:5" s="64" customFormat="1" ht="14.5" customHeight="1">
      <c r="B523" s="86"/>
      <c r="C523" s="58" t="s">
        <v>218</v>
      </c>
      <c r="D523" s="59">
        <v>4</v>
      </c>
      <c r="E523" s="60">
        <v>2.1232549498399999E-4</v>
      </c>
    </row>
    <row r="524" spans="2:5" s="64" customFormat="1" ht="14.5" customHeight="1">
      <c r="B524" s="86"/>
      <c r="C524" s="58" t="s">
        <v>219</v>
      </c>
      <c r="D524" s="59">
        <v>1</v>
      </c>
      <c r="E524" s="60">
        <v>5.3081373745999998E-5</v>
      </c>
    </row>
    <row r="525" spans="2:5" s="64" customFormat="1" ht="14.5" customHeight="1">
      <c r="B525" s="86"/>
      <c r="C525" s="58" t="s">
        <v>201</v>
      </c>
      <c r="D525" s="59">
        <v>14</v>
      </c>
      <c r="E525" s="60">
        <v>7.4313923244300004E-4</v>
      </c>
    </row>
    <row r="526" spans="2:5" s="64" customFormat="1" ht="14.5" customHeight="1">
      <c r="B526" s="86"/>
      <c r="C526" s="58" t="s">
        <v>220</v>
      </c>
      <c r="D526" s="59">
        <v>3</v>
      </c>
      <c r="E526" s="60">
        <v>1.5924412123800001E-4</v>
      </c>
    </row>
    <row r="527" spans="2:5" s="64" customFormat="1" ht="14.5" customHeight="1">
      <c r="B527" s="86"/>
      <c r="C527" s="58" t="s">
        <v>222</v>
      </c>
      <c r="D527" s="59">
        <v>1</v>
      </c>
      <c r="E527" s="60">
        <v>5.3081373745999998E-5</v>
      </c>
    </row>
    <row r="528" spans="2:5" s="64" customFormat="1" ht="14.5" customHeight="1">
      <c r="B528" s="86"/>
      <c r="C528" s="58" t="s">
        <v>223</v>
      </c>
      <c r="D528" s="59">
        <v>1</v>
      </c>
      <c r="E528" s="60">
        <v>5.3081373745999998E-5</v>
      </c>
    </row>
    <row r="529" spans="2:5" s="64" customFormat="1" ht="14.5" customHeight="1">
      <c r="B529" s="86"/>
      <c r="C529" s="58" t="s">
        <v>225</v>
      </c>
      <c r="D529" s="59">
        <v>1</v>
      </c>
      <c r="E529" s="60">
        <v>5.3081373745999998E-5</v>
      </c>
    </row>
    <row r="530" spans="2:5" s="64" customFormat="1" ht="14.5" customHeight="1">
      <c r="B530" s="86"/>
      <c r="C530" s="58" t="s">
        <v>202</v>
      </c>
      <c r="D530" s="59">
        <v>13</v>
      </c>
      <c r="E530" s="60">
        <v>6.90057858697E-4</v>
      </c>
    </row>
    <row r="531" spans="2:5" s="64" customFormat="1" ht="14.5" customHeight="1">
      <c r="B531" s="86"/>
      <c r="C531" s="58" t="s">
        <v>203</v>
      </c>
      <c r="D531" s="59">
        <v>10</v>
      </c>
      <c r="E531" s="60">
        <v>5.3081373745999996E-4</v>
      </c>
    </row>
    <row r="532" spans="2:5" s="64" customFormat="1" ht="14.5" customHeight="1">
      <c r="B532" s="86"/>
      <c r="C532" s="58" t="s">
        <v>226</v>
      </c>
      <c r="D532" s="59">
        <v>2</v>
      </c>
      <c r="E532" s="60">
        <v>1.06162747492E-4</v>
      </c>
    </row>
    <row r="533" spans="2:5" s="64" customFormat="1" ht="14.5" customHeight="1">
      <c r="B533" s="86"/>
      <c r="C533" s="58" t="s">
        <v>227</v>
      </c>
      <c r="D533" s="59">
        <v>1</v>
      </c>
      <c r="E533" s="60">
        <v>5.3081373745999998E-5</v>
      </c>
    </row>
    <row r="534" spans="2:5" s="64" customFormat="1" ht="14.5" customHeight="1">
      <c r="B534" s="86"/>
      <c r="C534" s="58" t="s">
        <v>228</v>
      </c>
      <c r="D534" s="59">
        <v>4</v>
      </c>
      <c r="E534" s="60">
        <v>2.1232549498399999E-4</v>
      </c>
    </row>
    <row r="535" spans="2:5" s="64" customFormat="1" ht="14.5" customHeight="1">
      <c r="B535" s="86"/>
      <c r="C535" s="58" t="s">
        <v>229</v>
      </c>
      <c r="D535" s="59">
        <v>1</v>
      </c>
      <c r="E535" s="60">
        <v>5.3081373745999998E-5</v>
      </c>
    </row>
    <row r="536" spans="2:5" s="64" customFormat="1" ht="14.5" customHeight="1">
      <c r="B536" s="86"/>
      <c r="C536" s="58" t="s">
        <v>230</v>
      </c>
      <c r="D536" s="59">
        <v>1</v>
      </c>
      <c r="E536" s="60">
        <v>5.3081373745999998E-5</v>
      </c>
    </row>
    <row r="537" spans="2:5" s="64" customFormat="1" ht="14.5" customHeight="1">
      <c r="B537" s="86"/>
      <c r="C537" s="58" t="s">
        <v>231</v>
      </c>
      <c r="D537" s="59">
        <v>12</v>
      </c>
      <c r="E537" s="60">
        <v>6.3697648495099997E-4</v>
      </c>
    </row>
    <row r="538" spans="2:5" s="64" customFormat="1" ht="14.5" customHeight="1">
      <c r="B538" s="87"/>
      <c r="C538" s="35" t="s">
        <v>28</v>
      </c>
      <c r="D538" s="34">
        <v>208</v>
      </c>
      <c r="E538" s="33">
        <v>1.1040925739158E-2</v>
      </c>
    </row>
    <row r="539" spans="2:5" s="64" customFormat="1" ht="14.5" customHeight="1">
      <c r="B539" s="85" t="s">
        <v>74</v>
      </c>
      <c r="C539" s="58" t="s">
        <v>204</v>
      </c>
      <c r="D539" s="59">
        <v>1</v>
      </c>
      <c r="E539" s="60">
        <v>5.3081373745999998E-5</v>
      </c>
    </row>
    <row r="540" spans="2:5" s="64" customFormat="1" ht="14.5" customHeight="1">
      <c r="B540" s="86"/>
      <c r="C540" s="58" t="s">
        <v>193</v>
      </c>
      <c r="D540" s="59">
        <v>2</v>
      </c>
      <c r="E540" s="60">
        <v>1.06162747492E-4</v>
      </c>
    </row>
    <row r="541" spans="2:5" s="64" customFormat="1" ht="14.5" customHeight="1">
      <c r="B541" s="86"/>
      <c r="C541" s="58" t="s">
        <v>195</v>
      </c>
      <c r="D541" s="59">
        <v>1</v>
      </c>
      <c r="E541" s="60">
        <v>5.3081373745999998E-5</v>
      </c>
    </row>
    <row r="542" spans="2:5" s="64" customFormat="1" ht="14.5" customHeight="1">
      <c r="B542" s="86"/>
      <c r="C542" s="58" t="s">
        <v>198</v>
      </c>
      <c r="D542" s="59">
        <v>1</v>
      </c>
      <c r="E542" s="60">
        <v>5.3081373745999998E-5</v>
      </c>
    </row>
    <row r="543" spans="2:5" s="64" customFormat="1" ht="14.5" customHeight="1">
      <c r="B543" s="86"/>
      <c r="C543" s="58" t="s">
        <v>231</v>
      </c>
      <c r="D543" s="59">
        <v>1</v>
      </c>
      <c r="E543" s="60">
        <v>5.3081373745999998E-5</v>
      </c>
    </row>
    <row r="544" spans="2:5" s="64" customFormat="1" ht="14.5" customHeight="1">
      <c r="B544" s="87"/>
      <c r="C544" s="35" t="s">
        <v>28</v>
      </c>
      <c r="D544" s="34">
        <v>6</v>
      </c>
      <c r="E544" s="33">
        <v>3.1848824247600002E-4</v>
      </c>
    </row>
    <row r="545" spans="2:5" s="64" customFormat="1" ht="14.5" customHeight="1">
      <c r="B545" s="85" t="s">
        <v>75</v>
      </c>
      <c r="C545" s="58" t="s">
        <v>204</v>
      </c>
      <c r="D545" s="59">
        <v>1</v>
      </c>
      <c r="E545" s="60">
        <v>5.3081373745999998E-5</v>
      </c>
    </row>
    <row r="546" spans="2:5" s="64" customFormat="1" ht="14.5" customHeight="1">
      <c r="B546" s="86"/>
      <c r="C546" s="58" t="s">
        <v>205</v>
      </c>
      <c r="D546" s="59">
        <v>1</v>
      </c>
      <c r="E546" s="60">
        <v>5.3081373745999998E-5</v>
      </c>
    </row>
    <row r="547" spans="2:5" s="64" customFormat="1" ht="14.5" customHeight="1">
      <c r="B547" s="86"/>
      <c r="C547" s="58" t="s">
        <v>192</v>
      </c>
      <c r="D547" s="59">
        <v>3</v>
      </c>
      <c r="E547" s="60">
        <v>1.5924412123800001E-4</v>
      </c>
    </row>
    <row r="548" spans="2:5" s="64" customFormat="1" ht="14.5" customHeight="1">
      <c r="B548" s="86"/>
      <c r="C548" s="58" t="s">
        <v>193</v>
      </c>
      <c r="D548" s="59">
        <v>24</v>
      </c>
      <c r="E548" s="60">
        <v>1.273952969903E-3</v>
      </c>
    </row>
    <row r="549" spans="2:5" s="64" customFormat="1" ht="14.5" customHeight="1">
      <c r="B549" s="86"/>
      <c r="C549" s="58" t="s">
        <v>194</v>
      </c>
      <c r="D549" s="59">
        <v>1</v>
      </c>
      <c r="E549" s="60">
        <v>5.3081373745999998E-5</v>
      </c>
    </row>
    <row r="550" spans="2:5" s="64" customFormat="1" ht="14.5" customHeight="1">
      <c r="B550" s="86"/>
      <c r="C550" s="58" t="s">
        <v>195</v>
      </c>
      <c r="D550" s="59">
        <v>3</v>
      </c>
      <c r="E550" s="60">
        <v>1.5924412123800001E-4</v>
      </c>
    </row>
    <row r="551" spans="2:5" s="64" customFormat="1" ht="14.5" customHeight="1">
      <c r="B551" s="86"/>
      <c r="C551" s="58" t="s">
        <v>208</v>
      </c>
      <c r="D551" s="59">
        <v>2</v>
      </c>
      <c r="E551" s="60">
        <v>1.06162747492E-4</v>
      </c>
    </row>
    <row r="552" spans="2:5" s="64" customFormat="1" ht="14.5" customHeight="1">
      <c r="B552" s="86"/>
      <c r="C552" s="58" t="s">
        <v>209</v>
      </c>
      <c r="D552" s="59">
        <v>1</v>
      </c>
      <c r="E552" s="60">
        <v>5.3081373745999998E-5</v>
      </c>
    </row>
    <row r="553" spans="2:5" s="64" customFormat="1" ht="14.5" customHeight="1">
      <c r="B553" s="86"/>
      <c r="C553" s="58" t="s">
        <v>197</v>
      </c>
      <c r="D553" s="59">
        <v>1</v>
      </c>
      <c r="E553" s="60">
        <v>5.3081373745999998E-5</v>
      </c>
    </row>
    <row r="554" spans="2:5" s="64" customFormat="1" ht="14.5" customHeight="1">
      <c r="B554" s="86"/>
      <c r="C554" s="58" t="s">
        <v>198</v>
      </c>
      <c r="D554" s="59">
        <v>1</v>
      </c>
      <c r="E554" s="60">
        <v>5.3081373745999998E-5</v>
      </c>
    </row>
    <row r="555" spans="2:5" s="64" customFormat="1" ht="14.5" customHeight="1">
      <c r="B555" s="86"/>
      <c r="C555" s="58" t="s">
        <v>199</v>
      </c>
      <c r="D555" s="59">
        <v>2</v>
      </c>
      <c r="E555" s="60">
        <v>1.06162747492E-4</v>
      </c>
    </row>
    <row r="556" spans="2:5" s="64" customFormat="1" ht="14.5" customHeight="1">
      <c r="B556" s="86"/>
      <c r="C556" s="58" t="s">
        <v>211</v>
      </c>
      <c r="D556" s="59">
        <v>1</v>
      </c>
      <c r="E556" s="60">
        <v>5.3081373745999998E-5</v>
      </c>
    </row>
    <row r="557" spans="2:5" s="64" customFormat="1" ht="14.5" customHeight="1">
      <c r="B557" s="86"/>
      <c r="C557" s="58" t="s">
        <v>213</v>
      </c>
      <c r="D557" s="59">
        <v>1</v>
      </c>
      <c r="E557" s="60">
        <v>5.3081373745999998E-5</v>
      </c>
    </row>
    <row r="558" spans="2:5" s="64" customFormat="1" ht="14.5" customHeight="1">
      <c r="B558" s="86"/>
      <c r="C558" s="58" t="s">
        <v>215</v>
      </c>
      <c r="D558" s="59">
        <v>2</v>
      </c>
      <c r="E558" s="60">
        <v>1.06162747492E-4</v>
      </c>
    </row>
    <row r="559" spans="2:5" s="64" customFormat="1" ht="14.5" customHeight="1">
      <c r="B559" s="86"/>
      <c r="C559" s="58" t="s">
        <v>217</v>
      </c>
      <c r="D559" s="59">
        <v>1</v>
      </c>
      <c r="E559" s="60">
        <v>5.3081373745999998E-5</v>
      </c>
    </row>
    <row r="560" spans="2:5" s="64" customFormat="1" ht="14.5" customHeight="1">
      <c r="B560" s="86"/>
      <c r="C560" s="58" t="s">
        <v>218</v>
      </c>
      <c r="D560" s="59">
        <v>2</v>
      </c>
      <c r="E560" s="60">
        <v>1.06162747492E-4</v>
      </c>
    </row>
    <row r="561" spans="2:5" s="64" customFormat="1" ht="14.5" customHeight="1">
      <c r="B561" s="86"/>
      <c r="C561" s="58" t="s">
        <v>201</v>
      </c>
      <c r="D561" s="59">
        <v>5</v>
      </c>
      <c r="E561" s="60">
        <v>2.6540686872999998E-4</v>
      </c>
    </row>
    <row r="562" spans="2:5" s="64" customFormat="1" ht="14.5" customHeight="1">
      <c r="B562" s="86"/>
      <c r="C562" s="58" t="s">
        <v>202</v>
      </c>
      <c r="D562" s="59">
        <v>2</v>
      </c>
      <c r="E562" s="60">
        <v>1.06162747492E-4</v>
      </c>
    </row>
    <row r="563" spans="2:5" s="64" customFormat="1" ht="14.5" customHeight="1">
      <c r="B563" s="86"/>
      <c r="C563" s="58" t="s">
        <v>203</v>
      </c>
      <c r="D563" s="59">
        <v>7</v>
      </c>
      <c r="E563" s="60">
        <v>3.71569616222E-4</v>
      </c>
    </row>
    <row r="564" spans="2:5" s="64" customFormat="1" ht="14.5" customHeight="1">
      <c r="B564" s="86"/>
      <c r="C564" s="58" t="s">
        <v>228</v>
      </c>
      <c r="D564" s="59">
        <v>11</v>
      </c>
      <c r="E564" s="60">
        <v>5.8389511120500003E-4</v>
      </c>
    </row>
    <row r="565" spans="2:5" s="64" customFormat="1" ht="14.5" customHeight="1">
      <c r="B565" s="86"/>
      <c r="C565" s="58" t="s">
        <v>229</v>
      </c>
      <c r="D565" s="59">
        <v>2</v>
      </c>
      <c r="E565" s="60">
        <v>1.06162747492E-4</v>
      </c>
    </row>
    <row r="566" spans="2:5" s="64" customFormat="1" ht="14.5" customHeight="1">
      <c r="B566" s="86"/>
      <c r="C566" s="58" t="s">
        <v>230</v>
      </c>
      <c r="D566" s="59">
        <v>4</v>
      </c>
      <c r="E566" s="60">
        <v>2.1232549498399999E-4</v>
      </c>
    </row>
    <row r="567" spans="2:5" s="64" customFormat="1" ht="14.5" customHeight="1">
      <c r="B567" s="86"/>
      <c r="C567" s="58" t="s">
        <v>231</v>
      </c>
      <c r="D567" s="59">
        <v>3</v>
      </c>
      <c r="E567" s="60">
        <v>1.5924412123800001E-4</v>
      </c>
    </row>
    <row r="568" spans="2:5" s="64" customFormat="1" ht="14.5" customHeight="1">
      <c r="B568" s="87"/>
      <c r="C568" s="35" t="s">
        <v>28</v>
      </c>
      <c r="D568" s="34">
        <v>81</v>
      </c>
      <c r="E568" s="33">
        <v>4.2995912734219996E-3</v>
      </c>
    </row>
    <row r="569" spans="2:5" s="64" customFormat="1" ht="14.5" customHeight="1">
      <c r="B569" s="85" t="s">
        <v>76</v>
      </c>
      <c r="C569" s="58" t="s">
        <v>204</v>
      </c>
      <c r="D569" s="59">
        <v>23</v>
      </c>
      <c r="E569" s="60">
        <v>1.220871596157E-3</v>
      </c>
    </row>
    <row r="570" spans="2:5" s="64" customFormat="1" ht="14.5" customHeight="1">
      <c r="B570" s="86"/>
      <c r="C570" s="58" t="s">
        <v>205</v>
      </c>
      <c r="D570" s="59">
        <v>6</v>
      </c>
      <c r="E570" s="60">
        <v>3.1848824247600002E-4</v>
      </c>
    </row>
    <row r="571" spans="2:5" s="64" customFormat="1" ht="14.5" customHeight="1">
      <c r="B571" s="86"/>
      <c r="C571" s="58" t="s">
        <v>206</v>
      </c>
      <c r="D571" s="59">
        <v>6</v>
      </c>
      <c r="E571" s="60">
        <v>3.1848824247600002E-4</v>
      </c>
    </row>
    <row r="572" spans="2:5" s="64" customFormat="1" ht="14.5" customHeight="1">
      <c r="B572" s="86"/>
      <c r="C572" s="58" t="s">
        <v>192</v>
      </c>
      <c r="D572" s="59">
        <v>11</v>
      </c>
      <c r="E572" s="60">
        <v>5.8389511120500003E-4</v>
      </c>
    </row>
    <row r="573" spans="2:5" s="64" customFormat="1" ht="14.5" customHeight="1">
      <c r="B573" s="86"/>
      <c r="C573" s="58" t="s">
        <v>193</v>
      </c>
      <c r="D573" s="59">
        <v>119</v>
      </c>
      <c r="E573" s="60">
        <v>6.3166834757679997E-3</v>
      </c>
    </row>
    <row r="574" spans="2:5" s="64" customFormat="1" ht="14.5" customHeight="1">
      <c r="B574" s="86"/>
      <c r="C574" s="58" t="s">
        <v>207</v>
      </c>
      <c r="D574" s="59">
        <v>32</v>
      </c>
      <c r="E574" s="60">
        <v>1.69860395987E-3</v>
      </c>
    </row>
    <row r="575" spans="2:5" s="64" customFormat="1" ht="14.5" customHeight="1">
      <c r="B575" s="86"/>
      <c r="C575" s="58" t="s">
        <v>194</v>
      </c>
      <c r="D575" s="59">
        <v>5</v>
      </c>
      <c r="E575" s="60">
        <v>2.6540686872999998E-4</v>
      </c>
    </row>
    <row r="576" spans="2:5" s="64" customFormat="1" ht="14.5" customHeight="1">
      <c r="B576" s="86"/>
      <c r="C576" s="58" t="s">
        <v>195</v>
      </c>
      <c r="D576" s="59">
        <v>41</v>
      </c>
      <c r="E576" s="60">
        <v>2.1763363235839999E-3</v>
      </c>
    </row>
    <row r="577" spans="2:5" s="64" customFormat="1" ht="14.5" customHeight="1">
      <c r="B577" s="86"/>
      <c r="C577" s="58" t="s">
        <v>208</v>
      </c>
      <c r="D577" s="59">
        <v>6</v>
      </c>
      <c r="E577" s="60">
        <v>3.1848824247600002E-4</v>
      </c>
    </row>
    <row r="578" spans="2:5" s="64" customFormat="1" ht="14.5" customHeight="1">
      <c r="B578" s="86"/>
      <c r="C578" s="58" t="s">
        <v>196</v>
      </c>
      <c r="D578" s="59">
        <v>36</v>
      </c>
      <c r="E578" s="60">
        <v>1.910929454854E-3</v>
      </c>
    </row>
    <row r="579" spans="2:5" s="64" customFormat="1" ht="14.5" customHeight="1">
      <c r="B579" s="86"/>
      <c r="C579" s="58" t="s">
        <v>209</v>
      </c>
      <c r="D579" s="59">
        <v>3</v>
      </c>
      <c r="E579" s="60">
        <v>1.5924412123800001E-4</v>
      </c>
    </row>
    <row r="580" spans="2:5" s="64" customFormat="1" ht="14.5" customHeight="1">
      <c r="B580" s="86"/>
      <c r="C580" s="58" t="s">
        <v>210</v>
      </c>
      <c r="D580" s="59">
        <v>23</v>
      </c>
      <c r="E580" s="60">
        <v>1.220871596157E-3</v>
      </c>
    </row>
    <row r="581" spans="2:5" s="64" customFormat="1" ht="14.5" customHeight="1">
      <c r="B581" s="86"/>
      <c r="C581" s="58" t="s">
        <v>197</v>
      </c>
      <c r="D581" s="59">
        <v>15</v>
      </c>
      <c r="E581" s="60">
        <v>7.9622060618899997E-4</v>
      </c>
    </row>
    <row r="582" spans="2:5" s="64" customFormat="1" ht="14.5" customHeight="1">
      <c r="B582" s="86"/>
      <c r="C582" s="58" t="s">
        <v>198</v>
      </c>
      <c r="D582" s="59">
        <v>3</v>
      </c>
      <c r="E582" s="60">
        <v>1.5924412123800001E-4</v>
      </c>
    </row>
    <row r="583" spans="2:5" s="64" customFormat="1" ht="14.5" customHeight="1">
      <c r="B583" s="86"/>
      <c r="C583" s="58" t="s">
        <v>199</v>
      </c>
      <c r="D583" s="59">
        <v>1</v>
      </c>
      <c r="E583" s="60">
        <v>5.3081373745999998E-5</v>
      </c>
    </row>
    <row r="584" spans="2:5" s="64" customFormat="1" ht="14.5" customHeight="1">
      <c r="B584" s="86"/>
      <c r="C584" s="58" t="s">
        <v>211</v>
      </c>
      <c r="D584" s="59">
        <v>1</v>
      </c>
      <c r="E584" s="60">
        <v>5.3081373745999998E-5</v>
      </c>
    </row>
    <row r="585" spans="2:5" s="64" customFormat="1" ht="14.5" customHeight="1">
      <c r="B585" s="86"/>
      <c r="C585" s="58" t="s">
        <v>212</v>
      </c>
      <c r="D585" s="59">
        <v>1</v>
      </c>
      <c r="E585" s="60">
        <v>5.3081373745999998E-5</v>
      </c>
    </row>
    <row r="586" spans="2:5" s="64" customFormat="1" ht="14.5" customHeight="1">
      <c r="B586" s="86"/>
      <c r="C586" s="58" t="s">
        <v>213</v>
      </c>
      <c r="D586" s="59">
        <v>5</v>
      </c>
      <c r="E586" s="60">
        <v>2.6540686872999998E-4</v>
      </c>
    </row>
    <row r="587" spans="2:5" s="64" customFormat="1" ht="14.5" customHeight="1">
      <c r="B587" s="86"/>
      <c r="C587" s="58" t="s">
        <v>214</v>
      </c>
      <c r="D587" s="59">
        <v>11</v>
      </c>
      <c r="E587" s="60">
        <v>5.8389511120500003E-4</v>
      </c>
    </row>
    <row r="588" spans="2:5" s="64" customFormat="1" ht="14.5" customHeight="1">
      <c r="B588" s="86"/>
      <c r="C588" s="58" t="s">
        <v>215</v>
      </c>
      <c r="D588" s="59">
        <v>4</v>
      </c>
      <c r="E588" s="60">
        <v>2.1232549498399999E-4</v>
      </c>
    </row>
    <row r="589" spans="2:5" s="64" customFormat="1" ht="14.5" customHeight="1">
      <c r="B589" s="86"/>
      <c r="C589" s="58" t="s">
        <v>216</v>
      </c>
      <c r="D589" s="59">
        <v>12</v>
      </c>
      <c r="E589" s="60">
        <v>6.3697648495099997E-4</v>
      </c>
    </row>
    <row r="590" spans="2:5" s="64" customFormat="1" ht="14.5" customHeight="1">
      <c r="B590" s="86"/>
      <c r="C590" s="58" t="s">
        <v>217</v>
      </c>
      <c r="D590" s="59">
        <v>3</v>
      </c>
      <c r="E590" s="60">
        <v>1.5924412123800001E-4</v>
      </c>
    </row>
    <row r="591" spans="2:5" s="64" customFormat="1" ht="14.5" customHeight="1">
      <c r="B591" s="86"/>
      <c r="C591" s="58" t="s">
        <v>218</v>
      </c>
      <c r="D591" s="59">
        <v>22</v>
      </c>
      <c r="E591" s="60">
        <v>1.1677902224109999E-3</v>
      </c>
    </row>
    <row r="592" spans="2:5" s="64" customFormat="1" ht="14.5" customHeight="1">
      <c r="B592" s="86"/>
      <c r="C592" s="58" t="s">
        <v>219</v>
      </c>
      <c r="D592" s="59">
        <v>9</v>
      </c>
      <c r="E592" s="60">
        <v>4.7773236371400003E-4</v>
      </c>
    </row>
    <row r="593" spans="2:5" s="64" customFormat="1" ht="14.5" customHeight="1">
      <c r="B593" s="86"/>
      <c r="C593" s="58" t="s">
        <v>200</v>
      </c>
      <c r="D593" s="59">
        <v>4</v>
      </c>
      <c r="E593" s="60">
        <v>2.1232549498399999E-4</v>
      </c>
    </row>
    <row r="594" spans="2:5" s="64" customFormat="1" ht="14.5" customHeight="1">
      <c r="B594" s="86"/>
      <c r="C594" s="58" t="s">
        <v>201</v>
      </c>
      <c r="D594" s="59">
        <v>2</v>
      </c>
      <c r="E594" s="60">
        <v>1.06162747492E-4</v>
      </c>
    </row>
    <row r="595" spans="2:5" s="64" customFormat="1" ht="14.5" customHeight="1">
      <c r="B595" s="86"/>
      <c r="C595" s="58" t="s">
        <v>220</v>
      </c>
      <c r="D595" s="59">
        <v>5</v>
      </c>
      <c r="E595" s="60">
        <v>2.6540686872999998E-4</v>
      </c>
    </row>
    <row r="596" spans="2:5" s="64" customFormat="1" ht="14.5" customHeight="1">
      <c r="B596" s="86"/>
      <c r="C596" s="58" t="s">
        <v>221</v>
      </c>
      <c r="D596" s="59">
        <v>4</v>
      </c>
      <c r="E596" s="60">
        <v>2.1232549498399999E-4</v>
      </c>
    </row>
    <row r="597" spans="2:5" s="64" customFormat="1" ht="14.5" customHeight="1">
      <c r="B597" s="86"/>
      <c r="C597" s="58" t="s">
        <v>223</v>
      </c>
      <c r="D597" s="59">
        <v>4</v>
      </c>
      <c r="E597" s="60">
        <v>2.1232549498399999E-4</v>
      </c>
    </row>
    <row r="598" spans="2:5" s="64" customFormat="1" ht="14.5" customHeight="1">
      <c r="B598" s="86"/>
      <c r="C598" s="58" t="s">
        <v>224</v>
      </c>
      <c r="D598" s="59">
        <v>2</v>
      </c>
      <c r="E598" s="60">
        <v>1.06162747492E-4</v>
      </c>
    </row>
    <row r="599" spans="2:5" s="64" customFormat="1" ht="14.5" customHeight="1">
      <c r="B599" s="86"/>
      <c r="C599" s="58" t="s">
        <v>202</v>
      </c>
      <c r="D599" s="59">
        <v>3</v>
      </c>
      <c r="E599" s="60">
        <v>1.5924412123800001E-4</v>
      </c>
    </row>
    <row r="600" spans="2:5" s="64" customFormat="1" ht="14.5" customHeight="1">
      <c r="B600" s="86"/>
      <c r="C600" s="58" t="s">
        <v>203</v>
      </c>
      <c r="D600" s="59">
        <v>39</v>
      </c>
      <c r="E600" s="60">
        <v>2.0701735760919999E-3</v>
      </c>
    </row>
    <row r="601" spans="2:5" s="64" customFormat="1" ht="14.5" customHeight="1">
      <c r="B601" s="86"/>
      <c r="C601" s="58" t="s">
        <v>227</v>
      </c>
      <c r="D601" s="59">
        <v>8</v>
      </c>
      <c r="E601" s="60">
        <v>4.2465098996799999E-4</v>
      </c>
    </row>
    <row r="602" spans="2:5" s="64" customFormat="1" ht="14.5" customHeight="1">
      <c r="B602" s="86"/>
      <c r="C602" s="58" t="s">
        <v>228</v>
      </c>
      <c r="D602" s="59">
        <v>59</v>
      </c>
      <c r="E602" s="60">
        <v>3.1318010510110001E-3</v>
      </c>
    </row>
    <row r="603" spans="2:5" s="64" customFormat="1" ht="14.5" customHeight="1">
      <c r="B603" s="86"/>
      <c r="C603" s="58" t="s">
        <v>229</v>
      </c>
      <c r="D603" s="59">
        <v>5</v>
      </c>
      <c r="E603" s="60">
        <v>2.6540686872999998E-4</v>
      </c>
    </row>
    <row r="604" spans="2:5" s="64" customFormat="1" ht="14.5" customHeight="1">
      <c r="B604" s="86"/>
      <c r="C604" s="58" t="s">
        <v>230</v>
      </c>
      <c r="D604" s="59">
        <v>50</v>
      </c>
      <c r="E604" s="60">
        <v>2.6540686872980001E-3</v>
      </c>
    </row>
    <row r="605" spans="2:5" s="64" customFormat="1" ht="14.5" customHeight="1">
      <c r="B605" s="86"/>
      <c r="C605" s="58" t="s">
        <v>231</v>
      </c>
      <c r="D605" s="59">
        <v>14</v>
      </c>
      <c r="E605" s="60">
        <v>7.4313923244300004E-4</v>
      </c>
    </row>
    <row r="606" spans="2:5" s="64" customFormat="1" ht="14.5" customHeight="1">
      <c r="B606" s="87"/>
      <c r="C606" s="35" t="s">
        <v>28</v>
      </c>
      <c r="D606" s="34">
        <v>597</v>
      </c>
      <c r="E606" s="33">
        <v>3.1689580126334001E-2</v>
      </c>
    </row>
    <row r="607" spans="2:5" s="64" customFormat="1" ht="14.5" customHeight="1">
      <c r="B607" s="85" t="s">
        <v>77</v>
      </c>
      <c r="C607" s="58" t="s">
        <v>231</v>
      </c>
      <c r="D607" s="59">
        <v>1</v>
      </c>
      <c r="E607" s="60">
        <v>5.3081373745999998E-5</v>
      </c>
    </row>
    <row r="608" spans="2:5" s="64" customFormat="1" ht="14.5" customHeight="1">
      <c r="B608" s="87"/>
      <c r="C608" s="35" t="s">
        <v>28</v>
      </c>
      <c r="D608" s="34">
        <v>1</v>
      </c>
      <c r="E608" s="33">
        <v>5.3081373745999998E-5</v>
      </c>
    </row>
    <row r="609" spans="2:5" s="64" customFormat="1" ht="14.5" customHeight="1">
      <c r="B609" s="85" t="s">
        <v>78</v>
      </c>
      <c r="C609" s="58" t="s">
        <v>192</v>
      </c>
      <c r="D609" s="59">
        <v>1</v>
      </c>
      <c r="E609" s="60">
        <v>5.3081373745999998E-5</v>
      </c>
    </row>
    <row r="610" spans="2:5" s="64" customFormat="1" ht="14.5" customHeight="1">
      <c r="B610" s="86"/>
      <c r="C610" s="58" t="s">
        <v>193</v>
      </c>
      <c r="D610" s="59">
        <v>3</v>
      </c>
      <c r="E610" s="60">
        <v>1.5924412123800001E-4</v>
      </c>
    </row>
    <row r="611" spans="2:5" s="64" customFormat="1" ht="14.5" customHeight="1">
      <c r="B611" s="86"/>
      <c r="C611" s="58" t="s">
        <v>195</v>
      </c>
      <c r="D611" s="59">
        <v>2</v>
      </c>
      <c r="E611" s="60">
        <v>1.06162747492E-4</v>
      </c>
    </row>
    <row r="612" spans="2:5" s="64" customFormat="1" ht="14.5" customHeight="1">
      <c r="B612" s="86"/>
      <c r="C612" s="58" t="s">
        <v>196</v>
      </c>
      <c r="D612" s="59">
        <v>2</v>
      </c>
      <c r="E612" s="60">
        <v>1.06162747492E-4</v>
      </c>
    </row>
    <row r="613" spans="2:5" s="64" customFormat="1" ht="14.5" customHeight="1">
      <c r="B613" s="86"/>
      <c r="C613" s="58" t="s">
        <v>198</v>
      </c>
      <c r="D613" s="59">
        <v>1</v>
      </c>
      <c r="E613" s="60">
        <v>5.3081373745999998E-5</v>
      </c>
    </row>
    <row r="614" spans="2:5" s="64" customFormat="1" ht="14.5" customHeight="1">
      <c r="B614" s="86"/>
      <c r="C614" s="58" t="s">
        <v>219</v>
      </c>
      <c r="D614" s="59">
        <v>1</v>
      </c>
      <c r="E614" s="60">
        <v>5.3081373745999998E-5</v>
      </c>
    </row>
    <row r="615" spans="2:5" s="64" customFormat="1" ht="14.5" customHeight="1">
      <c r="B615" s="86"/>
      <c r="C615" s="58" t="s">
        <v>221</v>
      </c>
      <c r="D615" s="59">
        <v>1</v>
      </c>
      <c r="E615" s="60">
        <v>5.3081373745999998E-5</v>
      </c>
    </row>
    <row r="616" spans="2:5" s="64" customFormat="1" ht="14.5" customHeight="1">
      <c r="B616" s="86"/>
      <c r="C616" s="58" t="s">
        <v>223</v>
      </c>
      <c r="D616" s="59">
        <v>1</v>
      </c>
      <c r="E616" s="60">
        <v>5.3081373745999998E-5</v>
      </c>
    </row>
    <row r="617" spans="2:5" s="64" customFormat="1" ht="14.5" customHeight="1">
      <c r="B617" s="86"/>
      <c r="C617" s="58" t="s">
        <v>203</v>
      </c>
      <c r="D617" s="59">
        <v>1</v>
      </c>
      <c r="E617" s="60">
        <v>5.3081373745999998E-5</v>
      </c>
    </row>
    <row r="618" spans="2:5" s="64" customFormat="1" ht="14.5" customHeight="1">
      <c r="B618" s="86"/>
      <c r="C618" s="58" t="s">
        <v>229</v>
      </c>
      <c r="D618" s="59">
        <v>2</v>
      </c>
      <c r="E618" s="60">
        <v>1.06162747492E-4</v>
      </c>
    </row>
    <row r="619" spans="2:5" s="64" customFormat="1" ht="14.5" customHeight="1">
      <c r="B619" s="87"/>
      <c r="C619" s="35" t="s">
        <v>28</v>
      </c>
      <c r="D619" s="34">
        <v>15</v>
      </c>
      <c r="E619" s="33">
        <v>7.9622060618899997E-4</v>
      </c>
    </row>
    <row r="620" spans="2:5" s="64" customFormat="1" ht="14.5" customHeight="1">
      <c r="B620" s="85" t="s">
        <v>79</v>
      </c>
      <c r="C620" s="58" t="s">
        <v>204</v>
      </c>
      <c r="D620" s="59">
        <v>27</v>
      </c>
      <c r="E620" s="60">
        <v>1.4331970911409999E-3</v>
      </c>
    </row>
    <row r="621" spans="2:5" s="64" customFormat="1" ht="14.5" customHeight="1">
      <c r="B621" s="86"/>
      <c r="C621" s="58" t="s">
        <v>205</v>
      </c>
      <c r="D621" s="59">
        <v>2</v>
      </c>
      <c r="E621" s="60">
        <v>1.06162747492E-4</v>
      </c>
    </row>
    <row r="622" spans="2:5" s="64" customFormat="1" ht="14.5" customHeight="1">
      <c r="B622" s="86"/>
      <c r="C622" s="58" t="s">
        <v>206</v>
      </c>
      <c r="D622" s="59">
        <v>2</v>
      </c>
      <c r="E622" s="60">
        <v>1.06162747492E-4</v>
      </c>
    </row>
    <row r="623" spans="2:5" s="64" customFormat="1" ht="14.5" customHeight="1">
      <c r="B623" s="86"/>
      <c r="C623" s="58" t="s">
        <v>192</v>
      </c>
      <c r="D623" s="59">
        <v>5</v>
      </c>
      <c r="E623" s="60">
        <v>2.6540686872999998E-4</v>
      </c>
    </row>
    <row r="624" spans="2:5" s="64" customFormat="1" ht="14.5" customHeight="1">
      <c r="B624" s="86"/>
      <c r="C624" s="58" t="s">
        <v>193</v>
      </c>
      <c r="D624" s="59">
        <v>101</v>
      </c>
      <c r="E624" s="60">
        <v>5.3612187483410003E-3</v>
      </c>
    </row>
    <row r="625" spans="2:5" s="64" customFormat="1" ht="14.5" customHeight="1">
      <c r="B625" s="86"/>
      <c r="C625" s="58" t="s">
        <v>207</v>
      </c>
      <c r="D625" s="59">
        <v>10</v>
      </c>
      <c r="E625" s="60">
        <v>5.3081373745999996E-4</v>
      </c>
    </row>
    <row r="626" spans="2:5" s="64" customFormat="1" ht="14.5" customHeight="1">
      <c r="B626" s="86"/>
      <c r="C626" s="58" t="s">
        <v>233</v>
      </c>
      <c r="D626" s="59">
        <v>1</v>
      </c>
      <c r="E626" s="60">
        <v>5.3081373745999998E-5</v>
      </c>
    </row>
    <row r="627" spans="2:5" s="64" customFormat="1" ht="14.5" customHeight="1">
      <c r="B627" s="86"/>
      <c r="C627" s="58" t="s">
        <v>195</v>
      </c>
      <c r="D627" s="59">
        <v>12</v>
      </c>
      <c r="E627" s="60">
        <v>6.3697648495099997E-4</v>
      </c>
    </row>
    <row r="628" spans="2:5" s="64" customFormat="1" ht="14.5" customHeight="1">
      <c r="B628" s="86"/>
      <c r="C628" s="58" t="s">
        <v>208</v>
      </c>
      <c r="D628" s="59">
        <v>5</v>
      </c>
      <c r="E628" s="60">
        <v>2.6540686872999998E-4</v>
      </c>
    </row>
    <row r="629" spans="2:5" s="64" customFormat="1" ht="14.5" customHeight="1">
      <c r="B629" s="86"/>
      <c r="C629" s="58" t="s">
        <v>196</v>
      </c>
      <c r="D629" s="59">
        <v>56</v>
      </c>
      <c r="E629" s="60">
        <v>2.9725569297729998E-3</v>
      </c>
    </row>
    <row r="630" spans="2:5" s="64" customFormat="1" ht="14.5" customHeight="1">
      <c r="B630" s="86"/>
      <c r="C630" s="58" t="s">
        <v>209</v>
      </c>
      <c r="D630" s="59">
        <v>7</v>
      </c>
      <c r="E630" s="60">
        <v>3.71569616222E-4</v>
      </c>
    </row>
    <row r="631" spans="2:5" s="64" customFormat="1" ht="14.5" customHeight="1">
      <c r="B631" s="86"/>
      <c r="C631" s="58" t="s">
        <v>210</v>
      </c>
      <c r="D631" s="59">
        <v>4</v>
      </c>
      <c r="E631" s="60">
        <v>2.1232549498399999E-4</v>
      </c>
    </row>
    <row r="632" spans="2:5" s="64" customFormat="1" ht="14.5" customHeight="1">
      <c r="B632" s="86"/>
      <c r="C632" s="58" t="s">
        <v>197</v>
      </c>
      <c r="D632" s="59">
        <v>38</v>
      </c>
      <c r="E632" s="60">
        <v>2.017092202346E-3</v>
      </c>
    </row>
    <row r="633" spans="2:5" s="64" customFormat="1" ht="14.5" customHeight="1">
      <c r="B633" s="86"/>
      <c r="C633" s="58" t="s">
        <v>198</v>
      </c>
      <c r="D633" s="59">
        <v>28</v>
      </c>
      <c r="E633" s="60">
        <v>1.4862784648869999E-3</v>
      </c>
    </row>
    <row r="634" spans="2:5" s="64" customFormat="1" ht="14.5" customHeight="1">
      <c r="B634" s="86"/>
      <c r="C634" s="58" t="s">
        <v>199</v>
      </c>
      <c r="D634" s="59">
        <v>6</v>
      </c>
      <c r="E634" s="60">
        <v>3.1848824247600002E-4</v>
      </c>
    </row>
    <row r="635" spans="2:5" s="64" customFormat="1" ht="14.5" customHeight="1">
      <c r="B635" s="86"/>
      <c r="C635" s="58" t="s">
        <v>211</v>
      </c>
      <c r="D635" s="59">
        <v>9</v>
      </c>
      <c r="E635" s="60">
        <v>4.7773236371400003E-4</v>
      </c>
    </row>
    <row r="636" spans="2:5" s="64" customFormat="1" ht="14.5" customHeight="1">
      <c r="B636" s="86"/>
      <c r="C636" s="58" t="s">
        <v>212</v>
      </c>
      <c r="D636" s="59">
        <v>3</v>
      </c>
      <c r="E636" s="60">
        <v>1.5924412123800001E-4</v>
      </c>
    </row>
    <row r="637" spans="2:5" s="64" customFormat="1" ht="14.5" customHeight="1">
      <c r="B637" s="86"/>
      <c r="C637" s="58" t="s">
        <v>213</v>
      </c>
      <c r="D637" s="59">
        <v>5</v>
      </c>
      <c r="E637" s="60">
        <v>2.6540686872999998E-4</v>
      </c>
    </row>
    <row r="638" spans="2:5" s="64" customFormat="1" ht="14.5" customHeight="1">
      <c r="B638" s="86"/>
      <c r="C638" s="58" t="s">
        <v>214</v>
      </c>
      <c r="D638" s="59">
        <v>3</v>
      </c>
      <c r="E638" s="60">
        <v>1.5924412123800001E-4</v>
      </c>
    </row>
    <row r="639" spans="2:5" s="64" customFormat="1" ht="14.5" customHeight="1">
      <c r="B639" s="86"/>
      <c r="C639" s="58" t="s">
        <v>215</v>
      </c>
      <c r="D639" s="59">
        <v>12</v>
      </c>
      <c r="E639" s="60">
        <v>6.3697648495099997E-4</v>
      </c>
    </row>
    <row r="640" spans="2:5" s="64" customFormat="1" ht="14.5" customHeight="1">
      <c r="B640" s="86"/>
      <c r="C640" s="58" t="s">
        <v>217</v>
      </c>
      <c r="D640" s="59">
        <v>1</v>
      </c>
      <c r="E640" s="60">
        <v>5.3081373745999998E-5</v>
      </c>
    </row>
    <row r="641" spans="2:5" s="64" customFormat="1" ht="14.5" customHeight="1">
      <c r="B641" s="86"/>
      <c r="C641" s="58" t="s">
        <v>218</v>
      </c>
      <c r="D641" s="59">
        <v>8</v>
      </c>
      <c r="E641" s="60">
        <v>4.2465098996799999E-4</v>
      </c>
    </row>
    <row r="642" spans="2:5" s="64" customFormat="1" ht="14.5" customHeight="1">
      <c r="B642" s="86"/>
      <c r="C642" s="58" t="s">
        <v>219</v>
      </c>
      <c r="D642" s="59">
        <v>2</v>
      </c>
      <c r="E642" s="60">
        <v>1.06162747492E-4</v>
      </c>
    </row>
    <row r="643" spans="2:5" s="64" customFormat="1" ht="14.5" customHeight="1">
      <c r="B643" s="86"/>
      <c r="C643" s="58" t="s">
        <v>200</v>
      </c>
      <c r="D643" s="59">
        <v>3</v>
      </c>
      <c r="E643" s="60">
        <v>1.5924412123800001E-4</v>
      </c>
    </row>
    <row r="644" spans="2:5" s="64" customFormat="1" ht="14.5" customHeight="1">
      <c r="B644" s="86"/>
      <c r="C644" s="58" t="s">
        <v>201</v>
      </c>
      <c r="D644" s="59">
        <v>13</v>
      </c>
      <c r="E644" s="60">
        <v>6.90057858697E-4</v>
      </c>
    </row>
    <row r="645" spans="2:5" s="64" customFormat="1" ht="14.5" customHeight="1">
      <c r="B645" s="86"/>
      <c r="C645" s="58" t="s">
        <v>220</v>
      </c>
      <c r="D645" s="59">
        <v>10</v>
      </c>
      <c r="E645" s="60">
        <v>5.3081373745999996E-4</v>
      </c>
    </row>
    <row r="646" spans="2:5" s="64" customFormat="1" ht="14.5" customHeight="1">
      <c r="B646" s="86"/>
      <c r="C646" s="58" t="s">
        <v>221</v>
      </c>
      <c r="D646" s="59">
        <v>1</v>
      </c>
      <c r="E646" s="60">
        <v>5.3081373745999998E-5</v>
      </c>
    </row>
    <row r="647" spans="2:5" s="64" customFormat="1" ht="14.5" customHeight="1">
      <c r="B647" s="86"/>
      <c r="C647" s="58" t="s">
        <v>222</v>
      </c>
      <c r="D647" s="59">
        <v>3</v>
      </c>
      <c r="E647" s="60">
        <v>1.5924412123800001E-4</v>
      </c>
    </row>
    <row r="648" spans="2:5" s="64" customFormat="1" ht="14.5" customHeight="1">
      <c r="B648" s="86"/>
      <c r="C648" s="58" t="s">
        <v>223</v>
      </c>
      <c r="D648" s="59">
        <v>3</v>
      </c>
      <c r="E648" s="60">
        <v>1.5924412123800001E-4</v>
      </c>
    </row>
    <row r="649" spans="2:5" s="64" customFormat="1" ht="14.5" customHeight="1">
      <c r="B649" s="86"/>
      <c r="C649" s="58" t="s">
        <v>224</v>
      </c>
      <c r="D649" s="59">
        <v>3</v>
      </c>
      <c r="E649" s="60">
        <v>1.5924412123800001E-4</v>
      </c>
    </row>
    <row r="650" spans="2:5" s="64" customFormat="1" ht="14.5" customHeight="1">
      <c r="B650" s="86"/>
      <c r="C650" s="58" t="s">
        <v>225</v>
      </c>
      <c r="D650" s="59">
        <v>2</v>
      </c>
      <c r="E650" s="60">
        <v>1.06162747492E-4</v>
      </c>
    </row>
    <row r="651" spans="2:5" s="64" customFormat="1" ht="14.5" customHeight="1">
      <c r="B651" s="86"/>
      <c r="C651" s="58" t="s">
        <v>202</v>
      </c>
      <c r="D651" s="59">
        <v>2</v>
      </c>
      <c r="E651" s="60">
        <v>1.06162747492E-4</v>
      </c>
    </row>
    <row r="652" spans="2:5" s="64" customFormat="1" ht="14.5" customHeight="1">
      <c r="B652" s="86"/>
      <c r="C652" s="58" t="s">
        <v>203</v>
      </c>
      <c r="D652" s="59">
        <v>9</v>
      </c>
      <c r="E652" s="60">
        <v>4.7773236371400003E-4</v>
      </c>
    </row>
    <row r="653" spans="2:5" s="64" customFormat="1" ht="14.5" customHeight="1">
      <c r="B653" s="86"/>
      <c r="C653" s="58" t="s">
        <v>226</v>
      </c>
      <c r="D653" s="59">
        <v>2</v>
      </c>
      <c r="E653" s="60">
        <v>1.06162747492E-4</v>
      </c>
    </row>
    <row r="654" spans="2:5" s="64" customFormat="1" ht="14.5" customHeight="1">
      <c r="B654" s="86"/>
      <c r="C654" s="58" t="s">
        <v>228</v>
      </c>
      <c r="D654" s="59">
        <v>5</v>
      </c>
      <c r="E654" s="60">
        <v>2.6540686872999998E-4</v>
      </c>
    </row>
    <row r="655" spans="2:5" s="64" customFormat="1" ht="14.5" customHeight="1">
      <c r="B655" s="86"/>
      <c r="C655" s="58" t="s">
        <v>229</v>
      </c>
      <c r="D655" s="59">
        <v>20</v>
      </c>
      <c r="E655" s="60">
        <v>1.0616274749190001E-3</v>
      </c>
    </row>
    <row r="656" spans="2:5" s="64" customFormat="1" ht="14.5" customHeight="1">
      <c r="B656" s="86"/>
      <c r="C656" s="58" t="s">
        <v>230</v>
      </c>
      <c r="D656" s="59">
        <v>1</v>
      </c>
      <c r="E656" s="60">
        <v>5.3081373745999998E-5</v>
      </c>
    </row>
    <row r="657" spans="2:5" s="64" customFormat="1" ht="14.5" customHeight="1">
      <c r="B657" s="86"/>
      <c r="C657" s="58" t="s">
        <v>231</v>
      </c>
      <c r="D657" s="59">
        <v>5</v>
      </c>
      <c r="E657" s="60">
        <v>2.6540686872999998E-4</v>
      </c>
    </row>
    <row r="658" spans="2:5" s="64" customFormat="1" ht="14.5" customHeight="1">
      <c r="B658" s="87"/>
      <c r="C658" s="35" t="s">
        <v>28</v>
      </c>
      <c r="D658" s="34">
        <v>429</v>
      </c>
      <c r="E658" s="33">
        <v>2.2771909337014E-2</v>
      </c>
    </row>
    <row r="659" spans="2:5" s="64" customFormat="1" ht="14.5" customHeight="1">
      <c r="B659" s="85" t="s">
        <v>80</v>
      </c>
      <c r="C659" s="58" t="s">
        <v>204</v>
      </c>
      <c r="D659" s="59">
        <v>4</v>
      </c>
      <c r="E659" s="60">
        <v>2.1232549498399999E-4</v>
      </c>
    </row>
    <row r="660" spans="2:5" s="64" customFormat="1" ht="14.5" customHeight="1">
      <c r="B660" s="86"/>
      <c r="C660" s="58" t="s">
        <v>206</v>
      </c>
      <c r="D660" s="59">
        <v>1</v>
      </c>
      <c r="E660" s="60">
        <v>5.3081373745999998E-5</v>
      </c>
    </row>
    <row r="661" spans="2:5" s="64" customFormat="1" ht="14.5" customHeight="1">
      <c r="B661" s="86"/>
      <c r="C661" s="58" t="s">
        <v>193</v>
      </c>
      <c r="D661" s="59">
        <v>7</v>
      </c>
      <c r="E661" s="60">
        <v>3.71569616222E-4</v>
      </c>
    </row>
    <row r="662" spans="2:5" s="64" customFormat="1" ht="14.5" customHeight="1">
      <c r="B662" s="86"/>
      <c r="C662" s="58" t="s">
        <v>195</v>
      </c>
      <c r="D662" s="59">
        <v>1</v>
      </c>
      <c r="E662" s="60">
        <v>5.3081373745999998E-5</v>
      </c>
    </row>
    <row r="663" spans="2:5" s="64" customFormat="1" ht="14.5" customHeight="1">
      <c r="B663" s="86"/>
      <c r="C663" s="58" t="s">
        <v>196</v>
      </c>
      <c r="D663" s="59">
        <v>1</v>
      </c>
      <c r="E663" s="60">
        <v>5.3081373745999998E-5</v>
      </c>
    </row>
    <row r="664" spans="2:5" s="64" customFormat="1" ht="14.5" customHeight="1">
      <c r="B664" s="86"/>
      <c r="C664" s="58" t="s">
        <v>210</v>
      </c>
      <c r="D664" s="59">
        <v>1</v>
      </c>
      <c r="E664" s="60">
        <v>5.3081373745999998E-5</v>
      </c>
    </row>
    <row r="665" spans="2:5" s="64" customFormat="1" ht="14.5" customHeight="1">
      <c r="B665" s="86"/>
      <c r="C665" s="58" t="s">
        <v>199</v>
      </c>
      <c r="D665" s="59">
        <v>1</v>
      </c>
      <c r="E665" s="60">
        <v>5.3081373745999998E-5</v>
      </c>
    </row>
    <row r="666" spans="2:5" s="64" customFormat="1" ht="14.5" customHeight="1">
      <c r="B666" s="86"/>
      <c r="C666" s="58" t="s">
        <v>216</v>
      </c>
      <c r="D666" s="59">
        <v>1</v>
      </c>
      <c r="E666" s="60">
        <v>5.3081373745999998E-5</v>
      </c>
    </row>
    <row r="667" spans="2:5" s="64" customFormat="1" ht="14.5" customHeight="1">
      <c r="B667" s="87"/>
      <c r="C667" s="35" t="s">
        <v>28</v>
      </c>
      <c r="D667" s="34">
        <v>17</v>
      </c>
      <c r="E667" s="33">
        <v>9.0238335368100005E-4</v>
      </c>
    </row>
    <row r="668" spans="2:5" s="64" customFormat="1" ht="14.5" customHeight="1">
      <c r="B668" s="85" t="s">
        <v>81</v>
      </c>
      <c r="C668" s="58" t="s">
        <v>204</v>
      </c>
      <c r="D668" s="59">
        <v>10</v>
      </c>
      <c r="E668" s="60">
        <v>5.3081373745999996E-4</v>
      </c>
    </row>
    <row r="669" spans="2:5" s="64" customFormat="1" ht="14.5" customHeight="1">
      <c r="B669" s="86"/>
      <c r="C669" s="58" t="s">
        <v>192</v>
      </c>
      <c r="D669" s="59">
        <v>29</v>
      </c>
      <c r="E669" s="60">
        <v>1.539359838633E-3</v>
      </c>
    </row>
    <row r="670" spans="2:5" s="64" customFormat="1" ht="14.5" customHeight="1">
      <c r="B670" s="86"/>
      <c r="C670" s="58" t="s">
        <v>193</v>
      </c>
      <c r="D670" s="59">
        <v>36</v>
      </c>
      <c r="E670" s="60">
        <v>1.910929454854E-3</v>
      </c>
    </row>
    <row r="671" spans="2:5" s="64" customFormat="1" ht="14.5" customHeight="1">
      <c r="B671" s="86"/>
      <c r="C671" s="58" t="s">
        <v>207</v>
      </c>
      <c r="D671" s="59">
        <v>2</v>
      </c>
      <c r="E671" s="60">
        <v>1.06162747492E-4</v>
      </c>
    </row>
    <row r="672" spans="2:5" s="64" customFormat="1" ht="14.5" customHeight="1">
      <c r="B672" s="86"/>
      <c r="C672" s="58" t="s">
        <v>194</v>
      </c>
      <c r="D672" s="59">
        <v>9</v>
      </c>
      <c r="E672" s="60">
        <v>4.7773236371400003E-4</v>
      </c>
    </row>
    <row r="673" spans="2:5" s="64" customFormat="1" ht="14.5" customHeight="1">
      <c r="B673" s="86"/>
      <c r="C673" s="58" t="s">
        <v>195</v>
      </c>
      <c r="D673" s="59">
        <v>28</v>
      </c>
      <c r="E673" s="60">
        <v>1.4862784648869999E-3</v>
      </c>
    </row>
    <row r="674" spans="2:5" s="64" customFormat="1" ht="14.5" customHeight="1">
      <c r="B674" s="86"/>
      <c r="C674" s="58" t="s">
        <v>196</v>
      </c>
      <c r="D674" s="59">
        <v>18</v>
      </c>
      <c r="E674" s="60">
        <v>9.5546472742699998E-4</v>
      </c>
    </row>
    <row r="675" spans="2:5" s="64" customFormat="1" ht="14.5" customHeight="1">
      <c r="B675" s="86"/>
      <c r="C675" s="58" t="s">
        <v>209</v>
      </c>
      <c r="D675" s="59">
        <v>1</v>
      </c>
      <c r="E675" s="60">
        <v>5.3081373745999998E-5</v>
      </c>
    </row>
    <row r="676" spans="2:5" s="64" customFormat="1" ht="14.5" customHeight="1">
      <c r="B676" s="86"/>
      <c r="C676" s="58" t="s">
        <v>210</v>
      </c>
      <c r="D676" s="59">
        <v>1</v>
      </c>
      <c r="E676" s="60">
        <v>5.3081373745999998E-5</v>
      </c>
    </row>
    <row r="677" spans="2:5" s="64" customFormat="1" ht="14.5" customHeight="1">
      <c r="B677" s="86"/>
      <c r="C677" s="58" t="s">
        <v>197</v>
      </c>
      <c r="D677" s="59">
        <v>20</v>
      </c>
      <c r="E677" s="60">
        <v>1.0616274749190001E-3</v>
      </c>
    </row>
    <row r="678" spans="2:5" s="64" customFormat="1" ht="14.5" customHeight="1">
      <c r="B678" s="86"/>
      <c r="C678" s="58" t="s">
        <v>198</v>
      </c>
      <c r="D678" s="59">
        <v>4</v>
      </c>
      <c r="E678" s="60">
        <v>2.1232549498399999E-4</v>
      </c>
    </row>
    <row r="679" spans="2:5" s="64" customFormat="1" ht="14.5" customHeight="1">
      <c r="B679" s="86"/>
      <c r="C679" s="58" t="s">
        <v>199</v>
      </c>
      <c r="D679" s="59">
        <v>16</v>
      </c>
      <c r="E679" s="60">
        <v>8.4930197993500001E-4</v>
      </c>
    </row>
    <row r="680" spans="2:5" s="64" customFormat="1" ht="14.5" customHeight="1">
      <c r="B680" s="86"/>
      <c r="C680" s="58" t="s">
        <v>211</v>
      </c>
      <c r="D680" s="59">
        <v>5</v>
      </c>
      <c r="E680" s="60">
        <v>2.6540686872999998E-4</v>
      </c>
    </row>
    <row r="681" spans="2:5" s="64" customFormat="1" ht="14.5" customHeight="1">
      <c r="B681" s="86"/>
      <c r="C681" s="58" t="s">
        <v>213</v>
      </c>
      <c r="D681" s="59">
        <v>1</v>
      </c>
      <c r="E681" s="60">
        <v>5.3081373745999998E-5</v>
      </c>
    </row>
    <row r="682" spans="2:5" s="64" customFormat="1" ht="14.5" customHeight="1">
      <c r="B682" s="86"/>
      <c r="C682" s="58" t="s">
        <v>214</v>
      </c>
      <c r="D682" s="59">
        <v>1</v>
      </c>
      <c r="E682" s="60">
        <v>5.3081373745999998E-5</v>
      </c>
    </row>
    <row r="683" spans="2:5" s="64" customFormat="1" ht="14.5" customHeight="1">
      <c r="B683" s="86"/>
      <c r="C683" s="58" t="s">
        <v>215</v>
      </c>
      <c r="D683" s="59">
        <v>2</v>
      </c>
      <c r="E683" s="60">
        <v>1.06162747492E-4</v>
      </c>
    </row>
    <row r="684" spans="2:5" s="64" customFormat="1" ht="14.5" customHeight="1">
      <c r="B684" s="86"/>
      <c r="C684" s="58" t="s">
        <v>217</v>
      </c>
      <c r="D684" s="59">
        <v>4</v>
      </c>
      <c r="E684" s="60">
        <v>2.1232549498399999E-4</v>
      </c>
    </row>
    <row r="685" spans="2:5" s="64" customFormat="1" ht="14.5" customHeight="1">
      <c r="B685" s="86"/>
      <c r="C685" s="58" t="s">
        <v>218</v>
      </c>
      <c r="D685" s="59">
        <v>9</v>
      </c>
      <c r="E685" s="60">
        <v>4.7773236371400003E-4</v>
      </c>
    </row>
    <row r="686" spans="2:5" s="64" customFormat="1" ht="14.5" customHeight="1">
      <c r="B686" s="86"/>
      <c r="C686" s="58" t="s">
        <v>201</v>
      </c>
      <c r="D686" s="59">
        <v>1</v>
      </c>
      <c r="E686" s="60">
        <v>5.3081373745999998E-5</v>
      </c>
    </row>
    <row r="687" spans="2:5" s="64" customFormat="1" ht="14.5" customHeight="1">
      <c r="B687" s="86"/>
      <c r="C687" s="58" t="s">
        <v>225</v>
      </c>
      <c r="D687" s="59">
        <v>1</v>
      </c>
      <c r="E687" s="60">
        <v>5.3081373745999998E-5</v>
      </c>
    </row>
    <row r="688" spans="2:5" s="64" customFormat="1" ht="14.5" customHeight="1">
      <c r="B688" s="86"/>
      <c r="C688" s="58" t="s">
        <v>202</v>
      </c>
      <c r="D688" s="59">
        <v>32</v>
      </c>
      <c r="E688" s="60">
        <v>1.69860395987E-3</v>
      </c>
    </row>
    <row r="689" spans="2:5" s="64" customFormat="1" ht="14.5" customHeight="1">
      <c r="B689" s="86"/>
      <c r="C689" s="58" t="s">
        <v>203</v>
      </c>
      <c r="D689" s="59">
        <v>1</v>
      </c>
      <c r="E689" s="60">
        <v>5.3081373745999998E-5</v>
      </c>
    </row>
    <row r="690" spans="2:5" s="64" customFormat="1" ht="14.5" customHeight="1">
      <c r="B690" s="86"/>
      <c r="C690" s="58" t="s">
        <v>226</v>
      </c>
      <c r="D690" s="59">
        <v>1</v>
      </c>
      <c r="E690" s="60">
        <v>5.3081373745999998E-5</v>
      </c>
    </row>
    <row r="691" spans="2:5" s="64" customFormat="1" ht="14.5" customHeight="1">
      <c r="B691" s="86"/>
      <c r="C691" s="58" t="s">
        <v>229</v>
      </c>
      <c r="D691" s="59">
        <v>1</v>
      </c>
      <c r="E691" s="60">
        <v>5.3081373745999998E-5</v>
      </c>
    </row>
    <row r="692" spans="2:5" s="64" customFormat="1" ht="14.5" customHeight="1">
      <c r="B692" s="86"/>
      <c r="C692" s="58" t="s">
        <v>230</v>
      </c>
      <c r="D692" s="59">
        <v>2</v>
      </c>
      <c r="E692" s="60">
        <v>1.06162747492E-4</v>
      </c>
    </row>
    <row r="693" spans="2:5" s="64" customFormat="1" ht="14.5" customHeight="1">
      <c r="B693" s="86"/>
      <c r="C693" s="58" t="s">
        <v>231</v>
      </c>
      <c r="D693" s="59">
        <v>10</v>
      </c>
      <c r="E693" s="60">
        <v>5.3081373745999996E-4</v>
      </c>
    </row>
    <row r="694" spans="2:5" s="64" customFormat="1" ht="14.5" customHeight="1">
      <c r="B694" s="87"/>
      <c r="C694" s="35" t="s">
        <v>28</v>
      </c>
      <c r="D694" s="34">
        <v>245</v>
      </c>
      <c r="E694" s="33">
        <v>1.3004936567758E-2</v>
      </c>
    </row>
    <row r="695" spans="2:5" s="64" customFormat="1" ht="14.5" customHeight="1">
      <c r="B695" s="85" t="s">
        <v>82</v>
      </c>
      <c r="C695" s="58" t="s">
        <v>193</v>
      </c>
      <c r="D695" s="59">
        <v>2</v>
      </c>
      <c r="E695" s="60">
        <v>1.06162747492E-4</v>
      </c>
    </row>
    <row r="696" spans="2:5" s="64" customFormat="1" ht="14.5" customHeight="1">
      <c r="B696" s="86"/>
      <c r="C696" s="58" t="s">
        <v>195</v>
      </c>
      <c r="D696" s="59">
        <v>6</v>
      </c>
      <c r="E696" s="60">
        <v>3.1848824247600002E-4</v>
      </c>
    </row>
    <row r="697" spans="2:5" s="64" customFormat="1" ht="14.5" customHeight="1">
      <c r="B697" s="86"/>
      <c r="C697" s="58" t="s">
        <v>199</v>
      </c>
      <c r="D697" s="59">
        <v>1</v>
      </c>
      <c r="E697" s="60">
        <v>5.3081373745999998E-5</v>
      </c>
    </row>
    <row r="698" spans="2:5" s="64" customFormat="1" ht="14.5" customHeight="1">
      <c r="B698" s="86"/>
      <c r="C698" s="58" t="s">
        <v>228</v>
      </c>
      <c r="D698" s="59">
        <v>2</v>
      </c>
      <c r="E698" s="60">
        <v>1.06162747492E-4</v>
      </c>
    </row>
    <row r="699" spans="2:5" s="64" customFormat="1" ht="14.5" customHeight="1">
      <c r="B699" s="87"/>
      <c r="C699" s="35" t="s">
        <v>28</v>
      </c>
      <c r="D699" s="34">
        <v>11</v>
      </c>
      <c r="E699" s="33">
        <v>5.8389511120500003E-4</v>
      </c>
    </row>
    <row r="700" spans="2:5" s="64" customFormat="1" ht="14.5" customHeight="1">
      <c r="B700" s="85" t="s">
        <v>83</v>
      </c>
      <c r="C700" s="58" t="s">
        <v>204</v>
      </c>
      <c r="D700" s="59">
        <v>1</v>
      </c>
      <c r="E700" s="60">
        <v>5.3081373745999998E-5</v>
      </c>
    </row>
    <row r="701" spans="2:5" s="64" customFormat="1" ht="14.5" customHeight="1">
      <c r="B701" s="86"/>
      <c r="C701" s="58" t="s">
        <v>206</v>
      </c>
      <c r="D701" s="59">
        <v>27</v>
      </c>
      <c r="E701" s="60">
        <v>1.4331970911409999E-3</v>
      </c>
    </row>
    <row r="702" spans="2:5" s="64" customFormat="1" ht="14.5" customHeight="1">
      <c r="B702" s="86"/>
      <c r="C702" s="58" t="s">
        <v>192</v>
      </c>
      <c r="D702" s="59">
        <v>4</v>
      </c>
      <c r="E702" s="60">
        <v>2.1232549498399999E-4</v>
      </c>
    </row>
    <row r="703" spans="2:5" s="64" customFormat="1" ht="14.5" customHeight="1">
      <c r="B703" s="86"/>
      <c r="C703" s="58" t="s">
        <v>193</v>
      </c>
      <c r="D703" s="59">
        <v>8</v>
      </c>
      <c r="E703" s="60">
        <v>4.2465098996799999E-4</v>
      </c>
    </row>
    <row r="704" spans="2:5" s="64" customFormat="1" ht="14.5" customHeight="1">
      <c r="B704" s="86"/>
      <c r="C704" s="58" t="s">
        <v>207</v>
      </c>
      <c r="D704" s="59">
        <v>2</v>
      </c>
      <c r="E704" s="60">
        <v>1.06162747492E-4</v>
      </c>
    </row>
    <row r="705" spans="2:5" s="64" customFormat="1" ht="14.5" customHeight="1">
      <c r="B705" s="86"/>
      <c r="C705" s="58" t="s">
        <v>195</v>
      </c>
      <c r="D705" s="59">
        <v>4</v>
      </c>
      <c r="E705" s="60">
        <v>2.1232549498399999E-4</v>
      </c>
    </row>
    <row r="706" spans="2:5" s="64" customFormat="1" ht="14.5" customHeight="1">
      <c r="B706" s="86"/>
      <c r="C706" s="58" t="s">
        <v>208</v>
      </c>
      <c r="D706" s="59">
        <v>1</v>
      </c>
      <c r="E706" s="60">
        <v>5.3081373745999998E-5</v>
      </c>
    </row>
    <row r="707" spans="2:5" s="64" customFormat="1" ht="14.5" customHeight="1">
      <c r="B707" s="86"/>
      <c r="C707" s="58" t="s">
        <v>196</v>
      </c>
      <c r="D707" s="59">
        <v>6</v>
      </c>
      <c r="E707" s="60">
        <v>3.1848824247600002E-4</v>
      </c>
    </row>
    <row r="708" spans="2:5" s="64" customFormat="1" ht="14.5" customHeight="1">
      <c r="B708" s="86"/>
      <c r="C708" s="58" t="s">
        <v>209</v>
      </c>
      <c r="D708" s="59">
        <v>1</v>
      </c>
      <c r="E708" s="60">
        <v>5.3081373745999998E-5</v>
      </c>
    </row>
    <row r="709" spans="2:5" s="64" customFormat="1" ht="14.5" customHeight="1">
      <c r="B709" s="86"/>
      <c r="C709" s="58" t="s">
        <v>210</v>
      </c>
      <c r="D709" s="59">
        <v>1</v>
      </c>
      <c r="E709" s="60">
        <v>5.3081373745999998E-5</v>
      </c>
    </row>
    <row r="710" spans="2:5" s="64" customFormat="1" ht="14.5" customHeight="1">
      <c r="B710" s="86"/>
      <c r="C710" s="58" t="s">
        <v>197</v>
      </c>
      <c r="D710" s="59">
        <v>2</v>
      </c>
      <c r="E710" s="60">
        <v>1.06162747492E-4</v>
      </c>
    </row>
    <row r="711" spans="2:5" s="64" customFormat="1" ht="14.5" customHeight="1">
      <c r="B711" s="86"/>
      <c r="C711" s="58" t="s">
        <v>198</v>
      </c>
      <c r="D711" s="59">
        <v>1</v>
      </c>
      <c r="E711" s="60">
        <v>5.3081373745999998E-5</v>
      </c>
    </row>
    <row r="712" spans="2:5" s="64" customFormat="1" ht="14.5" customHeight="1">
      <c r="B712" s="86"/>
      <c r="C712" s="58" t="s">
        <v>199</v>
      </c>
      <c r="D712" s="59">
        <v>1</v>
      </c>
      <c r="E712" s="60">
        <v>5.3081373745999998E-5</v>
      </c>
    </row>
    <row r="713" spans="2:5" s="64" customFormat="1" ht="14.5" customHeight="1">
      <c r="B713" s="86"/>
      <c r="C713" s="58" t="s">
        <v>215</v>
      </c>
      <c r="D713" s="59">
        <v>1</v>
      </c>
      <c r="E713" s="60">
        <v>5.3081373745999998E-5</v>
      </c>
    </row>
    <row r="714" spans="2:5" s="64" customFormat="1" ht="14.5" customHeight="1">
      <c r="B714" s="86"/>
      <c r="C714" s="58" t="s">
        <v>217</v>
      </c>
      <c r="D714" s="59">
        <v>2</v>
      </c>
      <c r="E714" s="60">
        <v>1.06162747492E-4</v>
      </c>
    </row>
    <row r="715" spans="2:5" s="64" customFormat="1" ht="14.5" customHeight="1">
      <c r="B715" s="86"/>
      <c r="C715" s="58" t="s">
        <v>201</v>
      </c>
      <c r="D715" s="59">
        <v>4</v>
      </c>
      <c r="E715" s="60">
        <v>2.1232549498399999E-4</v>
      </c>
    </row>
    <row r="716" spans="2:5" s="64" customFormat="1" ht="14.5" customHeight="1">
      <c r="B716" s="86"/>
      <c r="C716" s="58" t="s">
        <v>220</v>
      </c>
      <c r="D716" s="59">
        <v>2</v>
      </c>
      <c r="E716" s="60">
        <v>1.06162747492E-4</v>
      </c>
    </row>
    <row r="717" spans="2:5" s="64" customFormat="1" ht="14.5" customHeight="1">
      <c r="B717" s="86"/>
      <c r="C717" s="58" t="s">
        <v>203</v>
      </c>
      <c r="D717" s="59">
        <v>4</v>
      </c>
      <c r="E717" s="60">
        <v>2.1232549498399999E-4</v>
      </c>
    </row>
    <row r="718" spans="2:5" s="64" customFormat="1" ht="14.5" customHeight="1">
      <c r="B718" s="86"/>
      <c r="C718" s="58" t="s">
        <v>226</v>
      </c>
      <c r="D718" s="59">
        <v>1</v>
      </c>
      <c r="E718" s="60">
        <v>5.3081373745999998E-5</v>
      </c>
    </row>
    <row r="719" spans="2:5" s="64" customFormat="1" ht="14.5" customHeight="1">
      <c r="B719" s="86"/>
      <c r="C719" s="58" t="s">
        <v>228</v>
      </c>
      <c r="D719" s="59">
        <v>1</v>
      </c>
      <c r="E719" s="60">
        <v>5.3081373745999998E-5</v>
      </c>
    </row>
    <row r="720" spans="2:5" s="64" customFormat="1" ht="14.5" customHeight="1">
      <c r="B720" s="86"/>
      <c r="C720" s="58" t="s">
        <v>231</v>
      </c>
      <c r="D720" s="59">
        <v>1</v>
      </c>
      <c r="E720" s="60">
        <v>5.3081373745999998E-5</v>
      </c>
    </row>
    <row r="721" spans="2:5" s="64" customFormat="1" ht="14.5" customHeight="1">
      <c r="B721" s="87"/>
      <c r="C721" s="35" t="s">
        <v>28</v>
      </c>
      <c r="D721" s="34">
        <v>75</v>
      </c>
      <c r="E721" s="33">
        <v>3.9811030309459998E-3</v>
      </c>
    </row>
    <row r="722" spans="2:5" s="64" customFormat="1" ht="14.5" customHeight="1">
      <c r="B722" s="85" t="s">
        <v>84</v>
      </c>
      <c r="C722" s="58" t="s">
        <v>204</v>
      </c>
      <c r="D722" s="59">
        <v>51</v>
      </c>
      <c r="E722" s="60">
        <v>2.7071500610439999E-3</v>
      </c>
    </row>
    <row r="723" spans="2:5" s="64" customFormat="1" ht="14.5" customHeight="1">
      <c r="B723" s="86"/>
      <c r="C723" s="58" t="s">
        <v>205</v>
      </c>
      <c r="D723" s="59">
        <v>1</v>
      </c>
      <c r="E723" s="60">
        <v>5.3081373745999998E-5</v>
      </c>
    </row>
    <row r="724" spans="2:5" s="64" customFormat="1" ht="14.5" customHeight="1">
      <c r="B724" s="86"/>
      <c r="C724" s="58" t="s">
        <v>206</v>
      </c>
      <c r="D724" s="59">
        <v>1</v>
      </c>
      <c r="E724" s="60">
        <v>5.3081373745999998E-5</v>
      </c>
    </row>
    <row r="725" spans="2:5" s="64" customFormat="1" ht="14.5" customHeight="1">
      <c r="B725" s="86"/>
      <c r="C725" s="58" t="s">
        <v>192</v>
      </c>
      <c r="D725" s="59">
        <v>21</v>
      </c>
      <c r="E725" s="60">
        <v>1.1147088486650001E-3</v>
      </c>
    </row>
    <row r="726" spans="2:5" s="64" customFormat="1" ht="14.5" customHeight="1">
      <c r="B726" s="86"/>
      <c r="C726" s="58" t="s">
        <v>193</v>
      </c>
      <c r="D726" s="59">
        <v>161</v>
      </c>
      <c r="E726" s="60">
        <v>8.5461011730979999E-3</v>
      </c>
    </row>
    <row r="727" spans="2:5" s="64" customFormat="1" ht="14.5" customHeight="1">
      <c r="B727" s="86"/>
      <c r="C727" s="58" t="s">
        <v>207</v>
      </c>
      <c r="D727" s="59">
        <v>11</v>
      </c>
      <c r="E727" s="60">
        <v>5.8389511120500003E-4</v>
      </c>
    </row>
    <row r="728" spans="2:5" s="64" customFormat="1" ht="14.5" customHeight="1">
      <c r="B728" s="86"/>
      <c r="C728" s="58" t="s">
        <v>194</v>
      </c>
      <c r="D728" s="59">
        <v>136</v>
      </c>
      <c r="E728" s="60">
        <v>7.2190668294499997E-3</v>
      </c>
    </row>
    <row r="729" spans="2:5" s="64" customFormat="1" ht="14.5" customHeight="1">
      <c r="B729" s="86"/>
      <c r="C729" s="58" t="s">
        <v>195</v>
      </c>
      <c r="D729" s="59">
        <v>49</v>
      </c>
      <c r="E729" s="60">
        <v>2.6009873135519998E-3</v>
      </c>
    </row>
    <row r="730" spans="2:5" s="64" customFormat="1" ht="14.5" customHeight="1">
      <c r="B730" s="86"/>
      <c r="C730" s="58" t="s">
        <v>208</v>
      </c>
      <c r="D730" s="59">
        <v>4</v>
      </c>
      <c r="E730" s="60">
        <v>2.1232549498399999E-4</v>
      </c>
    </row>
    <row r="731" spans="2:5" s="64" customFormat="1" ht="14.5" customHeight="1">
      <c r="B731" s="86"/>
      <c r="C731" s="58" t="s">
        <v>196</v>
      </c>
      <c r="D731" s="59">
        <v>64</v>
      </c>
      <c r="E731" s="60">
        <v>3.3972079197410001E-3</v>
      </c>
    </row>
    <row r="732" spans="2:5" s="64" customFormat="1" ht="14.5" customHeight="1">
      <c r="B732" s="86"/>
      <c r="C732" s="58" t="s">
        <v>209</v>
      </c>
      <c r="D732" s="59">
        <v>3</v>
      </c>
      <c r="E732" s="60">
        <v>1.5924412123800001E-4</v>
      </c>
    </row>
    <row r="733" spans="2:5" s="64" customFormat="1" ht="14.5" customHeight="1">
      <c r="B733" s="86"/>
      <c r="C733" s="58" t="s">
        <v>210</v>
      </c>
      <c r="D733" s="59">
        <v>6</v>
      </c>
      <c r="E733" s="60">
        <v>3.1848824247600002E-4</v>
      </c>
    </row>
    <row r="734" spans="2:5" s="64" customFormat="1" ht="14.5" customHeight="1">
      <c r="B734" s="86"/>
      <c r="C734" s="58" t="s">
        <v>197</v>
      </c>
      <c r="D734" s="59">
        <v>24</v>
      </c>
      <c r="E734" s="60">
        <v>1.273952969903E-3</v>
      </c>
    </row>
    <row r="735" spans="2:5" s="64" customFormat="1" ht="14.5" customHeight="1">
      <c r="B735" s="86"/>
      <c r="C735" s="58" t="s">
        <v>198</v>
      </c>
      <c r="D735" s="59">
        <v>30</v>
      </c>
      <c r="E735" s="60">
        <v>1.592441212379E-3</v>
      </c>
    </row>
    <row r="736" spans="2:5" s="64" customFormat="1" ht="14.5" customHeight="1">
      <c r="B736" s="86"/>
      <c r="C736" s="58" t="s">
        <v>199</v>
      </c>
      <c r="D736" s="59">
        <v>3</v>
      </c>
      <c r="E736" s="60">
        <v>1.5924412123800001E-4</v>
      </c>
    </row>
    <row r="737" spans="2:5" s="64" customFormat="1" ht="14.5" customHeight="1">
      <c r="B737" s="86"/>
      <c r="C737" s="58" t="s">
        <v>211</v>
      </c>
      <c r="D737" s="59">
        <v>14</v>
      </c>
      <c r="E737" s="60">
        <v>7.4313923244300004E-4</v>
      </c>
    </row>
    <row r="738" spans="2:5" s="64" customFormat="1" ht="14.5" customHeight="1">
      <c r="B738" s="86"/>
      <c r="C738" s="58" t="s">
        <v>212</v>
      </c>
      <c r="D738" s="59">
        <v>4</v>
      </c>
      <c r="E738" s="60">
        <v>2.1232549498399999E-4</v>
      </c>
    </row>
    <row r="739" spans="2:5" s="64" customFormat="1" ht="14.5" customHeight="1">
      <c r="B739" s="86"/>
      <c r="C739" s="58" t="s">
        <v>213</v>
      </c>
      <c r="D739" s="59">
        <v>13</v>
      </c>
      <c r="E739" s="60">
        <v>6.90057858697E-4</v>
      </c>
    </row>
    <row r="740" spans="2:5" s="64" customFormat="1" ht="14.5" customHeight="1">
      <c r="B740" s="86"/>
      <c r="C740" s="58" t="s">
        <v>214</v>
      </c>
      <c r="D740" s="59">
        <v>14</v>
      </c>
      <c r="E740" s="60">
        <v>7.4313923244300004E-4</v>
      </c>
    </row>
    <row r="741" spans="2:5" s="64" customFormat="1" ht="14.5" customHeight="1">
      <c r="B741" s="86"/>
      <c r="C741" s="58" t="s">
        <v>215</v>
      </c>
      <c r="D741" s="59">
        <v>5</v>
      </c>
      <c r="E741" s="60">
        <v>2.6540686872999998E-4</v>
      </c>
    </row>
    <row r="742" spans="2:5" s="64" customFormat="1" ht="14.5" customHeight="1">
      <c r="B742" s="86"/>
      <c r="C742" s="58" t="s">
        <v>217</v>
      </c>
      <c r="D742" s="59">
        <v>30</v>
      </c>
      <c r="E742" s="60">
        <v>1.592441212379E-3</v>
      </c>
    </row>
    <row r="743" spans="2:5" s="64" customFormat="1" ht="14.5" customHeight="1">
      <c r="B743" s="86"/>
      <c r="C743" s="58" t="s">
        <v>218</v>
      </c>
      <c r="D743" s="59">
        <v>15</v>
      </c>
      <c r="E743" s="60">
        <v>7.9622060618899997E-4</v>
      </c>
    </row>
    <row r="744" spans="2:5" s="64" customFormat="1" ht="14.5" customHeight="1">
      <c r="B744" s="86"/>
      <c r="C744" s="58" t="s">
        <v>219</v>
      </c>
      <c r="D744" s="59">
        <v>3</v>
      </c>
      <c r="E744" s="60">
        <v>1.5924412123800001E-4</v>
      </c>
    </row>
    <row r="745" spans="2:5" s="64" customFormat="1" ht="14.5" customHeight="1">
      <c r="B745" s="86"/>
      <c r="C745" s="58" t="s">
        <v>200</v>
      </c>
      <c r="D745" s="59">
        <v>17</v>
      </c>
      <c r="E745" s="60">
        <v>9.0238335368100005E-4</v>
      </c>
    </row>
    <row r="746" spans="2:5" s="64" customFormat="1" ht="14.5" customHeight="1">
      <c r="B746" s="86"/>
      <c r="C746" s="58" t="s">
        <v>201</v>
      </c>
      <c r="D746" s="59">
        <v>15</v>
      </c>
      <c r="E746" s="60">
        <v>7.9622060618899997E-4</v>
      </c>
    </row>
    <row r="747" spans="2:5" s="64" customFormat="1" ht="14.5" customHeight="1">
      <c r="B747" s="86"/>
      <c r="C747" s="58" t="s">
        <v>220</v>
      </c>
      <c r="D747" s="59">
        <v>24</v>
      </c>
      <c r="E747" s="60">
        <v>1.273952969903E-3</v>
      </c>
    </row>
    <row r="748" spans="2:5" s="64" customFormat="1" ht="14.5" customHeight="1">
      <c r="B748" s="86"/>
      <c r="C748" s="58" t="s">
        <v>221</v>
      </c>
      <c r="D748" s="59">
        <v>14</v>
      </c>
      <c r="E748" s="60">
        <v>7.4313923244300004E-4</v>
      </c>
    </row>
    <row r="749" spans="2:5" s="64" customFormat="1" ht="14.5" customHeight="1">
      <c r="B749" s="86"/>
      <c r="C749" s="58" t="s">
        <v>222</v>
      </c>
      <c r="D749" s="59">
        <v>11</v>
      </c>
      <c r="E749" s="60">
        <v>5.8389511120500003E-4</v>
      </c>
    </row>
    <row r="750" spans="2:5" s="64" customFormat="1" ht="14.5" customHeight="1">
      <c r="B750" s="86"/>
      <c r="C750" s="58" t="s">
        <v>223</v>
      </c>
      <c r="D750" s="59">
        <v>8</v>
      </c>
      <c r="E750" s="60">
        <v>4.2465098996799999E-4</v>
      </c>
    </row>
    <row r="751" spans="2:5" s="64" customFormat="1" ht="14.5" customHeight="1">
      <c r="B751" s="86"/>
      <c r="C751" s="58" t="s">
        <v>224</v>
      </c>
      <c r="D751" s="59">
        <v>5</v>
      </c>
      <c r="E751" s="60">
        <v>2.6540686872999998E-4</v>
      </c>
    </row>
    <row r="752" spans="2:5" s="64" customFormat="1" ht="14.5" customHeight="1">
      <c r="B752" s="86"/>
      <c r="C752" s="58" t="s">
        <v>225</v>
      </c>
      <c r="D752" s="59">
        <v>7</v>
      </c>
      <c r="E752" s="60">
        <v>3.71569616222E-4</v>
      </c>
    </row>
    <row r="753" spans="2:5" s="64" customFormat="1" ht="14.5" customHeight="1">
      <c r="B753" s="86"/>
      <c r="C753" s="58" t="s">
        <v>202</v>
      </c>
      <c r="D753" s="59">
        <v>7</v>
      </c>
      <c r="E753" s="60">
        <v>3.71569616222E-4</v>
      </c>
    </row>
    <row r="754" spans="2:5" s="64" customFormat="1" ht="14.5" customHeight="1">
      <c r="B754" s="86"/>
      <c r="C754" s="58" t="s">
        <v>203</v>
      </c>
      <c r="D754" s="59">
        <v>16</v>
      </c>
      <c r="E754" s="60">
        <v>8.4930197993500001E-4</v>
      </c>
    </row>
    <row r="755" spans="2:5" s="64" customFormat="1" ht="14.5" customHeight="1">
      <c r="B755" s="86"/>
      <c r="C755" s="58" t="s">
        <v>226</v>
      </c>
      <c r="D755" s="59">
        <v>5</v>
      </c>
      <c r="E755" s="60">
        <v>2.6540686872999998E-4</v>
      </c>
    </row>
    <row r="756" spans="2:5" s="64" customFormat="1" ht="14.5" customHeight="1">
      <c r="B756" s="86"/>
      <c r="C756" s="58" t="s">
        <v>227</v>
      </c>
      <c r="D756" s="59">
        <v>3</v>
      </c>
      <c r="E756" s="60">
        <v>1.5924412123800001E-4</v>
      </c>
    </row>
    <row r="757" spans="2:5" s="64" customFormat="1" ht="14.5" customHeight="1">
      <c r="B757" s="86"/>
      <c r="C757" s="58" t="s">
        <v>228</v>
      </c>
      <c r="D757" s="59">
        <v>6</v>
      </c>
      <c r="E757" s="60">
        <v>3.1848824247600002E-4</v>
      </c>
    </row>
    <row r="758" spans="2:5" s="64" customFormat="1" ht="14.5" customHeight="1">
      <c r="B758" s="86"/>
      <c r="C758" s="58" t="s">
        <v>229</v>
      </c>
      <c r="D758" s="59">
        <v>10</v>
      </c>
      <c r="E758" s="60">
        <v>5.3081373745999996E-4</v>
      </c>
    </row>
    <row r="759" spans="2:5" s="64" customFormat="1" ht="14.5" customHeight="1">
      <c r="B759" s="86"/>
      <c r="C759" s="58" t="s">
        <v>230</v>
      </c>
      <c r="D759" s="59">
        <v>1</v>
      </c>
      <c r="E759" s="60">
        <v>5.3081373745999998E-5</v>
      </c>
    </row>
    <row r="760" spans="2:5" s="64" customFormat="1" ht="14.5" customHeight="1">
      <c r="B760" s="86"/>
      <c r="C760" s="58" t="s">
        <v>231</v>
      </c>
      <c r="D760" s="59">
        <v>38</v>
      </c>
      <c r="E760" s="60">
        <v>2.017092202346E-3</v>
      </c>
    </row>
    <row r="761" spans="2:5" s="64" customFormat="1" ht="14.5" customHeight="1">
      <c r="B761" s="87"/>
      <c r="C761" s="35" t="s">
        <v>28</v>
      </c>
      <c r="D761" s="34">
        <v>850</v>
      </c>
      <c r="E761" s="33">
        <v>4.5119167684059998E-2</v>
      </c>
    </row>
    <row r="762" spans="2:5" s="64" customFormat="1" ht="14.5" customHeight="1">
      <c r="B762" s="85" t="s">
        <v>85</v>
      </c>
      <c r="C762" s="58" t="s">
        <v>204</v>
      </c>
      <c r="D762" s="59">
        <v>1</v>
      </c>
      <c r="E762" s="60">
        <v>5.3081373745999998E-5</v>
      </c>
    </row>
    <row r="763" spans="2:5" s="64" customFormat="1" ht="14.5" customHeight="1">
      <c r="B763" s="86"/>
      <c r="C763" s="58" t="s">
        <v>205</v>
      </c>
      <c r="D763" s="59">
        <v>1</v>
      </c>
      <c r="E763" s="60">
        <v>5.3081373745999998E-5</v>
      </c>
    </row>
    <row r="764" spans="2:5" s="64" customFormat="1" ht="14.5" customHeight="1">
      <c r="B764" s="86"/>
      <c r="C764" s="58" t="s">
        <v>193</v>
      </c>
      <c r="D764" s="59">
        <v>1</v>
      </c>
      <c r="E764" s="60">
        <v>5.3081373745999998E-5</v>
      </c>
    </row>
    <row r="765" spans="2:5" s="64" customFormat="1" ht="14.5" customHeight="1">
      <c r="B765" s="86"/>
      <c r="C765" s="58" t="s">
        <v>207</v>
      </c>
      <c r="D765" s="59">
        <v>2</v>
      </c>
      <c r="E765" s="60">
        <v>1.06162747492E-4</v>
      </c>
    </row>
    <row r="766" spans="2:5" s="64" customFormat="1" ht="14.5" customHeight="1">
      <c r="B766" s="86"/>
      <c r="C766" s="58" t="s">
        <v>210</v>
      </c>
      <c r="D766" s="59">
        <v>1</v>
      </c>
      <c r="E766" s="60">
        <v>5.3081373745999998E-5</v>
      </c>
    </row>
    <row r="767" spans="2:5" s="64" customFormat="1" ht="14.5" customHeight="1">
      <c r="B767" s="86"/>
      <c r="C767" s="58" t="s">
        <v>197</v>
      </c>
      <c r="D767" s="59">
        <v>1</v>
      </c>
      <c r="E767" s="60">
        <v>5.3081373745999998E-5</v>
      </c>
    </row>
    <row r="768" spans="2:5" s="64" customFormat="1" ht="14.5" customHeight="1">
      <c r="B768" s="86"/>
      <c r="C768" s="58" t="s">
        <v>198</v>
      </c>
      <c r="D768" s="59">
        <v>1</v>
      </c>
      <c r="E768" s="60">
        <v>5.3081373745999998E-5</v>
      </c>
    </row>
    <row r="769" spans="2:5" s="64" customFormat="1" ht="14.5" customHeight="1">
      <c r="B769" s="86"/>
      <c r="C769" s="58" t="s">
        <v>199</v>
      </c>
      <c r="D769" s="59">
        <v>7</v>
      </c>
      <c r="E769" s="60">
        <v>3.71569616222E-4</v>
      </c>
    </row>
    <row r="770" spans="2:5" s="64" customFormat="1" ht="14.5" customHeight="1">
      <c r="B770" s="86"/>
      <c r="C770" s="58" t="s">
        <v>216</v>
      </c>
      <c r="D770" s="59">
        <v>2</v>
      </c>
      <c r="E770" s="60">
        <v>1.06162747492E-4</v>
      </c>
    </row>
    <row r="771" spans="2:5" s="64" customFormat="1" ht="14.5" customHeight="1">
      <c r="B771" s="86"/>
      <c r="C771" s="58" t="s">
        <v>219</v>
      </c>
      <c r="D771" s="59">
        <v>1</v>
      </c>
      <c r="E771" s="60">
        <v>5.3081373745999998E-5</v>
      </c>
    </row>
    <row r="772" spans="2:5" s="64" customFormat="1" ht="14.5" customHeight="1">
      <c r="B772" s="86"/>
      <c r="C772" s="58" t="s">
        <v>201</v>
      </c>
      <c r="D772" s="59">
        <v>2</v>
      </c>
      <c r="E772" s="60">
        <v>1.06162747492E-4</v>
      </c>
    </row>
    <row r="773" spans="2:5" s="64" customFormat="1" ht="14.5" customHeight="1">
      <c r="B773" s="86"/>
      <c r="C773" s="58" t="s">
        <v>227</v>
      </c>
      <c r="D773" s="59">
        <v>1</v>
      </c>
      <c r="E773" s="60">
        <v>5.3081373745999998E-5</v>
      </c>
    </row>
    <row r="774" spans="2:5" s="64" customFormat="1" ht="14.5" customHeight="1">
      <c r="B774" s="86"/>
      <c r="C774" s="58" t="s">
        <v>230</v>
      </c>
      <c r="D774" s="59">
        <v>3</v>
      </c>
      <c r="E774" s="60">
        <v>1.5924412123800001E-4</v>
      </c>
    </row>
    <row r="775" spans="2:5" s="64" customFormat="1" ht="14.5" customHeight="1">
      <c r="B775" s="87"/>
      <c r="C775" s="35" t="s">
        <v>28</v>
      </c>
      <c r="D775" s="34">
        <v>24</v>
      </c>
      <c r="E775" s="33">
        <v>1.273952969903E-3</v>
      </c>
    </row>
    <row r="776" spans="2:5" s="64" customFormat="1" ht="14.5" customHeight="1">
      <c r="B776" s="85" t="s">
        <v>86</v>
      </c>
      <c r="C776" s="58" t="s">
        <v>196</v>
      </c>
      <c r="D776" s="59">
        <v>4</v>
      </c>
      <c r="E776" s="60">
        <v>2.1232549498399999E-4</v>
      </c>
    </row>
    <row r="777" spans="2:5" s="64" customFormat="1" ht="14.5" customHeight="1">
      <c r="B777" s="86"/>
      <c r="C777" s="58" t="s">
        <v>198</v>
      </c>
      <c r="D777" s="59">
        <v>2</v>
      </c>
      <c r="E777" s="60">
        <v>1.06162747492E-4</v>
      </c>
    </row>
    <row r="778" spans="2:5" s="64" customFormat="1" ht="14.5" customHeight="1">
      <c r="B778" s="86"/>
      <c r="C778" s="58" t="s">
        <v>211</v>
      </c>
      <c r="D778" s="59">
        <v>1</v>
      </c>
      <c r="E778" s="60">
        <v>5.3081373745999998E-5</v>
      </c>
    </row>
    <row r="779" spans="2:5" s="64" customFormat="1" ht="14.5" customHeight="1">
      <c r="B779" s="86"/>
      <c r="C779" s="58" t="s">
        <v>220</v>
      </c>
      <c r="D779" s="59">
        <v>1</v>
      </c>
      <c r="E779" s="60">
        <v>5.3081373745999998E-5</v>
      </c>
    </row>
    <row r="780" spans="2:5" s="64" customFormat="1" ht="14.5" customHeight="1">
      <c r="B780" s="87"/>
      <c r="C780" s="35" t="s">
        <v>28</v>
      </c>
      <c r="D780" s="34">
        <v>8</v>
      </c>
      <c r="E780" s="33">
        <v>4.2465098996799999E-4</v>
      </c>
    </row>
    <row r="781" spans="2:5" s="64" customFormat="1" ht="14.5" customHeight="1">
      <c r="B781" s="85" t="s">
        <v>87</v>
      </c>
      <c r="C781" s="58" t="s">
        <v>204</v>
      </c>
      <c r="D781" s="59">
        <v>1</v>
      </c>
      <c r="E781" s="60">
        <v>5.3081373745999998E-5</v>
      </c>
    </row>
    <row r="782" spans="2:5" s="64" customFormat="1" ht="14.5" customHeight="1">
      <c r="B782" s="86"/>
      <c r="C782" s="58" t="s">
        <v>205</v>
      </c>
      <c r="D782" s="59">
        <v>1</v>
      </c>
      <c r="E782" s="60">
        <v>5.3081373745999998E-5</v>
      </c>
    </row>
    <row r="783" spans="2:5" s="64" customFormat="1" ht="14.5" customHeight="1">
      <c r="B783" s="86"/>
      <c r="C783" s="58" t="s">
        <v>192</v>
      </c>
      <c r="D783" s="59">
        <v>2</v>
      </c>
      <c r="E783" s="60">
        <v>1.06162747492E-4</v>
      </c>
    </row>
    <row r="784" spans="2:5" s="64" customFormat="1" ht="14.5" customHeight="1">
      <c r="B784" s="86"/>
      <c r="C784" s="58" t="s">
        <v>193</v>
      </c>
      <c r="D784" s="59">
        <v>20</v>
      </c>
      <c r="E784" s="60">
        <v>1.0616274749190001E-3</v>
      </c>
    </row>
    <row r="785" spans="2:5" s="64" customFormat="1" ht="14.5" customHeight="1">
      <c r="B785" s="86"/>
      <c r="C785" s="58" t="s">
        <v>194</v>
      </c>
      <c r="D785" s="59">
        <v>1</v>
      </c>
      <c r="E785" s="60">
        <v>5.3081373745999998E-5</v>
      </c>
    </row>
    <row r="786" spans="2:5" s="64" customFormat="1" ht="14.5" customHeight="1">
      <c r="B786" s="86"/>
      <c r="C786" s="58" t="s">
        <v>195</v>
      </c>
      <c r="D786" s="59">
        <v>1</v>
      </c>
      <c r="E786" s="60">
        <v>5.3081373745999998E-5</v>
      </c>
    </row>
    <row r="787" spans="2:5" s="64" customFormat="1" ht="14.5" customHeight="1">
      <c r="B787" s="86"/>
      <c r="C787" s="58" t="s">
        <v>196</v>
      </c>
      <c r="D787" s="59">
        <v>7</v>
      </c>
      <c r="E787" s="60">
        <v>3.71569616222E-4</v>
      </c>
    </row>
    <row r="788" spans="2:5" s="64" customFormat="1" ht="14.5" customHeight="1">
      <c r="B788" s="86"/>
      <c r="C788" s="58" t="s">
        <v>197</v>
      </c>
      <c r="D788" s="59">
        <v>6</v>
      </c>
      <c r="E788" s="60">
        <v>3.1848824247600002E-4</v>
      </c>
    </row>
    <row r="789" spans="2:5" s="64" customFormat="1" ht="14.5" customHeight="1">
      <c r="B789" s="86"/>
      <c r="C789" s="58" t="s">
        <v>199</v>
      </c>
      <c r="D789" s="59">
        <v>5</v>
      </c>
      <c r="E789" s="60">
        <v>2.6540686872999998E-4</v>
      </c>
    </row>
    <row r="790" spans="2:5" s="64" customFormat="1" ht="14.5" customHeight="1">
      <c r="B790" s="86"/>
      <c r="C790" s="58" t="s">
        <v>217</v>
      </c>
      <c r="D790" s="59">
        <v>2</v>
      </c>
      <c r="E790" s="60">
        <v>1.06162747492E-4</v>
      </c>
    </row>
    <row r="791" spans="2:5" s="64" customFormat="1" ht="14.5" customHeight="1">
      <c r="B791" s="86"/>
      <c r="C791" s="58" t="s">
        <v>218</v>
      </c>
      <c r="D791" s="59">
        <v>1</v>
      </c>
      <c r="E791" s="60">
        <v>5.3081373745999998E-5</v>
      </c>
    </row>
    <row r="792" spans="2:5" s="64" customFormat="1" ht="14.5" customHeight="1">
      <c r="B792" s="86"/>
      <c r="C792" s="58" t="s">
        <v>219</v>
      </c>
      <c r="D792" s="59">
        <v>1</v>
      </c>
      <c r="E792" s="60">
        <v>5.3081373745999998E-5</v>
      </c>
    </row>
    <row r="793" spans="2:5" s="64" customFormat="1" ht="14.5" customHeight="1">
      <c r="B793" s="86"/>
      <c r="C793" s="58" t="s">
        <v>229</v>
      </c>
      <c r="D793" s="59">
        <v>1</v>
      </c>
      <c r="E793" s="60">
        <v>5.3081373745999998E-5</v>
      </c>
    </row>
    <row r="794" spans="2:5" s="64" customFormat="1" ht="14.5" customHeight="1">
      <c r="B794" s="87"/>
      <c r="C794" s="35" t="s">
        <v>28</v>
      </c>
      <c r="D794" s="34">
        <v>49</v>
      </c>
      <c r="E794" s="33">
        <v>2.6009873135519998E-3</v>
      </c>
    </row>
    <row r="795" spans="2:5" s="64" customFormat="1" ht="14.5" customHeight="1">
      <c r="B795" s="85" t="s">
        <v>88</v>
      </c>
      <c r="C795" s="58" t="s">
        <v>204</v>
      </c>
      <c r="D795" s="59">
        <v>2</v>
      </c>
      <c r="E795" s="60">
        <v>1.06162747492E-4</v>
      </c>
    </row>
    <row r="796" spans="2:5" s="64" customFormat="1" ht="14.5" customHeight="1">
      <c r="B796" s="86"/>
      <c r="C796" s="58" t="s">
        <v>196</v>
      </c>
      <c r="D796" s="59">
        <v>1</v>
      </c>
      <c r="E796" s="60">
        <v>5.3081373745999998E-5</v>
      </c>
    </row>
    <row r="797" spans="2:5" s="64" customFormat="1" ht="14.5" customHeight="1">
      <c r="B797" s="86"/>
      <c r="C797" s="58" t="s">
        <v>231</v>
      </c>
      <c r="D797" s="59">
        <v>1</v>
      </c>
      <c r="E797" s="60">
        <v>5.3081373745999998E-5</v>
      </c>
    </row>
    <row r="798" spans="2:5" s="64" customFormat="1" ht="14.5" customHeight="1">
      <c r="B798" s="87"/>
      <c r="C798" s="35" t="s">
        <v>28</v>
      </c>
      <c r="D798" s="34">
        <v>4</v>
      </c>
      <c r="E798" s="33">
        <v>2.1232549498399999E-4</v>
      </c>
    </row>
    <row r="799" spans="2:5" s="64" customFormat="1" ht="14.5" customHeight="1">
      <c r="B799" s="85" t="s">
        <v>89</v>
      </c>
      <c r="C799" s="58" t="s">
        <v>204</v>
      </c>
      <c r="D799" s="59">
        <v>7</v>
      </c>
      <c r="E799" s="60">
        <v>3.71569616222E-4</v>
      </c>
    </row>
    <row r="800" spans="2:5" s="64" customFormat="1" ht="14.5" customHeight="1">
      <c r="B800" s="86"/>
      <c r="C800" s="58" t="s">
        <v>206</v>
      </c>
      <c r="D800" s="59">
        <v>1</v>
      </c>
      <c r="E800" s="60">
        <v>5.3081373745999998E-5</v>
      </c>
    </row>
    <row r="801" spans="2:5" s="64" customFormat="1" ht="14.5" customHeight="1">
      <c r="B801" s="86"/>
      <c r="C801" s="58" t="s">
        <v>192</v>
      </c>
      <c r="D801" s="59">
        <v>7</v>
      </c>
      <c r="E801" s="60">
        <v>3.71569616222E-4</v>
      </c>
    </row>
    <row r="802" spans="2:5" s="64" customFormat="1" ht="14.5" customHeight="1">
      <c r="B802" s="86"/>
      <c r="C802" s="58" t="s">
        <v>193</v>
      </c>
      <c r="D802" s="59">
        <v>86</v>
      </c>
      <c r="E802" s="60">
        <v>4.564998142152E-3</v>
      </c>
    </row>
    <row r="803" spans="2:5" s="64" customFormat="1" ht="14.5" customHeight="1">
      <c r="B803" s="86"/>
      <c r="C803" s="58" t="s">
        <v>207</v>
      </c>
      <c r="D803" s="59">
        <v>1</v>
      </c>
      <c r="E803" s="60">
        <v>5.3081373745999998E-5</v>
      </c>
    </row>
    <row r="804" spans="2:5" s="64" customFormat="1" ht="14.5" customHeight="1">
      <c r="B804" s="86"/>
      <c r="C804" s="58" t="s">
        <v>194</v>
      </c>
      <c r="D804" s="59">
        <v>2</v>
      </c>
      <c r="E804" s="60">
        <v>1.06162747492E-4</v>
      </c>
    </row>
    <row r="805" spans="2:5" s="64" customFormat="1" ht="14.5" customHeight="1">
      <c r="B805" s="86"/>
      <c r="C805" s="58" t="s">
        <v>195</v>
      </c>
      <c r="D805" s="59">
        <v>24</v>
      </c>
      <c r="E805" s="60">
        <v>1.273952969903E-3</v>
      </c>
    </row>
    <row r="806" spans="2:5" s="64" customFormat="1" ht="14.5" customHeight="1">
      <c r="B806" s="86"/>
      <c r="C806" s="58" t="s">
        <v>196</v>
      </c>
      <c r="D806" s="59">
        <v>14</v>
      </c>
      <c r="E806" s="60">
        <v>7.4313923244300004E-4</v>
      </c>
    </row>
    <row r="807" spans="2:5" s="64" customFormat="1" ht="14.5" customHeight="1">
      <c r="B807" s="86"/>
      <c r="C807" s="58" t="s">
        <v>197</v>
      </c>
      <c r="D807" s="59">
        <v>7</v>
      </c>
      <c r="E807" s="60">
        <v>3.71569616222E-4</v>
      </c>
    </row>
    <row r="808" spans="2:5" s="64" customFormat="1" ht="14.5" customHeight="1">
      <c r="B808" s="86"/>
      <c r="C808" s="58" t="s">
        <v>198</v>
      </c>
      <c r="D808" s="59">
        <v>3</v>
      </c>
      <c r="E808" s="60">
        <v>1.5924412123800001E-4</v>
      </c>
    </row>
    <row r="809" spans="2:5" s="64" customFormat="1" ht="14.5" customHeight="1">
      <c r="B809" s="86"/>
      <c r="C809" s="58" t="s">
        <v>211</v>
      </c>
      <c r="D809" s="59">
        <v>6</v>
      </c>
      <c r="E809" s="60">
        <v>3.1848824247600002E-4</v>
      </c>
    </row>
    <row r="810" spans="2:5" s="64" customFormat="1" ht="14.5" customHeight="1">
      <c r="B810" s="86"/>
      <c r="C810" s="58" t="s">
        <v>213</v>
      </c>
      <c r="D810" s="59">
        <v>14</v>
      </c>
      <c r="E810" s="60">
        <v>7.4313923244300004E-4</v>
      </c>
    </row>
    <row r="811" spans="2:5" s="64" customFormat="1" ht="14.5" customHeight="1">
      <c r="B811" s="86"/>
      <c r="C811" s="58" t="s">
        <v>214</v>
      </c>
      <c r="D811" s="59">
        <v>1</v>
      </c>
      <c r="E811" s="60">
        <v>5.3081373745999998E-5</v>
      </c>
    </row>
    <row r="812" spans="2:5" s="64" customFormat="1" ht="14.5" customHeight="1">
      <c r="B812" s="86"/>
      <c r="C812" s="58" t="s">
        <v>215</v>
      </c>
      <c r="D812" s="59">
        <v>2</v>
      </c>
      <c r="E812" s="60">
        <v>1.06162747492E-4</v>
      </c>
    </row>
    <row r="813" spans="2:5" s="64" customFormat="1" ht="14.5" customHeight="1">
      <c r="B813" s="86"/>
      <c r="C813" s="58" t="s">
        <v>216</v>
      </c>
      <c r="D813" s="59">
        <v>1</v>
      </c>
      <c r="E813" s="60">
        <v>5.3081373745999998E-5</v>
      </c>
    </row>
    <row r="814" spans="2:5" s="64" customFormat="1" ht="14.5" customHeight="1">
      <c r="B814" s="86"/>
      <c r="C814" s="58" t="s">
        <v>218</v>
      </c>
      <c r="D814" s="59">
        <v>2</v>
      </c>
      <c r="E814" s="60">
        <v>1.06162747492E-4</v>
      </c>
    </row>
    <row r="815" spans="2:5" s="64" customFormat="1" ht="14.5" customHeight="1">
      <c r="B815" s="86"/>
      <c r="C815" s="58" t="s">
        <v>219</v>
      </c>
      <c r="D815" s="59">
        <v>2</v>
      </c>
      <c r="E815" s="60">
        <v>1.06162747492E-4</v>
      </c>
    </row>
    <row r="816" spans="2:5" s="64" customFormat="1" ht="14.5" customHeight="1">
      <c r="B816" s="86"/>
      <c r="C816" s="58" t="s">
        <v>200</v>
      </c>
      <c r="D816" s="59">
        <v>3</v>
      </c>
      <c r="E816" s="60">
        <v>1.5924412123800001E-4</v>
      </c>
    </row>
    <row r="817" spans="2:5" s="64" customFormat="1" ht="14.5" customHeight="1">
      <c r="B817" s="86"/>
      <c r="C817" s="58" t="s">
        <v>201</v>
      </c>
      <c r="D817" s="59">
        <v>1</v>
      </c>
      <c r="E817" s="60">
        <v>5.3081373745999998E-5</v>
      </c>
    </row>
    <row r="818" spans="2:5" s="64" customFormat="1" ht="14.5" customHeight="1">
      <c r="B818" s="86"/>
      <c r="C818" s="58" t="s">
        <v>220</v>
      </c>
      <c r="D818" s="59">
        <v>1</v>
      </c>
      <c r="E818" s="60">
        <v>5.3081373745999998E-5</v>
      </c>
    </row>
    <row r="819" spans="2:5" s="64" customFormat="1" ht="14.5" customHeight="1">
      <c r="B819" s="86"/>
      <c r="C819" s="58" t="s">
        <v>221</v>
      </c>
      <c r="D819" s="59">
        <v>2</v>
      </c>
      <c r="E819" s="60">
        <v>1.06162747492E-4</v>
      </c>
    </row>
    <row r="820" spans="2:5" s="64" customFormat="1" ht="14.5" customHeight="1">
      <c r="B820" s="86"/>
      <c r="C820" s="58" t="s">
        <v>222</v>
      </c>
      <c r="D820" s="59">
        <v>1</v>
      </c>
      <c r="E820" s="60">
        <v>5.3081373745999998E-5</v>
      </c>
    </row>
    <row r="821" spans="2:5" s="64" customFormat="1" ht="14.5" customHeight="1">
      <c r="B821" s="86"/>
      <c r="C821" s="58" t="s">
        <v>224</v>
      </c>
      <c r="D821" s="59">
        <v>1</v>
      </c>
      <c r="E821" s="60">
        <v>5.3081373745999998E-5</v>
      </c>
    </row>
    <row r="822" spans="2:5" s="64" customFormat="1" ht="14.5" customHeight="1">
      <c r="B822" s="86"/>
      <c r="C822" s="58" t="s">
        <v>202</v>
      </c>
      <c r="D822" s="59">
        <v>1</v>
      </c>
      <c r="E822" s="60">
        <v>5.3081373745999998E-5</v>
      </c>
    </row>
    <row r="823" spans="2:5" s="64" customFormat="1" ht="14.5" customHeight="1">
      <c r="B823" s="86"/>
      <c r="C823" s="58" t="s">
        <v>203</v>
      </c>
      <c r="D823" s="59">
        <v>1</v>
      </c>
      <c r="E823" s="60">
        <v>5.3081373745999998E-5</v>
      </c>
    </row>
    <row r="824" spans="2:5" s="64" customFormat="1" ht="14.5" customHeight="1">
      <c r="B824" s="86"/>
      <c r="C824" s="58" t="s">
        <v>229</v>
      </c>
      <c r="D824" s="59">
        <v>4</v>
      </c>
      <c r="E824" s="60">
        <v>2.1232549498399999E-4</v>
      </c>
    </row>
    <row r="825" spans="2:5" s="64" customFormat="1" ht="14.5" customHeight="1">
      <c r="B825" s="86"/>
      <c r="C825" s="58" t="s">
        <v>231</v>
      </c>
      <c r="D825" s="59">
        <v>9</v>
      </c>
      <c r="E825" s="60">
        <v>4.7773236371400003E-4</v>
      </c>
    </row>
    <row r="826" spans="2:5" s="64" customFormat="1" ht="14.5" customHeight="1">
      <c r="B826" s="87"/>
      <c r="C826" s="35" t="s">
        <v>28</v>
      </c>
      <c r="D826" s="34">
        <v>204</v>
      </c>
      <c r="E826" s="33">
        <v>1.0828600244173999E-2</v>
      </c>
    </row>
    <row r="827" spans="2:5" s="64" customFormat="1" ht="14.5" customHeight="1">
      <c r="B827" s="85" t="s">
        <v>90</v>
      </c>
      <c r="C827" s="58" t="s">
        <v>204</v>
      </c>
      <c r="D827" s="59">
        <v>415</v>
      </c>
      <c r="E827" s="60">
        <v>2.2028770104570002E-2</v>
      </c>
    </row>
    <row r="828" spans="2:5" s="64" customFormat="1" ht="14.5" customHeight="1">
      <c r="B828" s="86"/>
      <c r="C828" s="58" t="s">
        <v>205</v>
      </c>
      <c r="D828" s="59">
        <v>2</v>
      </c>
      <c r="E828" s="60">
        <v>1.06162747492E-4</v>
      </c>
    </row>
    <row r="829" spans="2:5" s="64" customFormat="1" ht="14.5" customHeight="1">
      <c r="B829" s="86"/>
      <c r="C829" s="58" t="s">
        <v>206</v>
      </c>
      <c r="D829" s="59">
        <v>33</v>
      </c>
      <c r="E829" s="60">
        <v>1.7516853336160001E-3</v>
      </c>
    </row>
    <row r="830" spans="2:5" s="64" customFormat="1" ht="14.5" customHeight="1">
      <c r="B830" s="86"/>
      <c r="C830" s="58" t="s">
        <v>192</v>
      </c>
      <c r="D830" s="59">
        <v>187</v>
      </c>
      <c r="E830" s="60">
        <v>9.9262168904930004E-3</v>
      </c>
    </row>
    <row r="831" spans="2:5" s="64" customFormat="1" ht="14.5" customHeight="1">
      <c r="B831" s="86"/>
      <c r="C831" s="58" t="s">
        <v>193</v>
      </c>
      <c r="D831" s="59">
        <v>1024</v>
      </c>
      <c r="E831" s="60">
        <v>5.4355326715855003E-2</v>
      </c>
    </row>
    <row r="832" spans="2:5" s="64" customFormat="1" ht="14.5" customHeight="1">
      <c r="B832" s="86"/>
      <c r="C832" s="58" t="s">
        <v>207</v>
      </c>
      <c r="D832" s="59">
        <v>36</v>
      </c>
      <c r="E832" s="60">
        <v>1.910929454854E-3</v>
      </c>
    </row>
    <row r="833" spans="2:5" s="64" customFormat="1" ht="14.5" customHeight="1">
      <c r="B833" s="86"/>
      <c r="C833" s="58" t="s">
        <v>194</v>
      </c>
      <c r="D833" s="59">
        <v>72</v>
      </c>
      <c r="E833" s="60">
        <v>3.821858909709E-3</v>
      </c>
    </row>
    <row r="834" spans="2:5" s="64" customFormat="1" ht="14.5" customHeight="1">
      <c r="B834" s="86"/>
      <c r="C834" s="58" t="s">
        <v>195</v>
      </c>
      <c r="D834" s="59">
        <v>404</v>
      </c>
      <c r="E834" s="60">
        <v>2.1444874993365001E-2</v>
      </c>
    </row>
    <row r="835" spans="2:5" s="64" customFormat="1" ht="14.5" customHeight="1">
      <c r="B835" s="86"/>
      <c r="C835" s="58" t="s">
        <v>208</v>
      </c>
      <c r="D835" s="59">
        <v>30</v>
      </c>
      <c r="E835" s="60">
        <v>1.592441212379E-3</v>
      </c>
    </row>
    <row r="836" spans="2:5" s="64" customFormat="1" ht="14.5" customHeight="1">
      <c r="B836" s="86"/>
      <c r="C836" s="58" t="s">
        <v>196</v>
      </c>
      <c r="D836" s="59">
        <v>518</v>
      </c>
      <c r="E836" s="60">
        <v>2.7496151600403002E-2</v>
      </c>
    </row>
    <row r="837" spans="2:5" s="64" customFormat="1" ht="14.5" customHeight="1">
      <c r="B837" s="86"/>
      <c r="C837" s="58" t="s">
        <v>209</v>
      </c>
      <c r="D837" s="59">
        <v>20</v>
      </c>
      <c r="E837" s="60">
        <v>1.0616274749190001E-3</v>
      </c>
    </row>
    <row r="838" spans="2:5" s="64" customFormat="1" ht="14.5" customHeight="1">
      <c r="B838" s="86"/>
      <c r="C838" s="58" t="s">
        <v>210</v>
      </c>
      <c r="D838" s="59">
        <v>33</v>
      </c>
      <c r="E838" s="60">
        <v>1.7516853336160001E-3</v>
      </c>
    </row>
    <row r="839" spans="2:5" s="64" customFormat="1" ht="14.5" customHeight="1">
      <c r="B839" s="86"/>
      <c r="C839" s="58" t="s">
        <v>197</v>
      </c>
      <c r="D839" s="59">
        <v>279</v>
      </c>
      <c r="E839" s="60">
        <v>1.4809703275120999E-2</v>
      </c>
    </row>
    <row r="840" spans="2:5" s="64" customFormat="1" ht="14.5" customHeight="1">
      <c r="B840" s="86"/>
      <c r="C840" s="58" t="s">
        <v>198</v>
      </c>
      <c r="D840" s="59">
        <v>106</v>
      </c>
      <c r="E840" s="60">
        <v>5.6266256170709999E-3</v>
      </c>
    </row>
    <row r="841" spans="2:5" s="64" customFormat="1" ht="14.5" customHeight="1">
      <c r="B841" s="86"/>
      <c r="C841" s="58" t="s">
        <v>199</v>
      </c>
      <c r="D841" s="59">
        <v>20</v>
      </c>
      <c r="E841" s="60">
        <v>1.0616274749190001E-3</v>
      </c>
    </row>
    <row r="842" spans="2:5" s="64" customFormat="1" ht="14.5" customHeight="1">
      <c r="B842" s="86"/>
      <c r="C842" s="58" t="s">
        <v>211</v>
      </c>
      <c r="D842" s="59">
        <v>127</v>
      </c>
      <c r="E842" s="60">
        <v>6.741334465736E-3</v>
      </c>
    </row>
    <row r="843" spans="2:5" s="64" customFormat="1" ht="14.5" customHeight="1">
      <c r="B843" s="86"/>
      <c r="C843" s="58" t="s">
        <v>212</v>
      </c>
      <c r="D843" s="59">
        <v>3</v>
      </c>
      <c r="E843" s="60">
        <v>1.5924412123800001E-4</v>
      </c>
    </row>
    <row r="844" spans="2:5" s="64" customFormat="1" ht="14.5" customHeight="1">
      <c r="B844" s="86"/>
      <c r="C844" s="58" t="s">
        <v>213</v>
      </c>
      <c r="D844" s="59">
        <v>107</v>
      </c>
      <c r="E844" s="60">
        <v>5.6797069908170001E-3</v>
      </c>
    </row>
    <row r="845" spans="2:5" s="64" customFormat="1" ht="14.5" customHeight="1">
      <c r="B845" s="86"/>
      <c r="C845" s="58" t="s">
        <v>214</v>
      </c>
      <c r="D845" s="59">
        <v>100</v>
      </c>
      <c r="E845" s="60">
        <v>5.3081373745950001E-3</v>
      </c>
    </row>
    <row r="846" spans="2:5" s="64" customFormat="1" ht="14.5" customHeight="1">
      <c r="B846" s="86"/>
      <c r="C846" s="58" t="s">
        <v>215</v>
      </c>
      <c r="D846" s="59">
        <v>36</v>
      </c>
      <c r="E846" s="60">
        <v>1.910929454854E-3</v>
      </c>
    </row>
    <row r="847" spans="2:5" s="64" customFormat="1" ht="14.5" customHeight="1">
      <c r="B847" s="86"/>
      <c r="C847" s="58" t="s">
        <v>216</v>
      </c>
      <c r="D847" s="59">
        <v>5</v>
      </c>
      <c r="E847" s="60">
        <v>2.6540686872999998E-4</v>
      </c>
    </row>
    <row r="848" spans="2:5" s="64" customFormat="1" ht="14.5" customHeight="1">
      <c r="B848" s="86"/>
      <c r="C848" s="58" t="s">
        <v>217</v>
      </c>
      <c r="D848" s="59">
        <v>79</v>
      </c>
      <c r="E848" s="60">
        <v>4.19342852593E-3</v>
      </c>
    </row>
    <row r="849" spans="2:5" s="64" customFormat="1" ht="14.5" customHeight="1">
      <c r="B849" s="86"/>
      <c r="C849" s="58" t="s">
        <v>218</v>
      </c>
      <c r="D849" s="59">
        <v>147</v>
      </c>
      <c r="E849" s="60">
        <v>7.8029619406549998E-3</v>
      </c>
    </row>
    <row r="850" spans="2:5" s="64" customFormat="1" ht="14.5" customHeight="1">
      <c r="B850" s="86"/>
      <c r="C850" s="58" t="s">
        <v>219</v>
      </c>
      <c r="D850" s="59">
        <v>17</v>
      </c>
      <c r="E850" s="60">
        <v>9.0238335368100005E-4</v>
      </c>
    </row>
    <row r="851" spans="2:5" s="64" customFormat="1" ht="14.5" customHeight="1">
      <c r="B851" s="86"/>
      <c r="C851" s="58" t="s">
        <v>200</v>
      </c>
      <c r="D851" s="59">
        <v>212</v>
      </c>
      <c r="E851" s="60">
        <v>1.1253251234142E-2</v>
      </c>
    </row>
    <row r="852" spans="2:5" s="64" customFormat="1" ht="14.5" customHeight="1">
      <c r="B852" s="86"/>
      <c r="C852" s="58" t="s">
        <v>201</v>
      </c>
      <c r="D852" s="59">
        <v>97</v>
      </c>
      <c r="E852" s="60">
        <v>5.1488932533570002E-3</v>
      </c>
    </row>
    <row r="853" spans="2:5" s="64" customFormat="1" ht="14.5" customHeight="1">
      <c r="B853" s="86"/>
      <c r="C853" s="58" t="s">
        <v>220</v>
      </c>
      <c r="D853" s="59">
        <v>26</v>
      </c>
      <c r="E853" s="60">
        <v>1.3801157173950001E-3</v>
      </c>
    </row>
    <row r="854" spans="2:5" s="64" customFormat="1" ht="14.5" customHeight="1">
      <c r="B854" s="86"/>
      <c r="C854" s="58" t="s">
        <v>221</v>
      </c>
      <c r="D854" s="59">
        <v>28</v>
      </c>
      <c r="E854" s="60">
        <v>1.4862784648869999E-3</v>
      </c>
    </row>
    <row r="855" spans="2:5" s="64" customFormat="1" ht="14.5" customHeight="1">
      <c r="B855" s="86"/>
      <c r="C855" s="58" t="s">
        <v>222</v>
      </c>
      <c r="D855" s="59">
        <v>178</v>
      </c>
      <c r="E855" s="60">
        <v>9.4484845267799999E-3</v>
      </c>
    </row>
    <row r="856" spans="2:5" s="64" customFormat="1" ht="14.5" customHeight="1">
      <c r="B856" s="86"/>
      <c r="C856" s="58" t="s">
        <v>223</v>
      </c>
      <c r="D856" s="59">
        <v>285</v>
      </c>
      <c r="E856" s="60">
        <v>1.5128191517596E-2</v>
      </c>
    </row>
    <row r="857" spans="2:5" s="64" customFormat="1" ht="14.5" customHeight="1">
      <c r="B857" s="86"/>
      <c r="C857" s="58" t="s">
        <v>224</v>
      </c>
      <c r="D857" s="59">
        <v>20</v>
      </c>
      <c r="E857" s="60">
        <v>1.0616274749190001E-3</v>
      </c>
    </row>
    <row r="858" spans="2:5" s="64" customFormat="1" ht="14.5" customHeight="1">
      <c r="B858" s="86"/>
      <c r="C858" s="58" t="s">
        <v>225</v>
      </c>
      <c r="D858" s="59">
        <v>15</v>
      </c>
      <c r="E858" s="60">
        <v>7.9622060618899997E-4</v>
      </c>
    </row>
    <row r="859" spans="2:5" s="64" customFormat="1" ht="14.5" customHeight="1">
      <c r="B859" s="86"/>
      <c r="C859" s="58" t="s">
        <v>202</v>
      </c>
      <c r="D859" s="59">
        <v>83</v>
      </c>
      <c r="E859" s="60">
        <v>4.4057540209140001E-3</v>
      </c>
    </row>
    <row r="860" spans="2:5" s="64" customFormat="1" ht="14.5" customHeight="1">
      <c r="B860" s="86"/>
      <c r="C860" s="58" t="s">
        <v>203</v>
      </c>
      <c r="D860" s="59">
        <v>97</v>
      </c>
      <c r="E860" s="60">
        <v>5.1488932533570002E-3</v>
      </c>
    </row>
    <row r="861" spans="2:5" s="64" customFormat="1" ht="14.5" customHeight="1">
      <c r="B861" s="86"/>
      <c r="C861" s="58" t="s">
        <v>226</v>
      </c>
      <c r="D861" s="59">
        <v>116</v>
      </c>
      <c r="E861" s="60">
        <v>6.1574393545299998E-3</v>
      </c>
    </row>
    <row r="862" spans="2:5" s="64" customFormat="1" ht="14.5" customHeight="1">
      <c r="B862" s="86"/>
      <c r="C862" s="58" t="s">
        <v>227</v>
      </c>
      <c r="D862" s="59">
        <v>7</v>
      </c>
      <c r="E862" s="60">
        <v>3.71569616222E-4</v>
      </c>
    </row>
    <row r="863" spans="2:5" s="64" customFormat="1" ht="14.5" customHeight="1">
      <c r="B863" s="86"/>
      <c r="C863" s="58" t="s">
        <v>228</v>
      </c>
      <c r="D863" s="59">
        <v>19</v>
      </c>
      <c r="E863" s="60">
        <v>1.008546101173E-3</v>
      </c>
    </row>
    <row r="864" spans="2:5" s="64" customFormat="1" ht="14.5" customHeight="1">
      <c r="B864" s="86"/>
      <c r="C864" s="58" t="s">
        <v>229</v>
      </c>
      <c r="D864" s="59">
        <v>114</v>
      </c>
      <c r="E864" s="60">
        <v>6.0512766070390002E-3</v>
      </c>
    </row>
    <row r="865" spans="2:5" s="64" customFormat="1" ht="14.5" customHeight="1">
      <c r="B865" s="86"/>
      <c r="C865" s="58" t="s">
        <v>230</v>
      </c>
      <c r="D865" s="59">
        <v>5</v>
      </c>
      <c r="E865" s="60">
        <v>2.6540686872999998E-4</v>
      </c>
    </row>
    <row r="866" spans="2:5" s="64" customFormat="1" ht="14.5" customHeight="1">
      <c r="B866" s="86"/>
      <c r="C866" s="58" t="s">
        <v>231</v>
      </c>
      <c r="D866" s="59">
        <v>294</v>
      </c>
      <c r="E866" s="60">
        <v>1.560592388131E-2</v>
      </c>
    </row>
    <row r="867" spans="2:5" s="64" customFormat="1" ht="14.5" customHeight="1">
      <c r="B867" s="87"/>
      <c r="C867" s="35" t="s">
        <v>28</v>
      </c>
      <c r="D867" s="34">
        <v>5396</v>
      </c>
      <c r="E867" s="33">
        <v>0.28642709273316003</v>
      </c>
    </row>
    <row r="868" spans="2:5" s="64" customFormat="1" ht="14.5" customHeight="1">
      <c r="B868" s="85" t="s">
        <v>91</v>
      </c>
      <c r="C868" s="58" t="s">
        <v>204</v>
      </c>
      <c r="D868" s="59">
        <v>10</v>
      </c>
      <c r="E868" s="60">
        <v>5.3081373745999996E-4</v>
      </c>
    </row>
    <row r="869" spans="2:5" s="64" customFormat="1" ht="14.5" customHeight="1">
      <c r="B869" s="86"/>
      <c r="C869" s="58" t="s">
        <v>206</v>
      </c>
      <c r="D869" s="59">
        <v>1</v>
      </c>
      <c r="E869" s="60">
        <v>5.3081373745999998E-5</v>
      </c>
    </row>
    <row r="870" spans="2:5" s="64" customFormat="1" ht="14.5" customHeight="1">
      <c r="B870" s="86"/>
      <c r="C870" s="58" t="s">
        <v>192</v>
      </c>
      <c r="D870" s="59">
        <v>3</v>
      </c>
      <c r="E870" s="60">
        <v>1.5924412123800001E-4</v>
      </c>
    </row>
    <row r="871" spans="2:5" s="64" customFormat="1" ht="14.5" customHeight="1">
      <c r="B871" s="86"/>
      <c r="C871" s="58" t="s">
        <v>193</v>
      </c>
      <c r="D871" s="59">
        <v>22</v>
      </c>
      <c r="E871" s="60">
        <v>1.1677902224109999E-3</v>
      </c>
    </row>
    <row r="872" spans="2:5" s="64" customFormat="1" ht="14.5" customHeight="1">
      <c r="B872" s="86"/>
      <c r="C872" s="58" t="s">
        <v>195</v>
      </c>
      <c r="D872" s="59">
        <v>5</v>
      </c>
      <c r="E872" s="60">
        <v>2.6540686872999998E-4</v>
      </c>
    </row>
    <row r="873" spans="2:5" s="64" customFormat="1" ht="14.5" customHeight="1">
      <c r="B873" s="86"/>
      <c r="C873" s="58" t="s">
        <v>196</v>
      </c>
      <c r="D873" s="59">
        <v>6</v>
      </c>
      <c r="E873" s="60">
        <v>3.1848824247600002E-4</v>
      </c>
    </row>
    <row r="874" spans="2:5" s="64" customFormat="1" ht="14.5" customHeight="1">
      <c r="B874" s="86"/>
      <c r="C874" s="58" t="s">
        <v>209</v>
      </c>
      <c r="D874" s="59">
        <v>1</v>
      </c>
      <c r="E874" s="60">
        <v>5.3081373745999998E-5</v>
      </c>
    </row>
    <row r="875" spans="2:5" s="64" customFormat="1" ht="14.5" customHeight="1">
      <c r="B875" s="86"/>
      <c r="C875" s="58" t="s">
        <v>197</v>
      </c>
      <c r="D875" s="59">
        <v>2</v>
      </c>
      <c r="E875" s="60">
        <v>1.06162747492E-4</v>
      </c>
    </row>
    <row r="876" spans="2:5" s="64" customFormat="1" ht="14.5" customHeight="1">
      <c r="B876" s="86"/>
      <c r="C876" s="58" t="s">
        <v>198</v>
      </c>
      <c r="D876" s="59">
        <v>2</v>
      </c>
      <c r="E876" s="60">
        <v>1.06162747492E-4</v>
      </c>
    </row>
    <row r="877" spans="2:5" s="64" customFormat="1" ht="14.5" customHeight="1">
      <c r="B877" s="86"/>
      <c r="C877" s="58" t="s">
        <v>199</v>
      </c>
      <c r="D877" s="59">
        <v>2</v>
      </c>
      <c r="E877" s="60">
        <v>1.06162747492E-4</v>
      </c>
    </row>
    <row r="878" spans="2:5" s="64" customFormat="1" ht="14.5" customHeight="1">
      <c r="B878" s="86"/>
      <c r="C878" s="58" t="s">
        <v>213</v>
      </c>
      <c r="D878" s="59">
        <v>1</v>
      </c>
      <c r="E878" s="60">
        <v>5.3081373745999998E-5</v>
      </c>
    </row>
    <row r="879" spans="2:5" s="64" customFormat="1" ht="14.5" customHeight="1">
      <c r="B879" s="86"/>
      <c r="C879" s="58" t="s">
        <v>217</v>
      </c>
      <c r="D879" s="59">
        <v>1</v>
      </c>
      <c r="E879" s="60">
        <v>5.3081373745999998E-5</v>
      </c>
    </row>
    <row r="880" spans="2:5" s="64" customFormat="1" ht="14.5" customHeight="1">
      <c r="B880" s="86"/>
      <c r="C880" s="58" t="s">
        <v>218</v>
      </c>
      <c r="D880" s="59">
        <v>1</v>
      </c>
      <c r="E880" s="60">
        <v>5.3081373745999998E-5</v>
      </c>
    </row>
    <row r="881" spans="2:5" s="64" customFormat="1" ht="14.5" customHeight="1">
      <c r="B881" s="86"/>
      <c r="C881" s="58" t="s">
        <v>201</v>
      </c>
      <c r="D881" s="59">
        <v>1</v>
      </c>
      <c r="E881" s="60">
        <v>5.3081373745999998E-5</v>
      </c>
    </row>
    <row r="882" spans="2:5" s="64" customFormat="1" ht="14.5" customHeight="1">
      <c r="B882" s="86"/>
      <c r="C882" s="58" t="s">
        <v>221</v>
      </c>
      <c r="D882" s="59">
        <v>1</v>
      </c>
      <c r="E882" s="60">
        <v>5.3081373745999998E-5</v>
      </c>
    </row>
    <row r="883" spans="2:5" s="64" customFormat="1" ht="14.5" customHeight="1">
      <c r="B883" s="86"/>
      <c r="C883" s="58" t="s">
        <v>223</v>
      </c>
      <c r="D883" s="59">
        <v>1</v>
      </c>
      <c r="E883" s="60">
        <v>5.3081373745999998E-5</v>
      </c>
    </row>
    <row r="884" spans="2:5" s="64" customFormat="1" ht="14.5" customHeight="1">
      <c r="B884" s="86"/>
      <c r="C884" s="58" t="s">
        <v>203</v>
      </c>
      <c r="D884" s="59">
        <v>1</v>
      </c>
      <c r="E884" s="60">
        <v>5.3081373745999998E-5</v>
      </c>
    </row>
    <row r="885" spans="2:5" s="64" customFormat="1" ht="14.5" customHeight="1">
      <c r="B885" s="86"/>
      <c r="C885" s="58" t="s">
        <v>227</v>
      </c>
      <c r="D885" s="59">
        <v>2</v>
      </c>
      <c r="E885" s="60">
        <v>1.06162747492E-4</v>
      </c>
    </row>
    <row r="886" spans="2:5" s="64" customFormat="1" ht="14.5" customHeight="1">
      <c r="B886" s="86"/>
      <c r="C886" s="58" t="s">
        <v>230</v>
      </c>
      <c r="D886" s="59">
        <v>2</v>
      </c>
      <c r="E886" s="60">
        <v>1.06162747492E-4</v>
      </c>
    </row>
    <row r="887" spans="2:5" s="64" customFormat="1" ht="14.5" customHeight="1">
      <c r="B887" s="86"/>
      <c r="C887" s="58" t="s">
        <v>231</v>
      </c>
      <c r="D887" s="59">
        <v>4</v>
      </c>
      <c r="E887" s="60">
        <v>2.1232549498399999E-4</v>
      </c>
    </row>
    <row r="888" spans="2:5" s="64" customFormat="1" ht="14.5" customHeight="1">
      <c r="B888" s="87"/>
      <c r="C888" s="35" t="s">
        <v>28</v>
      </c>
      <c r="D888" s="34">
        <v>69</v>
      </c>
      <c r="E888" s="33">
        <v>3.6626147884710001E-3</v>
      </c>
    </row>
    <row r="889" spans="2:5" s="64" customFormat="1" ht="14.5" customHeight="1">
      <c r="B889" s="85" t="s">
        <v>92</v>
      </c>
      <c r="C889" s="58" t="s">
        <v>204</v>
      </c>
      <c r="D889" s="59">
        <v>3</v>
      </c>
      <c r="E889" s="60">
        <v>1.5924412123800001E-4</v>
      </c>
    </row>
    <row r="890" spans="2:5" s="64" customFormat="1" ht="14.5" customHeight="1">
      <c r="B890" s="86"/>
      <c r="C890" s="58" t="s">
        <v>192</v>
      </c>
      <c r="D890" s="59">
        <v>3</v>
      </c>
      <c r="E890" s="60">
        <v>1.5924412123800001E-4</v>
      </c>
    </row>
    <row r="891" spans="2:5" s="64" customFormat="1" ht="14.5" customHeight="1">
      <c r="B891" s="86"/>
      <c r="C891" s="58" t="s">
        <v>193</v>
      </c>
      <c r="D891" s="59">
        <v>6</v>
      </c>
      <c r="E891" s="60">
        <v>3.1848824247600002E-4</v>
      </c>
    </row>
    <row r="892" spans="2:5" s="64" customFormat="1" ht="14.5" customHeight="1">
      <c r="B892" s="86"/>
      <c r="C892" s="58" t="s">
        <v>195</v>
      </c>
      <c r="D892" s="59">
        <v>5</v>
      </c>
      <c r="E892" s="60">
        <v>2.6540686872999998E-4</v>
      </c>
    </row>
    <row r="893" spans="2:5" s="64" customFormat="1" ht="14.5" customHeight="1">
      <c r="B893" s="86"/>
      <c r="C893" s="58" t="s">
        <v>196</v>
      </c>
      <c r="D893" s="59">
        <v>4</v>
      </c>
      <c r="E893" s="60">
        <v>2.1232549498399999E-4</v>
      </c>
    </row>
    <row r="894" spans="2:5" s="64" customFormat="1" ht="14.5" customHeight="1">
      <c r="B894" s="86"/>
      <c r="C894" s="58" t="s">
        <v>197</v>
      </c>
      <c r="D894" s="59">
        <v>7</v>
      </c>
      <c r="E894" s="60">
        <v>3.71569616222E-4</v>
      </c>
    </row>
    <row r="895" spans="2:5" s="64" customFormat="1" ht="14.5" customHeight="1">
      <c r="B895" s="86"/>
      <c r="C895" s="58" t="s">
        <v>198</v>
      </c>
      <c r="D895" s="59">
        <v>2</v>
      </c>
      <c r="E895" s="60">
        <v>1.06162747492E-4</v>
      </c>
    </row>
    <row r="896" spans="2:5" s="64" customFormat="1" ht="14.5" customHeight="1">
      <c r="B896" s="86"/>
      <c r="C896" s="58" t="s">
        <v>199</v>
      </c>
      <c r="D896" s="59">
        <v>9</v>
      </c>
      <c r="E896" s="60">
        <v>4.7773236371400003E-4</v>
      </c>
    </row>
    <row r="897" spans="2:5" s="64" customFormat="1" ht="14.5" customHeight="1">
      <c r="B897" s="86"/>
      <c r="C897" s="58" t="s">
        <v>211</v>
      </c>
      <c r="D897" s="59">
        <v>2</v>
      </c>
      <c r="E897" s="60">
        <v>1.06162747492E-4</v>
      </c>
    </row>
    <row r="898" spans="2:5" s="64" customFormat="1" ht="14.5" customHeight="1">
      <c r="B898" s="86"/>
      <c r="C898" s="58" t="s">
        <v>218</v>
      </c>
      <c r="D898" s="59">
        <v>2</v>
      </c>
      <c r="E898" s="60">
        <v>1.06162747492E-4</v>
      </c>
    </row>
    <row r="899" spans="2:5" s="64" customFormat="1" ht="14.5" customHeight="1">
      <c r="B899" s="86"/>
      <c r="C899" s="58" t="s">
        <v>222</v>
      </c>
      <c r="D899" s="59">
        <v>1</v>
      </c>
      <c r="E899" s="60">
        <v>5.3081373745999998E-5</v>
      </c>
    </row>
    <row r="900" spans="2:5" s="64" customFormat="1" ht="14.5" customHeight="1">
      <c r="B900" s="86"/>
      <c r="C900" s="58" t="s">
        <v>203</v>
      </c>
      <c r="D900" s="59">
        <v>1</v>
      </c>
      <c r="E900" s="60">
        <v>5.3081373745999998E-5</v>
      </c>
    </row>
    <row r="901" spans="2:5" s="64" customFormat="1" ht="14.5" customHeight="1">
      <c r="B901" s="87"/>
      <c r="C901" s="35" t="s">
        <v>28</v>
      </c>
      <c r="D901" s="34">
        <v>45</v>
      </c>
      <c r="E901" s="33">
        <v>2.3886618185680001E-3</v>
      </c>
    </row>
    <row r="902" spans="2:5" s="64" customFormat="1" ht="14.5" customHeight="1">
      <c r="B902" s="85" t="s">
        <v>93</v>
      </c>
      <c r="C902" s="58" t="s">
        <v>204</v>
      </c>
      <c r="D902" s="59">
        <v>2</v>
      </c>
      <c r="E902" s="60">
        <v>1.06162747492E-4</v>
      </c>
    </row>
    <row r="903" spans="2:5" s="64" customFormat="1" ht="14.5" customHeight="1">
      <c r="B903" s="86"/>
      <c r="C903" s="58" t="s">
        <v>192</v>
      </c>
      <c r="D903" s="59">
        <v>1</v>
      </c>
      <c r="E903" s="60">
        <v>5.3081373745999998E-5</v>
      </c>
    </row>
    <row r="904" spans="2:5" s="64" customFormat="1" ht="14.5" customHeight="1">
      <c r="B904" s="86"/>
      <c r="C904" s="58" t="s">
        <v>193</v>
      </c>
      <c r="D904" s="59">
        <v>18</v>
      </c>
      <c r="E904" s="60">
        <v>9.5546472742699998E-4</v>
      </c>
    </row>
    <row r="905" spans="2:5" s="64" customFormat="1" ht="14.5" customHeight="1">
      <c r="B905" s="86"/>
      <c r="C905" s="58" t="s">
        <v>195</v>
      </c>
      <c r="D905" s="59">
        <v>3</v>
      </c>
      <c r="E905" s="60">
        <v>1.5924412123800001E-4</v>
      </c>
    </row>
    <row r="906" spans="2:5" s="64" customFormat="1" ht="14.5" customHeight="1">
      <c r="B906" s="86"/>
      <c r="C906" s="58" t="s">
        <v>196</v>
      </c>
      <c r="D906" s="59">
        <v>3</v>
      </c>
      <c r="E906" s="60">
        <v>1.5924412123800001E-4</v>
      </c>
    </row>
    <row r="907" spans="2:5" s="64" customFormat="1" ht="14.5" customHeight="1">
      <c r="B907" s="86"/>
      <c r="C907" s="58" t="s">
        <v>197</v>
      </c>
      <c r="D907" s="59">
        <v>2</v>
      </c>
      <c r="E907" s="60">
        <v>1.06162747492E-4</v>
      </c>
    </row>
    <row r="908" spans="2:5" s="64" customFormat="1" ht="14.5" customHeight="1">
      <c r="B908" s="86"/>
      <c r="C908" s="58" t="s">
        <v>199</v>
      </c>
      <c r="D908" s="59">
        <v>2</v>
      </c>
      <c r="E908" s="60">
        <v>1.06162747492E-4</v>
      </c>
    </row>
    <row r="909" spans="2:5" s="64" customFormat="1" ht="14.5" customHeight="1">
      <c r="B909" s="86"/>
      <c r="C909" s="58" t="s">
        <v>211</v>
      </c>
      <c r="D909" s="59">
        <v>1</v>
      </c>
      <c r="E909" s="60">
        <v>5.3081373745999998E-5</v>
      </c>
    </row>
    <row r="910" spans="2:5" s="64" customFormat="1" ht="14.5" customHeight="1">
      <c r="B910" s="86"/>
      <c r="C910" s="58" t="s">
        <v>218</v>
      </c>
      <c r="D910" s="59">
        <v>6</v>
      </c>
      <c r="E910" s="60">
        <v>3.1848824247600002E-4</v>
      </c>
    </row>
    <row r="911" spans="2:5" s="64" customFormat="1" ht="14.5" customHeight="1">
      <c r="B911" s="86"/>
      <c r="C911" s="58" t="s">
        <v>219</v>
      </c>
      <c r="D911" s="59">
        <v>2</v>
      </c>
      <c r="E911" s="60">
        <v>1.06162747492E-4</v>
      </c>
    </row>
    <row r="912" spans="2:5" s="64" customFormat="1" ht="14.5" customHeight="1">
      <c r="B912" s="86"/>
      <c r="C912" s="58" t="s">
        <v>200</v>
      </c>
      <c r="D912" s="59">
        <v>1</v>
      </c>
      <c r="E912" s="60">
        <v>5.3081373745999998E-5</v>
      </c>
    </row>
    <row r="913" spans="2:5" s="64" customFormat="1" ht="14.5" customHeight="1">
      <c r="B913" s="86"/>
      <c r="C913" s="58" t="s">
        <v>201</v>
      </c>
      <c r="D913" s="59">
        <v>1</v>
      </c>
      <c r="E913" s="60">
        <v>5.3081373745999998E-5</v>
      </c>
    </row>
    <row r="914" spans="2:5" s="64" customFormat="1" ht="14.5" customHeight="1">
      <c r="B914" s="86"/>
      <c r="C914" s="58" t="s">
        <v>221</v>
      </c>
      <c r="D914" s="59">
        <v>2</v>
      </c>
      <c r="E914" s="60">
        <v>1.06162747492E-4</v>
      </c>
    </row>
    <row r="915" spans="2:5" s="64" customFormat="1" ht="14.5" customHeight="1">
      <c r="B915" s="86"/>
      <c r="C915" s="58" t="s">
        <v>223</v>
      </c>
      <c r="D915" s="59">
        <v>8</v>
      </c>
      <c r="E915" s="60">
        <v>4.2465098996799999E-4</v>
      </c>
    </row>
    <row r="916" spans="2:5" s="64" customFormat="1" ht="14.5" customHeight="1">
      <c r="B916" s="86"/>
      <c r="C916" s="58" t="s">
        <v>203</v>
      </c>
      <c r="D916" s="59">
        <v>3</v>
      </c>
      <c r="E916" s="60">
        <v>1.5924412123800001E-4</v>
      </c>
    </row>
    <row r="917" spans="2:5" s="64" customFormat="1" ht="14.5" customHeight="1">
      <c r="B917" s="86"/>
      <c r="C917" s="58" t="s">
        <v>227</v>
      </c>
      <c r="D917" s="59">
        <v>2</v>
      </c>
      <c r="E917" s="60">
        <v>1.06162747492E-4</v>
      </c>
    </row>
    <row r="918" spans="2:5" s="64" customFormat="1" ht="14.5" customHeight="1">
      <c r="B918" s="86"/>
      <c r="C918" s="58" t="s">
        <v>228</v>
      </c>
      <c r="D918" s="59">
        <v>1</v>
      </c>
      <c r="E918" s="60">
        <v>5.3081373745999998E-5</v>
      </c>
    </row>
    <row r="919" spans="2:5" s="64" customFormat="1" ht="14.5" customHeight="1">
      <c r="B919" s="86"/>
      <c r="C919" s="58" t="s">
        <v>231</v>
      </c>
      <c r="D919" s="59">
        <v>1</v>
      </c>
      <c r="E919" s="60">
        <v>5.3081373745999998E-5</v>
      </c>
    </row>
    <row r="920" spans="2:5" s="64" customFormat="1" ht="14.5" customHeight="1">
      <c r="B920" s="87"/>
      <c r="C920" s="35" t="s">
        <v>28</v>
      </c>
      <c r="D920" s="34">
        <v>59</v>
      </c>
      <c r="E920" s="33">
        <v>3.1318010510110001E-3</v>
      </c>
    </row>
    <row r="921" spans="2:5" s="64" customFormat="1" ht="14.5" customHeight="1">
      <c r="B921" s="85" t="s">
        <v>94</v>
      </c>
      <c r="C921" s="58" t="s">
        <v>193</v>
      </c>
      <c r="D921" s="59">
        <v>1</v>
      </c>
      <c r="E921" s="60">
        <v>5.3081373745999998E-5</v>
      </c>
    </row>
    <row r="922" spans="2:5" s="64" customFormat="1" ht="14.5" customHeight="1">
      <c r="B922" s="87"/>
      <c r="C922" s="35" t="s">
        <v>28</v>
      </c>
      <c r="D922" s="34">
        <v>1</v>
      </c>
      <c r="E922" s="33">
        <v>5.3081373745999998E-5</v>
      </c>
    </row>
    <row r="923" spans="2:5" s="64" customFormat="1" ht="14.5" customHeight="1">
      <c r="B923" s="85" t="s">
        <v>95</v>
      </c>
      <c r="C923" s="58" t="s">
        <v>204</v>
      </c>
      <c r="D923" s="59">
        <v>18</v>
      </c>
      <c r="E923" s="60">
        <v>9.5546472742699998E-4</v>
      </c>
    </row>
    <row r="924" spans="2:5" s="64" customFormat="1" ht="14.5" customHeight="1">
      <c r="B924" s="86"/>
      <c r="C924" s="58" t="s">
        <v>206</v>
      </c>
      <c r="D924" s="59">
        <v>1</v>
      </c>
      <c r="E924" s="60">
        <v>5.3081373745999998E-5</v>
      </c>
    </row>
    <row r="925" spans="2:5" s="64" customFormat="1" ht="14.5" customHeight="1">
      <c r="B925" s="86"/>
      <c r="C925" s="58" t="s">
        <v>192</v>
      </c>
      <c r="D925" s="59">
        <v>5</v>
      </c>
      <c r="E925" s="60">
        <v>2.6540686872999998E-4</v>
      </c>
    </row>
    <row r="926" spans="2:5" s="64" customFormat="1" ht="14.5" customHeight="1">
      <c r="B926" s="86"/>
      <c r="C926" s="58" t="s">
        <v>193</v>
      </c>
      <c r="D926" s="59">
        <v>39</v>
      </c>
      <c r="E926" s="60">
        <v>2.0701735760919999E-3</v>
      </c>
    </row>
    <row r="927" spans="2:5" s="64" customFormat="1" ht="14.5" customHeight="1">
      <c r="B927" s="86"/>
      <c r="C927" s="58" t="s">
        <v>207</v>
      </c>
      <c r="D927" s="59">
        <v>2</v>
      </c>
      <c r="E927" s="60">
        <v>1.06162747492E-4</v>
      </c>
    </row>
    <row r="928" spans="2:5" s="64" customFormat="1" ht="14.5" customHeight="1">
      <c r="B928" s="86"/>
      <c r="C928" s="58" t="s">
        <v>195</v>
      </c>
      <c r="D928" s="59">
        <v>5</v>
      </c>
      <c r="E928" s="60">
        <v>2.6540686872999998E-4</v>
      </c>
    </row>
    <row r="929" spans="2:5" s="64" customFormat="1" ht="14.5" customHeight="1">
      <c r="B929" s="86"/>
      <c r="C929" s="58" t="s">
        <v>208</v>
      </c>
      <c r="D929" s="59">
        <v>5</v>
      </c>
      <c r="E929" s="60">
        <v>2.6540686872999998E-4</v>
      </c>
    </row>
    <row r="930" spans="2:5" s="64" customFormat="1" ht="14.5" customHeight="1">
      <c r="B930" s="86"/>
      <c r="C930" s="58" t="s">
        <v>196</v>
      </c>
      <c r="D930" s="59">
        <v>13</v>
      </c>
      <c r="E930" s="60">
        <v>6.90057858697E-4</v>
      </c>
    </row>
    <row r="931" spans="2:5" s="64" customFormat="1" ht="14.5" customHeight="1">
      <c r="B931" s="86"/>
      <c r="C931" s="58" t="s">
        <v>197</v>
      </c>
      <c r="D931" s="59">
        <v>4</v>
      </c>
      <c r="E931" s="60">
        <v>2.1232549498399999E-4</v>
      </c>
    </row>
    <row r="932" spans="2:5" s="64" customFormat="1" ht="14.5" customHeight="1">
      <c r="B932" s="86"/>
      <c r="C932" s="58" t="s">
        <v>198</v>
      </c>
      <c r="D932" s="59">
        <v>27</v>
      </c>
      <c r="E932" s="60">
        <v>1.4331970911409999E-3</v>
      </c>
    </row>
    <row r="933" spans="2:5" s="64" customFormat="1" ht="14.5" customHeight="1">
      <c r="B933" s="86"/>
      <c r="C933" s="58" t="s">
        <v>199</v>
      </c>
      <c r="D933" s="59">
        <v>2</v>
      </c>
      <c r="E933" s="60">
        <v>1.06162747492E-4</v>
      </c>
    </row>
    <row r="934" spans="2:5" s="64" customFormat="1" ht="14.5" customHeight="1">
      <c r="B934" s="86"/>
      <c r="C934" s="58" t="s">
        <v>211</v>
      </c>
      <c r="D934" s="59">
        <v>1</v>
      </c>
      <c r="E934" s="60">
        <v>5.3081373745999998E-5</v>
      </c>
    </row>
    <row r="935" spans="2:5" s="64" customFormat="1" ht="14.5" customHeight="1">
      <c r="B935" s="86"/>
      <c r="C935" s="58" t="s">
        <v>213</v>
      </c>
      <c r="D935" s="59">
        <v>4</v>
      </c>
      <c r="E935" s="60">
        <v>2.1232549498399999E-4</v>
      </c>
    </row>
    <row r="936" spans="2:5" s="64" customFormat="1" ht="14.5" customHeight="1">
      <c r="B936" s="86"/>
      <c r="C936" s="58" t="s">
        <v>214</v>
      </c>
      <c r="D936" s="59">
        <v>2</v>
      </c>
      <c r="E936" s="60">
        <v>1.06162747492E-4</v>
      </c>
    </row>
    <row r="937" spans="2:5" s="64" customFormat="1" ht="14.5" customHeight="1">
      <c r="B937" s="86"/>
      <c r="C937" s="58" t="s">
        <v>215</v>
      </c>
      <c r="D937" s="59">
        <v>1</v>
      </c>
      <c r="E937" s="60">
        <v>5.3081373745999998E-5</v>
      </c>
    </row>
    <row r="938" spans="2:5" s="64" customFormat="1" ht="14.5" customHeight="1">
      <c r="B938" s="86"/>
      <c r="C938" s="58" t="s">
        <v>216</v>
      </c>
      <c r="D938" s="59">
        <v>2</v>
      </c>
      <c r="E938" s="60">
        <v>1.06162747492E-4</v>
      </c>
    </row>
    <row r="939" spans="2:5" s="64" customFormat="1" ht="14.5" customHeight="1">
      <c r="B939" s="86"/>
      <c r="C939" s="58" t="s">
        <v>217</v>
      </c>
      <c r="D939" s="59">
        <v>1</v>
      </c>
      <c r="E939" s="60">
        <v>5.3081373745999998E-5</v>
      </c>
    </row>
    <row r="940" spans="2:5" s="64" customFormat="1" ht="14.5" customHeight="1">
      <c r="B940" s="86"/>
      <c r="C940" s="58" t="s">
        <v>218</v>
      </c>
      <c r="D940" s="59">
        <v>1</v>
      </c>
      <c r="E940" s="60">
        <v>5.3081373745999998E-5</v>
      </c>
    </row>
    <row r="941" spans="2:5" s="64" customFormat="1" ht="14.5" customHeight="1">
      <c r="B941" s="86"/>
      <c r="C941" s="58" t="s">
        <v>219</v>
      </c>
      <c r="D941" s="59">
        <v>1</v>
      </c>
      <c r="E941" s="60">
        <v>5.3081373745999998E-5</v>
      </c>
    </row>
    <row r="942" spans="2:5" s="64" customFormat="1" ht="14.5" customHeight="1">
      <c r="B942" s="86"/>
      <c r="C942" s="58" t="s">
        <v>223</v>
      </c>
      <c r="D942" s="59">
        <v>3</v>
      </c>
      <c r="E942" s="60">
        <v>1.5924412123800001E-4</v>
      </c>
    </row>
    <row r="943" spans="2:5" s="64" customFormat="1" ht="14.5" customHeight="1">
      <c r="B943" s="86"/>
      <c r="C943" s="58" t="s">
        <v>203</v>
      </c>
      <c r="D943" s="59">
        <v>24</v>
      </c>
      <c r="E943" s="60">
        <v>1.273952969903E-3</v>
      </c>
    </row>
    <row r="944" spans="2:5" s="64" customFormat="1" ht="14.5" customHeight="1">
      <c r="B944" s="86"/>
      <c r="C944" s="58" t="s">
        <v>227</v>
      </c>
      <c r="D944" s="59">
        <v>1</v>
      </c>
      <c r="E944" s="60">
        <v>5.3081373745999998E-5</v>
      </c>
    </row>
    <row r="945" spans="2:5" s="64" customFormat="1" ht="14.5" customHeight="1">
      <c r="B945" s="86"/>
      <c r="C945" s="58" t="s">
        <v>228</v>
      </c>
      <c r="D945" s="59">
        <v>8</v>
      </c>
      <c r="E945" s="60">
        <v>4.2465098996799999E-4</v>
      </c>
    </row>
    <row r="946" spans="2:5" s="64" customFormat="1" ht="14.5" customHeight="1">
      <c r="B946" s="86"/>
      <c r="C946" s="58" t="s">
        <v>229</v>
      </c>
      <c r="D946" s="59">
        <v>3</v>
      </c>
      <c r="E946" s="60">
        <v>1.5924412123800001E-4</v>
      </c>
    </row>
    <row r="947" spans="2:5" s="64" customFormat="1" ht="14.5" customHeight="1">
      <c r="B947" s="86"/>
      <c r="C947" s="58" t="s">
        <v>230</v>
      </c>
      <c r="D947" s="59">
        <v>5</v>
      </c>
      <c r="E947" s="60">
        <v>2.6540686872999998E-4</v>
      </c>
    </row>
    <row r="948" spans="2:5" s="64" customFormat="1" ht="14.5" customHeight="1">
      <c r="B948" s="86"/>
      <c r="C948" s="58" t="s">
        <v>231</v>
      </c>
      <c r="D948" s="59">
        <v>3</v>
      </c>
      <c r="E948" s="60">
        <v>1.5924412123800001E-4</v>
      </c>
    </row>
    <row r="949" spans="2:5" s="64" customFormat="1" ht="14.5" customHeight="1">
      <c r="B949" s="87"/>
      <c r="C949" s="35" t="s">
        <v>28</v>
      </c>
      <c r="D949" s="34">
        <v>181</v>
      </c>
      <c r="E949" s="33">
        <v>9.6077286480170006E-3</v>
      </c>
    </row>
    <row r="950" spans="2:5" s="64" customFormat="1" ht="14.5" customHeight="1">
      <c r="B950" s="85" t="s">
        <v>96</v>
      </c>
      <c r="C950" s="58" t="s">
        <v>192</v>
      </c>
      <c r="D950" s="59">
        <v>4</v>
      </c>
      <c r="E950" s="60">
        <v>2.1232549498399999E-4</v>
      </c>
    </row>
    <row r="951" spans="2:5" s="64" customFormat="1" ht="14.5" customHeight="1">
      <c r="B951" s="86"/>
      <c r="C951" s="58" t="s">
        <v>193</v>
      </c>
      <c r="D951" s="59">
        <v>13</v>
      </c>
      <c r="E951" s="60">
        <v>6.90057858697E-4</v>
      </c>
    </row>
    <row r="952" spans="2:5" s="64" customFormat="1" ht="14.5" customHeight="1">
      <c r="B952" s="86"/>
      <c r="C952" s="58" t="s">
        <v>194</v>
      </c>
      <c r="D952" s="59">
        <v>1</v>
      </c>
      <c r="E952" s="60">
        <v>5.3081373745999998E-5</v>
      </c>
    </row>
    <row r="953" spans="2:5" s="64" customFormat="1" ht="14.5" customHeight="1">
      <c r="B953" s="86"/>
      <c r="C953" s="58" t="s">
        <v>195</v>
      </c>
      <c r="D953" s="59">
        <v>1</v>
      </c>
      <c r="E953" s="60">
        <v>5.3081373745999998E-5</v>
      </c>
    </row>
    <row r="954" spans="2:5" s="64" customFormat="1" ht="14.5" customHeight="1">
      <c r="B954" s="86"/>
      <c r="C954" s="58" t="s">
        <v>196</v>
      </c>
      <c r="D954" s="59">
        <v>1</v>
      </c>
      <c r="E954" s="60">
        <v>5.3081373745999998E-5</v>
      </c>
    </row>
    <row r="955" spans="2:5" s="64" customFormat="1" ht="14.5" customHeight="1">
      <c r="B955" s="86"/>
      <c r="C955" s="58" t="s">
        <v>198</v>
      </c>
      <c r="D955" s="59">
        <v>1</v>
      </c>
      <c r="E955" s="60">
        <v>5.3081373745999998E-5</v>
      </c>
    </row>
    <row r="956" spans="2:5" s="64" customFormat="1" ht="14.5" customHeight="1">
      <c r="B956" s="86"/>
      <c r="C956" s="58" t="s">
        <v>199</v>
      </c>
      <c r="D956" s="59">
        <v>1</v>
      </c>
      <c r="E956" s="60">
        <v>5.3081373745999998E-5</v>
      </c>
    </row>
    <row r="957" spans="2:5" s="64" customFormat="1" ht="14.5" customHeight="1">
      <c r="B957" s="86"/>
      <c r="C957" s="58" t="s">
        <v>215</v>
      </c>
      <c r="D957" s="59">
        <v>1</v>
      </c>
      <c r="E957" s="60">
        <v>5.3081373745999998E-5</v>
      </c>
    </row>
    <row r="958" spans="2:5" s="64" customFormat="1" ht="14.5" customHeight="1">
      <c r="B958" s="86"/>
      <c r="C958" s="58" t="s">
        <v>216</v>
      </c>
      <c r="D958" s="59">
        <v>1</v>
      </c>
      <c r="E958" s="60">
        <v>5.3081373745999998E-5</v>
      </c>
    </row>
    <row r="959" spans="2:5" s="64" customFormat="1" ht="14.5" customHeight="1">
      <c r="B959" s="86"/>
      <c r="C959" s="58" t="s">
        <v>218</v>
      </c>
      <c r="D959" s="59">
        <v>4</v>
      </c>
      <c r="E959" s="60">
        <v>2.1232549498399999E-4</v>
      </c>
    </row>
    <row r="960" spans="2:5" s="64" customFormat="1" ht="14.5" customHeight="1">
      <c r="B960" s="86"/>
      <c r="C960" s="58" t="s">
        <v>219</v>
      </c>
      <c r="D960" s="59">
        <v>1</v>
      </c>
      <c r="E960" s="60">
        <v>5.3081373745999998E-5</v>
      </c>
    </row>
    <row r="961" spans="2:5" s="64" customFormat="1" ht="14.5" customHeight="1">
      <c r="B961" s="86"/>
      <c r="C961" s="58" t="s">
        <v>201</v>
      </c>
      <c r="D961" s="59">
        <v>2</v>
      </c>
      <c r="E961" s="60">
        <v>1.06162747492E-4</v>
      </c>
    </row>
    <row r="962" spans="2:5" s="64" customFormat="1" ht="14.5" customHeight="1">
      <c r="B962" s="86"/>
      <c r="C962" s="58" t="s">
        <v>220</v>
      </c>
      <c r="D962" s="59">
        <v>2</v>
      </c>
      <c r="E962" s="60">
        <v>1.06162747492E-4</v>
      </c>
    </row>
    <row r="963" spans="2:5" s="64" customFormat="1" ht="14.5" customHeight="1">
      <c r="B963" s="86"/>
      <c r="C963" s="58" t="s">
        <v>223</v>
      </c>
      <c r="D963" s="59">
        <v>1</v>
      </c>
      <c r="E963" s="60">
        <v>5.3081373745999998E-5</v>
      </c>
    </row>
    <row r="964" spans="2:5" s="64" customFormat="1" ht="14.5" customHeight="1">
      <c r="B964" s="86"/>
      <c r="C964" s="58" t="s">
        <v>225</v>
      </c>
      <c r="D964" s="59">
        <v>1</v>
      </c>
      <c r="E964" s="60">
        <v>5.3081373745999998E-5</v>
      </c>
    </row>
    <row r="965" spans="2:5" s="64" customFormat="1" ht="14.5" customHeight="1">
      <c r="B965" s="86"/>
      <c r="C965" s="58" t="s">
        <v>202</v>
      </c>
      <c r="D965" s="59">
        <v>1</v>
      </c>
      <c r="E965" s="60">
        <v>5.3081373745999998E-5</v>
      </c>
    </row>
    <row r="966" spans="2:5" s="64" customFormat="1" ht="14.5" customHeight="1">
      <c r="B966" s="86"/>
      <c r="C966" s="58" t="s">
        <v>231</v>
      </c>
      <c r="D966" s="59">
        <v>2</v>
      </c>
      <c r="E966" s="60">
        <v>1.06162747492E-4</v>
      </c>
    </row>
    <row r="967" spans="2:5" s="64" customFormat="1" ht="14.5" customHeight="1">
      <c r="B967" s="87"/>
      <c r="C967" s="35" t="s">
        <v>28</v>
      </c>
      <c r="D967" s="34">
        <v>38</v>
      </c>
      <c r="E967" s="33">
        <v>2.017092202346E-3</v>
      </c>
    </row>
    <row r="968" spans="2:5" s="64" customFormat="1" ht="14.5" customHeight="1">
      <c r="B968" s="89" t="s">
        <v>28</v>
      </c>
      <c r="C968" s="90"/>
      <c r="D968" s="56">
        <v>18839</v>
      </c>
      <c r="E968" s="57">
        <v>1</v>
      </c>
    </row>
    <row r="969" spans="2:5" s="64" customFormat="1" ht="14.5" customHeight="1"/>
    <row r="970" spans="2:5" s="64" customFormat="1" ht="14.5" customHeight="1">
      <c r="B970" s="15" t="s">
        <v>48</v>
      </c>
    </row>
    <row r="971" spans="2:5" s="64" customFormat="1" ht="14.5" customHeight="1">
      <c r="B971" s="17" t="s">
        <v>17</v>
      </c>
    </row>
    <row r="972" spans="2:5" s="64" customFormat="1" ht="14.5" customHeight="1">
      <c r="B972" s="16" t="s">
        <v>49</v>
      </c>
    </row>
    <row r="973" spans="2:5" s="64" customFormat="1" ht="14.5" customHeight="1">
      <c r="B973" s="15" t="s">
        <v>16</v>
      </c>
    </row>
    <row r="974" spans="2:5" s="64" customFormat="1" ht="14.5" customHeight="1">
      <c r="B974" s="15" t="s">
        <v>50</v>
      </c>
    </row>
  </sheetData>
  <mergeCells count="48">
    <mergeCell ref="B968:C968"/>
    <mergeCell ref="B827:B867"/>
    <mergeCell ref="B868:B888"/>
    <mergeCell ref="B889:B901"/>
    <mergeCell ref="B902:B920"/>
    <mergeCell ref="B921:B922"/>
    <mergeCell ref="B659:B667"/>
    <mergeCell ref="B668:B694"/>
    <mergeCell ref="B695:B699"/>
    <mergeCell ref="B923:B949"/>
    <mergeCell ref="B950:B967"/>
    <mergeCell ref="B10:B22"/>
    <mergeCell ref="B23:B63"/>
    <mergeCell ref="B64:B97"/>
    <mergeCell ref="B98:B138"/>
    <mergeCell ref="B139:B177"/>
    <mergeCell ref="B7:E8"/>
    <mergeCell ref="B700:B721"/>
    <mergeCell ref="B722:B761"/>
    <mergeCell ref="B762:B775"/>
    <mergeCell ref="B178:B180"/>
    <mergeCell ref="B181:B188"/>
    <mergeCell ref="B189:B222"/>
    <mergeCell ref="B223:B251"/>
    <mergeCell ref="B252:B253"/>
    <mergeCell ref="B423:B435"/>
    <mergeCell ref="B436:B443"/>
    <mergeCell ref="B444:B446"/>
    <mergeCell ref="B447:B472"/>
    <mergeCell ref="B473:B494"/>
    <mergeCell ref="B277:B316"/>
    <mergeCell ref="B317:B348"/>
    <mergeCell ref="B776:B780"/>
    <mergeCell ref="B781:B794"/>
    <mergeCell ref="B795:B798"/>
    <mergeCell ref="B799:B826"/>
    <mergeCell ref="B254:B276"/>
    <mergeCell ref="B349:B366"/>
    <mergeCell ref="B367:B405"/>
    <mergeCell ref="B406:B422"/>
    <mergeCell ref="B495:B505"/>
    <mergeCell ref="B539:B544"/>
    <mergeCell ref="B545:B568"/>
    <mergeCell ref="B569:B606"/>
    <mergeCell ref="B607:B608"/>
    <mergeCell ref="B506:B538"/>
    <mergeCell ref="B609:B619"/>
    <mergeCell ref="B620:B6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310"/>
  <sheetViews>
    <sheetView showGridLines="0" view="pageBreakPreview" topLeftCell="A67" zoomScale="85" zoomScaleNormal="100" zoomScaleSheetLayoutView="85" workbookViewId="0">
      <selection activeCell="E10" sqref="E10"/>
    </sheetView>
  </sheetViews>
  <sheetFormatPr baseColWidth="10" defaultColWidth="35" defaultRowHeight="15" customHeight="1"/>
  <cols>
    <col min="1" max="1" width="1" style="31" customWidth="1"/>
    <col min="2" max="2" width="22.81640625" style="32" customWidth="1"/>
    <col min="3" max="3" width="36.26953125" style="32" customWidth="1"/>
    <col min="4" max="4" width="14.26953125" style="32" customWidth="1"/>
    <col min="5" max="5" width="16.81640625" style="32" customWidth="1"/>
    <col min="6" max="16384" width="35" style="31"/>
  </cols>
  <sheetData>
    <row r="1" spans="1:5" s="40" customFormat="1" ht="12" customHeight="1">
      <c r="B1" s="42"/>
      <c r="C1" s="36"/>
      <c r="D1" s="36"/>
      <c r="E1" s="36"/>
    </row>
    <row r="2" spans="1:5" s="40" customFormat="1" ht="15" customHeight="1">
      <c r="C2" s="44"/>
    </row>
    <row r="3" spans="1:5" s="40" customFormat="1" ht="15" customHeight="1">
      <c r="C3" s="44"/>
    </row>
    <row r="4" spans="1:5" s="40" customFormat="1" ht="30" customHeight="1">
      <c r="C4" s="44"/>
      <c r="D4" s="43"/>
    </row>
    <row r="5" spans="1:5" s="40" customFormat="1" ht="15" customHeight="1">
      <c r="C5" s="44"/>
      <c r="D5" s="43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88"/>
      <c r="C7" s="88"/>
      <c r="D7" s="88"/>
      <c r="E7" s="88"/>
    </row>
    <row r="8" spans="1:5" s="40" customFormat="1" ht="33" customHeight="1">
      <c r="A8" s="41"/>
      <c r="B8" s="88"/>
      <c r="C8" s="88"/>
      <c r="D8" s="88"/>
      <c r="E8" s="88"/>
    </row>
    <row r="9" spans="1:5" s="24" customFormat="1" ht="40.5" customHeight="1">
      <c r="B9" s="37" t="s">
        <v>21</v>
      </c>
      <c r="C9" s="39" t="s">
        <v>23</v>
      </c>
      <c r="D9" s="38" t="s">
        <v>19</v>
      </c>
      <c r="E9" s="37" t="s">
        <v>18</v>
      </c>
    </row>
    <row r="10" spans="1:5" ht="14.5" customHeight="1">
      <c r="B10" s="85" t="s">
        <v>108</v>
      </c>
      <c r="C10" s="58" t="s">
        <v>204</v>
      </c>
      <c r="D10" s="59">
        <v>25</v>
      </c>
      <c r="E10" s="60">
        <v>1.327034343649E-3</v>
      </c>
    </row>
    <row r="11" spans="1:5" ht="14.5" customHeight="1">
      <c r="B11" s="86"/>
      <c r="C11" s="58" t="s">
        <v>205</v>
      </c>
      <c r="D11" s="59">
        <v>2</v>
      </c>
      <c r="E11" s="60">
        <v>1.06162747492E-4</v>
      </c>
    </row>
    <row r="12" spans="1:5" ht="14.5" customHeight="1">
      <c r="B12" s="86"/>
      <c r="C12" s="58" t="s">
        <v>206</v>
      </c>
      <c r="D12" s="59">
        <v>2</v>
      </c>
      <c r="E12" s="60">
        <v>1.06162747492E-4</v>
      </c>
    </row>
    <row r="13" spans="1:5" ht="14.5" customHeight="1">
      <c r="B13" s="86"/>
      <c r="C13" s="58" t="s">
        <v>192</v>
      </c>
      <c r="D13" s="59">
        <v>16</v>
      </c>
      <c r="E13" s="60">
        <v>8.4930197993500001E-4</v>
      </c>
    </row>
    <row r="14" spans="1:5" ht="14.5" customHeight="1">
      <c r="B14" s="86"/>
      <c r="C14" s="58" t="s">
        <v>193</v>
      </c>
      <c r="D14" s="59">
        <v>105</v>
      </c>
      <c r="E14" s="60">
        <v>5.5735442433249996E-3</v>
      </c>
    </row>
    <row r="15" spans="1:5" ht="14.5" customHeight="1">
      <c r="B15" s="86"/>
      <c r="C15" s="58" t="s">
        <v>207</v>
      </c>
      <c r="D15" s="59">
        <v>9</v>
      </c>
      <c r="E15" s="60">
        <v>4.7773236371400003E-4</v>
      </c>
    </row>
    <row r="16" spans="1:5" ht="14.5" customHeight="1">
      <c r="B16" s="86"/>
      <c r="C16" s="58" t="s">
        <v>194</v>
      </c>
      <c r="D16" s="59">
        <v>5</v>
      </c>
      <c r="E16" s="60">
        <v>2.6540686872999998E-4</v>
      </c>
    </row>
    <row r="17" spans="2:5" ht="14.5" customHeight="1">
      <c r="B17" s="86"/>
      <c r="C17" s="58" t="s">
        <v>195</v>
      </c>
      <c r="D17" s="59">
        <v>13</v>
      </c>
      <c r="E17" s="60">
        <v>6.90057858697E-4</v>
      </c>
    </row>
    <row r="18" spans="2:5" ht="14.5" customHeight="1">
      <c r="B18" s="86"/>
      <c r="C18" s="58" t="s">
        <v>208</v>
      </c>
      <c r="D18" s="59">
        <v>5</v>
      </c>
      <c r="E18" s="60">
        <v>2.6540686872999998E-4</v>
      </c>
    </row>
    <row r="19" spans="2:5" ht="14.5" customHeight="1">
      <c r="B19" s="86"/>
      <c r="C19" s="58" t="s">
        <v>196</v>
      </c>
      <c r="D19" s="59">
        <v>45</v>
      </c>
      <c r="E19" s="60">
        <v>2.3886618185680001E-3</v>
      </c>
    </row>
    <row r="20" spans="2:5" ht="14.5" customHeight="1">
      <c r="B20" s="86"/>
      <c r="C20" s="58" t="s">
        <v>209</v>
      </c>
      <c r="D20" s="59">
        <v>5</v>
      </c>
      <c r="E20" s="60">
        <v>2.6540686872999998E-4</v>
      </c>
    </row>
    <row r="21" spans="2:5" ht="14.5" customHeight="1">
      <c r="B21" s="86"/>
      <c r="C21" s="58" t="s">
        <v>210</v>
      </c>
      <c r="D21" s="59">
        <v>8</v>
      </c>
      <c r="E21" s="60">
        <v>4.2465098996799999E-4</v>
      </c>
    </row>
    <row r="22" spans="2:5" ht="14.5" customHeight="1">
      <c r="B22" s="86"/>
      <c r="C22" s="58" t="s">
        <v>197</v>
      </c>
      <c r="D22" s="59">
        <v>23</v>
      </c>
      <c r="E22" s="60">
        <v>1.220871596157E-3</v>
      </c>
    </row>
    <row r="23" spans="2:5" ht="14.5" customHeight="1">
      <c r="B23" s="86"/>
      <c r="C23" s="58" t="s">
        <v>198</v>
      </c>
      <c r="D23" s="59">
        <v>30</v>
      </c>
      <c r="E23" s="60">
        <v>1.592441212379E-3</v>
      </c>
    </row>
    <row r="24" spans="2:5" ht="14.5" customHeight="1">
      <c r="B24" s="86"/>
      <c r="C24" s="58" t="s">
        <v>199</v>
      </c>
      <c r="D24" s="59">
        <v>5</v>
      </c>
      <c r="E24" s="60">
        <v>2.6540686872999998E-4</v>
      </c>
    </row>
    <row r="25" spans="2:5" ht="14.5" customHeight="1">
      <c r="B25" s="86"/>
      <c r="C25" s="58" t="s">
        <v>211</v>
      </c>
      <c r="D25" s="59">
        <v>8</v>
      </c>
      <c r="E25" s="60">
        <v>4.2465098996799999E-4</v>
      </c>
    </row>
    <row r="26" spans="2:5" ht="14.5" customHeight="1">
      <c r="B26" s="86"/>
      <c r="C26" s="58" t="s">
        <v>212</v>
      </c>
      <c r="D26" s="59">
        <v>3</v>
      </c>
      <c r="E26" s="60">
        <v>1.5924412123800001E-4</v>
      </c>
    </row>
    <row r="27" spans="2:5" ht="14.5" customHeight="1">
      <c r="B27" s="86"/>
      <c r="C27" s="58" t="s">
        <v>213</v>
      </c>
      <c r="D27" s="59">
        <v>5</v>
      </c>
      <c r="E27" s="60">
        <v>2.6540686872999998E-4</v>
      </c>
    </row>
    <row r="28" spans="2:5" ht="14.5" customHeight="1">
      <c r="B28" s="86"/>
      <c r="C28" s="58" t="s">
        <v>214</v>
      </c>
      <c r="D28" s="59">
        <v>6</v>
      </c>
      <c r="E28" s="60">
        <v>3.1848824247600002E-4</v>
      </c>
    </row>
    <row r="29" spans="2:5" ht="14.5" customHeight="1">
      <c r="B29" s="86"/>
      <c r="C29" s="58" t="s">
        <v>215</v>
      </c>
      <c r="D29" s="59">
        <v>7</v>
      </c>
      <c r="E29" s="60">
        <v>3.71569616222E-4</v>
      </c>
    </row>
    <row r="30" spans="2:5" ht="14.5" customHeight="1">
      <c r="B30" s="86"/>
      <c r="C30" s="58" t="s">
        <v>217</v>
      </c>
      <c r="D30" s="59">
        <v>6</v>
      </c>
      <c r="E30" s="60">
        <v>3.1848824247600002E-4</v>
      </c>
    </row>
    <row r="31" spans="2:5" ht="14.5" customHeight="1">
      <c r="B31" s="86"/>
      <c r="C31" s="58" t="s">
        <v>218</v>
      </c>
      <c r="D31" s="59">
        <v>2</v>
      </c>
      <c r="E31" s="60">
        <v>1.06162747492E-4</v>
      </c>
    </row>
    <row r="32" spans="2:5" ht="14.5" customHeight="1">
      <c r="B32" s="86"/>
      <c r="C32" s="58" t="s">
        <v>219</v>
      </c>
      <c r="D32" s="59">
        <v>1</v>
      </c>
      <c r="E32" s="60">
        <v>5.3081373745999998E-5</v>
      </c>
    </row>
    <row r="33" spans="2:5" ht="14.5" customHeight="1">
      <c r="B33" s="86"/>
      <c r="C33" s="58" t="s">
        <v>200</v>
      </c>
      <c r="D33" s="59">
        <v>3</v>
      </c>
      <c r="E33" s="60">
        <v>1.5924412123800001E-4</v>
      </c>
    </row>
    <row r="34" spans="2:5" ht="14.5" customHeight="1">
      <c r="B34" s="86"/>
      <c r="C34" s="58" t="s">
        <v>201</v>
      </c>
      <c r="D34" s="59">
        <v>16</v>
      </c>
      <c r="E34" s="60">
        <v>8.4930197993500001E-4</v>
      </c>
    </row>
    <row r="35" spans="2:5" ht="14.5" customHeight="1">
      <c r="B35" s="86"/>
      <c r="C35" s="58" t="s">
        <v>220</v>
      </c>
      <c r="D35" s="59">
        <v>10</v>
      </c>
      <c r="E35" s="60">
        <v>5.3081373745999996E-4</v>
      </c>
    </row>
    <row r="36" spans="2:5" ht="14.5" customHeight="1">
      <c r="B36" s="86"/>
      <c r="C36" s="58" t="s">
        <v>221</v>
      </c>
      <c r="D36" s="59">
        <v>3</v>
      </c>
      <c r="E36" s="60">
        <v>1.5924412123800001E-4</v>
      </c>
    </row>
    <row r="37" spans="2:5" ht="14.5" customHeight="1">
      <c r="B37" s="86"/>
      <c r="C37" s="58" t="s">
        <v>222</v>
      </c>
      <c r="D37" s="59">
        <v>2</v>
      </c>
      <c r="E37" s="60">
        <v>1.06162747492E-4</v>
      </c>
    </row>
    <row r="38" spans="2:5" ht="14.5" customHeight="1">
      <c r="B38" s="86"/>
      <c r="C38" s="58" t="s">
        <v>223</v>
      </c>
      <c r="D38" s="59">
        <v>2</v>
      </c>
      <c r="E38" s="60">
        <v>1.06162747492E-4</v>
      </c>
    </row>
    <row r="39" spans="2:5" ht="14.5" customHeight="1">
      <c r="B39" s="86"/>
      <c r="C39" s="58" t="s">
        <v>224</v>
      </c>
      <c r="D39" s="59">
        <v>3</v>
      </c>
      <c r="E39" s="60">
        <v>1.5924412123800001E-4</v>
      </c>
    </row>
    <row r="40" spans="2:5" ht="14.5" customHeight="1">
      <c r="B40" s="86"/>
      <c r="C40" s="58" t="s">
        <v>225</v>
      </c>
      <c r="D40" s="59">
        <v>2</v>
      </c>
      <c r="E40" s="60">
        <v>1.06162747492E-4</v>
      </c>
    </row>
    <row r="41" spans="2:5" ht="14.5" customHeight="1">
      <c r="B41" s="86"/>
      <c r="C41" s="58" t="s">
        <v>202</v>
      </c>
      <c r="D41" s="59">
        <v>1</v>
      </c>
      <c r="E41" s="60">
        <v>5.3081373745999998E-5</v>
      </c>
    </row>
    <row r="42" spans="2:5" ht="14.5" customHeight="1">
      <c r="B42" s="86"/>
      <c r="C42" s="58" t="s">
        <v>203</v>
      </c>
      <c r="D42" s="59">
        <v>9</v>
      </c>
      <c r="E42" s="60">
        <v>4.7773236371400003E-4</v>
      </c>
    </row>
    <row r="43" spans="2:5" ht="14.5" customHeight="1">
      <c r="B43" s="86"/>
      <c r="C43" s="58" t="s">
        <v>226</v>
      </c>
      <c r="D43" s="59">
        <v>1</v>
      </c>
      <c r="E43" s="60">
        <v>5.3081373745999998E-5</v>
      </c>
    </row>
    <row r="44" spans="2:5" ht="14.5" customHeight="1">
      <c r="B44" s="86"/>
      <c r="C44" s="58" t="s">
        <v>228</v>
      </c>
      <c r="D44" s="59">
        <v>6</v>
      </c>
      <c r="E44" s="60">
        <v>3.1848824247600002E-4</v>
      </c>
    </row>
    <row r="45" spans="2:5" ht="14.5" customHeight="1">
      <c r="B45" s="86"/>
      <c r="C45" s="58" t="s">
        <v>229</v>
      </c>
      <c r="D45" s="59">
        <v>9</v>
      </c>
      <c r="E45" s="60">
        <v>4.7773236371400003E-4</v>
      </c>
    </row>
    <row r="46" spans="2:5" ht="14.5" customHeight="1">
      <c r="B46" s="86"/>
      <c r="C46" s="58" t="s">
        <v>230</v>
      </c>
      <c r="D46" s="59">
        <v>1</v>
      </c>
      <c r="E46" s="60">
        <v>5.3081373745999998E-5</v>
      </c>
    </row>
    <row r="47" spans="2:5" ht="14.5" customHeight="1">
      <c r="B47" s="86"/>
      <c r="C47" s="58" t="s">
        <v>231</v>
      </c>
      <c r="D47" s="59">
        <v>17</v>
      </c>
      <c r="E47" s="60">
        <v>9.0238335368100005E-4</v>
      </c>
    </row>
    <row r="48" spans="2:5" ht="14.5" customHeight="1">
      <c r="B48" s="87"/>
      <c r="C48" s="35" t="s">
        <v>28</v>
      </c>
      <c r="D48" s="34">
        <v>421</v>
      </c>
      <c r="E48" s="33">
        <v>2.2347258347046001E-2</v>
      </c>
    </row>
    <row r="49" spans="2:5" ht="14.5" customHeight="1">
      <c r="B49" s="85" t="s">
        <v>109</v>
      </c>
      <c r="C49" s="58" t="s">
        <v>204</v>
      </c>
      <c r="D49" s="59">
        <v>17</v>
      </c>
      <c r="E49" s="60">
        <v>9.0238335368100005E-4</v>
      </c>
    </row>
    <row r="50" spans="2:5" ht="14.5" customHeight="1">
      <c r="B50" s="86"/>
      <c r="C50" s="58" t="s">
        <v>205</v>
      </c>
      <c r="D50" s="59">
        <v>1</v>
      </c>
      <c r="E50" s="60">
        <v>5.3081373745999998E-5</v>
      </c>
    </row>
    <row r="51" spans="2:5" ht="14.5" customHeight="1">
      <c r="B51" s="86"/>
      <c r="C51" s="58" t="s">
        <v>192</v>
      </c>
      <c r="D51" s="59">
        <v>8</v>
      </c>
      <c r="E51" s="60">
        <v>4.2465098996799999E-4</v>
      </c>
    </row>
    <row r="52" spans="2:5" ht="14.5" customHeight="1">
      <c r="B52" s="86"/>
      <c r="C52" s="58" t="s">
        <v>193</v>
      </c>
      <c r="D52" s="59">
        <v>136</v>
      </c>
      <c r="E52" s="60">
        <v>7.2190668294499997E-3</v>
      </c>
    </row>
    <row r="53" spans="2:5" ht="14.5" customHeight="1">
      <c r="B53" s="86"/>
      <c r="C53" s="58" t="s">
        <v>207</v>
      </c>
      <c r="D53" s="59">
        <v>3</v>
      </c>
      <c r="E53" s="60">
        <v>1.5924412123800001E-4</v>
      </c>
    </row>
    <row r="54" spans="2:5" ht="14.5" customHeight="1">
      <c r="B54" s="86"/>
      <c r="C54" s="58" t="s">
        <v>194</v>
      </c>
      <c r="D54" s="59">
        <v>20</v>
      </c>
      <c r="E54" s="60">
        <v>1.0616274749190001E-3</v>
      </c>
    </row>
    <row r="55" spans="2:5" ht="14.5" customHeight="1">
      <c r="B55" s="86"/>
      <c r="C55" s="58" t="s">
        <v>195</v>
      </c>
      <c r="D55" s="59">
        <v>64</v>
      </c>
      <c r="E55" s="60">
        <v>3.3972079197410001E-3</v>
      </c>
    </row>
    <row r="56" spans="2:5" ht="14.5" customHeight="1">
      <c r="B56" s="86"/>
      <c r="C56" s="58" t="s">
        <v>208</v>
      </c>
      <c r="D56" s="59">
        <v>2</v>
      </c>
      <c r="E56" s="60">
        <v>1.06162747492E-4</v>
      </c>
    </row>
    <row r="57" spans="2:5" ht="14.5" customHeight="1">
      <c r="B57" s="86"/>
      <c r="C57" s="58" t="s">
        <v>196</v>
      </c>
      <c r="D57" s="59">
        <v>30</v>
      </c>
      <c r="E57" s="60">
        <v>1.592441212379E-3</v>
      </c>
    </row>
    <row r="58" spans="2:5" ht="14.5" customHeight="1">
      <c r="B58" s="86"/>
      <c r="C58" s="58" t="s">
        <v>197</v>
      </c>
      <c r="D58" s="59">
        <v>10</v>
      </c>
      <c r="E58" s="60">
        <v>5.3081373745999996E-4</v>
      </c>
    </row>
    <row r="59" spans="2:5" ht="14.5" customHeight="1">
      <c r="B59" s="86"/>
      <c r="C59" s="58" t="s">
        <v>198</v>
      </c>
      <c r="D59" s="59">
        <v>3</v>
      </c>
      <c r="E59" s="60">
        <v>1.5924412123800001E-4</v>
      </c>
    </row>
    <row r="60" spans="2:5" ht="14.5" customHeight="1">
      <c r="B60" s="86"/>
      <c r="C60" s="58" t="s">
        <v>199</v>
      </c>
      <c r="D60" s="59">
        <v>4</v>
      </c>
      <c r="E60" s="60">
        <v>2.1232549498399999E-4</v>
      </c>
    </row>
    <row r="61" spans="2:5" ht="14.5" customHeight="1">
      <c r="B61" s="86"/>
      <c r="C61" s="58" t="s">
        <v>211</v>
      </c>
      <c r="D61" s="59">
        <v>1</v>
      </c>
      <c r="E61" s="60">
        <v>5.3081373745999998E-5</v>
      </c>
    </row>
    <row r="62" spans="2:5" ht="14.5" customHeight="1">
      <c r="B62" s="86"/>
      <c r="C62" s="58" t="s">
        <v>213</v>
      </c>
      <c r="D62" s="59">
        <v>5</v>
      </c>
      <c r="E62" s="60">
        <v>2.6540686872999998E-4</v>
      </c>
    </row>
    <row r="63" spans="2:5" ht="14.5" customHeight="1">
      <c r="B63" s="86"/>
      <c r="C63" s="58" t="s">
        <v>214</v>
      </c>
      <c r="D63" s="59">
        <v>4</v>
      </c>
      <c r="E63" s="60">
        <v>2.1232549498399999E-4</v>
      </c>
    </row>
    <row r="64" spans="2:5" ht="14.5" customHeight="1">
      <c r="B64" s="86"/>
      <c r="C64" s="58" t="s">
        <v>215</v>
      </c>
      <c r="D64" s="59">
        <v>2</v>
      </c>
      <c r="E64" s="60">
        <v>1.06162747492E-4</v>
      </c>
    </row>
    <row r="65" spans="2:5" ht="14.5" customHeight="1">
      <c r="B65" s="86"/>
      <c r="C65" s="58" t="s">
        <v>216</v>
      </c>
      <c r="D65" s="59">
        <v>4</v>
      </c>
      <c r="E65" s="60">
        <v>2.1232549498399999E-4</v>
      </c>
    </row>
    <row r="66" spans="2:5" ht="14.5" customHeight="1">
      <c r="B66" s="86"/>
      <c r="C66" s="58" t="s">
        <v>218</v>
      </c>
      <c r="D66" s="59">
        <v>5</v>
      </c>
      <c r="E66" s="60">
        <v>2.6540686872999998E-4</v>
      </c>
    </row>
    <row r="67" spans="2:5" ht="14.5" customHeight="1">
      <c r="B67" s="86"/>
      <c r="C67" s="58" t="s">
        <v>219</v>
      </c>
      <c r="D67" s="59">
        <v>6</v>
      </c>
      <c r="E67" s="60">
        <v>3.1848824247600002E-4</v>
      </c>
    </row>
    <row r="68" spans="2:5" ht="14.5" customHeight="1">
      <c r="B68" s="86"/>
      <c r="C68" s="58" t="s">
        <v>200</v>
      </c>
      <c r="D68" s="59">
        <v>8</v>
      </c>
      <c r="E68" s="60">
        <v>4.2465098996799999E-4</v>
      </c>
    </row>
    <row r="69" spans="2:5" ht="14.5" customHeight="1">
      <c r="B69" s="86"/>
      <c r="C69" s="58" t="s">
        <v>201</v>
      </c>
      <c r="D69" s="59">
        <v>2</v>
      </c>
      <c r="E69" s="60">
        <v>1.06162747492E-4</v>
      </c>
    </row>
    <row r="70" spans="2:5" ht="14.5" customHeight="1">
      <c r="B70" s="86"/>
      <c r="C70" s="58" t="s">
        <v>221</v>
      </c>
      <c r="D70" s="59">
        <v>2</v>
      </c>
      <c r="E70" s="60">
        <v>1.06162747492E-4</v>
      </c>
    </row>
    <row r="71" spans="2:5" ht="14.5" customHeight="1">
      <c r="B71" s="86"/>
      <c r="C71" s="58" t="s">
        <v>222</v>
      </c>
      <c r="D71" s="59">
        <v>3</v>
      </c>
      <c r="E71" s="60">
        <v>1.5924412123800001E-4</v>
      </c>
    </row>
    <row r="72" spans="2:5" ht="14.5" customHeight="1">
      <c r="B72" s="86"/>
      <c r="C72" s="58" t="s">
        <v>223</v>
      </c>
      <c r="D72" s="59">
        <v>1</v>
      </c>
      <c r="E72" s="60">
        <v>5.3081373745999998E-5</v>
      </c>
    </row>
    <row r="73" spans="2:5" ht="14.5" customHeight="1">
      <c r="B73" s="86"/>
      <c r="C73" s="58" t="s">
        <v>225</v>
      </c>
      <c r="D73" s="59">
        <v>1</v>
      </c>
      <c r="E73" s="60">
        <v>5.3081373745999998E-5</v>
      </c>
    </row>
    <row r="74" spans="2:5" ht="14.5" customHeight="1">
      <c r="B74" s="86"/>
      <c r="C74" s="58" t="s">
        <v>202</v>
      </c>
      <c r="D74" s="59">
        <v>7</v>
      </c>
      <c r="E74" s="60">
        <v>3.71569616222E-4</v>
      </c>
    </row>
    <row r="75" spans="2:5" ht="14.5" customHeight="1">
      <c r="B75" s="86"/>
      <c r="C75" s="58" t="s">
        <v>203</v>
      </c>
      <c r="D75" s="59">
        <v>37</v>
      </c>
      <c r="E75" s="60">
        <v>1.9640108285999998E-3</v>
      </c>
    </row>
    <row r="76" spans="2:5" ht="14.5" customHeight="1">
      <c r="B76" s="86"/>
      <c r="C76" s="58" t="s">
        <v>228</v>
      </c>
      <c r="D76" s="59">
        <v>2</v>
      </c>
      <c r="E76" s="60">
        <v>1.06162747492E-4</v>
      </c>
    </row>
    <row r="77" spans="2:5" ht="14.5" customHeight="1">
      <c r="B77" s="86"/>
      <c r="C77" s="58" t="s">
        <v>229</v>
      </c>
      <c r="D77" s="59">
        <v>2</v>
      </c>
      <c r="E77" s="60">
        <v>1.06162747492E-4</v>
      </c>
    </row>
    <row r="78" spans="2:5" ht="14.5" customHeight="1">
      <c r="B78" s="86"/>
      <c r="C78" s="58" t="s">
        <v>231</v>
      </c>
      <c r="D78" s="59">
        <v>5</v>
      </c>
      <c r="E78" s="60">
        <v>2.6540686872999998E-4</v>
      </c>
    </row>
    <row r="79" spans="2:5" ht="14.5" customHeight="1">
      <c r="B79" s="87"/>
      <c r="C79" s="35" t="s">
        <v>28</v>
      </c>
      <c r="D79" s="34">
        <v>395</v>
      </c>
      <c r="E79" s="33">
        <v>2.0967142629650999E-2</v>
      </c>
    </row>
    <row r="80" spans="2:5" ht="14.5" customHeight="1">
      <c r="B80" s="91" t="s">
        <v>113</v>
      </c>
      <c r="C80" s="58" t="s">
        <v>204</v>
      </c>
      <c r="D80" s="59">
        <v>22</v>
      </c>
      <c r="E80" s="60">
        <v>1.1677902224109999E-3</v>
      </c>
    </row>
    <row r="81" spans="2:5" ht="14.5" customHeight="1">
      <c r="B81" s="92"/>
      <c r="C81" s="58" t="s">
        <v>205</v>
      </c>
      <c r="D81" s="59">
        <v>1</v>
      </c>
      <c r="E81" s="60">
        <v>5.3081373745999998E-5</v>
      </c>
    </row>
    <row r="82" spans="2:5" ht="14.5" customHeight="1">
      <c r="B82" s="92"/>
      <c r="C82" s="58" t="s">
        <v>206</v>
      </c>
      <c r="D82" s="59">
        <v>6</v>
      </c>
      <c r="E82" s="60">
        <v>3.1848824247600002E-4</v>
      </c>
    </row>
    <row r="83" spans="2:5" ht="14.5" customHeight="1">
      <c r="B83" s="92"/>
      <c r="C83" s="58" t="s">
        <v>192</v>
      </c>
      <c r="D83" s="59">
        <v>12</v>
      </c>
      <c r="E83" s="60">
        <v>6.3697648495099997E-4</v>
      </c>
    </row>
    <row r="84" spans="2:5" ht="14.5" customHeight="1">
      <c r="B84" s="92"/>
      <c r="C84" s="58" t="s">
        <v>193</v>
      </c>
      <c r="D84" s="59">
        <v>38</v>
      </c>
      <c r="E84" s="60">
        <v>2.017092202346E-3</v>
      </c>
    </row>
    <row r="85" spans="2:5" ht="14.5" customHeight="1">
      <c r="B85" s="92"/>
      <c r="C85" s="58" t="s">
        <v>207</v>
      </c>
      <c r="D85" s="59">
        <v>1</v>
      </c>
      <c r="E85" s="60">
        <v>5.3081373745999998E-5</v>
      </c>
    </row>
    <row r="86" spans="2:5" ht="14.5" customHeight="1">
      <c r="B86" s="92"/>
      <c r="C86" s="58" t="s">
        <v>194</v>
      </c>
      <c r="D86" s="59">
        <v>4</v>
      </c>
      <c r="E86" s="60">
        <v>2.1232549498399999E-4</v>
      </c>
    </row>
    <row r="87" spans="2:5" ht="14.5" customHeight="1">
      <c r="B87" s="92"/>
      <c r="C87" s="58" t="s">
        <v>195</v>
      </c>
      <c r="D87" s="59">
        <v>21</v>
      </c>
      <c r="E87" s="60">
        <v>1.1147088486650001E-3</v>
      </c>
    </row>
    <row r="88" spans="2:5" ht="14.5" customHeight="1">
      <c r="B88" s="92"/>
      <c r="C88" s="58" t="s">
        <v>208</v>
      </c>
      <c r="D88" s="59">
        <v>1</v>
      </c>
      <c r="E88" s="60">
        <v>5.3081373745999998E-5</v>
      </c>
    </row>
    <row r="89" spans="2:5" ht="14.5" customHeight="1">
      <c r="B89" s="92"/>
      <c r="C89" s="58" t="s">
        <v>196</v>
      </c>
      <c r="D89" s="59">
        <v>45</v>
      </c>
      <c r="E89" s="60">
        <v>2.3886618185680001E-3</v>
      </c>
    </row>
    <row r="90" spans="2:5" ht="14.5" customHeight="1">
      <c r="B90" s="92"/>
      <c r="C90" s="58" t="s">
        <v>210</v>
      </c>
      <c r="D90" s="59">
        <v>1</v>
      </c>
      <c r="E90" s="60">
        <v>5.3081373745999998E-5</v>
      </c>
    </row>
    <row r="91" spans="2:5" ht="14.5" customHeight="1">
      <c r="B91" s="92"/>
      <c r="C91" s="58" t="s">
        <v>197</v>
      </c>
      <c r="D91" s="59">
        <v>14</v>
      </c>
      <c r="E91" s="60">
        <v>7.4313923244300004E-4</v>
      </c>
    </row>
    <row r="92" spans="2:5" ht="14.5" customHeight="1">
      <c r="B92" s="92"/>
      <c r="C92" s="58" t="s">
        <v>198</v>
      </c>
      <c r="D92" s="59">
        <v>6</v>
      </c>
      <c r="E92" s="60">
        <v>3.1848824247600002E-4</v>
      </c>
    </row>
    <row r="93" spans="2:5" ht="14.5" customHeight="1">
      <c r="B93" s="92"/>
      <c r="C93" s="58" t="s">
        <v>213</v>
      </c>
      <c r="D93" s="59">
        <v>1</v>
      </c>
      <c r="E93" s="60">
        <v>5.3081373745999998E-5</v>
      </c>
    </row>
    <row r="94" spans="2:5" ht="14.5" customHeight="1">
      <c r="B94" s="92"/>
      <c r="C94" s="58" t="s">
        <v>214</v>
      </c>
      <c r="D94" s="59">
        <v>11</v>
      </c>
      <c r="E94" s="60">
        <v>5.8389511120500003E-4</v>
      </c>
    </row>
    <row r="95" spans="2:5" ht="14.5" customHeight="1">
      <c r="B95" s="92"/>
      <c r="C95" s="58" t="s">
        <v>216</v>
      </c>
      <c r="D95" s="59">
        <v>1</v>
      </c>
      <c r="E95" s="60">
        <v>5.3081373745999998E-5</v>
      </c>
    </row>
    <row r="96" spans="2:5" ht="14.5" customHeight="1">
      <c r="B96" s="92"/>
      <c r="C96" s="58" t="s">
        <v>217</v>
      </c>
      <c r="D96" s="59">
        <v>2</v>
      </c>
      <c r="E96" s="60">
        <v>1.06162747492E-4</v>
      </c>
    </row>
    <row r="97" spans="2:5" ht="14.5" customHeight="1">
      <c r="B97" s="92"/>
      <c r="C97" s="58" t="s">
        <v>218</v>
      </c>
      <c r="D97" s="59">
        <v>7</v>
      </c>
      <c r="E97" s="60">
        <v>3.71569616222E-4</v>
      </c>
    </row>
    <row r="98" spans="2:5" ht="14.5" customHeight="1">
      <c r="B98" s="92"/>
      <c r="C98" s="58" t="s">
        <v>219</v>
      </c>
      <c r="D98" s="59">
        <v>1</v>
      </c>
      <c r="E98" s="60">
        <v>5.3081373745999998E-5</v>
      </c>
    </row>
    <row r="99" spans="2:5" ht="14.5" customHeight="1">
      <c r="B99" s="92"/>
      <c r="C99" s="58" t="s">
        <v>200</v>
      </c>
      <c r="D99" s="59">
        <v>19</v>
      </c>
      <c r="E99" s="60">
        <v>1.008546101173E-3</v>
      </c>
    </row>
    <row r="100" spans="2:5" ht="14.5" customHeight="1">
      <c r="B100" s="92"/>
      <c r="C100" s="58" t="s">
        <v>201</v>
      </c>
      <c r="D100" s="59">
        <v>5</v>
      </c>
      <c r="E100" s="60">
        <v>2.6540686872999998E-4</v>
      </c>
    </row>
    <row r="101" spans="2:5" ht="14.5" customHeight="1">
      <c r="B101" s="92"/>
      <c r="C101" s="58" t="s">
        <v>220</v>
      </c>
      <c r="D101" s="59">
        <v>2</v>
      </c>
      <c r="E101" s="60">
        <v>1.06162747492E-4</v>
      </c>
    </row>
    <row r="102" spans="2:5" ht="14.5" customHeight="1">
      <c r="B102" s="92"/>
      <c r="C102" s="58" t="s">
        <v>221</v>
      </c>
      <c r="D102" s="59">
        <v>1</v>
      </c>
      <c r="E102" s="60">
        <v>5.3081373745999998E-5</v>
      </c>
    </row>
    <row r="103" spans="2:5" ht="14.5" customHeight="1">
      <c r="B103" s="92"/>
      <c r="C103" s="58" t="s">
        <v>222</v>
      </c>
      <c r="D103" s="59">
        <v>9</v>
      </c>
      <c r="E103" s="60">
        <v>4.7773236371400003E-4</v>
      </c>
    </row>
    <row r="104" spans="2:5" ht="14.5" customHeight="1">
      <c r="B104" s="92"/>
      <c r="C104" s="58" t="s">
        <v>223</v>
      </c>
      <c r="D104" s="59">
        <v>37</v>
      </c>
      <c r="E104" s="60">
        <v>1.9640108285999998E-3</v>
      </c>
    </row>
    <row r="105" spans="2:5" ht="14.5" customHeight="1">
      <c r="B105" s="92"/>
      <c r="C105" s="58" t="s">
        <v>202</v>
      </c>
      <c r="D105" s="59">
        <v>1</v>
      </c>
      <c r="E105" s="60">
        <v>5.3081373745999998E-5</v>
      </c>
    </row>
    <row r="106" spans="2:5" ht="14.5" customHeight="1">
      <c r="B106" s="92"/>
      <c r="C106" s="58" t="s">
        <v>203</v>
      </c>
      <c r="D106" s="59">
        <v>4</v>
      </c>
      <c r="E106" s="60">
        <v>2.1232549498399999E-4</v>
      </c>
    </row>
    <row r="107" spans="2:5" ht="14.5" customHeight="1">
      <c r="B107" s="92"/>
      <c r="C107" s="58" t="s">
        <v>226</v>
      </c>
      <c r="D107" s="59">
        <v>1</v>
      </c>
      <c r="E107" s="60">
        <v>5.3081373745999998E-5</v>
      </c>
    </row>
    <row r="108" spans="2:5" ht="14.5" customHeight="1">
      <c r="B108" s="92"/>
      <c r="C108" s="58" t="s">
        <v>229</v>
      </c>
      <c r="D108" s="59">
        <v>9</v>
      </c>
      <c r="E108" s="60">
        <v>4.7773236371400003E-4</v>
      </c>
    </row>
    <row r="109" spans="2:5" ht="14.5" customHeight="1">
      <c r="B109" s="92"/>
      <c r="C109" s="58" t="s">
        <v>231</v>
      </c>
      <c r="D109" s="59">
        <v>22</v>
      </c>
      <c r="E109" s="60">
        <v>1.1677902224109999E-3</v>
      </c>
    </row>
    <row r="110" spans="2:5" ht="14.5" customHeight="1">
      <c r="B110" s="93"/>
      <c r="C110" s="35" t="s">
        <v>28</v>
      </c>
      <c r="D110" s="34">
        <v>305</v>
      </c>
      <c r="E110" s="33">
        <v>1.6189818992516002E-2</v>
      </c>
    </row>
    <row r="111" spans="2:5" ht="14.5" customHeight="1">
      <c r="B111" s="85" t="s">
        <v>127</v>
      </c>
      <c r="C111" s="58" t="s">
        <v>204</v>
      </c>
      <c r="D111" s="59">
        <v>1</v>
      </c>
      <c r="E111" s="60">
        <v>5.3081373745999998E-5</v>
      </c>
    </row>
    <row r="112" spans="2:5" ht="14.5" customHeight="1">
      <c r="B112" s="86"/>
      <c r="C112" s="58" t="s">
        <v>192</v>
      </c>
      <c r="D112" s="59">
        <v>1</v>
      </c>
      <c r="E112" s="60">
        <v>5.3081373745999998E-5</v>
      </c>
    </row>
    <row r="113" spans="2:5" ht="14.5" customHeight="1">
      <c r="B113" s="86"/>
      <c r="C113" s="58" t="s">
        <v>193</v>
      </c>
      <c r="D113" s="59">
        <v>11</v>
      </c>
      <c r="E113" s="60">
        <v>5.8389511120500003E-4</v>
      </c>
    </row>
    <row r="114" spans="2:5" ht="14.5" customHeight="1">
      <c r="B114" s="86"/>
      <c r="C114" s="58" t="s">
        <v>207</v>
      </c>
      <c r="D114" s="59">
        <v>2</v>
      </c>
      <c r="E114" s="60">
        <v>1.06162747492E-4</v>
      </c>
    </row>
    <row r="115" spans="2:5" ht="14.5" customHeight="1">
      <c r="B115" s="86"/>
      <c r="C115" s="58" t="s">
        <v>195</v>
      </c>
      <c r="D115" s="59">
        <v>3</v>
      </c>
      <c r="E115" s="60">
        <v>1.5924412123800001E-4</v>
      </c>
    </row>
    <row r="116" spans="2:5" ht="14.5" customHeight="1">
      <c r="B116" s="86"/>
      <c r="C116" s="58" t="s">
        <v>196</v>
      </c>
      <c r="D116" s="59">
        <v>14</v>
      </c>
      <c r="E116" s="60">
        <v>7.4313923244300004E-4</v>
      </c>
    </row>
    <row r="117" spans="2:5" ht="14.5" customHeight="1">
      <c r="B117" s="86"/>
      <c r="C117" s="58" t="s">
        <v>197</v>
      </c>
      <c r="D117" s="59">
        <v>6</v>
      </c>
      <c r="E117" s="60">
        <v>3.1848824247600002E-4</v>
      </c>
    </row>
    <row r="118" spans="2:5" ht="14.5" customHeight="1">
      <c r="B118" s="86"/>
      <c r="C118" s="58" t="s">
        <v>198</v>
      </c>
      <c r="D118" s="59">
        <v>3</v>
      </c>
      <c r="E118" s="60">
        <v>1.5924412123800001E-4</v>
      </c>
    </row>
    <row r="119" spans="2:5" ht="14.5" customHeight="1">
      <c r="B119" s="86"/>
      <c r="C119" s="58" t="s">
        <v>199</v>
      </c>
      <c r="D119" s="59">
        <v>4</v>
      </c>
      <c r="E119" s="60">
        <v>2.1232549498399999E-4</v>
      </c>
    </row>
    <row r="120" spans="2:5" ht="14.5" customHeight="1">
      <c r="B120" s="86"/>
      <c r="C120" s="58" t="s">
        <v>212</v>
      </c>
      <c r="D120" s="59">
        <v>1</v>
      </c>
      <c r="E120" s="60">
        <v>5.3081373745999998E-5</v>
      </c>
    </row>
    <row r="121" spans="2:5" ht="14.5" customHeight="1">
      <c r="B121" s="86"/>
      <c r="C121" s="58" t="s">
        <v>214</v>
      </c>
      <c r="D121" s="59">
        <v>1</v>
      </c>
      <c r="E121" s="60">
        <v>5.3081373745999998E-5</v>
      </c>
    </row>
    <row r="122" spans="2:5" ht="14.5" customHeight="1">
      <c r="B122" s="86"/>
      <c r="C122" s="58" t="s">
        <v>217</v>
      </c>
      <c r="D122" s="59">
        <v>3</v>
      </c>
      <c r="E122" s="60">
        <v>1.5924412123800001E-4</v>
      </c>
    </row>
    <row r="123" spans="2:5" ht="14.5" customHeight="1">
      <c r="B123" s="86"/>
      <c r="C123" s="58" t="s">
        <v>218</v>
      </c>
      <c r="D123" s="59">
        <v>3</v>
      </c>
      <c r="E123" s="60">
        <v>1.5924412123800001E-4</v>
      </c>
    </row>
    <row r="124" spans="2:5" ht="14.5" customHeight="1">
      <c r="B124" s="86"/>
      <c r="C124" s="58" t="s">
        <v>219</v>
      </c>
      <c r="D124" s="59">
        <v>1</v>
      </c>
      <c r="E124" s="60">
        <v>5.3081373745999998E-5</v>
      </c>
    </row>
    <row r="125" spans="2:5" ht="14.5" customHeight="1">
      <c r="B125" s="86"/>
      <c r="C125" s="58" t="s">
        <v>201</v>
      </c>
      <c r="D125" s="59">
        <v>6</v>
      </c>
      <c r="E125" s="60">
        <v>3.1848824247600002E-4</v>
      </c>
    </row>
    <row r="126" spans="2:5" ht="14.5" customHeight="1">
      <c r="B126" s="86"/>
      <c r="C126" s="58" t="s">
        <v>220</v>
      </c>
      <c r="D126" s="59">
        <v>1</v>
      </c>
      <c r="E126" s="60">
        <v>5.3081373745999998E-5</v>
      </c>
    </row>
    <row r="127" spans="2:5" ht="14.5" customHeight="1">
      <c r="B127" s="86"/>
      <c r="C127" s="58" t="s">
        <v>221</v>
      </c>
      <c r="D127" s="59">
        <v>5</v>
      </c>
      <c r="E127" s="60">
        <v>2.6540686872999998E-4</v>
      </c>
    </row>
    <row r="128" spans="2:5" ht="14.5" customHeight="1">
      <c r="B128" s="86"/>
      <c r="C128" s="58" t="s">
        <v>203</v>
      </c>
      <c r="D128" s="59">
        <v>3</v>
      </c>
      <c r="E128" s="60">
        <v>1.5924412123800001E-4</v>
      </c>
    </row>
    <row r="129" spans="2:5" ht="14.5" customHeight="1">
      <c r="B129" s="86"/>
      <c r="C129" s="58" t="s">
        <v>227</v>
      </c>
      <c r="D129" s="59">
        <v>11</v>
      </c>
      <c r="E129" s="60">
        <v>5.8389511120500003E-4</v>
      </c>
    </row>
    <row r="130" spans="2:5" ht="14.5" customHeight="1">
      <c r="B130" s="86"/>
      <c r="C130" s="58" t="s">
        <v>228</v>
      </c>
      <c r="D130" s="59">
        <v>2</v>
      </c>
      <c r="E130" s="60">
        <v>1.06162747492E-4</v>
      </c>
    </row>
    <row r="131" spans="2:5" ht="14.5" customHeight="1">
      <c r="B131" s="86"/>
      <c r="C131" s="58" t="s">
        <v>230</v>
      </c>
      <c r="D131" s="59">
        <v>1</v>
      </c>
      <c r="E131" s="60">
        <v>5.3081373745999998E-5</v>
      </c>
    </row>
    <row r="132" spans="2:5" ht="14.5" customHeight="1">
      <c r="B132" s="86"/>
      <c r="C132" s="58" t="s">
        <v>231</v>
      </c>
      <c r="D132" s="59">
        <v>5</v>
      </c>
      <c r="E132" s="60">
        <v>2.6540686872999998E-4</v>
      </c>
    </row>
    <row r="133" spans="2:5" ht="14.5" customHeight="1">
      <c r="B133" s="87"/>
      <c r="C133" s="35" t="s">
        <v>28</v>
      </c>
      <c r="D133" s="34">
        <v>88</v>
      </c>
      <c r="E133" s="33">
        <v>4.6711608896439997E-3</v>
      </c>
    </row>
    <row r="134" spans="2:5" ht="14.5" customHeight="1">
      <c r="B134" s="85" t="s">
        <v>142</v>
      </c>
      <c r="C134" s="58" t="s">
        <v>193</v>
      </c>
      <c r="D134" s="59">
        <v>2</v>
      </c>
      <c r="E134" s="60">
        <v>1.06162747492E-4</v>
      </c>
    </row>
    <row r="135" spans="2:5" ht="14.5" customHeight="1">
      <c r="B135" s="86"/>
      <c r="C135" s="58" t="s">
        <v>211</v>
      </c>
      <c r="D135" s="59">
        <v>1</v>
      </c>
      <c r="E135" s="60">
        <v>5.3081373745999998E-5</v>
      </c>
    </row>
    <row r="136" spans="2:5" ht="14.5" customHeight="1">
      <c r="B136" s="86"/>
      <c r="C136" s="58" t="s">
        <v>222</v>
      </c>
      <c r="D136" s="59">
        <v>2</v>
      </c>
      <c r="E136" s="60">
        <v>1.06162747492E-4</v>
      </c>
    </row>
    <row r="137" spans="2:5" ht="14.5" customHeight="1">
      <c r="B137" s="86"/>
      <c r="C137" s="58" t="s">
        <v>231</v>
      </c>
      <c r="D137" s="59">
        <v>1</v>
      </c>
      <c r="E137" s="60">
        <v>5.3081373745999998E-5</v>
      </c>
    </row>
    <row r="138" spans="2:5" ht="14.5" customHeight="1">
      <c r="B138" s="87"/>
      <c r="C138" s="35" t="s">
        <v>28</v>
      </c>
      <c r="D138" s="34">
        <v>6</v>
      </c>
      <c r="E138" s="33">
        <v>3.1848824247600002E-4</v>
      </c>
    </row>
    <row r="139" spans="2:5" ht="14.5" customHeight="1">
      <c r="B139" s="85" t="s">
        <v>134</v>
      </c>
      <c r="C139" s="58" t="s">
        <v>193</v>
      </c>
      <c r="D139" s="59">
        <v>8</v>
      </c>
      <c r="E139" s="60">
        <v>4.2465098996799999E-4</v>
      </c>
    </row>
    <row r="140" spans="2:5" ht="14.5" customHeight="1">
      <c r="B140" s="86"/>
      <c r="C140" s="58" t="s">
        <v>195</v>
      </c>
      <c r="D140" s="59">
        <v>1</v>
      </c>
      <c r="E140" s="60">
        <v>5.3081373745999998E-5</v>
      </c>
    </row>
    <row r="141" spans="2:5" ht="14.5" customHeight="1">
      <c r="B141" s="86"/>
      <c r="C141" s="58" t="s">
        <v>196</v>
      </c>
      <c r="D141" s="59">
        <v>5</v>
      </c>
      <c r="E141" s="60">
        <v>2.6540686872999998E-4</v>
      </c>
    </row>
    <row r="142" spans="2:5" ht="14.5" customHeight="1">
      <c r="B142" s="86"/>
      <c r="C142" s="58" t="s">
        <v>197</v>
      </c>
      <c r="D142" s="59">
        <v>5</v>
      </c>
      <c r="E142" s="60">
        <v>2.6540686872999998E-4</v>
      </c>
    </row>
    <row r="143" spans="2:5" ht="14.5" customHeight="1">
      <c r="B143" s="86"/>
      <c r="C143" s="58" t="s">
        <v>198</v>
      </c>
      <c r="D143" s="59">
        <v>1</v>
      </c>
      <c r="E143" s="60">
        <v>5.3081373745999998E-5</v>
      </c>
    </row>
    <row r="144" spans="2:5" ht="14.5" customHeight="1">
      <c r="B144" s="86"/>
      <c r="C144" s="58" t="s">
        <v>211</v>
      </c>
      <c r="D144" s="59">
        <v>1</v>
      </c>
      <c r="E144" s="60">
        <v>5.3081373745999998E-5</v>
      </c>
    </row>
    <row r="145" spans="2:5" ht="14.5" customHeight="1">
      <c r="B145" s="86"/>
      <c r="C145" s="58" t="s">
        <v>213</v>
      </c>
      <c r="D145" s="59">
        <v>2</v>
      </c>
      <c r="E145" s="60">
        <v>1.06162747492E-4</v>
      </c>
    </row>
    <row r="146" spans="2:5" ht="14.5" customHeight="1">
      <c r="B146" s="86"/>
      <c r="C146" s="58" t="s">
        <v>214</v>
      </c>
      <c r="D146" s="59">
        <v>1</v>
      </c>
      <c r="E146" s="60">
        <v>5.3081373745999998E-5</v>
      </c>
    </row>
    <row r="147" spans="2:5" ht="14.5" customHeight="1">
      <c r="B147" s="86"/>
      <c r="C147" s="58" t="s">
        <v>217</v>
      </c>
      <c r="D147" s="59">
        <v>1</v>
      </c>
      <c r="E147" s="60">
        <v>5.3081373745999998E-5</v>
      </c>
    </row>
    <row r="148" spans="2:5" ht="14.5" customHeight="1">
      <c r="B148" s="86"/>
      <c r="C148" s="58" t="s">
        <v>218</v>
      </c>
      <c r="D148" s="59">
        <v>2</v>
      </c>
      <c r="E148" s="60">
        <v>1.06162747492E-4</v>
      </c>
    </row>
    <row r="149" spans="2:5" ht="14.5" customHeight="1">
      <c r="B149" s="86"/>
      <c r="C149" s="58" t="s">
        <v>201</v>
      </c>
      <c r="D149" s="59">
        <v>1</v>
      </c>
      <c r="E149" s="60">
        <v>5.3081373745999998E-5</v>
      </c>
    </row>
    <row r="150" spans="2:5" ht="14.5" customHeight="1">
      <c r="B150" s="86"/>
      <c r="C150" s="58" t="s">
        <v>221</v>
      </c>
      <c r="D150" s="59">
        <v>1</v>
      </c>
      <c r="E150" s="60">
        <v>5.3081373745999998E-5</v>
      </c>
    </row>
    <row r="151" spans="2:5" ht="14.5" customHeight="1">
      <c r="B151" s="86"/>
      <c r="C151" s="58" t="s">
        <v>222</v>
      </c>
      <c r="D151" s="59">
        <v>1</v>
      </c>
      <c r="E151" s="60">
        <v>5.3081373745999998E-5</v>
      </c>
    </row>
    <row r="152" spans="2:5" ht="14.5" customHeight="1">
      <c r="B152" s="86"/>
      <c r="C152" s="58" t="s">
        <v>223</v>
      </c>
      <c r="D152" s="59">
        <v>1</v>
      </c>
      <c r="E152" s="60">
        <v>5.3081373745999998E-5</v>
      </c>
    </row>
    <row r="153" spans="2:5" ht="14.5" customHeight="1">
      <c r="B153" s="86"/>
      <c r="C153" s="58" t="s">
        <v>202</v>
      </c>
      <c r="D153" s="59">
        <v>2</v>
      </c>
      <c r="E153" s="60">
        <v>1.06162747492E-4</v>
      </c>
    </row>
    <row r="154" spans="2:5" ht="14.5" customHeight="1">
      <c r="B154" s="86"/>
      <c r="C154" s="58" t="s">
        <v>203</v>
      </c>
      <c r="D154" s="59">
        <v>1</v>
      </c>
      <c r="E154" s="60">
        <v>5.3081373745999998E-5</v>
      </c>
    </row>
    <row r="155" spans="2:5" ht="14.5" customHeight="1">
      <c r="B155" s="86"/>
      <c r="C155" s="58" t="s">
        <v>228</v>
      </c>
      <c r="D155" s="59">
        <v>2</v>
      </c>
      <c r="E155" s="60">
        <v>1.06162747492E-4</v>
      </c>
    </row>
    <row r="156" spans="2:5" ht="14.5" customHeight="1">
      <c r="B156" s="86"/>
      <c r="C156" s="58" t="s">
        <v>230</v>
      </c>
      <c r="D156" s="59">
        <v>1</v>
      </c>
      <c r="E156" s="60">
        <v>5.3081373745999998E-5</v>
      </c>
    </row>
    <row r="157" spans="2:5" ht="14.5" customHeight="1">
      <c r="B157" s="86"/>
      <c r="C157" s="58" t="s">
        <v>231</v>
      </c>
      <c r="D157" s="59">
        <v>2</v>
      </c>
      <c r="E157" s="60">
        <v>1.06162747492E-4</v>
      </c>
    </row>
    <row r="158" spans="2:5" ht="14.5" customHeight="1">
      <c r="B158" s="87"/>
      <c r="C158" s="35" t="s">
        <v>28</v>
      </c>
      <c r="D158" s="34">
        <v>39</v>
      </c>
      <c r="E158" s="33">
        <v>2.0701735760919999E-3</v>
      </c>
    </row>
    <row r="159" spans="2:5" ht="14.5" customHeight="1">
      <c r="B159" s="85" t="s">
        <v>143</v>
      </c>
      <c r="C159" s="58" t="s">
        <v>204</v>
      </c>
      <c r="D159" s="59">
        <v>2</v>
      </c>
      <c r="E159" s="60">
        <v>1.06162747492E-4</v>
      </c>
    </row>
    <row r="160" spans="2:5" ht="14.5" customHeight="1">
      <c r="B160" s="86"/>
      <c r="C160" s="58" t="s">
        <v>193</v>
      </c>
      <c r="D160" s="59">
        <v>2</v>
      </c>
      <c r="E160" s="60">
        <v>1.06162747492E-4</v>
      </c>
    </row>
    <row r="161" spans="2:5" ht="14.5" customHeight="1">
      <c r="B161" s="86"/>
      <c r="C161" s="58" t="s">
        <v>196</v>
      </c>
      <c r="D161" s="59">
        <v>1</v>
      </c>
      <c r="E161" s="60">
        <v>5.3081373745999998E-5</v>
      </c>
    </row>
    <row r="162" spans="2:5" ht="14.5" customHeight="1">
      <c r="B162" s="87"/>
      <c r="C162" s="35" t="s">
        <v>28</v>
      </c>
      <c r="D162" s="34">
        <v>5</v>
      </c>
      <c r="E162" s="33">
        <v>2.6540686872999998E-4</v>
      </c>
    </row>
    <row r="163" spans="2:5" ht="14.5" customHeight="1">
      <c r="B163" s="85" t="s">
        <v>98</v>
      </c>
      <c r="C163" s="58" t="s">
        <v>204</v>
      </c>
      <c r="D163" s="59">
        <v>207</v>
      </c>
      <c r="E163" s="60">
        <v>1.0987844365411999E-2</v>
      </c>
    </row>
    <row r="164" spans="2:5" ht="14.5" customHeight="1">
      <c r="B164" s="86"/>
      <c r="C164" s="58" t="s">
        <v>205</v>
      </c>
      <c r="D164" s="59">
        <v>17</v>
      </c>
      <c r="E164" s="60">
        <v>9.0238335368100005E-4</v>
      </c>
    </row>
    <row r="165" spans="2:5" ht="14.5" customHeight="1">
      <c r="B165" s="86"/>
      <c r="C165" s="58" t="s">
        <v>206</v>
      </c>
      <c r="D165" s="59">
        <v>15</v>
      </c>
      <c r="E165" s="60">
        <v>7.9622060618899997E-4</v>
      </c>
    </row>
    <row r="166" spans="2:5" ht="14.5" customHeight="1">
      <c r="B166" s="86"/>
      <c r="C166" s="58" t="s">
        <v>192</v>
      </c>
      <c r="D166" s="59">
        <v>130</v>
      </c>
      <c r="E166" s="60">
        <v>6.9005785869739999E-3</v>
      </c>
    </row>
    <row r="167" spans="2:5" ht="14.5" customHeight="1">
      <c r="B167" s="86"/>
      <c r="C167" s="58" t="s">
        <v>193</v>
      </c>
      <c r="D167" s="59">
        <v>741</v>
      </c>
      <c r="E167" s="60">
        <v>3.9333297945751002E-2</v>
      </c>
    </row>
    <row r="168" spans="2:5" ht="14.5" customHeight="1">
      <c r="B168" s="86"/>
      <c r="C168" s="58" t="s">
        <v>207</v>
      </c>
      <c r="D168" s="59">
        <v>214</v>
      </c>
      <c r="E168" s="60">
        <v>1.1359413981634E-2</v>
      </c>
    </row>
    <row r="169" spans="2:5" ht="14.5" customHeight="1">
      <c r="B169" s="86"/>
      <c r="C169" s="58" t="s">
        <v>194</v>
      </c>
      <c r="D169" s="59">
        <v>4</v>
      </c>
      <c r="E169" s="60">
        <v>2.1232549498399999E-4</v>
      </c>
    </row>
    <row r="170" spans="2:5" ht="14.5" customHeight="1">
      <c r="B170" s="86"/>
      <c r="C170" s="58" t="s">
        <v>195</v>
      </c>
      <c r="D170" s="59">
        <v>28</v>
      </c>
      <c r="E170" s="60">
        <v>1.4862784648869999E-3</v>
      </c>
    </row>
    <row r="171" spans="2:5" ht="14.5" customHeight="1">
      <c r="B171" s="86"/>
      <c r="C171" s="58" t="s">
        <v>208</v>
      </c>
      <c r="D171" s="59">
        <v>166</v>
      </c>
      <c r="E171" s="60">
        <v>8.8115080418280003E-3</v>
      </c>
    </row>
    <row r="172" spans="2:5" ht="14.5" customHeight="1">
      <c r="B172" s="86"/>
      <c r="C172" s="58" t="s">
        <v>196</v>
      </c>
      <c r="D172" s="59">
        <v>98</v>
      </c>
      <c r="E172" s="60">
        <v>5.2019746271029996E-3</v>
      </c>
    </row>
    <row r="173" spans="2:5" ht="14.5" customHeight="1">
      <c r="B173" s="86"/>
      <c r="C173" s="58" t="s">
        <v>209</v>
      </c>
      <c r="D173" s="59">
        <v>8</v>
      </c>
      <c r="E173" s="60">
        <v>4.2465098996799999E-4</v>
      </c>
    </row>
    <row r="174" spans="2:5" ht="14.5" customHeight="1">
      <c r="B174" s="86"/>
      <c r="C174" s="58" t="s">
        <v>210</v>
      </c>
      <c r="D174" s="59">
        <v>36</v>
      </c>
      <c r="E174" s="60">
        <v>1.910929454854E-3</v>
      </c>
    </row>
    <row r="175" spans="2:5" ht="14.5" customHeight="1">
      <c r="B175" s="86"/>
      <c r="C175" s="58" t="s">
        <v>197</v>
      </c>
      <c r="D175" s="59">
        <v>48</v>
      </c>
      <c r="E175" s="60">
        <v>2.547905939806E-3</v>
      </c>
    </row>
    <row r="176" spans="2:5" ht="14.5" customHeight="1">
      <c r="B176" s="86"/>
      <c r="C176" s="58" t="s">
        <v>198</v>
      </c>
      <c r="D176" s="59">
        <v>9</v>
      </c>
      <c r="E176" s="60">
        <v>4.7773236371400003E-4</v>
      </c>
    </row>
    <row r="177" spans="2:5" ht="14.5" customHeight="1">
      <c r="B177" s="86"/>
      <c r="C177" s="58" t="s">
        <v>199</v>
      </c>
      <c r="D177" s="59">
        <v>6</v>
      </c>
      <c r="E177" s="60">
        <v>3.1848824247600002E-4</v>
      </c>
    </row>
    <row r="178" spans="2:5" ht="14.5" customHeight="1">
      <c r="B178" s="86"/>
      <c r="C178" s="58" t="s">
        <v>211</v>
      </c>
      <c r="D178" s="59">
        <v>10</v>
      </c>
      <c r="E178" s="60">
        <v>5.3081373745999996E-4</v>
      </c>
    </row>
    <row r="179" spans="2:5" ht="14.5" customHeight="1">
      <c r="B179" s="86"/>
      <c r="C179" s="58" t="s">
        <v>212</v>
      </c>
      <c r="D179" s="59">
        <v>3</v>
      </c>
      <c r="E179" s="60">
        <v>1.5924412123800001E-4</v>
      </c>
    </row>
    <row r="180" spans="2:5" ht="14.5" customHeight="1">
      <c r="B180" s="86"/>
      <c r="C180" s="58" t="s">
        <v>213</v>
      </c>
      <c r="D180" s="59">
        <v>20</v>
      </c>
      <c r="E180" s="60">
        <v>1.0616274749190001E-3</v>
      </c>
    </row>
    <row r="181" spans="2:5" ht="14.5" customHeight="1">
      <c r="B181" s="86"/>
      <c r="C181" s="58" t="s">
        <v>214</v>
      </c>
      <c r="D181" s="59">
        <v>81</v>
      </c>
      <c r="E181" s="60">
        <v>4.2995912734219996E-3</v>
      </c>
    </row>
    <row r="182" spans="2:5" ht="14.5" customHeight="1">
      <c r="B182" s="86"/>
      <c r="C182" s="58" t="s">
        <v>215</v>
      </c>
      <c r="D182" s="59">
        <v>19</v>
      </c>
      <c r="E182" s="60">
        <v>1.008546101173E-3</v>
      </c>
    </row>
    <row r="183" spans="2:5" ht="14.5" customHeight="1">
      <c r="B183" s="86"/>
      <c r="C183" s="58" t="s">
        <v>216</v>
      </c>
      <c r="D183" s="59">
        <v>24</v>
      </c>
      <c r="E183" s="60">
        <v>1.273952969903E-3</v>
      </c>
    </row>
    <row r="184" spans="2:5" ht="14.5" customHeight="1">
      <c r="B184" s="86"/>
      <c r="C184" s="58" t="s">
        <v>217</v>
      </c>
      <c r="D184" s="59">
        <v>11</v>
      </c>
      <c r="E184" s="60">
        <v>5.8389511120500003E-4</v>
      </c>
    </row>
    <row r="185" spans="2:5" ht="14.5" customHeight="1">
      <c r="B185" s="86"/>
      <c r="C185" s="58" t="s">
        <v>218</v>
      </c>
      <c r="D185" s="59">
        <v>68</v>
      </c>
      <c r="E185" s="60">
        <v>3.6095334147249998E-3</v>
      </c>
    </row>
    <row r="186" spans="2:5" ht="14.5" customHeight="1">
      <c r="B186" s="86"/>
      <c r="C186" s="58" t="s">
        <v>219</v>
      </c>
      <c r="D186" s="59">
        <v>25</v>
      </c>
      <c r="E186" s="60">
        <v>1.327034343649E-3</v>
      </c>
    </row>
    <row r="187" spans="2:5" ht="14.5" customHeight="1">
      <c r="B187" s="86"/>
      <c r="C187" s="58" t="s">
        <v>200</v>
      </c>
      <c r="D187" s="59">
        <v>6</v>
      </c>
      <c r="E187" s="60">
        <v>3.1848824247600002E-4</v>
      </c>
    </row>
    <row r="188" spans="2:5" ht="14.5" customHeight="1">
      <c r="B188" s="86"/>
      <c r="C188" s="58" t="s">
        <v>201</v>
      </c>
      <c r="D188" s="59">
        <v>35</v>
      </c>
      <c r="E188" s="60">
        <v>1.8578480811079999E-3</v>
      </c>
    </row>
    <row r="189" spans="2:5" ht="14.5" customHeight="1">
      <c r="B189" s="86"/>
      <c r="C189" s="58" t="s">
        <v>220</v>
      </c>
      <c r="D189" s="59">
        <v>17</v>
      </c>
      <c r="E189" s="60">
        <v>9.0238335368100005E-4</v>
      </c>
    </row>
    <row r="190" spans="2:5" ht="14.5" customHeight="1">
      <c r="B190" s="86"/>
      <c r="C190" s="58" t="s">
        <v>221</v>
      </c>
      <c r="D190" s="59">
        <v>71</v>
      </c>
      <c r="E190" s="60">
        <v>3.7687775359630002E-3</v>
      </c>
    </row>
    <row r="191" spans="2:5" ht="14.5" customHeight="1">
      <c r="B191" s="86"/>
      <c r="C191" s="58" t="s">
        <v>223</v>
      </c>
      <c r="D191" s="59">
        <v>34</v>
      </c>
      <c r="E191" s="60">
        <v>1.8047667073620001E-3</v>
      </c>
    </row>
    <row r="192" spans="2:5" ht="14.5" customHeight="1">
      <c r="B192" s="86"/>
      <c r="C192" s="58" t="s">
        <v>224</v>
      </c>
      <c r="D192" s="59">
        <v>2</v>
      </c>
      <c r="E192" s="60">
        <v>1.06162747492E-4</v>
      </c>
    </row>
    <row r="193" spans="2:5" ht="14.5" customHeight="1">
      <c r="B193" s="86"/>
      <c r="C193" s="58" t="s">
        <v>225</v>
      </c>
      <c r="D193" s="59">
        <v>1</v>
      </c>
      <c r="E193" s="60">
        <v>5.3081373745999998E-5</v>
      </c>
    </row>
    <row r="194" spans="2:5" ht="14.5" customHeight="1">
      <c r="B194" s="86"/>
      <c r="C194" s="58" t="s">
        <v>202</v>
      </c>
      <c r="D194" s="59">
        <v>8</v>
      </c>
      <c r="E194" s="60">
        <v>4.2465098996799999E-4</v>
      </c>
    </row>
    <row r="195" spans="2:5" ht="14.5" customHeight="1">
      <c r="B195" s="86"/>
      <c r="C195" s="58" t="s">
        <v>203</v>
      </c>
      <c r="D195" s="59">
        <v>516</v>
      </c>
      <c r="E195" s="60">
        <v>2.7389988852911999E-2</v>
      </c>
    </row>
    <row r="196" spans="2:5" ht="14.5" customHeight="1">
      <c r="B196" s="86"/>
      <c r="C196" s="58" t="s">
        <v>226</v>
      </c>
      <c r="D196" s="59">
        <v>4</v>
      </c>
      <c r="E196" s="60">
        <v>2.1232549498399999E-4</v>
      </c>
    </row>
    <row r="197" spans="2:5" ht="14.5" customHeight="1">
      <c r="B197" s="86"/>
      <c r="C197" s="58" t="s">
        <v>227</v>
      </c>
      <c r="D197" s="59">
        <v>9</v>
      </c>
      <c r="E197" s="60">
        <v>4.7773236371400003E-4</v>
      </c>
    </row>
    <row r="198" spans="2:5" ht="14.5" customHeight="1">
      <c r="B198" s="86"/>
      <c r="C198" s="58" t="s">
        <v>228</v>
      </c>
      <c r="D198" s="59">
        <v>171</v>
      </c>
      <c r="E198" s="60">
        <v>9.0769149105580007E-3</v>
      </c>
    </row>
    <row r="199" spans="2:5" ht="14.5" customHeight="1">
      <c r="B199" s="86"/>
      <c r="C199" s="58" t="s">
        <v>229</v>
      </c>
      <c r="D199" s="59">
        <v>12</v>
      </c>
      <c r="E199" s="60">
        <v>6.3697648495099997E-4</v>
      </c>
    </row>
    <row r="200" spans="2:5" ht="14.5" customHeight="1">
      <c r="B200" s="86"/>
      <c r="C200" s="58" t="s">
        <v>230</v>
      </c>
      <c r="D200" s="59">
        <v>18</v>
      </c>
      <c r="E200" s="60">
        <v>9.5546472742699998E-4</v>
      </c>
    </row>
    <row r="201" spans="2:5" ht="14.5" customHeight="1">
      <c r="B201" s="86"/>
      <c r="C201" s="58" t="s">
        <v>231</v>
      </c>
      <c r="D201" s="59">
        <v>48</v>
      </c>
      <c r="E201" s="60">
        <v>2.547905939806E-3</v>
      </c>
    </row>
    <row r="202" spans="2:5" ht="14.5" customHeight="1">
      <c r="B202" s="87"/>
      <c r="C202" s="35" t="s">
        <v>28</v>
      </c>
      <c r="D202" s="34">
        <v>2940</v>
      </c>
      <c r="E202" s="33">
        <v>0.15605923881310099</v>
      </c>
    </row>
    <row r="203" spans="2:5" ht="14.5" customHeight="1">
      <c r="B203" s="85" t="s">
        <v>97</v>
      </c>
      <c r="C203" s="58" t="s">
        <v>204</v>
      </c>
      <c r="D203" s="59">
        <v>274</v>
      </c>
      <c r="E203" s="60">
        <v>1.4544296406391001E-2</v>
      </c>
    </row>
    <row r="204" spans="2:5" ht="14.5" customHeight="1">
      <c r="B204" s="86"/>
      <c r="C204" s="58" t="s">
        <v>206</v>
      </c>
      <c r="D204" s="59">
        <v>21</v>
      </c>
      <c r="E204" s="60">
        <v>1.1147088486650001E-3</v>
      </c>
    </row>
    <row r="205" spans="2:5" ht="14.5" customHeight="1">
      <c r="B205" s="86"/>
      <c r="C205" s="58" t="s">
        <v>192</v>
      </c>
      <c r="D205" s="59">
        <v>104</v>
      </c>
      <c r="E205" s="60">
        <v>5.5204628695790002E-3</v>
      </c>
    </row>
    <row r="206" spans="2:5" ht="14.5" customHeight="1">
      <c r="B206" s="86"/>
      <c r="C206" s="58" t="s">
        <v>193</v>
      </c>
      <c r="D206" s="59">
        <v>716</v>
      </c>
      <c r="E206" s="60">
        <v>3.8006263602101999E-2</v>
      </c>
    </row>
    <row r="207" spans="2:5" ht="14.5" customHeight="1">
      <c r="B207" s="86"/>
      <c r="C207" s="58" t="s">
        <v>207</v>
      </c>
      <c r="D207" s="59">
        <v>12</v>
      </c>
      <c r="E207" s="60">
        <v>6.3697648495099997E-4</v>
      </c>
    </row>
    <row r="208" spans="2:5" ht="14.5" customHeight="1">
      <c r="B208" s="86"/>
      <c r="C208" s="58" t="s">
        <v>194</v>
      </c>
      <c r="D208" s="59">
        <v>35</v>
      </c>
      <c r="E208" s="60">
        <v>1.8578480811079999E-3</v>
      </c>
    </row>
    <row r="209" spans="2:5" ht="14.5" customHeight="1">
      <c r="B209" s="86"/>
      <c r="C209" s="58" t="s">
        <v>195</v>
      </c>
      <c r="D209" s="59">
        <v>278</v>
      </c>
      <c r="E209" s="60">
        <v>1.4756621901375E-2</v>
      </c>
    </row>
    <row r="210" spans="2:5" ht="14.5" customHeight="1">
      <c r="B210" s="86"/>
      <c r="C210" s="58" t="s">
        <v>208</v>
      </c>
      <c r="D210" s="59">
        <v>18</v>
      </c>
      <c r="E210" s="60">
        <v>9.5546472742699998E-4</v>
      </c>
    </row>
    <row r="211" spans="2:5" ht="14.5" customHeight="1">
      <c r="B211" s="86"/>
      <c r="C211" s="58" t="s">
        <v>196</v>
      </c>
      <c r="D211" s="59">
        <v>206</v>
      </c>
      <c r="E211" s="60">
        <v>1.0934762991666E-2</v>
      </c>
    </row>
    <row r="212" spans="2:5" ht="14.5" customHeight="1">
      <c r="B212" s="86"/>
      <c r="C212" s="58" t="s">
        <v>209</v>
      </c>
      <c r="D212" s="59">
        <v>6</v>
      </c>
      <c r="E212" s="60">
        <v>3.1848824247600002E-4</v>
      </c>
    </row>
    <row r="213" spans="2:5" ht="14.5" customHeight="1">
      <c r="B213" s="86"/>
      <c r="C213" s="58" t="s">
        <v>210</v>
      </c>
      <c r="D213" s="59">
        <v>13</v>
      </c>
      <c r="E213" s="60">
        <v>6.90057858697E-4</v>
      </c>
    </row>
    <row r="214" spans="2:5" ht="14.5" customHeight="1">
      <c r="B214" s="86"/>
      <c r="C214" s="58" t="s">
        <v>197</v>
      </c>
      <c r="D214" s="59">
        <v>132</v>
      </c>
      <c r="E214" s="60">
        <v>7.0067413344660004E-3</v>
      </c>
    </row>
    <row r="215" spans="2:5" ht="14.5" customHeight="1">
      <c r="B215" s="86"/>
      <c r="C215" s="58" t="s">
        <v>198</v>
      </c>
      <c r="D215" s="59">
        <v>34</v>
      </c>
      <c r="E215" s="60">
        <v>1.8047667073620001E-3</v>
      </c>
    </row>
    <row r="216" spans="2:5" ht="14.5" customHeight="1">
      <c r="B216" s="86"/>
      <c r="C216" s="58" t="s">
        <v>199</v>
      </c>
      <c r="D216" s="59">
        <v>13</v>
      </c>
      <c r="E216" s="60">
        <v>6.90057858697E-4</v>
      </c>
    </row>
    <row r="217" spans="2:5" ht="14.5" customHeight="1">
      <c r="B217" s="86"/>
      <c r="C217" s="58" t="s">
        <v>211</v>
      </c>
      <c r="D217" s="59">
        <v>85</v>
      </c>
      <c r="E217" s="60">
        <v>4.5119167684059998E-3</v>
      </c>
    </row>
    <row r="218" spans="2:5" ht="14.5" customHeight="1">
      <c r="B218" s="86"/>
      <c r="C218" s="58" t="s">
        <v>212</v>
      </c>
      <c r="D218" s="59">
        <v>2</v>
      </c>
      <c r="E218" s="60">
        <v>1.06162747492E-4</v>
      </c>
    </row>
    <row r="219" spans="2:5" ht="14.5" customHeight="1">
      <c r="B219" s="86"/>
      <c r="C219" s="58" t="s">
        <v>213</v>
      </c>
      <c r="D219" s="59">
        <v>86</v>
      </c>
      <c r="E219" s="60">
        <v>4.564998142152E-3</v>
      </c>
    </row>
    <row r="220" spans="2:5" ht="14.5" customHeight="1">
      <c r="B220" s="86"/>
      <c r="C220" s="58" t="s">
        <v>214</v>
      </c>
      <c r="D220" s="59">
        <v>54</v>
      </c>
      <c r="E220" s="60">
        <v>2.8663941822810002E-3</v>
      </c>
    </row>
    <row r="221" spans="2:5" ht="14.5" customHeight="1">
      <c r="B221" s="86"/>
      <c r="C221" s="58" t="s">
        <v>215</v>
      </c>
      <c r="D221" s="59">
        <v>11</v>
      </c>
      <c r="E221" s="60">
        <v>5.8389511120500003E-4</v>
      </c>
    </row>
    <row r="222" spans="2:5" ht="14.5" customHeight="1">
      <c r="B222" s="86"/>
      <c r="C222" s="58" t="s">
        <v>216</v>
      </c>
      <c r="D222" s="59">
        <v>3</v>
      </c>
      <c r="E222" s="60">
        <v>1.5924412123800001E-4</v>
      </c>
    </row>
    <row r="223" spans="2:5" ht="14.5" customHeight="1">
      <c r="B223" s="86"/>
      <c r="C223" s="58" t="s">
        <v>217</v>
      </c>
      <c r="D223" s="59">
        <v>46</v>
      </c>
      <c r="E223" s="60">
        <v>2.4417431923139999E-3</v>
      </c>
    </row>
    <row r="224" spans="2:5" ht="14.5" customHeight="1">
      <c r="B224" s="86"/>
      <c r="C224" s="58" t="s">
        <v>218</v>
      </c>
      <c r="D224" s="59">
        <v>93</v>
      </c>
      <c r="E224" s="60">
        <v>4.9365677583740001E-3</v>
      </c>
    </row>
    <row r="225" spans="2:5" ht="14.5" customHeight="1">
      <c r="B225" s="86"/>
      <c r="C225" s="58" t="s">
        <v>219</v>
      </c>
      <c r="D225" s="59">
        <v>11</v>
      </c>
      <c r="E225" s="60">
        <v>5.8389511120500003E-4</v>
      </c>
    </row>
    <row r="226" spans="2:5" ht="14.5" customHeight="1">
      <c r="B226" s="86"/>
      <c r="C226" s="58" t="s">
        <v>200</v>
      </c>
      <c r="D226" s="59">
        <v>154</v>
      </c>
      <c r="E226" s="60">
        <v>8.1745315568769999E-3</v>
      </c>
    </row>
    <row r="227" spans="2:5" ht="14.5" customHeight="1">
      <c r="B227" s="86"/>
      <c r="C227" s="58" t="s">
        <v>201</v>
      </c>
      <c r="D227" s="59">
        <v>68</v>
      </c>
      <c r="E227" s="60">
        <v>3.6095334147249998E-3</v>
      </c>
    </row>
    <row r="228" spans="2:5" ht="14.5" customHeight="1">
      <c r="B228" s="86"/>
      <c r="C228" s="58" t="s">
        <v>220</v>
      </c>
      <c r="D228" s="59">
        <v>10</v>
      </c>
      <c r="E228" s="60">
        <v>5.3081373745999996E-4</v>
      </c>
    </row>
    <row r="229" spans="2:5" ht="14.5" customHeight="1">
      <c r="B229" s="86"/>
      <c r="C229" s="58" t="s">
        <v>221</v>
      </c>
      <c r="D229" s="59">
        <v>17</v>
      </c>
      <c r="E229" s="60">
        <v>9.0238335368100005E-4</v>
      </c>
    </row>
    <row r="230" spans="2:5" ht="14.5" customHeight="1">
      <c r="B230" s="86"/>
      <c r="C230" s="58" t="s">
        <v>222</v>
      </c>
      <c r="D230" s="59">
        <v>136</v>
      </c>
      <c r="E230" s="60">
        <v>7.2190668294499997E-3</v>
      </c>
    </row>
    <row r="231" spans="2:5" ht="14.5" customHeight="1">
      <c r="B231" s="86"/>
      <c r="C231" s="58" t="s">
        <v>223</v>
      </c>
      <c r="D231" s="59">
        <v>219</v>
      </c>
      <c r="E231" s="60">
        <v>1.1624820850364001E-2</v>
      </c>
    </row>
    <row r="232" spans="2:5" ht="14.5" customHeight="1">
      <c r="B232" s="86"/>
      <c r="C232" s="58" t="s">
        <v>224</v>
      </c>
      <c r="D232" s="59">
        <v>16</v>
      </c>
      <c r="E232" s="60">
        <v>8.4930197993500001E-4</v>
      </c>
    </row>
    <row r="233" spans="2:5" ht="14.5" customHeight="1">
      <c r="B233" s="86"/>
      <c r="C233" s="58" t="s">
        <v>225</v>
      </c>
      <c r="D233" s="59">
        <v>6</v>
      </c>
      <c r="E233" s="60">
        <v>3.1848824247600002E-4</v>
      </c>
    </row>
    <row r="234" spans="2:5" ht="14.5" customHeight="1">
      <c r="B234" s="86"/>
      <c r="C234" s="58" t="s">
        <v>202</v>
      </c>
      <c r="D234" s="59">
        <v>64</v>
      </c>
      <c r="E234" s="60">
        <v>3.3972079197410001E-3</v>
      </c>
    </row>
    <row r="235" spans="2:5" ht="14.5" customHeight="1">
      <c r="B235" s="86"/>
      <c r="C235" s="58" t="s">
        <v>203</v>
      </c>
      <c r="D235" s="59">
        <v>57</v>
      </c>
      <c r="E235" s="60">
        <v>3.0256383035190001E-3</v>
      </c>
    </row>
    <row r="236" spans="2:5" ht="14.5" customHeight="1">
      <c r="B236" s="86"/>
      <c r="C236" s="58" t="s">
        <v>226</v>
      </c>
      <c r="D236" s="59">
        <v>108</v>
      </c>
      <c r="E236" s="60">
        <v>5.7327883645630004E-3</v>
      </c>
    </row>
    <row r="237" spans="2:5" ht="14.5" customHeight="1">
      <c r="B237" s="86"/>
      <c r="C237" s="58" t="s">
        <v>227</v>
      </c>
      <c r="D237" s="59">
        <v>6</v>
      </c>
      <c r="E237" s="60">
        <v>3.1848824247600002E-4</v>
      </c>
    </row>
    <row r="238" spans="2:5" ht="14.5" customHeight="1">
      <c r="B238" s="86"/>
      <c r="C238" s="58" t="s">
        <v>228</v>
      </c>
      <c r="D238" s="59">
        <v>9</v>
      </c>
      <c r="E238" s="60">
        <v>4.7773236371400003E-4</v>
      </c>
    </row>
    <row r="239" spans="2:5" ht="14.5" customHeight="1">
      <c r="B239" s="86"/>
      <c r="C239" s="58" t="s">
        <v>229</v>
      </c>
      <c r="D239" s="59">
        <v>26</v>
      </c>
      <c r="E239" s="60">
        <v>1.3801157173950001E-3</v>
      </c>
    </row>
    <row r="240" spans="2:5" ht="14.5" customHeight="1">
      <c r="B240" s="86"/>
      <c r="C240" s="58" t="s">
        <v>230</v>
      </c>
      <c r="D240" s="59">
        <v>2</v>
      </c>
      <c r="E240" s="60">
        <v>1.06162747492E-4</v>
      </c>
    </row>
    <row r="241" spans="2:5" ht="14.5" customHeight="1">
      <c r="B241" s="86"/>
      <c r="C241" s="58" t="s">
        <v>231</v>
      </c>
      <c r="D241" s="59">
        <v>209</v>
      </c>
      <c r="E241" s="60">
        <v>1.1094007112904E-2</v>
      </c>
    </row>
    <row r="242" spans="2:5" ht="14.5" customHeight="1">
      <c r="B242" s="87"/>
      <c r="C242" s="35" t="s">
        <v>28</v>
      </c>
      <c r="D242" s="34">
        <v>3360</v>
      </c>
      <c r="E242" s="33">
        <v>0.17835341578640099</v>
      </c>
    </row>
    <row r="243" spans="2:5" ht="14.5" customHeight="1">
      <c r="B243" s="85" t="s">
        <v>140</v>
      </c>
      <c r="C243" s="58" t="s">
        <v>204</v>
      </c>
      <c r="D243" s="59">
        <v>3</v>
      </c>
      <c r="E243" s="60">
        <v>1.5924412123800001E-4</v>
      </c>
    </row>
    <row r="244" spans="2:5" ht="14.5" customHeight="1">
      <c r="B244" s="86"/>
      <c r="C244" s="58" t="s">
        <v>193</v>
      </c>
      <c r="D244" s="59">
        <v>3</v>
      </c>
      <c r="E244" s="60">
        <v>1.5924412123800001E-4</v>
      </c>
    </row>
    <row r="245" spans="2:5" ht="14.5" customHeight="1">
      <c r="B245" s="86"/>
      <c r="C245" s="58" t="s">
        <v>195</v>
      </c>
      <c r="D245" s="59">
        <v>2</v>
      </c>
      <c r="E245" s="60">
        <v>1.06162747492E-4</v>
      </c>
    </row>
    <row r="246" spans="2:5" ht="14.5" customHeight="1">
      <c r="B246" s="86"/>
      <c r="C246" s="58" t="s">
        <v>208</v>
      </c>
      <c r="D246" s="59">
        <v>1</v>
      </c>
      <c r="E246" s="60">
        <v>5.3081373745999998E-5</v>
      </c>
    </row>
    <row r="247" spans="2:5" ht="14.5" customHeight="1">
      <c r="B247" s="86"/>
      <c r="C247" s="58" t="s">
        <v>197</v>
      </c>
      <c r="D247" s="59">
        <v>2</v>
      </c>
      <c r="E247" s="60">
        <v>1.06162747492E-4</v>
      </c>
    </row>
    <row r="248" spans="2:5" ht="14.5" customHeight="1">
      <c r="B248" s="86"/>
      <c r="C248" s="58" t="s">
        <v>214</v>
      </c>
      <c r="D248" s="59">
        <v>5</v>
      </c>
      <c r="E248" s="60">
        <v>2.6540686872999998E-4</v>
      </c>
    </row>
    <row r="249" spans="2:5" ht="14.5" customHeight="1">
      <c r="B249" s="86"/>
      <c r="C249" s="58" t="s">
        <v>225</v>
      </c>
      <c r="D249" s="59">
        <v>1</v>
      </c>
      <c r="E249" s="60">
        <v>5.3081373745999998E-5</v>
      </c>
    </row>
    <row r="250" spans="2:5" ht="14.5" customHeight="1">
      <c r="B250" s="86"/>
      <c r="C250" s="58" t="s">
        <v>226</v>
      </c>
      <c r="D250" s="59">
        <v>1</v>
      </c>
      <c r="E250" s="60">
        <v>5.3081373745999998E-5</v>
      </c>
    </row>
    <row r="251" spans="2:5" ht="14.5" customHeight="1">
      <c r="B251" s="86"/>
      <c r="C251" s="58" t="s">
        <v>229</v>
      </c>
      <c r="D251" s="59">
        <v>1</v>
      </c>
      <c r="E251" s="60">
        <v>5.3081373745999998E-5</v>
      </c>
    </row>
    <row r="252" spans="2:5" ht="14.5" customHeight="1">
      <c r="B252" s="87"/>
      <c r="C252" s="35" t="s">
        <v>28</v>
      </c>
      <c r="D252" s="34">
        <v>19</v>
      </c>
      <c r="E252" s="33">
        <v>1.008546101173E-3</v>
      </c>
    </row>
    <row r="253" spans="2:5" ht="14.5" customHeight="1">
      <c r="B253" s="85" t="s">
        <v>101</v>
      </c>
      <c r="C253" s="58" t="s">
        <v>204</v>
      </c>
      <c r="D253" s="59">
        <v>48</v>
      </c>
      <c r="E253" s="60">
        <v>2.547905939806E-3</v>
      </c>
    </row>
    <row r="254" spans="2:5" ht="14.5" customHeight="1">
      <c r="B254" s="86"/>
      <c r="C254" s="58" t="s">
        <v>206</v>
      </c>
      <c r="D254" s="59">
        <v>11</v>
      </c>
      <c r="E254" s="60">
        <v>5.8389511120500003E-4</v>
      </c>
    </row>
    <row r="255" spans="2:5" ht="14.5" customHeight="1">
      <c r="B255" s="86"/>
      <c r="C255" s="58" t="s">
        <v>192</v>
      </c>
      <c r="D255" s="59">
        <v>18</v>
      </c>
      <c r="E255" s="60">
        <v>9.5546472742699998E-4</v>
      </c>
    </row>
    <row r="256" spans="2:5" ht="14.5" customHeight="1">
      <c r="B256" s="86"/>
      <c r="C256" s="58" t="s">
        <v>193</v>
      </c>
      <c r="D256" s="59">
        <v>224</v>
      </c>
      <c r="E256" s="60">
        <v>1.1890227719093E-2</v>
      </c>
    </row>
    <row r="257" spans="2:5" ht="14.5" customHeight="1">
      <c r="B257" s="86"/>
      <c r="C257" s="58" t="s">
        <v>207</v>
      </c>
      <c r="D257" s="59">
        <v>22</v>
      </c>
      <c r="E257" s="60">
        <v>1.1677902224109999E-3</v>
      </c>
    </row>
    <row r="258" spans="2:5" ht="14.5" customHeight="1">
      <c r="B258" s="86"/>
      <c r="C258" s="58" t="s">
        <v>194</v>
      </c>
      <c r="D258" s="59">
        <v>2</v>
      </c>
      <c r="E258" s="60">
        <v>1.06162747492E-4</v>
      </c>
    </row>
    <row r="259" spans="2:5" ht="14.5" customHeight="1">
      <c r="B259" s="86"/>
      <c r="C259" s="58" t="s">
        <v>195</v>
      </c>
      <c r="D259" s="59">
        <v>43</v>
      </c>
      <c r="E259" s="60">
        <v>2.282499071076E-3</v>
      </c>
    </row>
    <row r="260" spans="2:5" ht="14.5" customHeight="1">
      <c r="B260" s="86"/>
      <c r="C260" s="58" t="s">
        <v>208</v>
      </c>
      <c r="D260" s="59">
        <v>7</v>
      </c>
      <c r="E260" s="60">
        <v>3.71569616222E-4</v>
      </c>
    </row>
    <row r="261" spans="2:5" ht="14.5" customHeight="1">
      <c r="B261" s="86"/>
      <c r="C261" s="58" t="s">
        <v>196</v>
      </c>
      <c r="D261" s="59">
        <v>87</v>
      </c>
      <c r="E261" s="60">
        <v>4.6180795158980003E-3</v>
      </c>
    </row>
    <row r="262" spans="2:5" ht="14.5" customHeight="1">
      <c r="B262" s="86"/>
      <c r="C262" s="58" t="s">
        <v>209</v>
      </c>
      <c r="D262" s="59">
        <v>8</v>
      </c>
      <c r="E262" s="60">
        <v>4.2465098996799999E-4</v>
      </c>
    </row>
    <row r="263" spans="2:5" ht="14.5" customHeight="1">
      <c r="B263" s="86"/>
      <c r="C263" s="58" t="s">
        <v>210</v>
      </c>
      <c r="D263" s="59">
        <v>26</v>
      </c>
      <c r="E263" s="60">
        <v>1.3801157173950001E-3</v>
      </c>
    </row>
    <row r="264" spans="2:5" ht="14.5" customHeight="1">
      <c r="B264" s="86"/>
      <c r="C264" s="58" t="s">
        <v>197</v>
      </c>
      <c r="D264" s="59">
        <v>43</v>
      </c>
      <c r="E264" s="60">
        <v>2.282499071076E-3</v>
      </c>
    </row>
    <row r="265" spans="2:5" ht="14.5" customHeight="1">
      <c r="B265" s="86"/>
      <c r="C265" s="58" t="s">
        <v>198</v>
      </c>
      <c r="D265" s="59">
        <v>28</v>
      </c>
      <c r="E265" s="60">
        <v>1.4862784648869999E-3</v>
      </c>
    </row>
    <row r="266" spans="2:5" ht="14.5" customHeight="1">
      <c r="B266" s="86"/>
      <c r="C266" s="58" t="s">
        <v>199</v>
      </c>
      <c r="D266" s="59">
        <v>8</v>
      </c>
      <c r="E266" s="60">
        <v>4.2465098996799999E-4</v>
      </c>
    </row>
    <row r="267" spans="2:5" ht="14.5" customHeight="1">
      <c r="B267" s="86"/>
      <c r="C267" s="58" t="s">
        <v>211</v>
      </c>
      <c r="D267" s="59">
        <v>39</v>
      </c>
      <c r="E267" s="60">
        <v>2.0701735760919999E-3</v>
      </c>
    </row>
    <row r="268" spans="2:5" ht="14.5" customHeight="1">
      <c r="B268" s="86"/>
      <c r="C268" s="58" t="s">
        <v>213</v>
      </c>
      <c r="D268" s="59">
        <v>4</v>
      </c>
      <c r="E268" s="60">
        <v>2.1232549498399999E-4</v>
      </c>
    </row>
    <row r="269" spans="2:5" ht="14.5" customHeight="1">
      <c r="B269" s="86"/>
      <c r="C269" s="58" t="s">
        <v>214</v>
      </c>
      <c r="D269" s="59">
        <v>16</v>
      </c>
      <c r="E269" s="60">
        <v>8.4930197993500001E-4</v>
      </c>
    </row>
    <row r="270" spans="2:5" ht="14.5" customHeight="1">
      <c r="B270" s="86"/>
      <c r="C270" s="58" t="s">
        <v>215</v>
      </c>
      <c r="D270" s="59">
        <v>29</v>
      </c>
      <c r="E270" s="60">
        <v>1.539359838633E-3</v>
      </c>
    </row>
    <row r="271" spans="2:5" ht="14.5" customHeight="1">
      <c r="B271" s="86"/>
      <c r="C271" s="58" t="s">
        <v>217</v>
      </c>
      <c r="D271" s="59">
        <v>11</v>
      </c>
      <c r="E271" s="60">
        <v>5.8389511120500003E-4</v>
      </c>
    </row>
    <row r="272" spans="2:5" ht="14.5" customHeight="1">
      <c r="B272" s="86"/>
      <c r="C272" s="58" t="s">
        <v>218</v>
      </c>
      <c r="D272" s="59">
        <v>58</v>
      </c>
      <c r="E272" s="60">
        <v>3.0787196772649999E-3</v>
      </c>
    </row>
    <row r="273" spans="2:5" ht="14.5" customHeight="1">
      <c r="B273" s="86"/>
      <c r="C273" s="58" t="s">
        <v>219</v>
      </c>
      <c r="D273" s="59">
        <v>4</v>
      </c>
      <c r="E273" s="60">
        <v>2.1232549498399999E-4</v>
      </c>
    </row>
    <row r="274" spans="2:5" ht="14.5" customHeight="1">
      <c r="B274" s="86"/>
      <c r="C274" s="58" t="s">
        <v>200</v>
      </c>
      <c r="D274" s="59">
        <v>20</v>
      </c>
      <c r="E274" s="60">
        <v>1.0616274749190001E-3</v>
      </c>
    </row>
    <row r="275" spans="2:5" ht="14.5" customHeight="1">
      <c r="B275" s="86"/>
      <c r="C275" s="58" t="s">
        <v>201</v>
      </c>
      <c r="D275" s="59">
        <v>48</v>
      </c>
      <c r="E275" s="60">
        <v>2.547905939806E-3</v>
      </c>
    </row>
    <row r="276" spans="2:5" ht="14.5" customHeight="1">
      <c r="B276" s="86"/>
      <c r="C276" s="58" t="s">
        <v>220</v>
      </c>
      <c r="D276" s="59">
        <v>20</v>
      </c>
      <c r="E276" s="60">
        <v>1.0616274749190001E-3</v>
      </c>
    </row>
    <row r="277" spans="2:5" ht="14.5" customHeight="1">
      <c r="B277" s="86"/>
      <c r="C277" s="58" t="s">
        <v>221</v>
      </c>
      <c r="D277" s="59">
        <v>13</v>
      </c>
      <c r="E277" s="60">
        <v>6.90057858697E-4</v>
      </c>
    </row>
    <row r="278" spans="2:5" ht="14.5" customHeight="1">
      <c r="B278" s="86"/>
      <c r="C278" s="58" t="s">
        <v>222</v>
      </c>
      <c r="D278" s="59">
        <v>1</v>
      </c>
      <c r="E278" s="60">
        <v>5.3081373745999998E-5</v>
      </c>
    </row>
    <row r="279" spans="2:5" ht="14.5" customHeight="1">
      <c r="B279" s="86"/>
      <c r="C279" s="58" t="s">
        <v>223</v>
      </c>
      <c r="D279" s="59">
        <v>11</v>
      </c>
      <c r="E279" s="60">
        <v>5.8389511120500003E-4</v>
      </c>
    </row>
    <row r="280" spans="2:5" ht="14.5" customHeight="1">
      <c r="B280" s="86"/>
      <c r="C280" s="58" t="s">
        <v>224</v>
      </c>
      <c r="D280" s="59">
        <v>18</v>
      </c>
      <c r="E280" s="60">
        <v>9.5546472742699998E-4</v>
      </c>
    </row>
    <row r="281" spans="2:5" ht="14.5" customHeight="1">
      <c r="B281" s="86"/>
      <c r="C281" s="58" t="s">
        <v>225</v>
      </c>
      <c r="D281" s="59">
        <v>7</v>
      </c>
      <c r="E281" s="60">
        <v>3.71569616222E-4</v>
      </c>
    </row>
    <row r="282" spans="2:5" ht="14.5" customHeight="1">
      <c r="B282" s="86"/>
      <c r="C282" s="58" t="s">
        <v>202</v>
      </c>
      <c r="D282" s="59">
        <v>6</v>
      </c>
      <c r="E282" s="60">
        <v>3.1848824247600002E-4</v>
      </c>
    </row>
    <row r="283" spans="2:5" ht="14.5" customHeight="1">
      <c r="B283" s="86"/>
      <c r="C283" s="58" t="s">
        <v>203</v>
      </c>
      <c r="D283" s="59">
        <v>12</v>
      </c>
      <c r="E283" s="60">
        <v>6.3697648495099997E-4</v>
      </c>
    </row>
    <row r="284" spans="2:5" ht="14.5" customHeight="1">
      <c r="B284" s="86"/>
      <c r="C284" s="58" t="s">
        <v>226</v>
      </c>
      <c r="D284" s="59">
        <v>1</v>
      </c>
      <c r="E284" s="60">
        <v>5.3081373745999998E-5</v>
      </c>
    </row>
    <row r="285" spans="2:5" ht="14.5" customHeight="1">
      <c r="B285" s="86"/>
      <c r="C285" s="58" t="s">
        <v>227</v>
      </c>
      <c r="D285" s="59">
        <v>5</v>
      </c>
      <c r="E285" s="60">
        <v>2.6540686872999998E-4</v>
      </c>
    </row>
    <row r="286" spans="2:5" ht="14.5" customHeight="1">
      <c r="B286" s="86"/>
      <c r="C286" s="58" t="s">
        <v>228</v>
      </c>
      <c r="D286" s="59">
        <v>7</v>
      </c>
      <c r="E286" s="60">
        <v>3.71569616222E-4</v>
      </c>
    </row>
    <row r="287" spans="2:5" ht="14.5" customHeight="1">
      <c r="B287" s="86"/>
      <c r="C287" s="58" t="s">
        <v>229</v>
      </c>
      <c r="D287" s="59">
        <v>22</v>
      </c>
      <c r="E287" s="60">
        <v>1.1677902224109999E-3</v>
      </c>
    </row>
    <row r="288" spans="2:5" ht="14.5" customHeight="1">
      <c r="B288" s="86"/>
      <c r="C288" s="58" t="s">
        <v>230</v>
      </c>
      <c r="D288" s="59">
        <v>4</v>
      </c>
      <c r="E288" s="60">
        <v>2.1232549498399999E-4</v>
      </c>
    </row>
    <row r="289" spans="2:5" ht="14.5" customHeight="1">
      <c r="B289" s="86"/>
      <c r="C289" s="58" t="s">
        <v>231</v>
      </c>
      <c r="D289" s="59">
        <v>25</v>
      </c>
      <c r="E289" s="60">
        <v>1.327034343649E-3</v>
      </c>
    </row>
    <row r="290" spans="2:5" ht="14.5" customHeight="1">
      <c r="B290" s="87"/>
      <c r="C290" s="35" t="s">
        <v>28</v>
      </c>
      <c r="D290" s="34">
        <v>956</v>
      </c>
      <c r="E290" s="33">
        <v>5.0745793301130999E-2</v>
      </c>
    </row>
    <row r="291" spans="2:5" ht="14.5" customHeight="1">
      <c r="B291" s="85" t="s">
        <v>120</v>
      </c>
      <c r="C291" s="58" t="s">
        <v>204</v>
      </c>
      <c r="D291" s="59">
        <v>6</v>
      </c>
      <c r="E291" s="60">
        <v>3.1848824247600002E-4</v>
      </c>
    </row>
    <row r="292" spans="2:5" ht="14.5" customHeight="1">
      <c r="B292" s="86"/>
      <c r="C292" s="58" t="s">
        <v>205</v>
      </c>
      <c r="D292" s="59">
        <v>1</v>
      </c>
      <c r="E292" s="60">
        <v>5.3081373745999998E-5</v>
      </c>
    </row>
    <row r="293" spans="2:5" ht="14.5" customHeight="1">
      <c r="B293" s="86"/>
      <c r="C293" s="58" t="s">
        <v>206</v>
      </c>
      <c r="D293" s="59">
        <v>17</v>
      </c>
      <c r="E293" s="60">
        <v>9.0238335368100005E-4</v>
      </c>
    </row>
    <row r="294" spans="2:5" ht="14.5" customHeight="1">
      <c r="B294" s="86"/>
      <c r="C294" s="58" t="s">
        <v>192</v>
      </c>
      <c r="D294" s="59">
        <v>3</v>
      </c>
      <c r="E294" s="60">
        <v>1.5924412123800001E-4</v>
      </c>
    </row>
    <row r="295" spans="2:5" ht="14.5" customHeight="1">
      <c r="B295" s="86"/>
      <c r="C295" s="58" t="s">
        <v>193</v>
      </c>
      <c r="D295" s="59">
        <v>23</v>
      </c>
      <c r="E295" s="60">
        <v>1.220871596157E-3</v>
      </c>
    </row>
    <row r="296" spans="2:5" ht="14.5" customHeight="1">
      <c r="B296" s="86"/>
      <c r="C296" s="58" t="s">
        <v>207</v>
      </c>
      <c r="D296" s="59">
        <v>6</v>
      </c>
      <c r="E296" s="60">
        <v>3.1848824247600002E-4</v>
      </c>
    </row>
    <row r="297" spans="2:5" ht="14.5" customHeight="1">
      <c r="B297" s="86"/>
      <c r="C297" s="58" t="s">
        <v>194</v>
      </c>
      <c r="D297" s="59">
        <v>1</v>
      </c>
      <c r="E297" s="60">
        <v>5.3081373745999998E-5</v>
      </c>
    </row>
    <row r="298" spans="2:5" ht="14.5" customHeight="1">
      <c r="B298" s="86"/>
      <c r="C298" s="58" t="s">
        <v>195</v>
      </c>
      <c r="D298" s="59">
        <v>8</v>
      </c>
      <c r="E298" s="60">
        <v>4.2465098996799999E-4</v>
      </c>
    </row>
    <row r="299" spans="2:5" ht="14.5" customHeight="1">
      <c r="B299" s="86"/>
      <c r="C299" s="58" t="s">
        <v>208</v>
      </c>
      <c r="D299" s="59">
        <v>2</v>
      </c>
      <c r="E299" s="60">
        <v>1.06162747492E-4</v>
      </c>
    </row>
    <row r="300" spans="2:5" ht="14.5" customHeight="1">
      <c r="B300" s="86"/>
      <c r="C300" s="58" t="s">
        <v>196</v>
      </c>
      <c r="D300" s="59">
        <v>19</v>
      </c>
      <c r="E300" s="60">
        <v>1.008546101173E-3</v>
      </c>
    </row>
    <row r="301" spans="2:5" ht="14.5" customHeight="1">
      <c r="B301" s="86"/>
      <c r="C301" s="58" t="s">
        <v>209</v>
      </c>
      <c r="D301" s="59">
        <v>4</v>
      </c>
      <c r="E301" s="60">
        <v>2.1232549498399999E-4</v>
      </c>
    </row>
    <row r="302" spans="2:5" ht="14.5" customHeight="1">
      <c r="B302" s="86"/>
      <c r="C302" s="58" t="s">
        <v>210</v>
      </c>
      <c r="D302" s="59">
        <v>14</v>
      </c>
      <c r="E302" s="60">
        <v>7.4313923244300004E-4</v>
      </c>
    </row>
    <row r="303" spans="2:5" ht="14.5" customHeight="1">
      <c r="B303" s="86"/>
      <c r="C303" s="58" t="s">
        <v>197</v>
      </c>
      <c r="D303" s="59">
        <v>5</v>
      </c>
      <c r="E303" s="60">
        <v>2.6540686872999998E-4</v>
      </c>
    </row>
    <row r="304" spans="2:5" ht="14.5" customHeight="1">
      <c r="B304" s="86"/>
      <c r="C304" s="58" t="s">
        <v>198</v>
      </c>
      <c r="D304" s="59">
        <v>8</v>
      </c>
      <c r="E304" s="60">
        <v>4.2465098996799999E-4</v>
      </c>
    </row>
    <row r="305" spans="2:5" ht="14.5" customHeight="1">
      <c r="B305" s="86"/>
      <c r="C305" s="58" t="s">
        <v>211</v>
      </c>
      <c r="D305" s="59">
        <v>1</v>
      </c>
      <c r="E305" s="60">
        <v>5.3081373745999998E-5</v>
      </c>
    </row>
    <row r="306" spans="2:5" ht="14.5" customHeight="1">
      <c r="B306" s="86"/>
      <c r="C306" s="58" t="s">
        <v>213</v>
      </c>
      <c r="D306" s="59">
        <v>1</v>
      </c>
      <c r="E306" s="60">
        <v>5.3081373745999998E-5</v>
      </c>
    </row>
    <row r="307" spans="2:5" ht="14.5" customHeight="1">
      <c r="B307" s="86"/>
      <c r="C307" s="58" t="s">
        <v>214</v>
      </c>
      <c r="D307" s="59">
        <v>1</v>
      </c>
      <c r="E307" s="60">
        <v>5.3081373745999998E-5</v>
      </c>
    </row>
    <row r="308" spans="2:5" ht="14.5" customHeight="1">
      <c r="B308" s="86"/>
      <c r="C308" s="58" t="s">
        <v>215</v>
      </c>
      <c r="D308" s="59">
        <v>4</v>
      </c>
      <c r="E308" s="60">
        <v>2.1232549498399999E-4</v>
      </c>
    </row>
    <row r="309" spans="2:5" ht="14.5" customHeight="1">
      <c r="B309" s="86"/>
      <c r="C309" s="58" t="s">
        <v>217</v>
      </c>
      <c r="D309" s="59">
        <v>2</v>
      </c>
      <c r="E309" s="60">
        <v>1.06162747492E-4</v>
      </c>
    </row>
    <row r="310" spans="2:5" ht="14.5" customHeight="1">
      <c r="B310" s="86"/>
      <c r="C310" s="58" t="s">
        <v>219</v>
      </c>
      <c r="D310" s="59">
        <v>6</v>
      </c>
      <c r="E310" s="60">
        <v>3.1848824247600002E-4</v>
      </c>
    </row>
    <row r="311" spans="2:5" ht="14.5" customHeight="1">
      <c r="B311" s="86"/>
      <c r="C311" s="58" t="s">
        <v>201</v>
      </c>
      <c r="D311" s="59">
        <v>4</v>
      </c>
      <c r="E311" s="60">
        <v>2.1232549498399999E-4</v>
      </c>
    </row>
    <row r="312" spans="2:5" ht="14.5" customHeight="1">
      <c r="B312" s="86"/>
      <c r="C312" s="58" t="s">
        <v>220</v>
      </c>
      <c r="D312" s="59">
        <v>1</v>
      </c>
      <c r="E312" s="60">
        <v>5.3081373745999998E-5</v>
      </c>
    </row>
    <row r="313" spans="2:5" ht="14.5" customHeight="1">
      <c r="B313" s="86"/>
      <c r="C313" s="58" t="s">
        <v>221</v>
      </c>
      <c r="D313" s="59">
        <v>3</v>
      </c>
      <c r="E313" s="60">
        <v>1.5924412123800001E-4</v>
      </c>
    </row>
    <row r="314" spans="2:5" ht="14.5" customHeight="1">
      <c r="B314" s="86"/>
      <c r="C314" s="58" t="s">
        <v>203</v>
      </c>
      <c r="D314" s="59">
        <v>4</v>
      </c>
      <c r="E314" s="60">
        <v>2.1232549498399999E-4</v>
      </c>
    </row>
    <row r="315" spans="2:5" ht="14.5" customHeight="1">
      <c r="B315" s="86"/>
      <c r="C315" s="58" t="s">
        <v>226</v>
      </c>
      <c r="D315" s="59">
        <v>1</v>
      </c>
      <c r="E315" s="60">
        <v>5.3081373745999998E-5</v>
      </c>
    </row>
    <row r="316" spans="2:5" ht="14.5" customHeight="1">
      <c r="B316" s="86"/>
      <c r="C316" s="58" t="s">
        <v>228</v>
      </c>
      <c r="D316" s="59">
        <v>17</v>
      </c>
      <c r="E316" s="60">
        <v>9.0238335368100005E-4</v>
      </c>
    </row>
    <row r="317" spans="2:5" ht="14.5" customHeight="1">
      <c r="B317" s="86"/>
      <c r="C317" s="58" t="s">
        <v>230</v>
      </c>
      <c r="D317" s="59">
        <v>3</v>
      </c>
      <c r="E317" s="60">
        <v>1.5924412123800001E-4</v>
      </c>
    </row>
    <row r="318" spans="2:5" ht="14.5" customHeight="1">
      <c r="B318" s="86"/>
      <c r="C318" s="58" t="s">
        <v>231</v>
      </c>
      <c r="D318" s="59">
        <v>2</v>
      </c>
      <c r="E318" s="60">
        <v>1.06162747492E-4</v>
      </c>
    </row>
    <row r="319" spans="2:5" ht="14.5" customHeight="1">
      <c r="B319" s="87"/>
      <c r="C319" s="35" t="s">
        <v>28</v>
      </c>
      <c r="D319" s="34">
        <v>167</v>
      </c>
      <c r="E319" s="33">
        <v>8.8645894155739997E-3</v>
      </c>
    </row>
    <row r="320" spans="2:5" ht="14.5" customHeight="1">
      <c r="B320" s="85" t="s">
        <v>144</v>
      </c>
      <c r="C320" s="58" t="s">
        <v>195</v>
      </c>
      <c r="D320" s="59">
        <v>2</v>
      </c>
      <c r="E320" s="60">
        <v>1.06162747492E-4</v>
      </c>
    </row>
    <row r="321" spans="2:5" ht="14.5" customHeight="1">
      <c r="B321" s="86"/>
      <c r="C321" s="58" t="s">
        <v>200</v>
      </c>
      <c r="D321" s="59">
        <v>1</v>
      </c>
      <c r="E321" s="60">
        <v>5.3081373745999998E-5</v>
      </c>
    </row>
    <row r="322" spans="2:5" ht="14.5" customHeight="1">
      <c r="B322" s="86"/>
      <c r="C322" s="58" t="s">
        <v>201</v>
      </c>
      <c r="D322" s="59">
        <v>1</v>
      </c>
      <c r="E322" s="60">
        <v>5.3081373745999998E-5</v>
      </c>
    </row>
    <row r="323" spans="2:5" ht="14.5" customHeight="1">
      <c r="B323" s="87"/>
      <c r="C323" s="35" t="s">
        <v>28</v>
      </c>
      <c r="D323" s="34">
        <v>4</v>
      </c>
      <c r="E323" s="33">
        <v>2.1232549498399999E-4</v>
      </c>
    </row>
    <row r="324" spans="2:5" ht="14.5" customHeight="1">
      <c r="B324" s="85" t="s">
        <v>107</v>
      </c>
      <c r="C324" s="58" t="s">
        <v>204</v>
      </c>
      <c r="D324" s="59">
        <v>26</v>
      </c>
      <c r="E324" s="60">
        <v>1.3801157173950001E-3</v>
      </c>
    </row>
    <row r="325" spans="2:5" ht="14.5" customHeight="1">
      <c r="B325" s="86"/>
      <c r="C325" s="58" t="s">
        <v>206</v>
      </c>
      <c r="D325" s="59">
        <v>1</v>
      </c>
      <c r="E325" s="60">
        <v>5.3081373745999998E-5</v>
      </c>
    </row>
    <row r="326" spans="2:5" ht="14.5" customHeight="1">
      <c r="B326" s="86"/>
      <c r="C326" s="58" t="s">
        <v>192</v>
      </c>
      <c r="D326" s="59">
        <v>13</v>
      </c>
      <c r="E326" s="60">
        <v>6.90057858697E-4</v>
      </c>
    </row>
    <row r="327" spans="2:5" ht="14.5" customHeight="1">
      <c r="B327" s="86"/>
      <c r="C327" s="58" t="s">
        <v>193</v>
      </c>
      <c r="D327" s="59">
        <v>81</v>
      </c>
      <c r="E327" s="60">
        <v>4.2995912734219996E-3</v>
      </c>
    </row>
    <row r="328" spans="2:5" ht="14.5" customHeight="1">
      <c r="B328" s="86"/>
      <c r="C328" s="58" t="s">
        <v>207</v>
      </c>
      <c r="D328" s="59">
        <v>12</v>
      </c>
      <c r="E328" s="60">
        <v>6.3697648495099997E-4</v>
      </c>
    </row>
    <row r="329" spans="2:5" ht="14.5" customHeight="1">
      <c r="B329" s="86"/>
      <c r="C329" s="58" t="s">
        <v>233</v>
      </c>
      <c r="D329" s="59">
        <v>1</v>
      </c>
      <c r="E329" s="60">
        <v>5.3081373745999998E-5</v>
      </c>
    </row>
    <row r="330" spans="2:5" ht="14.5" customHeight="1">
      <c r="B330" s="86"/>
      <c r="C330" s="58" t="s">
        <v>194</v>
      </c>
      <c r="D330" s="59">
        <v>2</v>
      </c>
      <c r="E330" s="60">
        <v>1.06162747492E-4</v>
      </c>
    </row>
    <row r="331" spans="2:5" ht="14.5" customHeight="1">
      <c r="B331" s="86"/>
      <c r="C331" s="58" t="s">
        <v>195</v>
      </c>
      <c r="D331" s="59">
        <v>11</v>
      </c>
      <c r="E331" s="60">
        <v>5.8389511120500003E-4</v>
      </c>
    </row>
    <row r="332" spans="2:5" ht="14.5" customHeight="1">
      <c r="B332" s="86"/>
      <c r="C332" s="58" t="s">
        <v>208</v>
      </c>
      <c r="D332" s="59">
        <v>6</v>
      </c>
      <c r="E332" s="60">
        <v>3.1848824247600002E-4</v>
      </c>
    </row>
    <row r="333" spans="2:5" ht="14.5" customHeight="1">
      <c r="B333" s="86"/>
      <c r="C333" s="58" t="s">
        <v>196</v>
      </c>
      <c r="D333" s="59">
        <v>85</v>
      </c>
      <c r="E333" s="60">
        <v>4.5119167684059998E-3</v>
      </c>
    </row>
    <row r="334" spans="2:5" ht="14.5" customHeight="1">
      <c r="B334" s="86"/>
      <c r="C334" s="58" t="s">
        <v>209</v>
      </c>
      <c r="D334" s="59">
        <v>2</v>
      </c>
      <c r="E334" s="60">
        <v>1.06162747492E-4</v>
      </c>
    </row>
    <row r="335" spans="2:5" ht="14.5" customHeight="1">
      <c r="B335" s="86"/>
      <c r="C335" s="58" t="s">
        <v>197</v>
      </c>
      <c r="D335" s="59">
        <v>46</v>
      </c>
      <c r="E335" s="60">
        <v>2.4417431923139999E-3</v>
      </c>
    </row>
    <row r="336" spans="2:5" ht="14.5" customHeight="1">
      <c r="B336" s="86"/>
      <c r="C336" s="58" t="s">
        <v>198</v>
      </c>
      <c r="D336" s="59">
        <v>27</v>
      </c>
      <c r="E336" s="60">
        <v>1.4331970911409999E-3</v>
      </c>
    </row>
    <row r="337" spans="2:5" ht="14.5" customHeight="1">
      <c r="B337" s="86"/>
      <c r="C337" s="58" t="s">
        <v>199</v>
      </c>
      <c r="D337" s="59">
        <v>1</v>
      </c>
      <c r="E337" s="60">
        <v>5.3081373745999998E-5</v>
      </c>
    </row>
    <row r="338" spans="2:5" ht="14.5" customHeight="1">
      <c r="B338" s="86"/>
      <c r="C338" s="58" t="s">
        <v>211</v>
      </c>
      <c r="D338" s="59">
        <v>11</v>
      </c>
      <c r="E338" s="60">
        <v>5.8389511120500003E-4</v>
      </c>
    </row>
    <row r="339" spans="2:5" ht="14.5" customHeight="1">
      <c r="B339" s="86"/>
      <c r="C339" s="58" t="s">
        <v>212</v>
      </c>
      <c r="D339" s="59">
        <v>1</v>
      </c>
      <c r="E339" s="60">
        <v>5.3081373745999998E-5</v>
      </c>
    </row>
    <row r="340" spans="2:5" ht="14.5" customHeight="1">
      <c r="B340" s="86"/>
      <c r="C340" s="58" t="s">
        <v>213</v>
      </c>
      <c r="D340" s="59">
        <v>4</v>
      </c>
      <c r="E340" s="60">
        <v>2.1232549498399999E-4</v>
      </c>
    </row>
    <row r="341" spans="2:5" ht="14.5" customHeight="1">
      <c r="B341" s="86"/>
      <c r="C341" s="58" t="s">
        <v>214</v>
      </c>
      <c r="D341" s="59">
        <v>2</v>
      </c>
      <c r="E341" s="60">
        <v>1.06162747492E-4</v>
      </c>
    </row>
    <row r="342" spans="2:5" ht="14.5" customHeight="1">
      <c r="B342" s="86"/>
      <c r="C342" s="58" t="s">
        <v>215</v>
      </c>
      <c r="D342" s="59">
        <v>15</v>
      </c>
      <c r="E342" s="60">
        <v>7.9622060618899997E-4</v>
      </c>
    </row>
    <row r="343" spans="2:5" ht="14.5" customHeight="1">
      <c r="B343" s="86"/>
      <c r="C343" s="58" t="s">
        <v>217</v>
      </c>
      <c r="D343" s="59">
        <v>5</v>
      </c>
      <c r="E343" s="60">
        <v>2.6540686872999998E-4</v>
      </c>
    </row>
    <row r="344" spans="2:5" ht="14.5" customHeight="1">
      <c r="B344" s="86"/>
      <c r="C344" s="58" t="s">
        <v>218</v>
      </c>
      <c r="D344" s="59">
        <v>7</v>
      </c>
      <c r="E344" s="60">
        <v>3.71569616222E-4</v>
      </c>
    </row>
    <row r="345" spans="2:5" ht="14.5" customHeight="1">
      <c r="B345" s="86"/>
      <c r="C345" s="58" t="s">
        <v>219</v>
      </c>
      <c r="D345" s="59">
        <v>4</v>
      </c>
      <c r="E345" s="60">
        <v>2.1232549498399999E-4</v>
      </c>
    </row>
    <row r="346" spans="2:5" ht="14.5" customHeight="1">
      <c r="B346" s="86"/>
      <c r="C346" s="58" t="s">
        <v>200</v>
      </c>
      <c r="D346" s="59">
        <v>5</v>
      </c>
      <c r="E346" s="60">
        <v>2.6540686872999998E-4</v>
      </c>
    </row>
    <row r="347" spans="2:5" ht="14.5" customHeight="1">
      <c r="B347" s="86"/>
      <c r="C347" s="58" t="s">
        <v>201</v>
      </c>
      <c r="D347" s="59">
        <v>8</v>
      </c>
      <c r="E347" s="60">
        <v>4.2465098996799999E-4</v>
      </c>
    </row>
    <row r="348" spans="2:5" ht="14.5" customHeight="1">
      <c r="B348" s="86"/>
      <c r="C348" s="58" t="s">
        <v>220</v>
      </c>
      <c r="D348" s="59">
        <v>10</v>
      </c>
      <c r="E348" s="60">
        <v>5.3081373745999996E-4</v>
      </c>
    </row>
    <row r="349" spans="2:5" ht="14.5" customHeight="1">
      <c r="B349" s="86"/>
      <c r="C349" s="58" t="s">
        <v>221</v>
      </c>
      <c r="D349" s="59">
        <v>2</v>
      </c>
      <c r="E349" s="60">
        <v>1.06162747492E-4</v>
      </c>
    </row>
    <row r="350" spans="2:5" ht="14.5" customHeight="1">
      <c r="B350" s="86"/>
      <c r="C350" s="58" t="s">
        <v>222</v>
      </c>
      <c r="D350" s="59">
        <v>5</v>
      </c>
      <c r="E350" s="60">
        <v>2.6540686872999998E-4</v>
      </c>
    </row>
    <row r="351" spans="2:5" ht="14.5" customHeight="1">
      <c r="B351" s="86"/>
      <c r="C351" s="58" t="s">
        <v>223</v>
      </c>
      <c r="D351" s="59">
        <v>5</v>
      </c>
      <c r="E351" s="60">
        <v>2.6540686872999998E-4</v>
      </c>
    </row>
    <row r="352" spans="2:5" ht="14.5" customHeight="1">
      <c r="B352" s="86"/>
      <c r="C352" s="58" t="s">
        <v>224</v>
      </c>
      <c r="D352" s="59">
        <v>2</v>
      </c>
      <c r="E352" s="60">
        <v>1.06162747492E-4</v>
      </c>
    </row>
    <row r="353" spans="2:5" ht="14.5" customHeight="1">
      <c r="B353" s="86"/>
      <c r="C353" s="58" t="s">
        <v>225</v>
      </c>
      <c r="D353" s="59">
        <v>2</v>
      </c>
      <c r="E353" s="60">
        <v>1.06162747492E-4</v>
      </c>
    </row>
    <row r="354" spans="2:5" ht="14.5" customHeight="1">
      <c r="B354" s="86"/>
      <c r="C354" s="58" t="s">
        <v>202</v>
      </c>
      <c r="D354" s="59">
        <v>5</v>
      </c>
      <c r="E354" s="60">
        <v>2.6540686872999998E-4</v>
      </c>
    </row>
    <row r="355" spans="2:5" ht="14.5" customHeight="1">
      <c r="B355" s="86"/>
      <c r="C355" s="58" t="s">
        <v>203</v>
      </c>
      <c r="D355" s="59">
        <v>9</v>
      </c>
      <c r="E355" s="60">
        <v>4.7773236371400003E-4</v>
      </c>
    </row>
    <row r="356" spans="2:5" ht="14.5" customHeight="1">
      <c r="B356" s="86"/>
      <c r="C356" s="58" t="s">
        <v>226</v>
      </c>
      <c r="D356" s="59">
        <v>2</v>
      </c>
      <c r="E356" s="60">
        <v>1.06162747492E-4</v>
      </c>
    </row>
    <row r="357" spans="2:5" ht="14.5" customHeight="1">
      <c r="B357" s="86"/>
      <c r="C357" s="58" t="s">
        <v>228</v>
      </c>
      <c r="D357" s="59">
        <v>2</v>
      </c>
      <c r="E357" s="60">
        <v>1.06162747492E-4</v>
      </c>
    </row>
    <row r="358" spans="2:5" ht="14.5" customHeight="1">
      <c r="B358" s="86"/>
      <c r="C358" s="58" t="s">
        <v>229</v>
      </c>
      <c r="D358" s="59">
        <v>31</v>
      </c>
      <c r="E358" s="60">
        <v>1.6455225861250001E-3</v>
      </c>
    </row>
    <row r="359" spans="2:5" ht="14.5" customHeight="1">
      <c r="B359" s="86"/>
      <c r="C359" s="58" t="s">
        <v>231</v>
      </c>
      <c r="D359" s="59">
        <v>5</v>
      </c>
      <c r="E359" s="60">
        <v>2.6540686872999998E-4</v>
      </c>
    </row>
    <row r="360" spans="2:5" ht="14.5" customHeight="1">
      <c r="B360" s="87"/>
      <c r="C360" s="35" t="s">
        <v>28</v>
      </c>
      <c r="D360" s="34">
        <v>456</v>
      </c>
      <c r="E360" s="33">
        <v>2.4205106428153999E-2</v>
      </c>
    </row>
    <row r="361" spans="2:5" ht="14.5" customHeight="1">
      <c r="B361" s="85" t="s">
        <v>135</v>
      </c>
      <c r="C361" s="58" t="s">
        <v>193</v>
      </c>
      <c r="D361" s="59">
        <v>11</v>
      </c>
      <c r="E361" s="60">
        <v>5.8389511120500003E-4</v>
      </c>
    </row>
    <row r="362" spans="2:5" ht="14.5" customHeight="1">
      <c r="B362" s="86"/>
      <c r="C362" s="58" t="s">
        <v>195</v>
      </c>
      <c r="D362" s="59">
        <v>2</v>
      </c>
      <c r="E362" s="60">
        <v>1.06162747492E-4</v>
      </c>
    </row>
    <row r="363" spans="2:5" ht="14.5" customHeight="1">
      <c r="B363" s="86"/>
      <c r="C363" s="58" t="s">
        <v>196</v>
      </c>
      <c r="D363" s="59">
        <v>6</v>
      </c>
      <c r="E363" s="60">
        <v>3.1848824247600002E-4</v>
      </c>
    </row>
    <row r="364" spans="2:5" ht="14.5" customHeight="1">
      <c r="B364" s="86"/>
      <c r="C364" s="58" t="s">
        <v>198</v>
      </c>
      <c r="D364" s="59">
        <v>3</v>
      </c>
      <c r="E364" s="60">
        <v>1.5924412123800001E-4</v>
      </c>
    </row>
    <row r="365" spans="2:5" ht="14.5" customHeight="1">
      <c r="B365" s="86"/>
      <c r="C365" s="58" t="s">
        <v>199</v>
      </c>
      <c r="D365" s="59">
        <v>2</v>
      </c>
      <c r="E365" s="60">
        <v>1.06162747492E-4</v>
      </c>
    </row>
    <row r="366" spans="2:5" ht="14.5" customHeight="1">
      <c r="B366" s="86"/>
      <c r="C366" s="58" t="s">
        <v>211</v>
      </c>
      <c r="D366" s="59">
        <v>1</v>
      </c>
      <c r="E366" s="60">
        <v>5.3081373745999998E-5</v>
      </c>
    </row>
    <row r="367" spans="2:5" ht="14.5" customHeight="1">
      <c r="B367" s="86"/>
      <c r="C367" s="58" t="s">
        <v>212</v>
      </c>
      <c r="D367" s="59">
        <v>1</v>
      </c>
      <c r="E367" s="60">
        <v>5.3081373745999998E-5</v>
      </c>
    </row>
    <row r="368" spans="2:5" ht="14.5" customHeight="1">
      <c r="B368" s="86"/>
      <c r="C368" s="58" t="s">
        <v>217</v>
      </c>
      <c r="D368" s="59">
        <v>1</v>
      </c>
      <c r="E368" s="60">
        <v>5.3081373745999998E-5</v>
      </c>
    </row>
    <row r="369" spans="2:5" ht="14.5" customHeight="1">
      <c r="B369" s="86"/>
      <c r="C369" s="58" t="s">
        <v>219</v>
      </c>
      <c r="D369" s="59">
        <v>2</v>
      </c>
      <c r="E369" s="60">
        <v>1.06162747492E-4</v>
      </c>
    </row>
    <row r="370" spans="2:5" ht="14.5" customHeight="1">
      <c r="B370" s="86"/>
      <c r="C370" s="58" t="s">
        <v>200</v>
      </c>
      <c r="D370" s="59">
        <v>1</v>
      </c>
      <c r="E370" s="60">
        <v>5.3081373745999998E-5</v>
      </c>
    </row>
    <row r="371" spans="2:5" ht="14.5" customHeight="1">
      <c r="B371" s="86"/>
      <c r="C371" s="58" t="s">
        <v>220</v>
      </c>
      <c r="D371" s="59">
        <v>1</v>
      </c>
      <c r="E371" s="60">
        <v>5.3081373745999998E-5</v>
      </c>
    </row>
    <row r="372" spans="2:5" ht="14.5" customHeight="1">
      <c r="B372" s="86"/>
      <c r="C372" s="58" t="s">
        <v>221</v>
      </c>
      <c r="D372" s="59">
        <v>1</v>
      </c>
      <c r="E372" s="60">
        <v>5.3081373745999998E-5</v>
      </c>
    </row>
    <row r="373" spans="2:5" ht="14.5" customHeight="1">
      <c r="B373" s="86"/>
      <c r="C373" s="58" t="s">
        <v>223</v>
      </c>
      <c r="D373" s="59">
        <v>1</v>
      </c>
      <c r="E373" s="60">
        <v>5.3081373745999998E-5</v>
      </c>
    </row>
    <row r="374" spans="2:5" ht="14.5" customHeight="1">
      <c r="B374" s="86"/>
      <c r="C374" s="58" t="s">
        <v>203</v>
      </c>
      <c r="D374" s="59">
        <v>2</v>
      </c>
      <c r="E374" s="60">
        <v>1.06162747492E-4</v>
      </c>
    </row>
    <row r="375" spans="2:5" ht="14.5" customHeight="1">
      <c r="B375" s="86"/>
      <c r="C375" s="58" t="s">
        <v>229</v>
      </c>
      <c r="D375" s="59">
        <v>1</v>
      </c>
      <c r="E375" s="60">
        <v>5.3081373745999998E-5</v>
      </c>
    </row>
    <row r="376" spans="2:5" ht="14.5" customHeight="1">
      <c r="B376" s="86"/>
      <c r="C376" s="58" t="s">
        <v>231</v>
      </c>
      <c r="D376" s="59">
        <v>1</v>
      </c>
      <c r="E376" s="60">
        <v>5.3081373745999998E-5</v>
      </c>
    </row>
    <row r="377" spans="2:5" ht="14.5" customHeight="1">
      <c r="B377" s="87"/>
      <c r="C377" s="35" t="s">
        <v>28</v>
      </c>
      <c r="D377" s="34">
        <v>37</v>
      </c>
      <c r="E377" s="33">
        <v>1.9640108285999998E-3</v>
      </c>
    </row>
    <row r="378" spans="2:5" ht="14.5" customHeight="1">
      <c r="B378" s="85" t="s">
        <v>110</v>
      </c>
      <c r="C378" s="58" t="s">
        <v>204</v>
      </c>
      <c r="D378" s="59">
        <v>19</v>
      </c>
      <c r="E378" s="60">
        <v>1.008546101173E-3</v>
      </c>
    </row>
    <row r="379" spans="2:5" ht="14.5" customHeight="1">
      <c r="B379" s="86"/>
      <c r="C379" s="58" t="s">
        <v>205</v>
      </c>
      <c r="D379" s="59">
        <v>5</v>
      </c>
      <c r="E379" s="60">
        <v>2.6540686872999998E-4</v>
      </c>
    </row>
    <row r="380" spans="2:5" ht="14.5" customHeight="1">
      <c r="B380" s="86"/>
      <c r="C380" s="58" t="s">
        <v>192</v>
      </c>
      <c r="D380" s="59">
        <v>4</v>
      </c>
      <c r="E380" s="60">
        <v>2.1232549498399999E-4</v>
      </c>
    </row>
    <row r="381" spans="2:5" ht="14.5" customHeight="1">
      <c r="B381" s="86"/>
      <c r="C381" s="58" t="s">
        <v>193</v>
      </c>
      <c r="D381" s="59">
        <v>53</v>
      </c>
      <c r="E381" s="60">
        <v>2.8133128085349999E-3</v>
      </c>
    </row>
    <row r="382" spans="2:5" ht="14.5" customHeight="1">
      <c r="B382" s="86"/>
      <c r="C382" s="58" t="s">
        <v>207</v>
      </c>
      <c r="D382" s="59">
        <v>2</v>
      </c>
      <c r="E382" s="60">
        <v>1.06162747492E-4</v>
      </c>
    </row>
    <row r="383" spans="2:5" ht="14.5" customHeight="1">
      <c r="B383" s="86"/>
      <c r="C383" s="58" t="s">
        <v>194</v>
      </c>
      <c r="D383" s="59">
        <v>1</v>
      </c>
      <c r="E383" s="60">
        <v>5.3081373745999998E-5</v>
      </c>
    </row>
    <row r="384" spans="2:5" ht="14.5" customHeight="1">
      <c r="B384" s="86"/>
      <c r="C384" s="58" t="s">
        <v>195</v>
      </c>
      <c r="D384" s="59">
        <v>5</v>
      </c>
      <c r="E384" s="60">
        <v>2.6540686872999998E-4</v>
      </c>
    </row>
    <row r="385" spans="2:5" ht="14.5" customHeight="1">
      <c r="B385" s="86"/>
      <c r="C385" s="58" t="s">
        <v>196</v>
      </c>
      <c r="D385" s="59">
        <v>9</v>
      </c>
      <c r="E385" s="60">
        <v>4.7773236371400003E-4</v>
      </c>
    </row>
    <row r="386" spans="2:5" ht="14.5" customHeight="1">
      <c r="B386" s="86"/>
      <c r="C386" s="58" t="s">
        <v>209</v>
      </c>
      <c r="D386" s="59">
        <v>1</v>
      </c>
      <c r="E386" s="60">
        <v>5.3081373745999998E-5</v>
      </c>
    </row>
    <row r="387" spans="2:5" ht="14.5" customHeight="1">
      <c r="B387" s="86"/>
      <c r="C387" s="58" t="s">
        <v>197</v>
      </c>
      <c r="D387" s="59">
        <v>4</v>
      </c>
      <c r="E387" s="60">
        <v>2.1232549498399999E-4</v>
      </c>
    </row>
    <row r="388" spans="2:5" ht="14.5" customHeight="1">
      <c r="B388" s="86"/>
      <c r="C388" s="58" t="s">
        <v>198</v>
      </c>
      <c r="D388" s="59">
        <v>7</v>
      </c>
      <c r="E388" s="60">
        <v>3.71569616222E-4</v>
      </c>
    </row>
    <row r="389" spans="2:5" ht="14.5" customHeight="1">
      <c r="B389" s="86"/>
      <c r="C389" s="58" t="s">
        <v>199</v>
      </c>
      <c r="D389" s="59">
        <v>3</v>
      </c>
      <c r="E389" s="60">
        <v>1.5924412123800001E-4</v>
      </c>
    </row>
    <row r="390" spans="2:5" ht="14.5" customHeight="1">
      <c r="B390" s="86"/>
      <c r="C390" s="58" t="s">
        <v>211</v>
      </c>
      <c r="D390" s="59">
        <v>3</v>
      </c>
      <c r="E390" s="60">
        <v>1.5924412123800001E-4</v>
      </c>
    </row>
    <row r="391" spans="2:5" ht="14.5" customHeight="1">
      <c r="B391" s="86"/>
      <c r="C391" s="58" t="s">
        <v>213</v>
      </c>
      <c r="D391" s="59">
        <v>3</v>
      </c>
      <c r="E391" s="60">
        <v>1.5924412123800001E-4</v>
      </c>
    </row>
    <row r="392" spans="2:5" ht="14.5" customHeight="1">
      <c r="B392" s="86"/>
      <c r="C392" s="58" t="s">
        <v>214</v>
      </c>
      <c r="D392" s="59">
        <v>4</v>
      </c>
      <c r="E392" s="60">
        <v>2.1232549498399999E-4</v>
      </c>
    </row>
    <row r="393" spans="2:5" ht="14.5" customHeight="1">
      <c r="B393" s="86"/>
      <c r="C393" s="58" t="s">
        <v>216</v>
      </c>
      <c r="D393" s="59">
        <v>26</v>
      </c>
      <c r="E393" s="60">
        <v>1.3801157173950001E-3</v>
      </c>
    </row>
    <row r="394" spans="2:5" ht="14.5" customHeight="1">
      <c r="B394" s="86"/>
      <c r="C394" s="58" t="s">
        <v>217</v>
      </c>
      <c r="D394" s="59">
        <v>1</v>
      </c>
      <c r="E394" s="60">
        <v>5.3081373745999998E-5</v>
      </c>
    </row>
    <row r="395" spans="2:5" ht="14.5" customHeight="1">
      <c r="B395" s="86"/>
      <c r="C395" s="58" t="s">
        <v>218</v>
      </c>
      <c r="D395" s="59">
        <v>2</v>
      </c>
      <c r="E395" s="60">
        <v>1.06162747492E-4</v>
      </c>
    </row>
    <row r="396" spans="2:5" ht="14.5" customHeight="1">
      <c r="B396" s="86"/>
      <c r="C396" s="58" t="s">
        <v>219</v>
      </c>
      <c r="D396" s="59">
        <v>5</v>
      </c>
      <c r="E396" s="60">
        <v>2.6540686872999998E-4</v>
      </c>
    </row>
    <row r="397" spans="2:5" ht="14.5" customHeight="1">
      <c r="B397" s="86"/>
      <c r="C397" s="58" t="s">
        <v>200</v>
      </c>
      <c r="D397" s="59">
        <v>2</v>
      </c>
      <c r="E397" s="60">
        <v>1.06162747492E-4</v>
      </c>
    </row>
    <row r="398" spans="2:5" ht="14.5" customHeight="1">
      <c r="B398" s="86"/>
      <c r="C398" s="58" t="s">
        <v>201</v>
      </c>
      <c r="D398" s="59">
        <v>6</v>
      </c>
      <c r="E398" s="60">
        <v>3.1848824247600002E-4</v>
      </c>
    </row>
    <row r="399" spans="2:5" ht="14.5" customHeight="1">
      <c r="B399" s="86"/>
      <c r="C399" s="58" t="s">
        <v>221</v>
      </c>
      <c r="D399" s="59">
        <v>7</v>
      </c>
      <c r="E399" s="60">
        <v>3.71569616222E-4</v>
      </c>
    </row>
    <row r="400" spans="2:5" ht="14.5" customHeight="1">
      <c r="B400" s="86"/>
      <c r="C400" s="58" t="s">
        <v>223</v>
      </c>
      <c r="D400" s="59">
        <v>5</v>
      </c>
      <c r="E400" s="60">
        <v>2.6540686872999998E-4</v>
      </c>
    </row>
    <row r="401" spans="2:5" ht="14.5" customHeight="1">
      <c r="B401" s="86"/>
      <c r="C401" s="58" t="s">
        <v>224</v>
      </c>
      <c r="D401" s="59">
        <v>6</v>
      </c>
      <c r="E401" s="60">
        <v>3.1848824247600002E-4</v>
      </c>
    </row>
    <row r="402" spans="2:5" ht="14.5" customHeight="1">
      <c r="B402" s="86"/>
      <c r="C402" s="58" t="s">
        <v>225</v>
      </c>
      <c r="D402" s="59">
        <v>1</v>
      </c>
      <c r="E402" s="60">
        <v>5.3081373745999998E-5</v>
      </c>
    </row>
    <row r="403" spans="2:5" ht="14.5" customHeight="1">
      <c r="B403" s="86"/>
      <c r="C403" s="58" t="s">
        <v>202</v>
      </c>
      <c r="D403" s="59">
        <v>2</v>
      </c>
      <c r="E403" s="60">
        <v>1.06162747492E-4</v>
      </c>
    </row>
    <row r="404" spans="2:5" ht="14.5" customHeight="1">
      <c r="B404" s="86"/>
      <c r="C404" s="58" t="s">
        <v>203</v>
      </c>
      <c r="D404" s="59">
        <v>34</v>
      </c>
      <c r="E404" s="60">
        <v>1.8047667073620001E-3</v>
      </c>
    </row>
    <row r="405" spans="2:5" ht="14.5" customHeight="1">
      <c r="B405" s="86"/>
      <c r="C405" s="58" t="s">
        <v>227</v>
      </c>
      <c r="D405" s="59">
        <v>116</v>
      </c>
      <c r="E405" s="60">
        <v>6.1574393545299998E-3</v>
      </c>
    </row>
    <row r="406" spans="2:5" ht="14.5" customHeight="1">
      <c r="B406" s="86"/>
      <c r="C406" s="58" t="s">
        <v>228</v>
      </c>
      <c r="D406" s="59">
        <v>3</v>
      </c>
      <c r="E406" s="60">
        <v>1.5924412123800001E-4</v>
      </c>
    </row>
    <row r="407" spans="2:5" ht="14.5" customHeight="1">
      <c r="B407" s="86"/>
      <c r="C407" s="58" t="s">
        <v>229</v>
      </c>
      <c r="D407" s="59">
        <v>4</v>
      </c>
      <c r="E407" s="60">
        <v>2.1232549498399999E-4</v>
      </c>
    </row>
    <row r="408" spans="2:5" ht="14.5" customHeight="1">
      <c r="B408" s="86"/>
      <c r="C408" s="58" t="s">
        <v>230</v>
      </c>
      <c r="D408" s="59">
        <v>8</v>
      </c>
      <c r="E408" s="60">
        <v>4.2465098996799999E-4</v>
      </c>
    </row>
    <row r="409" spans="2:5" ht="14.5" customHeight="1">
      <c r="B409" s="86"/>
      <c r="C409" s="58" t="s">
        <v>231</v>
      </c>
      <c r="D409" s="59">
        <v>7</v>
      </c>
      <c r="E409" s="60">
        <v>3.71569616222E-4</v>
      </c>
    </row>
    <row r="410" spans="2:5" ht="14.5" customHeight="1">
      <c r="B410" s="87"/>
      <c r="C410" s="35" t="s">
        <v>28</v>
      </c>
      <c r="D410" s="34">
        <v>358</v>
      </c>
      <c r="E410" s="33">
        <v>1.9003131801050999E-2</v>
      </c>
    </row>
    <row r="411" spans="2:5" ht="14.5" customHeight="1">
      <c r="B411" s="85" t="s">
        <v>103</v>
      </c>
      <c r="C411" s="58" t="s">
        <v>204</v>
      </c>
      <c r="D411" s="59">
        <v>60</v>
      </c>
      <c r="E411" s="60">
        <v>3.184882424757E-3</v>
      </c>
    </row>
    <row r="412" spans="2:5" ht="14.5" customHeight="1">
      <c r="B412" s="86"/>
      <c r="C412" s="58" t="s">
        <v>206</v>
      </c>
      <c r="D412" s="59">
        <v>3</v>
      </c>
      <c r="E412" s="60">
        <v>1.5924412123800001E-4</v>
      </c>
    </row>
    <row r="413" spans="2:5" ht="14.5" customHeight="1">
      <c r="B413" s="86"/>
      <c r="C413" s="58" t="s">
        <v>192</v>
      </c>
      <c r="D413" s="59">
        <v>39</v>
      </c>
      <c r="E413" s="60">
        <v>2.0701735760919999E-3</v>
      </c>
    </row>
    <row r="414" spans="2:5" ht="14.5" customHeight="1">
      <c r="B414" s="86"/>
      <c r="C414" s="58" t="s">
        <v>193</v>
      </c>
      <c r="D414" s="59">
        <v>115</v>
      </c>
      <c r="E414" s="60">
        <v>6.1043579807849996E-3</v>
      </c>
    </row>
    <row r="415" spans="2:5" ht="14.5" customHeight="1">
      <c r="B415" s="86"/>
      <c r="C415" s="58" t="s">
        <v>207</v>
      </c>
      <c r="D415" s="59">
        <v>8</v>
      </c>
      <c r="E415" s="60">
        <v>4.2465098996799999E-4</v>
      </c>
    </row>
    <row r="416" spans="2:5" ht="14.5" customHeight="1">
      <c r="B416" s="86"/>
      <c r="C416" s="58" t="s">
        <v>194</v>
      </c>
      <c r="D416" s="59">
        <v>3</v>
      </c>
      <c r="E416" s="60">
        <v>1.5924412123800001E-4</v>
      </c>
    </row>
    <row r="417" spans="2:5" ht="14.5" customHeight="1">
      <c r="B417" s="86"/>
      <c r="C417" s="58" t="s">
        <v>195</v>
      </c>
      <c r="D417" s="59">
        <v>66</v>
      </c>
      <c r="E417" s="60">
        <v>3.5033706672330002E-3</v>
      </c>
    </row>
    <row r="418" spans="2:5" ht="14.5" customHeight="1">
      <c r="B418" s="86"/>
      <c r="C418" s="58" t="s">
        <v>208</v>
      </c>
      <c r="D418" s="59">
        <v>2</v>
      </c>
      <c r="E418" s="60">
        <v>1.06162747492E-4</v>
      </c>
    </row>
    <row r="419" spans="2:5" ht="14.5" customHeight="1">
      <c r="B419" s="86"/>
      <c r="C419" s="58" t="s">
        <v>196</v>
      </c>
      <c r="D419" s="59">
        <v>109</v>
      </c>
      <c r="E419" s="60">
        <v>5.7858697383089998E-3</v>
      </c>
    </row>
    <row r="420" spans="2:5" ht="14.5" customHeight="1">
      <c r="B420" s="86"/>
      <c r="C420" s="58" t="s">
        <v>209</v>
      </c>
      <c r="D420" s="59">
        <v>11</v>
      </c>
      <c r="E420" s="60">
        <v>5.8389511120500003E-4</v>
      </c>
    </row>
    <row r="421" spans="2:5" ht="14.5" customHeight="1">
      <c r="B421" s="86"/>
      <c r="C421" s="58" t="s">
        <v>210</v>
      </c>
      <c r="D421" s="59">
        <v>12</v>
      </c>
      <c r="E421" s="60">
        <v>6.3697648495099997E-4</v>
      </c>
    </row>
    <row r="422" spans="2:5" ht="14.5" customHeight="1">
      <c r="B422" s="86"/>
      <c r="C422" s="58" t="s">
        <v>197</v>
      </c>
      <c r="D422" s="59">
        <v>46</v>
      </c>
      <c r="E422" s="60">
        <v>2.4417431923139999E-3</v>
      </c>
    </row>
    <row r="423" spans="2:5" ht="14.5" customHeight="1">
      <c r="B423" s="86"/>
      <c r="C423" s="58" t="s">
        <v>198</v>
      </c>
      <c r="D423" s="59">
        <v>21</v>
      </c>
      <c r="E423" s="60">
        <v>1.1147088486650001E-3</v>
      </c>
    </row>
    <row r="424" spans="2:5" ht="14.5" customHeight="1">
      <c r="B424" s="86"/>
      <c r="C424" s="58" t="s">
        <v>199</v>
      </c>
      <c r="D424" s="59">
        <v>5</v>
      </c>
      <c r="E424" s="60">
        <v>2.6540686872999998E-4</v>
      </c>
    </row>
    <row r="425" spans="2:5" ht="14.5" customHeight="1">
      <c r="B425" s="86"/>
      <c r="C425" s="58" t="s">
        <v>211</v>
      </c>
      <c r="D425" s="59">
        <v>7</v>
      </c>
      <c r="E425" s="60">
        <v>3.71569616222E-4</v>
      </c>
    </row>
    <row r="426" spans="2:5" ht="14.5" customHeight="1">
      <c r="B426" s="86"/>
      <c r="C426" s="58" t="s">
        <v>213</v>
      </c>
      <c r="D426" s="59">
        <v>7</v>
      </c>
      <c r="E426" s="60">
        <v>3.71569616222E-4</v>
      </c>
    </row>
    <row r="427" spans="2:5" ht="14.5" customHeight="1">
      <c r="B427" s="86"/>
      <c r="C427" s="58" t="s">
        <v>214</v>
      </c>
      <c r="D427" s="59">
        <v>19</v>
      </c>
      <c r="E427" s="60">
        <v>1.008546101173E-3</v>
      </c>
    </row>
    <row r="428" spans="2:5" ht="14.5" customHeight="1">
      <c r="B428" s="86"/>
      <c r="C428" s="58" t="s">
        <v>215</v>
      </c>
      <c r="D428" s="59">
        <v>11</v>
      </c>
      <c r="E428" s="60">
        <v>5.8389511120500003E-4</v>
      </c>
    </row>
    <row r="429" spans="2:5" ht="14.5" customHeight="1">
      <c r="B429" s="86"/>
      <c r="C429" s="58" t="s">
        <v>217</v>
      </c>
      <c r="D429" s="59">
        <v>11</v>
      </c>
      <c r="E429" s="60">
        <v>5.8389511120500003E-4</v>
      </c>
    </row>
    <row r="430" spans="2:5" ht="14.5" customHeight="1">
      <c r="B430" s="86"/>
      <c r="C430" s="58" t="s">
        <v>218</v>
      </c>
      <c r="D430" s="59">
        <v>39</v>
      </c>
      <c r="E430" s="60">
        <v>2.0701735760919999E-3</v>
      </c>
    </row>
    <row r="431" spans="2:5" ht="14.5" customHeight="1">
      <c r="B431" s="86"/>
      <c r="C431" s="58" t="s">
        <v>200</v>
      </c>
      <c r="D431" s="59">
        <v>19</v>
      </c>
      <c r="E431" s="60">
        <v>1.008546101173E-3</v>
      </c>
    </row>
    <row r="432" spans="2:5" ht="14.5" customHeight="1">
      <c r="B432" s="86"/>
      <c r="C432" s="58" t="s">
        <v>201</v>
      </c>
      <c r="D432" s="59">
        <v>4</v>
      </c>
      <c r="E432" s="60">
        <v>2.1232549498399999E-4</v>
      </c>
    </row>
    <row r="433" spans="2:5" ht="14.5" customHeight="1">
      <c r="B433" s="86"/>
      <c r="C433" s="58" t="s">
        <v>220</v>
      </c>
      <c r="D433" s="59">
        <v>3</v>
      </c>
      <c r="E433" s="60">
        <v>1.5924412123800001E-4</v>
      </c>
    </row>
    <row r="434" spans="2:5" ht="14.5" customHeight="1">
      <c r="B434" s="86"/>
      <c r="C434" s="58" t="s">
        <v>221</v>
      </c>
      <c r="D434" s="59">
        <v>3</v>
      </c>
      <c r="E434" s="60">
        <v>1.5924412123800001E-4</v>
      </c>
    </row>
    <row r="435" spans="2:5" ht="14.5" customHeight="1">
      <c r="B435" s="86"/>
      <c r="C435" s="58" t="s">
        <v>222</v>
      </c>
      <c r="D435" s="59">
        <v>20</v>
      </c>
      <c r="E435" s="60">
        <v>1.0616274749190001E-3</v>
      </c>
    </row>
    <row r="436" spans="2:5" ht="14.5" customHeight="1">
      <c r="B436" s="86"/>
      <c r="C436" s="58" t="s">
        <v>223</v>
      </c>
      <c r="D436" s="59">
        <v>19</v>
      </c>
      <c r="E436" s="60">
        <v>1.008546101173E-3</v>
      </c>
    </row>
    <row r="437" spans="2:5" ht="14.5" customHeight="1">
      <c r="B437" s="86"/>
      <c r="C437" s="58" t="s">
        <v>224</v>
      </c>
      <c r="D437" s="59">
        <v>1</v>
      </c>
      <c r="E437" s="60">
        <v>5.3081373745999998E-5</v>
      </c>
    </row>
    <row r="438" spans="2:5" ht="14.5" customHeight="1">
      <c r="B438" s="86"/>
      <c r="C438" s="58" t="s">
        <v>225</v>
      </c>
      <c r="D438" s="59">
        <v>2</v>
      </c>
      <c r="E438" s="60">
        <v>1.06162747492E-4</v>
      </c>
    </row>
    <row r="439" spans="2:5" ht="14.5" customHeight="1">
      <c r="B439" s="86"/>
      <c r="C439" s="58" t="s">
        <v>202</v>
      </c>
      <c r="D439" s="59">
        <v>6</v>
      </c>
      <c r="E439" s="60">
        <v>3.1848824247600002E-4</v>
      </c>
    </row>
    <row r="440" spans="2:5" ht="14.5" customHeight="1">
      <c r="B440" s="86"/>
      <c r="C440" s="58" t="s">
        <v>203</v>
      </c>
      <c r="D440" s="59">
        <v>18</v>
      </c>
      <c r="E440" s="60">
        <v>9.5546472742699998E-4</v>
      </c>
    </row>
    <row r="441" spans="2:5" ht="14.5" customHeight="1">
      <c r="B441" s="86"/>
      <c r="C441" s="58" t="s">
        <v>226</v>
      </c>
      <c r="D441" s="59">
        <v>4</v>
      </c>
      <c r="E441" s="60">
        <v>2.1232549498399999E-4</v>
      </c>
    </row>
    <row r="442" spans="2:5" ht="14.5" customHeight="1">
      <c r="B442" s="86"/>
      <c r="C442" s="58" t="s">
        <v>227</v>
      </c>
      <c r="D442" s="59">
        <v>1</v>
      </c>
      <c r="E442" s="60">
        <v>5.3081373745999998E-5</v>
      </c>
    </row>
    <row r="443" spans="2:5" ht="14.5" customHeight="1">
      <c r="B443" s="86"/>
      <c r="C443" s="58" t="s">
        <v>228</v>
      </c>
      <c r="D443" s="59">
        <v>2</v>
      </c>
      <c r="E443" s="60">
        <v>1.06162747492E-4</v>
      </c>
    </row>
    <row r="444" spans="2:5" ht="14.5" customHeight="1">
      <c r="B444" s="86"/>
      <c r="C444" s="58" t="s">
        <v>229</v>
      </c>
      <c r="D444" s="59">
        <v>39</v>
      </c>
      <c r="E444" s="60">
        <v>2.0701735760919999E-3</v>
      </c>
    </row>
    <row r="445" spans="2:5" ht="14.5" customHeight="1">
      <c r="B445" s="86"/>
      <c r="C445" s="58" t="s">
        <v>230</v>
      </c>
      <c r="D445" s="59">
        <v>1</v>
      </c>
      <c r="E445" s="60">
        <v>5.3081373745999998E-5</v>
      </c>
    </row>
    <row r="446" spans="2:5" ht="14.5" customHeight="1">
      <c r="B446" s="86"/>
      <c r="C446" s="58" t="s">
        <v>231</v>
      </c>
      <c r="D446" s="59">
        <v>33</v>
      </c>
      <c r="E446" s="60">
        <v>1.7516853336160001E-3</v>
      </c>
    </row>
    <row r="447" spans="2:5" ht="14.5" customHeight="1">
      <c r="B447" s="87"/>
      <c r="C447" s="35" t="s">
        <v>28</v>
      </c>
      <c r="D447" s="34">
        <v>769</v>
      </c>
      <c r="E447" s="33">
        <v>4.0819576410637999E-2</v>
      </c>
    </row>
    <row r="448" spans="2:5" ht="14.5" customHeight="1">
      <c r="B448" s="85" t="s">
        <v>116</v>
      </c>
      <c r="C448" s="58" t="s">
        <v>204</v>
      </c>
      <c r="D448" s="59">
        <v>18</v>
      </c>
      <c r="E448" s="60">
        <v>9.5546472742699998E-4</v>
      </c>
    </row>
    <row r="449" spans="2:5" ht="14.5" customHeight="1">
      <c r="B449" s="86"/>
      <c r="C449" s="58" t="s">
        <v>206</v>
      </c>
      <c r="D449" s="59">
        <v>74</v>
      </c>
      <c r="E449" s="60">
        <v>3.9280216571999996E-3</v>
      </c>
    </row>
    <row r="450" spans="2:5" ht="14.5" customHeight="1">
      <c r="B450" s="86"/>
      <c r="C450" s="58" t="s">
        <v>192</v>
      </c>
      <c r="D450" s="59">
        <v>3</v>
      </c>
      <c r="E450" s="60">
        <v>1.5924412123800001E-4</v>
      </c>
    </row>
    <row r="451" spans="2:5" ht="14.5" customHeight="1">
      <c r="B451" s="86"/>
      <c r="C451" s="58" t="s">
        <v>193</v>
      </c>
      <c r="D451" s="59">
        <v>31</v>
      </c>
      <c r="E451" s="60">
        <v>1.6455225861250001E-3</v>
      </c>
    </row>
    <row r="452" spans="2:5" ht="14.5" customHeight="1">
      <c r="B452" s="86"/>
      <c r="C452" s="58" t="s">
        <v>207</v>
      </c>
      <c r="D452" s="59">
        <v>11</v>
      </c>
      <c r="E452" s="60">
        <v>5.8389511120500003E-4</v>
      </c>
    </row>
    <row r="453" spans="2:5" ht="14.5" customHeight="1">
      <c r="B453" s="86"/>
      <c r="C453" s="58" t="s">
        <v>195</v>
      </c>
      <c r="D453" s="59">
        <v>3</v>
      </c>
      <c r="E453" s="60">
        <v>1.5924412123800001E-4</v>
      </c>
    </row>
    <row r="454" spans="2:5" ht="14.5" customHeight="1">
      <c r="B454" s="86"/>
      <c r="C454" s="58" t="s">
        <v>208</v>
      </c>
      <c r="D454" s="59">
        <v>2</v>
      </c>
      <c r="E454" s="60">
        <v>1.06162747492E-4</v>
      </c>
    </row>
    <row r="455" spans="2:5" ht="14.5" customHeight="1">
      <c r="B455" s="86"/>
      <c r="C455" s="58" t="s">
        <v>196</v>
      </c>
      <c r="D455" s="59">
        <v>6</v>
      </c>
      <c r="E455" s="60">
        <v>3.1848824247600002E-4</v>
      </c>
    </row>
    <row r="456" spans="2:5" ht="14.5" customHeight="1">
      <c r="B456" s="86"/>
      <c r="C456" s="58" t="s">
        <v>209</v>
      </c>
      <c r="D456" s="59">
        <v>1</v>
      </c>
      <c r="E456" s="60">
        <v>5.3081373745999998E-5</v>
      </c>
    </row>
    <row r="457" spans="2:5" ht="14.5" customHeight="1">
      <c r="B457" s="86"/>
      <c r="C457" s="58" t="s">
        <v>210</v>
      </c>
      <c r="D457" s="59">
        <v>3</v>
      </c>
      <c r="E457" s="60">
        <v>1.5924412123800001E-4</v>
      </c>
    </row>
    <row r="458" spans="2:5" ht="14.5" customHeight="1">
      <c r="B458" s="86"/>
      <c r="C458" s="58" t="s">
        <v>197</v>
      </c>
      <c r="D458" s="59">
        <v>4</v>
      </c>
      <c r="E458" s="60">
        <v>2.1232549498399999E-4</v>
      </c>
    </row>
    <row r="459" spans="2:5" ht="14.5" customHeight="1">
      <c r="B459" s="86"/>
      <c r="C459" s="58" t="s">
        <v>198</v>
      </c>
      <c r="D459" s="59">
        <v>3</v>
      </c>
      <c r="E459" s="60">
        <v>1.5924412123800001E-4</v>
      </c>
    </row>
    <row r="460" spans="2:5" ht="14.5" customHeight="1">
      <c r="B460" s="86"/>
      <c r="C460" s="58" t="s">
        <v>199</v>
      </c>
      <c r="D460" s="59">
        <v>1</v>
      </c>
      <c r="E460" s="60">
        <v>5.3081373745999998E-5</v>
      </c>
    </row>
    <row r="461" spans="2:5" ht="14.5" customHeight="1">
      <c r="B461" s="86"/>
      <c r="C461" s="58" t="s">
        <v>211</v>
      </c>
      <c r="D461" s="59">
        <v>2</v>
      </c>
      <c r="E461" s="60">
        <v>1.06162747492E-4</v>
      </c>
    </row>
    <row r="462" spans="2:5" ht="14.5" customHeight="1">
      <c r="B462" s="86"/>
      <c r="C462" s="58" t="s">
        <v>213</v>
      </c>
      <c r="D462" s="59">
        <v>1</v>
      </c>
      <c r="E462" s="60">
        <v>5.3081373745999998E-5</v>
      </c>
    </row>
    <row r="463" spans="2:5" ht="14.5" customHeight="1">
      <c r="B463" s="86"/>
      <c r="C463" s="58" t="s">
        <v>214</v>
      </c>
      <c r="D463" s="59">
        <v>3</v>
      </c>
      <c r="E463" s="60">
        <v>1.5924412123800001E-4</v>
      </c>
    </row>
    <row r="464" spans="2:5" ht="14.5" customHeight="1">
      <c r="B464" s="86"/>
      <c r="C464" s="58" t="s">
        <v>215</v>
      </c>
      <c r="D464" s="59">
        <v>2</v>
      </c>
      <c r="E464" s="60">
        <v>1.06162747492E-4</v>
      </c>
    </row>
    <row r="465" spans="2:5" ht="14.5" customHeight="1">
      <c r="B465" s="86"/>
      <c r="C465" s="58" t="s">
        <v>217</v>
      </c>
      <c r="D465" s="59">
        <v>1</v>
      </c>
      <c r="E465" s="60">
        <v>5.3081373745999998E-5</v>
      </c>
    </row>
    <row r="466" spans="2:5" ht="14.5" customHeight="1">
      <c r="B466" s="86"/>
      <c r="C466" s="58" t="s">
        <v>218</v>
      </c>
      <c r="D466" s="59">
        <v>1</v>
      </c>
      <c r="E466" s="60">
        <v>5.3081373745999998E-5</v>
      </c>
    </row>
    <row r="467" spans="2:5" ht="14.5" customHeight="1">
      <c r="B467" s="86"/>
      <c r="C467" s="58" t="s">
        <v>201</v>
      </c>
      <c r="D467" s="59">
        <v>19</v>
      </c>
      <c r="E467" s="60">
        <v>1.008546101173E-3</v>
      </c>
    </row>
    <row r="468" spans="2:5" ht="14.5" customHeight="1">
      <c r="B468" s="86"/>
      <c r="C468" s="58" t="s">
        <v>220</v>
      </c>
      <c r="D468" s="59">
        <v>2</v>
      </c>
      <c r="E468" s="60">
        <v>1.06162747492E-4</v>
      </c>
    </row>
    <row r="469" spans="2:5" ht="14.5" customHeight="1">
      <c r="B469" s="86"/>
      <c r="C469" s="58" t="s">
        <v>221</v>
      </c>
      <c r="D469" s="59">
        <v>3</v>
      </c>
      <c r="E469" s="60">
        <v>1.5924412123800001E-4</v>
      </c>
    </row>
    <row r="470" spans="2:5" ht="14.5" customHeight="1">
      <c r="B470" s="86"/>
      <c r="C470" s="58" t="s">
        <v>223</v>
      </c>
      <c r="D470" s="59">
        <v>7</v>
      </c>
      <c r="E470" s="60">
        <v>3.71569616222E-4</v>
      </c>
    </row>
    <row r="471" spans="2:5" ht="14.5" customHeight="1">
      <c r="B471" s="86"/>
      <c r="C471" s="58" t="s">
        <v>202</v>
      </c>
      <c r="D471" s="59">
        <v>1</v>
      </c>
      <c r="E471" s="60">
        <v>5.3081373745999998E-5</v>
      </c>
    </row>
    <row r="472" spans="2:5" ht="14.5" customHeight="1">
      <c r="B472" s="86"/>
      <c r="C472" s="58" t="s">
        <v>203</v>
      </c>
      <c r="D472" s="59">
        <v>5</v>
      </c>
      <c r="E472" s="60">
        <v>2.6540686872999998E-4</v>
      </c>
    </row>
    <row r="473" spans="2:5" ht="14.5" customHeight="1">
      <c r="B473" s="86"/>
      <c r="C473" s="58" t="s">
        <v>226</v>
      </c>
      <c r="D473" s="59">
        <v>2</v>
      </c>
      <c r="E473" s="60">
        <v>1.06162747492E-4</v>
      </c>
    </row>
    <row r="474" spans="2:5" ht="14.5" customHeight="1">
      <c r="B474" s="86"/>
      <c r="C474" s="58" t="s">
        <v>228</v>
      </c>
      <c r="D474" s="59">
        <v>1</v>
      </c>
      <c r="E474" s="60">
        <v>5.3081373745999998E-5</v>
      </c>
    </row>
    <row r="475" spans="2:5" ht="14.5" customHeight="1">
      <c r="B475" s="86"/>
      <c r="C475" s="58" t="s">
        <v>229</v>
      </c>
      <c r="D475" s="59">
        <v>3</v>
      </c>
      <c r="E475" s="60">
        <v>1.5924412123800001E-4</v>
      </c>
    </row>
    <row r="476" spans="2:5" ht="14.5" customHeight="1">
      <c r="B476" s="86"/>
      <c r="C476" s="58" t="s">
        <v>230</v>
      </c>
      <c r="D476" s="59">
        <v>3</v>
      </c>
      <c r="E476" s="60">
        <v>1.5924412123800001E-4</v>
      </c>
    </row>
    <row r="477" spans="2:5" ht="14.5" customHeight="1">
      <c r="B477" s="87"/>
      <c r="C477" s="35" t="s">
        <v>28</v>
      </c>
      <c r="D477" s="34">
        <v>216</v>
      </c>
      <c r="E477" s="33">
        <v>1.1465576729126001E-2</v>
      </c>
    </row>
    <row r="478" spans="2:5" ht="14.5" customHeight="1">
      <c r="B478" s="85" t="s">
        <v>100</v>
      </c>
      <c r="C478" s="58" t="s">
        <v>204</v>
      </c>
      <c r="D478" s="59">
        <v>54</v>
      </c>
      <c r="E478" s="60">
        <v>2.8663941822810002E-3</v>
      </c>
    </row>
    <row r="479" spans="2:5" ht="14.5" customHeight="1">
      <c r="B479" s="86"/>
      <c r="C479" s="58" t="s">
        <v>206</v>
      </c>
      <c r="D479" s="59">
        <v>6</v>
      </c>
      <c r="E479" s="60">
        <v>3.1848824247600002E-4</v>
      </c>
    </row>
    <row r="480" spans="2:5" ht="14.5" customHeight="1">
      <c r="B480" s="86"/>
      <c r="C480" s="58" t="s">
        <v>192</v>
      </c>
      <c r="D480" s="59">
        <v>37</v>
      </c>
      <c r="E480" s="60">
        <v>1.9640108285999998E-3</v>
      </c>
    </row>
    <row r="481" spans="2:5" ht="14.5" customHeight="1">
      <c r="B481" s="86"/>
      <c r="C481" s="58" t="s">
        <v>193</v>
      </c>
      <c r="D481" s="59">
        <v>227</v>
      </c>
      <c r="E481" s="60">
        <v>1.2049471840331E-2</v>
      </c>
    </row>
    <row r="482" spans="2:5" ht="14.5" customHeight="1">
      <c r="B482" s="86"/>
      <c r="C482" s="58" t="s">
        <v>207</v>
      </c>
      <c r="D482" s="59">
        <v>26</v>
      </c>
      <c r="E482" s="60">
        <v>1.3801157173950001E-3</v>
      </c>
    </row>
    <row r="483" spans="2:5" ht="14.5" customHeight="1">
      <c r="B483" s="86"/>
      <c r="C483" s="58" t="s">
        <v>194</v>
      </c>
      <c r="D483" s="59">
        <v>27</v>
      </c>
      <c r="E483" s="60">
        <v>1.4331970911409999E-3</v>
      </c>
    </row>
    <row r="484" spans="2:5" ht="14.5" customHeight="1">
      <c r="B484" s="86"/>
      <c r="C484" s="58" t="s">
        <v>195</v>
      </c>
      <c r="D484" s="59">
        <v>172</v>
      </c>
      <c r="E484" s="60">
        <v>9.1299962843040001E-3</v>
      </c>
    </row>
    <row r="485" spans="2:5" ht="14.5" customHeight="1">
      <c r="B485" s="86"/>
      <c r="C485" s="58" t="s">
        <v>208</v>
      </c>
      <c r="D485" s="59">
        <v>8</v>
      </c>
      <c r="E485" s="60">
        <v>4.2465098996799999E-4</v>
      </c>
    </row>
    <row r="486" spans="2:5" ht="14.5" customHeight="1">
      <c r="B486" s="86"/>
      <c r="C486" s="58" t="s">
        <v>196</v>
      </c>
      <c r="D486" s="59">
        <v>108</v>
      </c>
      <c r="E486" s="60">
        <v>5.7327883645630004E-3</v>
      </c>
    </row>
    <row r="487" spans="2:5" ht="14.5" customHeight="1">
      <c r="B487" s="86"/>
      <c r="C487" s="58" t="s">
        <v>209</v>
      </c>
      <c r="D487" s="59">
        <v>19</v>
      </c>
      <c r="E487" s="60">
        <v>1.008546101173E-3</v>
      </c>
    </row>
    <row r="488" spans="2:5" ht="14.5" customHeight="1">
      <c r="B488" s="86"/>
      <c r="C488" s="58" t="s">
        <v>210</v>
      </c>
      <c r="D488" s="59">
        <v>21</v>
      </c>
      <c r="E488" s="60">
        <v>1.1147088486650001E-3</v>
      </c>
    </row>
    <row r="489" spans="2:5" ht="14.5" customHeight="1">
      <c r="B489" s="86"/>
      <c r="C489" s="58" t="s">
        <v>197</v>
      </c>
      <c r="D489" s="59">
        <v>53</v>
      </c>
      <c r="E489" s="60">
        <v>2.8133128085349999E-3</v>
      </c>
    </row>
    <row r="490" spans="2:5" ht="14.5" customHeight="1">
      <c r="B490" s="86"/>
      <c r="C490" s="58" t="s">
        <v>198</v>
      </c>
      <c r="D490" s="59">
        <v>35</v>
      </c>
      <c r="E490" s="60">
        <v>1.8578480811079999E-3</v>
      </c>
    </row>
    <row r="491" spans="2:5" ht="14.5" customHeight="1">
      <c r="B491" s="86"/>
      <c r="C491" s="58" t="s">
        <v>199</v>
      </c>
      <c r="D491" s="59">
        <v>5</v>
      </c>
      <c r="E491" s="60">
        <v>2.6540686872999998E-4</v>
      </c>
    </row>
    <row r="492" spans="2:5" ht="14.5" customHeight="1">
      <c r="B492" s="86"/>
      <c r="C492" s="58" t="s">
        <v>211</v>
      </c>
      <c r="D492" s="59">
        <v>45</v>
      </c>
      <c r="E492" s="60">
        <v>2.3886618185680001E-3</v>
      </c>
    </row>
    <row r="493" spans="2:5" ht="14.5" customHeight="1">
      <c r="B493" s="86"/>
      <c r="C493" s="58" t="s">
        <v>212</v>
      </c>
      <c r="D493" s="59">
        <v>3</v>
      </c>
      <c r="E493" s="60">
        <v>1.5924412123800001E-4</v>
      </c>
    </row>
    <row r="494" spans="2:5" ht="14.5" customHeight="1">
      <c r="B494" s="86"/>
      <c r="C494" s="58" t="s">
        <v>213</v>
      </c>
      <c r="D494" s="59">
        <v>15</v>
      </c>
      <c r="E494" s="60">
        <v>7.9622060618899997E-4</v>
      </c>
    </row>
    <row r="495" spans="2:5" ht="14.5" customHeight="1">
      <c r="B495" s="86"/>
      <c r="C495" s="58" t="s">
        <v>214</v>
      </c>
      <c r="D495" s="59">
        <v>6</v>
      </c>
      <c r="E495" s="60">
        <v>3.1848824247600002E-4</v>
      </c>
    </row>
    <row r="496" spans="2:5" ht="14.5" customHeight="1">
      <c r="B496" s="86"/>
      <c r="C496" s="58" t="s">
        <v>215</v>
      </c>
      <c r="D496" s="59">
        <v>10</v>
      </c>
      <c r="E496" s="60">
        <v>5.3081373745999996E-4</v>
      </c>
    </row>
    <row r="497" spans="2:5" ht="14.5" customHeight="1">
      <c r="B497" s="86"/>
      <c r="C497" s="58" t="s">
        <v>217</v>
      </c>
      <c r="D497" s="59">
        <v>5</v>
      </c>
      <c r="E497" s="60">
        <v>2.6540686872999998E-4</v>
      </c>
    </row>
    <row r="498" spans="2:5" ht="14.5" customHeight="1">
      <c r="B498" s="86"/>
      <c r="C498" s="58" t="s">
        <v>218</v>
      </c>
      <c r="D498" s="59">
        <v>13</v>
      </c>
      <c r="E498" s="60">
        <v>6.90057858697E-4</v>
      </c>
    </row>
    <row r="499" spans="2:5" ht="14.5" customHeight="1">
      <c r="B499" s="86"/>
      <c r="C499" s="58" t="s">
        <v>219</v>
      </c>
      <c r="D499" s="59">
        <v>2</v>
      </c>
      <c r="E499" s="60">
        <v>1.06162747492E-4</v>
      </c>
    </row>
    <row r="500" spans="2:5" ht="14.5" customHeight="1">
      <c r="B500" s="86"/>
      <c r="C500" s="58" t="s">
        <v>200</v>
      </c>
      <c r="D500" s="59">
        <v>75</v>
      </c>
      <c r="E500" s="60">
        <v>3.9811030309459998E-3</v>
      </c>
    </row>
    <row r="501" spans="2:5" ht="14.5" customHeight="1">
      <c r="B501" s="86"/>
      <c r="C501" s="58" t="s">
        <v>201</v>
      </c>
      <c r="D501" s="59">
        <v>48</v>
      </c>
      <c r="E501" s="60">
        <v>2.547905939806E-3</v>
      </c>
    </row>
    <row r="502" spans="2:5" ht="14.5" customHeight="1">
      <c r="B502" s="86"/>
      <c r="C502" s="58" t="s">
        <v>220</v>
      </c>
      <c r="D502" s="59">
        <v>9</v>
      </c>
      <c r="E502" s="60">
        <v>4.7773236371400003E-4</v>
      </c>
    </row>
    <row r="503" spans="2:5" ht="14.5" customHeight="1">
      <c r="B503" s="86"/>
      <c r="C503" s="58" t="s">
        <v>221</v>
      </c>
      <c r="D503" s="59">
        <v>8</v>
      </c>
      <c r="E503" s="60">
        <v>4.2465098996799999E-4</v>
      </c>
    </row>
    <row r="504" spans="2:5" ht="14.5" customHeight="1">
      <c r="B504" s="86"/>
      <c r="C504" s="58" t="s">
        <v>222</v>
      </c>
      <c r="D504" s="59">
        <v>10</v>
      </c>
      <c r="E504" s="60">
        <v>5.3081373745999996E-4</v>
      </c>
    </row>
    <row r="505" spans="2:5" ht="14.5" customHeight="1">
      <c r="B505" s="86"/>
      <c r="C505" s="58" t="s">
        <v>223</v>
      </c>
      <c r="D505" s="59">
        <v>10</v>
      </c>
      <c r="E505" s="60">
        <v>5.3081373745999996E-4</v>
      </c>
    </row>
    <row r="506" spans="2:5" ht="14.5" customHeight="1">
      <c r="B506" s="86"/>
      <c r="C506" s="58" t="s">
        <v>224</v>
      </c>
      <c r="D506" s="59">
        <v>2</v>
      </c>
      <c r="E506" s="60">
        <v>1.06162747492E-4</v>
      </c>
    </row>
    <row r="507" spans="2:5" ht="14.5" customHeight="1">
      <c r="B507" s="86"/>
      <c r="C507" s="58" t="s">
        <v>225</v>
      </c>
      <c r="D507" s="59">
        <v>2</v>
      </c>
      <c r="E507" s="60">
        <v>1.06162747492E-4</v>
      </c>
    </row>
    <row r="508" spans="2:5" ht="14.5" customHeight="1">
      <c r="B508" s="86"/>
      <c r="C508" s="58" t="s">
        <v>202</v>
      </c>
      <c r="D508" s="59">
        <v>25</v>
      </c>
      <c r="E508" s="60">
        <v>1.327034343649E-3</v>
      </c>
    </row>
    <row r="509" spans="2:5" ht="14.5" customHeight="1">
      <c r="B509" s="86"/>
      <c r="C509" s="58" t="s">
        <v>203</v>
      </c>
      <c r="D509" s="59">
        <v>16</v>
      </c>
      <c r="E509" s="60">
        <v>8.4930197993500001E-4</v>
      </c>
    </row>
    <row r="510" spans="2:5" ht="14.5" customHeight="1">
      <c r="B510" s="86"/>
      <c r="C510" s="58" t="s">
        <v>226</v>
      </c>
      <c r="D510" s="59">
        <v>7</v>
      </c>
      <c r="E510" s="60">
        <v>3.71569616222E-4</v>
      </c>
    </row>
    <row r="511" spans="2:5" ht="14.5" customHeight="1">
      <c r="B511" s="86"/>
      <c r="C511" s="58" t="s">
        <v>227</v>
      </c>
      <c r="D511" s="59">
        <v>4</v>
      </c>
      <c r="E511" s="60">
        <v>2.1232549498399999E-4</v>
      </c>
    </row>
    <row r="512" spans="2:5" ht="14.5" customHeight="1">
      <c r="B512" s="86"/>
      <c r="C512" s="58" t="s">
        <v>228</v>
      </c>
      <c r="D512" s="59">
        <v>10</v>
      </c>
      <c r="E512" s="60">
        <v>5.3081373745999996E-4</v>
      </c>
    </row>
    <row r="513" spans="2:5" ht="14.5" customHeight="1">
      <c r="B513" s="86"/>
      <c r="C513" s="58" t="s">
        <v>229</v>
      </c>
      <c r="D513" s="59">
        <v>11</v>
      </c>
      <c r="E513" s="60">
        <v>5.8389511120500003E-4</v>
      </c>
    </row>
    <row r="514" spans="2:5" ht="14.5" customHeight="1">
      <c r="B514" s="86"/>
      <c r="C514" s="58" t="s">
        <v>230</v>
      </c>
      <c r="D514" s="59">
        <v>7</v>
      </c>
      <c r="E514" s="60">
        <v>3.71569616222E-4</v>
      </c>
    </row>
    <row r="515" spans="2:5" ht="14.5" customHeight="1">
      <c r="B515" s="86"/>
      <c r="C515" s="58" t="s">
        <v>231</v>
      </c>
      <c r="D515" s="59">
        <v>38</v>
      </c>
      <c r="E515" s="60">
        <v>2.017092202346E-3</v>
      </c>
    </row>
    <row r="516" spans="2:5" ht="14.5" customHeight="1">
      <c r="B516" s="87"/>
      <c r="C516" s="35" t="s">
        <v>28</v>
      </c>
      <c r="D516" s="34">
        <v>1179</v>
      </c>
      <c r="E516" s="33">
        <v>6.2582939646478E-2</v>
      </c>
    </row>
    <row r="517" spans="2:5" ht="14.5" customHeight="1">
      <c r="B517" s="85" t="s">
        <v>137</v>
      </c>
      <c r="C517" s="58" t="s">
        <v>193</v>
      </c>
      <c r="D517" s="59">
        <v>4</v>
      </c>
      <c r="E517" s="60">
        <v>2.1232549498399999E-4</v>
      </c>
    </row>
    <row r="518" spans="2:5" ht="14.5" customHeight="1">
      <c r="B518" s="86"/>
      <c r="C518" s="58" t="s">
        <v>207</v>
      </c>
      <c r="D518" s="59">
        <v>1</v>
      </c>
      <c r="E518" s="60">
        <v>5.3081373745999998E-5</v>
      </c>
    </row>
    <row r="519" spans="2:5" ht="14.5" customHeight="1">
      <c r="B519" s="86"/>
      <c r="C519" s="58" t="s">
        <v>194</v>
      </c>
      <c r="D519" s="59">
        <v>1</v>
      </c>
      <c r="E519" s="60">
        <v>5.3081373745999998E-5</v>
      </c>
    </row>
    <row r="520" spans="2:5" ht="14.5" customHeight="1">
      <c r="B520" s="86"/>
      <c r="C520" s="58" t="s">
        <v>196</v>
      </c>
      <c r="D520" s="59">
        <v>2</v>
      </c>
      <c r="E520" s="60">
        <v>1.06162747492E-4</v>
      </c>
    </row>
    <row r="521" spans="2:5" ht="14.5" customHeight="1">
      <c r="B521" s="86"/>
      <c r="C521" s="58" t="s">
        <v>197</v>
      </c>
      <c r="D521" s="59">
        <v>5</v>
      </c>
      <c r="E521" s="60">
        <v>2.6540686872999998E-4</v>
      </c>
    </row>
    <row r="522" spans="2:5" ht="14.5" customHeight="1">
      <c r="B522" s="86"/>
      <c r="C522" s="58" t="s">
        <v>211</v>
      </c>
      <c r="D522" s="59">
        <v>1</v>
      </c>
      <c r="E522" s="60">
        <v>5.3081373745999998E-5</v>
      </c>
    </row>
    <row r="523" spans="2:5" ht="14.5" customHeight="1">
      <c r="B523" s="86"/>
      <c r="C523" s="58" t="s">
        <v>213</v>
      </c>
      <c r="D523" s="59">
        <v>1</v>
      </c>
      <c r="E523" s="60">
        <v>5.3081373745999998E-5</v>
      </c>
    </row>
    <row r="524" spans="2:5" ht="14.5" customHeight="1">
      <c r="B524" s="86"/>
      <c r="C524" s="58" t="s">
        <v>218</v>
      </c>
      <c r="D524" s="59">
        <v>3</v>
      </c>
      <c r="E524" s="60">
        <v>1.5924412123800001E-4</v>
      </c>
    </row>
    <row r="525" spans="2:5" ht="14.5" customHeight="1">
      <c r="B525" s="86"/>
      <c r="C525" s="58" t="s">
        <v>219</v>
      </c>
      <c r="D525" s="59">
        <v>1</v>
      </c>
      <c r="E525" s="60">
        <v>5.3081373745999998E-5</v>
      </c>
    </row>
    <row r="526" spans="2:5" ht="14.5" customHeight="1">
      <c r="B526" s="86"/>
      <c r="C526" s="58" t="s">
        <v>202</v>
      </c>
      <c r="D526" s="59">
        <v>1</v>
      </c>
      <c r="E526" s="60">
        <v>5.3081373745999998E-5</v>
      </c>
    </row>
    <row r="527" spans="2:5" ht="14.5" customHeight="1">
      <c r="B527" s="86"/>
      <c r="C527" s="58" t="s">
        <v>203</v>
      </c>
      <c r="D527" s="59">
        <v>1</v>
      </c>
      <c r="E527" s="60">
        <v>5.3081373745999998E-5</v>
      </c>
    </row>
    <row r="528" spans="2:5" ht="14.5" customHeight="1">
      <c r="B528" s="86"/>
      <c r="C528" s="58" t="s">
        <v>226</v>
      </c>
      <c r="D528" s="59">
        <v>1</v>
      </c>
      <c r="E528" s="60">
        <v>5.3081373745999998E-5</v>
      </c>
    </row>
    <row r="529" spans="2:5" ht="14.5" customHeight="1">
      <c r="B529" s="86"/>
      <c r="C529" s="58" t="s">
        <v>231</v>
      </c>
      <c r="D529" s="59">
        <v>1</v>
      </c>
      <c r="E529" s="60">
        <v>5.3081373745999998E-5</v>
      </c>
    </row>
    <row r="530" spans="2:5" ht="14.5" customHeight="1">
      <c r="B530" s="87"/>
      <c r="C530" s="35" t="s">
        <v>28</v>
      </c>
      <c r="D530" s="34">
        <v>23</v>
      </c>
      <c r="E530" s="33">
        <v>1.220871596157E-3</v>
      </c>
    </row>
    <row r="531" spans="2:5" ht="14.5" customHeight="1">
      <c r="B531" s="85" t="s">
        <v>105</v>
      </c>
      <c r="C531" s="58" t="s">
        <v>204</v>
      </c>
      <c r="D531" s="59">
        <v>23</v>
      </c>
      <c r="E531" s="60">
        <v>1.220871596157E-3</v>
      </c>
    </row>
    <row r="532" spans="2:5" ht="14.5" customHeight="1">
      <c r="B532" s="86"/>
      <c r="C532" s="58" t="s">
        <v>205</v>
      </c>
      <c r="D532" s="59">
        <v>6</v>
      </c>
      <c r="E532" s="60">
        <v>3.1848824247600002E-4</v>
      </c>
    </row>
    <row r="533" spans="2:5" ht="14.5" customHeight="1">
      <c r="B533" s="86"/>
      <c r="C533" s="58" t="s">
        <v>206</v>
      </c>
      <c r="D533" s="59">
        <v>6</v>
      </c>
      <c r="E533" s="60">
        <v>3.1848824247600002E-4</v>
      </c>
    </row>
    <row r="534" spans="2:5" ht="14.5" customHeight="1">
      <c r="B534" s="86"/>
      <c r="C534" s="58" t="s">
        <v>192</v>
      </c>
      <c r="D534" s="59">
        <v>9</v>
      </c>
      <c r="E534" s="60">
        <v>4.7773236371400003E-4</v>
      </c>
    </row>
    <row r="535" spans="2:5" ht="14.5" customHeight="1">
      <c r="B535" s="86"/>
      <c r="C535" s="58" t="s">
        <v>193</v>
      </c>
      <c r="D535" s="59">
        <v>113</v>
      </c>
      <c r="E535" s="60">
        <v>5.9981952332929999E-3</v>
      </c>
    </row>
    <row r="536" spans="2:5" ht="14.5" customHeight="1">
      <c r="B536" s="86"/>
      <c r="C536" s="58" t="s">
        <v>207</v>
      </c>
      <c r="D536" s="59">
        <v>27</v>
      </c>
      <c r="E536" s="60">
        <v>1.4331970911409999E-3</v>
      </c>
    </row>
    <row r="537" spans="2:5" ht="14.5" customHeight="1">
      <c r="B537" s="86"/>
      <c r="C537" s="58" t="s">
        <v>194</v>
      </c>
      <c r="D537" s="59">
        <v>5</v>
      </c>
      <c r="E537" s="60">
        <v>2.6540686872999998E-4</v>
      </c>
    </row>
    <row r="538" spans="2:5" ht="14.5" customHeight="1">
      <c r="B538" s="86"/>
      <c r="C538" s="58" t="s">
        <v>195</v>
      </c>
      <c r="D538" s="59">
        <v>41</v>
      </c>
      <c r="E538" s="60">
        <v>2.1763363235839999E-3</v>
      </c>
    </row>
    <row r="539" spans="2:5" ht="14.5" customHeight="1">
      <c r="B539" s="86"/>
      <c r="C539" s="58" t="s">
        <v>208</v>
      </c>
      <c r="D539" s="59">
        <v>6</v>
      </c>
      <c r="E539" s="60">
        <v>3.1848824247600002E-4</v>
      </c>
    </row>
    <row r="540" spans="2:5" ht="14.5" customHeight="1">
      <c r="B540" s="86"/>
      <c r="C540" s="58" t="s">
        <v>196</v>
      </c>
      <c r="D540" s="59">
        <v>34</v>
      </c>
      <c r="E540" s="60">
        <v>1.8047667073620001E-3</v>
      </c>
    </row>
    <row r="541" spans="2:5" ht="14.5" customHeight="1">
      <c r="B541" s="86"/>
      <c r="C541" s="58" t="s">
        <v>209</v>
      </c>
      <c r="D541" s="59">
        <v>2</v>
      </c>
      <c r="E541" s="60">
        <v>1.06162747492E-4</v>
      </c>
    </row>
    <row r="542" spans="2:5" ht="14.5" customHeight="1">
      <c r="B542" s="86"/>
      <c r="C542" s="58" t="s">
        <v>210</v>
      </c>
      <c r="D542" s="59">
        <v>22</v>
      </c>
      <c r="E542" s="60">
        <v>1.1677902224109999E-3</v>
      </c>
    </row>
    <row r="543" spans="2:5" ht="14.5" customHeight="1">
      <c r="B543" s="86"/>
      <c r="C543" s="58" t="s">
        <v>197</v>
      </c>
      <c r="D543" s="59">
        <v>15</v>
      </c>
      <c r="E543" s="60">
        <v>7.9622060618899997E-4</v>
      </c>
    </row>
    <row r="544" spans="2:5" ht="14.5" customHeight="1">
      <c r="B544" s="86"/>
      <c r="C544" s="58" t="s">
        <v>198</v>
      </c>
      <c r="D544" s="59">
        <v>3</v>
      </c>
      <c r="E544" s="60">
        <v>1.5924412123800001E-4</v>
      </c>
    </row>
    <row r="545" spans="2:5" ht="14.5" customHeight="1">
      <c r="B545" s="86"/>
      <c r="C545" s="58" t="s">
        <v>199</v>
      </c>
      <c r="D545" s="59">
        <v>1</v>
      </c>
      <c r="E545" s="60">
        <v>5.3081373745999998E-5</v>
      </c>
    </row>
    <row r="546" spans="2:5" ht="14.5" customHeight="1">
      <c r="B546" s="86"/>
      <c r="C546" s="58" t="s">
        <v>213</v>
      </c>
      <c r="D546" s="59">
        <v>4</v>
      </c>
      <c r="E546" s="60">
        <v>2.1232549498399999E-4</v>
      </c>
    </row>
    <row r="547" spans="2:5" ht="14.5" customHeight="1">
      <c r="B547" s="86"/>
      <c r="C547" s="58" t="s">
        <v>214</v>
      </c>
      <c r="D547" s="59">
        <v>10</v>
      </c>
      <c r="E547" s="60">
        <v>5.3081373745999996E-4</v>
      </c>
    </row>
    <row r="548" spans="2:5" ht="14.5" customHeight="1">
      <c r="B548" s="86"/>
      <c r="C548" s="58" t="s">
        <v>215</v>
      </c>
      <c r="D548" s="59">
        <v>4</v>
      </c>
      <c r="E548" s="60">
        <v>2.1232549498399999E-4</v>
      </c>
    </row>
    <row r="549" spans="2:5" ht="14.5" customHeight="1">
      <c r="B549" s="86"/>
      <c r="C549" s="58" t="s">
        <v>216</v>
      </c>
      <c r="D549" s="59">
        <v>5</v>
      </c>
      <c r="E549" s="60">
        <v>2.6540686872999998E-4</v>
      </c>
    </row>
    <row r="550" spans="2:5" ht="14.5" customHeight="1">
      <c r="B550" s="86"/>
      <c r="C550" s="58" t="s">
        <v>217</v>
      </c>
      <c r="D550" s="59">
        <v>3</v>
      </c>
      <c r="E550" s="60">
        <v>1.5924412123800001E-4</v>
      </c>
    </row>
    <row r="551" spans="2:5" ht="14.5" customHeight="1">
      <c r="B551" s="86"/>
      <c r="C551" s="58" t="s">
        <v>218</v>
      </c>
      <c r="D551" s="59">
        <v>23</v>
      </c>
      <c r="E551" s="60">
        <v>1.220871596157E-3</v>
      </c>
    </row>
    <row r="552" spans="2:5" ht="14.5" customHeight="1">
      <c r="B552" s="86"/>
      <c r="C552" s="58" t="s">
        <v>219</v>
      </c>
      <c r="D552" s="59">
        <v>9</v>
      </c>
      <c r="E552" s="60">
        <v>4.7773236371400003E-4</v>
      </c>
    </row>
    <row r="553" spans="2:5" ht="14.5" customHeight="1">
      <c r="B553" s="86"/>
      <c r="C553" s="58" t="s">
        <v>200</v>
      </c>
      <c r="D553" s="59">
        <v>4</v>
      </c>
      <c r="E553" s="60">
        <v>2.1232549498399999E-4</v>
      </c>
    </row>
    <row r="554" spans="2:5" ht="14.5" customHeight="1">
      <c r="B554" s="86"/>
      <c r="C554" s="58" t="s">
        <v>201</v>
      </c>
      <c r="D554" s="59">
        <v>2</v>
      </c>
      <c r="E554" s="60">
        <v>1.06162747492E-4</v>
      </c>
    </row>
    <row r="555" spans="2:5" ht="14.5" customHeight="1">
      <c r="B555" s="86"/>
      <c r="C555" s="58" t="s">
        <v>220</v>
      </c>
      <c r="D555" s="59">
        <v>5</v>
      </c>
      <c r="E555" s="60">
        <v>2.6540686872999998E-4</v>
      </c>
    </row>
    <row r="556" spans="2:5" ht="14.5" customHeight="1">
      <c r="B556" s="86"/>
      <c r="C556" s="58" t="s">
        <v>221</v>
      </c>
      <c r="D556" s="59">
        <v>4</v>
      </c>
      <c r="E556" s="60">
        <v>2.1232549498399999E-4</v>
      </c>
    </row>
    <row r="557" spans="2:5" ht="14.5" customHeight="1">
      <c r="B557" s="86"/>
      <c r="C557" s="58" t="s">
        <v>223</v>
      </c>
      <c r="D557" s="59">
        <v>4</v>
      </c>
      <c r="E557" s="60">
        <v>2.1232549498399999E-4</v>
      </c>
    </row>
    <row r="558" spans="2:5" ht="14.5" customHeight="1">
      <c r="B558" s="86"/>
      <c r="C558" s="58" t="s">
        <v>224</v>
      </c>
      <c r="D558" s="59">
        <v>2</v>
      </c>
      <c r="E558" s="60">
        <v>1.06162747492E-4</v>
      </c>
    </row>
    <row r="559" spans="2:5" ht="14.5" customHeight="1">
      <c r="B559" s="86"/>
      <c r="C559" s="58" t="s">
        <v>202</v>
      </c>
      <c r="D559" s="59">
        <v>3</v>
      </c>
      <c r="E559" s="60">
        <v>1.5924412123800001E-4</v>
      </c>
    </row>
    <row r="560" spans="2:5" ht="14.5" customHeight="1">
      <c r="B560" s="86"/>
      <c r="C560" s="58" t="s">
        <v>203</v>
      </c>
      <c r="D560" s="59">
        <v>34</v>
      </c>
      <c r="E560" s="60">
        <v>1.8047667073620001E-3</v>
      </c>
    </row>
    <row r="561" spans="2:5" ht="14.5" customHeight="1">
      <c r="B561" s="86"/>
      <c r="C561" s="58" t="s">
        <v>227</v>
      </c>
      <c r="D561" s="59">
        <v>7</v>
      </c>
      <c r="E561" s="60">
        <v>3.71569616222E-4</v>
      </c>
    </row>
    <row r="562" spans="2:5" ht="14.5" customHeight="1">
      <c r="B562" s="86"/>
      <c r="C562" s="58" t="s">
        <v>228</v>
      </c>
      <c r="D562" s="59">
        <v>58</v>
      </c>
      <c r="E562" s="60">
        <v>3.0787196772649999E-3</v>
      </c>
    </row>
    <row r="563" spans="2:5" ht="14.5" customHeight="1">
      <c r="B563" s="86"/>
      <c r="C563" s="58" t="s">
        <v>229</v>
      </c>
      <c r="D563" s="59">
        <v>5</v>
      </c>
      <c r="E563" s="60">
        <v>2.6540686872999998E-4</v>
      </c>
    </row>
    <row r="564" spans="2:5" ht="14.5" customHeight="1">
      <c r="B564" s="86"/>
      <c r="C564" s="58" t="s">
        <v>230</v>
      </c>
      <c r="D564" s="59">
        <v>51</v>
      </c>
      <c r="E564" s="60">
        <v>2.7071500610439999E-3</v>
      </c>
    </row>
    <row r="565" spans="2:5" ht="14.5" customHeight="1">
      <c r="B565" s="86"/>
      <c r="C565" s="58" t="s">
        <v>231</v>
      </c>
      <c r="D565" s="59">
        <v>10</v>
      </c>
      <c r="E565" s="60">
        <v>5.3081373745999996E-4</v>
      </c>
    </row>
    <row r="566" spans="2:5" ht="14.5" customHeight="1">
      <c r="B566" s="87"/>
      <c r="C566" s="35" t="s">
        <v>28</v>
      </c>
      <c r="D566" s="34">
        <v>560</v>
      </c>
      <c r="E566" s="33">
        <v>2.9725569297732998E-2</v>
      </c>
    </row>
    <row r="567" spans="2:5" ht="14.5" customHeight="1">
      <c r="B567" s="85" t="s">
        <v>106</v>
      </c>
      <c r="C567" s="58" t="s">
        <v>204</v>
      </c>
      <c r="D567" s="59">
        <v>8</v>
      </c>
      <c r="E567" s="60">
        <v>4.2465098996799999E-4</v>
      </c>
    </row>
    <row r="568" spans="2:5" ht="14.5" customHeight="1">
      <c r="B568" s="86"/>
      <c r="C568" s="58" t="s">
        <v>205</v>
      </c>
      <c r="D568" s="59">
        <v>1</v>
      </c>
      <c r="E568" s="60">
        <v>5.3081373745999998E-5</v>
      </c>
    </row>
    <row r="569" spans="2:5" ht="14.5" customHeight="1">
      <c r="B569" s="86"/>
      <c r="C569" s="58" t="s">
        <v>192</v>
      </c>
      <c r="D569" s="59">
        <v>8</v>
      </c>
      <c r="E569" s="60">
        <v>4.2465098996799999E-4</v>
      </c>
    </row>
    <row r="570" spans="2:5" ht="14.5" customHeight="1">
      <c r="B570" s="86"/>
      <c r="C570" s="58" t="s">
        <v>193</v>
      </c>
      <c r="D570" s="59">
        <v>219</v>
      </c>
      <c r="E570" s="60">
        <v>1.1624820850364001E-2</v>
      </c>
    </row>
    <row r="571" spans="2:5" ht="14.5" customHeight="1">
      <c r="B571" s="86"/>
      <c r="C571" s="58" t="s">
        <v>232</v>
      </c>
      <c r="D571" s="59">
        <v>1</v>
      </c>
      <c r="E571" s="60">
        <v>5.3081373745999998E-5</v>
      </c>
    </row>
    <row r="572" spans="2:5" ht="14.5" customHeight="1">
      <c r="B572" s="86"/>
      <c r="C572" s="58" t="s">
        <v>207</v>
      </c>
      <c r="D572" s="59">
        <v>2</v>
      </c>
      <c r="E572" s="60">
        <v>1.06162747492E-4</v>
      </c>
    </row>
    <row r="573" spans="2:5" ht="14.5" customHeight="1">
      <c r="B573" s="86"/>
      <c r="C573" s="58" t="s">
        <v>194</v>
      </c>
      <c r="D573" s="59">
        <v>18</v>
      </c>
      <c r="E573" s="60">
        <v>9.5546472742699998E-4</v>
      </c>
    </row>
    <row r="574" spans="2:5" ht="14.5" customHeight="1">
      <c r="B574" s="86"/>
      <c r="C574" s="58" t="s">
        <v>195</v>
      </c>
      <c r="D574" s="59">
        <v>36</v>
      </c>
      <c r="E574" s="60">
        <v>1.910929454854E-3</v>
      </c>
    </row>
    <row r="575" spans="2:5" ht="14.5" customHeight="1">
      <c r="B575" s="86"/>
      <c r="C575" s="58" t="s">
        <v>208</v>
      </c>
      <c r="D575" s="59">
        <v>1</v>
      </c>
      <c r="E575" s="60">
        <v>5.3081373745999998E-5</v>
      </c>
    </row>
    <row r="576" spans="2:5" ht="14.5" customHeight="1">
      <c r="B576" s="86"/>
      <c r="C576" s="58" t="s">
        <v>196</v>
      </c>
      <c r="D576" s="59">
        <v>28</v>
      </c>
      <c r="E576" s="60">
        <v>1.4862784648869999E-3</v>
      </c>
    </row>
    <row r="577" spans="2:5" ht="14.5" customHeight="1">
      <c r="B577" s="86"/>
      <c r="C577" s="58" t="s">
        <v>210</v>
      </c>
      <c r="D577" s="59">
        <v>1</v>
      </c>
      <c r="E577" s="60">
        <v>5.3081373745999998E-5</v>
      </c>
    </row>
    <row r="578" spans="2:5" ht="14.5" customHeight="1">
      <c r="B578" s="86"/>
      <c r="C578" s="58" t="s">
        <v>197</v>
      </c>
      <c r="D578" s="59">
        <v>26</v>
      </c>
      <c r="E578" s="60">
        <v>1.3801157173950001E-3</v>
      </c>
    </row>
    <row r="579" spans="2:5" ht="14.5" customHeight="1">
      <c r="B579" s="86"/>
      <c r="C579" s="58" t="s">
        <v>198</v>
      </c>
      <c r="D579" s="59">
        <v>5</v>
      </c>
      <c r="E579" s="60">
        <v>2.6540686872999998E-4</v>
      </c>
    </row>
    <row r="580" spans="2:5" ht="14.5" customHeight="1">
      <c r="B580" s="86"/>
      <c r="C580" s="58" t="s">
        <v>199</v>
      </c>
      <c r="D580" s="59">
        <v>1</v>
      </c>
      <c r="E580" s="60">
        <v>5.3081373745999998E-5</v>
      </c>
    </row>
    <row r="581" spans="2:5" ht="14.5" customHeight="1">
      <c r="B581" s="86"/>
      <c r="C581" s="58" t="s">
        <v>211</v>
      </c>
      <c r="D581" s="59">
        <v>7</v>
      </c>
      <c r="E581" s="60">
        <v>3.71569616222E-4</v>
      </c>
    </row>
    <row r="582" spans="2:5" ht="14.5" customHeight="1">
      <c r="B582" s="86"/>
      <c r="C582" s="58" t="s">
        <v>213</v>
      </c>
      <c r="D582" s="59">
        <v>21</v>
      </c>
      <c r="E582" s="60">
        <v>1.1147088486650001E-3</v>
      </c>
    </row>
    <row r="583" spans="2:5" ht="14.5" customHeight="1">
      <c r="B583" s="86"/>
      <c r="C583" s="58" t="s">
        <v>214</v>
      </c>
      <c r="D583" s="59">
        <v>1</v>
      </c>
      <c r="E583" s="60">
        <v>5.3081373745999998E-5</v>
      </c>
    </row>
    <row r="584" spans="2:5" ht="14.5" customHeight="1">
      <c r="B584" s="86"/>
      <c r="C584" s="58" t="s">
        <v>215</v>
      </c>
      <c r="D584" s="59">
        <v>7</v>
      </c>
      <c r="E584" s="60">
        <v>3.71569616222E-4</v>
      </c>
    </row>
    <row r="585" spans="2:5" ht="14.5" customHeight="1">
      <c r="B585" s="86"/>
      <c r="C585" s="58" t="s">
        <v>217</v>
      </c>
      <c r="D585" s="59">
        <v>8</v>
      </c>
      <c r="E585" s="60">
        <v>4.2465098996799999E-4</v>
      </c>
    </row>
    <row r="586" spans="2:5" ht="14.5" customHeight="1">
      <c r="B586" s="86"/>
      <c r="C586" s="58" t="s">
        <v>218</v>
      </c>
      <c r="D586" s="59">
        <v>28</v>
      </c>
      <c r="E586" s="60">
        <v>1.4862784648869999E-3</v>
      </c>
    </row>
    <row r="587" spans="2:5" ht="14.5" customHeight="1">
      <c r="B587" s="86"/>
      <c r="C587" s="58" t="s">
        <v>219</v>
      </c>
      <c r="D587" s="59">
        <v>1</v>
      </c>
      <c r="E587" s="60">
        <v>5.3081373745999998E-5</v>
      </c>
    </row>
    <row r="588" spans="2:5" ht="14.5" customHeight="1">
      <c r="B588" s="86"/>
      <c r="C588" s="58" t="s">
        <v>200</v>
      </c>
      <c r="D588" s="59">
        <v>8</v>
      </c>
      <c r="E588" s="60">
        <v>4.2465098996799999E-4</v>
      </c>
    </row>
    <row r="589" spans="2:5" ht="14.5" customHeight="1">
      <c r="B589" s="86"/>
      <c r="C589" s="58" t="s">
        <v>201</v>
      </c>
      <c r="D589" s="59">
        <v>5</v>
      </c>
      <c r="E589" s="60">
        <v>2.6540686872999998E-4</v>
      </c>
    </row>
    <row r="590" spans="2:5" ht="14.5" customHeight="1">
      <c r="B590" s="86"/>
      <c r="C590" s="58" t="s">
        <v>220</v>
      </c>
      <c r="D590" s="59">
        <v>3</v>
      </c>
      <c r="E590" s="60">
        <v>1.5924412123800001E-4</v>
      </c>
    </row>
    <row r="591" spans="2:5" ht="14.5" customHeight="1">
      <c r="B591" s="86"/>
      <c r="C591" s="58" t="s">
        <v>221</v>
      </c>
      <c r="D591" s="59">
        <v>9</v>
      </c>
      <c r="E591" s="60">
        <v>4.7773236371400003E-4</v>
      </c>
    </row>
    <row r="592" spans="2:5" ht="14.5" customHeight="1">
      <c r="B592" s="86"/>
      <c r="C592" s="58" t="s">
        <v>222</v>
      </c>
      <c r="D592" s="59">
        <v>6</v>
      </c>
      <c r="E592" s="60">
        <v>3.1848824247600002E-4</v>
      </c>
    </row>
    <row r="593" spans="2:5" ht="14.5" customHeight="1">
      <c r="B593" s="86"/>
      <c r="C593" s="58" t="s">
        <v>223</v>
      </c>
      <c r="D593" s="59">
        <v>6</v>
      </c>
      <c r="E593" s="60">
        <v>3.1848824247600002E-4</v>
      </c>
    </row>
    <row r="594" spans="2:5" ht="14.5" customHeight="1">
      <c r="B594" s="86"/>
      <c r="C594" s="58" t="s">
        <v>224</v>
      </c>
      <c r="D594" s="59">
        <v>2</v>
      </c>
      <c r="E594" s="60">
        <v>1.06162747492E-4</v>
      </c>
    </row>
    <row r="595" spans="2:5" ht="14.5" customHeight="1">
      <c r="B595" s="86"/>
      <c r="C595" s="58" t="s">
        <v>225</v>
      </c>
      <c r="D595" s="59">
        <v>1</v>
      </c>
      <c r="E595" s="60">
        <v>5.3081373745999998E-5</v>
      </c>
    </row>
    <row r="596" spans="2:5" ht="14.5" customHeight="1">
      <c r="B596" s="86"/>
      <c r="C596" s="58" t="s">
        <v>202</v>
      </c>
      <c r="D596" s="59">
        <v>2</v>
      </c>
      <c r="E596" s="60">
        <v>1.06162747492E-4</v>
      </c>
    </row>
    <row r="597" spans="2:5" ht="14.5" customHeight="1">
      <c r="B597" s="86"/>
      <c r="C597" s="58" t="s">
        <v>203</v>
      </c>
      <c r="D597" s="59">
        <v>9</v>
      </c>
      <c r="E597" s="60">
        <v>4.7773236371400003E-4</v>
      </c>
    </row>
    <row r="598" spans="2:5" ht="14.5" customHeight="1">
      <c r="B598" s="86"/>
      <c r="C598" s="58" t="s">
        <v>226</v>
      </c>
      <c r="D598" s="59">
        <v>2</v>
      </c>
      <c r="E598" s="60">
        <v>1.06162747492E-4</v>
      </c>
    </row>
    <row r="599" spans="2:5" ht="14.5" customHeight="1">
      <c r="B599" s="86"/>
      <c r="C599" s="58" t="s">
        <v>227</v>
      </c>
      <c r="D599" s="59">
        <v>1</v>
      </c>
      <c r="E599" s="60">
        <v>5.3081373745999998E-5</v>
      </c>
    </row>
    <row r="600" spans="2:5" ht="14.5" customHeight="1">
      <c r="B600" s="86"/>
      <c r="C600" s="58" t="s">
        <v>228</v>
      </c>
      <c r="D600" s="59">
        <v>1</v>
      </c>
      <c r="E600" s="60">
        <v>5.3081373745999998E-5</v>
      </c>
    </row>
    <row r="601" spans="2:5" ht="14.5" customHeight="1">
      <c r="B601" s="86"/>
      <c r="C601" s="58" t="s">
        <v>229</v>
      </c>
      <c r="D601" s="59">
        <v>4</v>
      </c>
      <c r="E601" s="60">
        <v>2.1232549498399999E-4</v>
      </c>
    </row>
    <row r="602" spans="2:5" ht="14.5" customHeight="1">
      <c r="B602" s="86"/>
      <c r="C602" s="58" t="s">
        <v>230</v>
      </c>
      <c r="D602" s="59">
        <v>1</v>
      </c>
      <c r="E602" s="60">
        <v>5.3081373745999998E-5</v>
      </c>
    </row>
    <row r="603" spans="2:5" ht="14.5" customHeight="1">
      <c r="B603" s="86"/>
      <c r="C603" s="58" t="s">
        <v>231</v>
      </c>
      <c r="D603" s="59">
        <v>41</v>
      </c>
      <c r="E603" s="60">
        <v>2.1763363235839999E-3</v>
      </c>
    </row>
    <row r="604" spans="2:5" ht="14.5" customHeight="1">
      <c r="B604" s="87"/>
      <c r="C604" s="35" t="s">
        <v>28</v>
      </c>
      <c r="D604" s="34">
        <v>529</v>
      </c>
      <c r="E604" s="33">
        <v>2.8080046711608998E-2</v>
      </c>
    </row>
    <row r="605" spans="2:5" ht="14.5" customHeight="1">
      <c r="B605" s="85" t="s">
        <v>99</v>
      </c>
      <c r="C605" s="58" t="s">
        <v>204</v>
      </c>
      <c r="D605" s="59">
        <v>117</v>
      </c>
      <c r="E605" s="60">
        <v>6.210520728276E-3</v>
      </c>
    </row>
    <row r="606" spans="2:5" ht="14.5" customHeight="1">
      <c r="B606" s="86"/>
      <c r="C606" s="58" t="s">
        <v>205</v>
      </c>
      <c r="D606" s="59">
        <v>43</v>
      </c>
      <c r="E606" s="60">
        <v>2.282499071076E-3</v>
      </c>
    </row>
    <row r="607" spans="2:5" ht="14.5" customHeight="1">
      <c r="B607" s="86"/>
      <c r="C607" s="58" t="s">
        <v>206</v>
      </c>
      <c r="D607" s="59">
        <v>1</v>
      </c>
      <c r="E607" s="60">
        <v>5.3081373745999998E-5</v>
      </c>
    </row>
    <row r="608" spans="2:5" ht="14.5" customHeight="1">
      <c r="B608" s="86"/>
      <c r="C608" s="58" t="s">
        <v>192</v>
      </c>
      <c r="D608" s="59">
        <v>66</v>
      </c>
      <c r="E608" s="60">
        <v>3.5033706672330002E-3</v>
      </c>
    </row>
    <row r="609" spans="2:5" ht="14.5" customHeight="1">
      <c r="B609" s="86"/>
      <c r="C609" s="58" t="s">
        <v>193</v>
      </c>
      <c r="D609" s="59">
        <v>523</v>
      </c>
      <c r="E609" s="60">
        <v>2.7761558469132998E-2</v>
      </c>
    </row>
    <row r="610" spans="2:5" ht="14.5" customHeight="1">
      <c r="B610" s="86"/>
      <c r="C610" s="58" t="s">
        <v>207</v>
      </c>
      <c r="D610" s="59">
        <v>36</v>
      </c>
      <c r="E610" s="60">
        <v>1.910929454854E-3</v>
      </c>
    </row>
    <row r="611" spans="2:5" ht="14.5" customHeight="1">
      <c r="B611" s="86"/>
      <c r="C611" s="58" t="s">
        <v>194</v>
      </c>
      <c r="D611" s="59">
        <v>7</v>
      </c>
      <c r="E611" s="60">
        <v>3.71569616222E-4</v>
      </c>
    </row>
    <row r="612" spans="2:5" ht="14.5" customHeight="1">
      <c r="B612" s="86"/>
      <c r="C612" s="58" t="s">
        <v>195</v>
      </c>
      <c r="D612" s="59">
        <v>49</v>
      </c>
      <c r="E612" s="60">
        <v>2.6009873135519998E-3</v>
      </c>
    </row>
    <row r="613" spans="2:5" ht="14.5" customHeight="1">
      <c r="B613" s="86"/>
      <c r="C613" s="58" t="s">
        <v>208</v>
      </c>
      <c r="D613" s="59">
        <v>6</v>
      </c>
      <c r="E613" s="60">
        <v>3.1848824247600002E-4</v>
      </c>
    </row>
    <row r="614" spans="2:5" ht="14.5" customHeight="1">
      <c r="B614" s="86"/>
      <c r="C614" s="58" t="s">
        <v>196</v>
      </c>
      <c r="D614" s="59">
        <v>116</v>
      </c>
      <c r="E614" s="60">
        <v>6.1574393545299998E-3</v>
      </c>
    </row>
    <row r="615" spans="2:5" ht="14.5" customHeight="1">
      <c r="B615" s="86"/>
      <c r="C615" s="58" t="s">
        <v>209</v>
      </c>
      <c r="D615" s="59">
        <v>3</v>
      </c>
      <c r="E615" s="60">
        <v>1.5924412123800001E-4</v>
      </c>
    </row>
    <row r="616" spans="2:5" ht="14.5" customHeight="1">
      <c r="B616" s="86"/>
      <c r="C616" s="58" t="s">
        <v>210</v>
      </c>
      <c r="D616" s="59">
        <v>22</v>
      </c>
      <c r="E616" s="60">
        <v>1.1677902224109999E-3</v>
      </c>
    </row>
    <row r="617" spans="2:5" ht="14.5" customHeight="1">
      <c r="B617" s="86"/>
      <c r="C617" s="58" t="s">
        <v>197</v>
      </c>
      <c r="D617" s="59">
        <v>40</v>
      </c>
      <c r="E617" s="60">
        <v>2.1232549498380001E-3</v>
      </c>
    </row>
    <row r="618" spans="2:5" ht="14.5" customHeight="1">
      <c r="B618" s="86"/>
      <c r="C618" s="58" t="s">
        <v>198</v>
      </c>
      <c r="D618" s="59">
        <v>22</v>
      </c>
      <c r="E618" s="60">
        <v>1.1677902224109999E-3</v>
      </c>
    </row>
    <row r="619" spans="2:5" ht="14.5" customHeight="1">
      <c r="B619" s="86"/>
      <c r="C619" s="58" t="s">
        <v>199</v>
      </c>
      <c r="D619" s="59">
        <v>4</v>
      </c>
      <c r="E619" s="60">
        <v>2.1232549498399999E-4</v>
      </c>
    </row>
    <row r="620" spans="2:5" ht="14.5" customHeight="1">
      <c r="B620" s="86"/>
      <c r="C620" s="58" t="s">
        <v>211</v>
      </c>
      <c r="D620" s="59">
        <v>5</v>
      </c>
      <c r="E620" s="60">
        <v>2.6540686872999998E-4</v>
      </c>
    </row>
    <row r="621" spans="2:5" ht="14.5" customHeight="1">
      <c r="B621" s="86"/>
      <c r="C621" s="58" t="s">
        <v>213</v>
      </c>
      <c r="D621" s="59">
        <v>47</v>
      </c>
      <c r="E621" s="60">
        <v>2.4948245660600002E-3</v>
      </c>
    </row>
    <row r="622" spans="2:5" ht="14.5" customHeight="1">
      <c r="B622" s="86"/>
      <c r="C622" s="58" t="s">
        <v>214</v>
      </c>
      <c r="D622" s="59">
        <v>22</v>
      </c>
      <c r="E622" s="60">
        <v>1.1677902224109999E-3</v>
      </c>
    </row>
    <row r="623" spans="2:5" ht="14.5" customHeight="1">
      <c r="B623" s="86"/>
      <c r="C623" s="58" t="s">
        <v>215</v>
      </c>
      <c r="D623" s="59">
        <v>14</v>
      </c>
      <c r="E623" s="60">
        <v>7.4313923244300004E-4</v>
      </c>
    </row>
    <row r="624" spans="2:5" ht="14.5" customHeight="1">
      <c r="B624" s="86"/>
      <c r="C624" s="58" t="s">
        <v>216</v>
      </c>
      <c r="D624" s="59">
        <v>35</v>
      </c>
      <c r="E624" s="60">
        <v>1.8578480811079999E-3</v>
      </c>
    </row>
    <row r="625" spans="2:5" ht="14.5" customHeight="1">
      <c r="B625" s="86"/>
      <c r="C625" s="58" t="s">
        <v>217</v>
      </c>
      <c r="D625" s="59">
        <v>10</v>
      </c>
      <c r="E625" s="60">
        <v>5.3081373745999996E-4</v>
      </c>
    </row>
    <row r="626" spans="2:5" ht="14.5" customHeight="1">
      <c r="B626" s="86"/>
      <c r="C626" s="58" t="s">
        <v>218</v>
      </c>
      <c r="D626" s="59">
        <v>44</v>
      </c>
      <c r="E626" s="60">
        <v>2.3355804448219998E-3</v>
      </c>
    </row>
    <row r="627" spans="2:5" ht="14.5" customHeight="1">
      <c r="B627" s="86"/>
      <c r="C627" s="58" t="s">
        <v>219</v>
      </c>
      <c r="D627" s="59">
        <v>29</v>
      </c>
      <c r="E627" s="60">
        <v>1.539359838633E-3</v>
      </c>
    </row>
    <row r="628" spans="2:5" ht="14.5" customHeight="1">
      <c r="B628" s="86"/>
      <c r="C628" s="58" t="s">
        <v>200</v>
      </c>
      <c r="D628" s="59">
        <v>8</v>
      </c>
      <c r="E628" s="60">
        <v>4.2465098996799999E-4</v>
      </c>
    </row>
    <row r="629" spans="2:5" ht="14.5" customHeight="1">
      <c r="B629" s="86"/>
      <c r="C629" s="58" t="s">
        <v>201</v>
      </c>
      <c r="D629" s="59">
        <v>17</v>
      </c>
      <c r="E629" s="60">
        <v>9.0238335368100005E-4</v>
      </c>
    </row>
    <row r="630" spans="2:5" ht="14.5" customHeight="1">
      <c r="B630" s="86"/>
      <c r="C630" s="58" t="s">
        <v>220</v>
      </c>
      <c r="D630" s="59">
        <v>6</v>
      </c>
      <c r="E630" s="60">
        <v>3.1848824247600002E-4</v>
      </c>
    </row>
    <row r="631" spans="2:5" ht="14.5" customHeight="1">
      <c r="B631" s="86"/>
      <c r="C631" s="58" t="s">
        <v>221</v>
      </c>
      <c r="D631" s="59">
        <v>56</v>
      </c>
      <c r="E631" s="60">
        <v>2.9725569297729998E-3</v>
      </c>
    </row>
    <row r="632" spans="2:5" ht="14.5" customHeight="1">
      <c r="B632" s="86"/>
      <c r="C632" s="58" t="s">
        <v>222</v>
      </c>
      <c r="D632" s="59">
        <v>2</v>
      </c>
      <c r="E632" s="60">
        <v>1.06162747492E-4</v>
      </c>
    </row>
    <row r="633" spans="2:5" ht="14.5" customHeight="1">
      <c r="B633" s="86"/>
      <c r="C633" s="58" t="s">
        <v>223</v>
      </c>
      <c r="D633" s="59">
        <v>18</v>
      </c>
      <c r="E633" s="60">
        <v>9.5546472742699998E-4</v>
      </c>
    </row>
    <row r="634" spans="2:5" ht="14.5" customHeight="1">
      <c r="B634" s="86"/>
      <c r="C634" s="58" t="s">
        <v>224</v>
      </c>
      <c r="D634" s="59">
        <v>1</v>
      </c>
      <c r="E634" s="60">
        <v>5.3081373745999998E-5</v>
      </c>
    </row>
    <row r="635" spans="2:5" ht="14.5" customHeight="1">
      <c r="B635" s="86"/>
      <c r="C635" s="58" t="s">
        <v>225</v>
      </c>
      <c r="D635" s="59">
        <v>2</v>
      </c>
      <c r="E635" s="60">
        <v>1.06162747492E-4</v>
      </c>
    </row>
    <row r="636" spans="2:5" ht="14.5" customHeight="1">
      <c r="B636" s="86"/>
      <c r="C636" s="58" t="s">
        <v>202</v>
      </c>
      <c r="D636" s="59">
        <v>12</v>
      </c>
      <c r="E636" s="60">
        <v>6.3697648495099997E-4</v>
      </c>
    </row>
    <row r="637" spans="2:5" ht="14.5" customHeight="1">
      <c r="B637" s="86"/>
      <c r="C637" s="58" t="s">
        <v>203</v>
      </c>
      <c r="D637" s="59">
        <v>69</v>
      </c>
      <c r="E637" s="60">
        <v>3.6626147884710001E-3</v>
      </c>
    </row>
    <row r="638" spans="2:5" ht="14.5" customHeight="1">
      <c r="B638" s="86"/>
      <c r="C638" s="58" t="s">
        <v>226</v>
      </c>
      <c r="D638" s="59">
        <v>5</v>
      </c>
      <c r="E638" s="60">
        <v>2.6540686872999998E-4</v>
      </c>
    </row>
    <row r="639" spans="2:5" ht="14.5" customHeight="1">
      <c r="B639" s="86"/>
      <c r="C639" s="58" t="s">
        <v>227</v>
      </c>
      <c r="D639" s="59">
        <v>62</v>
      </c>
      <c r="E639" s="60">
        <v>3.291045172249E-3</v>
      </c>
    </row>
    <row r="640" spans="2:5" ht="14.5" customHeight="1">
      <c r="B640" s="86"/>
      <c r="C640" s="58" t="s">
        <v>228</v>
      </c>
      <c r="D640" s="59">
        <v>35</v>
      </c>
      <c r="E640" s="60">
        <v>1.8578480811079999E-3</v>
      </c>
    </row>
    <row r="641" spans="2:5" ht="14.5" customHeight="1">
      <c r="B641" s="86"/>
      <c r="C641" s="58" t="s">
        <v>229</v>
      </c>
      <c r="D641" s="59">
        <v>4</v>
      </c>
      <c r="E641" s="60">
        <v>2.1232549498399999E-4</v>
      </c>
    </row>
    <row r="642" spans="2:5" ht="14.5" customHeight="1">
      <c r="B642" s="86"/>
      <c r="C642" s="58" t="s">
        <v>230</v>
      </c>
      <c r="D642" s="59">
        <v>32</v>
      </c>
      <c r="E642" s="60">
        <v>1.69860395987E-3</v>
      </c>
    </row>
    <row r="643" spans="2:5" ht="14.5" customHeight="1">
      <c r="B643" s="86"/>
      <c r="C643" s="58" t="s">
        <v>231</v>
      </c>
      <c r="D643" s="59">
        <v>75</v>
      </c>
      <c r="E643" s="60">
        <v>3.9811030309459998E-3</v>
      </c>
    </row>
    <row r="644" spans="2:5" ht="14.5" customHeight="1">
      <c r="B644" s="87"/>
      <c r="C644" s="35" t="s">
        <v>28</v>
      </c>
      <c r="D644" s="34">
        <v>1665</v>
      </c>
      <c r="E644" s="33">
        <v>8.8380487287011006E-2</v>
      </c>
    </row>
    <row r="645" spans="2:5" ht="14.5" customHeight="1">
      <c r="B645" s="85" t="s">
        <v>125</v>
      </c>
      <c r="C645" s="58" t="s">
        <v>204</v>
      </c>
      <c r="D645" s="59">
        <v>5</v>
      </c>
      <c r="E645" s="60">
        <v>2.6540686872999998E-4</v>
      </c>
    </row>
    <row r="646" spans="2:5" ht="14.5" customHeight="1">
      <c r="B646" s="86"/>
      <c r="C646" s="58" t="s">
        <v>206</v>
      </c>
      <c r="D646" s="59">
        <v>1</v>
      </c>
      <c r="E646" s="60">
        <v>5.3081373745999998E-5</v>
      </c>
    </row>
    <row r="647" spans="2:5" ht="14.5" customHeight="1">
      <c r="B647" s="86"/>
      <c r="C647" s="58" t="s">
        <v>192</v>
      </c>
      <c r="D647" s="59">
        <v>2</v>
      </c>
      <c r="E647" s="60">
        <v>1.06162747492E-4</v>
      </c>
    </row>
    <row r="648" spans="2:5" ht="14.5" customHeight="1">
      <c r="B648" s="86"/>
      <c r="C648" s="58" t="s">
        <v>193</v>
      </c>
      <c r="D648" s="59">
        <v>19</v>
      </c>
      <c r="E648" s="60">
        <v>1.008546101173E-3</v>
      </c>
    </row>
    <row r="649" spans="2:5" ht="14.5" customHeight="1">
      <c r="B649" s="86"/>
      <c r="C649" s="58" t="s">
        <v>207</v>
      </c>
      <c r="D649" s="59">
        <v>1</v>
      </c>
      <c r="E649" s="60">
        <v>5.3081373745999998E-5</v>
      </c>
    </row>
    <row r="650" spans="2:5" ht="14.5" customHeight="1">
      <c r="B650" s="86"/>
      <c r="C650" s="58" t="s">
        <v>194</v>
      </c>
      <c r="D650" s="59">
        <v>5</v>
      </c>
      <c r="E650" s="60">
        <v>2.6540686872999998E-4</v>
      </c>
    </row>
    <row r="651" spans="2:5" ht="14.5" customHeight="1">
      <c r="B651" s="86"/>
      <c r="C651" s="58" t="s">
        <v>195</v>
      </c>
      <c r="D651" s="59">
        <v>5</v>
      </c>
      <c r="E651" s="60">
        <v>2.6540686872999998E-4</v>
      </c>
    </row>
    <row r="652" spans="2:5" ht="14.5" customHeight="1">
      <c r="B652" s="86"/>
      <c r="C652" s="58" t="s">
        <v>196</v>
      </c>
      <c r="D652" s="59">
        <v>22</v>
      </c>
      <c r="E652" s="60">
        <v>1.1677902224109999E-3</v>
      </c>
    </row>
    <row r="653" spans="2:5" ht="14.5" customHeight="1">
      <c r="B653" s="86"/>
      <c r="C653" s="58" t="s">
        <v>209</v>
      </c>
      <c r="D653" s="59">
        <v>1</v>
      </c>
      <c r="E653" s="60">
        <v>5.3081373745999998E-5</v>
      </c>
    </row>
    <row r="654" spans="2:5" ht="14.5" customHeight="1">
      <c r="B654" s="86"/>
      <c r="C654" s="58" t="s">
        <v>210</v>
      </c>
      <c r="D654" s="59">
        <v>1</v>
      </c>
      <c r="E654" s="60">
        <v>5.3081373745999998E-5</v>
      </c>
    </row>
    <row r="655" spans="2:5" ht="14.5" customHeight="1">
      <c r="B655" s="86"/>
      <c r="C655" s="58" t="s">
        <v>197</v>
      </c>
      <c r="D655" s="59">
        <v>14</v>
      </c>
      <c r="E655" s="60">
        <v>7.4313923244300004E-4</v>
      </c>
    </row>
    <row r="656" spans="2:5" ht="14.5" customHeight="1">
      <c r="B656" s="86"/>
      <c r="C656" s="58" t="s">
        <v>198</v>
      </c>
      <c r="D656" s="59">
        <v>2</v>
      </c>
      <c r="E656" s="60">
        <v>1.06162747492E-4</v>
      </c>
    </row>
    <row r="657" spans="2:5" ht="14.5" customHeight="1">
      <c r="B657" s="86"/>
      <c r="C657" s="58" t="s">
        <v>199</v>
      </c>
      <c r="D657" s="59">
        <v>1</v>
      </c>
      <c r="E657" s="60">
        <v>5.3081373745999998E-5</v>
      </c>
    </row>
    <row r="658" spans="2:5" ht="14.5" customHeight="1">
      <c r="B658" s="86"/>
      <c r="C658" s="58" t="s">
        <v>211</v>
      </c>
      <c r="D658" s="59">
        <v>1</v>
      </c>
      <c r="E658" s="60">
        <v>5.3081373745999998E-5</v>
      </c>
    </row>
    <row r="659" spans="2:5" ht="14.5" customHeight="1">
      <c r="B659" s="86"/>
      <c r="C659" s="58" t="s">
        <v>217</v>
      </c>
      <c r="D659" s="59">
        <v>4</v>
      </c>
      <c r="E659" s="60">
        <v>2.1232549498399999E-4</v>
      </c>
    </row>
    <row r="660" spans="2:5" ht="14.5" customHeight="1">
      <c r="B660" s="86"/>
      <c r="C660" s="58" t="s">
        <v>218</v>
      </c>
      <c r="D660" s="59">
        <v>1</v>
      </c>
      <c r="E660" s="60">
        <v>5.3081373745999998E-5</v>
      </c>
    </row>
    <row r="661" spans="2:5" ht="14.5" customHeight="1">
      <c r="B661" s="86"/>
      <c r="C661" s="58" t="s">
        <v>219</v>
      </c>
      <c r="D661" s="59">
        <v>1</v>
      </c>
      <c r="E661" s="60">
        <v>5.3081373745999998E-5</v>
      </c>
    </row>
    <row r="662" spans="2:5" ht="14.5" customHeight="1">
      <c r="B662" s="86"/>
      <c r="C662" s="58" t="s">
        <v>201</v>
      </c>
      <c r="D662" s="59">
        <v>2</v>
      </c>
      <c r="E662" s="60">
        <v>1.06162747492E-4</v>
      </c>
    </row>
    <row r="663" spans="2:5" ht="14.5" customHeight="1">
      <c r="B663" s="86"/>
      <c r="C663" s="58" t="s">
        <v>222</v>
      </c>
      <c r="D663" s="59">
        <v>1</v>
      </c>
      <c r="E663" s="60">
        <v>5.3081373745999998E-5</v>
      </c>
    </row>
    <row r="664" spans="2:5" ht="14.5" customHeight="1">
      <c r="B664" s="86"/>
      <c r="C664" s="58" t="s">
        <v>223</v>
      </c>
      <c r="D664" s="59">
        <v>3</v>
      </c>
      <c r="E664" s="60">
        <v>1.5924412123800001E-4</v>
      </c>
    </row>
    <row r="665" spans="2:5" ht="14.5" customHeight="1">
      <c r="B665" s="86"/>
      <c r="C665" s="58" t="s">
        <v>225</v>
      </c>
      <c r="D665" s="59">
        <v>1</v>
      </c>
      <c r="E665" s="60">
        <v>5.3081373745999998E-5</v>
      </c>
    </row>
    <row r="666" spans="2:5" ht="14.5" customHeight="1">
      <c r="B666" s="86"/>
      <c r="C666" s="58" t="s">
        <v>203</v>
      </c>
      <c r="D666" s="59">
        <v>3</v>
      </c>
      <c r="E666" s="60">
        <v>1.5924412123800001E-4</v>
      </c>
    </row>
    <row r="667" spans="2:5" ht="14.5" customHeight="1">
      <c r="B667" s="86"/>
      <c r="C667" s="58" t="s">
        <v>228</v>
      </c>
      <c r="D667" s="59">
        <v>2</v>
      </c>
      <c r="E667" s="60">
        <v>1.06162747492E-4</v>
      </c>
    </row>
    <row r="668" spans="2:5" ht="14.5" customHeight="1">
      <c r="B668" s="86"/>
      <c r="C668" s="58" t="s">
        <v>229</v>
      </c>
      <c r="D668" s="59">
        <v>5</v>
      </c>
      <c r="E668" s="60">
        <v>2.6540686872999998E-4</v>
      </c>
    </row>
    <row r="669" spans="2:5" ht="14.5" customHeight="1">
      <c r="B669" s="86"/>
      <c r="C669" s="58" t="s">
        <v>230</v>
      </c>
      <c r="D669" s="59">
        <v>1</v>
      </c>
      <c r="E669" s="60">
        <v>5.3081373745999998E-5</v>
      </c>
    </row>
    <row r="670" spans="2:5" ht="14.5" customHeight="1">
      <c r="B670" s="86"/>
      <c r="C670" s="58" t="s">
        <v>231</v>
      </c>
      <c r="D670" s="59">
        <v>1</v>
      </c>
      <c r="E670" s="60">
        <v>5.3081373745999998E-5</v>
      </c>
    </row>
    <row r="671" spans="2:5" ht="14.5" customHeight="1">
      <c r="B671" s="87"/>
      <c r="C671" s="35" t="s">
        <v>28</v>
      </c>
      <c r="D671" s="34">
        <v>105</v>
      </c>
      <c r="E671" s="33">
        <v>5.5735442433249996E-3</v>
      </c>
    </row>
    <row r="672" spans="2:5" ht="14.5" customHeight="1">
      <c r="B672" s="85" t="s">
        <v>131</v>
      </c>
      <c r="C672" s="58" t="s">
        <v>204</v>
      </c>
      <c r="D672" s="59">
        <v>2</v>
      </c>
      <c r="E672" s="60">
        <v>1.06162747492E-4</v>
      </c>
    </row>
    <row r="673" spans="2:5" ht="14.5" customHeight="1">
      <c r="B673" s="86"/>
      <c r="C673" s="58" t="s">
        <v>192</v>
      </c>
      <c r="D673" s="59">
        <v>4</v>
      </c>
      <c r="E673" s="60">
        <v>2.1232549498399999E-4</v>
      </c>
    </row>
    <row r="674" spans="2:5" ht="14.5" customHeight="1">
      <c r="B674" s="86"/>
      <c r="C674" s="58" t="s">
        <v>193</v>
      </c>
      <c r="D674" s="59">
        <v>7</v>
      </c>
      <c r="E674" s="60">
        <v>3.71569616222E-4</v>
      </c>
    </row>
    <row r="675" spans="2:5" ht="14.5" customHeight="1">
      <c r="B675" s="86"/>
      <c r="C675" s="58" t="s">
        <v>207</v>
      </c>
      <c r="D675" s="59">
        <v>2</v>
      </c>
      <c r="E675" s="60">
        <v>1.06162747492E-4</v>
      </c>
    </row>
    <row r="676" spans="2:5" ht="14.5" customHeight="1">
      <c r="B676" s="86"/>
      <c r="C676" s="58" t="s">
        <v>194</v>
      </c>
      <c r="D676" s="59">
        <v>3</v>
      </c>
      <c r="E676" s="60">
        <v>1.5924412123800001E-4</v>
      </c>
    </row>
    <row r="677" spans="2:5" ht="14.5" customHeight="1">
      <c r="B677" s="86"/>
      <c r="C677" s="58" t="s">
        <v>195</v>
      </c>
      <c r="D677" s="59">
        <v>7</v>
      </c>
      <c r="E677" s="60">
        <v>3.71569616222E-4</v>
      </c>
    </row>
    <row r="678" spans="2:5" ht="14.5" customHeight="1">
      <c r="B678" s="86"/>
      <c r="C678" s="58" t="s">
        <v>208</v>
      </c>
      <c r="D678" s="59">
        <v>3</v>
      </c>
      <c r="E678" s="60">
        <v>1.5924412123800001E-4</v>
      </c>
    </row>
    <row r="679" spans="2:5" ht="14.5" customHeight="1">
      <c r="B679" s="86"/>
      <c r="C679" s="58" t="s">
        <v>196</v>
      </c>
      <c r="D679" s="59">
        <v>5</v>
      </c>
      <c r="E679" s="60">
        <v>2.6540686872999998E-4</v>
      </c>
    </row>
    <row r="680" spans="2:5" ht="14.5" customHeight="1">
      <c r="B680" s="86"/>
      <c r="C680" s="58" t="s">
        <v>209</v>
      </c>
      <c r="D680" s="59">
        <v>7</v>
      </c>
      <c r="E680" s="60">
        <v>3.71569616222E-4</v>
      </c>
    </row>
    <row r="681" spans="2:5" ht="14.5" customHeight="1">
      <c r="B681" s="86"/>
      <c r="C681" s="58" t="s">
        <v>197</v>
      </c>
      <c r="D681" s="59">
        <v>5</v>
      </c>
      <c r="E681" s="60">
        <v>2.6540686872999998E-4</v>
      </c>
    </row>
    <row r="682" spans="2:5" ht="14.5" customHeight="1">
      <c r="B682" s="86"/>
      <c r="C682" s="58" t="s">
        <v>199</v>
      </c>
      <c r="D682" s="59">
        <v>4</v>
      </c>
      <c r="E682" s="60">
        <v>2.1232549498399999E-4</v>
      </c>
    </row>
    <row r="683" spans="2:5" ht="14.5" customHeight="1">
      <c r="B683" s="86"/>
      <c r="C683" s="58" t="s">
        <v>211</v>
      </c>
      <c r="D683" s="59">
        <v>1</v>
      </c>
      <c r="E683" s="60">
        <v>5.3081373745999998E-5</v>
      </c>
    </row>
    <row r="684" spans="2:5" ht="14.5" customHeight="1">
      <c r="B684" s="86"/>
      <c r="C684" s="58" t="s">
        <v>212</v>
      </c>
      <c r="D684" s="59">
        <v>2</v>
      </c>
      <c r="E684" s="60">
        <v>1.06162747492E-4</v>
      </c>
    </row>
    <row r="685" spans="2:5" ht="14.5" customHeight="1">
      <c r="B685" s="86"/>
      <c r="C685" s="58" t="s">
        <v>213</v>
      </c>
      <c r="D685" s="59">
        <v>1</v>
      </c>
      <c r="E685" s="60">
        <v>5.3081373745999998E-5</v>
      </c>
    </row>
    <row r="686" spans="2:5" ht="14.5" customHeight="1">
      <c r="B686" s="86"/>
      <c r="C686" s="58" t="s">
        <v>215</v>
      </c>
      <c r="D686" s="59">
        <v>1</v>
      </c>
      <c r="E686" s="60">
        <v>5.3081373745999998E-5</v>
      </c>
    </row>
    <row r="687" spans="2:5" ht="14.5" customHeight="1">
      <c r="B687" s="86"/>
      <c r="C687" s="58" t="s">
        <v>217</v>
      </c>
      <c r="D687" s="59">
        <v>1</v>
      </c>
      <c r="E687" s="60">
        <v>5.3081373745999998E-5</v>
      </c>
    </row>
    <row r="688" spans="2:5" ht="14.5" customHeight="1">
      <c r="B688" s="86"/>
      <c r="C688" s="58" t="s">
        <v>220</v>
      </c>
      <c r="D688" s="59">
        <v>1</v>
      </c>
      <c r="E688" s="60">
        <v>5.3081373745999998E-5</v>
      </c>
    </row>
    <row r="689" spans="2:5" ht="14.5" customHeight="1">
      <c r="B689" s="86"/>
      <c r="C689" s="58" t="s">
        <v>221</v>
      </c>
      <c r="D689" s="59">
        <v>1</v>
      </c>
      <c r="E689" s="60">
        <v>5.3081373745999998E-5</v>
      </c>
    </row>
    <row r="690" spans="2:5" ht="14.5" customHeight="1">
      <c r="B690" s="86"/>
      <c r="C690" s="58" t="s">
        <v>202</v>
      </c>
      <c r="D690" s="59">
        <v>2</v>
      </c>
      <c r="E690" s="60">
        <v>1.06162747492E-4</v>
      </c>
    </row>
    <row r="691" spans="2:5" ht="14.5" customHeight="1">
      <c r="B691" s="86"/>
      <c r="C691" s="58" t="s">
        <v>203</v>
      </c>
      <c r="D691" s="59">
        <v>9</v>
      </c>
      <c r="E691" s="60">
        <v>4.7773236371400003E-4</v>
      </c>
    </row>
    <row r="692" spans="2:5" ht="14.5" customHeight="1">
      <c r="B692" s="86"/>
      <c r="C692" s="58" t="s">
        <v>228</v>
      </c>
      <c r="D692" s="59">
        <v>1</v>
      </c>
      <c r="E692" s="60">
        <v>5.3081373745999998E-5</v>
      </c>
    </row>
    <row r="693" spans="2:5" ht="14.5" customHeight="1">
      <c r="B693" s="86"/>
      <c r="C693" s="58" t="s">
        <v>231</v>
      </c>
      <c r="D693" s="59">
        <v>3</v>
      </c>
      <c r="E693" s="60">
        <v>1.5924412123800001E-4</v>
      </c>
    </row>
    <row r="694" spans="2:5" ht="14.5" customHeight="1">
      <c r="B694" s="87"/>
      <c r="C694" s="35" t="s">
        <v>28</v>
      </c>
      <c r="D694" s="34">
        <v>72</v>
      </c>
      <c r="E694" s="33">
        <v>3.821858909709E-3</v>
      </c>
    </row>
    <row r="695" spans="2:5" ht="14.5" customHeight="1">
      <c r="B695" s="85" t="s">
        <v>121</v>
      </c>
      <c r="C695" s="58" t="s">
        <v>204</v>
      </c>
      <c r="D695" s="59">
        <v>16</v>
      </c>
      <c r="E695" s="60">
        <v>8.4930197993500001E-4</v>
      </c>
    </row>
    <row r="696" spans="2:5" ht="14.5" customHeight="1">
      <c r="B696" s="86"/>
      <c r="C696" s="58" t="s">
        <v>206</v>
      </c>
      <c r="D696" s="59">
        <v>1</v>
      </c>
      <c r="E696" s="60">
        <v>5.3081373745999998E-5</v>
      </c>
    </row>
    <row r="697" spans="2:5" ht="14.5" customHeight="1">
      <c r="B697" s="86"/>
      <c r="C697" s="58" t="s">
        <v>192</v>
      </c>
      <c r="D697" s="59">
        <v>1</v>
      </c>
      <c r="E697" s="60">
        <v>5.3081373745999998E-5</v>
      </c>
    </row>
    <row r="698" spans="2:5" ht="14.5" customHeight="1">
      <c r="B698" s="86"/>
      <c r="C698" s="58" t="s">
        <v>193</v>
      </c>
      <c r="D698" s="59">
        <v>30</v>
      </c>
      <c r="E698" s="60">
        <v>1.592441212379E-3</v>
      </c>
    </row>
    <row r="699" spans="2:5" ht="14.5" customHeight="1">
      <c r="B699" s="86"/>
      <c r="C699" s="58" t="s">
        <v>207</v>
      </c>
      <c r="D699" s="59">
        <v>2</v>
      </c>
      <c r="E699" s="60">
        <v>1.06162747492E-4</v>
      </c>
    </row>
    <row r="700" spans="2:5" ht="14.5" customHeight="1">
      <c r="B700" s="86"/>
      <c r="C700" s="58" t="s">
        <v>195</v>
      </c>
      <c r="D700" s="59">
        <v>4</v>
      </c>
      <c r="E700" s="60">
        <v>2.1232549498399999E-4</v>
      </c>
    </row>
    <row r="701" spans="2:5" ht="14.5" customHeight="1">
      <c r="B701" s="86"/>
      <c r="C701" s="58" t="s">
        <v>208</v>
      </c>
      <c r="D701" s="59">
        <v>3</v>
      </c>
      <c r="E701" s="60">
        <v>1.5924412123800001E-4</v>
      </c>
    </row>
    <row r="702" spans="2:5" ht="14.5" customHeight="1">
      <c r="B702" s="86"/>
      <c r="C702" s="58" t="s">
        <v>196</v>
      </c>
      <c r="D702" s="59">
        <v>11</v>
      </c>
      <c r="E702" s="60">
        <v>5.8389511120500003E-4</v>
      </c>
    </row>
    <row r="703" spans="2:5" ht="14.5" customHeight="1">
      <c r="B703" s="86"/>
      <c r="C703" s="58" t="s">
        <v>197</v>
      </c>
      <c r="D703" s="59">
        <v>3</v>
      </c>
      <c r="E703" s="60">
        <v>1.5924412123800001E-4</v>
      </c>
    </row>
    <row r="704" spans="2:5" ht="14.5" customHeight="1">
      <c r="B704" s="86"/>
      <c r="C704" s="58" t="s">
        <v>198</v>
      </c>
      <c r="D704" s="59">
        <v>22</v>
      </c>
      <c r="E704" s="60">
        <v>1.1677902224109999E-3</v>
      </c>
    </row>
    <row r="705" spans="2:5" ht="14.5" customHeight="1">
      <c r="B705" s="86"/>
      <c r="C705" s="58" t="s">
        <v>199</v>
      </c>
      <c r="D705" s="59">
        <v>2</v>
      </c>
      <c r="E705" s="60">
        <v>1.06162747492E-4</v>
      </c>
    </row>
    <row r="706" spans="2:5" ht="14.5" customHeight="1">
      <c r="B706" s="86"/>
      <c r="C706" s="58" t="s">
        <v>211</v>
      </c>
      <c r="D706" s="59">
        <v>1</v>
      </c>
      <c r="E706" s="60">
        <v>5.3081373745999998E-5</v>
      </c>
    </row>
    <row r="707" spans="2:5" ht="14.5" customHeight="1">
      <c r="B707" s="86"/>
      <c r="C707" s="58" t="s">
        <v>213</v>
      </c>
      <c r="D707" s="59">
        <v>4</v>
      </c>
      <c r="E707" s="60">
        <v>2.1232549498399999E-4</v>
      </c>
    </row>
    <row r="708" spans="2:5" ht="14.5" customHeight="1">
      <c r="B708" s="86"/>
      <c r="C708" s="58" t="s">
        <v>214</v>
      </c>
      <c r="D708" s="59">
        <v>2</v>
      </c>
      <c r="E708" s="60">
        <v>1.06162747492E-4</v>
      </c>
    </row>
    <row r="709" spans="2:5" ht="14.5" customHeight="1">
      <c r="B709" s="86"/>
      <c r="C709" s="58" t="s">
        <v>215</v>
      </c>
      <c r="D709" s="59">
        <v>1</v>
      </c>
      <c r="E709" s="60">
        <v>5.3081373745999998E-5</v>
      </c>
    </row>
    <row r="710" spans="2:5" ht="14.5" customHeight="1">
      <c r="B710" s="86"/>
      <c r="C710" s="58" t="s">
        <v>216</v>
      </c>
      <c r="D710" s="59">
        <v>2</v>
      </c>
      <c r="E710" s="60">
        <v>1.06162747492E-4</v>
      </c>
    </row>
    <row r="711" spans="2:5" ht="14.5" customHeight="1">
      <c r="B711" s="86"/>
      <c r="C711" s="58" t="s">
        <v>217</v>
      </c>
      <c r="D711" s="59">
        <v>1</v>
      </c>
      <c r="E711" s="60">
        <v>5.3081373745999998E-5</v>
      </c>
    </row>
    <row r="712" spans="2:5" ht="14.5" customHeight="1">
      <c r="B712" s="86"/>
      <c r="C712" s="58" t="s">
        <v>218</v>
      </c>
      <c r="D712" s="59">
        <v>1</v>
      </c>
      <c r="E712" s="60">
        <v>5.3081373745999998E-5</v>
      </c>
    </row>
    <row r="713" spans="2:5" ht="14.5" customHeight="1">
      <c r="B713" s="86"/>
      <c r="C713" s="58" t="s">
        <v>223</v>
      </c>
      <c r="D713" s="59">
        <v>3</v>
      </c>
      <c r="E713" s="60">
        <v>1.5924412123800001E-4</v>
      </c>
    </row>
    <row r="714" spans="2:5" ht="14.5" customHeight="1">
      <c r="B714" s="86"/>
      <c r="C714" s="58" t="s">
        <v>203</v>
      </c>
      <c r="D714" s="59">
        <v>23</v>
      </c>
      <c r="E714" s="60">
        <v>1.220871596157E-3</v>
      </c>
    </row>
    <row r="715" spans="2:5" ht="14.5" customHeight="1">
      <c r="B715" s="86"/>
      <c r="C715" s="58" t="s">
        <v>227</v>
      </c>
      <c r="D715" s="59">
        <v>1</v>
      </c>
      <c r="E715" s="60">
        <v>5.3081373745999998E-5</v>
      </c>
    </row>
    <row r="716" spans="2:5" ht="14.5" customHeight="1">
      <c r="B716" s="86"/>
      <c r="C716" s="58" t="s">
        <v>228</v>
      </c>
      <c r="D716" s="59">
        <v>9</v>
      </c>
      <c r="E716" s="60">
        <v>4.7773236371400003E-4</v>
      </c>
    </row>
    <row r="717" spans="2:5" ht="14.5" customHeight="1">
      <c r="B717" s="86"/>
      <c r="C717" s="58" t="s">
        <v>229</v>
      </c>
      <c r="D717" s="59">
        <v>1</v>
      </c>
      <c r="E717" s="60">
        <v>5.3081373745999998E-5</v>
      </c>
    </row>
    <row r="718" spans="2:5" ht="14.5" customHeight="1">
      <c r="B718" s="86"/>
      <c r="C718" s="58" t="s">
        <v>230</v>
      </c>
      <c r="D718" s="59">
        <v>4</v>
      </c>
      <c r="E718" s="60">
        <v>2.1232549498399999E-4</v>
      </c>
    </row>
    <row r="719" spans="2:5" ht="14.5" customHeight="1">
      <c r="B719" s="86"/>
      <c r="C719" s="58" t="s">
        <v>231</v>
      </c>
      <c r="D719" s="59">
        <v>1</v>
      </c>
      <c r="E719" s="60">
        <v>5.3081373745999998E-5</v>
      </c>
    </row>
    <row r="720" spans="2:5" ht="14.5" customHeight="1">
      <c r="B720" s="87"/>
      <c r="C720" s="35" t="s">
        <v>28</v>
      </c>
      <c r="D720" s="34">
        <v>149</v>
      </c>
      <c r="E720" s="33">
        <v>7.9091246881469995E-3</v>
      </c>
    </row>
    <row r="721" spans="2:5" ht="14.5" customHeight="1">
      <c r="B721" s="85" t="s">
        <v>145</v>
      </c>
      <c r="C721" s="58" t="s">
        <v>192</v>
      </c>
      <c r="D721" s="59">
        <v>1</v>
      </c>
      <c r="E721" s="60">
        <v>5.3081373745999998E-5</v>
      </c>
    </row>
    <row r="722" spans="2:5" ht="14.5" customHeight="1">
      <c r="B722" s="87"/>
      <c r="C722" s="35" t="s">
        <v>28</v>
      </c>
      <c r="D722" s="34">
        <v>1</v>
      </c>
      <c r="E722" s="33">
        <v>5.3081373745999998E-5</v>
      </c>
    </row>
    <row r="723" spans="2:5" ht="14.5" customHeight="1">
      <c r="B723" s="85" t="s">
        <v>146</v>
      </c>
      <c r="C723" s="58" t="s">
        <v>213</v>
      </c>
      <c r="D723" s="59">
        <v>1</v>
      </c>
      <c r="E723" s="60">
        <v>5.3081373745999998E-5</v>
      </c>
    </row>
    <row r="724" spans="2:5" ht="14.5" customHeight="1">
      <c r="B724" s="87" t="s">
        <v>340</v>
      </c>
      <c r="C724" s="35" t="s">
        <v>28</v>
      </c>
      <c r="D724" s="34">
        <v>1</v>
      </c>
      <c r="E724" s="33">
        <v>5.3081373745999998E-5</v>
      </c>
    </row>
    <row r="725" spans="2:5" ht="14.5" customHeight="1">
      <c r="B725" s="85" t="s">
        <v>132</v>
      </c>
      <c r="C725" s="58" t="s">
        <v>204</v>
      </c>
      <c r="D725" s="59">
        <v>3</v>
      </c>
      <c r="E725" s="60">
        <v>1.5924412123800001E-4</v>
      </c>
    </row>
    <row r="726" spans="2:5" ht="14.5" customHeight="1">
      <c r="B726" s="86"/>
      <c r="C726" s="58" t="s">
        <v>192</v>
      </c>
      <c r="D726" s="59">
        <v>4</v>
      </c>
      <c r="E726" s="60">
        <v>2.1232549498399999E-4</v>
      </c>
    </row>
    <row r="727" spans="2:5" ht="14.5" customHeight="1">
      <c r="B727" s="86"/>
      <c r="C727" s="58" t="s">
        <v>193</v>
      </c>
      <c r="D727" s="59">
        <v>12</v>
      </c>
      <c r="E727" s="60">
        <v>6.3697648495099997E-4</v>
      </c>
    </row>
    <row r="728" spans="2:5" ht="14.5" customHeight="1">
      <c r="B728" s="86"/>
      <c r="C728" s="58" t="s">
        <v>195</v>
      </c>
      <c r="D728" s="59">
        <v>7</v>
      </c>
      <c r="E728" s="60">
        <v>3.71569616222E-4</v>
      </c>
    </row>
    <row r="729" spans="2:5" ht="14.5" customHeight="1">
      <c r="B729" s="86"/>
      <c r="C729" s="58" t="s">
        <v>208</v>
      </c>
      <c r="D729" s="59">
        <v>1</v>
      </c>
      <c r="E729" s="60">
        <v>5.3081373745999998E-5</v>
      </c>
    </row>
    <row r="730" spans="2:5" ht="14.5" customHeight="1">
      <c r="B730" s="86"/>
      <c r="C730" s="58" t="s">
        <v>196</v>
      </c>
      <c r="D730" s="59">
        <v>4</v>
      </c>
      <c r="E730" s="60">
        <v>2.1232549498399999E-4</v>
      </c>
    </row>
    <row r="731" spans="2:5" ht="14.5" customHeight="1">
      <c r="B731" s="86"/>
      <c r="C731" s="58" t="s">
        <v>197</v>
      </c>
      <c r="D731" s="59">
        <v>10</v>
      </c>
      <c r="E731" s="60">
        <v>5.3081373745999996E-4</v>
      </c>
    </row>
    <row r="732" spans="2:5" ht="14.5" customHeight="1">
      <c r="B732" s="86"/>
      <c r="C732" s="58" t="s">
        <v>199</v>
      </c>
      <c r="D732" s="59">
        <v>2</v>
      </c>
      <c r="E732" s="60">
        <v>1.06162747492E-4</v>
      </c>
    </row>
    <row r="733" spans="2:5" ht="14.5" customHeight="1">
      <c r="B733" s="86"/>
      <c r="C733" s="58" t="s">
        <v>211</v>
      </c>
      <c r="D733" s="59">
        <v>4</v>
      </c>
      <c r="E733" s="60">
        <v>2.1232549498399999E-4</v>
      </c>
    </row>
    <row r="734" spans="2:5" ht="14.5" customHeight="1">
      <c r="B734" s="86"/>
      <c r="C734" s="58" t="s">
        <v>213</v>
      </c>
      <c r="D734" s="59">
        <v>1</v>
      </c>
      <c r="E734" s="60">
        <v>5.3081373745999998E-5</v>
      </c>
    </row>
    <row r="735" spans="2:5" ht="14.5" customHeight="1">
      <c r="B735" s="86"/>
      <c r="C735" s="58" t="s">
        <v>200</v>
      </c>
      <c r="D735" s="59">
        <v>2</v>
      </c>
      <c r="E735" s="60">
        <v>1.06162747492E-4</v>
      </c>
    </row>
    <row r="736" spans="2:5" ht="14.5" customHeight="1">
      <c r="B736" s="86"/>
      <c r="C736" s="58" t="s">
        <v>221</v>
      </c>
      <c r="D736" s="59">
        <v>2</v>
      </c>
      <c r="E736" s="60">
        <v>1.06162747492E-4</v>
      </c>
    </row>
    <row r="737" spans="2:5" ht="14.5" customHeight="1">
      <c r="B737" s="86"/>
      <c r="C737" s="58" t="s">
        <v>222</v>
      </c>
      <c r="D737" s="59">
        <v>1</v>
      </c>
      <c r="E737" s="60">
        <v>5.3081373745999998E-5</v>
      </c>
    </row>
    <row r="738" spans="2:5" ht="14.5" customHeight="1">
      <c r="B738" s="86"/>
      <c r="C738" s="58" t="s">
        <v>225</v>
      </c>
      <c r="D738" s="59">
        <v>1</v>
      </c>
      <c r="E738" s="60">
        <v>5.3081373745999998E-5</v>
      </c>
    </row>
    <row r="739" spans="2:5" ht="14.5" customHeight="1">
      <c r="B739" s="86"/>
      <c r="C739" s="58" t="s">
        <v>203</v>
      </c>
      <c r="D739" s="59">
        <v>1</v>
      </c>
      <c r="E739" s="60">
        <v>5.3081373745999998E-5</v>
      </c>
    </row>
    <row r="740" spans="2:5" ht="14.5" customHeight="1">
      <c r="B740" s="86"/>
      <c r="C740" s="58" t="s">
        <v>228</v>
      </c>
      <c r="D740" s="59">
        <v>1</v>
      </c>
      <c r="E740" s="60">
        <v>5.3081373745999998E-5</v>
      </c>
    </row>
    <row r="741" spans="2:5" ht="14.5" customHeight="1">
      <c r="B741" s="86"/>
      <c r="C741" s="58" t="s">
        <v>229</v>
      </c>
      <c r="D741" s="59">
        <v>1</v>
      </c>
      <c r="E741" s="60">
        <v>5.3081373745999998E-5</v>
      </c>
    </row>
    <row r="742" spans="2:5" ht="14.5" customHeight="1">
      <c r="B742" s="86"/>
      <c r="C742" s="58" t="s">
        <v>231</v>
      </c>
      <c r="D742" s="59">
        <v>2</v>
      </c>
      <c r="E742" s="60">
        <v>1.06162747492E-4</v>
      </c>
    </row>
    <row r="743" spans="2:5" ht="14.5" customHeight="1">
      <c r="B743" s="87"/>
      <c r="C743" s="35" t="s">
        <v>28</v>
      </c>
      <c r="D743" s="34">
        <v>59</v>
      </c>
      <c r="E743" s="33">
        <v>3.1318010510110001E-3</v>
      </c>
    </row>
    <row r="744" spans="2:5" ht="14.5" customHeight="1">
      <c r="B744" s="85" t="s">
        <v>138</v>
      </c>
      <c r="C744" s="58" t="s">
        <v>204</v>
      </c>
      <c r="D744" s="59">
        <v>4</v>
      </c>
      <c r="E744" s="60">
        <v>2.1232549498399999E-4</v>
      </c>
    </row>
    <row r="745" spans="2:5" ht="14.5" customHeight="1">
      <c r="B745" s="86"/>
      <c r="C745" s="58" t="s">
        <v>206</v>
      </c>
      <c r="D745" s="59">
        <v>1</v>
      </c>
      <c r="E745" s="60">
        <v>5.3081373745999998E-5</v>
      </c>
    </row>
    <row r="746" spans="2:5" ht="14.5" customHeight="1">
      <c r="B746" s="86"/>
      <c r="C746" s="58" t="s">
        <v>193</v>
      </c>
      <c r="D746" s="59">
        <v>10</v>
      </c>
      <c r="E746" s="60">
        <v>5.3081373745999996E-4</v>
      </c>
    </row>
    <row r="747" spans="2:5" ht="14.5" customHeight="1">
      <c r="B747" s="86"/>
      <c r="C747" s="58" t="s">
        <v>195</v>
      </c>
      <c r="D747" s="59">
        <v>2</v>
      </c>
      <c r="E747" s="60">
        <v>1.06162747492E-4</v>
      </c>
    </row>
    <row r="748" spans="2:5" ht="14.5" customHeight="1">
      <c r="B748" s="86"/>
      <c r="C748" s="58" t="s">
        <v>196</v>
      </c>
      <c r="D748" s="59">
        <v>1</v>
      </c>
      <c r="E748" s="60">
        <v>5.3081373745999998E-5</v>
      </c>
    </row>
    <row r="749" spans="2:5" ht="14.5" customHeight="1">
      <c r="B749" s="86"/>
      <c r="C749" s="58" t="s">
        <v>210</v>
      </c>
      <c r="D749" s="59">
        <v>1</v>
      </c>
      <c r="E749" s="60">
        <v>5.3081373745999998E-5</v>
      </c>
    </row>
    <row r="750" spans="2:5" ht="14.5" customHeight="1">
      <c r="B750" s="86"/>
      <c r="C750" s="58" t="s">
        <v>199</v>
      </c>
      <c r="D750" s="59">
        <v>1</v>
      </c>
      <c r="E750" s="60">
        <v>5.3081373745999998E-5</v>
      </c>
    </row>
    <row r="751" spans="2:5" ht="14.5" customHeight="1">
      <c r="B751" s="86"/>
      <c r="C751" s="58" t="s">
        <v>216</v>
      </c>
      <c r="D751" s="59">
        <v>1</v>
      </c>
      <c r="E751" s="60">
        <v>5.3081373745999998E-5</v>
      </c>
    </row>
    <row r="752" spans="2:5" ht="14.5" customHeight="1">
      <c r="B752" s="87"/>
      <c r="C752" s="35" t="s">
        <v>28</v>
      </c>
      <c r="D752" s="34">
        <v>21</v>
      </c>
      <c r="E752" s="33">
        <v>1.1147088486650001E-3</v>
      </c>
    </row>
    <row r="753" spans="2:5" ht="14.5" customHeight="1">
      <c r="B753" s="85" t="s">
        <v>102</v>
      </c>
      <c r="C753" s="58" t="s">
        <v>204</v>
      </c>
      <c r="D753" s="59">
        <v>50</v>
      </c>
      <c r="E753" s="60">
        <v>2.6540686872980001E-3</v>
      </c>
    </row>
    <row r="754" spans="2:5" ht="14.5" customHeight="1">
      <c r="B754" s="86"/>
      <c r="C754" s="58" t="s">
        <v>205</v>
      </c>
      <c r="D754" s="59">
        <v>1</v>
      </c>
      <c r="E754" s="60">
        <v>5.3081373745999998E-5</v>
      </c>
    </row>
    <row r="755" spans="2:5" ht="14.5" customHeight="1">
      <c r="B755" s="86"/>
      <c r="C755" s="58" t="s">
        <v>206</v>
      </c>
      <c r="D755" s="59">
        <v>1</v>
      </c>
      <c r="E755" s="60">
        <v>5.3081373745999998E-5</v>
      </c>
    </row>
    <row r="756" spans="2:5" ht="14.5" customHeight="1">
      <c r="B756" s="86"/>
      <c r="C756" s="58" t="s">
        <v>192</v>
      </c>
      <c r="D756" s="59">
        <v>20</v>
      </c>
      <c r="E756" s="60">
        <v>1.0616274749190001E-3</v>
      </c>
    </row>
    <row r="757" spans="2:5" ht="14.5" customHeight="1">
      <c r="B757" s="86"/>
      <c r="C757" s="58" t="s">
        <v>193</v>
      </c>
      <c r="D757" s="59">
        <v>155</v>
      </c>
      <c r="E757" s="60">
        <v>8.2276129306229993E-3</v>
      </c>
    </row>
    <row r="758" spans="2:5" ht="14.5" customHeight="1">
      <c r="B758" s="86"/>
      <c r="C758" s="58" t="s">
        <v>207</v>
      </c>
      <c r="D758" s="59">
        <v>11</v>
      </c>
      <c r="E758" s="60">
        <v>5.8389511120500003E-4</v>
      </c>
    </row>
    <row r="759" spans="2:5" ht="14.5" customHeight="1">
      <c r="B759" s="86"/>
      <c r="C759" s="58" t="s">
        <v>194</v>
      </c>
      <c r="D759" s="59">
        <v>127</v>
      </c>
      <c r="E759" s="60">
        <v>6.741334465736E-3</v>
      </c>
    </row>
    <row r="760" spans="2:5" ht="14.5" customHeight="1">
      <c r="B760" s="86"/>
      <c r="C760" s="58" t="s">
        <v>195</v>
      </c>
      <c r="D760" s="59">
        <v>43</v>
      </c>
      <c r="E760" s="60">
        <v>2.282499071076E-3</v>
      </c>
    </row>
    <row r="761" spans="2:5" ht="14.5" customHeight="1">
      <c r="B761" s="86"/>
      <c r="C761" s="58" t="s">
        <v>208</v>
      </c>
      <c r="D761" s="59">
        <v>6</v>
      </c>
      <c r="E761" s="60">
        <v>3.1848824247600002E-4</v>
      </c>
    </row>
    <row r="762" spans="2:5" ht="14.5" customHeight="1">
      <c r="B762" s="86"/>
      <c r="C762" s="58" t="s">
        <v>196</v>
      </c>
      <c r="D762" s="59">
        <v>56</v>
      </c>
      <c r="E762" s="60">
        <v>2.9725569297729998E-3</v>
      </c>
    </row>
    <row r="763" spans="2:5" ht="14.5" customHeight="1">
      <c r="B763" s="86"/>
      <c r="C763" s="58" t="s">
        <v>209</v>
      </c>
      <c r="D763" s="59">
        <v>3</v>
      </c>
      <c r="E763" s="60">
        <v>1.5924412123800001E-4</v>
      </c>
    </row>
    <row r="764" spans="2:5" ht="14.5" customHeight="1">
      <c r="B764" s="86"/>
      <c r="C764" s="58" t="s">
        <v>210</v>
      </c>
      <c r="D764" s="59">
        <v>7</v>
      </c>
      <c r="E764" s="60">
        <v>3.71569616222E-4</v>
      </c>
    </row>
    <row r="765" spans="2:5" ht="14.5" customHeight="1">
      <c r="B765" s="86"/>
      <c r="C765" s="58" t="s">
        <v>197</v>
      </c>
      <c r="D765" s="59">
        <v>20</v>
      </c>
      <c r="E765" s="60">
        <v>1.0616274749190001E-3</v>
      </c>
    </row>
    <row r="766" spans="2:5" ht="14.5" customHeight="1">
      <c r="B766" s="86"/>
      <c r="C766" s="58" t="s">
        <v>198</v>
      </c>
      <c r="D766" s="59">
        <v>28</v>
      </c>
      <c r="E766" s="60">
        <v>1.4862784648869999E-3</v>
      </c>
    </row>
    <row r="767" spans="2:5" ht="14.5" customHeight="1">
      <c r="B767" s="86"/>
      <c r="C767" s="58" t="s">
        <v>199</v>
      </c>
      <c r="D767" s="59">
        <v>2</v>
      </c>
      <c r="E767" s="60">
        <v>1.06162747492E-4</v>
      </c>
    </row>
    <row r="768" spans="2:5" ht="14.5" customHeight="1">
      <c r="B768" s="86"/>
      <c r="C768" s="58" t="s">
        <v>211</v>
      </c>
      <c r="D768" s="59">
        <v>13</v>
      </c>
      <c r="E768" s="60">
        <v>6.90057858697E-4</v>
      </c>
    </row>
    <row r="769" spans="2:5" ht="14.5" customHeight="1">
      <c r="B769" s="86"/>
      <c r="C769" s="58" t="s">
        <v>212</v>
      </c>
      <c r="D769" s="59">
        <v>3</v>
      </c>
      <c r="E769" s="60">
        <v>1.5924412123800001E-4</v>
      </c>
    </row>
    <row r="770" spans="2:5" ht="14.5" customHeight="1">
      <c r="B770" s="86"/>
      <c r="C770" s="58" t="s">
        <v>213</v>
      </c>
      <c r="D770" s="59">
        <v>12</v>
      </c>
      <c r="E770" s="60">
        <v>6.3697648495099997E-4</v>
      </c>
    </row>
    <row r="771" spans="2:5" ht="14.5" customHeight="1">
      <c r="B771" s="86"/>
      <c r="C771" s="58" t="s">
        <v>214</v>
      </c>
      <c r="D771" s="59">
        <v>14</v>
      </c>
      <c r="E771" s="60">
        <v>7.4313923244300004E-4</v>
      </c>
    </row>
    <row r="772" spans="2:5" ht="14.5" customHeight="1">
      <c r="B772" s="86"/>
      <c r="C772" s="58" t="s">
        <v>215</v>
      </c>
      <c r="D772" s="59">
        <v>7</v>
      </c>
      <c r="E772" s="60">
        <v>3.71569616222E-4</v>
      </c>
    </row>
    <row r="773" spans="2:5" ht="14.5" customHeight="1">
      <c r="B773" s="86"/>
      <c r="C773" s="58" t="s">
        <v>217</v>
      </c>
      <c r="D773" s="59">
        <v>26</v>
      </c>
      <c r="E773" s="60">
        <v>1.3801157173950001E-3</v>
      </c>
    </row>
    <row r="774" spans="2:5" ht="14.5" customHeight="1">
      <c r="B774" s="86"/>
      <c r="C774" s="58" t="s">
        <v>218</v>
      </c>
      <c r="D774" s="59">
        <v>13</v>
      </c>
      <c r="E774" s="60">
        <v>6.90057858697E-4</v>
      </c>
    </row>
    <row r="775" spans="2:5" ht="14.5" customHeight="1">
      <c r="B775" s="86"/>
      <c r="C775" s="58" t="s">
        <v>219</v>
      </c>
      <c r="D775" s="59">
        <v>3</v>
      </c>
      <c r="E775" s="60">
        <v>1.5924412123800001E-4</v>
      </c>
    </row>
    <row r="776" spans="2:5" ht="14.5" customHeight="1">
      <c r="B776" s="86"/>
      <c r="C776" s="58" t="s">
        <v>200</v>
      </c>
      <c r="D776" s="59">
        <v>16</v>
      </c>
      <c r="E776" s="60">
        <v>8.4930197993500001E-4</v>
      </c>
    </row>
    <row r="777" spans="2:5" ht="14.5" customHeight="1">
      <c r="B777" s="86"/>
      <c r="C777" s="58" t="s">
        <v>201</v>
      </c>
      <c r="D777" s="59">
        <v>14</v>
      </c>
      <c r="E777" s="60">
        <v>7.4313923244300004E-4</v>
      </c>
    </row>
    <row r="778" spans="2:5" ht="14.5" customHeight="1">
      <c r="B778" s="86"/>
      <c r="C778" s="58" t="s">
        <v>220</v>
      </c>
      <c r="D778" s="59">
        <v>23</v>
      </c>
      <c r="E778" s="60">
        <v>1.220871596157E-3</v>
      </c>
    </row>
    <row r="779" spans="2:5" ht="14.5" customHeight="1">
      <c r="B779" s="86"/>
      <c r="C779" s="58" t="s">
        <v>221</v>
      </c>
      <c r="D779" s="59">
        <v>9</v>
      </c>
      <c r="E779" s="60">
        <v>4.7773236371400003E-4</v>
      </c>
    </row>
    <row r="780" spans="2:5" ht="14.5" customHeight="1">
      <c r="B780" s="86"/>
      <c r="C780" s="58" t="s">
        <v>222</v>
      </c>
      <c r="D780" s="59">
        <v>12</v>
      </c>
      <c r="E780" s="60">
        <v>6.3697648495099997E-4</v>
      </c>
    </row>
    <row r="781" spans="2:5" ht="14.5" customHeight="1">
      <c r="B781" s="86"/>
      <c r="C781" s="58" t="s">
        <v>223</v>
      </c>
      <c r="D781" s="59">
        <v>11</v>
      </c>
      <c r="E781" s="60">
        <v>5.8389511120500003E-4</v>
      </c>
    </row>
    <row r="782" spans="2:5" ht="14.5" customHeight="1">
      <c r="B782" s="86"/>
      <c r="C782" s="58" t="s">
        <v>224</v>
      </c>
      <c r="D782" s="59">
        <v>5</v>
      </c>
      <c r="E782" s="60">
        <v>2.6540686872999998E-4</v>
      </c>
    </row>
    <row r="783" spans="2:5" ht="14.5" customHeight="1">
      <c r="B783" s="86"/>
      <c r="C783" s="58" t="s">
        <v>225</v>
      </c>
      <c r="D783" s="59">
        <v>7</v>
      </c>
      <c r="E783" s="60">
        <v>3.71569616222E-4</v>
      </c>
    </row>
    <row r="784" spans="2:5" ht="14.5" customHeight="1">
      <c r="B784" s="86"/>
      <c r="C784" s="58" t="s">
        <v>202</v>
      </c>
      <c r="D784" s="59">
        <v>8</v>
      </c>
      <c r="E784" s="60">
        <v>4.2465098996799999E-4</v>
      </c>
    </row>
    <row r="785" spans="2:5" ht="14.5" customHeight="1">
      <c r="B785" s="86"/>
      <c r="C785" s="58" t="s">
        <v>203</v>
      </c>
      <c r="D785" s="59">
        <v>12</v>
      </c>
      <c r="E785" s="60">
        <v>6.3697648495099997E-4</v>
      </c>
    </row>
    <row r="786" spans="2:5" ht="14.5" customHeight="1">
      <c r="B786" s="86"/>
      <c r="C786" s="58" t="s">
        <v>226</v>
      </c>
      <c r="D786" s="59">
        <v>6</v>
      </c>
      <c r="E786" s="60">
        <v>3.1848824247600002E-4</v>
      </c>
    </row>
    <row r="787" spans="2:5" ht="14.5" customHeight="1">
      <c r="B787" s="86"/>
      <c r="C787" s="58" t="s">
        <v>227</v>
      </c>
      <c r="D787" s="59">
        <v>3</v>
      </c>
      <c r="E787" s="60">
        <v>1.5924412123800001E-4</v>
      </c>
    </row>
    <row r="788" spans="2:5" ht="14.5" customHeight="1">
      <c r="B788" s="86"/>
      <c r="C788" s="58" t="s">
        <v>228</v>
      </c>
      <c r="D788" s="59">
        <v>6</v>
      </c>
      <c r="E788" s="60">
        <v>3.1848824247600002E-4</v>
      </c>
    </row>
    <row r="789" spans="2:5" ht="14.5" customHeight="1">
      <c r="B789" s="86"/>
      <c r="C789" s="58" t="s">
        <v>229</v>
      </c>
      <c r="D789" s="59">
        <v>11</v>
      </c>
      <c r="E789" s="60">
        <v>5.8389511120500003E-4</v>
      </c>
    </row>
    <row r="790" spans="2:5" ht="14.5" customHeight="1">
      <c r="B790" s="86"/>
      <c r="C790" s="58" t="s">
        <v>230</v>
      </c>
      <c r="D790" s="59">
        <v>1</v>
      </c>
      <c r="E790" s="60">
        <v>5.3081373745999998E-5</v>
      </c>
    </row>
    <row r="791" spans="2:5" ht="14.5" customHeight="1">
      <c r="B791" s="86"/>
      <c r="C791" s="58" t="s">
        <v>231</v>
      </c>
      <c r="D791" s="59">
        <v>32</v>
      </c>
      <c r="E791" s="60">
        <v>1.69860395987E-3</v>
      </c>
    </row>
    <row r="792" spans="2:5" ht="14.5" customHeight="1">
      <c r="B792" s="87"/>
      <c r="C792" s="35" t="s">
        <v>28</v>
      </c>
      <c r="D792" s="34">
        <v>797</v>
      </c>
      <c r="E792" s="33">
        <v>4.2305854875523997E-2</v>
      </c>
    </row>
    <row r="793" spans="2:5" ht="14.5" customHeight="1">
      <c r="B793" s="85" t="s">
        <v>122</v>
      </c>
      <c r="C793" s="58" t="s">
        <v>204</v>
      </c>
      <c r="D793" s="59">
        <v>1</v>
      </c>
      <c r="E793" s="60">
        <v>5.3081373745999998E-5</v>
      </c>
    </row>
    <row r="794" spans="2:5" ht="14.5" customHeight="1">
      <c r="B794" s="86"/>
      <c r="C794" s="58" t="s">
        <v>205</v>
      </c>
      <c r="D794" s="59">
        <v>1</v>
      </c>
      <c r="E794" s="60">
        <v>5.3081373745999998E-5</v>
      </c>
    </row>
    <row r="795" spans="2:5" ht="14.5" customHeight="1">
      <c r="B795" s="86"/>
      <c r="C795" s="58" t="s">
        <v>192</v>
      </c>
      <c r="D795" s="59">
        <v>6</v>
      </c>
      <c r="E795" s="60">
        <v>3.1848824247600002E-4</v>
      </c>
    </row>
    <row r="796" spans="2:5" ht="14.5" customHeight="1">
      <c r="B796" s="86"/>
      <c r="C796" s="58" t="s">
        <v>193</v>
      </c>
      <c r="D796" s="59">
        <v>33</v>
      </c>
      <c r="E796" s="60">
        <v>1.7516853336160001E-3</v>
      </c>
    </row>
    <row r="797" spans="2:5" ht="14.5" customHeight="1">
      <c r="B797" s="86"/>
      <c r="C797" s="58" t="s">
        <v>207</v>
      </c>
      <c r="D797" s="59">
        <v>1</v>
      </c>
      <c r="E797" s="60">
        <v>5.3081373745999998E-5</v>
      </c>
    </row>
    <row r="798" spans="2:5" ht="14.5" customHeight="1">
      <c r="B798" s="86"/>
      <c r="C798" s="58" t="s">
        <v>194</v>
      </c>
      <c r="D798" s="59">
        <v>1</v>
      </c>
      <c r="E798" s="60">
        <v>5.3081373745999998E-5</v>
      </c>
    </row>
    <row r="799" spans="2:5" ht="14.5" customHeight="1">
      <c r="B799" s="86"/>
      <c r="C799" s="58" t="s">
        <v>195</v>
      </c>
      <c r="D799" s="59">
        <v>3</v>
      </c>
      <c r="E799" s="60">
        <v>1.5924412123800001E-4</v>
      </c>
    </row>
    <row r="800" spans="2:5" ht="14.5" customHeight="1">
      <c r="B800" s="86"/>
      <c r="C800" s="58" t="s">
        <v>208</v>
      </c>
      <c r="D800" s="59">
        <v>8</v>
      </c>
      <c r="E800" s="60">
        <v>4.2465098996799999E-4</v>
      </c>
    </row>
    <row r="801" spans="2:5" ht="14.5" customHeight="1">
      <c r="B801" s="86"/>
      <c r="C801" s="58" t="s">
        <v>196</v>
      </c>
      <c r="D801" s="59">
        <v>5</v>
      </c>
      <c r="E801" s="60">
        <v>2.6540686872999998E-4</v>
      </c>
    </row>
    <row r="802" spans="2:5" ht="14.5" customHeight="1">
      <c r="B802" s="86"/>
      <c r="C802" s="58" t="s">
        <v>209</v>
      </c>
      <c r="D802" s="59">
        <v>1</v>
      </c>
      <c r="E802" s="60">
        <v>5.3081373745999998E-5</v>
      </c>
    </row>
    <row r="803" spans="2:5" ht="14.5" customHeight="1">
      <c r="B803" s="86"/>
      <c r="C803" s="58" t="s">
        <v>210</v>
      </c>
      <c r="D803" s="59">
        <v>1</v>
      </c>
      <c r="E803" s="60">
        <v>5.3081373745999998E-5</v>
      </c>
    </row>
    <row r="804" spans="2:5" ht="14.5" customHeight="1">
      <c r="B804" s="86"/>
      <c r="C804" s="58" t="s">
        <v>197</v>
      </c>
      <c r="D804" s="59">
        <v>5</v>
      </c>
      <c r="E804" s="60">
        <v>2.6540686872999998E-4</v>
      </c>
    </row>
    <row r="805" spans="2:5" ht="14.5" customHeight="1">
      <c r="B805" s="86"/>
      <c r="C805" s="58" t="s">
        <v>198</v>
      </c>
      <c r="D805" s="59">
        <v>2</v>
      </c>
      <c r="E805" s="60">
        <v>1.06162747492E-4</v>
      </c>
    </row>
    <row r="806" spans="2:5" ht="14.5" customHeight="1">
      <c r="B806" s="86"/>
      <c r="C806" s="58" t="s">
        <v>199</v>
      </c>
      <c r="D806" s="59">
        <v>2</v>
      </c>
      <c r="E806" s="60">
        <v>1.06162747492E-4</v>
      </c>
    </row>
    <row r="807" spans="2:5" ht="14.5" customHeight="1">
      <c r="B807" s="86"/>
      <c r="C807" s="58" t="s">
        <v>211</v>
      </c>
      <c r="D807" s="59">
        <v>1</v>
      </c>
      <c r="E807" s="60">
        <v>5.3081373745999998E-5</v>
      </c>
    </row>
    <row r="808" spans="2:5" ht="14.5" customHeight="1">
      <c r="B808" s="86"/>
      <c r="C808" s="58" t="s">
        <v>213</v>
      </c>
      <c r="D808" s="59">
        <v>2</v>
      </c>
      <c r="E808" s="60">
        <v>1.06162747492E-4</v>
      </c>
    </row>
    <row r="809" spans="2:5" ht="14.5" customHeight="1">
      <c r="B809" s="86"/>
      <c r="C809" s="58" t="s">
        <v>214</v>
      </c>
      <c r="D809" s="59">
        <v>2</v>
      </c>
      <c r="E809" s="60">
        <v>1.06162747492E-4</v>
      </c>
    </row>
    <row r="810" spans="2:5" ht="14.5" customHeight="1">
      <c r="B810" s="86"/>
      <c r="C810" s="58" t="s">
        <v>215</v>
      </c>
      <c r="D810" s="59">
        <v>2</v>
      </c>
      <c r="E810" s="60">
        <v>1.06162747492E-4</v>
      </c>
    </row>
    <row r="811" spans="2:5" ht="14.5" customHeight="1">
      <c r="B811" s="86"/>
      <c r="C811" s="58" t="s">
        <v>217</v>
      </c>
      <c r="D811" s="59">
        <v>3</v>
      </c>
      <c r="E811" s="60">
        <v>1.5924412123800001E-4</v>
      </c>
    </row>
    <row r="812" spans="2:5" ht="14.5" customHeight="1">
      <c r="B812" s="86"/>
      <c r="C812" s="58" t="s">
        <v>218</v>
      </c>
      <c r="D812" s="59">
        <v>1</v>
      </c>
      <c r="E812" s="60">
        <v>5.3081373745999998E-5</v>
      </c>
    </row>
    <row r="813" spans="2:5" ht="14.5" customHeight="1">
      <c r="B813" s="86"/>
      <c r="C813" s="58" t="s">
        <v>219</v>
      </c>
      <c r="D813" s="59">
        <v>1</v>
      </c>
      <c r="E813" s="60">
        <v>5.3081373745999998E-5</v>
      </c>
    </row>
    <row r="814" spans="2:5" ht="14.5" customHeight="1">
      <c r="B814" s="86"/>
      <c r="C814" s="58" t="s">
        <v>201</v>
      </c>
      <c r="D814" s="59">
        <v>5</v>
      </c>
      <c r="E814" s="60">
        <v>2.6540686872999998E-4</v>
      </c>
    </row>
    <row r="815" spans="2:5" ht="14.5" customHeight="1">
      <c r="B815" s="86"/>
      <c r="C815" s="58" t="s">
        <v>202</v>
      </c>
      <c r="D815" s="59">
        <v>2</v>
      </c>
      <c r="E815" s="60">
        <v>1.06162747492E-4</v>
      </c>
    </row>
    <row r="816" spans="2:5" ht="14.5" customHeight="1">
      <c r="B816" s="86"/>
      <c r="C816" s="58" t="s">
        <v>203</v>
      </c>
      <c r="D816" s="59">
        <v>14</v>
      </c>
      <c r="E816" s="60">
        <v>7.4313923244300004E-4</v>
      </c>
    </row>
    <row r="817" spans="2:5" ht="14.5" customHeight="1">
      <c r="B817" s="86"/>
      <c r="C817" s="58" t="s">
        <v>228</v>
      </c>
      <c r="D817" s="59">
        <v>12</v>
      </c>
      <c r="E817" s="60">
        <v>6.3697648495099997E-4</v>
      </c>
    </row>
    <row r="818" spans="2:5" ht="14.5" customHeight="1">
      <c r="B818" s="86"/>
      <c r="C818" s="58" t="s">
        <v>229</v>
      </c>
      <c r="D818" s="59">
        <v>3</v>
      </c>
      <c r="E818" s="60">
        <v>1.5924412123800001E-4</v>
      </c>
    </row>
    <row r="819" spans="2:5" ht="14.5" customHeight="1">
      <c r="B819" s="86"/>
      <c r="C819" s="58" t="s">
        <v>230</v>
      </c>
      <c r="D819" s="59">
        <v>4</v>
      </c>
      <c r="E819" s="60">
        <v>2.1232549498399999E-4</v>
      </c>
    </row>
    <row r="820" spans="2:5" ht="14.5" customHeight="1">
      <c r="B820" s="86"/>
      <c r="C820" s="58" t="s">
        <v>231</v>
      </c>
      <c r="D820" s="59">
        <v>4</v>
      </c>
      <c r="E820" s="60">
        <v>2.1232549498399999E-4</v>
      </c>
    </row>
    <row r="821" spans="2:5" ht="14.5" customHeight="1">
      <c r="B821" s="87"/>
      <c r="C821" s="35" t="s">
        <v>28</v>
      </c>
      <c r="D821" s="34">
        <v>126</v>
      </c>
      <c r="E821" s="33">
        <v>6.6882530919899997E-3</v>
      </c>
    </row>
    <row r="822" spans="2:5" ht="14.5" customHeight="1">
      <c r="B822" s="85" t="s">
        <v>124</v>
      </c>
      <c r="C822" s="58" t="s">
        <v>204</v>
      </c>
      <c r="D822" s="59">
        <v>1</v>
      </c>
      <c r="E822" s="60">
        <v>5.3081373745999998E-5</v>
      </c>
    </row>
    <row r="823" spans="2:5" ht="14.5" customHeight="1">
      <c r="B823" s="86"/>
      <c r="C823" s="58" t="s">
        <v>192</v>
      </c>
      <c r="D823" s="59">
        <v>2</v>
      </c>
      <c r="E823" s="60">
        <v>1.06162747492E-4</v>
      </c>
    </row>
    <row r="824" spans="2:5" ht="14.5" customHeight="1">
      <c r="B824" s="86"/>
      <c r="C824" s="58" t="s">
        <v>193</v>
      </c>
      <c r="D824" s="59">
        <v>28</v>
      </c>
      <c r="E824" s="60">
        <v>1.4862784648869999E-3</v>
      </c>
    </row>
    <row r="825" spans="2:5" ht="14.5" customHeight="1">
      <c r="B825" s="86"/>
      <c r="C825" s="58" t="s">
        <v>207</v>
      </c>
      <c r="D825" s="59">
        <v>1</v>
      </c>
      <c r="E825" s="60">
        <v>5.3081373745999998E-5</v>
      </c>
    </row>
    <row r="826" spans="2:5" ht="14.5" customHeight="1">
      <c r="B826" s="86"/>
      <c r="C826" s="58" t="s">
        <v>194</v>
      </c>
      <c r="D826" s="59">
        <v>2</v>
      </c>
      <c r="E826" s="60">
        <v>1.06162747492E-4</v>
      </c>
    </row>
    <row r="827" spans="2:5" ht="14.5" customHeight="1">
      <c r="B827" s="86"/>
      <c r="C827" s="58" t="s">
        <v>195</v>
      </c>
      <c r="D827" s="59">
        <v>7</v>
      </c>
      <c r="E827" s="60">
        <v>3.71569616222E-4</v>
      </c>
    </row>
    <row r="828" spans="2:5" ht="14.5" customHeight="1">
      <c r="B828" s="86"/>
      <c r="C828" s="58" t="s">
        <v>208</v>
      </c>
      <c r="D828" s="59">
        <v>2</v>
      </c>
      <c r="E828" s="60">
        <v>1.06162747492E-4</v>
      </c>
    </row>
    <row r="829" spans="2:5" ht="14.5" customHeight="1">
      <c r="B829" s="86"/>
      <c r="C829" s="58" t="s">
        <v>196</v>
      </c>
      <c r="D829" s="59">
        <v>16</v>
      </c>
      <c r="E829" s="60">
        <v>8.4930197993500001E-4</v>
      </c>
    </row>
    <row r="830" spans="2:5" ht="14.5" customHeight="1">
      <c r="B830" s="86"/>
      <c r="C830" s="58" t="s">
        <v>209</v>
      </c>
      <c r="D830" s="59">
        <v>1</v>
      </c>
      <c r="E830" s="60">
        <v>5.3081373745999998E-5</v>
      </c>
    </row>
    <row r="831" spans="2:5" ht="14.5" customHeight="1">
      <c r="B831" s="86"/>
      <c r="C831" s="58" t="s">
        <v>197</v>
      </c>
      <c r="D831" s="59">
        <v>3</v>
      </c>
      <c r="E831" s="60">
        <v>1.5924412123800001E-4</v>
      </c>
    </row>
    <row r="832" spans="2:5" ht="14.5" customHeight="1">
      <c r="B832" s="86"/>
      <c r="C832" s="58" t="s">
        <v>198</v>
      </c>
      <c r="D832" s="59">
        <v>4</v>
      </c>
      <c r="E832" s="60">
        <v>2.1232549498399999E-4</v>
      </c>
    </row>
    <row r="833" spans="2:5" ht="14.5" customHeight="1">
      <c r="B833" s="86"/>
      <c r="C833" s="58" t="s">
        <v>199</v>
      </c>
      <c r="D833" s="59">
        <v>4</v>
      </c>
      <c r="E833" s="60">
        <v>2.1232549498399999E-4</v>
      </c>
    </row>
    <row r="834" spans="2:5" ht="14.5" customHeight="1">
      <c r="B834" s="86"/>
      <c r="C834" s="58" t="s">
        <v>211</v>
      </c>
      <c r="D834" s="59">
        <v>4</v>
      </c>
      <c r="E834" s="60">
        <v>2.1232549498399999E-4</v>
      </c>
    </row>
    <row r="835" spans="2:5" ht="14.5" customHeight="1">
      <c r="B835" s="86"/>
      <c r="C835" s="58" t="s">
        <v>214</v>
      </c>
      <c r="D835" s="59">
        <v>2</v>
      </c>
      <c r="E835" s="60">
        <v>1.06162747492E-4</v>
      </c>
    </row>
    <row r="836" spans="2:5" ht="14.5" customHeight="1">
      <c r="B836" s="86"/>
      <c r="C836" s="58" t="s">
        <v>215</v>
      </c>
      <c r="D836" s="59">
        <v>1</v>
      </c>
      <c r="E836" s="60">
        <v>5.3081373745999998E-5</v>
      </c>
    </row>
    <row r="837" spans="2:5" ht="14.5" customHeight="1">
      <c r="B837" s="86"/>
      <c r="C837" s="58" t="s">
        <v>216</v>
      </c>
      <c r="D837" s="59">
        <v>5</v>
      </c>
      <c r="E837" s="60">
        <v>2.6540686872999998E-4</v>
      </c>
    </row>
    <row r="838" spans="2:5" ht="14.5" customHeight="1">
      <c r="B838" s="86"/>
      <c r="C838" s="58" t="s">
        <v>217</v>
      </c>
      <c r="D838" s="59">
        <v>1</v>
      </c>
      <c r="E838" s="60">
        <v>5.3081373745999998E-5</v>
      </c>
    </row>
    <row r="839" spans="2:5" ht="14.5" customHeight="1">
      <c r="B839" s="86"/>
      <c r="C839" s="58" t="s">
        <v>218</v>
      </c>
      <c r="D839" s="59">
        <v>1</v>
      </c>
      <c r="E839" s="60">
        <v>5.3081373745999998E-5</v>
      </c>
    </row>
    <row r="840" spans="2:5" ht="14.5" customHeight="1">
      <c r="B840" s="86"/>
      <c r="C840" s="58" t="s">
        <v>219</v>
      </c>
      <c r="D840" s="59">
        <v>1</v>
      </c>
      <c r="E840" s="60">
        <v>5.3081373745999998E-5</v>
      </c>
    </row>
    <row r="841" spans="2:5" ht="14.5" customHeight="1">
      <c r="B841" s="86"/>
      <c r="C841" s="58" t="s">
        <v>201</v>
      </c>
      <c r="D841" s="59">
        <v>2</v>
      </c>
      <c r="E841" s="60">
        <v>1.06162747492E-4</v>
      </c>
    </row>
    <row r="842" spans="2:5" ht="14.5" customHeight="1">
      <c r="B842" s="86"/>
      <c r="C842" s="58" t="s">
        <v>220</v>
      </c>
      <c r="D842" s="59">
        <v>2</v>
      </c>
      <c r="E842" s="60">
        <v>1.06162747492E-4</v>
      </c>
    </row>
    <row r="843" spans="2:5" ht="14.5" customHeight="1">
      <c r="B843" s="86"/>
      <c r="C843" s="58" t="s">
        <v>221</v>
      </c>
      <c r="D843" s="59">
        <v>4</v>
      </c>
      <c r="E843" s="60">
        <v>2.1232549498399999E-4</v>
      </c>
    </row>
    <row r="844" spans="2:5" ht="14.5" customHeight="1">
      <c r="B844" s="86"/>
      <c r="C844" s="58" t="s">
        <v>222</v>
      </c>
      <c r="D844" s="59">
        <v>2</v>
      </c>
      <c r="E844" s="60">
        <v>1.06162747492E-4</v>
      </c>
    </row>
    <row r="845" spans="2:5" ht="14.5" customHeight="1">
      <c r="B845" s="86"/>
      <c r="C845" s="58" t="s">
        <v>223</v>
      </c>
      <c r="D845" s="59">
        <v>3</v>
      </c>
      <c r="E845" s="60">
        <v>1.5924412123800001E-4</v>
      </c>
    </row>
    <row r="846" spans="2:5" ht="14.5" customHeight="1">
      <c r="B846" s="86"/>
      <c r="C846" s="58" t="s">
        <v>202</v>
      </c>
      <c r="D846" s="59">
        <v>1</v>
      </c>
      <c r="E846" s="60">
        <v>5.3081373745999998E-5</v>
      </c>
    </row>
    <row r="847" spans="2:5" ht="14.5" customHeight="1">
      <c r="B847" s="86"/>
      <c r="C847" s="58" t="s">
        <v>203</v>
      </c>
      <c r="D847" s="59">
        <v>3</v>
      </c>
      <c r="E847" s="60">
        <v>1.5924412123800001E-4</v>
      </c>
    </row>
    <row r="848" spans="2:5" ht="14.5" customHeight="1">
      <c r="B848" s="86"/>
      <c r="C848" s="58" t="s">
        <v>226</v>
      </c>
      <c r="D848" s="59">
        <v>2</v>
      </c>
      <c r="E848" s="60">
        <v>1.06162747492E-4</v>
      </c>
    </row>
    <row r="849" spans="2:5" ht="14.5" customHeight="1">
      <c r="B849" s="86"/>
      <c r="C849" s="58" t="s">
        <v>227</v>
      </c>
      <c r="D849" s="59">
        <v>2</v>
      </c>
      <c r="E849" s="60">
        <v>1.06162747492E-4</v>
      </c>
    </row>
    <row r="850" spans="2:5" ht="14.5" customHeight="1">
      <c r="B850" s="86"/>
      <c r="C850" s="58" t="s">
        <v>228</v>
      </c>
      <c r="D850" s="59">
        <v>1</v>
      </c>
      <c r="E850" s="60">
        <v>5.3081373745999998E-5</v>
      </c>
    </row>
    <row r="851" spans="2:5" ht="14.5" customHeight="1">
      <c r="B851" s="86"/>
      <c r="C851" s="58" t="s">
        <v>230</v>
      </c>
      <c r="D851" s="59">
        <v>1</v>
      </c>
      <c r="E851" s="60">
        <v>5.3081373745999998E-5</v>
      </c>
    </row>
    <row r="852" spans="2:5" ht="14.5" customHeight="1">
      <c r="B852" s="86"/>
      <c r="C852" s="58" t="s">
        <v>231</v>
      </c>
      <c r="D852" s="59">
        <v>1</v>
      </c>
      <c r="E852" s="60">
        <v>5.3081373745999998E-5</v>
      </c>
    </row>
    <row r="853" spans="2:5" ht="14.5" customHeight="1">
      <c r="B853" s="87"/>
      <c r="C853" s="35" t="s">
        <v>28</v>
      </c>
      <c r="D853" s="34">
        <v>110</v>
      </c>
      <c r="E853" s="33">
        <v>5.838951112055E-3</v>
      </c>
    </row>
    <row r="854" spans="2:5" ht="14.5" customHeight="1">
      <c r="B854" s="85" t="s">
        <v>130</v>
      </c>
      <c r="C854" s="58" t="s">
        <v>204</v>
      </c>
      <c r="D854" s="59">
        <v>2</v>
      </c>
      <c r="E854" s="60">
        <v>1.06162747492E-4</v>
      </c>
    </row>
    <row r="855" spans="2:5" ht="14.5" customHeight="1">
      <c r="B855" s="86"/>
      <c r="C855" s="58" t="s">
        <v>192</v>
      </c>
      <c r="D855" s="59">
        <v>1</v>
      </c>
      <c r="E855" s="60">
        <v>5.3081373745999998E-5</v>
      </c>
    </row>
    <row r="856" spans="2:5" ht="14.5" customHeight="1">
      <c r="B856" s="86"/>
      <c r="C856" s="58" t="s">
        <v>193</v>
      </c>
      <c r="D856" s="59">
        <v>25</v>
      </c>
      <c r="E856" s="60">
        <v>1.327034343649E-3</v>
      </c>
    </row>
    <row r="857" spans="2:5" ht="14.5" customHeight="1">
      <c r="B857" s="86"/>
      <c r="C857" s="58" t="s">
        <v>195</v>
      </c>
      <c r="D857" s="59">
        <v>1</v>
      </c>
      <c r="E857" s="60">
        <v>5.3081373745999998E-5</v>
      </c>
    </row>
    <row r="858" spans="2:5" ht="14.5" customHeight="1">
      <c r="B858" s="86"/>
      <c r="C858" s="58" t="s">
        <v>196</v>
      </c>
      <c r="D858" s="59">
        <v>4</v>
      </c>
      <c r="E858" s="60">
        <v>2.1232549498399999E-4</v>
      </c>
    </row>
    <row r="859" spans="2:5" ht="14.5" customHeight="1">
      <c r="B859" s="86"/>
      <c r="C859" s="58" t="s">
        <v>209</v>
      </c>
      <c r="D859" s="59">
        <v>4</v>
      </c>
      <c r="E859" s="60">
        <v>2.1232549498399999E-4</v>
      </c>
    </row>
    <row r="860" spans="2:5" ht="14.5" customHeight="1">
      <c r="B860" s="86"/>
      <c r="C860" s="58" t="s">
        <v>210</v>
      </c>
      <c r="D860" s="59">
        <v>2</v>
      </c>
      <c r="E860" s="60">
        <v>1.06162747492E-4</v>
      </c>
    </row>
    <row r="861" spans="2:5" ht="14.5" customHeight="1">
      <c r="B861" s="86"/>
      <c r="C861" s="58" t="s">
        <v>197</v>
      </c>
      <c r="D861" s="59">
        <v>1</v>
      </c>
      <c r="E861" s="60">
        <v>5.3081373745999998E-5</v>
      </c>
    </row>
    <row r="862" spans="2:5" ht="14.5" customHeight="1">
      <c r="B862" s="86"/>
      <c r="C862" s="58" t="s">
        <v>199</v>
      </c>
      <c r="D862" s="59">
        <v>1</v>
      </c>
      <c r="E862" s="60">
        <v>5.3081373745999998E-5</v>
      </c>
    </row>
    <row r="863" spans="2:5" ht="14.5" customHeight="1">
      <c r="B863" s="86"/>
      <c r="C863" s="58" t="s">
        <v>213</v>
      </c>
      <c r="D863" s="59">
        <v>3</v>
      </c>
      <c r="E863" s="60">
        <v>1.5924412123800001E-4</v>
      </c>
    </row>
    <row r="864" spans="2:5" ht="14.5" customHeight="1">
      <c r="B864" s="86"/>
      <c r="C864" s="58" t="s">
        <v>214</v>
      </c>
      <c r="D864" s="59">
        <v>1</v>
      </c>
      <c r="E864" s="60">
        <v>5.3081373745999998E-5</v>
      </c>
    </row>
    <row r="865" spans="2:5" ht="14.5" customHeight="1">
      <c r="B865" s="86"/>
      <c r="C865" s="58" t="s">
        <v>216</v>
      </c>
      <c r="D865" s="59">
        <v>2</v>
      </c>
      <c r="E865" s="60">
        <v>1.06162747492E-4</v>
      </c>
    </row>
    <row r="866" spans="2:5" ht="14.5" customHeight="1">
      <c r="B866" s="86"/>
      <c r="C866" s="58" t="s">
        <v>218</v>
      </c>
      <c r="D866" s="59">
        <v>2</v>
      </c>
      <c r="E866" s="60">
        <v>1.06162747492E-4</v>
      </c>
    </row>
    <row r="867" spans="2:5" ht="14.5" customHeight="1">
      <c r="B867" s="86"/>
      <c r="C867" s="58" t="s">
        <v>219</v>
      </c>
      <c r="D867" s="59">
        <v>2</v>
      </c>
      <c r="E867" s="60">
        <v>1.06162747492E-4</v>
      </c>
    </row>
    <row r="868" spans="2:5" ht="14.5" customHeight="1">
      <c r="B868" s="86"/>
      <c r="C868" s="58" t="s">
        <v>201</v>
      </c>
      <c r="D868" s="59">
        <v>1</v>
      </c>
      <c r="E868" s="60">
        <v>5.3081373745999998E-5</v>
      </c>
    </row>
    <row r="869" spans="2:5" ht="14.5" customHeight="1">
      <c r="B869" s="86"/>
      <c r="C869" s="58" t="s">
        <v>220</v>
      </c>
      <c r="D869" s="59">
        <v>1</v>
      </c>
      <c r="E869" s="60">
        <v>5.3081373745999998E-5</v>
      </c>
    </row>
    <row r="870" spans="2:5" ht="14.5" customHeight="1">
      <c r="B870" s="86"/>
      <c r="C870" s="58" t="s">
        <v>221</v>
      </c>
      <c r="D870" s="59">
        <v>1</v>
      </c>
      <c r="E870" s="60">
        <v>5.3081373745999998E-5</v>
      </c>
    </row>
    <row r="871" spans="2:5" ht="14.5" customHeight="1">
      <c r="B871" s="86"/>
      <c r="C871" s="58" t="s">
        <v>223</v>
      </c>
      <c r="D871" s="59">
        <v>3</v>
      </c>
      <c r="E871" s="60">
        <v>1.5924412123800001E-4</v>
      </c>
    </row>
    <row r="872" spans="2:5" ht="14.5" customHeight="1">
      <c r="B872" s="86"/>
      <c r="C872" s="58" t="s">
        <v>225</v>
      </c>
      <c r="D872" s="59">
        <v>1</v>
      </c>
      <c r="E872" s="60">
        <v>5.3081373745999998E-5</v>
      </c>
    </row>
    <row r="873" spans="2:5" ht="14.5" customHeight="1">
      <c r="B873" s="86"/>
      <c r="C873" s="58" t="s">
        <v>203</v>
      </c>
      <c r="D873" s="59">
        <v>6</v>
      </c>
      <c r="E873" s="60">
        <v>3.1848824247600002E-4</v>
      </c>
    </row>
    <row r="874" spans="2:5" ht="14.5" customHeight="1">
      <c r="B874" s="86"/>
      <c r="C874" s="58" t="s">
        <v>226</v>
      </c>
      <c r="D874" s="59">
        <v>1</v>
      </c>
      <c r="E874" s="60">
        <v>5.3081373745999998E-5</v>
      </c>
    </row>
    <row r="875" spans="2:5" ht="14.5" customHeight="1">
      <c r="B875" s="86"/>
      <c r="C875" s="58" t="s">
        <v>227</v>
      </c>
      <c r="D875" s="59">
        <v>1</v>
      </c>
      <c r="E875" s="60">
        <v>5.3081373745999998E-5</v>
      </c>
    </row>
    <row r="876" spans="2:5" ht="14.5" customHeight="1">
      <c r="B876" s="86"/>
      <c r="C876" s="58" t="s">
        <v>228</v>
      </c>
      <c r="D876" s="59">
        <v>1</v>
      </c>
      <c r="E876" s="60">
        <v>5.3081373745999998E-5</v>
      </c>
    </row>
    <row r="877" spans="2:5" ht="14.5" customHeight="1">
      <c r="B877" s="86"/>
      <c r="C877" s="58" t="s">
        <v>230</v>
      </c>
      <c r="D877" s="59">
        <v>1</v>
      </c>
      <c r="E877" s="60">
        <v>5.3081373745999998E-5</v>
      </c>
    </row>
    <row r="878" spans="2:5" ht="14.5" customHeight="1">
      <c r="B878" s="86"/>
      <c r="C878" s="58" t="s">
        <v>231</v>
      </c>
      <c r="D878" s="59">
        <v>8</v>
      </c>
      <c r="E878" s="60">
        <v>4.2465098996799999E-4</v>
      </c>
    </row>
    <row r="879" spans="2:5" ht="14.5" customHeight="1">
      <c r="B879" s="87"/>
      <c r="C879" s="35" t="s">
        <v>28</v>
      </c>
      <c r="D879" s="34">
        <v>76</v>
      </c>
      <c r="E879" s="33">
        <v>4.0341844046920001E-3</v>
      </c>
    </row>
    <row r="880" spans="2:5" ht="14.5" customHeight="1">
      <c r="B880" s="85" t="s">
        <v>104</v>
      </c>
      <c r="C880" s="58" t="s">
        <v>204</v>
      </c>
      <c r="D880" s="59">
        <v>34</v>
      </c>
      <c r="E880" s="60">
        <v>1.8047667073620001E-3</v>
      </c>
    </row>
    <row r="881" spans="2:5" ht="14.5" customHeight="1">
      <c r="B881" s="86"/>
      <c r="C881" s="58" t="s">
        <v>205</v>
      </c>
      <c r="D881" s="59">
        <v>3</v>
      </c>
      <c r="E881" s="60">
        <v>1.5924412123800001E-4</v>
      </c>
    </row>
    <row r="882" spans="2:5" ht="14.5" customHeight="1">
      <c r="B882" s="86"/>
      <c r="C882" s="58" t="s">
        <v>206</v>
      </c>
      <c r="D882" s="59">
        <v>8</v>
      </c>
      <c r="E882" s="60">
        <v>4.2465098996799999E-4</v>
      </c>
    </row>
    <row r="883" spans="2:5" ht="14.5" customHeight="1">
      <c r="B883" s="86"/>
      <c r="C883" s="58" t="s">
        <v>192</v>
      </c>
      <c r="D883" s="59">
        <v>9</v>
      </c>
      <c r="E883" s="60">
        <v>4.7773236371400003E-4</v>
      </c>
    </row>
    <row r="884" spans="2:5" ht="14.5" customHeight="1">
      <c r="B884" s="86"/>
      <c r="C884" s="58" t="s">
        <v>193</v>
      </c>
      <c r="D884" s="59">
        <v>125</v>
      </c>
      <c r="E884" s="60">
        <v>6.6351717182440003E-3</v>
      </c>
    </row>
    <row r="885" spans="2:5" ht="14.5" customHeight="1">
      <c r="B885" s="86"/>
      <c r="C885" s="58" t="s">
        <v>207</v>
      </c>
      <c r="D885" s="59">
        <v>11</v>
      </c>
      <c r="E885" s="60">
        <v>5.8389511120500003E-4</v>
      </c>
    </row>
    <row r="886" spans="2:5" ht="14.5" customHeight="1">
      <c r="B886" s="86"/>
      <c r="C886" s="58" t="s">
        <v>194</v>
      </c>
      <c r="D886" s="59">
        <v>2</v>
      </c>
      <c r="E886" s="60">
        <v>1.06162747492E-4</v>
      </c>
    </row>
    <row r="887" spans="2:5" ht="14.5" customHeight="1">
      <c r="B887" s="86"/>
      <c r="C887" s="58" t="s">
        <v>195</v>
      </c>
      <c r="D887" s="59">
        <v>9</v>
      </c>
      <c r="E887" s="60">
        <v>4.7773236371400003E-4</v>
      </c>
    </row>
    <row r="888" spans="2:5" ht="14.5" customHeight="1">
      <c r="B888" s="86"/>
      <c r="C888" s="58" t="s">
        <v>208</v>
      </c>
      <c r="D888" s="59">
        <v>7</v>
      </c>
      <c r="E888" s="60">
        <v>3.71569616222E-4</v>
      </c>
    </row>
    <row r="889" spans="2:5" ht="14.5" customHeight="1">
      <c r="B889" s="86"/>
      <c r="C889" s="58" t="s">
        <v>196</v>
      </c>
      <c r="D889" s="59">
        <v>38</v>
      </c>
      <c r="E889" s="60">
        <v>2.017092202346E-3</v>
      </c>
    </row>
    <row r="890" spans="2:5" ht="14.5" customHeight="1">
      <c r="B890" s="86"/>
      <c r="C890" s="58" t="s">
        <v>209</v>
      </c>
      <c r="D890" s="59">
        <v>9</v>
      </c>
      <c r="E890" s="60">
        <v>4.7773236371400003E-4</v>
      </c>
    </row>
    <row r="891" spans="2:5" ht="14.5" customHeight="1">
      <c r="B891" s="86"/>
      <c r="C891" s="58" t="s">
        <v>210</v>
      </c>
      <c r="D891" s="59">
        <v>5</v>
      </c>
      <c r="E891" s="60">
        <v>2.6540686872999998E-4</v>
      </c>
    </row>
    <row r="892" spans="2:5" ht="14.5" customHeight="1">
      <c r="B892" s="86"/>
      <c r="C892" s="58" t="s">
        <v>197</v>
      </c>
      <c r="D892" s="59">
        <v>15</v>
      </c>
      <c r="E892" s="60">
        <v>7.9622060618899997E-4</v>
      </c>
    </row>
    <row r="893" spans="2:5" ht="14.5" customHeight="1">
      <c r="B893" s="86"/>
      <c r="C893" s="58" t="s">
        <v>198</v>
      </c>
      <c r="D893" s="59">
        <v>18</v>
      </c>
      <c r="E893" s="60">
        <v>9.5546472742699998E-4</v>
      </c>
    </row>
    <row r="894" spans="2:5" ht="14.5" customHeight="1">
      <c r="B894" s="86"/>
      <c r="C894" s="58" t="s">
        <v>199</v>
      </c>
      <c r="D894" s="59">
        <v>2</v>
      </c>
      <c r="E894" s="60">
        <v>1.06162747492E-4</v>
      </c>
    </row>
    <row r="895" spans="2:5" ht="14.5" customHeight="1">
      <c r="B895" s="86"/>
      <c r="C895" s="58" t="s">
        <v>211</v>
      </c>
      <c r="D895" s="59">
        <v>2</v>
      </c>
      <c r="E895" s="60">
        <v>1.06162747492E-4</v>
      </c>
    </row>
    <row r="896" spans="2:5" ht="14.5" customHeight="1">
      <c r="B896" s="86"/>
      <c r="C896" s="58" t="s">
        <v>212</v>
      </c>
      <c r="D896" s="59">
        <v>2</v>
      </c>
      <c r="E896" s="60">
        <v>1.06162747492E-4</v>
      </c>
    </row>
    <row r="897" spans="2:5" ht="14.5" customHeight="1">
      <c r="B897" s="86"/>
      <c r="C897" s="58" t="s">
        <v>213</v>
      </c>
      <c r="D897" s="59">
        <v>14</v>
      </c>
      <c r="E897" s="60">
        <v>7.4313923244300004E-4</v>
      </c>
    </row>
    <row r="898" spans="2:5" ht="14.5" customHeight="1">
      <c r="B898" s="86"/>
      <c r="C898" s="58" t="s">
        <v>214</v>
      </c>
      <c r="D898" s="59">
        <v>20</v>
      </c>
      <c r="E898" s="60">
        <v>1.0616274749190001E-3</v>
      </c>
    </row>
    <row r="899" spans="2:5" ht="14.5" customHeight="1">
      <c r="B899" s="86"/>
      <c r="C899" s="58" t="s">
        <v>215</v>
      </c>
      <c r="D899" s="59">
        <v>36</v>
      </c>
      <c r="E899" s="60">
        <v>1.910929454854E-3</v>
      </c>
    </row>
    <row r="900" spans="2:5" ht="14.5" customHeight="1">
      <c r="B900" s="86"/>
      <c r="C900" s="58" t="s">
        <v>216</v>
      </c>
      <c r="D900" s="59">
        <v>4</v>
      </c>
      <c r="E900" s="60">
        <v>2.1232549498399999E-4</v>
      </c>
    </row>
    <row r="901" spans="2:5" ht="14.5" customHeight="1">
      <c r="B901" s="86"/>
      <c r="C901" s="58" t="s">
        <v>217</v>
      </c>
      <c r="D901" s="59">
        <v>4</v>
      </c>
      <c r="E901" s="60">
        <v>2.1232549498399999E-4</v>
      </c>
    </row>
    <row r="902" spans="2:5" ht="14.5" customHeight="1">
      <c r="B902" s="86"/>
      <c r="C902" s="58" t="s">
        <v>218</v>
      </c>
      <c r="D902" s="59">
        <v>13</v>
      </c>
      <c r="E902" s="60">
        <v>6.90057858697E-4</v>
      </c>
    </row>
    <row r="903" spans="2:5" ht="14.5" customHeight="1">
      <c r="B903" s="86"/>
      <c r="C903" s="58" t="s">
        <v>219</v>
      </c>
      <c r="D903" s="59">
        <v>6</v>
      </c>
      <c r="E903" s="60">
        <v>3.1848824247600002E-4</v>
      </c>
    </row>
    <row r="904" spans="2:5" ht="14.5" customHeight="1">
      <c r="B904" s="86"/>
      <c r="C904" s="58" t="s">
        <v>200</v>
      </c>
      <c r="D904" s="59">
        <v>2</v>
      </c>
      <c r="E904" s="60">
        <v>1.06162747492E-4</v>
      </c>
    </row>
    <row r="905" spans="2:5" ht="14.5" customHeight="1">
      <c r="B905" s="86"/>
      <c r="C905" s="58" t="s">
        <v>201</v>
      </c>
      <c r="D905" s="59">
        <v>16</v>
      </c>
      <c r="E905" s="60">
        <v>8.4930197993500001E-4</v>
      </c>
    </row>
    <row r="906" spans="2:5" ht="14.5" customHeight="1">
      <c r="B906" s="86"/>
      <c r="C906" s="58" t="s">
        <v>220</v>
      </c>
      <c r="D906" s="59">
        <v>8</v>
      </c>
      <c r="E906" s="60">
        <v>4.2465098996799999E-4</v>
      </c>
    </row>
    <row r="907" spans="2:5" ht="14.5" customHeight="1">
      <c r="B907" s="86"/>
      <c r="C907" s="58" t="s">
        <v>221</v>
      </c>
      <c r="D907" s="59">
        <v>11</v>
      </c>
      <c r="E907" s="60">
        <v>5.8389511120500003E-4</v>
      </c>
    </row>
    <row r="908" spans="2:5" ht="14.5" customHeight="1">
      <c r="B908" s="86"/>
      <c r="C908" s="58" t="s">
        <v>223</v>
      </c>
      <c r="D908" s="59">
        <v>3</v>
      </c>
      <c r="E908" s="60">
        <v>1.5924412123800001E-4</v>
      </c>
    </row>
    <row r="909" spans="2:5" ht="14.5" customHeight="1">
      <c r="B909" s="86"/>
      <c r="C909" s="58" t="s">
        <v>224</v>
      </c>
      <c r="D909" s="59">
        <v>1</v>
      </c>
      <c r="E909" s="60">
        <v>5.3081373745999998E-5</v>
      </c>
    </row>
    <row r="910" spans="2:5" ht="14.5" customHeight="1">
      <c r="B910" s="86"/>
      <c r="C910" s="58" t="s">
        <v>225</v>
      </c>
      <c r="D910" s="59">
        <v>1</v>
      </c>
      <c r="E910" s="60">
        <v>5.3081373745999998E-5</v>
      </c>
    </row>
    <row r="911" spans="2:5" ht="14.5" customHeight="1">
      <c r="B911" s="86"/>
      <c r="C911" s="58" t="s">
        <v>202</v>
      </c>
      <c r="D911" s="59">
        <v>1</v>
      </c>
      <c r="E911" s="60">
        <v>5.3081373745999998E-5</v>
      </c>
    </row>
    <row r="912" spans="2:5" ht="14.5" customHeight="1">
      <c r="B912" s="86"/>
      <c r="C912" s="58" t="s">
        <v>203</v>
      </c>
      <c r="D912" s="59">
        <v>64</v>
      </c>
      <c r="E912" s="60">
        <v>3.3972079197410001E-3</v>
      </c>
    </row>
    <row r="913" spans="2:5" ht="14.5" customHeight="1">
      <c r="B913" s="86"/>
      <c r="C913" s="58" t="s">
        <v>226</v>
      </c>
      <c r="D913" s="59">
        <v>3</v>
      </c>
      <c r="E913" s="60">
        <v>1.5924412123800001E-4</v>
      </c>
    </row>
    <row r="914" spans="2:5" ht="14.5" customHeight="1">
      <c r="B914" s="86"/>
      <c r="C914" s="58" t="s">
        <v>227</v>
      </c>
      <c r="D914" s="59">
        <v>22</v>
      </c>
      <c r="E914" s="60">
        <v>1.1677902224109999E-3</v>
      </c>
    </row>
    <row r="915" spans="2:5" ht="14.5" customHeight="1">
      <c r="B915" s="86"/>
      <c r="C915" s="58" t="s">
        <v>228</v>
      </c>
      <c r="D915" s="59">
        <v>1</v>
      </c>
      <c r="E915" s="60">
        <v>5.3081373745999998E-5</v>
      </c>
    </row>
    <row r="916" spans="2:5" ht="14.5" customHeight="1">
      <c r="B916" s="86"/>
      <c r="C916" s="58" t="s">
        <v>229</v>
      </c>
      <c r="D916" s="59">
        <v>12</v>
      </c>
      <c r="E916" s="60">
        <v>6.3697648495099997E-4</v>
      </c>
    </row>
    <row r="917" spans="2:5" ht="14.5" customHeight="1">
      <c r="B917" s="86"/>
      <c r="C917" s="58" t="s">
        <v>230</v>
      </c>
      <c r="D917" s="59">
        <v>20</v>
      </c>
      <c r="E917" s="60">
        <v>1.0616274749190001E-3</v>
      </c>
    </row>
    <row r="918" spans="2:5" ht="14.5" customHeight="1">
      <c r="B918" s="86"/>
      <c r="C918" s="58" t="s">
        <v>231</v>
      </c>
      <c r="D918" s="59">
        <v>11</v>
      </c>
      <c r="E918" s="60">
        <v>5.8389511120500003E-4</v>
      </c>
    </row>
    <row r="919" spans="2:5" ht="14.5" customHeight="1">
      <c r="B919" s="87"/>
      <c r="C919" s="35" t="s">
        <v>28</v>
      </c>
      <c r="D919" s="34">
        <v>572</v>
      </c>
      <c r="E919" s="33">
        <v>3.0362545782685001E-2</v>
      </c>
    </row>
    <row r="920" spans="2:5" ht="14.5" customHeight="1">
      <c r="B920" s="85" t="s">
        <v>136</v>
      </c>
      <c r="C920" s="58" t="s">
        <v>204</v>
      </c>
      <c r="D920" s="59">
        <v>2</v>
      </c>
      <c r="E920" s="60">
        <v>1.06162747492E-4</v>
      </c>
    </row>
    <row r="921" spans="2:5" ht="14.5" customHeight="1">
      <c r="B921" s="86"/>
      <c r="C921" s="58" t="s">
        <v>205</v>
      </c>
      <c r="D921" s="59">
        <v>1</v>
      </c>
      <c r="E921" s="60">
        <v>5.3081373745999998E-5</v>
      </c>
    </row>
    <row r="922" spans="2:5" ht="14.5" customHeight="1">
      <c r="B922" s="86"/>
      <c r="C922" s="58" t="s">
        <v>193</v>
      </c>
      <c r="D922" s="59">
        <v>5</v>
      </c>
      <c r="E922" s="60">
        <v>2.6540686872999998E-4</v>
      </c>
    </row>
    <row r="923" spans="2:5" ht="14.5" customHeight="1">
      <c r="B923" s="86"/>
      <c r="C923" s="58" t="s">
        <v>207</v>
      </c>
      <c r="D923" s="59">
        <v>2</v>
      </c>
      <c r="E923" s="60">
        <v>1.06162747492E-4</v>
      </c>
    </row>
    <row r="924" spans="2:5" ht="14.5" customHeight="1">
      <c r="B924" s="86"/>
      <c r="C924" s="58" t="s">
        <v>195</v>
      </c>
      <c r="D924" s="59">
        <v>1</v>
      </c>
      <c r="E924" s="60">
        <v>5.3081373745999998E-5</v>
      </c>
    </row>
    <row r="925" spans="2:5" ht="14.5" customHeight="1">
      <c r="B925" s="86"/>
      <c r="C925" s="58" t="s">
        <v>210</v>
      </c>
      <c r="D925" s="59">
        <v>1</v>
      </c>
      <c r="E925" s="60">
        <v>5.3081373745999998E-5</v>
      </c>
    </row>
    <row r="926" spans="2:5" ht="14.5" customHeight="1">
      <c r="B926" s="86"/>
      <c r="C926" s="58" t="s">
        <v>197</v>
      </c>
      <c r="D926" s="59">
        <v>2</v>
      </c>
      <c r="E926" s="60">
        <v>1.06162747492E-4</v>
      </c>
    </row>
    <row r="927" spans="2:5" ht="14.5" customHeight="1">
      <c r="B927" s="86"/>
      <c r="C927" s="58" t="s">
        <v>199</v>
      </c>
      <c r="D927" s="59">
        <v>8</v>
      </c>
      <c r="E927" s="60">
        <v>4.2465098996799999E-4</v>
      </c>
    </row>
    <row r="928" spans="2:5" ht="14.5" customHeight="1">
      <c r="B928" s="86"/>
      <c r="C928" s="58" t="s">
        <v>216</v>
      </c>
      <c r="D928" s="59">
        <v>2</v>
      </c>
      <c r="E928" s="60">
        <v>1.06162747492E-4</v>
      </c>
    </row>
    <row r="929" spans="2:5" ht="14.5" customHeight="1">
      <c r="B929" s="86"/>
      <c r="C929" s="58" t="s">
        <v>219</v>
      </c>
      <c r="D929" s="59">
        <v>1</v>
      </c>
      <c r="E929" s="60">
        <v>5.3081373745999998E-5</v>
      </c>
    </row>
    <row r="930" spans="2:5" ht="14.5" customHeight="1">
      <c r="B930" s="86"/>
      <c r="C930" s="58" t="s">
        <v>200</v>
      </c>
      <c r="D930" s="59">
        <v>1</v>
      </c>
      <c r="E930" s="60">
        <v>5.3081373745999998E-5</v>
      </c>
    </row>
    <row r="931" spans="2:5" ht="14.5" customHeight="1">
      <c r="B931" s="86"/>
      <c r="C931" s="58" t="s">
        <v>201</v>
      </c>
      <c r="D931" s="59">
        <v>2</v>
      </c>
      <c r="E931" s="60">
        <v>1.06162747492E-4</v>
      </c>
    </row>
    <row r="932" spans="2:5" ht="14.5" customHeight="1">
      <c r="B932" s="86"/>
      <c r="C932" s="58" t="s">
        <v>227</v>
      </c>
      <c r="D932" s="59">
        <v>2</v>
      </c>
      <c r="E932" s="60">
        <v>1.06162747492E-4</v>
      </c>
    </row>
    <row r="933" spans="2:5" ht="14.5" customHeight="1">
      <c r="B933" s="86"/>
      <c r="C933" s="58" t="s">
        <v>230</v>
      </c>
      <c r="D933" s="59">
        <v>3</v>
      </c>
      <c r="E933" s="60">
        <v>1.5924412123800001E-4</v>
      </c>
    </row>
    <row r="934" spans="2:5" ht="14.5" customHeight="1">
      <c r="B934" s="87"/>
      <c r="C934" s="35" t="s">
        <v>28</v>
      </c>
      <c r="D934" s="34">
        <v>33</v>
      </c>
      <c r="E934" s="33">
        <v>1.7516853336160001E-3</v>
      </c>
    </row>
    <row r="935" spans="2:5" ht="14.5" customHeight="1">
      <c r="B935" s="85" t="s">
        <v>126</v>
      </c>
      <c r="C935" s="58" t="s">
        <v>204</v>
      </c>
      <c r="D935" s="59">
        <v>7</v>
      </c>
      <c r="E935" s="60">
        <v>3.71569616222E-4</v>
      </c>
    </row>
    <row r="936" spans="2:5" ht="14.5" customHeight="1">
      <c r="B936" s="86"/>
      <c r="C936" s="58" t="s">
        <v>205</v>
      </c>
      <c r="D936" s="59">
        <v>1</v>
      </c>
      <c r="E936" s="60">
        <v>5.3081373745999998E-5</v>
      </c>
    </row>
    <row r="937" spans="2:5" ht="14.5" customHeight="1">
      <c r="B937" s="86"/>
      <c r="C937" s="58" t="s">
        <v>193</v>
      </c>
      <c r="D937" s="59">
        <v>10</v>
      </c>
      <c r="E937" s="60">
        <v>5.3081373745999996E-4</v>
      </c>
    </row>
    <row r="938" spans="2:5" ht="14.5" customHeight="1">
      <c r="B938" s="86"/>
      <c r="C938" s="58" t="s">
        <v>207</v>
      </c>
      <c r="D938" s="59">
        <v>1</v>
      </c>
      <c r="E938" s="60">
        <v>5.3081373745999998E-5</v>
      </c>
    </row>
    <row r="939" spans="2:5" ht="14.5" customHeight="1">
      <c r="B939" s="86"/>
      <c r="C939" s="58" t="s">
        <v>194</v>
      </c>
      <c r="D939" s="59">
        <v>5</v>
      </c>
      <c r="E939" s="60">
        <v>2.6540686872999998E-4</v>
      </c>
    </row>
    <row r="940" spans="2:5" ht="14.5" customHeight="1">
      <c r="B940" s="86"/>
      <c r="C940" s="58" t="s">
        <v>195</v>
      </c>
      <c r="D940" s="59">
        <v>1</v>
      </c>
      <c r="E940" s="60">
        <v>5.3081373745999998E-5</v>
      </c>
    </row>
    <row r="941" spans="2:5" ht="14.5" customHeight="1">
      <c r="B941" s="86"/>
      <c r="C941" s="58" t="s">
        <v>208</v>
      </c>
      <c r="D941" s="59">
        <v>1</v>
      </c>
      <c r="E941" s="60">
        <v>5.3081373745999998E-5</v>
      </c>
    </row>
    <row r="942" spans="2:5" ht="14.5" customHeight="1">
      <c r="B942" s="86"/>
      <c r="C942" s="58" t="s">
        <v>196</v>
      </c>
      <c r="D942" s="59">
        <v>15</v>
      </c>
      <c r="E942" s="60">
        <v>7.9622060618899997E-4</v>
      </c>
    </row>
    <row r="943" spans="2:5" ht="14.5" customHeight="1">
      <c r="B943" s="86"/>
      <c r="C943" s="58" t="s">
        <v>209</v>
      </c>
      <c r="D943" s="59">
        <v>1</v>
      </c>
      <c r="E943" s="60">
        <v>5.3081373745999998E-5</v>
      </c>
    </row>
    <row r="944" spans="2:5" ht="14.5" customHeight="1">
      <c r="B944" s="86"/>
      <c r="C944" s="58" t="s">
        <v>210</v>
      </c>
      <c r="D944" s="59">
        <v>1</v>
      </c>
      <c r="E944" s="60">
        <v>5.3081373745999998E-5</v>
      </c>
    </row>
    <row r="945" spans="2:5" ht="14.5" customHeight="1">
      <c r="B945" s="86"/>
      <c r="C945" s="58" t="s">
        <v>197</v>
      </c>
      <c r="D945" s="59">
        <v>6</v>
      </c>
      <c r="E945" s="60">
        <v>3.1848824247600002E-4</v>
      </c>
    </row>
    <row r="946" spans="2:5" ht="14.5" customHeight="1">
      <c r="B946" s="86"/>
      <c r="C946" s="58" t="s">
        <v>198</v>
      </c>
      <c r="D946" s="59">
        <v>8</v>
      </c>
      <c r="E946" s="60">
        <v>4.2465098996799999E-4</v>
      </c>
    </row>
    <row r="947" spans="2:5" ht="14.5" customHeight="1">
      <c r="B947" s="86"/>
      <c r="C947" s="58" t="s">
        <v>199</v>
      </c>
      <c r="D947" s="59">
        <v>1</v>
      </c>
      <c r="E947" s="60">
        <v>5.3081373745999998E-5</v>
      </c>
    </row>
    <row r="948" spans="2:5" ht="14.5" customHeight="1">
      <c r="B948" s="86"/>
      <c r="C948" s="58" t="s">
        <v>213</v>
      </c>
      <c r="D948" s="59">
        <v>2</v>
      </c>
      <c r="E948" s="60">
        <v>1.06162747492E-4</v>
      </c>
    </row>
    <row r="949" spans="2:5" ht="14.5" customHeight="1">
      <c r="B949" s="86"/>
      <c r="C949" s="58" t="s">
        <v>214</v>
      </c>
      <c r="D949" s="59">
        <v>3</v>
      </c>
      <c r="E949" s="60">
        <v>1.5924412123800001E-4</v>
      </c>
    </row>
    <row r="950" spans="2:5" ht="14.5" customHeight="1">
      <c r="B950" s="86"/>
      <c r="C950" s="58" t="s">
        <v>215</v>
      </c>
      <c r="D950" s="59">
        <v>3</v>
      </c>
      <c r="E950" s="60">
        <v>1.5924412123800001E-4</v>
      </c>
    </row>
    <row r="951" spans="2:5" ht="14.5" customHeight="1">
      <c r="B951" s="86"/>
      <c r="C951" s="58" t="s">
        <v>216</v>
      </c>
      <c r="D951" s="59">
        <v>1</v>
      </c>
      <c r="E951" s="60">
        <v>5.3081373745999998E-5</v>
      </c>
    </row>
    <row r="952" spans="2:5" ht="14.5" customHeight="1">
      <c r="B952" s="86"/>
      <c r="C952" s="58" t="s">
        <v>218</v>
      </c>
      <c r="D952" s="59">
        <v>1</v>
      </c>
      <c r="E952" s="60">
        <v>5.3081373745999998E-5</v>
      </c>
    </row>
    <row r="953" spans="2:5" ht="14.5" customHeight="1">
      <c r="B953" s="86"/>
      <c r="C953" s="58" t="s">
        <v>200</v>
      </c>
      <c r="D953" s="59">
        <v>1</v>
      </c>
      <c r="E953" s="60">
        <v>5.3081373745999998E-5</v>
      </c>
    </row>
    <row r="954" spans="2:5" ht="14.5" customHeight="1">
      <c r="B954" s="86"/>
      <c r="C954" s="58" t="s">
        <v>201</v>
      </c>
      <c r="D954" s="59">
        <v>1</v>
      </c>
      <c r="E954" s="60">
        <v>5.3081373745999998E-5</v>
      </c>
    </row>
    <row r="955" spans="2:5" ht="14.5" customHeight="1">
      <c r="B955" s="86"/>
      <c r="C955" s="58" t="s">
        <v>220</v>
      </c>
      <c r="D955" s="59">
        <v>1</v>
      </c>
      <c r="E955" s="60">
        <v>5.3081373745999998E-5</v>
      </c>
    </row>
    <row r="956" spans="2:5" ht="14.5" customHeight="1">
      <c r="B956" s="86"/>
      <c r="C956" s="58" t="s">
        <v>222</v>
      </c>
      <c r="D956" s="59">
        <v>1</v>
      </c>
      <c r="E956" s="60">
        <v>5.3081373745999998E-5</v>
      </c>
    </row>
    <row r="957" spans="2:5" ht="14.5" customHeight="1">
      <c r="B957" s="86"/>
      <c r="C957" s="58" t="s">
        <v>223</v>
      </c>
      <c r="D957" s="59">
        <v>1</v>
      </c>
      <c r="E957" s="60">
        <v>5.3081373745999998E-5</v>
      </c>
    </row>
    <row r="958" spans="2:5" ht="14.5" customHeight="1">
      <c r="B958" s="86"/>
      <c r="C958" s="58" t="s">
        <v>225</v>
      </c>
      <c r="D958" s="59">
        <v>2</v>
      </c>
      <c r="E958" s="60">
        <v>1.06162747492E-4</v>
      </c>
    </row>
    <row r="959" spans="2:5" ht="14.5" customHeight="1">
      <c r="B959" s="86"/>
      <c r="C959" s="58" t="s">
        <v>202</v>
      </c>
      <c r="D959" s="59">
        <v>3</v>
      </c>
      <c r="E959" s="60">
        <v>1.5924412123800001E-4</v>
      </c>
    </row>
    <row r="960" spans="2:5" ht="14.5" customHeight="1">
      <c r="B960" s="86"/>
      <c r="C960" s="58" t="s">
        <v>203</v>
      </c>
      <c r="D960" s="59">
        <v>1</v>
      </c>
      <c r="E960" s="60">
        <v>5.3081373745999998E-5</v>
      </c>
    </row>
    <row r="961" spans="2:5" ht="14.5" customHeight="1">
      <c r="B961" s="86"/>
      <c r="C961" s="58" t="s">
        <v>227</v>
      </c>
      <c r="D961" s="59">
        <v>1</v>
      </c>
      <c r="E961" s="60">
        <v>5.3081373745999998E-5</v>
      </c>
    </row>
    <row r="962" spans="2:5" ht="14.5" customHeight="1">
      <c r="B962" s="86"/>
      <c r="C962" s="58" t="s">
        <v>229</v>
      </c>
      <c r="D962" s="59">
        <v>7</v>
      </c>
      <c r="E962" s="60">
        <v>3.71569616222E-4</v>
      </c>
    </row>
    <row r="963" spans="2:5" ht="14.5" customHeight="1">
      <c r="B963" s="86"/>
      <c r="C963" s="58" t="s">
        <v>231</v>
      </c>
      <c r="D963" s="59">
        <v>3</v>
      </c>
      <c r="E963" s="60">
        <v>1.5924412123800001E-4</v>
      </c>
    </row>
    <row r="964" spans="2:5" ht="14.5" customHeight="1">
      <c r="B964" s="87"/>
      <c r="C964" s="35" t="s">
        <v>28</v>
      </c>
      <c r="D964" s="34">
        <v>90</v>
      </c>
      <c r="E964" s="33">
        <v>4.7773236371360002E-3</v>
      </c>
    </row>
    <row r="965" spans="2:5" ht="14.5" customHeight="1">
      <c r="B965" s="85" t="s">
        <v>112</v>
      </c>
      <c r="C965" s="58" t="s">
        <v>204</v>
      </c>
      <c r="D965" s="59">
        <v>11</v>
      </c>
      <c r="E965" s="60">
        <v>5.8389511120500003E-4</v>
      </c>
    </row>
    <row r="966" spans="2:5" ht="14.5" customHeight="1">
      <c r="B966" s="86"/>
      <c r="C966" s="58" t="s">
        <v>205</v>
      </c>
      <c r="D966" s="59">
        <v>1</v>
      </c>
      <c r="E966" s="60">
        <v>5.3081373745999998E-5</v>
      </c>
    </row>
    <row r="967" spans="2:5" ht="14.5" customHeight="1">
      <c r="B967" s="86"/>
      <c r="C967" s="58" t="s">
        <v>206</v>
      </c>
      <c r="D967" s="59">
        <v>1</v>
      </c>
      <c r="E967" s="60">
        <v>5.3081373745999998E-5</v>
      </c>
    </row>
    <row r="968" spans="2:5" ht="14.5" customHeight="1">
      <c r="B968" s="86"/>
      <c r="C968" s="58" t="s">
        <v>192</v>
      </c>
      <c r="D968" s="59">
        <v>34</v>
      </c>
      <c r="E968" s="60">
        <v>1.8047667073620001E-3</v>
      </c>
    </row>
    <row r="969" spans="2:5" ht="14.5" customHeight="1">
      <c r="B969" s="86"/>
      <c r="C969" s="58" t="s">
        <v>193</v>
      </c>
      <c r="D969" s="59">
        <v>59</v>
      </c>
      <c r="E969" s="60">
        <v>3.1318010510110001E-3</v>
      </c>
    </row>
    <row r="970" spans="2:5" ht="14.5" customHeight="1">
      <c r="B970" s="86"/>
      <c r="C970" s="58" t="s">
        <v>207</v>
      </c>
      <c r="D970" s="59">
        <v>2</v>
      </c>
      <c r="E970" s="60">
        <v>1.06162747492E-4</v>
      </c>
    </row>
    <row r="971" spans="2:5" ht="14.5" customHeight="1">
      <c r="B971" s="86"/>
      <c r="C971" s="58" t="s">
        <v>194</v>
      </c>
      <c r="D971" s="59">
        <v>10</v>
      </c>
      <c r="E971" s="60">
        <v>5.3081373745999996E-4</v>
      </c>
    </row>
    <row r="972" spans="2:5" ht="14.5" customHeight="1">
      <c r="B972" s="86"/>
      <c r="C972" s="58" t="s">
        <v>195</v>
      </c>
      <c r="D972" s="59">
        <v>28</v>
      </c>
      <c r="E972" s="60">
        <v>1.4862784648869999E-3</v>
      </c>
    </row>
    <row r="973" spans="2:5" ht="14.5" customHeight="1">
      <c r="B973" s="86"/>
      <c r="C973" s="58" t="s">
        <v>196</v>
      </c>
      <c r="D973" s="59">
        <v>27</v>
      </c>
      <c r="E973" s="60">
        <v>1.4331970911409999E-3</v>
      </c>
    </row>
    <row r="974" spans="2:5" ht="14.5" customHeight="1">
      <c r="B974" s="86"/>
      <c r="C974" s="58" t="s">
        <v>209</v>
      </c>
      <c r="D974" s="59">
        <v>1</v>
      </c>
      <c r="E974" s="60">
        <v>5.3081373745999998E-5</v>
      </c>
    </row>
    <row r="975" spans="2:5" ht="14.5" customHeight="1">
      <c r="B975" s="86"/>
      <c r="C975" s="58" t="s">
        <v>210</v>
      </c>
      <c r="D975" s="59">
        <v>1</v>
      </c>
      <c r="E975" s="60">
        <v>5.3081373745999998E-5</v>
      </c>
    </row>
    <row r="976" spans="2:5" ht="14.5" customHeight="1">
      <c r="B976" s="86"/>
      <c r="C976" s="58" t="s">
        <v>197</v>
      </c>
      <c r="D976" s="59">
        <v>28</v>
      </c>
      <c r="E976" s="60">
        <v>1.4862784648869999E-3</v>
      </c>
    </row>
    <row r="977" spans="2:5" ht="14.5" customHeight="1">
      <c r="B977" s="86"/>
      <c r="C977" s="58" t="s">
        <v>198</v>
      </c>
      <c r="D977" s="59">
        <v>5</v>
      </c>
      <c r="E977" s="60">
        <v>2.6540686872999998E-4</v>
      </c>
    </row>
    <row r="978" spans="2:5" ht="14.5" customHeight="1">
      <c r="B978" s="86"/>
      <c r="C978" s="58" t="s">
        <v>199</v>
      </c>
      <c r="D978" s="59">
        <v>20</v>
      </c>
      <c r="E978" s="60">
        <v>1.0616274749190001E-3</v>
      </c>
    </row>
    <row r="979" spans="2:5" ht="14.5" customHeight="1">
      <c r="B979" s="86"/>
      <c r="C979" s="58" t="s">
        <v>211</v>
      </c>
      <c r="D979" s="59">
        <v>6</v>
      </c>
      <c r="E979" s="60">
        <v>3.1848824247600002E-4</v>
      </c>
    </row>
    <row r="980" spans="2:5" ht="14.5" customHeight="1">
      <c r="B980" s="86"/>
      <c r="C980" s="58" t="s">
        <v>213</v>
      </c>
      <c r="D980" s="59">
        <v>1</v>
      </c>
      <c r="E980" s="60">
        <v>5.3081373745999998E-5</v>
      </c>
    </row>
    <row r="981" spans="2:5" ht="14.5" customHeight="1">
      <c r="B981" s="86"/>
      <c r="C981" s="58" t="s">
        <v>214</v>
      </c>
      <c r="D981" s="59">
        <v>1</v>
      </c>
      <c r="E981" s="60">
        <v>5.3081373745999998E-5</v>
      </c>
    </row>
    <row r="982" spans="2:5" ht="14.5" customHeight="1">
      <c r="B982" s="86"/>
      <c r="C982" s="58" t="s">
        <v>215</v>
      </c>
      <c r="D982" s="59">
        <v>2</v>
      </c>
      <c r="E982" s="60">
        <v>1.06162747492E-4</v>
      </c>
    </row>
    <row r="983" spans="2:5" ht="14.5" customHeight="1">
      <c r="B983" s="86"/>
      <c r="C983" s="58" t="s">
        <v>217</v>
      </c>
      <c r="D983" s="59">
        <v>6</v>
      </c>
      <c r="E983" s="60">
        <v>3.1848824247600002E-4</v>
      </c>
    </row>
    <row r="984" spans="2:5" ht="14.5" customHeight="1">
      <c r="B984" s="86"/>
      <c r="C984" s="58" t="s">
        <v>218</v>
      </c>
      <c r="D984" s="59">
        <v>11</v>
      </c>
      <c r="E984" s="60">
        <v>5.8389511120500003E-4</v>
      </c>
    </row>
    <row r="985" spans="2:5" ht="14.5" customHeight="1">
      <c r="B985" s="86"/>
      <c r="C985" s="58" t="s">
        <v>219</v>
      </c>
      <c r="D985" s="59">
        <v>2</v>
      </c>
      <c r="E985" s="60">
        <v>1.06162747492E-4</v>
      </c>
    </row>
    <row r="986" spans="2:5" ht="14.5" customHeight="1">
      <c r="B986" s="86"/>
      <c r="C986" s="58" t="s">
        <v>200</v>
      </c>
      <c r="D986" s="59">
        <v>2</v>
      </c>
      <c r="E986" s="60">
        <v>1.06162747492E-4</v>
      </c>
    </row>
    <row r="987" spans="2:5" ht="14.5" customHeight="1">
      <c r="B987" s="86"/>
      <c r="C987" s="58" t="s">
        <v>201</v>
      </c>
      <c r="D987" s="59">
        <v>1</v>
      </c>
      <c r="E987" s="60">
        <v>5.3081373745999998E-5</v>
      </c>
    </row>
    <row r="988" spans="2:5" ht="14.5" customHeight="1">
      <c r="B988" s="86"/>
      <c r="C988" s="58" t="s">
        <v>221</v>
      </c>
      <c r="D988" s="59">
        <v>1</v>
      </c>
      <c r="E988" s="60">
        <v>5.3081373745999998E-5</v>
      </c>
    </row>
    <row r="989" spans="2:5" ht="14.5" customHeight="1">
      <c r="B989" s="86"/>
      <c r="C989" s="58" t="s">
        <v>222</v>
      </c>
      <c r="D989" s="59">
        <v>1</v>
      </c>
      <c r="E989" s="60">
        <v>5.3081373745999998E-5</v>
      </c>
    </row>
    <row r="990" spans="2:5" ht="14.5" customHeight="1">
      <c r="B990" s="86"/>
      <c r="C990" s="58" t="s">
        <v>225</v>
      </c>
      <c r="D990" s="59">
        <v>1</v>
      </c>
      <c r="E990" s="60">
        <v>5.3081373745999998E-5</v>
      </c>
    </row>
    <row r="991" spans="2:5" ht="14.5" customHeight="1">
      <c r="B991" s="86"/>
      <c r="C991" s="58" t="s">
        <v>202</v>
      </c>
      <c r="D991" s="59">
        <v>32</v>
      </c>
      <c r="E991" s="60">
        <v>1.69860395987E-3</v>
      </c>
    </row>
    <row r="992" spans="2:5" ht="14.5" customHeight="1">
      <c r="B992" s="86"/>
      <c r="C992" s="58" t="s">
        <v>203</v>
      </c>
      <c r="D992" s="59">
        <v>1</v>
      </c>
      <c r="E992" s="60">
        <v>5.3081373745999998E-5</v>
      </c>
    </row>
    <row r="993" spans="2:5" ht="14.5" customHeight="1">
      <c r="B993" s="86"/>
      <c r="C993" s="58" t="s">
        <v>226</v>
      </c>
      <c r="D993" s="59">
        <v>1</v>
      </c>
      <c r="E993" s="60">
        <v>5.3081373745999998E-5</v>
      </c>
    </row>
    <row r="994" spans="2:5" ht="14.5" customHeight="1">
      <c r="B994" s="86"/>
      <c r="C994" s="58" t="s">
        <v>229</v>
      </c>
      <c r="D994" s="59">
        <v>2</v>
      </c>
      <c r="E994" s="60">
        <v>1.06162747492E-4</v>
      </c>
    </row>
    <row r="995" spans="2:5" ht="14.5" customHeight="1">
      <c r="B995" s="86"/>
      <c r="C995" s="58" t="s">
        <v>230</v>
      </c>
      <c r="D995" s="59">
        <v>2</v>
      </c>
      <c r="E995" s="60">
        <v>1.06162747492E-4</v>
      </c>
    </row>
    <row r="996" spans="2:5" ht="14.5" customHeight="1">
      <c r="B996" s="86"/>
      <c r="C996" s="58" t="s">
        <v>231</v>
      </c>
      <c r="D996" s="59">
        <v>12</v>
      </c>
      <c r="E996" s="60">
        <v>6.3697648495099997E-4</v>
      </c>
    </row>
    <row r="997" spans="2:5" ht="14.5" customHeight="1">
      <c r="B997" s="87"/>
      <c r="C997" s="35" t="s">
        <v>28</v>
      </c>
      <c r="D997" s="34">
        <v>313</v>
      </c>
      <c r="E997" s="33">
        <v>1.6614469982483001E-2</v>
      </c>
    </row>
    <row r="998" spans="2:5" ht="14.5" customHeight="1">
      <c r="B998" s="85" t="s">
        <v>118</v>
      </c>
      <c r="C998" s="58" t="s">
        <v>204</v>
      </c>
      <c r="D998" s="59">
        <v>10</v>
      </c>
      <c r="E998" s="60">
        <v>5.3081373745999996E-4</v>
      </c>
    </row>
    <row r="999" spans="2:5" ht="14.5" customHeight="1">
      <c r="B999" s="86"/>
      <c r="C999" s="58" t="s">
        <v>205</v>
      </c>
      <c r="D999" s="59">
        <v>2</v>
      </c>
      <c r="E999" s="60">
        <v>1.06162747492E-4</v>
      </c>
    </row>
    <row r="1000" spans="2:5" ht="14.5" customHeight="1">
      <c r="B1000" s="86"/>
      <c r="C1000" s="58" t="s">
        <v>206</v>
      </c>
      <c r="D1000" s="59">
        <v>4</v>
      </c>
      <c r="E1000" s="60">
        <v>2.1232549498399999E-4</v>
      </c>
    </row>
    <row r="1001" spans="2:5" ht="14.5" customHeight="1">
      <c r="B1001" s="86"/>
      <c r="C1001" s="58" t="s">
        <v>192</v>
      </c>
      <c r="D1001" s="59">
        <v>1</v>
      </c>
      <c r="E1001" s="60">
        <v>5.3081373745999998E-5</v>
      </c>
    </row>
    <row r="1002" spans="2:5" ht="14.5" customHeight="1">
      <c r="B1002" s="86"/>
      <c r="C1002" s="58" t="s">
        <v>193</v>
      </c>
      <c r="D1002" s="59">
        <v>56</v>
      </c>
      <c r="E1002" s="60">
        <v>2.9725569297729998E-3</v>
      </c>
    </row>
    <row r="1003" spans="2:5" ht="14.5" customHeight="1">
      <c r="B1003" s="86"/>
      <c r="C1003" s="58" t="s">
        <v>195</v>
      </c>
      <c r="D1003" s="59">
        <v>5</v>
      </c>
      <c r="E1003" s="60">
        <v>2.6540686872999998E-4</v>
      </c>
    </row>
    <row r="1004" spans="2:5" ht="14.5" customHeight="1">
      <c r="B1004" s="86"/>
      <c r="C1004" s="58" t="s">
        <v>196</v>
      </c>
      <c r="D1004" s="59">
        <v>9</v>
      </c>
      <c r="E1004" s="60">
        <v>4.7773236371400003E-4</v>
      </c>
    </row>
    <row r="1005" spans="2:5" ht="14.5" customHeight="1">
      <c r="B1005" s="86"/>
      <c r="C1005" s="58" t="s">
        <v>210</v>
      </c>
      <c r="D1005" s="59">
        <v>2</v>
      </c>
      <c r="E1005" s="60">
        <v>1.06162747492E-4</v>
      </c>
    </row>
    <row r="1006" spans="2:5" ht="14.5" customHeight="1">
      <c r="B1006" s="86"/>
      <c r="C1006" s="58" t="s">
        <v>197</v>
      </c>
      <c r="D1006" s="59">
        <v>3</v>
      </c>
      <c r="E1006" s="60">
        <v>1.5924412123800001E-4</v>
      </c>
    </row>
    <row r="1007" spans="2:5" ht="14.5" customHeight="1">
      <c r="B1007" s="86"/>
      <c r="C1007" s="58" t="s">
        <v>199</v>
      </c>
      <c r="D1007" s="59">
        <v>2</v>
      </c>
      <c r="E1007" s="60">
        <v>1.06162747492E-4</v>
      </c>
    </row>
    <row r="1008" spans="2:5" ht="14.5" customHeight="1">
      <c r="B1008" s="86"/>
      <c r="C1008" s="58" t="s">
        <v>211</v>
      </c>
      <c r="D1008" s="59">
        <v>2</v>
      </c>
      <c r="E1008" s="60">
        <v>1.06162747492E-4</v>
      </c>
    </row>
    <row r="1009" spans="2:5" ht="14.5" customHeight="1">
      <c r="B1009" s="86"/>
      <c r="C1009" s="58" t="s">
        <v>213</v>
      </c>
      <c r="D1009" s="59">
        <v>1</v>
      </c>
      <c r="E1009" s="60">
        <v>5.3081373745999998E-5</v>
      </c>
    </row>
    <row r="1010" spans="2:5" ht="14.5" customHeight="1">
      <c r="B1010" s="86"/>
      <c r="C1010" s="58" t="s">
        <v>214</v>
      </c>
      <c r="D1010" s="59">
        <v>2</v>
      </c>
      <c r="E1010" s="60">
        <v>1.06162747492E-4</v>
      </c>
    </row>
    <row r="1011" spans="2:5" ht="14.5" customHeight="1">
      <c r="B1011" s="86"/>
      <c r="C1011" s="58" t="s">
        <v>216</v>
      </c>
      <c r="D1011" s="59">
        <v>26</v>
      </c>
      <c r="E1011" s="60">
        <v>1.3801157173950001E-3</v>
      </c>
    </row>
    <row r="1012" spans="2:5" ht="14.5" customHeight="1">
      <c r="B1012" s="86"/>
      <c r="C1012" s="58" t="s">
        <v>217</v>
      </c>
      <c r="D1012" s="59">
        <v>2</v>
      </c>
      <c r="E1012" s="60">
        <v>1.06162747492E-4</v>
      </c>
    </row>
    <row r="1013" spans="2:5" ht="14.5" customHeight="1">
      <c r="B1013" s="86"/>
      <c r="C1013" s="58" t="s">
        <v>218</v>
      </c>
      <c r="D1013" s="59">
        <v>8</v>
      </c>
      <c r="E1013" s="60">
        <v>4.2465098996799999E-4</v>
      </c>
    </row>
    <row r="1014" spans="2:5" ht="14.5" customHeight="1">
      <c r="B1014" s="86"/>
      <c r="C1014" s="58" t="s">
        <v>201</v>
      </c>
      <c r="D1014" s="59">
        <v>3</v>
      </c>
      <c r="E1014" s="60">
        <v>1.5924412123800001E-4</v>
      </c>
    </row>
    <row r="1015" spans="2:5" ht="14.5" customHeight="1">
      <c r="B1015" s="86"/>
      <c r="C1015" s="58" t="s">
        <v>222</v>
      </c>
      <c r="D1015" s="59">
        <v>1</v>
      </c>
      <c r="E1015" s="60">
        <v>5.3081373745999998E-5</v>
      </c>
    </row>
    <row r="1016" spans="2:5" ht="14.5" customHeight="1">
      <c r="B1016" s="86"/>
      <c r="C1016" s="58" t="s">
        <v>223</v>
      </c>
      <c r="D1016" s="59">
        <v>3</v>
      </c>
      <c r="E1016" s="60">
        <v>1.5924412123800001E-4</v>
      </c>
    </row>
    <row r="1017" spans="2:5" ht="14.5" customHeight="1">
      <c r="B1017" s="86"/>
      <c r="C1017" s="58" t="s">
        <v>225</v>
      </c>
      <c r="D1017" s="59">
        <v>1</v>
      </c>
      <c r="E1017" s="60">
        <v>5.3081373745999998E-5</v>
      </c>
    </row>
    <row r="1018" spans="2:5" ht="14.5" customHeight="1">
      <c r="B1018" s="86"/>
      <c r="C1018" s="58" t="s">
        <v>202</v>
      </c>
      <c r="D1018" s="59">
        <v>2</v>
      </c>
      <c r="E1018" s="60">
        <v>1.06162747492E-4</v>
      </c>
    </row>
    <row r="1019" spans="2:5" ht="14.5" customHeight="1">
      <c r="B1019" s="86"/>
      <c r="C1019" s="58" t="s">
        <v>203</v>
      </c>
      <c r="D1019" s="59">
        <v>31</v>
      </c>
      <c r="E1019" s="60">
        <v>1.6455225861250001E-3</v>
      </c>
    </row>
    <row r="1020" spans="2:5" ht="14.5" customHeight="1">
      <c r="B1020" s="86"/>
      <c r="C1020" s="58" t="s">
        <v>227</v>
      </c>
      <c r="D1020" s="59">
        <v>18</v>
      </c>
      <c r="E1020" s="60">
        <v>9.5546472742699998E-4</v>
      </c>
    </row>
    <row r="1021" spans="2:5" ht="14.5" customHeight="1">
      <c r="B1021" s="86"/>
      <c r="C1021" s="58" t="s">
        <v>228</v>
      </c>
      <c r="D1021" s="59">
        <v>7</v>
      </c>
      <c r="E1021" s="60">
        <v>3.71569616222E-4</v>
      </c>
    </row>
    <row r="1022" spans="2:5" ht="14.5" customHeight="1">
      <c r="B1022" s="86"/>
      <c r="C1022" s="58" t="s">
        <v>230</v>
      </c>
      <c r="D1022" s="59">
        <v>4</v>
      </c>
      <c r="E1022" s="60">
        <v>2.1232549498399999E-4</v>
      </c>
    </row>
    <row r="1023" spans="2:5" ht="14.5" customHeight="1">
      <c r="B1023" s="86"/>
      <c r="C1023" s="58" t="s">
        <v>231</v>
      </c>
      <c r="D1023" s="59">
        <v>5</v>
      </c>
      <c r="E1023" s="60">
        <v>2.6540686872999998E-4</v>
      </c>
    </row>
    <row r="1024" spans="2:5" ht="14.5" customHeight="1">
      <c r="B1024" s="87"/>
      <c r="C1024" s="35" t="s">
        <v>28</v>
      </c>
      <c r="D1024" s="34">
        <v>210</v>
      </c>
      <c r="E1024" s="33">
        <v>1.1147088486649999E-2</v>
      </c>
    </row>
    <row r="1025" spans="2:5" ht="14.5" customHeight="1">
      <c r="B1025" s="85" t="s">
        <v>119</v>
      </c>
      <c r="C1025" s="58" t="s">
        <v>204</v>
      </c>
      <c r="D1025" s="59">
        <v>9</v>
      </c>
      <c r="E1025" s="60">
        <v>4.7773236371400003E-4</v>
      </c>
    </row>
    <row r="1026" spans="2:5" ht="14.5" customHeight="1">
      <c r="B1026" s="86"/>
      <c r="C1026" s="58" t="s">
        <v>192</v>
      </c>
      <c r="D1026" s="59">
        <v>9</v>
      </c>
      <c r="E1026" s="60">
        <v>4.7773236371400003E-4</v>
      </c>
    </row>
    <row r="1027" spans="2:5" ht="14.5" customHeight="1">
      <c r="B1027" s="86"/>
      <c r="C1027" s="58" t="s">
        <v>193</v>
      </c>
      <c r="D1027" s="59">
        <v>33</v>
      </c>
      <c r="E1027" s="60">
        <v>1.7516853336160001E-3</v>
      </c>
    </row>
    <row r="1028" spans="2:5" ht="14.5" customHeight="1">
      <c r="B1028" s="86"/>
      <c r="C1028" s="58" t="s">
        <v>207</v>
      </c>
      <c r="D1028" s="59">
        <v>5</v>
      </c>
      <c r="E1028" s="60">
        <v>2.6540686872999998E-4</v>
      </c>
    </row>
    <row r="1029" spans="2:5" ht="14.5" customHeight="1">
      <c r="B1029" s="86"/>
      <c r="C1029" s="58" t="s">
        <v>195</v>
      </c>
      <c r="D1029" s="59">
        <v>27</v>
      </c>
      <c r="E1029" s="60">
        <v>1.4331970911409999E-3</v>
      </c>
    </row>
    <row r="1030" spans="2:5" ht="14.5" customHeight="1">
      <c r="B1030" s="86"/>
      <c r="C1030" s="58" t="s">
        <v>208</v>
      </c>
      <c r="D1030" s="59">
        <v>2</v>
      </c>
      <c r="E1030" s="60">
        <v>1.06162747492E-4</v>
      </c>
    </row>
    <row r="1031" spans="2:5" ht="14.5" customHeight="1">
      <c r="B1031" s="86"/>
      <c r="C1031" s="58" t="s">
        <v>196</v>
      </c>
      <c r="D1031" s="59">
        <v>19</v>
      </c>
      <c r="E1031" s="60">
        <v>1.008546101173E-3</v>
      </c>
    </row>
    <row r="1032" spans="2:5" ht="14.5" customHeight="1">
      <c r="B1032" s="86"/>
      <c r="C1032" s="58" t="s">
        <v>197</v>
      </c>
      <c r="D1032" s="59">
        <v>19</v>
      </c>
      <c r="E1032" s="60">
        <v>1.008546101173E-3</v>
      </c>
    </row>
    <row r="1033" spans="2:5" ht="14.5" customHeight="1">
      <c r="B1033" s="86"/>
      <c r="C1033" s="58" t="s">
        <v>198</v>
      </c>
      <c r="D1033" s="59">
        <v>10</v>
      </c>
      <c r="E1033" s="60">
        <v>5.3081373745999996E-4</v>
      </c>
    </row>
    <row r="1034" spans="2:5" ht="14.5" customHeight="1">
      <c r="B1034" s="86"/>
      <c r="C1034" s="58" t="s">
        <v>199</v>
      </c>
      <c r="D1034" s="59">
        <v>2</v>
      </c>
      <c r="E1034" s="60">
        <v>1.06162747492E-4</v>
      </c>
    </row>
    <row r="1035" spans="2:5" ht="14.5" customHeight="1">
      <c r="B1035" s="86"/>
      <c r="C1035" s="58" t="s">
        <v>213</v>
      </c>
      <c r="D1035" s="59">
        <v>1</v>
      </c>
      <c r="E1035" s="60">
        <v>5.3081373745999998E-5</v>
      </c>
    </row>
    <row r="1036" spans="2:5" ht="14.5" customHeight="1">
      <c r="B1036" s="86"/>
      <c r="C1036" s="58" t="s">
        <v>216</v>
      </c>
      <c r="D1036" s="59">
        <v>1</v>
      </c>
      <c r="E1036" s="60">
        <v>5.3081373745999998E-5</v>
      </c>
    </row>
    <row r="1037" spans="2:5" ht="14.5" customHeight="1">
      <c r="B1037" s="86"/>
      <c r="C1037" s="58" t="s">
        <v>217</v>
      </c>
      <c r="D1037" s="59">
        <v>2</v>
      </c>
      <c r="E1037" s="60">
        <v>1.06162747492E-4</v>
      </c>
    </row>
    <row r="1038" spans="2:5" ht="14.5" customHeight="1">
      <c r="B1038" s="86"/>
      <c r="C1038" s="58" t="s">
        <v>218</v>
      </c>
      <c r="D1038" s="59">
        <v>1</v>
      </c>
      <c r="E1038" s="60">
        <v>5.3081373745999998E-5</v>
      </c>
    </row>
    <row r="1039" spans="2:5" ht="14.5" customHeight="1">
      <c r="B1039" s="86"/>
      <c r="C1039" s="58" t="s">
        <v>219</v>
      </c>
      <c r="D1039" s="59">
        <v>3</v>
      </c>
      <c r="E1039" s="60">
        <v>1.5924412123800001E-4</v>
      </c>
    </row>
    <row r="1040" spans="2:5" ht="14.5" customHeight="1">
      <c r="B1040" s="86"/>
      <c r="C1040" s="58" t="s">
        <v>200</v>
      </c>
      <c r="D1040" s="59">
        <v>1</v>
      </c>
      <c r="E1040" s="60">
        <v>5.3081373745999998E-5</v>
      </c>
    </row>
    <row r="1041" spans="2:5" ht="14.5" customHeight="1">
      <c r="B1041" s="86"/>
      <c r="C1041" s="58" t="s">
        <v>201</v>
      </c>
      <c r="D1041" s="59">
        <v>26</v>
      </c>
      <c r="E1041" s="60">
        <v>1.3801157173950001E-3</v>
      </c>
    </row>
    <row r="1042" spans="2:5" ht="14.5" customHeight="1">
      <c r="B1042" s="86"/>
      <c r="C1042" s="58" t="s">
        <v>220</v>
      </c>
      <c r="D1042" s="59">
        <v>1</v>
      </c>
      <c r="E1042" s="60">
        <v>5.3081373745999998E-5</v>
      </c>
    </row>
    <row r="1043" spans="2:5" ht="14.5" customHeight="1">
      <c r="B1043" s="86"/>
      <c r="C1043" s="58" t="s">
        <v>203</v>
      </c>
      <c r="D1043" s="59">
        <v>6</v>
      </c>
      <c r="E1043" s="60">
        <v>3.1848824247600002E-4</v>
      </c>
    </row>
    <row r="1044" spans="2:5" ht="14.5" customHeight="1">
      <c r="B1044" s="86"/>
      <c r="C1044" s="58" t="s">
        <v>227</v>
      </c>
      <c r="D1044" s="59">
        <v>2</v>
      </c>
      <c r="E1044" s="60">
        <v>1.06162747492E-4</v>
      </c>
    </row>
    <row r="1045" spans="2:5" ht="14.5" customHeight="1">
      <c r="B1045" s="86"/>
      <c r="C1045" s="58" t="s">
        <v>228</v>
      </c>
      <c r="D1045" s="59">
        <v>8</v>
      </c>
      <c r="E1045" s="60">
        <v>4.2465098996799999E-4</v>
      </c>
    </row>
    <row r="1046" spans="2:5" ht="14.5" customHeight="1">
      <c r="B1046" s="86"/>
      <c r="C1046" s="58" t="s">
        <v>229</v>
      </c>
      <c r="D1046" s="59">
        <v>5</v>
      </c>
      <c r="E1046" s="60">
        <v>2.6540686872999998E-4</v>
      </c>
    </row>
    <row r="1047" spans="2:5" ht="14.5" customHeight="1">
      <c r="B1047" s="86"/>
      <c r="C1047" s="58" t="s">
        <v>231</v>
      </c>
      <c r="D1047" s="59">
        <v>5</v>
      </c>
      <c r="E1047" s="60">
        <v>2.6540686872999998E-4</v>
      </c>
    </row>
    <row r="1048" spans="2:5" ht="14.5" customHeight="1">
      <c r="B1048" s="87"/>
      <c r="C1048" s="35" t="s">
        <v>28</v>
      </c>
      <c r="D1048" s="34">
        <v>197</v>
      </c>
      <c r="E1048" s="33">
        <v>1.0457030627952999E-2</v>
      </c>
    </row>
    <row r="1049" spans="2:5" ht="14.5" customHeight="1">
      <c r="B1049" s="85" t="s">
        <v>129</v>
      </c>
      <c r="C1049" s="58" t="s">
        <v>204</v>
      </c>
      <c r="D1049" s="59">
        <v>10</v>
      </c>
      <c r="E1049" s="60">
        <v>5.3081373745999996E-4</v>
      </c>
    </row>
    <row r="1050" spans="2:5" ht="14.5" customHeight="1">
      <c r="B1050" s="86"/>
      <c r="C1050" s="58" t="s">
        <v>206</v>
      </c>
      <c r="D1050" s="59">
        <v>1</v>
      </c>
      <c r="E1050" s="60">
        <v>5.3081373745999998E-5</v>
      </c>
    </row>
    <row r="1051" spans="2:5" ht="14.5" customHeight="1">
      <c r="B1051" s="86"/>
      <c r="C1051" s="58" t="s">
        <v>192</v>
      </c>
      <c r="D1051" s="59">
        <v>3</v>
      </c>
      <c r="E1051" s="60">
        <v>1.5924412123800001E-4</v>
      </c>
    </row>
    <row r="1052" spans="2:5" ht="14.5" customHeight="1">
      <c r="B1052" s="86"/>
      <c r="C1052" s="58" t="s">
        <v>193</v>
      </c>
      <c r="D1052" s="59">
        <v>26</v>
      </c>
      <c r="E1052" s="60">
        <v>1.3801157173950001E-3</v>
      </c>
    </row>
    <row r="1053" spans="2:5" ht="14.5" customHeight="1">
      <c r="B1053" s="86"/>
      <c r="C1053" s="58" t="s">
        <v>195</v>
      </c>
      <c r="D1053" s="59">
        <v>5</v>
      </c>
      <c r="E1053" s="60">
        <v>2.6540686872999998E-4</v>
      </c>
    </row>
    <row r="1054" spans="2:5" ht="14.5" customHeight="1">
      <c r="B1054" s="86"/>
      <c r="C1054" s="58" t="s">
        <v>196</v>
      </c>
      <c r="D1054" s="59">
        <v>6</v>
      </c>
      <c r="E1054" s="60">
        <v>3.1848824247600002E-4</v>
      </c>
    </row>
    <row r="1055" spans="2:5" ht="14.5" customHeight="1">
      <c r="B1055" s="86"/>
      <c r="C1055" s="58" t="s">
        <v>197</v>
      </c>
      <c r="D1055" s="59">
        <v>2</v>
      </c>
      <c r="E1055" s="60">
        <v>1.06162747492E-4</v>
      </c>
    </row>
    <row r="1056" spans="2:5" ht="14.5" customHeight="1">
      <c r="B1056" s="86"/>
      <c r="C1056" s="58" t="s">
        <v>198</v>
      </c>
      <c r="D1056" s="59">
        <v>2</v>
      </c>
      <c r="E1056" s="60">
        <v>1.06162747492E-4</v>
      </c>
    </row>
    <row r="1057" spans="2:5" ht="14.5" customHeight="1">
      <c r="B1057" s="86"/>
      <c r="C1057" s="58" t="s">
        <v>199</v>
      </c>
      <c r="D1057" s="59">
        <v>2</v>
      </c>
      <c r="E1057" s="60">
        <v>1.06162747492E-4</v>
      </c>
    </row>
    <row r="1058" spans="2:5" ht="14.5" customHeight="1">
      <c r="B1058" s="86"/>
      <c r="C1058" s="58" t="s">
        <v>211</v>
      </c>
      <c r="D1058" s="59">
        <v>2</v>
      </c>
      <c r="E1058" s="60">
        <v>1.06162747492E-4</v>
      </c>
    </row>
    <row r="1059" spans="2:5" ht="14.5" customHeight="1">
      <c r="B1059" s="86"/>
      <c r="C1059" s="58" t="s">
        <v>213</v>
      </c>
      <c r="D1059" s="59">
        <v>1</v>
      </c>
      <c r="E1059" s="60">
        <v>5.3081373745999998E-5</v>
      </c>
    </row>
    <row r="1060" spans="2:5" ht="14.5" customHeight="1">
      <c r="B1060" s="86"/>
      <c r="C1060" s="58" t="s">
        <v>216</v>
      </c>
      <c r="D1060" s="59">
        <v>1</v>
      </c>
      <c r="E1060" s="60">
        <v>5.3081373745999998E-5</v>
      </c>
    </row>
    <row r="1061" spans="2:5" ht="14.5" customHeight="1">
      <c r="B1061" s="86"/>
      <c r="C1061" s="58" t="s">
        <v>217</v>
      </c>
      <c r="D1061" s="59">
        <v>1</v>
      </c>
      <c r="E1061" s="60">
        <v>5.3081373745999998E-5</v>
      </c>
    </row>
    <row r="1062" spans="2:5" ht="14.5" customHeight="1">
      <c r="B1062" s="86"/>
      <c r="C1062" s="58" t="s">
        <v>218</v>
      </c>
      <c r="D1062" s="59">
        <v>1</v>
      </c>
      <c r="E1062" s="60">
        <v>5.3081373745999998E-5</v>
      </c>
    </row>
    <row r="1063" spans="2:5" ht="14.5" customHeight="1">
      <c r="B1063" s="86"/>
      <c r="C1063" s="58" t="s">
        <v>219</v>
      </c>
      <c r="D1063" s="59">
        <v>1</v>
      </c>
      <c r="E1063" s="60">
        <v>5.3081373745999998E-5</v>
      </c>
    </row>
    <row r="1064" spans="2:5" ht="14.5" customHeight="1">
      <c r="B1064" s="86"/>
      <c r="C1064" s="58" t="s">
        <v>201</v>
      </c>
      <c r="D1064" s="59">
        <v>1</v>
      </c>
      <c r="E1064" s="60">
        <v>5.3081373745999998E-5</v>
      </c>
    </row>
    <row r="1065" spans="2:5" ht="14.5" customHeight="1">
      <c r="B1065" s="86"/>
      <c r="C1065" s="58" t="s">
        <v>223</v>
      </c>
      <c r="D1065" s="59">
        <v>2</v>
      </c>
      <c r="E1065" s="60">
        <v>1.06162747492E-4</v>
      </c>
    </row>
    <row r="1066" spans="2:5" ht="14.5" customHeight="1">
      <c r="B1066" s="86"/>
      <c r="C1066" s="58" t="s">
        <v>203</v>
      </c>
      <c r="D1066" s="59">
        <v>1</v>
      </c>
      <c r="E1066" s="60">
        <v>5.3081373745999998E-5</v>
      </c>
    </row>
    <row r="1067" spans="2:5" ht="14.5" customHeight="1">
      <c r="B1067" s="86"/>
      <c r="C1067" s="58" t="s">
        <v>227</v>
      </c>
      <c r="D1067" s="59">
        <v>2</v>
      </c>
      <c r="E1067" s="60">
        <v>1.06162747492E-4</v>
      </c>
    </row>
    <row r="1068" spans="2:5" ht="14.5" customHeight="1">
      <c r="B1068" s="86"/>
      <c r="C1068" s="58" t="s">
        <v>230</v>
      </c>
      <c r="D1068" s="59">
        <v>3</v>
      </c>
      <c r="E1068" s="60">
        <v>1.5924412123800001E-4</v>
      </c>
    </row>
    <row r="1069" spans="2:5" ht="14.5" customHeight="1">
      <c r="B1069" s="86"/>
      <c r="C1069" s="58" t="s">
        <v>231</v>
      </c>
      <c r="D1069" s="59">
        <v>5</v>
      </c>
      <c r="E1069" s="60">
        <v>2.6540686872999998E-4</v>
      </c>
    </row>
    <row r="1070" spans="2:5" ht="14.5" customHeight="1">
      <c r="B1070" s="87"/>
      <c r="C1070" s="35" t="s">
        <v>28</v>
      </c>
      <c r="D1070" s="34">
        <v>78</v>
      </c>
      <c r="E1070" s="33">
        <v>4.1403471521839997E-3</v>
      </c>
    </row>
    <row r="1071" spans="2:5" ht="14.5" customHeight="1">
      <c r="B1071" s="85" t="s">
        <v>114</v>
      </c>
      <c r="C1071" s="58" t="s">
        <v>204</v>
      </c>
      <c r="D1071" s="59">
        <v>20</v>
      </c>
      <c r="E1071" s="60">
        <v>1.0616274749190001E-3</v>
      </c>
    </row>
    <row r="1072" spans="2:5" ht="14.5" customHeight="1">
      <c r="B1072" s="86"/>
      <c r="C1072" s="58" t="s">
        <v>206</v>
      </c>
      <c r="D1072" s="59">
        <v>1</v>
      </c>
      <c r="E1072" s="60">
        <v>5.3081373745999998E-5</v>
      </c>
    </row>
    <row r="1073" spans="2:5" ht="14.5" customHeight="1">
      <c r="B1073" s="86"/>
      <c r="C1073" s="58" t="s">
        <v>192</v>
      </c>
      <c r="D1073" s="59">
        <v>6</v>
      </c>
      <c r="E1073" s="60">
        <v>3.1848824247600002E-4</v>
      </c>
    </row>
    <row r="1074" spans="2:5" ht="14.5" customHeight="1">
      <c r="B1074" s="86"/>
      <c r="C1074" s="58" t="s">
        <v>193</v>
      </c>
      <c r="D1074" s="59">
        <v>26</v>
      </c>
      <c r="E1074" s="60">
        <v>1.3801157173950001E-3</v>
      </c>
    </row>
    <row r="1075" spans="2:5" ht="14.5" customHeight="1">
      <c r="B1075" s="86"/>
      <c r="C1075" s="58" t="s">
        <v>207</v>
      </c>
      <c r="D1075" s="59">
        <v>1</v>
      </c>
      <c r="E1075" s="60">
        <v>5.3081373745999998E-5</v>
      </c>
    </row>
    <row r="1076" spans="2:5" ht="14.5" customHeight="1">
      <c r="B1076" s="86"/>
      <c r="C1076" s="58" t="s">
        <v>194</v>
      </c>
      <c r="D1076" s="59">
        <v>13</v>
      </c>
      <c r="E1076" s="60">
        <v>6.90057858697E-4</v>
      </c>
    </row>
    <row r="1077" spans="2:5" ht="14.5" customHeight="1">
      <c r="B1077" s="86"/>
      <c r="C1077" s="58" t="s">
        <v>195</v>
      </c>
      <c r="D1077" s="59">
        <v>11</v>
      </c>
      <c r="E1077" s="60">
        <v>5.8389511120500003E-4</v>
      </c>
    </row>
    <row r="1078" spans="2:5" ht="14.5" customHeight="1">
      <c r="B1078" s="86"/>
      <c r="C1078" s="58" t="s">
        <v>208</v>
      </c>
      <c r="D1078" s="59">
        <v>1</v>
      </c>
      <c r="E1078" s="60">
        <v>5.3081373745999998E-5</v>
      </c>
    </row>
    <row r="1079" spans="2:5" ht="14.5" customHeight="1">
      <c r="B1079" s="86"/>
      <c r="C1079" s="58" t="s">
        <v>196</v>
      </c>
      <c r="D1079" s="59">
        <v>40</v>
      </c>
      <c r="E1079" s="60">
        <v>2.1232549498380001E-3</v>
      </c>
    </row>
    <row r="1080" spans="2:5" ht="14.5" customHeight="1">
      <c r="B1080" s="86"/>
      <c r="C1080" s="58" t="s">
        <v>209</v>
      </c>
      <c r="D1080" s="59">
        <v>1</v>
      </c>
      <c r="E1080" s="60">
        <v>5.3081373745999998E-5</v>
      </c>
    </row>
    <row r="1081" spans="2:5" ht="14.5" customHeight="1">
      <c r="B1081" s="86"/>
      <c r="C1081" s="58" t="s">
        <v>210</v>
      </c>
      <c r="D1081" s="59">
        <v>1</v>
      </c>
      <c r="E1081" s="60">
        <v>5.3081373745999998E-5</v>
      </c>
    </row>
    <row r="1082" spans="2:5" ht="14.5" customHeight="1">
      <c r="B1082" s="86"/>
      <c r="C1082" s="58" t="s">
        <v>197</v>
      </c>
      <c r="D1082" s="59">
        <v>23</v>
      </c>
      <c r="E1082" s="60">
        <v>1.220871596157E-3</v>
      </c>
    </row>
    <row r="1083" spans="2:5" ht="14.5" customHeight="1">
      <c r="B1083" s="86"/>
      <c r="C1083" s="58" t="s">
        <v>198</v>
      </c>
      <c r="D1083" s="59">
        <v>8</v>
      </c>
      <c r="E1083" s="60">
        <v>4.2465098996799999E-4</v>
      </c>
    </row>
    <row r="1084" spans="2:5" ht="14.5" customHeight="1">
      <c r="B1084" s="86"/>
      <c r="C1084" s="58" t="s">
        <v>211</v>
      </c>
      <c r="D1084" s="59">
        <v>22</v>
      </c>
      <c r="E1084" s="60">
        <v>1.1677902224109999E-3</v>
      </c>
    </row>
    <row r="1085" spans="2:5" ht="14.5" customHeight="1">
      <c r="B1085" s="86"/>
      <c r="C1085" s="58" t="s">
        <v>213</v>
      </c>
      <c r="D1085" s="59">
        <v>3</v>
      </c>
      <c r="E1085" s="60">
        <v>1.5924412123800001E-4</v>
      </c>
    </row>
    <row r="1086" spans="2:5" ht="14.5" customHeight="1">
      <c r="B1086" s="86"/>
      <c r="C1086" s="58" t="s">
        <v>214</v>
      </c>
      <c r="D1086" s="59">
        <v>2</v>
      </c>
      <c r="E1086" s="60">
        <v>1.06162747492E-4</v>
      </c>
    </row>
    <row r="1087" spans="2:5" ht="14.5" customHeight="1">
      <c r="B1087" s="86"/>
      <c r="C1087" s="58" t="s">
        <v>215</v>
      </c>
      <c r="D1087" s="59">
        <v>1</v>
      </c>
      <c r="E1087" s="60">
        <v>5.3081373745999998E-5</v>
      </c>
    </row>
    <row r="1088" spans="2:5" ht="14.5" customHeight="1">
      <c r="B1088" s="86"/>
      <c r="C1088" s="58" t="s">
        <v>217</v>
      </c>
      <c r="D1088" s="59">
        <v>4</v>
      </c>
      <c r="E1088" s="60">
        <v>2.1232549498399999E-4</v>
      </c>
    </row>
    <row r="1089" spans="2:5" ht="14.5" customHeight="1">
      <c r="B1089" s="86"/>
      <c r="C1089" s="58" t="s">
        <v>218</v>
      </c>
      <c r="D1089" s="59">
        <v>1</v>
      </c>
      <c r="E1089" s="60">
        <v>5.3081373745999998E-5</v>
      </c>
    </row>
    <row r="1090" spans="2:5" ht="14.5" customHeight="1">
      <c r="B1090" s="86"/>
      <c r="C1090" s="58" t="s">
        <v>200</v>
      </c>
      <c r="D1090" s="59">
        <v>12</v>
      </c>
      <c r="E1090" s="60">
        <v>6.3697648495099997E-4</v>
      </c>
    </row>
    <row r="1091" spans="2:5" ht="14.5" customHeight="1">
      <c r="B1091" s="86"/>
      <c r="C1091" s="58" t="s">
        <v>201</v>
      </c>
      <c r="D1091" s="59">
        <v>5</v>
      </c>
      <c r="E1091" s="60">
        <v>2.6540686872999998E-4</v>
      </c>
    </row>
    <row r="1092" spans="2:5" ht="14.5" customHeight="1">
      <c r="B1092" s="86"/>
      <c r="C1092" s="58" t="s">
        <v>221</v>
      </c>
      <c r="D1092" s="59">
        <v>2</v>
      </c>
      <c r="E1092" s="60">
        <v>1.06162747492E-4</v>
      </c>
    </row>
    <row r="1093" spans="2:5" ht="14.5" customHeight="1">
      <c r="B1093" s="86"/>
      <c r="C1093" s="58" t="s">
        <v>222</v>
      </c>
      <c r="D1093" s="59">
        <v>3</v>
      </c>
      <c r="E1093" s="60">
        <v>1.5924412123800001E-4</v>
      </c>
    </row>
    <row r="1094" spans="2:5" ht="14.5" customHeight="1">
      <c r="B1094" s="86"/>
      <c r="C1094" s="58" t="s">
        <v>223</v>
      </c>
      <c r="D1094" s="59">
        <v>1</v>
      </c>
      <c r="E1094" s="60">
        <v>5.3081373745999998E-5</v>
      </c>
    </row>
    <row r="1095" spans="2:5" ht="14.5" customHeight="1">
      <c r="B1095" s="86"/>
      <c r="C1095" s="58" t="s">
        <v>224</v>
      </c>
      <c r="D1095" s="59">
        <v>1</v>
      </c>
      <c r="E1095" s="60">
        <v>5.3081373745999998E-5</v>
      </c>
    </row>
    <row r="1096" spans="2:5" ht="14.5" customHeight="1">
      <c r="B1096" s="86"/>
      <c r="C1096" s="58" t="s">
        <v>225</v>
      </c>
      <c r="D1096" s="59">
        <v>2</v>
      </c>
      <c r="E1096" s="60">
        <v>1.06162747492E-4</v>
      </c>
    </row>
    <row r="1097" spans="2:5" ht="14.5" customHeight="1">
      <c r="B1097" s="86"/>
      <c r="C1097" s="58" t="s">
        <v>202</v>
      </c>
      <c r="D1097" s="59">
        <v>1</v>
      </c>
      <c r="E1097" s="60">
        <v>5.3081373745999998E-5</v>
      </c>
    </row>
    <row r="1098" spans="2:5" ht="14.5" customHeight="1">
      <c r="B1098" s="86"/>
      <c r="C1098" s="58" t="s">
        <v>203</v>
      </c>
      <c r="D1098" s="59">
        <v>3</v>
      </c>
      <c r="E1098" s="60">
        <v>1.5924412123800001E-4</v>
      </c>
    </row>
    <row r="1099" spans="2:5" ht="14.5" customHeight="1">
      <c r="B1099" s="86"/>
      <c r="C1099" s="58" t="s">
        <v>228</v>
      </c>
      <c r="D1099" s="59">
        <v>2</v>
      </c>
      <c r="E1099" s="60">
        <v>1.06162747492E-4</v>
      </c>
    </row>
    <row r="1100" spans="2:5" ht="14.5" customHeight="1">
      <c r="B1100" s="86"/>
      <c r="C1100" s="58" t="s">
        <v>229</v>
      </c>
      <c r="D1100" s="59">
        <v>9</v>
      </c>
      <c r="E1100" s="60">
        <v>4.7773236371400003E-4</v>
      </c>
    </row>
    <row r="1101" spans="2:5" ht="14.5" customHeight="1">
      <c r="B1101" s="86"/>
      <c r="C1101" s="58" t="s">
        <v>231</v>
      </c>
      <c r="D1101" s="59">
        <v>4</v>
      </c>
      <c r="E1101" s="60">
        <v>2.1232549498399999E-4</v>
      </c>
    </row>
    <row r="1102" spans="2:5" ht="14.5" customHeight="1">
      <c r="B1102" s="87"/>
      <c r="C1102" s="35" t="s">
        <v>28</v>
      </c>
      <c r="D1102" s="34">
        <v>230</v>
      </c>
      <c r="E1102" s="33">
        <v>1.2208715961569E-2</v>
      </c>
    </row>
    <row r="1103" spans="2:5" ht="14.5" customHeight="1">
      <c r="B1103" s="85" t="s">
        <v>111</v>
      </c>
      <c r="C1103" s="58" t="s">
        <v>204</v>
      </c>
      <c r="D1103" s="59">
        <v>17</v>
      </c>
      <c r="E1103" s="60">
        <v>9.0238335368100005E-4</v>
      </c>
    </row>
    <row r="1104" spans="2:5" ht="14.5" customHeight="1">
      <c r="B1104" s="86"/>
      <c r="C1104" s="58" t="s">
        <v>205</v>
      </c>
      <c r="D1104" s="59">
        <v>9</v>
      </c>
      <c r="E1104" s="60">
        <v>4.7773236371400003E-4</v>
      </c>
    </row>
    <row r="1105" spans="2:5" ht="14.5" customHeight="1">
      <c r="B1105" s="86"/>
      <c r="C1105" s="58" t="s">
        <v>206</v>
      </c>
      <c r="D1105" s="59">
        <v>2</v>
      </c>
      <c r="E1105" s="60">
        <v>1.06162747492E-4</v>
      </c>
    </row>
    <row r="1106" spans="2:5" ht="14.5" customHeight="1">
      <c r="B1106" s="86"/>
      <c r="C1106" s="58" t="s">
        <v>192</v>
      </c>
      <c r="D1106" s="59">
        <v>13</v>
      </c>
      <c r="E1106" s="60">
        <v>6.90057858697E-4</v>
      </c>
    </row>
    <row r="1107" spans="2:5" ht="14.5" customHeight="1">
      <c r="B1107" s="86"/>
      <c r="C1107" s="58" t="s">
        <v>193</v>
      </c>
      <c r="D1107" s="59">
        <v>77</v>
      </c>
      <c r="E1107" s="60">
        <v>4.0872657784380003E-3</v>
      </c>
    </row>
    <row r="1108" spans="2:5" ht="14.5" customHeight="1">
      <c r="B1108" s="86"/>
      <c r="C1108" s="58" t="s">
        <v>207</v>
      </c>
      <c r="D1108" s="59">
        <v>10</v>
      </c>
      <c r="E1108" s="60">
        <v>5.3081373745999996E-4</v>
      </c>
    </row>
    <row r="1109" spans="2:5" ht="14.5" customHeight="1">
      <c r="B1109" s="86"/>
      <c r="C1109" s="58" t="s">
        <v>194</v>
      </c>
      <c r="D1109" s="59">
        <v>2</v>
      </c>
      <c r="E1109" s="60">
        <v>1.06162747492E-4</v>
      </c>
    </row>
    <row r="1110" spans="2:5" ht="14.5" customHeight="1">
      <c r="B1110" s="86"/>
      <c r="C1110" s="58" t="s">
        <v>195</v>
      </c>
      <c r="D1110" s="59">
        <v>5</v>
      </c>
      <c r="E1110" s="60">
        <v>2.6540686872999998E-4</v>
      </c>
    </row>
    <row r="1111" spans="2:5" ht="14.5" customHeight="1">
      <c r="B1111" s="86"/>
      <c r="C1111" s="58" t="s">
        <v>196</v>
      </c>
      <c r="D1111" s="59">
        <v>19</v>
      </c>
      <c r="E1111" s="60">
        <v>1.008546101173E-3</v>
      </c>
    </row>
    <row r="1112" spans="2:5" ht="14.5" customHeight="1">
      <c r="B1112" s="86"/>
      <c r="C1112" s="58" t="s">
        <v>209</v>
      </c>
      <c r="D1112" s="59">
        <v>1</v>
      </c>
      <c r="E1112" s="60">
        <v>5.3081373745999998E-5</v>
      </c>
    </row>
    <row r="1113" spans="2:5" ht="14.5" customHeight="1">
      <c r="B1113" s="86"/>
      <c r="C1113" s="58" t="s">
        <v>210</v>
      </c>
      <c r="D1113" s="59">
        <v>8</v>
      </c>
      <c r="E1113" s="60">
        <v>4.2465098996799999E-4</v>
      </c>
    </row>
    <row r="1114" spans="2:5" ht="14.5" customHeight="1">
      <c r="B1114" s="86"/>
      <c r="C1114" s="58" t="s">
        <v>197</v>
      </c>
      <c r="D1114" s="59">
        <v>11</v>
      </c>
      <c r="E1114" s="60">
        <v>5.8389511120500003E-4</v>
      </c>
    </row>
    <row r="1115" spans="2:5" ht="14.5" customHeight="1">
      <c r="B1115" s="86"/>
      <c r="C1115" s="58" t="s">
        <v>198</v>
      </c>
      <c r="D1115" s="59">
        <v>4</v>
      </c>
      <c r="E1115" s="60">
        <v>2.1232549498399999E-4</v>
      </c>
    </row>
    <row r="1116" spans="2:5" ht="14.5" customHeight="1">
      <c r="B1116" s="86"/>
      <c r="C1116" s="58" t="s">
        <v>199</v>
      </c>
      <c r="D1116" s="59">
        <v>1</v>
      </c>
      <c r="E1116" s="60">
        <v>5.3081373745999998E-5</v>
      </c>
    </row>
    <row r="1117" spans="2:5" ht="14.5" customHeight="1">
      <c r="B1117" s="86"/>
      <c r="C1117" s="58" t="s">
        <v>211</v>
      </c>
      <c r="D1117" s="59">
        <v>3</v>
      </c>
      <c r="E1117" s="60">
        <v>1.5924412123800001E-4</v>
      </c>
    </row>
    <row r="1118" spans="2:5" ht="14.5" customHeight="1">
      <c r="B1118" s="86"/>
      <c r="C1118" s="58" t="s">
        <v>212</v>
      </c>
      <c r="D1118" s="59">
        <v>1</v>
      </c>
      <c r="E1118" s="60">
        <v>5.3081373745999998E-5</v>
      </c>
    </row>
    <row r="1119" spans="2:5" ht="14.5" customHeight="1">
      <c r="B1119" s="86"/>
      <c r="C1119" s="58" t="s">
        <v>213</v>
      </c>
      <c r="D1119" s="59">
        <v>3</v>
      </c>
      <c r="E1119" s="60">
        <v>1.5924412123800001E-4</v>
      </c>
    </row>
    <row r="1120" spans="2:5" ht="14.5" customHeight="1">
      <c r="B1120" s="86"/>
      <c r="C1120" s="58" t="s">
        <v>214</v>
      </c>
      <c r="D1120" s="59">
        <v>2</v>
      </c>
      <c r="E1120" s="60">
        <v>1.06162747492E-4</v>
      </c>
    </row>
    <row r="1121" spans="2:5" ht="14.5" customHeight="1">
      <c r="B1121" s="86"/>
      <c r="C1121" s="58" t="s">
        <v>216</v>
      </c>
      <c r="D1121" s="59">
        <v>4</v>
      </c>
      <c r="E1121" s="60">
        <v>2.1232549498399999E-4</v>
      </c>
    </row>
    <row r="1122" spans="2:5" ht="14.5" customHeight="1">
      <c r="B1122" s="86"/>
      <c r="C1122" s="58" t="s">
        <v>217</v>
      </c>
      <c r="D1122" s="59">
        <v>1</v>
      </c>
      <c r="E1122" s="60">
        <v>5.3081373745999998E-5</v>
      </c>
    </row>
    <row r="1123" spans="2:5" ht="14.5" customHeight="1">
      <c r="B1123" s="86"/>
      <c r="C1123" s="58" t="s">
        <v>218</v>
      </c>
      <c r="D1123" s="59">
        <v>9</v>
      </c>
      <c r="E1123" s="60">
        <v>4.7773236371400003E-4</v>
      </c>
    </row>
    <row r="1124" spans="2:5" ht="14.5" customHeight="1">
      <c r="B1124" s="86"/>
      <c r="C1124" s="58" t="s">
        <v>219</v>
      </c>
      <c r="D1124" s="59">
        <v>6</v>
      </c>
      <c r="E1124" s="60">
        <v>3.1848824247600002E-4</v>
      </c>
    </row>
    <row r="1125" spans="2:5" ht="14.5" customHeight="1">
      <c r="B1125" s="86"/>
      <c r="C1125" s="58" t="s">
        <v>200</v>
      </c>
      <c r="D1125" s="59">
        <v>2</v>
      </c>
      <c r="E1125" s="60">
        <v>1.06162747492E-4</v>
      </c>
    </row>
    <row r="1126" spans="2:5" ht="14.5" customHeight="1">
      <c r="B1126" s="86"/>
      <c r="C1126" s="58" t="s">
        <v>201</v>
      </c>
      <c r="D1126" s="59">
        <v>8</v>
      </c>
      <c r="E1126" s="60">
        <v>4.2465098996799999E-4</v>
      </c>
    </row>
    <row r="1127" spans="2:5" ht="14.5" customHeight="1">
      <c r="B1127" s="86"/>
      <c r="C1127" s="58" t="s">
        <v>220</v>
      </c>
      <c r="D1127" s="59">
        <v>3</v>
      </c>
      <c r="E1127" s="60">
        <v>1.5924412123800001E-4</v>
      </c>
    </row>
    <row r="1128" spans="2:5" ht="14.5" customHeight="1">
      <c r="B1128" s="86"/>
      <c r="C1128" s="58" t="s">
        <v>221</v>
      </c>
      <c r="D1128" s="59">
        <v>11</v>
      </c>
      <c r="E1128" s="60">
        <v>5.8389511120500003E-4</v>
      </c>
    </row>
    <row r="1129" spans="2:5" ht="14.5" customHeight="1">
      <c r="B1129" s="86"/>
      <c r="C1129" s="58" t="s">
        <v>223</v>
      </c>
      <c r="D1129" s="59">
        <v>3</v>
      </c>
      <c r="E1129" s="60">
        <v>1.5924412123800001E-4</v>
      </c>
    </row>
    <row r="1130" spans="2:5" ht="14.5" customHeight="1">
      <c r="B1130" s="86"/>
      <c r="C1130" s="58" t="s">
        <v>203</v>
      </c>
      <c r="D1130" s="59">
        <v>23</v>
      </c>
      <c r="E1130" s="60">
        <v>1.220871596157E-3</v>
      </c>
    </row>
    <row r="1131" spans="2:5" ht="14.5" customHeight="1">
      <c r="B1131" s="86"/>
      <c r="C1131" s="58" t="s">
        <v>227</v>
      </c>
      <c r="D1131" s="59">
        <v>51</v>
      </c>
      <c r="E1131" s="60">
        <v>2.7071500610439999E-3</v>
      </c>
    </row>
    <row r="1132" spans="2:5" ht="14.5" customHeight="1">
      <c r="B1132" s="86"/>
      <c r="C1132" s="58" t="s">
        <v>228</v>
      </c>
      <c r="D1132" s="59">
        <v>5</v>
      </c>
      <c r="E1132" s="60">
        <v>2.6540686872999998E-4</v>
      </c>
    </row>
    <row r="1133" spans="2:5" ht="14.5" customHeight="1">
      <c r="B1133" s="86"/>
      <c r="C1133" s="58" t="s">
        <v>229</v>
      </c>
      <c r="D1133" s="59">
        <v>1</v>
      </c>
      <c r="E1133" s="60">
        <v>5.3081373745999998E-5</v>
      </c>
    </row>
    <row r="1134" spans="2:5" ht="14.5" customHeight="1">
      <c r="B1134" s="86"/>
      <c r="C1134" s="58" t="s">
        <v>230</v>
      </c>
      <c r="D1134" s="59">
        <v>13</v>
      </c>
      <c r="E1134" s="60">
        <v>6.90057858697E-4</v>
      </c>
    </row>
    <row r="1135" spans="2:5" ht="14.5" customHeight="1">
      <c r="B1135" s="86"/>
      <c r="C1135" s="58" t="s">
        <v>231</v>
      </c>
      <c r="D1135" s="59">
        <v>9</v>
      </c>
      <c r="E1135" s="60">
        <v>4.7773236371400003E-4</v>
      </c>
    </row>
    <row r="1136" spans="2:5" ht="14.5" customHeight="1">
      <c r="B1136" s="87"/>
      <c r="C1136" s="35" t="s">
        <v>28</v>
      </c>
      <c r="D1136" s="34">
        <v>337</v>
      </c>
      <c r="E1136" s="33">
        <v>1.7888422952386001E-2</v>
      </c>
    </row>
    <row r="1137" spans="2:5" ht="14.5" customHeight="1">
      <c r="B1137" s="85" t="s">
        <v>123</v>
      </c>
      <c r="C1137" s="58" t="s">
        <v>204</v>
      </c>
      <c r="D1137" s="59">
        <v>7</v>
      </c>
      <c r="E1137" s="60">
        <v>3.71569616222E-4</v>
      </c>
    </row>
    <row r="1138" spans="2:5" ht="14.5" customHeight="1">
      <c r="B1138" s="86"/>
      <c r="C1138" s="58" t="s">
        <v>205</v>
      </c>
      <c r="D1138" s="59">
        <v>3</v>
      </c>
      <c r="E1138" s="60">
        <v>1.5924412123800001E-4</v>
      </c>
    </row>
    <row r="1139" spans="2:5" ht="14.5" customHeight="1">
      <c r="B1139" s="86"/>
      <c r="C1139" s="58" t="s">
        <v>193</v>
      </c>
      <c r="D1139" s="59">
        <v>43</v>
      </c>
      <c r="E1139" s="60">
        <v>2.282499071076E-3</v>
      </c>
    </row>
    <row r="1140" spans="2:5" ht="14.5" customHeight="1">
      <c r="B1140" s="86"/>
      <c r="C1140" s="58" t="s">
        <v>195</v>
      </c>
      <c r="D1140" s="59">
        <v>2</v>
      </c>
      <c r="E1140" s="60">
        <v>1.06162747492E-4</v>
      </c>
    </row>
    <row r="1141" spans="2:5" ht="14.5" customHeight="1">
      <c r="B1141" s="86"/>
      <c r="C1141" s="58" t="s">
        <v>208</v>
      </c>
      <c r="D1141" s="59">
        <v>1</v>
      </c>
      <c r="E1141" s="60">
        <v>5.3081373745999998E-5</v>
      </c>
    </row>
    <row r="1142" spans="2:5" ht="14.5" customHeight="1">
      <c r="B1142" s="86"/>
      <c r="C1142" s="58" t="s">
        <v>196</v>
      </c>
      <c r="D1142" s="59">
        <v>13</v>
      </c>
      <c r="E1142" s="60">
        <v>6.90057858697E-4</v>
      </c>
    </row>
    <row r="1143" spans="2:5" ht="14.5" customHeight="1">
      <c r="B1143" s="86"/>
      <c r="C1143" s="58" t="s">
        <v>209</v>
      </c>
      <c r="D1143" s="59">
        <v>1</v>
      </c>
      <c r="E1143" s="60">
        <v>5.3081373745999998E-5</v>
      </c>
    </row>
    <row r="1144" spans="2:5" ht="14.5" customHeight="1">
      <c r="B1144" s="86"/>
      <c r="C1144" s="58" t="s">
        <v>210</v>
      </c>
      <c r="D1144" s="59">
        <v>1</v>
      </c>
      <c r="E1144" s="60">
        <v>5.3081373745999998E-5</v>
      </c>
    </row>
    <row r="1145" spans="2:5" ht="14.5" customHeight="1">
      <c r="B1145" s="86"/>
      <c r="C1145" s="58" t="s">
        <v>197</v>
      </c>
      <c r="D1145" s="59">
        <v>2</v>
      </c>
      <c r="E1145" s="60">
        <v>1.06162747492E-4</v>
      </c>
    </row>
    <row r="1146" spans="2:5" ht="14.5" customHeight="1">
      <c r="B1146" s="86"/>
      <c r="C1146" s="58" t="s">
        <v>199</v>
      </c>
      <c r="D1146" s="59">
        <v>6</v>
      </c>
      <c r="E1146" s="60">
        <v>3.1848824247600002E-4</v>
      </c>
    </row>
    <row r="1147" spans="2:5" ht="14.5" customHeight="1">
      <c r="B1147" s="86"/>
      <c r="C1147" s="58" t="s">
        <v>213</v>
      </c>
      <c r="D1147" s="59">
        <v>1</v>
      </c>
      <c r="E1147" s="60">
        <v>5.3081373745999998E-5</v>
      </c>
    </row>
    <row r="1148" spans="2:5" ht="14.5" customHeight="1">
      <c r="B1148" s="86"/>
      <c r="C1148" s="58" t="s">
        <v>215</v>
      </c>
      <c r="D1148" s="59">
        <v>1</v>
      </c>
      <c r="E1148" s="60">
        <v>5.3081373745999998E-5</v>
      </c>
    </row>
    <row r="1149" spans="2:5" ht="14.5" customHeight="1">
      <c r="B1149" s="86"/>
      <c r="C1149" s="58" t="s">
        <v>218</v>
      </c>
      <c r="D1149" s="59">
        <v>3</v>
      </c>
      <c r="E1149" s="60">
        <v>1.5924412123800001E-4</v>
      </c>
    </row>
    <row r="1150" spans="2:5" ht="14.5" customHeight="1">
      <c r="B1150" s="86"/>
      <c r="C1150" s="58" t="s">
        <v>219</v>
      </c>
      <c r="D1150" s="59">
        <v>6</v>
      </c>
      <c r="E1150" s="60">
        <v>3.1848824247600002E-4</v>
      </c>
    </row>
    <row r="1151" spans="2:5" ht="14.5" customHeight="1">
      <c r="B1151" s="86"/>
      <c r="C1151" s="58" t="s">
        <v>200</v>
      </c>
      <c r="D1151" s="59">
        <v>1</v>
      </c>
      <c r="E1151" s="60">
        <v>5.3081373745999998E-5</v>
      </c>
    </row>
    <row r="1152" spans="2:5" ht="14.5" customHeight="1">
      <c r="B1152" s="86"/>
      <c r="C1152" s="58" t="s">
        <v>201</v>
      </c>
      <c r="D1152" s="59">
        <v>2</v>
      </c>
      <c r="E1152" s="60">
        <v>1.06162747492E-4</v>
      </c>
    </row>
    <row r="1153" spans="2:5" ht="14.5" customHeight="1">
      <c r="B1153" s="86"/>
      <c r="C1153" s="58" t="s">
        <v>221</v>
      </c>
      <c r="D1153" s="59">
        <v>2</v>
      </c>
      <c r="E1153" s="60">
        <v>1.06162747492E-4</v>
      </c>
    </row>
    <row r="1154" spans="2:5" ht="14.5" customHeight="1">
      <c r="B1154" s="86"/>
      <c r="C1154" s="58" t="s">
        <v>223</v>
      </c>
      <c r="D1154" s="59">
        <v>5</v>
      </c>
      <c r="E1154" s="60">
        <v>2.6540686872999998E-4</v>
      </c>
    </row>
    <row r="1155" spans="2:5" ht="14.5" customHeight="1">
      <c r="B1155" s="86"/>
      <c r="C1155" s="58" t="s">
        <v>202</v>
      </c>
      <c r="D1155" s="59">
        <v>2</v>
      </c>
      <c r="E1155" s="60">
        <v>1.06162747492E-4</v>
      </c>
    </row>
    <row r="1156" spans="2:5" ht="14.5" customHeight="1">
      <c r="B1156" s="86"/>
      <c r="C1156" s="58" t="s">
        <v>203</v>
      </c>
      <c r="D1156" s="59">
        <v>1</v>
      </c>
      <c r="E1156" s="60">
        <v>5.3081373745999998E-5</v>
      </c>
    </row>
    <row r="1157" spans="2:5" ht="14.5" customHeight="1">
      <c r="B1157" s="86"/>
      <c r="C1157" s="58" t="s">
        <v>226</v>
      </c>
      <c r="D1157" s="59">
        <v>1</v>
      </c>
      <c r="E1157" s="60">
        <v>5.3081373745999998E-5</v>
      </c>
    </row>
    <row r="1158" spans="2:5" ht="14.5" customHeight="1">
      <c r="B1158" s="86"/>
      <c r="C1158" s="58" t="s">
        <v>227</v>
      </c>
      <c r="D1158" s="59">
        <v>5</v>
      </c>
      <c r="E1158" s="60">
        <v>2.6540686872999998E-4</v>
      </c>
    </row>
    <row r="1159" spans="2:5" ht="14.5" customHeight="1">
      <c r="B1159" s="86"/>
      <c r="C1159" s="58" t="s">
        <v>229</v>
      </c>
      <c r="D1159" s="59">
        <v>2</v>
      </c>
      <c r="E1159" s="60">
        <v>1.06162747492E-4</v>
      </c>
    </row>
    <row r="1160" spans="2:5" ht="14.5" customHeight="1">
      <c r="B1160" s="86"/>
      <c r="C1160" s="58" t="s">
        <v>230</v>
      </c>
      <c r="D1160" s="59">
        <v>5</v>
      </c>
      <c r="E1160" s="60">
        <v>2.6540686872999998E-4</v>
      </c>
    </row>
    <row r="1161" spans="2:5" ht="14.5" customHeight="1">
      <c r="B1161" s="86"/>
      <c r="C1161" s="58" t="s">
        <v>231</v>
      </c>
      <c r="D1161" s="59">
        <v>5</v>
      </c>
      <c r="E1161" s="60">
        <v>2.6540686872999998E-4</v>
      </c>
    </row>
    <row r="1162" spans="2:5" ht="14.5" customHeight="1">
      <c r="B1162" s="87"/>
      <c r="C1162" s="35" t="s">
        <v>28</v>
      </c>
      <c r="D1162" s="34">
        <v>121</v>
      </c>
      <c r="E1162" s="33">
        <v>6.4228462232600002E-3</v>
      </c>
    </row>
    <row r="1163" spans="2:5" ht="14.5" customHeight="1">
      <c r="B1163" s="85" t="s">
        <v>128</v>
      </c>
      <c r="C1163" s="58" t="s">
        <v>204</v>
      </c>
      <c r="D1163" s="59">
        <v>6</v>
      </c>
      <c r="E1163" s="60">
        <v>3.1848824247600002E-4</v>
      </c>
    </row>
    <row r="1164" spans="2:5" ht="14.5" customHeight="1">
      <c r="B1164" s="86"/>
      <c r="C1164" s="58" t="s">
        <v>205</v>
      </c>
      <c r="D1164" s="59">
        <v>2</v>
      </c>
      <c r="E1164" s="60">
        <v>1.06162747492E-4</v>
      </c>
    </row>
    <row r="1165" spans="2:5" ht="14.5" customHeight="1">
      <c r="B1165" s="86"/>
      <c r="C1165" s="58" t="s">
        <v>206</v>
      </c>
      <c r="D1165" s="59">
        <v>3</v>
      </c>
      <c r="E1165" s="60">
        <v>1.5924412123800001E-4</v>
      </c>
    </row>
    <row r="1166" spans="2:5" ht="14.5" customHeight="1">
      <c r="B1166" s="86"/>
      <c r="C1166" s="58" t="s">
        <v>192</v>
      </c>
      <c r="D1166" s="59">
        <v>1</v>
      </c>
      <c r="E1166" s="60">
        <v>5.3081373745999998E-5</v>
      </c>
    </row>
    <row r="1167" spans="2:5" ht="14.5" customHeight="1">
      <c r="B1167" s="86"/>
      <c r="C1167" s="58" t="s">
        <v>193</v>
      </c>
      <c r="D1167" s="59">
        <v>21</v>
      </c>
      <c r="E1167" s="60">
        <v>1.1147088486650001E-3</v>
      </c>
    </row>
    <row r="1168" spans="2:5" ht="14.5" customHeight="1">
      <c r="B1168" s="86"/>
      <c r="C1168" s="58" t="s">
        <v>196</v>
      </c>
      <c r="D1168" s="59">
        <v>2</v>
      </c>
      <c r="E1168" s="60">
        <v>1.06162747492E-4</v>
      </c>
    </row>
    <row r="1169" spans="2:5" ht="14.5" customHeight="1">
      <c r="B1169" s="86"/>
      <c r="C1169" s="58" t="s">
        <v>197</v>
      </c>
      <c r="D1169" s="59">
        <v>3</v>
      </c>
      <c r="E1169" s="60">
        <v>1.5924412123800001E-4</v>
      </c>
    </row>
    <row r="1170" spans="2:5" ht="14.5" customHeight="1">
      <c r="B1170" s="86"/>
      <c r="C1170" s="58" t="s">
        <v>198</v>
      </c>
      <c r="D1170" s="59">
        <v>1</v>
      </c>
      <c r="E1170" s="60">
        <v>5.3081373745999998E-5</v>
      </c>
    </row>
    <row r="1171" spans="2:5" ht="14.5" customHeight="1">
      <c r="B1171" s="86"/>
      <c r="C1171" s="58" t="s">
        <v>199</v>
      </c>
      <c r="D1171" s="59">
        <v>1</v>
      </c>
      <c r="E1171" s="60">
        <v>5.3081373745999998E-5</v>
      </c>
    </row>
    <row r="1172" spans="2:5" ht="14.5" customHeight="1">
      <c r="B1172" s="86"/>
      <c r="C1172" s="58" t="s">
        <v>211</v>
      </c>
      <c r="D1172" s="59">
        <v>1</v>
      </c>
      <c r="E1172" s="60">
        <v>5.3081373745999998E-5</v>
      </c>
    </row>
    <row r="1173" spans="2:5" ht="14.5" customHeight="1">
      <c r="B1173" s="86"/>
      <c r="C1173" s="58" t="s">
        <v>212</v>
      </c>
      <c r="D1173" s="59">
        <v>1</v>
      </c>
      <c r="E1173" s="60">
        <v>5.3081373745999998E-5</v>
      </c>
    </row>
    <row r="1174" spans="2:5" ht="14.5" customHeight="1">
      <c r="B1174" s="86"/>
      <c r="C1174" s="58" t="s">
        <v>213</v>
      </c>
      <c r="D1174" s="59">
        <v>3</v>
      </c>
      <c r="E1174" s="60">
        <v>1.5924412123800001E-4</v>
      </c>
    </row>
    <row r="1175" spans="2:5" ht="14.5" customHeight="1">
      <c r="B1175" s="86"/>
      <c r="C1175" s="58" t="s">
        <v>214</v>
      </c>
      <c r="D1175" s="59">
        <v>1</v>
      </c>
      <c r="E1175" s="60">
        <v>5.3081373745999998E-5</v>
      </c>
    </row>
    <row r="1176" spans="2:5" ht="14.5" customHeight="1">
      <c r="B1176" s="86"/>
      <c r="C1176" s="58" t="s">
        <v>216</v>
      </c>
      <c r="D1176" s="59">
        <v>3</v>
      </c>
      <c r="E1176" s="60">
        <v>1.5924412123800001E-4</v>
      </c>
    </row>
    <row r="1177" spans="2:5" ht="14.5" customHeight="1">
      <c r="B1177" s="86"/>
      <c r="C1177" s="58" t="s">
        <v>218</v>
      </c>
      <c r="D1177" s="59">
        <v>2</v>
      </c>
      <c r="E1177" s="60">
        <v>1.06162747492E-4</v>
      </c>
    </row>
    <row r="1178" spans="2:5" ht="14.5" customHeight="1">
      <c r="B1178" s="86"/>
      <c r="C1178" s="58" t="s">
        <v>219</v>
      </c>
      <c r="D1178" s="59">
        <v>3</v>
      </c>
      <c r="E1178" s="60">
        <v>1.5924412123800001E-4</v>
      </c>
    </row>
    <row r="1179" spans="2:5" ht="14.5" customHeight="1">
      <c r="B1179" s="86"/>
      <c r="C1179" s="58" t="s">
        <v>201</v>
      </c>
      <c r="D1179" s="59">
        <v>3</v>
      </c>
      <c r="E1179" s="60">
        <v>1.5924412123800001E-4</v>
      </c>
    </row>
    <row r="1180" spans="2:5" ht="14.5" customHeight="1">
      <c r="B1180" s="86"/>
      <c r="C1180" s="58" t="s">
        <v>221</v>
      </c>
      <c r="D1180" s="59">
        <v>4</v>
      </c>
      <c r="E1180" s="60">
        <v>2.1232549498399999E-4</v>
      </c>
    </row>
    <row r="1181" spans="2:5" ht="14.5" customHeight="1">
      <c r="B1181" s="86"/>
      <c r="C1181" s="58" t="s">
        <v>222</v>
      </c>
      <c r="D1181" s="59">
        <v>1</v>
      </c>
      <c r="E1181" s="60">
        <v>5.3081373745999998E-5</v>
      </c>
    </row>
    <row r="1182" spans="2:5" ht="14.5" customHeight="1">
      <c r="B1182" s="86"/>
      <c r="C1182" s="58" t="s">
        <v>223</v>
      </c>
      <c r="D1182" s="59">
        <v>2</v>
      </c>
      <c r="E1182" s="60">
        <v>1.06162747492E-4</v>
      </c>
    </row>
    <row r="1183" spans="2:5" ht="14.5" customHeight="1">
      <c r="B1183" s="86"/>
      <c r="C1183" s="58" t="s">
        <v>203</v>
      </c>
      <c r="D1183" s="59">
        <v>4</v>
      </c>
      <c r="E1183" s="60">
        <v>2.1232549498399999E-4</v>
      </c>
    </row>
    <row r="1184" spans="2:5" ht="14.5" customHeight="1">
      <c r="B1184" s="86"/>
      <c r="C1184" s="58" t="s">
        <v>227</v>
      </c>
      <c r="D1184" s="59">
        <v>3</v>
      </c>
      <c r="E1184" s="60">
        <v>1.5924412123800001E-4</v>
      </c>
    </row>
    <row r="1185" spans="2:5" ht="14.5" customHeight="1">
      <c r="B1185" s="86"/>
      <c r="C1185" s="58" t="s">
        <v>228</v>
      </c>
      <c r="D1185" s="59">
        <v>2</v>
      </c>
      <c r="E1185" s="60">
        <v>1.06162747492E-4</v>
      </c>
    </row>
    <row r="1186" spans="2:5" ht="14.5" customHeight="1">
      <c r="B1186" s="86"/>
      <c r="C1186" s="58" t="s">
        <v>229</v>
      </c>
      <c r="D1186" s="59">
        <v>1</v>
      </c>
      <c r="E1186" s="60">
        <v>5.3081373745999998E-5</v>
      </c>
    </row>
    <row r="1187" spans="2:5" ht="14.5" customHeight="1">
      <c r="B1187" s="86"/>
      <c r="C1187" s="58" t="s">
        <v>230</v>
      </c>
      <c r="D1187" s="59">
        <v>6</v>
      </c>
      <c r="E1187" s="60">
        <v>3.1848824247600002E-4</v>
      </c>
    </row>
    <row r="1188" spans="2:5" ht="14.5" customHeight="1">
      <c r="B1188" s="87"/>
      <c r="C1188" s="35" t="s">
        <v>28</v>
      </c>
      <c r="D1188" s="34">
        <v>80</v>
      </c>
      <c r="E1188" s="33">
        <v>4.2465098996760002E-3</v>
      </c>
    </row>
    <row r="1189" spans="2:5" ht="14.5" customHeight="1">
      <c r="B1189" s="85" t="s">
        <v>117</v>
      </c>
      <c r="C1189" s="58" t="s">
        <v>204</v>
      </c>
      <c r="D1189" s="59">
        <v>10</v>
      </c>
      <c r="E1189" s="60">
        <v>5.3081373745999996E-4</v>
      </c>
    </row>
    <row r="1190" spans="2:5" ht="14.5" customHeight="1">
      <c r="B1190" s="86"/>
      <c r="C1190" s="58" t="s">
        <v>205</v>
      </c>
      <c r="D1190" s="59">
        <v>3</v>
      </c>
      <c r="E1190" s="60">
        <v>1.5924412123800001E-4</v>
      </c>
    </row>
    <row r="1191" spans="2:5" ht="14.5" customHeight="1">
      <c r="B1191" s="86"/>
      <c r="C1191" s="58" t="s">
        <v>206</v>
      </c>
      <c r="D1191" s="59">
        <v>44</v>
      </c>
      <c r="E1191" s="60">
        <v>2.3355804448219998E-3</v>
      </c>
    </row>
    <row r="1192" spans="2:5" ht="14.5" customHeight="1">
      <c r="B1192" s="86"/>
      <c r="C1192" s="58" t="s">
        <v>192</v>
      </c>
      <c r="D1192" s="59">
        <v>3</v>
      </c>
      <c r="E1192" s="60">
        <v>1.5924412123800001E-4</v>
      </c>
    </row>
    <row r="1193" spans="2:5" ht="14.5" customHeight="1">
      <c r="B1193" s="86"/>
      <c r="C1193" s="58" t="s">
        <v>193</v>
      </c>
      <c r="D1193" s="59">
        <v>48</v>
      </c>
      <c r="E1193" s="60">
        <v>2.547905939806E-3</v>
      </c>
    </row>
    <row r="1194" spans="2:5" ht="14.5" customHeight="1">
      <c r="B1194" s="86"/>
      <c r="C1194" s="58" t="s">
        <v>207</v>
      </c>
      <c r="D1194" s="59">
        <v>4</v>
      </c>
      <c r="E1194" s="60">
        <v>2.1232549498399999E-4</v>
      </c>
    </row>
    <row r="1195" spans="2:5" ht="14.5" customHeight="1">
      <c r="B1195" s="86"/>
      <c r="C1195" s="58" t="s">
        <v>195</v>
      </c>
      <c r="D1195" s="59">
        <v>7</v>
      </c>
      <c r="E1195" s="60">
        <v>3.71569616222E-4</v>
      </c>
    </row>
    <row r="1196" spans="2:5" ht="14.5" customHeight="1">
      <c r="B1196" s="86"/>
      <c r="C1196" s="58" t="s">
        <v>196</v>
      </c>
      <c r="D1196" s="59">
        <v>10</v>
      </c>
      <c r="E1196" s="60">
        <v>5.3081373745999996E-4</v>
      </c>
    </row>
    <row r="1197" spans="2:5" ht="14.5" customHeight="1">
      <c r="B1197" s="86"/>
      <c r="C1197" s="58" t="s">
        <v>210</v>
      </c>
      <c r="D1197" s="59">
        <v>1</v>
      </c>
      <c r="E1197" s="60">
        <v>5.3081373745999998E-5</v>
      </c>
    </row>
    <row r="1198" spans="2:5" ht="14.5" customHeight="1">
      <c r="B1198" s="86"/>
      <c r="C1198" s="58" t="s">
        <v>197</v>
      </c>
      <c r="D1198" s="59">
        <v>8</v>
      </c>
      <c r="E1198" s="60">
        <v>4.2465098996799999E-4</v>
      </c>
    </row>
    <row r="1199" spans="2:5" ht="14.5" customHeight="1">
      <c r="B1199" s="86"/>
      <c r="C1199" s="58" t="s">
        <v>198</v>
      </c>
      <c r="D1199" s="59">
        <v>2</v>
      </c>
      <c r="E1199" s="60">
        <v>1.06162747492E-4</v>
      </c>
    </row>
    <row r="1200" spans="2:5" ht="14.5" customHeight="1">
      <c r="B1200" s="86"/>
      <c r="C1200" s="58" t="s">
        <v>199</v>
      </c>
      <c r="D1200" s="59">
        <v>3</v>
      </c>
      <c r="E1200" s="60">
        <v>1.5924412123800001E-4</v>
      </c>
    </row>
    <row r="1201" spans="2:5" ht="14.5" customHeight="1">
      <c r="B1201" s="86"/>
      <c r="C1201" s="58" t="s">
        <v>213</v>
      </c>
      <c r="D1201" s="59">
        <v>1</v>
      </c>
      <c r="E1201" s="60">
        <v>5.3081373745999998E-5</v>
      </c>
    </row>
    <row r="1202" spans="2:5" ht="14.5" customHeight="1">
      <c r="B1202" s="86"/>
      <c r="C1202" s="58" t="s">
        <v>214</v>
      </c>
      <c r="D1202" s="59">
        <v>3</v>
      </c>
      <c r="E1202" s="60">
        <v>1.5924412123800001E-4</v>
      </c>
    </row>
    <row r="1203" spans="2:5" ht="14.5" customHeight="1">
      <c r="B1203" s="86"/>
      <c r="C1203" s="58" t="s">
        <v>217</v>
      </c>
      <c r="D1203" s="59">
        <v>1</v>
      </c>
      <c r="E1203" s="60">
        <v>5.3081373745999998E-5</v>
      </c>
    </row>
    <row r="1204" spans="2:5" ht="14.5" customHeight="1">
      <c r="B1204" s="86"/>
      <c r="C1204" s="58" t="s">
        <v>218</v>
      </c>
      <c r="D1204" s="59">
        <v>4</v>
      </c>
      <c r="E1204" s="60">
        <v>2.1232549498399999E-4</v>
      </c>
    </row>
    <row r="1205" spans="2:5" ht="14.5" customHeight="1">
      <c r="B1205" s="86"/>
      <c r="C1205" s="58" t="s">
        <v>219</v>
      </c>
      <c r="D1205" s="59">
        <v>3</v>
      </c>
      <c r="E1205" s="60">
        <v>1.5924412123800001E-4</v>
      </c>
    </row>
    <row r="1206" spans="2:5" ht="14.5" customHeight="1">
      <c r="B1206" s="86"/>
      <c r="C1206" s="58" t="s">
        <v>200</v>
      </c>
      <c r="D1206" s="59">
        <v>4</v>
      </c>
      <c r="E1206" s="60">
        <v>2.1232549498399999E-4</v>
      </c>
    </row>
    <row r="1207" spans="2:5" ht="14.5" customHeight="1">
      <c r="B1207" s="86"/>
      <c r="C1207" s="58" t="s">
        <v>201</v>
      </c>
      <c r="D1207" s="59">
        <v>12</v>
      </c>
      <c r="E1207" s="60">
        <v>6.3697648495099997E-4</v>
      </c>
    </row>
    <row r="1208" spans="2:5" ht="14.5" customHeight="1">
      <c r="B1208" s="86"/>
      <c r="C1208" s="58" t="s">
        <v>223</v>
      </c>
      <c r="D1208" s="59">
        <v>2</v>
      </c>
      <c r="E1208" s="60">
        <v>1.06162747492E-4</v>
      </c>
    </row>
    <row r="1209" spans="2:5" ht="14.5" customHeight="1">
      <c r="B1209" s="86"/>
      <c r="C1209" s="58" t="s">
        <v>224</v>
      </c>
      <c r="D1209" s="59">
        <v>1</v>
      </c>
      <c r="E1209" s="60">
        <v>5.3081373745999998E-5</v>
      </c>
    </row>
    <row r="1210" spans="2:5" ht="14.5" customHeight="1">
      <c r="B1210" s="86"/>
      <c r="C1210" s="58" t="s">
        <v>202</v>
      </c>
      <c r="D1210" s="59">
        <v>1</v>
      </c>
      <c r="E1210" s="60">
        <v>5.3081373745999998E-5</v>
      </c>
    </row>
    <row r="1211" spans="2:5" ht="14.5" customHeight="1">
      <c r="B1211" s="86"/>
      <c r="C1211" s="58" t="s">
        <v>203</v>
      </c>
      <c r="D1211" s="59">
        <v>29</v>
      </c>
      <c r="E1211" s="60">
        <v>1.539359838633E-3</v>
      </c>
    </row>
    <row r="1212" spans="2:5" ht="14.5" customHeight="1">
      <c r="B1212" s="86"/>
      <c r="C1212" s="58" t="s">
        <v>226</v>
      </c>
      <c r="D1212" s="59">
        <v>1</v>
      </c>
      <c r="E1212" s="60">
        <v>5.3081373745999998E-5</v>
      </c>
    </row>
    <row r="1213" spans="2:5" ht="14.5" customHeight="1">
      <c r="B1213" s="86"/>
      <c r="C1213" s="58" t="s">
        <v>227</v>
      </c>
      <c r="D1213" s="59">
        <v>5</v>
      </c>
      <c r="E1213" s="60">
        <v>2.6540686872999998E-4</v>
      </c>
    </row>
    <row r="1214" spans="2:5" ht="14.5" customHeight="1">
      <c r="B1214" s="86"/>
      <c r="C1214" s="58" t="s">
        <v>228</v>
      </c>
      <c r="D1214" s="59">
        <v>1</v>
      </c>
      <c r="E1214" s="60">
        <v>5.3081373745999998E-5</v>
      </c>
    </row>
    <row r="1215" spans="2:5" ht="14.5" customHeight="1">
      <c r="B1215" s="86"/>
      <c r="C1215" s="58" t="s">
        <v>229</v>
      </c>
      <c r="D1215" s="59">
        <v>1</v>
      </c>
      <c r="E1215" s="60">
        <v>5.3081373745999998E-5</v>
      </c>
    </row>
    <row r="1216" spans="2:5" ht="14.5" customHeight="1">
      <c r="B1216" s="86"/>
      <c r="C1216" s="58" t="s">
        <v>230</v>
      </c>
      <c r="D1216" s="59">
        <v>1</v>
      </c>
      <c r="E1216" s="60">
        <v>5.3081373745999998E-5</v>
      </c>
    </row>
    <row r="1217" spans="2:5" ht="14.5" customHeight="1">
      <c r="B1217" s="86"/>
      <c r="C1217" s="58" t="s">
        <v>231</v>
      </c>
      <c r="D1217" s="59">
        <v>1</v>
      </c>
      <c r="E1217" s="60">
        <v>5.3081373745999998E-5</v>
      </c>
    </row>
    <row r="1218" spans="2:5" ht="14.5" customHeight="1">
      <c r="B1218" s="87"/>
      <c r="C1218" s="35" t="s">
        <v>28</v>
      </c>
      <c r="D1218" s="34">
        <v>214</v>
      </c>
      <c r="E1218" s="33">
        <v>1.1359413981634E-2</v>
      </c>
    </row>
    <row r="1219" spans="2:5" ht="14.5" customHeight="1">
      <c r="B1219" s="85" t="s">
        <v>115</v>
      </c>
      <c r="C1219" s="58" t="s">
        <v>204</v>
      </c>
      <c r="D1219" s="59">
        <v>34</v>
      </c>
      <c r="E1219" s="60">
        <v>1.8047667073620001E-3</v>
      </c>
    </row>
    <row r="1220" spans="2:5" ht="14.5" customHeight="1">
      <c r="B1220" s="86"/>
      <c r="C1220" s="58" t="s">
        <v>205</v>
      </c>
      <c r="D1220" s="59">
        <v>3</v>
      </c>
      <c r="E1220" s="60">
        <v>1.5924412123800001E-4</v>
      </c>
    </row>
    <row r="1221" spans="2:5" ht="14.5" customHeight="1">
      <c r="B1221" s="86"/>
      <c r="C1221" s="58" t="s">
        <v>206</v>
      </c>
      <c r="D1221" s="59">
        <v>1</v>
      </c>
      <c r="E1221" s="60">
        <v>5.3081373745999998E-5</v>
      </c>
    </row>
    <row r="1222" spans="2:5" ht="14.5" customHeight="1">
      <c r="B1222" s="86"/>
      <c r="C1222" s="58" t="s">
        <v>192</v>
      </c>
      <c r="D1222" s="59">
        <v>4</v>
      </c>
      <c r="E1222" s="60">
        <v>2.1232549498399999E-4</v>
      </c>
    </row>
    <row r="1223" spans="2:5" ht="14.5" customHeight="1">
      <c r="B1223" s="86"/>
      <c r="C1223" s="58" t="s">
        <v>193</v>
      </c>
      <c r="D1223" s="59">
        <v>51</v>
      </c>
      <c r="E1223" s="60">
        <v>2.7071500610439999E-3</v>
      </c>
    </row>
    <row r="1224" spans="2:5" ht="14.5" customHeight="1">
      <c r="B1224" s="86"/>
      <c r="C1224" s="58" t="s">
        <v>207</v>
      </c>
      <c r="D1224" s="59">
        <v>4</v>
      </c>
      <c r="E1224" s="60">
        <v>2.1232549498399999E-4</v>
      </c>
    </row>
    <row r="1225" spans="2:5" ht="14.5" customHeight="1">
      <c r="B1225" s="86"/>
      <c r="C1225" s="58" t="s">
        <v>194</v>
      </c>
      <c r="D1225" s="59">
        <v>14</v>
      </c>
      <c r="E1225" s="60">
        <v>7.4313923244300004E-4</v>
      </c>
    </row>
    <row r="1226" spans="2:5" ht="14.5" customHeight="1">
      <c r="B1226" s="86"/>
      <c r="C1226" s="58" t="s">
        <v>195</v>
      </c>
      <c r="D1226" s="59">
        <v>2</v>
      </c>
      <c r="E1226" s="60">
        <v>1.06162747492E-4</v>
      </c>
    </row>
    <row r="1227" spans="2:5" ht="14.5" customHeight="1">
      <c r="B1227" s="86"/>
      <c r="C1227" s="58" t="s">
        <v>208</v>
      </c>
      <c r="D1227" s="59">
        <v>2</v>
      </c>
      <c r="E1227" s="60">
        <v>1.06162747492E-4</v>
      </c>
    </row>
    <row r="1228" spans="2:5" ht="14.5" customHeight="1">
      <c r="B1228" s="86"/>
      <c r="C1228" s="58" t="s">
        <v>196</v>
      </c>
      <c r="D1228" s="59">
        <v>17</v>
      </c>
      <c r="E1228" s="60">
        <v>9.0238335368100005E-4</v>
      </c>
    </row>
    <row r="1229" spans="2:5" ht="14.5" customHeight="1">
      <c r="B1229" s="86"/>
      <c r="C1229" s="58" t="s">
        <v>209</v>
      </c>
      <c r="D1229" s="59">
        <v>1</v>
      </c>
      <c r="E1229" s="60">
        <v>5.3081373745999998E-5</v>
      </c>
    </row>
    <row r="1230" spans="2:5" ht="14.5" customHeight="1">
      <c r="B1230" s="86"/>
      <c r="C1230" s="58" t="s">
        <v>210</v>
      </c>
      <c r="D1230" s="59">
        <v>2</v>
      </c>
      <c r="E1230" s="60">
        <v>1.06162747492E-4</v>
      </c>
    </row>
    <row r="1231" spans="2:5" ht="14.5" customHeight="1">
      <c r="B1231" s="86"/>
      <c r="C1231" s="58" t="s">
        <v>197</v>
      </c>
      <c r="D1231" s="59">
        <v>8</v>
      </c>
      <c r="E1231" s="60">
        <v>4.2465098996799999E-4</v>
      </c>
    </row>
    <row r="1232" spans="2:5" ht="14.5" customHeight="1">
      <c r="B1232" s="86"/>
      <c r="C1232" s="58" t="s">
        <v>198</v>
      </c>
      <c r="D1232" s="59">
        <v>5</v>
      </c>
      <c r="E1232" s="60">
        <v>2.6540686872999998E-4</v>
      </c>
    </row>
    <row r="1233" spans="2:5" ht="14.5" customHeight="1">
      <c r="B1233" s="86"/>
      <c r="C1233" s="58" t="s">
        <v>211</v>
      </c>
      <c r="D1233" s="59">
        <v>2</v>
      </c>
      <c r="E1233" s="60">
        <v>1.06162747492E-4</v>
      </c>
    </row>
    <row r="1234" spans="2:5" ht="14.5" customHeight="1">
      <c r="B1234" s="86"/>
      <c r="C1234" s="58" t="s">
        <v>213</v>
      </c>
      <c r="D1234" s="59">
        <v>5</v>
      </c>
      <c r="E1234" s="60">
        <v>2.6540686872999998E-4</v>
      </c>
    </row>
    <row r="1235" spans="2:5" ht="14.5" customHeight="1">
      <c r="B1235" s="86"/>
      <c r="C1235" s="58" t="s">
        <v>214</v>
      </c>
      <c r="D1235" s="59">
        <v>3</v>
      </c>
      <c r="E1235" s="60">
        <v>1.5924412123800001E-4</v>
      </c>
    </row>
    <row r="1236" spans="2:5" ht="14.5" customHeight="1">
      <c r="B1236" s="86"/>
      <c r="C1236" s="58" t="s">
        <v>216</v>
      </c>
      <c r="D1236" s="59">
        <v>2</v>
      </c>
      <c r="E1236" s="60">
        <v>1.06162747492E-4</v>
      </c>
    </row>
    <row r="1237" spans="2:5" ht="14.5" customHeight="1">
      <c r="B1237" s="86"/>
      <c r="C1237" s="58" t="s">
        <v>217</v>
      </c>
      <c r="D1237" s="59">
        <v>2</v>
      </c>
      <c r="E1237" s="60">
        <v>1.06162747492E-4</v>
      </c>
    </row>
    <row r="1238" spans="2:5" ht="14.5" customHeight="1">
      <c r="B1238" s="86"/>
      <c r="C1238" s="58" t="s">
        <v>218</v>
      </c>
      <c r="D1238" s="59">
        <v>5</v>
      </c>
      <c r="E1238" s="60">
        <v>2.6540686872999998E-4</v>
      </c>
    </row>
    <row r="1239" spans="2:5" ht="14.5" customHeight="1">
      <c r="B1239" s="86"/>
      <c r="C1239" s="58" t="s">
        <v>219</v>
      </c>
      <c r="D1239" s="59">
        <v>5</v>
      </c>
      <c r="E1239" s="60">
        <v>2.6540686872999998E-4</v>
      </c>
    </row>
    <row r="1240" spans="2:5" ht="14.5" customHeight="1">
      <c r="B1240" s="86"/>
      <c r="C1240" s="58" t="s">
        <v>201</v>
      </c>
      <c r="D1240" s="59">
        <v>15</v>
      </c>
      <c r="E1240" s="60">
        <v>7.9622060618899997E-4</v>
      </c>
    </row>
    <row r="1241" spans="2:5" ht="14.5" customHeight="1">
      <c r="B1241" s="86"/>
      <c r="C1241" s="58" t="s">
        <v>220</v>
      </c>
      <c r="D1241" s="59">
        <v>1</v>
      </c>
      <c r="E1241" s="60">
        <v>5.3081373745999998E-5</v>
      </c>
    </row>
    <row r="1242" spans="2:5" ht="14.5" customHeight="1">
      <c r="B1242" s="86"/>
      <c r="C1242" s="58" t="s">
        <v>221</v>
      </c>
      <c r="D1242" s="59">
        <v>3</v>
      </c>
      <c r="E1242" s="60">
        <v>1.5924412123800001E-4</v>
      </c>
    </row>
    <row r="1243" spans="2:5" ht="14.5" customHeight="1">
      <c r="B1243" s="86"/>
      <c r="C1243" s="58" t="s">
        <v>223</v>
      </c>
      <c r="D1243" s="59">
        <v>2</v>
      </c>
      <c r="E1243" s="60">
        <v>1.06162747492E-4</v>
      </c>
    </row>
    <row r="1244" spans="2:5" ht="14.5" customHeight="1">
      <c r="B1244" s="86"/>
      <c r="C1244" s="58" t="s">
        <v>203</v>
      </c>
      <c r="D1244" s="59">
        <v>12</v>
      </c>
      <c r="E1244" s="60">
        <v>6.3697648495099997E-4</v>
      </c>
    </row>
    <row r="1245" spans="2:5" ht="14.5" customHeight="1">
      <c r="B1245" s="86"/>
      <c r="C1245" s="58" t="s">
        <v>227</v>
      </c>
      <c r="D1245" s="59">
        <v>6</v>
      </c>
      <c r="E1245" s="60">
        <v>3.1848824247600002E-4</v>
      </c>
    </row>
    <row r="1246" spans="2:5" ht="14.5" customHeight="1">
      <c r="B1246" s="86"/>
      <c r="C1246" s="58" t="s">
        <v>228</v>
      </c>
      <c r="D1246" s="59">
        <v>1</v>
      </c>
      <c r="E1246" s="60">
        <v>5.3081373745999998E-5</v>
      </c>
    </row>
    <row r="1247" spans="2:5" ht="14.5" customHeight="1">
      <c r="B1247" s="86"/>
      <c r="C1247" s="58" t="s">
        <v>229</v>
      </c>
      <c r="D1247" s="59">
        <v>1</v>
      </c>
      <c r="E1247" s="60">
        <v>5.3081373745999998E-5</v>
      </c>
    </row>
    <row r="1248" spans="2:5" ht="14.5" customHeight="1">
      <c r="B1248" s="86"/>
      <c r="C1248" s="58" t="s">
        <v>230</v>
      </c>
      <c r="D1248" s="59">
        <v>4</v>
      </c>
      <c r="E1248" s="60">
        <v>2.1232549498399999E-4</v>
      </c>
    </row>
    <row r="1249" spans="2:5" ht="14.5" customHeight="1">
      <c r="B1249" s="86"/>
      <c r="C1249" s="58" t="s">
        <v>231</v>
      </c>
      <c r="D1249" s="59">
        <v>1</v>
      </c>
      <c r="E1249" s="60">
        <v>5.3081373745999998E-5</v>
      </c>
    </row>
    <row r="1250" spans="2:5" ht="14.5" customHeight="1">
      <c r="B1250" s="87"/>
      <c r="C1250" s="35" t="s">
        <v>28</v>
      </c>
      <c r="D1250" s="34">
        <v>218</v>
      </c>
      <c r="E1250" s="33">
        <v>1.1571739476618E-2</v>
      </c>
    </row>
    <row r="1251" spans="2:5" ht="14.5" customHeight="1">
      <c r="B1251" s="85" t="s">
        <v>133</v>
      </c>
      <c r="C1251" s="58" t="s">
        <v>204</v>
      </c>
      <c r="D1251" s="59">
        <v>1</v>
      </c>
      <c r="E1251" s="60">
        <v>5.3081373745999998E-5</v>
      </c>
    </row>
    <row r="1252" spans="2:5" ht="14.5" customHeight="1">
      <c r="B1252" s="86"/>
      <c r="C1252" s="58" t="s">
        <v>192</v>
      </c>
      <c r="D1252" s="59">
        <v>1</v>
      </c>
      <c r="E1252" s="60">
        <v>5.3081373745999998E-5</v>
      </c>
    </row>
    <row r="1253" spans="2:5" ht="14.5" customHeight="1">
      <c r="B1253" s="86"/>
      <c r="C1253" s="58" t="s">
        <v>193</v>
      </c>
      <c r="D1253" s="59">
        <v>13</v>
      </c>
      <c r="E1253" s="60">
        <v>6.90057858697E-4</v>
      </c>
    </row>
    <row r="1254" spans="2:5" ht="14.5" customHeight="1">
      <c r="B1254" s="86"/>
      <c r="C1254" s="58" t="s">
        <v>195</v>
      </c>
      <c r="D1254" s="59">
        <v>2</v>
      </c>
      <c r="E1254" s="60">
        <v>1.06162747492E-4</v>
      </c>
    </row>
    <row r="1255" spans="2:5" ht="14.5" customHeight="1">
      <c r="B1255" s="86"/>
      <c r="C1255" s="58" t="s">
        <v>196</v>
      </c>
      <c r="D1255" s="59">
        <v>3</v>
      </c>
      <c r="E1255" s="60">
        <v>1.5924412123800001E-4</v>
      </c>
    </row>
    <row r="1256" spans="2:5" ht="14.5" customHeight="1">
      <c r="B1256" s="86"/>
      <c r="C1256" s="58" t="s">
        <v>197</v>
      </c>
      <c r="D1256" s="59">
        <v>1</v>
      </c>
      <c r="E1256" s="60">
        <v>5.3081373745999998E-5</v>
      </c>
    </row>
    <row r="1257" spans="2:5" ht="14.5" customHeight="1">
      <c r="B1257" s="86"/>
      <c r="C1257" s="58" t="s">
        <v>199</v>
      </c>
      <c r="D1257" s="59">
        <v>1</v>
      </c>
      <c r="E1257" s="60">
        <v>5.3081373745999998E-5</v>
      </c>
    </row>
    <row r="1258" spans="2:5" ht="14.5" customHeight="1">
      <c r="B1258" s="86"/>
      <c r="C1258" s="58" t="s">
        <v>211</v>
      </c>
      <c r="D1258" s="59">
        <v>1</v>
      </c>
      <c r="E1258" s="60">
        <v>5.3081373745999998E-5</v>
      </c>
    </row>
    <row r="1259" spans="2:5" ht="14.5" customHeight="1">
      <c r="B1259" s="86"/>
      <c r="C1259" s="58" t="s">
        <v>218</v>
      </c>
      <c r="D1259" s="59">
        <v>6</v>
      </c>
      <c r="E1259" s="60">
        <v>3.1848824247600002E-4</v>
      </c>
    </row>
    <row r="1260" spans="2:5" ht="14.5" customHeight="1">
      <c r="B1260" s="86"/>
      <c r="C1260" s="58" t="s">
        <v>219</v>
      </c>
      <c r="D1260" s="59">
        <v>2</v>
      </c>
      <c r="E1260" s="60">
        <v>1.06162747492E-4</v>
      </c>
    </row>
    <row r="1261" spans="2:5" ht="14.5" customHeight="1">
      <c r="B1261" s="86"/>
      <c r="C1261" s="58" t="s">
        <v>200</v>
      </c>
      <c r="D1261" s="59">
        <v>1</v>
      </c>
      <c r="E1261" s="60">
        <v>5.3081373745999998E-5</v>
      </c>
    </row>
    <row r="1262" spans="2:5" ht="14.5" customHeight="1">
      <c r="B1262" s="86"/>
      <c r="C1262" s="58" t="s">
        <v>201</v>
      </c>
      <c r="D1262" s="59">
        <v>1</v>
      </c>
      <c r="E1262" s="60">
        <v>5.3081373745999998E-5</v>
      </c>
    </row>
    <row r="1263" spans="2:5" ht="14.5" customHeight="1">
      <c r="B1263" s="86"/>
      <c r="C1263" s="58" t="s">
        <v>221</v>
      </c>
      <c r="D1263" s="59">
        <v>2</v>
      </c>
      <c r="E1263" s="60">
        <v>1.06162747492E-4</v>
      </c>
    </row>
    <row r="1264" spans="2:5" ht="14.5" customHeight="1">
      <c r="B1264" s="86"/>
      <c r="C1264" s="58" t="s">
        <v>223</v>
      </c>
      <c r="D1264" s="59">
        <v>8</v>
      </c>
      <c r="E1264" s="60">
        <v>4.2465098996799999E-4</v>
      </c>
    </row>
    <row r="1265" spans="2:5" ht="14.5" customHeight="1">
      <c r="B1265" s="86"/>
      <c r="C1265" s="58" t="s">
        <v>203</v>
      </c>
      <c r="D1265" s="59">
        <v>1</v>
      </c>
      <c r="E1265" s="60">
        <v>5.3081373745999998E-5</v>
      </c>
    </row>
    <row r="1266" spans="2:5" ht="14.5" customHeight="1">
      <c r="B1266" s="86"/>
      <c r="C1266" s="58" t="s">
        <v>227</v>
      </c>
      <c r="D1266" s="59">
        <v>1</v>
      </c>
      <c r="E1266" s="60">
        <v>5.3081373745999998E-5</v>
      </c>
    </row>
    <row r="1267" spans="2:5" ht="14.5" customHeight="1">
      <c r="B1267" s="86"/>
      <c r="C1267" s="58" t="s">
        <v>231</v>
      </c>
      <c r="D1267" s="59">
        <v>1</v>
      </c>
      <c r="E1267" s="60">
        <v>5.3081373745999998E-5</v>
      </c>
    </row>
    <row r="1268" spans="2:5" ht="14.5" customHeight="1">
      <c r="B1268" s="87"/>
      <c r="C1268" s="35" t="s">
        <v>28</v>
      </c>
      <c r="D1268" s="34">
        <v>46</v>
      </c>
      <c r="E1268" s="33">
        <v>2.4417431923139999E-3</v>
      </c>
    </row>
    <row r="1269" spans="2:5" ht="14.5" customHeight="1">
      <c r="B1269" s="85" t="s">
        <v>139</v>
      </c>
      <c r="C1269" s="58" t="s">
        <v>204</v>
      </c>
      <c r="D1269" s="59">
        <v>3</v>
      </c>
      <c r="E1269" s="60">
        <v>1.5924412123800001E-4</v>
      </c>
    </row>
    <row r="1270" spans="2:5" ht="14.5" customHeight="1">
      <c r="B1270" s="86"/>
      <c r="C1270" s="58" t="s">
        <v>193</v>
      </c>
      <c r="D1270" s="59">
        <v>9</v>
      </c>
      <c r="E1270" s="60">
        <v>4.7773236371400003E-4</v>
      </c>
    </row>
    <row r="1271" spans="2:5" ht="14.5" customHeight="1">
      <c r="B1271" s="86"/>
      <c r="C1271" s="58" t="s">
        <v>207</v>
      </c>
      <c r="D1271" s="59">
        <v>1</v>
      </c>
      <c r="E1271" s="60">
        <v>5.3081373745999998E-5</v>
      </c>
    </row>
    <row r="1272" spans="2:5" ht="14.5" customHeight="1">
      <c r="B1272" s="86"/>
      <c r="C1272" s="58" t="s">
        <v>196</v>
      </c>
      <c r="D1272" s="59">
        <v>2</v>
      </c>
      <c r="E1272" s="60">
        <v>1.06162747492E-4</v>
      </c>
    </row>
    <row r="1273" spans="2:5" ht="14.5" customHeight="1">
      <c r="B1273" s="86"/>
      <c r="C1273" s="58" t="s">
        <v>211</v>
      </c>
      <c r="D1273" s="59">
        <v>1</v>
      </c>
      <c r="E1273" s="60">
        <v>5.3081373745999998E-5</v>
      </c>
    </row>
    <row r="1274" spans="2:5" ht="14.5" customHeight="1">
      <c r="B1274" s="86"/>
      <c r="C1274" s="58" t="s">
        <v>213</v>
      </c>
      <c r="D1274" s="59">
        <v>1</v>
      </c>
      <c r="E1274" s="60">
        <v>5.3081373745999998E-5</v>
      </c>
    </row>
    <row r="1275" spans="2:5" ht="14.5" customHeight="1">
      <c r="B1275" s="86"/>
      <c r="C1275" s="58" t="s">
        <v>229</v>
      </c>
      <c r="D1275" s="59">
        <v>2</v>
      </c>
      <c r="E1275" s="60">
        <v>1.06162747492E-4</v>
      </c>
    </row>
    <row r="1276" spans="2:5" ht="14.5" customHeight="1">
      <c r="B1276" s="86"/>
      <c r="C1276" s="58" t="s">
        <v>230</v>
      </c>
      <c r="D1276" s="59">
        <v>1</v>
      </c>
      <c r="E1276" s="60">
        <v>5.3081373745999998E-5</v>
      </c>
    </row>
    <row r="1277" spans="2:5" ht="14.5" customHeight="1">
      <c r="B1277" s="87"/>
      <c r="C1277" s="35" t="s">
        <v>28</v>
      </c>
      <c r="D1277" s="34">
        <v>20</v>
      </c>
      <c r="E1277" s="33">
        <v>1.0616274749190001E-3</v>
      </c>
    </row>
    <row r="1278" spans="2:5" ht="14.5" customHeight="1">
      <c r="B1278" s="85" t="s">
        <v>93</v>
      </c>
      <c r="C1278" s="58" t="s">
        <v>204</v>
      </c>
      <c r="D1278" s="59">
        <v>4</v>
      </c>
      <c r="E1278" s="60">
        <v>2.1232549498399999E-4</v>
      </c>
    </row>
    <row r="1279" spans="2:5" ht="14.5" customHeight="1">
      <c r="B1279" s="86"/>
      <c r="C1279" s="58" t="s">
        <v>192</v>
      </c>
      <c r="D1279" s="59">
        <v>2</v>
      </c>
      <c r="E1279" s="60">
        <v>1.06162747492E-4</v>
      </c>
    </row>
    <row r="1280" spans="2:5" ht="14.5" customHeight="1">
      <c r="B1280" s="86"/>
      <c r="C1280" s="58" t="s">
        <v>193</v>
      </c>
      <c r="D1280" s="59">
        <v>14</v>
      </c>
      <c r="E1280" s="60">
        <v>7.4313923244300004E-4</v>
      </c>
    </row>
    <row r="1281" spans="2:5" ht="14.5" customHeight="1">
      <c r="B1281" s="86"/>
      <c r="C1281" s="58" t="s">
        <v>195</v>
      </c>
      <c r="D1281" s="59">
        <v>6</v>
      </c>
      <c r="E1281" s="60">
        <v>3.1848824247600002E-4</v>
      </c>
    </row>
    <row r="1282" spans="2:5" ht="14.5" customHeight="1">
      <c r="B1282" s="86"/>
      <c r="C1282" s="58" t="s">
        <v>208</v>
      </c>
      <c r="D1282" s="59">
        <v>1</v>
      </c>
      <c r="E1282" s="60">
        <v>5.3081373745999998E-5</v>
      </c>
    </row>
    <row r="1283" spans="2:5" ht="14.5" customHeight="1">
      <c r="B1283" s="86"/>
      <c r="C1283" s="58" t="s">
        <v>196</v>
      </c>
      <c r="D1283" s="59">
        <v>4</v>
      </c>
      <c r="E1283" s="60">
        <v>2.1232549498399999E-4</v>
      </c>
    </row>
    <row r="1284" spans="2:5" ht="14.5" customHeight="1">
      <c r="B1284" s="86"/>
      <c r="C1284" s="58" t="s">
        <v>197</v>
      </c>
      <c r="D1284" s="59">
        <v>7</v>
      </c>
      <c r="E1284" s="60">
        <v>3.71569616222E-4</v>
      </c>
    </row>
    <row r="1285" spans="2:5" ht="14.5" customHeight="1">
      <c r="B1285" s="86"/>
      <c r="C1285" s="58" t="s">
        <v>198</v>
      </c>
      <c r="D1285" s="59">
        <v>1</v>
      </c>
      <c r="E1285" s="60">
        <v>5.3081373745999998E-5</v>
      </c>
    </row>
    <row r="1286" spans="2:5" ht="14.5" customHeight="1">
      <c r="B1286" s="86"/>
      <c r="C1286" s="58" t="s">
        <v>199</v>
      </c>
      <c r="D1286" s="59">
        <v>9</v>
      </c>
      <c r="E1286" s="60">
        <v>4.7773236371400003E-4</v>
      </c>
    </row>
    <row r="1287" spans="2:5" ht="14.5" customHeight="1">
      <c r="B1287" s="86"/>
      <c r="C1287" s="58" t="s">
        <v>211</v>
      </c>
      <c r="D1287" s="59">
        <v>1</v>
      </c>
      <c r="E1287" s="60">
        <v>5.3081373745999998E-5</v>
      </c>
    </row>
    <row r="1288" spans="2:5" ht="14.5" customHeight="1">
      <c r="B1288" s="86"/>
      <c r="C1288" s="58" t="s">
        <v>215</v>
      </c>
      <c r="D1288" s="59">
        <v>1</v>
      </c>
      <c r="E1288" s="60">
        <v>5.3081373745999998E-5</v>
      </c>
    </row>
    <row r="1289" spans="2:5" ht="14.5" customHeight="1">
      <c r="B1289" s="86"/>
      <c r="C1289" s="58" t="s">
        <v>218</v>
      </c>
      <c r="D1289" s="59">
        <v>2</v>
      </c>
      <c r="E1289" s="60">
        <v>1.06162747492E-4</v>
      </c>
    </row>
    <row r="1290" spans="2:5" ht="14.5" customHeight="1">
      <c r="B1290" s="86"/>
      <c r="C1290" s="58" t="s">
        <v>220</v>
      </c>
      <c r="D1290" s="59">
        <v>1</v>
      </c>
      <c r="E1290" s="60">
        <v>5.3081373745999998E-5</v>
      </c>
    </row>
    <row r="1291" spans="2:5" ht="14.5" customHeight="1">
      <c r="B1291" s="86"/>
      <c r="C1291" s="58" t="s">
        <v>222</v>
      </c>
      <c r="D1291" s="59">
        <v>1</v>
      </c>
      <c r="E1291" s="60">
        <v>5.3081373745999998E-5</v>
      </c>
    </row>
    <row r="1292" spans="2:5" ht="14.5" customHeight="1">
      <c r="B1292" s="86"/>
      <c r="C1292" s="58" t="s">
        <v>223</v>
      </c>
      <c r="D1292" s="59">
        <v>1</v>
      </c>
      <c r="E1292" s="60">
        <v>5.3081373745999998E-5</v>
      </c>
    </row>
    <row r="1293" spans="2:5" ht="14.5" customHeight="1">
      <c r="B1293" s="86"/>
      <c r="C1293" s="58" t="s">
        <v>203</v>
      </c>
      <c r="D1293" s="59">
        <v>1</v>
      </c>
      <c r="E1293" s="60">
        <v>5.3081373745999998E-5</v>
      </c>
    </row>
    <row r="1294" spans="2:5" ht="14.5" customHeight="1">
      <c r="B1294" s="87"/>
      <c r="C1294" s="35" t="s">
        <v>28</v>
      </c>
      <c r="D1294" s="34">
        <v>56</v>
      </c>
      <c r="E1294" s="33">
        <v>2.9725569297729998E-3</v>
      </c>
    </row>
    <row r="1295" spans="2:5" ht="14.5" customHeight="1">
      <c r="B1295" s="85" t="s">
        <v>141</v>
      </c>
      <c r="C1295" s="58" t="s">
        <v>196</v>
      </c>
      <c r="D1295" s="59">
        <v>1</v>
      </c>
      <c r="E1295" s="60">
        <v>5.3081373745999998E-5</v>
      </c>
    </row>
    <row r="1296" spans="2:5" ht="14.5" customHeight="1">
      <c r="B1296" s="86"/>
      <c r="C1296" s="58" t="s">
        <v>197</v>
      </c>
      <c r="D1296" s="59">
        <v>2</v>
      </c>
      <c r="E1296" s="60">
        <v>1.06162747492E-4</v>
      </c>
    </row>
    <row r="1297" spans="2:5" ht="14.5" customHeight="1">
      <c r="B1297" s="86"/>
      <c r="C1297" s="58" t="s">
        <v>211</v>
      </c>
      <c r="D1297" s="59">
        <v>1</v>
      </c>
      <c r="E1297" s="60">
        <v>5.3081373745999998E-5</v>
      </c>
    </row>
    <row r="1298" spans="2:5" ht="14.5" customHeight="1">
      <c r="B1298" s="86"/>
      <c r="C1298" s="58" t="s">
        <v>214</v>
      </c>
      <c r="D1298" s="59">
        <v>1</v>
      </c>
      <c r="E1298" s="60">
        <v>5.3081373745999998E-5</v>
      </c>
    </row>
    <row r="1299" spans="2:5" ht="14.5" customHeight="1">
      <c r="B1299" s="86"/>
      <c r="C1299" s="58" t="s">
        <v>222</v>
      </c>
      <c r="D1299" s="59">
        <v>1</v>
      </c>
      <c r="E1299" s="60">
        <v>5.3081373745999998E-5</v>
      </c>
    </row>
    <row r="1300" spans="2:5" ht="14.5" customHeight="1">
      <c r="B1300" s="86"/>
      <c r="C1300" s="58" t="s">
        <v>227</v>
      </c>
      <c r="D1300" s="59">
        <v>2</v>
      </c>
      <c r="E1300" s="60">
        <v>1.06162747492E-4</v>
      </c>
    </row>
    <row r="1301" spans="2:5" ht="14.5" customHeight="1">
      <c r="B1301" s="86"/>
      <c r="C1301" s="58" t="s">
        <v>228</v>
      </c>
      <c r="D1301" s="59">
        <v>1</v>
      </c>
      <c r="E1301" s="60">
        <v>5.3081373745999998E-5</v>
      </c>
    </row>
    <row r="1302" spans="2:5" ht="14.5" customHeight="1">
      <c r="B1302" s="86"/>
      <c r="C1302" s="58" t="s">
        <v>230</v>
      </c>
      <c r="D1302" s="59">
        <v>1</v>
      </c>
      <c r="E1302" s="60">
        <v>5.3081373745999998E-5</v>
      </c>
    </row>
    <row r="1303" spans="2:5" ht="14.5" customHeight="1">
      <c r="B1303" s="87"/>
      <c r="C1303" s="35" t="s">
        <v>28</v>
      </c>
      <c r="D1303" s="34">
        <v>10</v>
      </c>
      <c r="E1303" s="33">
        <v>5.3081373745999996E-4</v>
      </c>
    </row>
    <row r="1304" spans="2:5" ht="14.5" customHeight="1">
      <c r="B1304" s="89" t="s">
        <v>28</v>
      </c>
      <c r="C1304" s="90"/>
      <c r="D1304" s="56">
        <v>18839</v>
      </c>
      <c r="E1304" s="57">
        <v>1</v>
      </c>
    </row>
    <row r="1305" spans="2:5" ht="14.5" customHeight="1"/>
    <row r="1306" spans="2:5" ht="14.5" customHeight="1">
      <c r="B1306" s="15" t="s">
        <v>48</v>
      </c>
    </row>
    <row r="1307" spans="2:5" ht="14.5" customHeight="1">
      <c r="B1307" s="17" t="s">
        <v>17</v>
      </c>
    </row>
    <row r="1308" spans="2:5" ht="14.5" customHeight="1">
      <c r="B1308" s="16" t="s">
        <v>49</v>
      </c>
    </row>
    <row r="1309" spans="2:5" ht="14.5" customHeight="1">
      <c r="B1309" s="15" t="s">
        <v>16</v>
      </c>
    </row>
    <row r="1310" spans="2:5" ht="14.5" customHeight="1">
      <c r="B1310" s="15" t="s">
        <v>50</v>
      </c>
    </row>
  </sheetData>
  <mergeCells count="53">
    <mergeCell ref="B1278:B1294"/>
    <mergeCell ref="B1295:B1303"/>
    <mergeCell ref="B1304:C1304"/>
    <mergeCell ref="B1163:B1188"/>
    <mergeCell ref="B1189:B1218"/>
    <mergeCell ref="B1219:B1250"/>
    <mergeCell ref="B1251:B1268"/>
    <mergeCell ref="B1269:B1277"/>
    <mergeCell ref="B1025:B1048"/>
    <mergeCell ref="B1049:B1070"/>
    <mergeCell ref="B1071:B1102"/>
    <mergeCell ref="B1103:B1136"/>
    <mergeCell ref="B1137:B1162"/>
    <mergeCell ref="B744:B752"/>
    <mergeCell ref="B753:B792"/>
    <mergeCell ref="B793:B821"/>
    <mergeCell ref="B822:B853"/>
    <mergeCell ref="B10:B48"/>
    <mergeCell ref="B49:B79"/>
    <mergeCell ref="B80:B110"/>
    <mergeCell ref="B111:B133"/>
    <mergeCell ref="B134:B138"/>
    <mergeCell ref="B243:B252"/>
    <mergeCell ref="B253:B290"/>
    <mergeCell ref="B291:B319"/>
    <mergeCell ref="B320:B323"/>
    <mergeCell ref="B324:B360"/>
    <mergeCell ref="B645:B671"/>
    <mergeCell ref="B672:B694"/>
    <mergeCell ref="B695:B720"/>
    <mergeCell ref="B721:B722"/>
    <mergeCell ref="B725:B743"/>
    <mergeCell ref="B478:B516"/>
    <mergeCell ref="B517:B530"/>
    <mergeCell ref="B531:B566"/>
    <mergeCell ref="B567:B604"/>
    <mergeCell ref="B605:B644"/>
    <mergeCell ref="B965:B997"/>
    <mergeCell ref="B998:B1024"/>
    <mergeCell ref="B7:E8"/>
    <mergeCell ref="B854:B879"/>
    <mergeCell ref="B880:B919"/>
    <mergeCell ref="B920:B934"/>
    <mergeCell ref="B935:B964"/>
    <mergeCell ref="B361:B377"/>
    <mergeCell ref="B378:B410"/>
    <mergeCell ref="B411:B447"/>
    <mergeCell ref="B448:B477"/>
    <mergeCell ref="B139:B158"/>
    <mergeCell ref="B159:B162"/>
    <mergeCell ref="B163:B202"/>
    <mergeCell ref="B203:B242"/>
    <mergeCell ref="B723:B7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5"/>
  <sheetViews>
    <sheetView showGridLines="0" view="pageBreakPreview" topLeftCell="A2" zoomScale="115" zoomScaleNormal="100" zoomScaleSheetLayoutView="115" workbookViewId="0">
      <selection activeCell="B37" sqref="B37"/>
    </sheetView>
  </sheetViews>
  <sheetFormatPr baseColWidth="10" defaultColWidth="11.453125" defaultRowHeight="14.5"/>
  <cols>
    <col min="1" max="1" width="9.26953125" style="13" customWidth="1"/>
    <col min="2" max="2" width="34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2.6328125" style="13" customWidth="1"/>
    <col min="7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40</v>
      </c>
      <c r="C7" s="84"/>
      <c r="D7" s="84"/>
    </row>
    <row r="8" spans="2:4" s="24" customFormat="1" ht="15" customHeight="1">
      <c r="B8" s="84"/>
      <c r="C8" s="84"/>
      <c r="D8" s="84"/>
    </row>
    <row r="9" spans="2:4" s="24" customFormat="1" ht="33" customHeight="1">
      <c r="B9" s="84"/>
      <c r="C9" s="84"/>
      <c r="D9" s="84"/>
    </row>
    <row r="10" spans="2:4" s="24" customFormat="1" ht="4.5" customHeight="1">
      <c r="B10" s="28"/>
      <c r="C10" s="28"/>
      <c r="D10" s="28"/>
    </row>
    <row r="11" spans="2:4" s="24" customFormat="1" ht="30" customHeight="1">
      <c r="B11" s="27" t="s">
        <v>26</v>
      </c>
      <c r="C11" s="26" t="s">
        <v>25</v>
      </c>
      <c r="D11" s="25" t="s">
        <v>18</v>
      </c>
    </row>
    <row r="12" spans="2:4" ht="14.5" customHeight="1">
      <c r="B12" s="23" t="s">
        <v>234</v>
      </c>
      <c r="C12" s="22">
        <v>182</v>
      </c>
      <c r="D12" s="21">
        <v>9.660810021763E-3</v>
      </c>
    </row>
    <row r="13" spans="2:4" ht="14.5" customHeight="1">
      <c r="B13" s="23" t="s">
        <v>235</v>
      </c>
      <c r="C13" s="22">
        <v>70</v>
      </c>
      <c r="D13" s="21">
        <v>3.7156961622169999E-3</v>
      </c>
    </row>
    <row r="14" spans="2:4" ht="14.5" customHeight="1">
      <c r="B14" s="23" t="s">
        <v>236</v>
      </c>
      <c r="C14" s="22">
        <v>135</v>
      </c>
      <c r="D14" s="21">
        <v>7.1659854557040003E-3</v>
      </c>
    </row>
    <row r="15" spans="2:4" ht="14.5" customHeight="1">
      <c r="B15" s="23" t="s">
        <v>237</v>
      </c>
      <c r="C15" s="22">
        <v>277</v>
      </c>
      <c r="D15" s="21">
        <v>1.4703540527629001E-2</v>
      </c>
    </row>
    <row r="16" spans="2:4" ht="14.5" customHeight="1">
      <c r="B16" s="23" t="s">
        <v>238</v>
      </c>
      <c r="C16" s="22">
        <v>205</v>
      </c>
      <c r="D16" s="21">
        <v>1.0881681617920001E-2</v>
      </c>
    </row>
    <row r="17" spans="2:4" ht="14.5" customHeight="1">
      <c r="B17" s="23" t="s">
        <v>239</v>
      </c>
      <c r="C17" s="22">
        <v>294</v>
      </c>
      <c r="D17" s="21">
        <v>1.560592388131E-2</v>
      </c>
    </row>
    <row r="18" spans="2:4" ht="14.5" customHeight="1">
      <c r="B18" s="23" t="s">
        <v>240</v>
      </c>
      <c r="C18" s="22">
        <v>1766</v>
      </c>
      <c r="D18" s="21">
        <v>9.3741706035351993E-2</v>
      </c>
    </row>
    <row r="19" spans="2:4" ht="14.5" customHeight="1">
      <c r="B19" s="23" t="s">
        <v>241</v>
      </c>
      <c r="C19" s="22">
        <v>2887</v>
      </c>
      <c r="D19" s="21">
        <v>0.15324592600456499</v>
      </c>
    </row>
    <row r="20" spans="2:4" ht="14.5" customHeight="1">
      <c r="B20" s="23" t="s">
        <v>242</v>
      </c>
      <c r="C20" s="22">
        <v>184</v>
      </c>
      <c r="D20" s="21">
        <v>9.7669727692550005E-3</v>
      </c>
    </row>
    <row r="21" spans="2:4" ht="14.5" customHeight="1">
      <c r="B21" s="23" t="s">
        <v>243</v>
      </c>
      <c r="C21" s="22">
        <v>420</v>
      </c>
      <c r="D21" s="21">
        <v>2.2294176973299999E-2</v>
      </c>
    </row>
    <row r="22" spans="2:4" ht="14.5" customHeight="1">
      <c r="B22" s="23" t="s">
        <v>244</v>
      </c>
      <c r="C22" s="22">
        <v>750</v>
      </c>
      <c r="D22" s="21">
        <v>3.9811030309464E-2</v>
      </c>
    </row>
    <row r="23" spans="2:4" ht="14.5" customHeight="1">
      <c r="B23" s="23" t="s">
        <v>245</v>
      </c>
      <c r="C23" s="22">
        <v>6022</v>
      </c>
      <c r="D23" s="21">
        <v>0.31965603269812598</v>
      </c>
    </row>
    <row r="24" spans="2:4" ht="14.5" customHeight="1">
      <c r="B24" s="23" t="s">
        <v>246</v>
      </c>
      <c r="C24" s="22">
        <v>266</v>
      </c>
      <c r="D24" s="21">
        <v>1.4119645416423E-2</v>
      </c>
    </row>
    <row r="25" spans="2:4" ht="14.5" customHeight="1">
      <c r="B25" s="23" t="s">
        <v>247</v>
      </c>
      <c r="C25" s="22">
        <v>1035</v>
      </c>
      <c r="D25" s="21">
        <v>5.4939221827060999E-2</v>
      </c>
    </row>
    <row r="26" spans="2:4" ht="14.5" customHeight="1">
      <c r="B26" s="23" t="s">
        <v>248</v>
      </c>
      <c r="C26" s="22">
        <v>3392</v>
      </c>
      <c r="D26" s="21">
        <v>0.180052019746271</v>
      </c>
    </row>
    <row r="27" spans="2:4" ht="14.5" customHeight="1">
      <c r="B27" s="23" t="s">
        <v>249</v>
      </c>
      <c r="C27" s="22">
        <v>67</v>
      </c>
      <c r="D27" s="21">
        <v>3.556452040979E-3</v>
      </c>
    </row>
    <row r="28" spans="2:4" ht="14.5" customHeight="1">
      <c r="B28" s="23" t="s">
        <v>250</v>
      </c>
      <c r="C28" s="22">
        <v>55</v>
      </c>
      <c r="D28" s="21">
        <v>2.919475556027E-3</v>
      </c>
    </row>
    <row r="29" spans="2:4" ht="14.5" customHeight="1">
      <c r="B29" s="23" t="s">
        <v>251</v>
      </c>
      <c r="C29" s="22">
        <v>29</v>
      </c>
      <c r="D29" s="21">
        <v>1.539359838633E-3</v>
      </c>
    </row>
    <row r="30" spans="2:4" ht="14.5" customHeight="1">
      <c r="B30" s="23" t="s">
        <v>252</v>
      </c>
      <c r="C30" s="22">
        <v>22</v>
      </c>
      <c r="D30" s="21">
        <v>1.1677902224109999E-3</v>
      </c>
    </row>
    <row r="31" spans="2:4" ht="14.5" customHeight="1">
      <c r="B31" s="23" t="s">
        <v>253</v>
      </c>
      <c r="C31" s="22">
        <v>185</v>
      </c>
      <c r="D31" s="21">
        <v>9.8200541430009999E-3</v>
      </c>
    </row>
    <row r="32" spans="2:4" ht="14.5" customHeight="1">
      <c r="B32" s="23" t="s">
        <v>254</v>
      </c>
      <c r="C32" s="22">
        <v>578</v>
      </c>
      <c r="D32" s="21">
        <v>3.0681034025161001E-2</v>
      </c>
    </row>
    <row r="33" spans="2:4" ht="14.5" customHeight="1">
      <c r="B33" s="23" t="s">
        <v>255</v>
      </c>
      <c r="C33" s="22">
        <v>6</v>
      </c>
      <c r="D33" s="21">
        <v>3.1848824247600002E-4</v>
      </c>
    </row>
    <row r="34" spans="2:4" ht="14.5" customHeight="1">
      <c r="B34" s="23" t="s">
        <v>256</v>
      </c>
      <c r="C34" s="22">
        <v>10</v>
      </c>
      <c r="D34" s="21">
        <v>5.3081373745999996E-4</v>
      </c>
    </row>
    <row r="35" spans="2:4" ht="14.5" customHeight="1">
      <c r="B35" s="23" t="s">
        <v>257</v>
      </c>
      <c r="C35" s="22">
        <v>2</v>
      </c>
      <c r="D35" s="21">
        <v>1.06162747492E-4</v>
      </c>
    </row>
    <row r="36" spans="2:4" ht="14.5" customHeight="1">
      <c r="B36" s="20" t="s">
        <v>28</v>
      </c>
      <c r="C36" s="19">
        <v>18839</v>
      </c>
      <c r="D36" s="18">
        <v>1</v>
      </c>
    </row>
    <row r="37" spans="2:4" ht="14.5" customHeight="1">
      <c r="C37" s="13"/>
    </row>
    <row r="38" spans="2:4" ht="14.5" customHeight="1">
      <c r="B38" s="15" t="s">
        <v>48</v>
      </c>
      <c r="C38" s="13"/>
    </row>
    <row r="39" spans="2:4" ht="14.5" customHeight="1">
      <c r="B39" s="17" t="s">
        <v>17</v>
      </c>
      <c r="C39" s="13"/>
    </row>
    <row r="40" spans="2:4" ht="14.5" customHeight="1">
      <c r="B40" s="16" t="s">
        <v>49</v>
      </c>
      <c r="C40" s="13"/>
    </row>
    <row r="41" spans="2:4" ht="14.5" customHeight="1">
      <c r="B41" s="15" t="s">
        <v>16</v>
      </c>
      <c r="C41" s="13"/>
    </row>
    <row r="42" spans="2:4" ht="14.5" customHeight="1">
      <c r="B42" s="15" t="s">
        <v>50</v>
      </c>
      <c r="C42" s="13"/>
    </row>
    <row r="43" spans="2:4" ht="14.5" customHeight="1">
      <c r="C43" s="13"/>
    </row>
    <row r="44" spans="2:4">
      <c r="C44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608"/>
  <sheetViews>
    <sheetView showGridLines="0" view="pageBreakPreview" topLeftCell="A588" zoomScale="85" zoomScaleNormal="100" zoomScaleSheetLayoutView="85" workbookViewId="0">
      <selection activeCell="E605" sqref="E605"/>
    </sheetView>
  </sheetViews>
  <sheetFormatPr baseColWidth="10" defaultColWidth="35" defaultRowHeight="15" customHeight="1"/>
  <cols>
    <col min="1" max="1" width="1" style="31" customWidth="1"/>
    <col min="2" max="2" width="22.81640625" style="32" customWidth="1"/>
    <col min="3" max="3" width="31.453125" style="32" customWidth="1"/>
    <col min="4" max="4" width="14.26953125" style="32" customWidth="1"/>
    <col min="5" max="5" width="16.81640625" style="32" customWidth="1"/>
    <col min="6" max="16384" width="35" style="31"/>
  </cols>
  <sheetData>
    <row r="1" spans="1:5" s="40" customFormat="1" ht="12" customHeight="1">
      <c r="B1" s="42"/>
      <c r="C1" s="36"/>
      <c r="D1" s="36"/>
      <c r="E1" s="36"/>
    </row>
    <row r="2" spans="1:5" s="40" customFormat="1" ht="15" customHeight="1">
      <c r="C2" s="44"/>
    </row>
    <row r="3" spans="1:5" s="40" customFormat="1" ht="15" customHeight="1">
      <c r="C3" s="44"/>
    </row>
    <row r="4" spans="1:5" s="40" customFormat="1" ht="30" customHeight="1">
      <c r="C4" s="44"/>
      <c r="D4" s="43"/>
    </row>
    <row r="5" spans="1:5" s="40" customFormat="1" ht="15" customHeight="1">
      <c r="C5" s="44"/>
      <c r="D5" s="43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88"/>
      <c r="C7" s="88"/>
      <c r="D7" s="88"/>
      <c r="E7" s="88"/>
    </row>
    <row r="8" spans="1:5" s="40" customFormat="1" ht="33" customHeight="1">
      <c r="A8" s="41"/>
      <c r="B8" s="88"/>
      <c r="C8" s="88"/>
      <c r="D8" s="88"/>
      <c r="E8" s="88"/>
    </row>
    <row r="9" spans="1:5" s="24" customFormat="1" ht="40.5" customHeight="1">
      <c r="B9" s="37" t="s">
        <v>27</v>
      </c>
      <c r="C9" s="39" t="s">
        <v>24</v>
      </c>
      <c r="D9" s="38" t="s">
        <v>19</v>
      </c>
      <c r="E9" s="37" t="s">
        <v>18</v>
      </c>
    </row>
    <row r="10" spans="1:5" ht="14.5" customHeight="1">
      <c r="B10" s="94" t="s">
        <v>234</v>
      </c>
      <c r="C10" s="58" t="s">
        <v>52</v>
      </c>
      <c r="D10" s="59">
        <v>8</v>
      </c>
      <c r="E10" s="60">
        <v>4.2465098996799999E-4</v>
      </c>
    </row>
    <row r="11" spans="1:5" ht="14.5" customHeight="1">
      <c r="B11" s="94"/>
      <c r="C11" s="58" t="s">
        <v>54</v>
      </c>
      <c r="D11" s="59">
        <v>74</v>
      </c>
      <c r="E11" s="60">
        <v>3.9280216571999996E-3</v>
      </c>
    </row>
    <row r="12" spans="1:5" ht="14.5" customHeight="1">
      <c r="B12" s="94"/>
      <c r="C12" s="58" t="s">
        <v>55</v>
      </c>
      <c r="D12" s="59">
        <v>1</v>
      </c>
      <c r="E12" s="60">
        <v>5.3081373745999998E-5</v>
      </c>
    </row>
    <row r="13" spans="1:5" ht="14.5" customHeight="1">
      <c r="B13" s="94"/>
      <c r="C13" s="58" t="s">
        <v>58</v>
      </c>
      <c r="D13" s="59">
        <v>2</v>
      </c>
      <c r="E13" s="60">
        <v>1.06162747492E-4</v>
      </c>
    </row>
    <row r="14" spans="1:5" ht="14.5" customHeight="1">
      <c r="B14" s="94"/>
      <c r="C14" s="58" t="s">
        <v>59</v>
      </c>
      <c r="D14" s="59">
        <v>2</v>
      </c>
      <c r="E14" s="60">
        <v>1.06162747492E-4</v>
      </c>
    </row>
    <row r="15" spans="1:5" ht="14.5" customHeight="1">
      <c r="B15" s="94"/>
      <c r="C15" s="58" t="s">
        <v>61</v>
      </c>
      <c r="D15" s="59">
        <v>1</v>
      </c>
      <c r="E15" s="60">
        <v>5.3081373745999998E-5</v>
      </c>
    </row>
    <row r="16" spans="1:5" ht="14.5" customHeight="1">
      <c r="B16" s="94"/>
      <c r="C16" s="58" t="s">
        <v>62</v>
      </c>
      <c r="D16" s="59">
        <v>16</v>
      </c>
      <c r="E16" s="60">
        <v>8.4930197993500001E-4</v>
      </c>
    </row>
    <row r="17" spans="2:5" ht="14.5" customHeight="1">
      <c r="B17" s="94"/>
      <c r="C17" s="58" t="s">
        <v>63</v>
      </c>
      <c r="D17" s="59">
        <v>4</v>
      </c>
      <c r="E17" s="60">
        <v>2.1232549498399999E-4</v>
      </c>
    </row>
    <row r="18" spans="2:5" ht="14.5" customHeight="1">
      <c r="B18" s="94"/>
      <c r="C18" s="58" t="s">
        <v>65</v>
      </c>
      <c r="D18" s="59">
        <v>11</v>
      </c>
      <c r="E18" s="60">
        <v>5.8389511120500003E-4</v>
      </c>
    </row>
    <row r="19" spans="2:5" ht="14.5" customHeight="1">
      <c r="B19" s="94"/>
      <c r="C19" s="58" t="s">
        <v>71</v>
      </c>
      <c r="D19" s="59">
        <v>1</v>
      </c>
      <c r="E19" s="60">
        <v>5.3081373745999998E-5</v>
      </c>
    </row>
    <row r="20" spans="2:5" ht="14.5" customHeight="1">
      <c r="B20" s="94"/>
      <c r="C20" s="58" t="s">
        <v>72</v>
      </c>
      <c r="D20" s="59">
        <v>1</v>
      </c>
      <c r="E20" s="60">
        <v>5.3081373745999998E-5</v>
      </c>
    </row>
    <row r="21" spans="2:5" ht="14.5" customHeight="1">
      <c r="B21" s="94"/>
      <c r="C21" s="58" t="s">
        <v>73</v>
      </c>
      <c r="D21" s="59">
        <v>1</v>
      </c>
      <c r="E21" s="60">
        <v>5.3081373745999998E-5</v>
      </c>
    </row>
    <row r="22" spans="2:5" ht="14.5" customHeight="1">
      <c r="B22" s="94"/>
      <c r="C22" s="58" t="s">
        <v>76</v>
      </c>
      <c r="D22" s="59">
        <v>6</v>
      </c>
      <c r="E22" s="60">
        <v>3.1848824247600002E-4</v>
      </c>
    </row>
    <row r="23" spans="2:5" ht="14.5" customHeight="1">
      <c r="B23" s="94"/>
      <c r="C23" s="58" t="s">
        <v>79</v>
      </c>
      <c r="D23" s="59">
        <v>1</v>
      </c>
      <c r="E23" s="60">
        <v>5.3081373745999998E-5</v>
      </c>
    </row>
    <row r="24" spans="2:5" ht="14.5" customHeight="1">
      <c r="B24" s="94"/>
      <c r="C24" s="58" t="s">
        <v>81</v>
      </c>
      <c r="D24" s="59">
        <v>3</v>
      </c>
      <c r="E24" s="60">
        <v>1.5924412123800001E-4</v>
      </c>
    </row>
    <row r="25" spans="2:5" ht="14.5" customHeight="1">
      <c r="B25" s="94"/>
      <c r="C25" s="58" t="s">
        <v>84</v>
      </c>
      <c r="D25" s="59">
        <v>4</v>
      </c>
      <c r="E25" s="60">
        <v>2.1232549498399999E-4</v>
      </c>
    </row>
    <row r="26" spans="2:5" ht="14.5" customHeight="1">
      <c r="B26" s="94"/>
      <c r="C26" s="58" t="s">
        <v>86</v>
      </c>
      <c r="D26" s="59">
        <v>1</v>
      </c>
      <c r="E26" s="60">
        <v>5.3081373745999998E-5</v>
      </c>
    </row>
    <row r="27" spans="2:5" ht="14.5" customHeight="1">
      <c r="B27" s="94"/>
      <c r="C27" s="58" t="s">
        <v>87</v>
      </c>
      <c r="D27" s="59">
        <v>3</v>
      </c>
      <c r="E27" s="60">
        <v>1.5924412123800001E-4</v>
      </c>
    </row>
    <row r="28" spans="2:5" ht="14.5" customHeight="1">
      <c r="B28" s="94"/>
      <c r="C28" s="58" t="s">
        <v>90</v>
      </c>
      <c r="D28" s="59">
        <v>39</v>
      </c>
      <c r="E28" s="60">
        <v>2.0701735760919999E-3</v>
      </c>
    </row>
    <row r="29" spans="2:5" ht="14.5" customHeight="1">
      <c r="B29" s="94"/>
      <c r="C29" s="58" t="s">
        <v>91</v>
      </c>
      <c r="D29" s="59">
        <v>2</v>
      </c>
      <c r="E29" s="60">
        <v>1.06162747492E-4</v>
      </c>
    </row>
    <row r="30" spans="2:5" ht="14.5" customHeight="1">
      <c r="B30" s="94"/>
      <c r="C30" s="58" t="s">
        <v>96</v>
      </c>
      <c r="D30" s="59">
        <v>1</v>
      </c>
      <c r="E30" s="60">
        <v>5.3081373745999998E-5</v>
      </c>
    </row>
    <row r="31" spans="2:5" ht="14.5" customHeight="1">
      <c r="B31" s="94"/>
      <c r="C31" s="35" t="s">
        <v>28</v>
      </c>
      <c r="D31" s="34">
        <v>182</v>
      </c>
      <c r="E31" s="33">
        <v>9.660810021763E-3</v>
      </c>
    </row>
    <row r="32" spans="2:5" ht="14.5" customHeight="1">
      <c r="B32" s="94" t="s">
        <v>235</v>
      </c>
      <c r="C32" s="58" t="s">
        <v>52</v>
      </c>
      <c r="D32" s="59">
        <v>3</v>
      </c>
      <c r="E32" s="60">
        <v>1.5924412123800001E-4</v>
      </c>
    </row>
    <row r="33" spans="2:5" ht="14.5" customHeight="1">
      <c r="B33" s="94"/>
      <c r="C33" s="58" t="s">
        <v>53</v>
      </c>
      <c r="D33" s="59">
        <v>1</v>
      </c>
      <c r="E33" s="60">
        <v>5.3081373745999998E-5</v>
      </c>
    </row>
    <row r="34" spans="2:5" ht="14.5" customHeight="1">
      <c r="B34" s="94"/>
      <c r="C34" s="58" t="s">
        <v>54</v>
      </c>
      <c r="D34" s="59">
        <v>22</v>
      </c>
      <c r="E34" s="60">
        <v>1.1677902224109999E-3</v>
      </c>
    </row>
    <row r="35" spans="2:5" ht="14.5" customHeight="1">
      <c r="B35" s="94"/>
      <c r="C35" s="58" t="s">
        <v>55</v>
      </c>
      <c r="D35" s="59">
        <v>1</v>
      </c>
      <c r="E35" s="60">
        <v>5.3081373745999998E-5</v>
      </c>
    </row>
    <row r="36" spans="2:5" ht="14.5" customHeight="1">
      <c r="B36" s="94"/>
      <c r="C36" s="58" t="s">
        <v>58</v>
      </c>
      <c r="D36" s="59">
        <v>1</v>
      </c>
      <c r="E36" s="60">
        <v>5.3081373745999998E-5</v>
      </c>
    </row>
    <row r="37" spans="2:5" ht="14.5" customHeight="1">
      <c r="B37" s="94"/>
      <c r="C37" s="58" t="s">
        <v>61</v>
      </c>
      <c r="D37" s="59">
        <v>1</v>
      </c>
      <c r="E37" s="60">
        <v>5.3081373745999998E-5</v>
      </c>
    </row>
    <row r="38" spans="2:5" ht="14.5" customHeight="1">
      <c r="B38" s="94"/>
      <c r="C38" s="58" t="s">
        <v>62</v>
      </c>
      <c r="D38" s="59">
        <v>5</v>
      </c>
      <c r="E38" s="60">
        <v>2.6540686872999998E-4</v>
      </c>
    </row>
    <row r="39" spans="2:5" ht="14.5" customHeight="1">
      <c r="B39" s="94"/>
      <c r="C39" s="58" t="s">
        <v>65</v>
      </c>
      <c r="D39" s="59">
        <v>2</v>
      </c>
      <c r="E39" s="60">
        <v>1.06162747492E-4</v>
      </c>
    </row>
    <row r="40" spans="2:5" ht="14.5" customHeight="1">
      <c r="B40" s="94"/>
      <c r="C40" s="58" t="s">
        <v>75</v>
      </c>
      <c r="D40" s="59">
        <v>1</v>
      </c>
      <c r="E40" s="60">
        <v>5.3081373745999998E-5</v>
      </c>
    </row>
    <row r="41" spans="2:5" ht="14.5" customHeight="1">
      <c r="B41" s="94"/>
      <c r="C41" s="58" t="s">
        <v>76</v>
      </c>
      <c r="D41" s="59">
        <v>3</v>
      </c>
      <c r="E41" s="60">
        <v>1.5924412123800001E-4</v>
      </c>
    </row>
    <row r="42" spans="2:5" ht="14.5" customHeight="1">
      <c r="B42" s="94"/>
      <c r="C42" s="58" t="s">
        <v>84</v>
      </c>
      <c r="D42" s="59">
        <v>2</v>
      </c>
      <c r="E42" s="60">
        <v>1.06162747492E-4</v>
      </c>
    </row>
    <row r="43" spans="2:5" ht="14.5" customHeight="1">
      <c r="B43" s="94"/>
      <c r="C43" s="58" t="s">
        <v>90</v>
      </c>
      <c r="D43" s="59">
        <v>26</v>
      </c>
      <c r="E43" s="60">
        <v>1.3801157173950001E-3</v>
      </c>
    </row>
    <row r="44" spans="2:5" ht="14.5" customHeight="1">
      <c r="B44" s="94"/>
      <c r="C44" s="58" t="s">
        <v>92</v>
      </c>
      <c r="D44" s="59">
        <v>1</v>
      </c>
      <c r="E44" s="60">
        <v>5.3081373745999998E-5</v>
      </c>
    </row>
    <row r="45" spans="2:5" ht="14.5" customHeight="1">
      <c r="B45" s="94"/>
      <c r="C45" s="58" t="s">
        <v>93</v>
      </c>
      <c r="D45" s="59">
        <v>1</v>
      </c>
      <c r="E45" s="60">
        <v>5.3081373745999998E-5</v>
      </c>
    </row>
    <row r="46" spans="2:5" ht="14.5" customHeight="1">
      <c r="B46" s="94"/>
      <c r="C46" s="35" t="s">
        <v>28</v>
      </c>
      <c r="D46" s="34">
        <v>70</v>
      </c>
      <c r="E46" s="33">
        <v>3.7156961622169999E-3</v>
      </c>
    </row>
    <row r="47" spans="2:5" ht="14.5" customHeight="1">
      <c r="B47" s="94" t="s">
        <v>236</v>
      </c>
      <c r="C47" s="58" t="s">
        <v>52</v>
      </c>
      <c r="D47" s="59">
        <v>4</v>
      </c>
      <c r="E47" s="60">
        <v>2.1232549498399999E-4</v>
      </c>
    </row>
    <row r="48" spans="2:5" ht="14.5" customHeight="1">
      <c r="B48" s="94"/>
      <c r="C48" s="58" t="s">
        <v>54</v>
      </c>
      <c r="D48" s="59">
        <v>41</v>
      </c>
      <c r="E48" s="60">
        <v>2.1763363235839999E-3</v>
      </c>
    </row>
    <row r="49" spans="2:5" ht="14.5" customHeight="1">
      <c r="B49" s="94"/>
      <c r="C49" s="58" t="s">
        <v>55</v>
      </c>
      <c r="D49" s="59">
        <v>10</v>
      </c>
      <c r="E49" s="60">
        <v>5.3081373745999996E-4</v>
      </c>
    </row>
    <row r="50" spans="2:5" ht="14.5" customHeight="1">
      <c r="B50" s="94"/>
      <c r="C50" s="58" t="s">
        <v>58</v>
      </c>
      <c r="D50" s="59">
        <v>3</v>
      </c>
      <c r="E50" s="60">
        <v>1.5924412123800001E-4</v>
      </c>
    </row>
    <row r="51" spans="2:5" ht="14.5" customHeight="1">
      <c r="B51" s="94"/>
      <c r="C51" s="58" t="s">
        <v>59</v>
      </c>
      <c r="D51" s="59">
        <v>1</v>
      </c>
      <c r="E51" s="60">
        <v>5.3081373745999998E-5</v>
      </c>
    </row>
    <row r="52" spans="2:5" ht="14.5" customHeight="1">
      <c r="B52" s="94"/>
      <c r="C52" s="58" t="s">
        <v>61</v>
      </c>
      <c r="D52" s="59">
        <v>1</v>
      </c>
      <c r="E52" s="60">
        <v>5.3081373745999998E-5</v>
      </c>
    </row>
    <row r="53" spans="2:5" ht="14.5" customHeight="1">
      <c r="B53" s="94"/>
      <c r="C53" s="58" t="s">
        <v>62</v>
      </c>
      <c r="D53" s="59">
        <v>10</v>
      </c>
      <c r="E53" s="60">
        <v>5.3081373745999996E-4</v>
      </c>
    </row>
    <row r="54" spans="2:5" ht="14.5" customHeight="1">
      <c r="B54" s="94"/>
      <c r="C54" s="58" t="s">
        <v>65</v>
      </c>
      <c r="D54" s="59">
        <v>6</v>
      </c>
      <c r="E54" s="60">
        <v>3.1848824247600002E-4</v>
      </c>
    </row>
    <row r="55" spans="2:5" ht="14.5" customHeight="1">
      <c r="B55" s="94"/>
      <c r="C55" s="58" t="s">
        <v>71</v>
      </c>
      <c r="D55" s="59">
        <v>1</v>
      </c>
      <c r="E55" s="60">
        <v>5.3081373745999998E-5</v>
      </c>
    </row>
    <row r="56" spans="2:5" ht="14.5" customHeight="1">
      <c r="B56" s="94"/>
      <c r="C56" s="58" t="s">
        <v>73</v>
      </c>
      <c r="D56" s="59">
        <v>2</v>
      </c>
      <c r="E56" s="60">
        <v>1.06162747492E-4</v>
      </c>
    </row>
    <row r="57" spans="2:5" ht="14.5" customHeight="1">
      <c r="B57" s="94"/>
      <c r="C57" s="58" t="s">
        <v>76</v>
      </c>
      <c r="D57" s="59">
        <v>3</v>
      </c>
      <c r="E57" s="60">
        <v>1.5924412123800001E-4</v>
      </c>
    </row>
    <row r="58" spans="2:5" ht="14.5" customHeight="1">
      <c r="B58" s="94"/>
      <c r="C58" s="58" t="s">
        <v>79</v>
      </c>
      <c r="D58" s="59">
        <v>8</v>
      </c>
      <c r="E58" s="60">
        <v>4.2465098996799999E-4</v>
      </c>
    </row>
    <row r="59" spans="2:5" ht="14.5" customHeight="1">
      <c r="B59" s="94"/>
      <c r="C59" s="58" t="s">
        <v>81</v>
      </c>
      <c r="D59" s="59">
        <v>2</v>
      </c>
      <c r="E59" s="60">
        <v>1.06162747492E-4</v>
      </c>
    </row>
    <row r="60" spans="2:5" ht="14.5" customHeight="1">
      <c r="B60" s="94"/>
      <c r="C60" s="58" t="s">
        <v>83</v>
      </c>
      <c r="D60" s="59">
        <v>1</v>
      </c>
      <c r="E60" s="60">
        <v>5.3081373745999998E-5</v>
      </c>
    </row>
    <row r="61" spans="2:5" ht="14.5" customHeight="1">
      <c r="B61" s="94"/>
      <c r="C61" s="58" t="s">
        <v>84</v>
      </c>
      <c r="D61" s="59">
        <v>4</v>
      </c>
      <c r="E61" s="60">
        <v>2.1232549498399999E-4</v>
      </c>
    </row>
    <row r="62" spans="2:5" ht="14.5" customHeight="1">
      <c r="B62" s="94"/>
      <c r="C62" s="58" t="s">
        <v>85</v>
      </c>
      <c r="D62" s="59">
        <v>1</v>
      </c>
      <c r="E62" s="60">
        <v>5.3081373745999998E-5</v>
      </c>
    </row>
    <row r="63" spans="2:5" ht="14.5" customHeight="1">
      <c r="B63" s="94"/>
      <c r="C63" s="58" t="s">
        <v>89</v>
      </c>
      <c r="D63" s="59">
        <v>1</v>
      </c>
      <c r="E63" s="60">
        <v>5.3081373745999998E-5</v>
      </c>
    </row>
    <row r="64" spans="2:5" ht="14.5" customHeight="1">
      <c r="B64" s="94"/>
      <c r="C64" s="58" t="s">
        <v>90</v>
      </c>
      <c r="D64" s="59">
        <v>35</v>
      </c>
      <c r="E64" s="60">
        <v>1.8578480811079999E-3</v>
      </c>
    </row>
    <row r="65" spans="2:5" ht="14.5" customHeight="1">
      <c r="B65" s="94"/>
      <c r="C65" s="58" t="s">
        <v>91</v>
      </c>
      <c r="D65" s="59">
        <v>1</v>
      </c>
      <c r="E65" s="60">
        <v>5.3081373745999998E-5</v>
      </c>
    </row>
    <row r="66" spans="2:5" ht="14.5" customHeight="1">
      <c r="B66" s="94"/>
      <c r="C66" s="35" t="s">
        <v>28</v>
      </c>
      <c r="D66" s="34">
        <v>135</v>
      </c>
      <c r="E66" s="33">
        <v>7.1659854557040003E-3</v>
      </c>
    </row>
    <row r="67" spans="2:5" ht="14.5" customHeight="1">
      <c r="B67" s="94" t="s">
        <v>237</v>
      </c>
      <c r="C67" s="58" t="s">
        <v>51</v>
      </c>
      <c r="D67" s="59">
        <v>1</v>
      </c>
      <c r="E67" s="60">
        <v>5.3081373745999998E-5</v>
      </c>
    </row>
    <row r="68" spans="2:5" ht="14.5" customHeight="1">
      <c r="B68" s="94"/>
      <c r="C68" s="58" t="s">
        <v>52</v>
      </c>
      <c r="D68" s="59">
        <v>13</v>
      </c>
      <c r="E68" s="60">
        <v>6.90057858697E-4</v>
      </c>
    </row>
    <row r="69" spans="2:5" ht="14.5" customHeight="1">
      <c r="B69" s="94"/>
      <c r="C69" s="58" t="s">
        <v>53</v>
      </c>
      <c r="D69" s="59">
        <v>3</v>
      </c>
      <c r="E69" s="60">
        <v>1.5924412123800001E-4</v>
      </c>
    </row>
    <row r="70" spans="2:5" ht="14.5" customHeight="1">
      <c r="B70" s="94"/>
      <c r="C70" s="58" t="s">
        <v>54</v>
      </c>
      <c r="D70" s="59">
        <v>82</v>
      </c>
      <c r="E70" s="60">
        <v>4.3526726471679999E-3</v>
      </c>
    </row>
    <row r="71" spans="2:5" ht="14.5" customHeight="1">
      <c r="B71" s="94"/>
      <c r="C71" s="58" t="s">
        <v>55</v>
      </c>
      <c r="D71" s="59">
        <v>12</v>
      </c>
      <c r="E71" s="60">
        <v>6.3697648495099997E-4</v>
      </c>
    </row>
    <row r="72" spans="2:5" ht="14.5" customHeight="1">
      <c r="B72" s="94"/>
      <c r="C72" s="58" t="s">
        <v>57</v>
      </c>
      <c r="D72" s="59">
        <v>1</v>
      </c>
      <c r="E72" s="60">
        <v>5.3081373745999998E-5</v>
      </c>
    </row>
    <row r="73" spans="2:5" ht="14.5" customHeight="1">
      <c r="B73" s="94"/>
      <c r="C73" s="58" t="s">
        <v>58</v>
      </c>
      <c r="D73" s="59">
        <v>4</v>
      </c>
      <c r="E73" s="60">
        <v>2.1232549498399999E-4</v>
      </c>
    </row>
    <row r="74" spans="2:5" ht="14.5" customHeight="1">
      <c r="B74" s="94"/>
      <c r="C74" s="58" t="s">
        <v>59</v>
      </c>
      <c r="D74" s="59">
        <v>3</v>
      </c>
      <c r="E74" s="60">
        <v>1.5924412123800001E-4</v>
      </c>
    </row>
    <row r="75" spans="2:5" ht="14.5" customHeight="1">
      <c r="B75" s="94"/>
      <c r="C75" s="58" t="s">
        <v>62</v>
      </c>
      <c r="D75" s="59">
        <v>15</v>
      </c>
      <c r="E75" s="60">
        <v>7.9622060618899997E-4</v>
      </c>
    </row>
    <row r="76" spans="2:5" ht="14.5" customHeight="1">
      <c r="B76" s="94"/>
      <c r="C76" s="58" t="s">
        <v>63</v>
      </c>
      <c r="D76" s="59">
        <v>3</v>
      </c>
      <c r="E76" s="60">
        <v>1.5924412123800001E-4</v>
      </c>
    </row>
    <row r="77" spans="2:5" ht="14.5" customHeight="1">
      <c r="B77" s="94"/>
      <c r="C77" s="58" t="s">
        <v>65</v>
      </c>
      <c r="D77" s="59">
        <v>25</v>
      </c>
      <c r="E77" s="60">
        <v>1.327034343649E-3</v>
      </c>
    </row>
    <row r="78" spans="2:5" ht="14.5" customHeight="1">
      <c r="B78" s="94"/>
      <c r="C78" s="58" t="s">
        <v>66</v>
      </c>
      <c r="D78" s="59">
        <v>1</v>
      </c>
      <c r="E78" s="60">
        <v>5.3081373745999998E-5</v>
      </c>
    </row>
    <row r="79" spans="2:5" ht="14.5" customHeight="1">
      <c r="B79" s="94"/>
      <c r="C79" s="58" t="s">
        <v>70</v>
      </c>
      <c r="D79" s="59">
        <v>2</v>
      </c>
      <c r="E79" s="60">
        <v>1.06162747492E-4</v>
      </c>
    </row>
    <row r="80" spans="2:5" ht="14.5" customHeight="1">
      <c r="B80" s="94"/>
      <c r="C80" s="58" t="s">
        <v>73</v>
      </c>
      <c r="D80" s="59">
        <v>1</v>
      </c>
      <c r="E80" s="60">
        <v>5.3081373745999998E-5</v>
      </c>
    </row>
    <row r="81" spans="2:5" ht="14.5" customHeight="1">
      <c r="B81" s="94"/>
      <c r="C81" s="58" t="s">
        <v>75</v>
      </c>
      <c r="D81" s="59">
        <v>2</v>
      </c>
      <c r="E81" s="60">
        <v>1.06162747492E-4</v>
      </c>
    </row>
    <row r="82" spans="2:5" ht="14.5" customHeight="1">
      <c r="B82" s="94"/>
      <c r="C82" s="58" t="s">
        <v>76</v>
      </c>
      <c r="D82" s="59">
        <v>12</v>
      </c>
      <c r="E82" s="60">
        <v>6.3697648495099997E-4</v>
      </c>
    </row>
    <row r="83" spans="2:5" ht="14.5" customHeight="1">
      <c r="B83" s="94"/>
      <c r="C83" s="58" t="s">
        <v>79</v>
      </c>
      <c r="D83" s="59">
        <v>5</v>
      </c>
      <c r="E83" s="60">
        <v>2.6540686872999998E-4</v>
      </c>
    </row>
    <row r="84" spans="2:5" ht="14.5" customHeight="1">
      <c r="B84" s="94"/>
      <c r="C84" s="58" t="s">
        <v>81</v>
      </c>
      <c r="D84" s="59">
        <v>4</v>
      </c>
      <c r="E84" s="60">
        <v>2.1232549498399999E-4</v>
      </c>
    </row>
    <row r="85" spans="2:5" ht="14.5" customHeight="1">
      <c r="B85" s="94"/>
      <c r="C85" s="58" t="s">
        <v>83</v>
      </c>
      <c r="D85" s="59">
        <v>1</v>
      </c>
      <c r="E85" s="60">
        <v>5.3081373745999998E-5</v>
      </c>
    </row>
    <row r="86" spans="2:5" ht="14.5" customHeight="1">
      <c r="B86" s="94"/>
      <c r="C86" s="58" t="s">
        <v>84</v>
      </c>
      <c r="D86" s="59">
        <v>18</v>
      </c>
      <c r="E86" s="60">
        <v>9.5546472742699998E-4</v>
      </c>
    </row>
    <row r="87" spans="2:5" ht="14.5" customHeight="1">
      <c r="B87" s="94"/>
      <c r="C87" s="58" t="s">
        <v>85</v>
      </c>
      <c r="D87" s="59">
        <v>1</v>
      </c>
      <c r="E87" s="60">
        <v>5.3081373745999998E-5</v>
      </c>
    </row>
    <row r="88" spans="2:5" ht="14.5" customHeight="1">
      <c r="B88" s="94"/>
      <c r="C88" s="58" t="s">
        <v>89</v>
      </c>
      <c r="D88" s="59">
        <v>2</v>
      </c>
      <c r="E88" s="60">
        <v>1.06162747492E-4</v>
      </c>
    </row>
    <row r="89" spans="2:5" ht="14.5" customHeight="1">
      <c r="B89" s="94"/>
      <c r="C89" s="58" t="s">
        <v>90</v>
      </c>
      <c r="D89" s="59">
        <v>62</v>
      </c>
      <c r="E89" s="60">
        <v>3.291045172249E-3</v>
      </c>
    </row>
    <row r="90" spans="2:5" ht="14.5" customHeight="1">
      <c r="B90" s="94"/>
      <c r="C90" s="58" t="s">
        <v>91</v>
      </c>
      <c r="D90" s="59">
        <v>1</v>
      </c>
      <c r="E90" s="60">
        <v>5.3081373745999998E-5</v>
      </c>
    </row>
    <row r="91" spans="2:5" ht="14.5" customHeight="1">
      <c r="B91" s="94"/>
      <c r="C91" s="58" t="s">
        <v>95</v>
      </c>
      <c r="D91" s="59">
        <v>3</v>
      </c>
      <c r="E91" s="60">
        <v>1.5924412123800001E-4</v>
      </c>
    </row>
    <row r="92" spans="2:5" ht="14.5" customHeight="1">
      <c r="B92" s="94"/>
      <c r="C92" s="35" t="s">
        <v>28</v>
      </c>
      <c r="D92" s="34">
        <v>277</v>
      </c>
      <c r="E92" s="33">
        <v>1.4703540527629001E-2</v>
      </c>
    </row>
    <row r="93" spans="2:5" ht="14.5" customHeight="1">
      <c r="B93" s="94" t="s">
        <v>238</v>
      </c>
      <c r="C93" s="58" t="s">
        <v>52</v>
      </c>
      <c r="D93" s="59">
        <v>5</v>
      </c>
      <c r="E93" s="60">
        <v>2.6540686872999998E-4</v>
      </c>
    </row>
    <row r="94" spans="2:5" ht="14.5" customHeight="1">
      <c r="B94" s="94"/>
      <c r="C94" s="58" t="s">
        <v>53</v>
      </c>
      <c r="D94" s="59">
        <v>2</v>
      </c>
      <c r="E94" s="60">
        <v>1.06162747492E-4</v>
      </c>
    </row>
    <row r="95" spans="2:5" ht="14.5" customHeight="1">
      <c r="B95" s="94"/>
      <c r="C95" s="58" t="s">
        <v>54</v>
      </c>
      <c r="D95" s="59">
        <v>49</v>
      </c>
      <c r="E95" s="60">
        <v>2.6009873135519998E-3</v>
      </c>
    </row>
    <row r="96" spans="2:5" ht="14.5" customHeight="1">
      <c r="B96" s="94"/>
      <c r="C96" s="58" t="s">
        <v>55</v>
      </c>
      <c r="D96" s="59">
        <v>11</v>
      </c>
      <c r="E96" s="60">
        <v>5.8389511120500003E-4</v>
      </c>
    </row>
    <row r="97" spans="2:5" ht="14.5" customHeight="1">
      <c r="B97" s="94"/>
      <c r="C97" s="58" t="s">
        <v>58</v>
      </c>
      <c r="D97" s="59">
        <v>4</v>
      </c>
      <c r="E97" s="60">
        <v>2.1232549498399999E-4</v>
      </c>
    </row>
    <row r="98" spans="2:5" ht="14.5" customHeight="1">
      <c r="B98" s="94"/>
      <c r="C98" s="58" t="s">
        <v>59</v>
      </c>
      <c r="D98" s="59">
        <v>2</v>
      </c>
      <c r="E98" s="60">
        <v>1.06162747492E-4</v>
      </c>
    </row>
    <row r="99" spans="2:5" ht="14.5" customHeight="1">
      <c r="B99" s="94"/>
      <c r="C99" s="58" t="s">
        <v>62</v>
      </c>
      <c r="D99" s="59">
        <v>23</v>
      </c>
      <c r="E99" s="60">
        <v>1.220871596157E-3</v>
      </c>
    </row>
    <row r="100" spans="2:5" ht="14.5" customHeight="1">
      <c r="B100" s="94"/>
      <c r="C100" s="58" t="s">
        <v>63</v>
      </c>
      <c r="D100" s="59">
        <v>3</v>
      </c>
      <c r="E100" s="60">
        <v>1.5924412123800001E-4</v>
      </c>
    </row>
    <row r="101" spans="2:5" ht="14.5" customHeight="1">
      <c r="B101" s="94"/>
      <c r="C101" s="58" t="s">
        <v>64</v>
      </c>
      <c r="D101" s="59">
        <v>1</v>
      </c>
      <c r="E101" s="60">
        <v>5.3081373745999998E-5</v>
      </c>
    </row>
    <row r="102" spans="2:5" ht="14.5" customHeight="1">
      <c r="B102" s="94"/>
      <c r="C102" s="58" t="s">
        <v>65</v>
      </c>
      <c r="D102" s="59">
        <v>13</v>
      </c>
      <c r="E102" s="60">
        <v>6.90057858697E-4</v>
      </c>
    </row>
    <row r="103" spans="2:5" ht="14.5" customHeight="1">
      <c r="B103" s="94"/>
      <c r="C103" s="58" t="s">
        <v>68</v>
      </c>
      <c r="D103" s="59">
        <v>1</v>
      </c>
      <c r="E103" s="60">
        <v>5.3081373745999998E-5</v>
      </c>
    </row>
    <row r="104" spans="2:5" ht="14.5" customHeight="1">
      <c r="B104" s="94"/>
      <c r="C104" s="58" t="s">
        <v>70</v>
      </c>
      <c r="D104" s="59">
        <v>1</v>
      </c>
      <c r="E104" s="60">
        <v>5.3081373745999998E-5</v>
      </c>
    </row>
    <row r="105" spans="2:5" ht="14.5" customHeight="1">
      <c r="B105" s="94"/>
      <c r="C105" s="58" t="s">
        <v>71</v>
      </c>
      <c r="D105" s="59">
        <v>1</v>
      </c>
      <c r="E105" s="60">
        <v>5.3081373745999998E-5</v>
      </c>
    </row>
    <row r="106" spans="2:5" ht="14.5" customHeight="1">
      <c r="B106" s="94"/>
      <c r="C106" s="58" t="s">
        <v>73</v>
      </c>
      <c r="D106" s="59">
        <v>1</v>
      </c>
      <c r="E106" s="60">
        <v>5.3081373745999998E-5</v>
      </c>
    </row>
    <row r="107" spans="2:5" ht="14.5" customHeight="1">
      <c r="B107" s="94"/>
      <c r="C107" s="58" t="s">
        <v>76</v>
      </c>
      <c r="D107" s="59">
        <v>6</v>
      </c>
      <c r="E107" s="60">
        <v>3.1848824247600002E-4</v>
      </c>
    </row>
    <row r="108" spans="2:5" ht="14.5" customHeight="1">
      <c r="B108" s="94"/>
      <c r="C108" s="58" t="s">
        <v>79</v>
      </c>
      <c r="D108" s="59">
        <v>4</v>
      </c>
      <c r="E108" s="60">
        <v>2.1232549498399999E-4</v>
      </c>
    </row>
    <row r="109" spans="2:5" ht="14.5" customHeight="1">
      <c r="B109" s="94"/>
      <c r="C109" s="58" t="s">
        <v>80</v>
      </c>
      <c r="D109" s="59">
        <v>1</v>
      </c>
      <c r="E109" s="60">
        <v>5.3081373745999998E-5</v>
      </c>
    </row>
    <row r="110" spans="2:5" ht="14.5" customHeight="1">
      <c r="B110" s="94"/>
      <c r="C110" s="58" t="s">
        <v>81</v>
      </c>
      <c r="D110" s="59">
        <v>7</v>
      </c>
      <c r="E110" s="60">
        <v>3.71569616222E-4</v>
      </c>
    </row>
    <row r="111" spans="2:5" ht="14.5" customHeight="1">
      <c r="B111" s="94"/>
      <c r="C111" s="58" t="s">
        <v>84</v>
      </c>
      <c r="D111" s="59">
        <v>8</v>
      </c>
      <c r="E111" s="60">
        <v>4.2465098996799999E-4</v>
      </c>
    </row>
    <row r="112" spans="2:5" ht="14.5" customHeight="1">
      <c r="B112" s="94"/>
      <c r="C112" s="58" t="s">
        <v>85</v>
      </c>
      <c r="D112" s="59">
        <v>1</v>
      </c>
      <c r="E112" s="60">
        <v>5.3081373745999998E-5</v>
      </c>
    </row>
    <row r="113" spans="2:5" ht="14.5" customHeight="1">
      <c r="B113" s="94"/>
      <c r="C113" s="58" t="s">
        <v>89</v>
      </c>
      <c r="D113" s="59">
        <v>1</v>
      </c>
      <c r="E113" s="60">
        <v>5.3081373745999998E-5</v>
      </c>
    </row>
    <row r="114" spans="2:5" ht="14.5" customHeight="1">
      <c r="B114" s="94"/>
      <c r="C114" s="58" t="s">
        <v>90</v>
      </c>
      <c r="D114" s="59">
        <v>58</v>
      </c>
      <c r="E114" s="60">
        <v>3.0787196772649999E-3</v>
      </c>
    </row>
    <row r="115" spans="2:5" ht="14.5" customHeight="1">
      <c r="B115" s="94"/>
      <c r="C115" s="58" t="s">
        <v>91</v>
      </c>
      <c r="D115" s="59">
        <v>1</v>
      </c>
      <c r="E115" s="60">
        <v>5.3081373745999998E-5</v>
      </c>
    </row>
    <row r="116" spans="2:5" ht="14.5" customHeight="1">
      <c r="B116" s="94"/>
      <c r="C116" s="58" t="s">
        <v>92</v>
      </c>
      <c r="D116" s="59">
        <v>1</v>
      </c>
      <c r="E116" s="60">
        <v>5.3081373745999998E-5</v>
      </c>
    </row>
    <row r="117" spans="2:5" ht="14.5" customHeight="1">
      <c r="B117" s="94"/>
      <c r="C117" s="35" t="s">
        <v>28</v>
      </c>
      <c r="D117" s="34">
        <v>205</v>
      </c>
      <c r="E117" s="33">
        <v>1.0881681617920001E-2</v>
      </c>
    </row>
    <row r="118" spans="2:5" ht="14.5" customHeight="1">
      <c r="B118" s="94" t="s">
        <v>239</v>
      </c>
      <c r="C118" s="58" t="s">
        <v>51</v>
      </c>
      <c r="D118" s="59">
        <v>1</v>
      </c>
      <c r="E118" s="60">
        <v>5.3081373745999998E-5</v>
      </c>
    </row>
    <row r="119" spans="2:5" ht="14.5" customHeight="1">
      <c r="B119" s="94"/>
      <c r="C119" s="58" t="s">
        <v>52</v>
      </c>
      <c r="D119" s="59">
        <v>17</v>
      </c>
      <c r="E119" s="60">
        <v>9.0238335368100005E-4</v>
      </c>
    </row>
    <row r="120" spans="2:5" ht="14.5" customHeight="1">
      <c r="B120" s="94"/>
      <c r="C120" s="58" t="s">
        <v>53</v>
      </c>
      <c r="D120" s="59">
        <v>1</v>
      </c>
      <c r="E120" s="60">
        <v>5.3081373745999998E-5</v>
      </c>
    </row>
    <row r="121" spans="2:5" ht="14.5" customHeight="1">
      <c r="B121" s="94"/>
      <c r="C121" s="58" t="s">
        <v>54</v>
      </c>
      <c r="D121" s="59">
        <v>59</v>
      </c>
      <c r="E121" s="60">
        <v>3.1318010510110001E-3</v>
      </c>
    </row>
    <row r="122" spans="2:5" ht="14.5" customHeight="1">
      <c r="B122" s="94"/>
      <c r="C122" s="58" t="s">
        <v>55</v>
      </c>
      <c r="D122" s="59">
        <v>15</v>
      </c>
      <c r="E122" s="60">
        <v>7.9622060618899997E-4</v>
      </c>
    </row>
    <row r="123" spans="2:5" ht="14.5" customHeight="1">
      <c r="B123" s="94"/>
      <c r="C123" s="58" t="s">
        <v>58</v>
      </c>
      <c r="D123" s="59">
        <v>2</v>
      </c>
      <c r="E123" s="60">
        <v>1.06162747492E-4</v>
      </c>
    </row>
    <row r="124" spans="2:5" ht="14.5" customHeight="1">
      <c r="B124" s="94"/>
      <c r="C124" s="58" t="s">
        <v>59</v>
      </c>
      <c r="D124" s="59">
        <v>7</v>
      </c>
      <c r="E124" s="60">
        <v>3.71569616222E-4</v>
      </c>
    </row>
    <row r="125" spans="2:5" ht="14.5" customHeight="1">
      <c r="B125" s="94"/>
      <c r="C125" s="58" t="s">
        <v>61</v>
      </c>
      <c r="D125" s="59">
        <v>1</v>
      </c>
      <c r="E125" s="60">
        <v>5.3081373745999998E-5</v>
      </c>
    </row>
    <row r="126" spans="2:5" ht="14.5" customHeight="1">
      <c r="B126" s="94"/>
      <c r="C126" s="58" t="s">
        <v>62</v>
      </c>
      <c r="D126" s="59">
        <v>18</v>
      </c>
      <c r="E126" s="60">
        <v>9.5546472742699998E-4</v>
      </c>
    </row>
    <row r="127" spans="2:5" ht="14.5" customHeight="1">
      <c r="B127" s="94"/>
      <c r="C127" s="58" t="s">
        <v>63</v>
      </c>
      <c r="D127" s="59">
        <v>6</v>
      </c>
      <c r="E127" s="60">
        <v>3.1848824247600002E-4</v>
      </c>
    </row>
    <row r="128" spans="2:5" ht="14.5" customHeight="1">
      <c r="B128" s="94"/>
      <c r="C128" s="58" t="s">
        <v>65</v>
      </c>
      <c r="D128" s="59">
        <v>23</v>
      </c>
      <c r="E128" s="60">
        <v>1.220871596157E-3</v>
      </c>
    </row>
    <row r="129" spans="2:5" ht="14.5" customHeight="1">
      <c r="B129" s="94"/>
      <c r="C129" s="58" t="s">
        <v>66</v>
      </c>
      <c r="D129" s="59">
        <v>1</v>
      </c>
      <c r="E129" s="60">
        <v>5.3081373745999998E-5</v>
      </c>
    </row>
    <row r="130" spans="2:5" ht="14.5" customHeight="1">
      <c r="B130" s="94"/>
      <c r="C130" s="58" t="s">
        <v>67</v>
      </c>
      <c r="D130" s="59">
        <v>1</v>
      </c>
      <c r="E130" s="60">
        <v>5.3081373745999998E-5</v>
      </c>
    </row>
    <row r="131" spans="2:5" ht="14.5" customHeight="1">
      <c r="B131" s="94"/>
      <c r="C131" s="58" t="s">
        <v>70</v>
      </c>
      <c r="D131" s="59">
        <v>2</v>
      </c>
      <c r="E131" s="60">
        <v>1.06162747492E-4</v>
      </c>
    </row>
    <row r="132" spans="2:5" ht="14.5" customHeight="1">
      <c r="B132" s="94"/>
      <c r="C132" s="58" t="s">
        <v>73</v>
      </c>
      <c r="D132" s="59">
        <v>8</v>
      </c>
      <c r="E132" s="60">
        <v>4.2465098996799999E-4</v>
      </c>
    </row>
    <row r="133" spans="2:5" ht="14.5" customHeight="1">
      <c r="B133" s="94"/>
      <c r="C133" s="58" t="s">
        <v>75</v>
      </c>
      <c r="D133" s="59">
        <v>4</v>
      </c>
      <c r="E133" s="60">
        <v>2.1232549498399999E-4</v>
      </c>
    </row>
    <row r="134" spans="2:5" ht="14.5" customHeight="1">
      <c r="B134" s="94"/>
      <c r="C134" s="58" t="s">
        <v>76</v>
      </c>
      <c r="D134" s="59">
        <v>12</v>
      </c>
      <c r="E134" s="60">
        <v>6.3697648495099997E-4</v>
      </c>
    </row>
    <row r="135" spans="2:5" ht="14.5" customHeight="1">
      <c r="B135" s="94"/>
      <c r="C135" s="58" t="s">
        <v>79</v>
      </c>
      <c r="D135" s="59">
        <v>4</v>
      </c>
      <c r="E135" s="60">
        <v>2.1232549498399999E-4</v>
      </c>
    </row>
    <row r="136" spans="2:5" ht="14.5" customHeight="1">
      <c r="B136" s="94"/>
      <c r="C136" s="58" t="s">
        <v>80</v>
      </c>
      <c r="D136" s="59">
        <v>1</v>
      </c>
      <c r="E136" s="60">
        <v>5.3081373745999998E-5</v>
      </c>
    </row>
    <row r="137" spans="2:5" ht="14.5" customHeight="1">
      <c r="B137" s="94"/>
      <c r="C137" s="58" t="s">
        <v>81</v>
      </c>
      <c r="D137" s="59">
        <v>6</v>
      </c>
      <c r="E137" s="60">
        <v>3.1848824247600002E-4</v>
      </c>
    </row>
    <row r="138" spans="2:5" ht="14.5" customHeight="1">
      <c r="B138" s="94"/>
      <c r="C138" s="58" t="s">
        <v>83</v>
      </c>
      <c r="D138" s="59">
        <v>1</v>
      </c>
      <c r="E138" s="60">
        <v>5.3081373745999998E-5</v>
      </c>
    </row>
    <row r="139" spans="2:5" ht="14.5" customHeight="1">
      <c r="B139" s="94"/>
      <c r="C139" s="58" t="s">
        <v>84</v>
      </c>
      <c r="D139" s="59">
        <v>14</v>
      </c>
      <c r="E139" s="60">
        <v>7.4313923244300004E-4</v>
      </c>
    </row>
    <row r="140" spans="2:5" ht="14.5" customHeight="1">
      <c r="B140" s="94"/>
      <c r="C140" s="58" t="s">
        <v>85</v>
      </c>
      <c r="D140" s="59">
        <v>1</v>
      </c>
      <c r="E140" s="60">
        <v>5.3081373745999998E-5</v>
      </c>
    </row>
    <row r="141" spans="2:5" ht="14.5" customHeight="1">
      <c r="B141" s="94"/>
      <c r="C141" s="58" t="s">
        <v>87</v>
      </c>
      <c r="D141" s="59">
        <v>1</v>
      </c>
      <c r="E141" s="60">
        <v>5.3081373745999998E-5</v>
      </c>
    </row>
    <row r="142" spans="2:5" ht="14.5" customHeight="1">
      <c r="B142" s="94"/>
      <c r="C142" s="58" t="s">
        <v>89</v>
      </c>
      <c r="D142" s="59">
        <v>2</v>
      </c>
      <c r="E142" s="60">
        <v>1.06162747492E-4</v>
      </c>
    </row>
    <row r="143" spans="2:5" ht="14.5" customHeight="1">
      <c r="B143" s="94"/>
      <c r="C143" s="58" t="s">
        <v>90</v>
      </c>
      <c r="D143" s="59">
        <v>83</v>
      </c>
      <c r="E143" s="60">
        <v>4.4057540209140001E-3</v>
      </c>
    </row>
    <row r="144" spans="2:5" ht="14.5" customHeight="1">
      <c r="B144" s="94"/>
      <c r="C144" s="58" t="s">
        <v>95</v>
      </c>
      <c r="D144" s="59">
        <v>3</v>
      </c>
      <c r="E144" s="60">
        <v>1.5924412123800001E-4</v>
      </c>
    </row>
    <row r="145" spans="2:5" ht="14.5" customHeight="1">
      <c r="B145" s="94"/>
      <c r="C145" s="35" t="s">
        <v>28</v>
      </c>
      <c r="D145" s="34">
        <v>294</v>
      </c>
      <c r="E145" s="33">
        <v>1.560592388131E-2</v>
      </c>
    </row>
    <row r="146" spans="2:5" ht="14.5" customHeight="1">
      <c r="B146" s="94" t="s">
        <v>240</v>
      </c>
      <c r="C146" s="58" t="s">
        <v>51</v>
      </c>
      <c r="D146" s="59">
        <v>4</v>
      </c>
      <c r="E146" s="60">
        <v>2.1232549498399999E-4</v>
      </c>
    </row>
    <row r="147" spans="2:5" ht="14.5" customHeight="1">
      <c r="B147" s="94"/>
      <c r="C147" s="58" t="s">
        <v>52</v>
      </c>
      <c r="D147" s="59">
        <v>63</v>
      </c>
      <c r="E147" s="60">
        <v>3.3441265459949999E-3</v>
      </c>
    </row>
    <row r="148" spans="2:5" ht="14.5" customHeight="1">
      <c r="B148" s="94"/>
      <c r="C148" s="58" t="s">
        <v>53</v>
      </c>
      <c r="D148" s="59">
        <v>21</v>
      </c>
      <c r="E148" s="60">
        <v>1.1147088486650001E-3</v>
      </c>
    </row>
    <row r="149" spans="2:5" ht="14.5" customHeight="1">
      <c r="B149" s="94"/>
      <c r="C149" s="58" t="s">
        <v>54</v>
      </c>
      <c r="D149" s="59">
        <v>417</v>
      </c>
      <c r="E149" s="60">
        <v>2.2134932852062E-2</v>
      </c>
    </row>
    <row r="150" spans="2:5" ht="14.5" customHeight="1">
      <c r="B150" s="94"/>
      <c r="C150" s="58" t="s">
        <v>55</v>
      </c>
      <c r="D150" s="59">
        <v>81</v>
      </c>
      <c r="E150" s="60">
        <v>4.2995912734219996E-3</v>
      </c>
    </row>
    <row r="151" spans="2:5" ht="14.5" customHeight="1">
      <c r="B151" s="94"/>
      <c r="C151" s="58" t="s">
        <v>56</v>
      </c>
      <c r="D151" s="59">
        <v>1</v>
      </c>
      <c r="E151" s="60">
        <v>5.3081373745999998E-5</v>
      </c>
    </row>
    <row r="152" spans="2:5" ht="14.5" customHeight="1">
      <c r="B152" s="94"/>
      <c r="C152" s="58" t="s">
        <v>57</v>
      </c>
      <c r="D152" s="59">
        <v>2</v>
      </c>
      <c r="E152" s="60">
        <v>1.06162747492E-4</v>
      </c>
    </row>
    <row r="153" spans="2:5" ht="14.5" customHeight="1">
      <c r="B153" s="94"/>
      <c r="C153" s="58" t="s">
        <v>58</v>
      </c>
      <c r="D153" s="59">
        <v>18</v>
      </c>
      <c r="E153" s="60">
        <v>9.5546472742699998E-4</v>
      </c>
    </row>
    <row r="154" spans="2:5" ht="14.5" customHeight="1">
      <c r="B154" s="94"/>
      <c r="C154" s="58" t="s">
        <v>59</v>
      </c>
      <c r="D154" s="59">
        <v>23</v>
      </c>
      <c r="E154" s="60">
        <v>1.220871596157E-3</v>
      </c>
    </row>
    <row r="155" spans="2:5" ht="14.5" customHeight="1">
      <c r="B155" s="94"/>
      <c r="C155" s="58" t="s">
        <v>61</v>
      </c>
      <c r="D155" s="59">
        <v>7</v>
      </c>
      <c r="E155" s="60">
        <v>3.71569616222E-4</v>
      </c>
    </row>
    <row r="156" spans="2:5" ht="14.5" customHeight="1">
      <c r="B156" s="94"/>
      <c r="C156" s="58" t="s">
        <v>62</v>
      </c>
      <c r="D156" s="59">
        <v>169</v>
      </c>
      <c r="E156" s="60">
        <v>8.9707521630660002E-3</v>
      </c>
    </row>
    <row r="157" spans="2:5" ht="14.5" customHeight="1">
      <c r="B157" s="94"/>
      <c r="C157" s="58" t="s">
        <v>63</v>
      </c>
      <c r="D157" s="59">
        <v>27</v>
      </c>
      <c r="E157" s="60">
        <v>1.4331970911409999E-3</v>
      </c>
    </row>
    <row r="158" spans="2:5" ht="14.5" customHeight="1">
      <c r="B158" s="94"/>
      <c r="C158" s="58" t="s">
        <v>64</v>
      </c>
      <c r="D158" s="59">
        <v>7</v>
      </c>
      <c r="E158" s="60">
        <v>3.71569616222E-4</v>
      </c>
    </row>
    <row r="159" spans="2:5" ht="14.5" customHeight="1">
      <c r="B159" s="94"/>
      <c r="C159" s="58" t="s">
        <v>65</v>
      </c>
      <c r="D159" s="59">
        <v>115</v>
      </c>
      <c r="E159" s="60">
        <v>6.1043579807849996E-3</v>
      </c>
    </row>
    <row r="160" spans="2:5" ht="14.5" customHeight="1">
      <c r="B160" s="94"/>
      <c r="C160" s="58" t="s">
        <v>66</v>
      </c>
      <c r="D160" s="59">
        <v>2</v>
      </c>
      <c r="E160" s="60">
        <v>1.06162747492E-4</v>
      </c>
    </row>
    <row r="161" spans="2:5" ht="14.5" customHeight="1">
      <c r="B161" s="94"/>
      <c r="C161" s="58" t="s">
        <v>70</v>
      </c>
      <c r="D161" s="59">
        <v>11</v>
      </c>
      <c r="E161" s="60">
        <v>5.8389511120500003E-4</v>
      </c>
    </row>
    <row r="162" spans="2:5" ht="14.5" customHeight="1">
      <c r="B162" s="94"/>
      <c r="C162" s="58" t="s">
        <v>71</v>
      </c>
      <c r="D162" s="59">
        <v>8</v>
      </c>
      <c r="E162" s="60">
        <v>4.2465098996799999E-4</v>
      </c>
    </row>
    <row r="163" spans="2:5" ht="14.5" customHeight="1">
      <c r="B163" s="94"/>
      <c r="C163" s="58" t="s">
        <v>72</v>
      </c>
      <c r="D163" s="59">
        <v>2</v>
      </c>
      <c r="E163" s="60">
        <v>1.06162747492E-4</v>
      </c>
    </row>
    <row r="164" spans="2:5" ht="14.5" customHeight="1">
      <c r="B164" s="94"/>
      <c r="C164" s="58" t="s">
        <v>73</v>
      </c>
      <c r="D164" s="59">
        <v>29</v>
      </c>
      <c r="E164" s="60">
        <v>1.539359838633E-3</v>
      </c>
    </row>
    <row r="165" spans="2:5" ht="14.5" customHeight="1">
      <c r="B165" s="94"/>
      <c r="C165" s="58" t="s">
        <v>75</v>
      </c>
      <c r="D165" s="59">
        <v>4</v>
      </c>
      <c r="E165" s="60">
        <v>2.1232549498399999E-4</v>
      </c>
    </row>
    <row r="166" spans="2:5" ht="14.5" customHeight="1">
      <c r="B166" s="94"/>
      <c r="C166" s="58" t="s">
        <v>76</v>
      </c>
      <c r="D166" s="59">
        <v>80</v>
      </c>
      <c r="E166" s="60">
        <v>4.2465098996760002E-3</v>
      </c>
    </row>
    <row r="167" spans="2:5" ht="14.5" customHeight="1">
      <c r="B167" s="94"/>
      <c r="C167" s="58" t="s">
        <v>79</v>
      </c>
      <c r="D167" s="59">
        <v>45</v>
      </c>
      <c r="E167" s="60">
        <v>2.3886618185680001E-3</v>
      </c>
    </row>
    <row r="168" spans="2:5" ht="14.5" customHeight="1">
      <c r="B168" s="94"/>
      <c r="C168" s="58" t="s">
        <v>80</v>
      </c>
      <c r="D168" s="59">
        <v>1</v>
      </c>
      <c r="E168" s="60">
        <v>5.3081373745999998E-5</v>
      </c>
    </row>
    <row r="169" spans="2:5" ht="14.5" customHeight="1">
      <c r="B169" s="94"/>
      <c r="C169" s="58" t="s">
        <v>81</v>
      </c>
      <c r="D169" s="59">
        <v>12</v>
      </c>
      <c r="E169" s="60">
        <v>6.3697648495099997E-4</v>
      </c>
    </row>
    <row r="170" spans="2:5" ht="14.5" customHeight="1">
      <c r="B170" s="94"/>
      <c r="C170" s="58" t="s">
        <v>83</v>
      </c>
      <c r="D170" s="59">
        <v>5</v>
      </c>
      <c r="E170" s="60">
        <v>2.6540686872999998E-4</v>
      </c>
    </row>
    <row r="171" spans="2:5" ht="14.5" customHeight="1">
      <c r="B171" s="94"/>
      <c r="C171" s="58" t="s">
        <v>84</v>
      </c>
      <c r="D171" s="59">
        <v>79</v>
      </c>
      <c r="E171" s="60">
        <v>4.19342852593E-3</v>
      </c>
    </row>
    <row r="172" spans="2:5" ht="14.5" customHeight="1">
      <c r="B172" s="94"/>
      <c r="C172" s="58" t="s">
        <v>85</v>
      </c>
      <c r="D172" s="59">
        <v>1</v>
      </c>
      <c r="E172" s="60">
        <v>5.3081373745999998E-5</v>
      </c>
    </row>
    <row r="173" spans="2:5" ht="14.5" customHeight="1">
      <c r="B173" s="94"/>
      <c r="C173" s="58" t="s">
        <v>86</v>
      </c>
      <c r="D173" s="59">
        <v>2</v>
      </c>
      <c r="E173" s="60">
        <v>1.06162747492E-4</v>
      </c>
    </row>
    <row r="174" spans="2:5" ht="14.5" customHeight="1">
      <c r="B174" s="94"/>
      <c r="C174" s="58" t="s">
        <v>87</v>
      </c>
      <c r="D174" s="59">
        <v>1</v>
      </c>
      <c r="E174" s="60">
        <v>5.3081373745999998E-5</v>
      </c>
    </row>
    <row r="175" spans="2:5" ht="14.5" customHeight="1">
      <c r="B175" s="94"/>
      <c r="C175" s="58" t="s">
        <v>89</v>
      </c>
      <c r="D175" s="59">
        <v>13</v>
      </c>
      <c r="E175" s="60">
        <v>6.90057858697E-4</v>
      </c>
    </row>
    <row r="176" spans="2:5" ht="14.5" customHeight="1">
      <c r="B176" s="94"/>
      <c r="C176" s="58" t="s">
        <v>90</v>
      </c>
      <c r="D176" s="59">
        <v>485</v>
      </c>
      <c r="E176" s="60">
        <v>2.5744466266786999E-2</v>
      </c>
    </row>
    <row r="177" spans="2:5" ht="14.5" customHeight="1">
      <c r="B177" s="94"/>
      <c r="C177" s="58" t="s">
        <v>91</v>
      </c>
      <c r="D177" s="59">
        <v>6</v>
      </c>
      <c r="E177" s="60">
        <v>3.1848824247600002E-4</v>
      </c>
    </row>
    <row r="178" spans="2:5" ht="14.5" customHeight="1">
      <c r="B178" s="94"/>
      <c r="C178" s="58" t="s">
        <v>92</v>
      </c>
      <c r="D178" s="59">
        <v>6</v>
      </c>
      <c r="E178" s="60">
        <v>3.1848824247600002E-4</v>
      </c>
    </row>
    <row r="179" spans="2:5" ht="14.5" customHeight="1">
      <c r="B179" s="94"/>
      <c r="C179" s="58" t="s">
        <v>93</v>
      </c>
      <c r="D179" s="59">
        <v>2</v>
      </c>
      <c r="E179" s="60">
        <v>1.06162747492E-4</v>
      </c>
    </row>
    <row r="180" spans="2:5" ht="14.5" customHeight="1">
      <c r="B180" s="94"/>
      <c r="C180" s="58" t="s">
        <v>95</v>
      </c>
      <c r="D180" s="59">
        <v>10</v>
      </c>
      <c r="E180" s="60">
        <v>5.3081373745999996E-4</v>
      </c>
    </row>
    <row r="181" spans="2:5" ht="14.5" customHeight="1">
      <c r="B181" s="94"/>
      <c r="C181" s="58" t="s">
        <v>96</v>
      </c>
      <c r="D181" s="59">
        <v>7</v>
      </c>
      <c r="E181" s="60">
        <v>3.71569616222E-4</v>
      </c>
    </row>
    <row r="182" spans="2:5" ht="14.5" customHeight="1">
      <c r="B182" s="94"/>
      <c r="C182" s="35" t="s">
        <v>28</v>
      </c>
      <c r="D182" s="34">
        <v>1766</v>
      </c>
      <c r="E182" s="33">
        <v>9.3741706035351993E-2</v>
      </c>
    </row>
    <row r="183" spans="2:5" ht="14.5" customHeight="1">
      <c r="B183" s="94" t="s">
        <v>241</v>
      </c>
      <c r="C183" s="58" t="s">
        <v>51</v>
      </c>
      <c r="D183" s="59">
        <v>8</v>
      </c>
      <c r="E183" s="60">
        <v>4.2465098996799999E-4</v>
      </c>
    </row>
    <row r="184" spans="2:5" ht="14.5" customHeight="1">
      <c r="B184" s="94"/>
      <c r="C184" s="58" t="s">
        <v>52</v>
      </c>
      <c r="D184" s="59">
        <v>79</v>
      </c>
      <c r="E184" s="60">
        <v>4.19342852593E-3</v>
      </c>
    </row>
    <row r="185" spans="2:5" ht="14.5" customHeight="1">
      <c r="B185" s="94"/>
      <c r="C185" s="58" t="s">
        <v>53</v>
      </c>
      <c r="D185" s="59">
        <v>42</v>
      </c>
      <c r="E185" s="60">
        <v>2.2294176973300002E-3</v>
      </c>
    </row>
    <row r="186" spans="2:5" ht="14.5" customHeight="1">
      <c r="B186" s="94"/>
      <c r="C186" s="58" t="s">
        <v>54</v>
      </c>
      <c r="D186" s="59">
        <v>572</v>
      </c>
      <c r="E186" s="60">
        <v>3.0362545782685001E-2</v>
      </c>
    </row>
    <row r="187" spans="2:5" ht="14.5" customHeight="1">
      <c r="B187" s="94"/>
      <c r="C187" s="58" t="s">
        <v>55</v>
      </c>
      <c r="D187" s="59">
        <v>120</v>
      </c>
      <c r="E187" s="60">
        <v>6.3697648495139999E-3</v>
      </c>
    </row>
    <row r="188" spans="2:5" ht="14.5" customHeight="1">
      <c r="B188" s="94"/>
      <c r="C188" s="58" t="s">
        <v>57</v>
      </c>
      <c r="D188" s="59">
        <v>1</v>
      </c>
      <c r="E188" s="60">
        <v>5.3081373745999998E-5</v>
      </c>
    </row>
    <row r="189" spans="2:5" ht="14.5" customHeight="1">
      <c r="B189" s="94"/>
      <c r="C189" s="58" t="s">
        <v>58</v>
      </c>
      <c r="D189" s="59">
        <v>30</v>
      </c>
      <c r="E189" s="60">
        <v>1.592441212379E-3</v>
      </c>
    </row>
    <row r="190" spans="2:5" ht="14.5" customHeight="1">
      <c r="B190" s="94"/>
      <c r="C190" s="58" t="s">
        <v>59</v>
      </c>
      <c r="D190" s="59">
        <v>41</v>
      </c>
      <c r="E190" s="60">
        <v>2.1763363235839999E-3</v>
      </c>
    </row>
    <row r="191" spans="2:5" ht="14.5" customHeight="1">
      <c r="B191" s="94"/>
      <c r="C191" s="58" t="s">
        <v>61</v>
      </c>
      <c r="D191" s="59">
        <v>13</v>
      </c>
      <c r="E191" s="60">
        <v>6.90057858697E-4</v>
      </c>
    </row>
    <row r="192" spans="2:5" ht="14.5" customHeight="1">
      <c r="B192" s="94"/>
      <c r="C192" s="58" t="s">
        <v>62</v>
      </c>
      <c r="D192" s="59">
        <v>641</v>
      </c>
      <c r="E192" s="60">
        <v>3.4025160571156003E-2</v>
      </c>
    </row>
    <row r="193" spans="2:5" ht="14.5" customHeight="1">
      <c r="B193" s="94"/>
      <c r="C193" s="58" t="s">
        <v>63</v>
      </c>
      <c r="D193" s="59">
        <v>45</v>
      </c>
      <c r="E193" s="60">
        <v>2.3886618185680001E-3</v>
      </c>
    </row>
    <row r="194" spans="2:5" ht="14.5" customHeight="1">
      <c r="B194" s="94"/>
      <c r="C194" s="58" t="s">
        <v>64</v>
      </c>
      <c r="D194" s="59">
        <v>8</v>
      </c>
      <c r="E194" s="60">
        <v>4.2465098996799999E-4</v>
      </c>
    </row>
    <row r="195" spans="2:5" ht="14.5" customHeight="1">
      <c r="B195" s="94"/>
      <c r="C195" s="58" t="s">
        <v>65</v>
      </c>
      <c r="D195" s="59">
        <v>130</v>
      </c>
      <c r="E195" s="60">
        <v>6.9005785869739999E-3</v>
      </c>
    </row>
    <row r="196" spans="2:5" ht="14.5" customHeight="1">
      <c r="B196" s="94"/>
      <c r="C196" s="58" t="s">
        <v>66</v>
      </c>
      <c r="D196" s="59">
        <v>8</v>
      </c>
      <c r="E196" s="60">
        <v>4.2465098996799999E-4</v>
      </c>
    </row>
    <row r="197" spans="2:5" ht="14.5" customHeight="1">
      <c r="B197" s="94"/>
      <c r="C197" s="58" t="s">
        <v>67</v>
      </c>
      <c r="D197" s="59">
        <v>6</v>
      </c>
      <c r="E197" s="60">
        <v>3.1848824247600002E-4</v>
      </c>
    </row>
    <row r="198" spans="2:5" ht="14.5" customHeight="1">
      <c r="B198" s="94"/>
      <c r="C198" s="58" t="s">
        <v>68</v>
      </c>
      <c r="D198" s="59">
        <v>1</v>
      </c>
      <c r="E198" s="60">
        <v>5.3081373745999998E-5</v>
      </c>
    </row>
    <row r="199" spans="2:5" ht="14.5" customHeight="1">
      <c r="B199" s="94"/>
      <c r="C199" s="58" t="s">
        <v>70</v>
      </c>
      <c r="D199" s="59">
        <v>23</v>
      </c>
      <c r="E199" s="60">
        <v>1.220871596157E-3</v>
      </c>
    </row>
    <row r="200" spans="2:5" ht="14.5" customHeight="1">
      <c r="B200" s="94"/>
      <c r="C200" s="58" t="s">
        <v>71</v>
      </c>
      <c r="D200" s="59">
        <v>24</v>
      </c>
      <c r="E200" s="60">
        <v>1.273952969903E-3</v>
      </c>
    </row>
    <row r="201" spans="2:5" ht="14.5" customHeight="1">
      <c r="B201" s="94"/>
      <c r="C201" s="58" t="s">
        <v>72</v>
      </c>
      <c r="D201" s="59">
        <v>3</v>
      </c>
      <c r="E201" s="60">
        <v>1.5924412123800001E-4</v>
      </c>
    </row>
    <row r="202" spans="2:5" ht="14.5" customHeight="1">
      <c r="B202" s="94"/>
      <c r="C202" s="58" t="s">
        <v>73</v>
      </c>
      <c r="D202" s="59">
        <v>26</v>
      </c>
      <c r="E202" s="60">
        <v>1.3801157173950001E-3</v>
      </c>
    </row>
    <row r="203" spans="2:5" ht="14.5" customHeight="1">
      <c r="B203" s="94"/>
      <c r="C203" s="58" t="s">
        <v>75</v>
      </c>
      <c r="D203" s="59">
        <v>10</v>
      </c>
      <c r="E203" s="60">
        <v>5.3081373745999996E-4</v>
      </c>
    </row>
    <row r="204" spans="2:5" ht="14.5" customHeight="1">
      <c r="B204" s="94"/>
      <c r="C204" s="58" t="s">
        <v>76</v>
      </c>
      <c r="D204" s="59">
        <v>83</v>
      </c>
      <c r="E204" s="60">
        <v>4.4057540209140001E-3</v>
      </c>
    </row>
    <row r="205" spans="2:5" ht="14.5" customHeight="1">
      <c r="B205" s="94"/>
      <c r="C205" s="58" t="s">
        <v>78</v>
      </c>
      <c r="D205" s="59">
        <v>1</v>
      </c>
      <c r="E205" s="60">
        <v>5.3081373745999998E-5</v>
      </c>
    </row>
    <row r="206" spans="2:5" ht="14.5" customHeight="1">
      <c r="B206" s="94"/>
      <c r="C206" s="58" t="s">
        <v>79</v>
      </c>
      <c r="D206" s="59">
        <v>46</v>
      </c>
      <c r="E206" s="60">
        <v>2.4417431923139999E-3</v>
      </c>
    </row>
    <row r="207" spans="2:5" ht="14.5" customHeight="1">
      <c r="B207" s="94"/>
      <c r="C207" s="58" t="s">
        <v>81</v>
      </c>
      <c r="D207" s="59">
        <v>52</v>
      </c>
      <c r="E207" s="60">
        <v>2.7602314347900002E-3</v>
      </c>
    </row>
    <row r="208" spans="2:5" ht="14.5" customHeight="1">
      <c r="B208" s="94"/>
      <c r="C208" s="58" t="s">
        <v>83</v>
      </c>
      <c r="D208" s="59">
        <v>10</v>
      </c>
      <c r="E208" s="60">
        <v>5.3081373745999996E-4</v>
      </c>
    </row>
    <row r="209" spans="2:5" ht="14.5" customHeight="1">
      <c r="B209" s="94"/>
      <c r="C209" s="58" t="s">
        <v>84</v>
      </c>
      <c r="D209" s="59">
        <v>121</v>
      </c>
      <c r="E209" s="60">
        <v>6.4228462232600002E-3</v>
      </c>
    </row>
    <row r="210" spans="2:5" ht="14.5" customHeight="1">
      <c r="B210" s="94"/>
      <c r="C210" s="58" t="s">
        <v>85</v>
      </c>
      <c r="D210" s="59">
        <v>2</v>
      </c>
      <c r="E210" s="60">
        <v>1.06162747492E-4</v>
      </c>
    </row>
    <row r="211" spans="2:5" ht="14.5" customHeight="1">
      <c r="B211" s="94"/>
      <c r="C211" s="58" t="s">
        <v>86</v>
      </c>
      <c r="D211" s="59">
        <v>1</v>
      </c>
      <c r="E211" s="60">
        <v>5.3081373745999998E-5</v>
      </c>
    </row>
    <row r="212" spans="2:5" ht="14.5" customHeight="1">
      <c r="B212" s="94"/>
      <c r="C212" s="58" t="s">
        <v>87</v>
      </c>
      <c r="D212" s="59">
        <v>6</v>
      </c>
      <c r="E212" s="60">
        <v>3.1848824247600002E-4</v>
      </c>
    </row>
    <row r="213" spans="2:5" ht="14.5" customHeight="1">
      <c r="B213" s="94"/>
      <c r="C213" s="58" t="s">
        <v>88</v>
      </c>
      <c r="D213" s="59">
        <v>2</v>
      </c>
      <c r="E213" s="60">
        <v>1.06162747492E-4</v>
      </c>
    </row>
    <row r="214" spans="2:5" ht="14.5" customHeight="1">
      <c r="B214" s="94"/>
      <c r="C214" s="58" t="s">
        <v>89</v>
      </c>
      <c r="D214" s="59">
        <v>23</v>
      </c>
      <c r="E214" s="60">
        <v>1.220871596157E-3</v>
      </c>
    </row>
    <row r="215" spans="2:5" ht="14.5" customHeight="1">
      <c r="B215" s="94"/>
      <c r="C215" s="58" t="s">
        <v>90</v>
      </c>
      <c r="D215" s="59">
        <v>640</v>
      </c>
      <c r="E215" s="60">
        <v>3.397207919741E-2</v>
      </c>
    </row>
    <row r="216" spans="2:5" ht="14.5" customHeight="1">
      <c r="B216" s="94"/>
      <c r="C216" s="58" t="s">
        <v>91</v>
      </c>
      <c r="D216" s="59">
        <v>11</v>
      </c>
      <c r="E216" s="60">
        <v>5.8389511120500003E-4</v>
      </c>
    </row>
    <row r="217" spans="2:5" ht="14.5" customHeight="1">
      <c r="B217" s="94"/>
      <c r="C217" s="58" t="s">
        <v>92</v>
      </c>
      <c r="D217" s="59">
        <v>6</v>
      </c>
      <c r="E217" s="60">
        <v>3.1848824247600002E-4</v>
      </c>
    </row>
    <row r="218" spans="2:5" ht="14.5" customHeight="1">
      <c r="B218" s="94"/>
      <c r="C218" s="58" t="s">
        <v>93</v>
      </c>
      <c r="D218" s="59">
        <v>12</v>
      </c>
      <c r="E218" s="60">
        <v>6.3697648495099997E-4</v>
      </c>
    </row>
    <row r="219" spans="2:5" ht="14.5" customHeight="1">
      <c r="B219" s="94"/>
      <c r="C219" s="58" t="s">
        <v>95</v>
      </c>
      <c r="D219" s="59">
        <v>36</v>
      </c>
      <c r="E219" s="60">
        <v>1.910929454854E-3</v>
      </c>
    </row>
    <row r="220" spans="2:5" ht="14.5" customHeight="1">
      <c r="B220" s="94"/>
      <c r="C220" s="58" t="s">
        <v>96</v>
      </c>
      <c r="D220" s="59">
        <v>4</v>
      </c>
      <c r="E220" s="60">
        <v>2.1232549498399999E-4</v>
      </c>
    </row>
    <row r="221" spans="2:5" ht="14.5" customHeight="1">
      <c r="B221" s="94"/>
      <c r="C221" s="35" t="s">
        <v>28</v>
      </c>
      <c r="D221" s="34">
        <v>2887</v>
      </c>
      <c r="E221" s="33">
        <v>0.15324592600456499</v>
      </c>
    </row>
    <row r="222" spans="2:5" ht="14.5" customHeight="1">
      <c r="B222" s="94" t="s">
        <v>242</v>
      </c>
      <c r="C222" s="58" t="s">
        <v>51</v>
      </c>
      <c r="D222" s="59">
        <v>2</v>
      </c>
      <c r="E222" s="60">
        <v>1.06162747492E-4</v>
      </c>
    </row>
    <row r="223" spans="2:5" ht="14.5" customHeight="1">
      <c r="B223" s="94"/>
      <c r="C223" s="58" t="s">
        <v>52</v>
      </c>
      <c r="D223" s="59">
        <v>15</v>
      </c>
      <c r="E223" s="60">
        <v>7.9622060618899997E-4</v>
      </c>
    </row>
    <row r="224" spans="2:5" ht="14.5" customHeight="1">
      <c r="B224" s="94"/>
      <c r="C224" s="58" t="s">
        <v>53</v>
      </c>
      <c r="D224" s="59">
        <v>1</v>
      </c>
      <c r="E224" s="60">
        <v>5.3081373745999998E-5</v>
      </c>
    </row>
    <row r="225" spans="2:5" ht="14.5" customHeight="1">
      <c r="B225" s="94"/>
      <c r="C225" s="58" t="s">
        <v>54</v>
      </c>
      <c r="D225" s="59">
        <v>30</v>
      </c>
      <c r="E225" s="60">
        <v>1.592441212379E-3</v>
      </c>
    </row>
    <row r="226" spans="2:5" ht="14.5" customHeight="1">
      <c r="B226" s="94"/>
      <c r="C226" s="58" t="s">
        <v>55</v>
      </c>
      <c r="D226" s="59">
        <v>13</v>
      </c>
      <c r="E226" s="60">
        <v>6.90057858697E-4</v>
      </c>
    </row>
    <row r="227" spans="2:5" ht="14.5" customHeight="1">
      <c r="B227" s="94"/>
      <c r="C227" s="58" t="s">
        <v>58</v>
      </c>
      <c r="D227" s="59">
        <v>1</v>
      </c>
      <c r="E227" s="60">
        <v>5.3081373745999998E-5</v>
      </c>
    </row>
    <row r="228" spans="2:5" ht="14.5" customHeight="1">
      <c r="B228" s="94"/>
      <c r="C228" s="58" t="s">
        <v>59</v>
      </c>
      <c r="D228" s="59">
        <v>1</v>
      </c>
      <c r="E228" s="60">
        <v>5.3081373745999998E-5</v>
      </c>
    </row>
    <row r="229" spans="2:5" ht="14.5" customHeight="1">
      <c r="B229" s="94"/>
      <c r="C229" s="58" t="s">
        <v>62</v>
      </c>
      <c r="D229" s="59">
        <v>15</v>
      </c>
      <c r="E229" s="60">
        <v>7.9622060618899997E-4</v>
      </c>
    </row>
    <row r="230" spans="2:5" ht="14.5" customHeight="1">
      <c r="B230" s="94"/>
      <c r="C230" s="58" t="s">
        <v>63</v>
      </c>
      <c r="D230" s="59">
        <v>1</v>
      </c>
      <c r="E230" s="60">
        <v>5.3081373745999998E-5</v>
      </c>
    </row>
    <row r="231" spans="2:5" ht="14.5" customHeight="1">
      <c r="B231" s="94"/>
      <c r="C231" s="58" t="s">
        <v>65</v>
      </c>
      <c r="D231" s="59">
        <v>17</v>
      </c>
      <c r="E231" s="60">
        <v>9.0238335368100005E-4</v>
      </c>
    </row>
    <row r="232" spans="2:5" ht="14.5" customHeight="1">
      <c r="B232" s="94"/>
      <c r="C232" s="58" t="s">
        <v>68</v>
      </c>
      <c r="D232" s="59">
        <v>1</v>
      </c>
      <c r="E232" s="60">
        <v>5.3081373745999998E-5</v>
      </c>
    </row>
    <row r="233" spans="2:5" ht="14.5" customHeight="1">
      <c r="B233" s="94"/>
      <c r="C233" s="58" t="s">
        <v>70</v>
      </c>
      <c r="D233" s="59">
        <v>1</v>
      </c>
      <c r="E233" s="60">
        <v>5.3081373745999998E-5</v>
      </c>
    </row>
    <row r="234" spans="2:5" ht="14.5" customHeight="1">
      <c r="B234" s="94"/>
      <c r="C234" s="58" t="s">
        <v>71</v>
      </c>
      <c r="D234" s="59">
        <v>4</v>
      </c>
      <c r="E234" s="60">
        <v>2.1232549498399999E-4</v>
      </c>
    </row>
    <row r="235" spans="2:5" ht="14.5" customHeight="1">
      <c r="B235" s="94"/>
      <c r="C235" s="58" t="s">
        <v>73</v>
      </c>
      <c r="D235" s="59">
        <v>4</v>
      </c>
      <c r="E235" s="60">
        <v>2.1232549498399999E-4</v>
      </c>
    </row>
    <row r="236" spans="2:5" ht="14.5" customHeight="1">
      <c r="B236" s="94"/>
      <c r="C236" s="58" t="s">
        <v>74</v>
      </c>
      <c r="D236" s="59">
        <v>2</v>
      </c>
      <c r="E236" s="60">
        <v>1.06162747492E-4</v>
      </c>
    </row>
    <row r="237" spans="2:5" ht="14.5" customHeight="1">
      <c r="B237" s="94"/>
      <c r="C237" s="58" t="s">
        <v>75</v>
      </c>
      <c r="D237" s="59">
        <v>2</v>
      </c>
      <c r="E237" s="60">
        <v>1.06162747492E-4</v>
      </c>
    </row>
    <row r="238" spans="2:5" ht="14.5" customHeight="1">
      <c r="B238" s="94"/>
      <c r="C238" s="58" t="s">
        <v>76</v>
      </c>
      <c r="D238" s="59">
        <v>7</v>
      </c>
      <c r="E238" s="60">
        <v>3.71569616222E-4</v>
      </c>
    </row>
    <row r="239" spans="2:5" ht="14.5" customHeight="1">
      <c r="B239" s="94"/>
      <c r="C239" s="58" t="s">
        <v>79</v>
      </c>
      <c r="D239" s="59">
        <v>7</v>
      </c>
      <c r="E239" s="60">
        <v>3.71569616222E-4</v>
      </c>
    </row>
    <row r="240" spans="2:5" ht="14.5" customHeight="1">
      <c r="B240" s="94"/>
      <c r="C240" s="58" t="s">
        <v>81</v>
      </c>
      <c r="D240" s="59">
        <v>2</v>
      </c>
      <c r="E240" s="60">
        <v>1.06162747492E-4</v>
      </c>
    </row>
    <row r="241" spans="2:5" ht="14.5" customHeight="1">
      <c r="B241" s="94"/>
      <c r="C241" s="58" t="s">
        <v>83</v>
      </c>
      <c r="D241" s="59">
        <v>1</v>
      </c>
      <c r="E241" s="60">
        <v>5.3081373745999998E-5</v>
      </c>
    </row>
    <row r="242" spans="2:5" ht="14.5" customHeight="1">
      <c r="B242" s="94"/>
      <c r="C242" s="58" t="s">
        <v>84</v>
      </c>
      <c r="D242" s="59">
        <v>12</v>
      </c>
      <c r="E242" s="60">
        <v>6.3697648495099997E-4</v>
      </c>
    </row>
    <row r="243" spans="2:5" ht="14.5" customHeight="1">
      <c r="B243" s="94"/>
      <c r="C243" s="58" t="s">
        <v>85</v>
      </c>
      <c r="D243" s="59">
        <v>1</v>
      </c>
      <c r="E243" s="60">
        <v>5.3081373745999998E-5</v>
      </c>
    </row>
    <row r="244" spans="2:5" ht="14.5" customHeight="1">
      <c r="B244" s="94"/>
      <c r="C244" s="58" t="s">
        <v>88</v>
      </c>
      <c r="D244" s="59">
        <v>1</v>
      </c>
      <c r="E244" s="60">
        <v>5.3081373745999998E-5</v>
      </c>
    </row>
    <row r="245" spans="2:5" ht="14.5" customHeight="1">
      <c r="B245" s="94"/>
      <c r="C245" s="58" t="s">
        <v>89</v>
      </c>
      <c r="D245" s="59">
        <v>1</v>
      </c>
      <c r="E245" s="60">
        <v>5.3081373745999998E-5</v>
      </c>
    </row>
    <row r="246" spans="2:5" ht="14.5" customHeight="1">
      <c r="B246" s="94"/>
      <c r="C246" s="58" t="s">
        <v>90</v>
      </c>
      <c r="D246" s="59">
        <v>41</v>
      </c>
      <c r="E246" s="60">
        <v>2.1763363235839999E-3</v>
      </c>
    </row>
    <row r="247" spans="2:5" ht="14.5" customHeight="1">
      <c r="B247" s="94"/>
      <c r="C247" s="58" t="s">
        <v>91</v>
      </c>
      <c r="D247" s="59">
        <v>1</v>
      </c>
      <c r="E247" s="60">
        <v>5.3081373745999998E-5</v>
      </c>
    </row>
    <row r="248" spans="2:5" ht="14.5" customHeight="1">
      <c r="B248" s="94"/>
      <c r="C248" s="35" t="s">
        <v>28</v>
      </c>
      <c r="D248" s="34">
        <v>184</v>
      </c>
      <c r="E248" s="33">
        <v>9.7669727692550005E-3</v>
      </c>
    </row>
    <row r="249" spans="2:5" ht="14.5" customHeight="1">
      <c r="B249" s="94" t="s">
        <v>243</v>
      </c>
      <c r="C249" s="58" t="s">
        <v>51</v>
      </c>
      <c r="D249" s="59">
        <v>3</v>
      </c>
      <c r="E249" s="60">
        <v>1.5924412123800001E-4</v>
      </c>
    </row>
    <row r="250" spans="2:5" ht="14.5" customHeight="1">
      <c r="B250" s="94"/>
      <c r="C250" s="58" t="s">
        <v>52</v>
      </c>
      <c r="D250" s="59">
        <v>15</v>
      </c>
      <c r="E250" s="60">
        <v>7.9622060618899997E-4</v>
      </c>
    </row>
    <row r="251" spans="2:5" ht="14.5" customHeight="1">
      <c r="B251" s="94"/>
      <c r="C251" s="58" t="s">
        <v>53</v>
      </c>
      <c r="D251" s="59">
        <v>8</v>
      </c>
      <c r="E251" s="60">
        <v>4.2465098996799999E-4</v>
      </c>
    </row>
    <row r="252" spans="2:5" ht="14.5" customHeight="1">
      <c r="B252" s="94"/>
      <c r="C252" s="58" t="s">
        <v>54</v>
      </c>
      <c r="D252" s="59">
        <v>75</v>
      </c>
      <c r="E252" s="60">
        <v>3.9811030309459998E-3</v>
      </c>
    </row>
    <row r="253" spans="2:5" ht="14.5" customHeight="1">
      <c r="B253" s="94"/>
      <c r="C253" s="58" t="s">
        <v>55</v>
      </c>
      <c r="D253" s="59">
        <v>35</v>
      </c>
      <c r="E253" s="60">
        <v>1.8578480811079999E-3</v>
      </c>
    </row>
    <row r="254" spans="2:5" ht="14.5" customHeight="1">
      <c r="B254" s="94"/>
      <c r="C254" s="58" t="s">
        <v>57</v>
      </c>
      <c r="D254" s="59">
        <v>1</v>
      </c>
      <c r="E254" s="60">
        <v>5.3081373745999998E-5</v>
      </c>
    </row>
    <row r="255" spans="2:5" ht="14.5" customHeight="1">
      <c r="B255" s="94"/>
      <c r="C255" s="58" t="s">
        <v>58</v>
      </c>
      <c r="D255" s="59">
        <v>2</v>
      </c>
      <c r="E255" s="60">
        <v>1.06162747492E-4</v>
      </c>
    </row>
    <row r="256" spans="2:5" ht="14.5" customHeight="1">
      <c r="B256" s="94"/>
      <c r="C256" s="58" t="s">
        <v>59</v>
      </c>
      <c r="D256" s="59">
        <v>10</v>
      </c>
      <c r="E256" s="60">
        <v>5.3081373745999996E-4</v>
      </c>
    </row>
    <row r="257" spans="2:5" ht="14.5" customHeight="1">
      <c r="B257" s="94"/>
      <c r="C257" s="58" t="s">
        <v>62</v>
      </c>
      <c r="D257" s="59">
        <v>28</v>
      </c>
      <c r="E257" s="60">
        <v>1.4862784648869999E-3</v>
      </c>
    </row>
    <row r="258" spans="2:5" ht="14.5" customHeight="1">
      <c r="B258" s="94"/>
      <c r="C258" s="58" t="s">
        <v>63</v>
      </c>
      <c r="D258" s="59">
        <v>6</v>
      </c>
      <c r="E258" s="60">
        <v>3.1848824247600002E-4</v>
      </c>
    </row>
    <row r="259" spans="2:5" ht="14.5" customHeight="1">
      <c r="B259" s="94"/>
      <c r="C259" s="58" t="s">
        <v>64</v>
      </c>
      <c r="D259" s="59">
        <v>3</v>
      </c>
      <c r="E259" s="60">
        <v>1.5924412123800001E-4</v>
      </c>
    </row>
    <row r="260" spans="2:5" ht="14.5" customHeight="1">
      <c r="B260" s="94"/>
      <c r="C260" s="58" t="s">
        <v>65</v>
      </c>
      <c r="D260" s="59">
        <v>44</v>
      </c>
      <c r="E260" s="60">
        <v>2.3355804448219998E-3</v>
      </c>
    </row>
    <row r="261" spans="2:5" ht="14.5" customHeight="1">
      <c r="B261" s="94"/>
      <c r="C261" s="58" t="s">
        <v>67</v>
      </c>
      <c r="D261" s="59">
        <v>1</v>
      </c>
      <c r="E261" s="60">
        <v>5.3081373745999998E-5</v>
      </c>
    </row>
    <row r="262" spans="2:5" ht="14.5" customHeight="1">
      <c r="B262" s="94"/>
      <c r="C262" s="58" t="s">
        <v>68</v>
      </c>
      <c r="D262" s="59">
        <v>1</v>
      </c>
      <c r="E262" s="60">
        <v>5.3081373745999998E-5</v>
      </c>
    </row>
    <row r="263" spans="2:5" ht="14.5" customHeight="1">
      <c r="B263" s="94"/>
      <c r="C263" s="58" t="s">
        <v>70</v>
      </c>
      <c r="D263" s="59">
        <v>5</v>
      </c>
      <c r="E263" s="60">
        <v>2.6540686872999998E-4</v>
      </c>
    </row>
    <row r="264" spans="2:5" ht="14.5" customHeight="1">
      <c r="B264" s="94"/>
      <c r="C264" s="58" t="s">
        <v>71</v>
      </c>
      <c r="D264" s="59">
        <v>1</v>
      </c>
      <c r="E264" s="60">
        <v>5.3081373745999998E-5</v>
      </c>
    </row>
    <row r="265" spans="2:5" ht="14.5" customHeight="1">
      <c r="B265" s="94"/>
      <c r="C265" s="58" t="s">
        <v>72</v>
      </c>
      <c r="D265" s="59">
        <v>1</v>
      </c>
      <c r="E265" s="60">
        <v>5.3081373745999998E-5</v>
      </c>
    </row>
    <row r="266" spans="2:5" ht="14.5" customHeight="1">
      <c r="B266" s="94"/>
      <c r="C266" s="58" t="s">
        <v>73</v>
      </c>
      <c r="D266" s="59">
        <v>3</v>
      </c>
      <c r="E266" s="60">
        <v>1.5924412123800001E-4</v>
      </c>
    </row>
    <row r="267" spans="2:5" ht="14.5" customHeight="1">
      <c r="B267" s="94"/>
      <c r="C267" s="58" t="s">
        <v>75</v>
      </c>
      <c r="D267" s="59">
        <v>4</v>
      </c>
      <c r="E267" s="60">
        <v>2.1232549498399999E-4</v>
      </c>
    </row>
    <row r="268" spans="2:5" ht="14.5" customHeight="1">
      <c r="B268" s="94"/>
      <c r="C268" s="58" t="s">
        <v>76</v>
      </c>
      <c r="D268" s="59">
        <v>16</v>
      </c>
      <c r="E268" s="60">
        <v>8.4930197993500001E-4</v>
      </c>
    </row>
    <row r="269" spans="2:5" ht="14.5" customHeight="1">
      <c r="B269" s="94"/>
      <c r="C269" s="58" t="s">
        <v>79</v>
      </c>
      <c r="D269" s="59">
        <v>11</v>
      </c>
      <c r="E269" s="60">
        <v>5.8389511120500003E-4</v>
      </c>
    </row>
    <row r="270" spans="2:5" ht="14.5" customHeight="1">
      <c r="B270" s="94"/>
      <c r="C270" s="58" t="s">
        <v>81</v>
      </c>
      <c r="D270" s="59">
        <v>6</v>
      </c>
      <c r="E270" s="60">
        <v>3.1848824247600002E-4</v>
      </c>
    </row>
    <row r="271" spans="2:5" ht="14.5" customHeight="1">
      <c r="B271" s="94"/>
      <c r="C271" s="58" t="s">
        <v>83</v>
      </c>
      <c r="D271" s="59">
        <v>2</v>
      </c>
      <c r="E271" s="60">
        <v>1.06162747492E-4</v>
      </c>
    </row>
    <row r="272" spans="2:5" ht="14.5" customHeight="1">
      <c r="B272" s="94"/>
      <c r="C272" s="58" t="s">
        <v>84</v>
      </c>
      <c r="D272" s="59">
        <v>25</v>
      </c>
      <c r="E272" s="60">
        <v>1.327034343649E-3</v>
      </c>
    </row>
    <row r="273" spans="2:5" ht="14.5" customHeight="1">
      <c r="B273" s="94"/>
      <c r="C273" s="58" t="s">
        <v>87</v>
      </c>
      <c r="D273" s="59">
        <v>1</v>
      </c>
      <c r="E273" s="60">
        <v>5.3081373745999998E-5</v>
      </c>
    </row>
    <row r="274" spans="2:5" ht="14.5" customHeight="1">
      <c r="B274" s="94"/>
      <c r="C274" s="58" t="s">
        <v>89</v>
      </c>
      <c r="D274" s="59">
        <v>5</v>
      </c>
      <c r="E274" s="60">
        <v>2.6540686872999998E-4</v>
      </c>
    </row>
    <row r="275" spans="2:5" ht="14.5" customHeight="1">
      <c r="B275" s="94"/>
      <c r="C275" s="58" t="s">
        <v>90</v>
      </c>
      <c r="D275" s="59">
        <v>103</v>
      </c>
      <c r="E275" s="60">
        <v>5.467381495833E-3</v>
      </c>
    </row>
    <row r="276" spans="2:5" ht="14.5" customHeight="1">
      <c r="B276" s="94"/>
      <c r="C276" s="58" t="s">
        <v>92</v>
      </c>
      <c r="D276" s="59">
        <v>1</v>
      </c>
      <c r="E276" s="60">
        <v>5.3081373745999998E-5</v>
      </c>
    </row>
    <row r="277" spans="2:5" ht="14.5" customHeight="1">
      <c r="B277" s="94"/>
      <c r="C277" s="58" t="s">
        <v>95</v>
      </c>
      <c r="D277" s="59">
        <v>1</v>
      </c>
      <c r="E277" s="60">
        <v>5.3081373745999998E-5</v>
      </c>
    </row>
    <row r="278" spans="2:5" ht="14.5" customHeight="1">
      <c r="B278" s="94"/>
      <c r="C278" s="58" t="s">
        <v>96</v>
      </c>
      <c r="D278" s="59">
        <v>3</v>
      </c>
      <c r="E278" s="60">
        <v>1.5924412123800001E-4</v>
      </c>
    </row>
    <row r="279" spans="2:5" ht="14.5" customHeight="1">
      <c r="B279" s="94"/>
      <c r="C279" s="35" t="s">
        <v>28</v>
      </c>
      <c r="D279" s="34">
        <v>420</v>
      </c>
      <c r="E279" s="33">
        <v>2.2294176973299999E-2</v>
      </c>
    </row>
    <row r="280" spans="2:5" ht="14.5" customHeight="1">
      <c r="B280" s="94" t="s">
        <v>244</v>
      </c>
      <c r="C280" s="58" t="s">
        <v>51</v>
      </c>
      <c r="D280" s="59">
        <v>2</v>
      </c>
      <c r="E280" s="60">
        <v>1.06162747492E-4</v>
      </c>
    </row>
    <row r="281" spans="2:5" ht="14.5" customHeight="1">
      <c r="B281" s="94"/>
      <c r="C281" s="58" t="s">
        <v>52</v>
      </c>
      <c r="D281" s="59">
        <v>27</v>
      </c>
      <c r="E281" s="60">
        <v>1.4331970911409999E-3</v>
      </c>
    </row>
    <row r="282" spans="2:5" ht="14.5" customHeight="1">
      <c r="B282" s="94"/>
      <c r="C282" s="58" t="s">
        <v>53</v>
      </c>
      <c r="D282" s="59">
        <v>19</v>
      </c>
      <c r="E282" s="60">
        <v>1.008546101173E-3</v>
      </c>
    </row>
    <row r="283" spans="2:5" ht="14.5" customHeight="1">
      <c r="B283" s="94"/>
      <c r="C283" s="58" t="s">
        <v>54</v>
      </c>
      <c r="D283" s="59">
        <v>104</v>
      </c>
      <c r="E283" s="60">
        <v>5.5204628695790002E-3</v>
      </c>
    </row>
    <row r="284" spans="2:5" ht="14.5" customHeight="1">
      <c r="B284" s="94"/>
      <c r="C284" s="58" t="s">
        <v>55</v>
      </c>
      <c r="D284" s="59">
        <v>51</v>
      </c>
      <c r="E284" s="60">
        <v>2.7071500610439999E-3</v>
      </c>
    </row>
    <row r="285" spans="2:5" ht="14.5" customHeight="1">
      <c r="B285" s="94"/>
      <c r="C285" s="58" t="s">
        <v>57</v>
      </c>
      <c r="D285" s="59">
        <v>1</v>
      </c>
      <c r="E285" s="60">
        <v>5.3081373745999998E-5</v>
      </c>
    </row>
    <row r="286" spans="2:5" ht="14.5" customHeight="1">
      <c r="B286" s="94"/>
      <c r="C286" s="58" t="s">
        <v>58</v>
      </c>
      <c r="D286" s="59">
        <v>8</v>
      </c>
      <c r="E286" s="60">
        <v>4.2465098996799999E-4</v>
      </c>
    </row>
    <row r="287" spans="2:5" ht="14.5" customHeight="1">
      <c r="B287" s="94"/>
      <c r="C287" s="58" t="s">
        <v>59</v>
      </c>
      <c r="D287" s="59">
        <v>10</v>
      </c>
      <c r="E287" s="60">
        <v>5.3081373745999996E-4</v>
      </c>
    </row>
    <row r="288" spans="2:5" ht="14.5" customHeight="1">
      <c r="B288" s="94"/>
      <c r="C288" s="58" t="s">
        <v>61</v>
      </c>
      <c r="D288" s="59">
        <v>6</v>
      </c>
      <c r="E288" s="60">
        <v>3.1848824247600002E-4</v>
      </c>
    </row>
    <row r="289" spans="2:5" ht="14.5" customHeight="1">
      <c r="B289" s="94"/>
      <c r="C289" s="58" t="s">
        <v>62</v>
      </c>
      <c r="D289" s="59">
        <v>71</v>
      </c>
      <c r="E289" s="60">
        <v>3.7687775359630002E-3</v>
      </c>
    </row>
    <row r="290" spans="2:5" ht="14.5" customHeight="1">
      <c r="B290" s="94"/>
      <c r="C290" s="58" t="s">
        <v>63</v>
      </c>
      <c r="D290" s="59">
        <v>10</v>
      </c>
      <c r="E290" s="60">
        <v>5.3081373745999996E-4</v>
      </c>
    </row>
    <row r="291" spans="2:5" ht="14.5" customHeight="1">
      <c r="B291" s="94"/>
      <c r="C291" s="58" t="s">
        <v>64</v>
      </c>
      <c r="D291" s="59">
        <v>2</v>
      </c>
      <c r="E291" s="60">
        <v>1.06162747492E-4</v>
      </c>
    </row>
    <row r="292" spans="2:5" ht="14.5" customHeight="1">
      <c r="B292" s="94"/>
      <c r="C292" s="58" t="s">
        <v>65</v>
      </c>
      <c r="D292" s="59">
        <v>63</v>
      </c>
      <c r="E292" s="60">
        <v>3.3441265459949999E-3</v>
      </c>
    </row>
    <row r="293" spans="2:5" ht="14.5" customHeight="1">
      <c r="B293" s="94"/>
      <c r="C293" s="58" t="s">
        <v>66</v>
      </c>
      <c r="D293" s="59">
        <v>1</v>
      </c>
      <c r="E293" s="60">
        <v>5.3081373745999998E-5</v>
      </c>
    </row>
    <row r="294" spans="2:5" ht="14.5" customHeight="1">
      <c r="B294" s="94"/>
      <c r="C294" s="58" t="s">
        <v>67</v>
      </c>
      <c r="D294" s="59">
        <v>1</v>
      </c>
      <c r="E294" s="60">
        <v>5.3081373745999998E-5</v>
      </c>
    </row>
    <row r="295" spans="2:5" ht="14.5" customHeight="1">
      <c r="B295" s="94"/>
      <c r="C295" s="58" t="s">
        <v>70</v>
      </c>
      <c r="D295" s="59">
        <v>10</v>
      </c>
      <c r="E295" s="60">
        <v>5.3081373745999996E-4</v>
      </c>
    </row>
    <row r="296" spans="2:5" ht="14.5" customHeight="1">
      <c r="B296" s="94"/>
      <c r="C296" s="58" t="s">
        <v>71</v>
      </c>
      <c r="D296" s="59">
        <v>4</v>
      </c>
      <c r="E296" s="60">
        <v>2.1232549498399999E-4</v>
      </c>
    </row>
    <row r="297" spans="2:5" ht="14.5" customHeight="1">
      <c r="B297" s="94"/>
      <c r="C297" s="58" t="s">
        <v>73</v>
      </c>
      <c r="D297" s="59">
        <v>11</v>
      </c>
      <c r="E297" s="60">
        <v>5.8389511120500003E-4</v>
      </c>
    </row>
    <row r="298" spans="2:5" ht="14.5" customHeight="1">
      <c r="B298" s="94"/>
      <c r="C298" s="58" t="s">
        <v>75</v>
      </c>
      <c r="D298" s="59">
        <v>4</v>
      </c>
      <c r="E298" s="60">
        <v>2.1232549498399999E-4</v>
      </c>
    </row>
    <row r="299" spans="2:5" ht="14.5" customHeight="1">
      <c r="B299" s="94"/>
      <c r="C299" s="58" t="s">
        <v>76</v>
      </c>
      <c r="D299" s="59">
        <v>31</v>
      </c>
      <c r="E299" s="60">
        <v>1.6455225861250001E-3</v>
      </c>
    </row>
    <row r="300" spans="2:5" ht="14.5" customHeight="1">
      <c r="B300" s="94"/>
      <c r="C300" s="58" t="s">
        <v>79</v>
      </c>
      <c r="D300" s="59">
        <v>11</v>
      </c>
      <c r="E300" s="60">
        <v>5.8389511120500003E-4</v>
      </c>
    </row>
    <row r="301" spans="2:5" ht="14.5" customHeight="1">
      <c r="B301" s="94"/>
      <c r="C301" s="58" t="s">
        <v>80</v>
      </c>
      <c r="D301" s="59">
        <v>1</v>
      </c>
      <c r="E301" s="60">
        <v>5.3081373745999998E-5</v>
      </c>
    </row>
    <row r="302" spans="2:5" ht="14.5" customHeight="1">
      <c r="B302" s="94"/>
      <c r="C302" s="58" t="s">
        <v>81</v>
      </c>
      <c r="D302" s="59">
        <v>7</v>
      </c>
      <c r="E302" s="60">
        <v>3.71569616222E-4</v>
      </c>
    </row>
    <row r="303" spans="2:5" ht="14.5" customHeight="1">
      <c r="B303" s="94"/>
      <c r="C303" s="58" t="s">
        <v>83</v>
      </c>
      <c r="D303" s="59">
        <v>3</v>
      </c>
      <c r="E303" s="60">
        <v>1.5924412123800001E-4</v>
      </c>
    </row>
    <row r="304" spans="2:5" ht="14.5" customHeight="1">
      <c r="B304" s="94"/>
      <c r="C304" s="58" t="s">
        <v>84</v>
      </c>
      <c r="D304" s="59">
        <v>30</v>
      </c>
      <c r="E304" s="60">
        <v>1.592441212379E-3</v>
      </c>
    </row>
    <row r="305" spans="2:5" ht="14.5" customHeight="1">
      <c r="B305" s="94"/>
      <c r="C305" s="58" t="s">
        <v>85</v>
      </c>
      <c r="D305" s="59">
        <v>2</v>
      </c>
      <c r="E305" s="60">
        <v>1.06162747492E-4</v>
      </c>
    </row>
    <row r="306" spans="2:5" ht="14.5" customHeight="1">
      <c r="B306" s="94"/>
      <c r="C306" s="58" t="s">
        <v>87</v>
      </c>
      <c r="D306" s="59">
        <v>2</v>
      </c>
      <c r="E306" s="60">
        <v>1.06162747492E-4</v>
      </c>
    </row>
    <row r="307" spans="2:5" ht="14.5" customHeight="1">
      <c r="B307" s="94"/>
      <c r="C307" s="58" t="s">
        <v>89</v>
      </c>
      <c r="D307" s="59">
        <v>8</v>
      </c>
      <c r="E307" s="60">
        <v>4.2465098996799999E-4</v>
      </c>
    </row>
    <row r="308" spans="2:5" ht="14.5" customHeight="1">
      <c r="B308" s="94"/>
      <c r="C308" s="58" t="s">
        <v>90</v>
      </c>
      <c r="D308" s="59">
        <v>226</v>
      </c>
      <c r="E308" s="60">
        <v>1.1996390466585001E-2</v>
      </c>
    </row>
    <row r="309" spans="2:5" ht="14.5" customHeight="1">
      <c r="B309" s="94"/>
      <c r="C309" s="58" t="s">
        <v>91</v>
      </c>
      <c r="D309" s="59">
        <v>3</v>
      </c>
      <c r="E309" s="60">
        <v>1.5924412123800001E-4</v>
      </c>
    </row>
    <row r="310" spans="2:5" ht="14.5" customHeight="1">
      <c r="B310" s="94"/>
      <c r="C310" s="58" t="s">
        <v>92</v>
      </c>
      <c r="D310" s="59">
        <v>5</v>
      </c>
      <c r="E310" s="60">
        <v>2.6540686872999998E-4</v>
      </c>
    </row>
    <row r="311" spans="2:5" ht="14.5" customHeight="1">
      <c r="B311" s="94"/>
      <c r="C311" s="58" t="s">
        <v>93</v>
      </c>
      <c r="D311" s="59">
        <v>6</v>
      </c>
      <c r="E311" s="60">
        <v>3.1848824247600002E-4</v>
      </c>
    </row>
    <row r="312" spans="2:5" ht="14.5" customHeight="1">
      <c r="B312" s="94"/>
      <c r="C312" s="58" t="s">
        <v>95</v>
      </c>
      <c r="D312" s="59">
        <v>8</v>
      </c>
      <c r="E312" s="60">
        <v>4.2465098996799999E-4</v>
      </c>
    </row>
    <row r="313" spans="2:5" ht="14.5" customHeight="1">
      <c r="B313" s="94"/>
      <c r="C313" s="58" t="s">
        <v>96</v>
      </c>
      <c r="D313" s="59">
        <v>2</v>
      </c>
      <c r="E313" s="60">
        <v>1.06162747492E-4</v>
      </c>
    </row>
    <row r="314" spans="2:5" ht="14.5" customHeight="1">
      <c r="B314" s="94"/>
      <c r="C314" s="35" t="s">
        <v>28</v>
      </c>
      <c r="D314" s="34">
        <v>750</v>
      </c>
      <c r="E314" s="33">
        <v>3.9811030309464E-2</v>
      </c>
    </row>
    <row r="315" spans="2:5" ht="14.5" customHeight="1">
      <c r="B315" s="94" t="s">
        <v>245</v>
      </c>
      <c r="C315" s="58" t="s">
        <v>51</v>
      </c>
      <c r="D315" s="59">
        <v>19</v>
      </c>
      <c r="E315" s="60">
        <v>1.008546101173E-3</v>
      </c>
    </row>
    <row r="316" spans="2:5" ht="14.5" customHeight="1">
      <c r="B316" s="94"/>
      <c r="C316" s="58" t="s">
        <v>52</v>
      </c>
      <c r="D316" s="59">
        <v>163</v>
      </c>
      <c r="E316" s="60">
        <v>8.6522639205900004E-3</v>
      </c>
    </row>
    <row r="317" spans="2:5" ht="14.5" customHeight="1">
      <c r="B317" s="94"/>
      <c r="C317" s="58" t="s">
        <v>53</v>
      </c>
      <c r="D317" s="59">
        <v>91</v>
      </c>
      <c r="E317" s="60">
        <v>4.8304050108819996E-3</v>
      </c>
    </row>
    <row r="318" spans="2:5" ht="14.5" customHeight="1">
      <c r="B318" s="94"/>
      <c r="C318" s="58" t="s">
        <v>54</v>
      </c>
      <c r="D318" s="59">
        <v>857</v>
      </c>
      <c r="E318" s="60">
        <v>4.5490737300280998E-2</v>
      </c>
    </row>
    <row r="319" spans="2:5" ht="14.5" customHeight="1">
      <c r="B319" s="94"/>
      <c r="C319" s="58" t="s">
        <v>55</v>
      </c>
      <c r="D319" s="59">
        <v>278</v>
      </c>
      <c r="E319" s="60">
        <v>1.4756621901375E-2</v>
      </c>
    </row>
    <row r="320" spans="2:5" ht="14.5" customHeight="1">
      <c r="B320" s="94"/>
      <c r="C320" s="58" t="s">
        <v>56</v>
      </c>
      <c r="D320" s="59">
        <v>2</v>
      </c>
      <c r="E320" s="60">
        <v>1.06162747492E-4</v>
      </c>
    </row>
    <row r="321" spans="2:5" ht="14.5" customHeight="1">
      <c r="B321" s="94"/>
      <c r="C321" s="58" t="s">
        <v>57</v>
      </c>
      <c r="D321" s="59">
        <v>7</v>
      </c>
      <c r="E321" s="60">
        <v>3.71569616222E-4</v>
      </c>
    </row>
    <row r="322" spans="2:5" ht="14.5" customHeight="1">
      <c r="B322" s="94"/>
      <c r="C322" s="58" t="s">
        <v>58</v>
      </c>
      <c r="D322" s="59">
        <v>54</v>
      </c>
      <c r="E322" s="60">
        <v>2.8663941822810002E-3</v>
      </c>
    </row>
    <row r="323" spans="2:5" ht="14.5" customHeight="1">
      <c r="B323" s="94"/>
      <c r="C323" s="58" t="s">
        <v>59</v>
      </c>
      <c r="D323" s="59">
        <v>117</v>
      </c>
      <c r="E323" s="60">
        <v>6.210520728276E-3</v>
      </c>
    </row>
    <row r="324" spans="2:5" ht="14.5" customHeight="1">
      <c r="B324" s="94"/>
      <c r="C324" s="58" t="s">
        <v>61</v>
      </c>
      <c r="D324" s="59">
        <v>17</v>
      </c>
      <c r="E324" s="60">
        <v>9.0238335368100005E-4</v>
      </c>
    </row>
    <row r="325" spans="2:5" ht="14.5" customHeight="1">
      <c r="B325" s="94"/>
      <c r="C325" s="58" t="s">
        <v>62</v>
      </c>
      <c r="D325" s="59">
        <v>1007</v>
      </c>
      <c r="E325" s="60">
        <v>5.3452943362174002E-2</v>
      </c>
    </row>
    <row r="326" spans="2:5" ht="14.5" customHeight="1">
      <c r="B326" s="94"/>
      <c r="C326" s="58" t="s">
        <v>63</v>
      </c>
      <c r="D326" s="59">
        <v>89</v>
      </c>
      <c r="E326" s="60">
        <v>4.7242422633899999E-3</v>
      </c>
    </row>
    <row r="327" spans="2:5" ht="14.5" customHeight="1">
      <c r="B327" s="94"/>
      <c r="C327" s="58" t="s">
        <v>64</v>
      </c>
      <c r="D327" s="59">
        <v>10</v>
      </c>
      <c r="E327" s="60">
        <v>5.3081373745999996E-4</v>
      </c>
    </row>
    <row r="328" spans="2:5" ht="14.5" customHeight="1">
      <c r="B328" s="94"/>
      <c r="C328" s="58" t="s">
        <v>65</v>
      </c>
      <c r="D328" s="59">
        <v>296</v>
      </c>
      <c r="E328" s="60">
        <v>1.5712086628802E-2</v>
      </c>
    </row>
    <row r="329" spans="2:5" ht="14.5" customHeight="1">
      <c r="B329" s="94"/>
      <c r="C329" s="58" t="s">
        <v>66</v>
      </c>
      <c r="D329" s="59">
        <v>24</v>
      </c>
      <c r="E329" s="60">
        <v>1.273952969903E-3</v>
      </c>
    </row>
    <row r="330" spans="2:5" ht="14.5" customHeight="1">
      <c r="B330" s="94"/>
      <c r="C330" s="58" t="s">
        <v>67</v>
      </c>
      <c r="D330" s="59">
        <v>12</v>
      </c>
      <c r="E330" s="60">
        <v>6.3697648495099997E-4</v>
      </c>
    </row>
    <row r="331" spans="2:5" ht="14.5" customHeight="1">
      <c r="B331" s="94"/>
      <c r="C331" s="58" t="s">
        <v>68</v>
      </c>
      <c r="D331" s="59">
        <v>2</v>
      </c>
      <c r="E331" s="60">
        <v>1.06162747492E-4</v>
      </c>
    </row>
    <row r="332" spans="2:5" ht="14.5" customHeight="1">
      <c r="B332" s="94"/>
      <c r="C332" s="58" t="s">
        <v>70</v>
      </c>
      <c r="D332" s="59">
        <v>29</v>
      </c>
      <c r="E332" s="60">
        <v>1.539359838633E-3</v>
      </c>
    </row>
    <row r="333" spans="2:5" ht="14.5" customHeight="1">
      <c r="B333" s="94"/>
      <c r="C333" s="58" t="s">
        <v>71</v>
      </c>
      <c r="D333" s="59">
        <v>71</v>
      </c>
      <c r="E333" s="60">
        <v>3.7687775359630002E-3</v>
      </c>
    </row>
    <row r="334" spans="2:5" ht="14.5" customHeight="1">
      <c r="B334" s="94"/>
      <c r="C334" s="58" t="s">
        <v>72</v>
      </c>
      <c r="D334" s="59">
        <v>3</v>
      </c>
      <c r="E334" s="60">
        <v>1.5924412123800001E-4</v>
      </c>
    </row>
    <row r="335" spans="2:5" ht="14.5" customHeight="1">
      <c r="B335" s="94"/>
      <c r="C335" s="58" t="s">
        <v>73</v>
      </c>
      <c r="D335" s="59">
        <v>60</v>
      </c>
      <c r="E335" s="60">
        <v>3.184882424757E-3</v>
      </c>
    </row>
    <row r="336" spans="2:5" ht="14.5" customHeight="1">
      <c r="B336" s="94"/>
      <c r="C336" s="58" t="s">
        <v>74</v>
      </c>
      <c r="D336" s="59">
        <v>2</v>
      </c>
      <c r="E336" s="60">
        <v>1.06162747492E-4</v>
      </c>
    </row>
    <row r="337" spans="2:5" ht="14.5" customHeight="1">
      <c r="B337" s="94"/>
      <c r="C337" s="58" t="s">
        <v>75</v>
      </c>
      <c r="D337" s="59">
        <v>19</v>
      </c>
      <c r="E337" s="60">
        <v>1.008546101173E-3</v>
      </c>
    </row>
    <row r="338" spans="2:5" ht="14.5" customHeight="1">
      <c r="B338" s="94"/>
      <c r="C338" s="58" t="s">
        <v>76</v>
      </c>
      <c r="D338" s="59">
        <v>152</v>
      </c>
      <c r="E338" s="60">
        <v>8.0683688093849994E-3</v>
      </c>
    </row>
    <row r="339" spans="2:5" ht="14.5" customHeight="1">
      <c r="B339" s="94"/>
      <c r="C339" s="58" t="s">
        <v>77</v>
      </c>
      <c r="D339" s="59">
        <v>1</v>
      </c>
      <c r="E339" s="60">
        <v>5.3081373745999998E-5</v>
      </c>
    </row>
    <row r="340" spans="2:5" ht="14.5" customHeight="1">
      <c r="B340" s="94"/>
      <c r="C340" s="58" t="s">
        <v>78</v>
      </c>
      <c r="D340" s="59">
        <v>8</v>
      </c>
      <c r="E340" s="60">
        <v>4.2465098996799999E-4</v>
      </c>
    </row>
    <row r="341" spans="2:5" ht="14.5" customHeight="1">
      <c r="B341" s="94"/>
      <c r="C341" s="58" t="s">
        <v>79</v>
      </c>
      <c r="D341" s="59">
        <v>159</v>
      </c>
      <c r="E341" s="60">
        <v>8.4399384256059994E-3</v>
      </c>
    </row>
    <row r="342" spans="2:5" ht="14.5" customHeight="1">
      <c r="B342" s="94"/>
      <c r="C342" s="58" t="s">
        <v>80</v>
      </c>
      <c r="D342" s="59">
        <v>10</v>
      </c>
      <c r="E342" s="60">
        <v>5.3081373745999996E-4</v>
      </c>
    </row>
    <row r="343" spans="2:5" ht="14.5" customHeight="1">
      <c r="B343" s="94"/>
      <c r="C343" s="58" t="s">
        <v>81</v>
      </c>
      <c r="D343" s="59">
        <v>80</v>
      </c>
      <c r="E343" s="60">
        <v>4.2465098996760002E-3</v>
      </c>
    </row>
    <row r="344" spans="2:5" ht="14.5" customHeight="1">
      <c r="B344" s="94"/>
      <c r="C344" s="58" t="s">
        <v>82</v>
      </c>
      <c r="D344" s="59">
        <v>7</v>
      </c>
      <c r="E344" s="60">
        <v>3.71569616222E-4</v>
      </c>
    </row>
    <row r="345" spans="2:5" ht="14.5" customHeight="1">
      <c r="B345" s="94"/>
      <c r="C345" s="58" t="s">
        <v>83</v>
      </c>
      <c r="D345" s="59">
        <v>24</v>
      </c>
      <c r="E345" s="60">
        <v>1.273952969903E-3</v>
      </c>
    </row>
    <row r="346" spans="2:5" ht="14.5" customHeight="1">
      <c r="B346" s="94"/>
      <c r="C346" s="58" t="s">
        <v>84</v>
      </c>
      <c r="D346" s="59">
        <v>300</v>
      </c>
      <c r="E346" s="60">
        <v>1.5924412123786001E-2</v>
      </c>
    </row>
    <row r="347" spans="2:5" ht="14.5" customHeight="1">
      <c r="B347" s="94"/>
      <c r="C347" s="58" t="s">
        <v>85</v>
      </c>
      <c r="D347" s="59">
        <v>5</v>
      </c>
      <c r="E347" s="60">
        <v>2.6540686872999998E-4</v>
      </c>
    </row>
    <row r="348" spans="2:5" ht="14.5" customHeight="1">
      <c r="B348" s="94"/>
      <c r="C348" s="58" t="s">
        <v>86</v>
      </c>
      <c r="D348" s="59">
        <v>1</v>
      </c>
      <c r="E348" s="60">
        <v>5.3081373745999998E-5</v>
      </c>
    </row>
    <row r="349" spans="2:5" ht="14.5" customHeight="1">
      <c r="B349" s="94"/>
      <c r="C349" s="58" t="s">
        <v>87</v>
      </c>
      <c r="D349" s="59">
        <v>16</v>
      </c>
      <c r="E349" s="60">
        <v>8.4930197993500001E-4</v>
      </c>
    </row>
    <row r="350" spans="2:5" ht="14.5" customHeight="1">
      <c r="B350" s="94"/>
      <c r="C350" s="58" t="s">
        <v>88</v>
      </c>
      <c r="D350" s="59">
        <v>1</v>
      </c>
      <c r="E350" s="60">
        <v>5.3081373745999998E-5</v>
      </c>
    </row>
    <row r="351" spans="2:5" ht="14.5" customHeight="1">
      <c r="B351" s="94"/>
      <c r="C351" s="58" t="s">
        <v>89</v>
      </c>
      <c r="D351" s="59">
        <v>72</v>
      </c>
      <c r="E351" s="60">
        <v>3.821858909709E-3</v>
      </c>
    </row>
    <row r="352" spans="2:5" ht="14.5" customHeight="1">
      <c r="B352" s="94"/>
      <c r="C352" s="58" t="s">
        <v>90</v>
      </c>
      <c r="D352" s="59">
        <v>1816</v>
      </c>
      <c r="E352" s="60">
        <v>9.6395774722649999E-2</v>
      </c>
    </row>
    <row r="353" spans="2:5" ht="14.5" customHeight="1">
      <c r="B353" s="94"/>
      <c r="C353" s="58" t="s">
        <v>91</v>
      </c>
      <c r="D353" s="59">
        <v>21</v>
      </c>
      <c r="E353" s="60">
        <v>1.1147088486650001E-3</v>
      </c>
    </row>
    <row r="354" spans="2:5" ht="14.5" customHeight="1">
      <c r="B354" s="94"/>
      <c r="C354" s="58" t="s">
        <v>92</v>
      </c>
      <c r="D354" s="59">
        <v>11</v>
      </c>
      <c r="E354" s="60">
        <v>5.8389511120500003E-4</v>
      </c>
    </row>
    <row r="355" spans="2:5" ht="14.5" customHeight="1">
      <c r="B355" s="94"/>
      <c r="C355" s="58" t="s">
        <v>93</v>
      </c>
      <c r="D355" s="59">
        <v>21</v>
      </c>
      <c r="E355" s="60">
        <v>1.1147088486650001E-3</v>
      </c>
    </row>
    <row r="356" spans="2:5" ht="14.5" customHeight="1">
      <c r="B356" s="94"/>
      <c r="C356" s="58" t="s">
        <v>94</v>
      </c>
      <c r="D356" s="59">
        <v>1</v>
      </c>
      <c r="E356" s="60">
        <v>5.3081373745999998E-5</v>
      </c>
    </row>
    <row r="357" spans="2:5" ht="14.5" customHeight="1">
      <c r="B357" s="94"/>
      <c r="C357" s="58" t="s">
        <v>95</v>
      </c>
      <c r="D357" s="59">
        <v>70</v>
      </c>
      <c r="E357" s="60">
        <v>3.7156961622169999E-3</v>
      </c>
    </row>
    <row r="358" spans="2:5" ht="14.5" customHeight="1">
      <c r="B358" s="94"/>
      <c r="C358" s="58" t="s">
        <v>96</v>
      </c>
      <c r="D358" s="59">
        <v>17</v>
      </c>
      <c r="E358" s="60">
        <v>9.0238335368100005E-4</v>
      </c>
    </row>
    <row r="359" spans="2:5" ht="14.5" customHeight="1">
      <c r="B359" s="94"/>
      <c r="C359" s="35" t="s">
        <v>28</v>
      </c>
      <c r="D359" s="34">
        <v>6022</v>
      </c>
      <c r="E359" s="33">
        <v>0.31965603269812598</v>
      </c>
    </row>
    <row r="360" spans="2:5" ht="14.5" customHeight="1">
      <c r="B360" s="94" t="s">
        <v>246</v>
      </c>
      <c r="C360" s="58" t="s">
        <v>51</v>
      </c>
      <c r="D360" s="59">
        <v>1</v>
      </c>
      <c r="E360" s="60">
        <v>5.3081373745999998E-5</v>
      </c>
    </row>
    <row r="361" spans="2:5" ht="14.5" customHeight="1">
      <c r="B361" s="94"/>
      <c r="C361" s="58" t="s">
        <v>52</v>
      </c>
      <c r="D361" s="59">
        <v>9</v>
      </c>
      <c r="E361" s="60">
        <v>4.7773236371400003E-4</v>
      </c>
    </row>
    <row r="362" spans="2:5" ht="14.5" customHeight="1">
      <c r="B362" s="94"/>
      <c r="C362" s="58" t="s">
        <v>53</v>
      </c>
      <c r="D362" s="59">
        <v>4</v>
      </c>
      <c r="E362" s="60">
        <v>2.1232549498399999E-4</v>
      </c>
    </row>
    <row r="363" spans="2:5" ht="14.5" customHeight="1">
      <c r="B363" s="94"/>
      <c r="C363" s="58" t="s">
        <v>54</v>
      </c>
      <c r="D363" s="59">
        <v>56</v>
      </c>
      <c r="E363" s="60">
        <v>2.9725569297729998E-3</v>
      </c>
    </row>
    <row r="364" spans="2:5" ht="14.5" customHeight="1">
      <c r="B364" s="94"/>
      <c r="C364" s="58" t="s">
        <v>55</v>
      </c>
      <c r="D364" s="59">
        <v>14</v>
      </c>
      <c r="E364" s="60">
        <v>7.4313923244300004E-4</v>
      </c>
    </row>
    <row r="365" spans="2:5" ht="14.5" customHeight="1">
      <c r="B365" s="94"/>
      <c r="C365" s="58" t="s">
        <v>58</v>
      </c>
      <c r="D365" s="59">
        <v>4</v>
      </c>
      <c r="E365" s="60">
        <v>2.1232549498399999E-4</v>
      </c>
    </row>
    <row r="366" spans="2:5" ht="14.5" customHeight="1">
      <c r="B366" s="94"/>
      <c r="C366" s="58" t="s">
        <v>59</v>
      </c>
      <c r="D366" s="59">
        <v>5</v>
      </c>
      <c r="E366" s="60">
        <v>2.6540686872999998E-4</v>
      </c>
    </row>
    <row r="367" spans="2:5" ht="14.5" customHeight="1">
      <c r="B367" s="94"/>
      <c r="C367" s="58" t="s">
        <v>61</v>
      </c>
      <c r="D367" s="59">
        <v>1</v>
      </c>
      <c r="E367" s="60">
        <v>5.3081373745999998E-5</v>
      </c>
    </row>
    <row r="368" spans="2:5" ht="14.5" customHeight="1">
      <c r="B368" s="94"/>
      <c r="C368" s="58" t="s">
        <v>62</v>
      </c>
      <c r="D368" s="59">
        <v>27</v>
      </c>
      <c r="E368" s="60">
        <v>1.4331970911409999E-3</v>
      </c>
    </row>
    <row r="369" spans="2:5" ht="14.5" customHeight="1">
      <c r="B369" s="94"/>
      <c r="C369" s="58" t="s">
        <v>63</v>
      </c>
      <c r="D369" s="59">
        <v>2</v>
      </c>
      <c r="E369" s="60">
        <v>1.06162747492E-4</v>
      </c>
    </row>
    <row r="370" spans="2:5" ht="14.5" customHeight="1">
      <c r="B370" s="94"/>
      <c r="C370" s="58" t="s">
        <v>65</v>
      </c>
      <c r="D370" s="59">
        <v>16</v>
      </c>
      <c r="E370" s="60">
        <v>8.4930197993500001E-4</v>
      </c>
    </row>
    <row r="371" spans="2:5" ht="14.5" customHeight="1">
      <c r="B371" s="94"/>
      <c r="C371" s="58" t="s">
        <v>66</v>
      </c>
      <c r="D371" s="59">
        <v>1</v>
      </c>
      <c r="E371" s="60">
        <v>5.3081373745999998E-5</v>
      </c>
    </row>
    <row r="372" spans="2:5" ht="14.5" customHeight="1">
      <c r="B372" s="94"/>
      <c r="C372" s="58" t="s">
        <v>70</v>
      </c>
      <c r="D372" s="59">
        <v>2</v>
      </c>
      <c r="E372" s="60">
        <v>1.06162747492E-4</v>
      </c>
    </row>
    <row r="373" spans="2:5" ht="14.5" customHeight="1">
      <c r="B373" s="94"/>
      <c r="C373" s="58" t="s">
        <v>71</v>
      </c>
      <c r="D373" s="59">
        <v>3</v>
      </c>
      <c r="E373" s="60">
        <v>1.5924412123800001E-4</v>
      </c>
    </row>
    <row r="374" spans="2:5" ht="14.5" customHeight="1">
      <c r="B374" s="94"/>
      <c r="C374" s="58" t="s">
        <v>73</v>
      </c>
      <c r="D374" s="59">
        <v>5</v>
      </c>
      <c r="E374" s="60">
        <v>2.6540686872999998E-4</v>
      </c>
    </row>
    <row r="375" spans="2:5" ht="14.5" customHeight="1">
      <c r="B375" s="94"/>
      <c r="C375" s="58" t="s">
        <v>75</v>
      </c>
      <c r="D375" s="59">
        <v>1</v>
      </c>
      <c r="E375" s="60">
        <v>5.3081373745999998E-5</v>
      </c>
    </row>
    <row r="376" spans="2:5" ht="14.5" customHeight="1">
      <c r="B376" s="94"/>
      <c r="C376" s="58" t="s">
        <v>76</v>
      </c>
      <c r="D376" s="59">
        <v>6</v>
      </c>
      <c r="E376" s="60">
        <v>3.1848824247600002E-4</v>
      </c>
    </row>
    <row r="377" spans="2:5" ht="14.5" customHeight="1">
      <c r="B377" s="94"/>
      <c r="C377" s="58" t="s">
        <v>79</v>
      </c>
      <c r="D377" s="59">
        <v>9</v>
      </c>
      <c r="E377" s="60">
        <v>4.7773236371400003E-4</v>
      </c>
    </row>
    <row r="378" spans="2:5" ht="14.5" customHeight="1">
      <c r="B378" s="94"/>
      <c r="C378" s="58" t="s">
        <v>81</v>
      </c>
      <c r="D378" s="59">
        <v>4</v>
      </c>
      <c r="E378" s="60">
        <v>2.1232549498399999E-4</v>
      </c>
    </row>
    <row r="379" spans="2:5" ht="14.5" customHeight="1">
      <c r="B379" s="94"/>
      <c r="C379" s="58" t="s">
        <v>83</v>
      </c>
      <c r="D379" s="59">
        <v>1</v>
      </c>
      <c r="E379" s="60">
        <v>5.3081373745999998E-5</v>
      </c>
    </row>
    <row r="380" spans="2:5" ht="14.5" customHeight="1">
      <c r="B380" s="94"/>
      <c r="C380" s="58" t="s">
        <v>84</v>
      </c>
      <c r="D380" s="59">
        <v>8</v>
      </c>
      <c r="E380" s="60">
        <v>4.2465098996799999E-4</v>
      </c>
    </row>
    <row r="381" spans="2:5" ht="14.5" customHeight="1">
      <c r="B381" s="94"/>
      <c r="C381" s="58" t="s">
        <v>85</v>
      </c>
      <c r="D381" s="59">
        <v>2</v>
      </c>
      <c r="E381" s="60">
        <v>1.06162747492E-4</v>
      </c>
    </row>
    <row r="382" spans="2:5" ht="14.5" customHeight="1">
      <c r="B382" s="94"/>
      <c r="C382" s="58" t="s">
        <v>89</v>
      </c>
      <c r="D382" s="59">
        <v>2</v>
      </c>
      <c r="E382" s="60">
        <v>1.06162747492E-4</v>
      </c>
    </row>
    <row r="383" spans="2:5" ht="14.5" customHeight="1">
      <c r="B383" s="94"/>
      <c r="C383" s="58" t="s">
        <v>90</v>
      </c>
      <c r="D383" s="59">
        <v>75</v>
      </c>
      <c r="E383" s="60">
        <v>3.9811030309459998E-3</v>
      </c>
    </row>
    <row r="384" spans="2:5" ht="14.5" customHeight="1">
      <c r="B384" s="94"/>
      <c r="C384" s="58" t="s">
        <v>92</v>
      </c>
      <c r="D384" s="59">
        <v>1</v>
      </c>
      <c r="E384" s="60">
        <v>5.3081373745999998E-5</v>
      </c>
    </row>
    <row r="385" spans="2:5" ht="14.5" customHeight="1">
      <c r="B385" s="94"/>
      <c r="C385" s="58" t="s">
        <v>95</v>
      </c>
      <c r="D385" s="59">
        <v>6</v>
      </c>
      <c r="E385" s="60">
        <v>3.1848824247600002E-4</v>
      </c>
    </row>
    <row r="386" spans="2:5" ht="14.5" customHeight="1">
      <c r="B386" s="94"/>
      <c r="C386" s="58" t="s">
        <v>96</v>
      </c>
      <c r="D386" s="59">
        <v>1</v>
      </c>
      <c r="E386" s="60">
        <v>5.3081373745999998E-5</v>
      </c>
    </row>
    <row r="387" spans="2:5" ht="14.5" customHeight="1">
      <c r="B387" s="94"/>
      <c r="C387" s="35" t="s">
        <v>28</v>
      </c>
      <c r="D387" s="34">
        <v>266</v>
      </c>
      <c r="E387" s="33">
        <v>1.4119645416423E-2</v>
      </c>
    </row>
    <row r="388" spans="2:5" ht="14.5" customHeight="1">
      <c r="B388" s="94" t="s">
        <v>247</v>
      </c>
      <c r="C388" s="58" t="s">
        <v>52</v>
      </c>
      <c r="D388" s="59">
        <v>32</v>
      </c>
      <c r="E388" s="60">
        <v>1.69860395987E-3</v>
      </c>
    </row>
    <row r="389" spans="2:5" ht="14.5" customHeight="1">
      <c r="B389" s="94"/>
      <c r="C389" s="58" t="s">
        <v>53</v>
      </c>
      <c r="D389" s="59">
        <v>19</v>
      </c>
      <c r="E389" s="60">
        <v>1.008546101173E-3</v>
      </c>
    </row>
    <row r="390" spans="2:5" ht="14.5" customHeight="1">
      <c r="B390" s="94"/>
      <c r="C390" s="58" t="s">
        <v>54</v>
      </c>
      <c r="D390" s="59">
        <v>125</v>
      </c>
      <c r="E390" s="60">
        <v>6.6351717182440003E-3</v>
      </c>
    </row>
    <row r="391" spans="2:5" ht="14.5" customHeight="1">
      <c r="B391" s="94"/>
      <c r="C391" s="58" t="s">
        <v>55</v>
      </c>
      <c r="D391" s="59">
        <v>64</v>
      </c>
      <c r="E391" s="60">
        <v>3.3972079197410001E-3</v>
      </c>
    </row>
    <row r="392" spans="2:5" ht="14.5" customHeight="1">
      <c r="B392" s="94"/>
      <c r="C392" s="58" t="s">
        <v>58</v>
      </c>
      <c r="D392" s="59">
        <v>14</v>
      </c>
      <c r="E392" s="60">
        <v>7.4313923244300004E-4</v>
      </c>
    </row>
    <row r="393" spans="2:5" ht="14.5" customHeight="1">
      <c r="B393" s="94"/>
      <c r="C393" s="58" t="s">
        <v>59</v>
      </c>
      <c r="D393" s="59">
        <v>17</v>
      </c>
      <c r="E393" s="60">
        <v>9.0238335368100005E-4</v>
      </c>
    </row>
    <row r="394" spans="2:5" ht="14.5" customHeight="1">
      <c r="B394" s="94"/>
      <c r="C394" s="58" t="s">
        <v>61</v>
      </c>
      <c r="D394" s="59">
        <v>9</v>
      </c>
      <c r="E394" s="60">
        <v>4.7773236371400003E-4</v>
      </c>
    </row>
    <row r="395" spans="2:5" ht="14.5" customHeight="1">
      <c r="B395" s="94"/>
      <c r="C395" s="58" t="s">
        <v>62</v>
      </c>
      <c r="D395" s="59">
        <v>101</v>
      </c>
      <c r="E395" s="60">
        <v>5.3612187483410003E-3</v>
      </c>
    </row>
    <row r="396" spans="2:5" ht="14.5" customHeight="1">
      <c r="B396" s="94"/>
      <c r="C396" s="58" t="s">
        <v>63</v>
      </c>
      <c r="D396" s="59">
        <v>17</v>
      </c>
      <c r="E396" s="60">
        <v>9.0238335368100005E-4</v>
      </c>
    </row>
    <row r="397" spans="2:5" ht="14.5" customHeight="1">
      <c r="B397" s="94"/>
      <c r="C397" s="58" t="s">
        <v>64</v>
      </c>
      <c r="D397" s="59">
        <v>7</v>
      </c>
      <c r="E397" s="60">
        <v>3.71569616222E-4</v>
      </c>
    </row>
    <row r="398" spans="2:5" ht="14.5" customHeight="1">
      <c r="B398" s="94"/>
      <c r="C398" s="58" t="s">
        <v>65</v>
      </c>
      <c r="D398" s="59">
        <v>81</v>
      </c>
      <c r="E398" s="60">
        <v>4.2995912734219996E-3</v>
      </c>
    </row>
    <row r="399" spans="2:5" ht="14.5" customHeight="1">
      <c r="B399" s="94"/>
      <c r="C399" s="58" t="s">
        <v>66</v>
      </c>
      <c r="D399" s="59">
        <v>5</v>
      </c>
      <c r="E399" s="60">
        <v>2.6540686872999998E-4</v>
      </c>
    </row>
    <row r="400" spans="2:5" ht="14.5" customHeight="1">
      <c r="B400" s="94"/>
      <c r="C400" s="58" t="s">
        <v>67</v>
      </c>
      <c r="D400" s="59">
        <v>6</v>
      </c>
      <c r="E400" s="60">
        <v>3.1848824247600002E-4</v>
      </c>
    </row>
    <row r="401" spans="2:5" ht="14.5" customHeight="1">
      <c r="B401" s="94"/>
      <c r="C401" s="58" t="s">
        <v>70</v>
      </c>
      <c r="D401" s="59">
        <v>8</v>
      </c>
      <c r="E401" s="60">
        <v>4.2465098996799999E-4</v>
      </c>
    </row>
    <row r="402" spans="2:5" ht="14.5" customHeight="1">
      <c r="B402" s="94"/>
      <c r="C402" s="58" t="s">
        <v>71</v>
      </c>
      <c r="D402" s="59">
        <v>10</v>
      </c>
      <c r="E402" s="60">
        <v>5.3081373745999996E-4</v>
      </c>
    </row>
    <row r="403" spans="2:5" ht="14.5" customHeight="1">
      <c r="B403" s="94"/>
      <c r="C403" s="58" t="s">
        <v>72</v>
      </c>
      <c r="D403" s="59">
        <v>2</v>
      </c>
      <c r="E403" s="60">
        <v>1.06162747492E-4</v>
      </c>
    </row>
    <row r="404" spans="2:5" ht="14.5" customHeight="1">
      <c r="B404" s="94"/>
      <c r="C404" s="58" t="s">
        <v>73</v>
      </c>
      <c r="D404" s="59">
        <v>8</v>
      </c>
      <c r="E404" s="60">
        <v>4.2465098996799999E-4</v>
      </c>
    </row>
    <row r="405" spans="2:5" ht="14.5" customHeight="1">
      <c r="B405" s="94"/>
      <c r="C405" s="58" t="s">
        <v>75</v>
      </c>
      <c r="D405" s="59">
        <v>10</v>
      </c>
      <c r="E405" s="60">
        <v>5.3081373745999996E-4</v>
      </c>
    </row>
    <row r="406" spans="2:5" ht="14.5" customHeight="1">
      <c r="B406" s="94"/>
      <c r="C406" s="58" t="s">
        <v>76</v>
      </c>
      <c r="D406" s="59">
        <v>44</v>
      </c>
      <c r="E406" s="60">
        <v>2.3355804448219998E-3</v>
      </c>
    </row>
    <row r="407" spans="2:5" ht="14.5" customHeight="1">
      <c r="B407" s="94"/>
      <c r="C407" s="58" t="s">
        <v>78</v>
      </c>
      <c r="D407" s="59">
        <v>1</v>
      </c>
      <c r="E407" s="60">
        <v>5.3081373745999998E-5</v>
      </c>
    </row>
    <row r="408" spans="2:5" ht="14.5" customHeight="1">
      <c r="B408" s="94"/>
      <c r="C408" s="58" t="s">
        <v>79</v>
      </c>
      <c r="D408" s="59">
        <v>22</v>
      </c>
      <c r="E408" s="60">
        <v>1.1677902224109999E-3</v>
      </c>
    </row>
    <row r="409" spans="2:5" ht="14.5" customHeight="1">
      <c r="B409" s="94"/>
      <c r="C409" s="58" t="s">
        <v>80</v>
      </c>
      <c r="D409" s="59">
        <v>1</v>
      </c>
      <c r="E409" s="60">
        <v>5.3081373745999998E-5</v>
      </c>
    </row>
    <row r="410" spans="2:5" ht="14.5" customHeight="1">
      <c r="B410" s="94"/>
      <c r="C410" s="58" t="s">
        <v>81</v>
      </c>
      <c r="D410" s="59">
        <v>15</v>
      </c>
      <c r="E410" s="60">
        <v>7.9622060618899997E-4</v>
      </c>
    </row>
    <row r="411" spans="2:5" ht="14.5" customHeight="1">
      <c r="B411" s="94"/>
      <c r="C411" s="58" t="s">
        <v>82</v>
      </c>
      <c r="D411" s="59">
        <v>1</v>
      </c>
      <c r="E411" s="60">
        <v>5.3081373745999998E-5</v>
      </c>
    </row>
    <row r="412" spans="2:5" ht="14.5" customHeight="1">
      <c r="B412" s="94"/>
      <c r="C412" s="58" t="s">
        <v>83</v>
      </c>
      <c r="D412" s="59">
        <v>5</v>
      </c>
      <c r="E412" s="60">
        <v>2.6540686872999998E-4</v>
      </c>
    </row>
    <row r="413" spans="2:5" ht="14.5" customHeight="1">
      <c r="B413" s="94"/>
      <c r="C413" s="58" t="s">
        <v>84</v>
      </c>
      <c r="D413" s="59">
        <v>51</v>
      </c>
      <c r="E413" s="60">
        <v>2.7071500610439999E-3</v>
      </c>
    </row>
    <row r="414" spans="2:5" ht="14.5" customHeight="1">
      <c r="B414" s="94"/>
      <c r="C414" s="58" t="s">
        <v>85</v>
      </c>
      <c r="D414" s="59">
        <v>2</v>
      </c>
      <c r="E414" s="60">
        <v>1.06162747492E-4</v>
      </c>
    </row>
    <row r="415" spans="2:5" ht="14.5" customHeight="1">
      <c r="B415" s="94"/>
      <c r="C415" s="58" t="s">
        <v>86</v>
      </c>
      <c r="D415" s="59">
        <v>1</v>
      </c>
      <c r="E415" s="60">
        <v>5.3081373745999998E-5</v>
      </c>
    </row>
    <row r="416" spans="2:5" ht="14.5" customHeight="1">
      <c r="B416" s="94"/>
      <c r="C416" s="58" t="s">
        <v>87</v>
      </c>
      <c r="D416" s="59">
        <v>3</v>
      </c>
      <c r="E416" s="60">
        <v>1.5924412123800001E-4</v>
      </c>
    </row>
    <row r="417" spans="2:5" ht="14.5" customHeight="1">
      <c r="B417" s="94"/>
      <c r="C417" s="58" t="s">
        <v>89</v>
      </c>
      <c r="D417" s="59">
        <v>21</v>
      </c>
      <c r="E417" s="60">
        <v>1.1147088486650001E-3</v>
      </c>
    </row>
    <row r="418" spans="2:5" ht="14.5" customHeight="1">
      <c r="B418" s="94"/>
      <c r="C418" s="58" t="s">
        <v>90</v>
      </c>
      <c r="D418" s="59">
        <v>316</v>
      </c>
      <c r="E418" s="60">
        <v>1.6773714103720999E-2</v>
      </c>
    </row>
    <row r="419" spans="2:5" ht="14.5" customHeight="1">
      <c r="B419" s="94"/>
      <c r="C419" s="58" t="s">
        <v>91</v>
      </c>
      <c r="D419" s="59">
        <v>4</v>
      </c>
      <c r="E419" s="60">
        <v>2.1232549498399999E-4</v>
      </c>
    </row>
    <row r="420" spans="2:5" ht="14.5" customHeight="1">
      <c r="B420" s="94"/>
      <c r="C420" s="58" t="s">
        <v>92</v>
      </c>
      <c r="D420" s="59">
        <v>3</v>
      </c>
      <c r="E420" s="60">
        <v>1.5924412123800001E-4</v>
      </c>
    </row>
    <row r="421" spans="2:5" ht="14.5" customHeight="1">
      <c r="B421" s="94"/>
      <c r="C421" s="58" t="s">
        <v>93</v>
      </c>
      <c r="D421" s="59">
        <v>2</v>
      </c>
      <c r="E421" s="60">
        <v>1.06162747492E-4</v>
      </c>
    </row>
    <row r="422" spans="2:5" ht="14.5" customHeight="1">
      <c r="B422" s="94"/>
      <c r="C422" s="58" t="s">
        <v>95</v>
      </c>
      <c r="D422" s="59">
        <v>7</v>
      </c>
      <c r="E422" s="60">
        <v>3.71569616222E-4</v>
      </c>
    </row>
    <row r="423" spans="2:5" ht="14.5" customHeight="1">
      <c r="B423" s="94"/>
      <c r="C423" s="58" t="s">
        <v>96</v>
      </c>
      <c r="D423" s="59">
        <v>1</v>
      </c>
      <c r="E423" s="60">
        <v>5.3081373745999998E-5</v>
      </c>
    </row>
    <row r="424" spans="2:5" ht="14.5" customHeight="1">
      <c r="B424" s="94"/>
      <c r="C424" s="35" t="s">
        <v>28</v>
      </c>
      <c r="D424" s="34">
        <v>1035</v>
      </c>
      <c r="E424" s="33">
        <v>5.4939221827060999E-2</v>
      </c>
    </row>
    <row r="425" spans="2:5" ht="14.5" customHeight="1">
      <c r="B425" s="94" t="s">
        <v>248</v>
      </c>
      <c r="C425" s="58" t="s">
        <v>51</v>
      </c>
      <c r="D425" s="59">
        <v>10</v>
      </c>
      <c r="E425" s="60">
        <v>5.3081373745999996E-4</v>
      </c>
    </row>
    <row r="426" spans="2:5" ht="14.5" customHeight="1">
      <c r="B426" s="94"/>
      <c r="C426" s="58" t="s">
        <v>52</v>
      </c>
      <c r="D426" s="59">
        <v>109</v>
      </c>
      <c r="E426" s="60">
        <v>5.7858697383089998E-3</v>
      </c>
    </row>
    <row r="427" spans="2:5" ht="14.5" customHeight="1">
      <c r="B427" s="94"/>
      <c r="C427" s="58" t="s">
        <v>53</v>
      </c>
      <c r="D427" s="59">
        <v>62</v>
      </c>
      <c r="E427" s="60">
        <v>3.291045172249E-3</v>
      </c>
    </row>
    <row r="428" spans="2:5" ht="14.5" customHeight="1">
      <c r="B428" s="94"/>
      <c r="C428" s="58" t="s">
        <v>54</v>
      </c>
      <c r="D428" s="59">
        <v>534</v>
      </c>
      <c r="E428" s="60">
        <v>2.8345453580338999E-2</v>
      </c>
    </row>
    <row r="429" spans="2:5" ht="14.5" customHeight="1">
      <c r="B429" s="94"/>
      <c r="C429" s="58" t="s">
        <v>55</v>
      </c>
      <c r="D429" s="59">
        <v>181</v>
      </c>
      <c r="E429" s="60">
        <v>9.6077286480170006E-3</v>
      </c>
    </row>
    <row r="430" spans="2:5" ht="14.5" customHeight="1">
      <c r="B430" s="94"/>
      <c r="C430" s="58" t="s">
        <v>56</v>
      </c>
      <c r="D430" s="59">
        <v>1</v>
      </c>
      <c r="E430" s="60">
        <v>5.3081373745999998E-5</v>
      </c>
    </row>
    <row r="431" spans="2:5" ht="14.5" customHeight="1">
      <c r="B431" s="94"/>
      <c r="C431" s="58" t="s">
        <v>57</v>
      </c>
      <c r="D431" s="59">
        <v>2</v>
      </c>
      <c r="E431" s="60">
        <v>1.06162747492E-4</v>
      </c>
    </row>
    <row r="432" spans="2:5" ht="14.5" customHeight="1">
      <c r="B432" s="94"/>
      <c r="C432" s="58" t="s">
        <v>58</v>
      </c>
      <c r="D432" s="59">
        <v>24</v>
      </c>
      <c r="E432" s="60">
        <v>1.273952969903E-3</v>
      </c>
    </row>
    <row r="433" spans="2:5" ht="14.5" customHeight="1">
      <c r="B433" s="94"/>
      <c r="C433" s="58" t="s">
        <v>59</v>
      </c>
      <c r="D433" s="59">
        <v>45</v>
      </c>
      <c r="E433" s="60">
        <v>2.3886618185680001E-3</v>
      </c>
    </row>
    <row r="434" spans="2:5" ht="14.5" customHeight="1">
      <c r="B434" s="94"/>
      <c r="C434" s="58" t="s">
        <v>60</v>
      </c>
      <c r="D434" s="59">
        <v>1</v>
      </c>
      <c r="E434" s="60">
        <v>5.3081373745999998E-5</v>
      </c>
    </row>
    <row r="435" spans="2:5" ht="14.5" customHeight="1">
      <c r="B435" s="94"/>
      <c r="C435" s="58" t="s">
        <v>61</v>
      </c>
      <c r="D435" s="59">
        <v>17</v>
      </c>
      <c r="E435" s="60">
        <v>9.0238335368100005E-4</v>
      </c>
    </row>
    <row r="436" spans="2:5" ht="14.5" customHeight="1">
      <c r="B436" s="94"/>
      <c r="C436" s="58" t="s">
        <v>62</v>
      </c>
      <c r="D436" s="59">
        <v>458</v>
      </c>
      <c r="E436" s="60">
        <v>2.4311269175646001E-2</v>
      </c>
    </row>
    <row r="437" spans="2:5" ht="14.5" customHeight="1">
      <c r="B437" s="94"/>
      <c r="C437" s="58" t="s">
        <v>63</v>
      </c>
      <c r="D437" s="59">
        <v>54</v>
      </c>
      <c r="E437" s="60">
        <v>2.8663941822810002E-3</v>
      </c>
    </row>
    <row r="438" spans="2:5" ht="14.5" customHeight="1">
      <c r="B438" s="94"/>
      <c r="C438" s="58" t="s">
        <v>64</v>
      </c>
      <c r="D438" s="59">
        <v>10</v>
      </c>
      <c r="E438" s="60">
        <v>5.3081373745999996E-4</v>
      </c>
    </row>
    <row r="439" spans="2:5" ht="14.5" customHeight="1">
      <c r="B439" s="94"/>
      <c r="C439" s="58" t="s">
        <v>65</v>
      </c>
      <c r="D439" s="59">
        <v>145</v>
      </c>
      <c r="E439" s="60">
        <v>7.6967991931630002E-3</v>
      </c>
    </row>
    <row r="440" spans="2:5" ht="14.5" customHeight="1">
      <c r="B440" s="94"/>
      <c r="C440" s="58" t="s">
        <v>66</v>
      </c>
      <c r="D440" s="59">
        <v>12</v>
      </c>
      <c r="E440" s="60">
        <v>6.3697648495099997E-4</v>
      </c>
    </row>
    <row r="441" spans="2:5" ht="14.5" customHeight="1">
      <c r="B441" s="94"/>
      <c r="C441" s="58" t="s">
        <v>67</v>
      </c>
      <c r="D441" s="59">
        <v>8</v>
      </c>
      <c r="E441" s="60">
        <v>4.2465098996799999E-4</v>
      </c>
    </row>
    <row r="442" spans="2:5" ht="14.5" customHeight="1">
      <c r="B442" s="94"/>
      <c r="C442" s="58" t="s">
        <v>68</v>
      </c>
      <c r="D442" s="59">
        <v>4</v>
      </c>
      <c r="E442" s="60">
        <v>2.1232549498399999E-4</v>
      </c>
    </row>
    <row r="443" spans="2:5" ht="14.5" customHeight="1">
      <c r="B443" s="94"/>
      <c r="C443" s="58" t="s">
        <v>69</v>
      </c>
      <c r="D443" s="59">
        <v>3</v>
      </c>
      <c r="E443" s="60">
        <v>1.5924412123800001E-4</v>
      </c>
    </row>
    <row r="444" spans="2:5" ht="14.5" customHeight="1">
      <c r="B444" s="94"/>
      <c r="C444" s="58" t="s">
        <v>70</v>
      </c>
      <c r="D444" s="59">
        <v>16</v>
      </c>
      <c r="E444" s="60">
        <v>8.4930197993500001E-4</v>
      </c>
    </row>
    <row r="445" spans="2:5" ht="14.5" customHeight="1">
      <c r="B445" s="94"/>
      <c r="C445" s="58" t="s">
        <v>71</v>
      </c>
      <c r="D445" s="59">
        <v>31</v>
      </c>
      <c r="E445" s="60">
        <v>1.6455225861250001E-3</v>
      </c>
    </row>
    <row r="446" spans="2:5" ht="14.5" customHeight="1">
      <c r="B446" s="94"/>
      <c r="C446" s="58" t="s">
        <v>72</v>
      </c>
      <c r="D446" s="59">
        <v>7</v>
      </c>
      <c r="E446" s="60">
        <v>3.71569616222E-4</v>
      </c>
    </row>
    <row r="447" spans="2:5" ht="14.5" customHeight="1">
      <c r="B447" s="94"/>
      <c r="C447" s="58" t="s">
        <v>73</v>
      </c>
      <c r="D447" s="59">
        <v>40</v>
      </c>
      <c r="E447" s="60">
        <v>2.1232549498380001E-3</v>
      </c>
    </row>
    <row r="448" spans="2:5" ht="14.5" customHeight="1">
      <c r="B448" s="94"/>
      <c r="C448" s="58" t="s">
        <v>74</v>
      </c>
      <c r="D448" s="59">
        <v>2</v>
      </c>
      <c r="E448" s="60">
        <v>1.06162747492E-4</v>
      </c>
    </row>
    <row r="449" spans="2:5" ht="14.5" customHeight="1">
      <c r="B449" s="94"/>
      <c r="C449" s="58" t="s">
        <v>75</v>
      </c>
      <c r="D449" s="59">
        <v>12</v>
      </c>
      <c r="E449" s="60">
        <v>6.3697648495099997E-4</v>
      </c>
    </row>
    <row r="450" spans="2:5" ht="14.5" customHeight="1">
      <c r="B450" s="94"/>
      <c r="C450" s="58" t="s">
        <v>76</v>
      </c>
      <c r="D450" s="59">
        <v>104</v>
      </c>
      <c r="E450" s="60">
        <v>5.5204628695790002E-3</v>
      </c>
    </row>
    <row r="451" spans="2:5" ht="14.5" customHeight="1">
      <c r="B451" s="94"/>
      <c r="C451" s="58" t="s">
        <v>78</v>
      </c>
      <c r="D451" s="59">
        <v>4</v>
      </c>
      <c r="E451" s="60">
        <v>2.1232549498399999E-4</v>
      </c>
    </row>
    <row r="452" spans="2:5" ht="14.5" customHeight="1">
      <c r="B452" s="94"/>
      <c r="C452" s="58" t="s">
        <v>79</v>
      </c>
      <c r="D452" s="59">
        <v>75</v>
      </c>
      <c r="E452" s="60">
        <v>3.9811030309459998E-3</v>
      </c>
    </row>
    <row r="453" spans="2:5" ht="14.5" customHeight="1">
      <c r="B453" s="94"/>
      <c r="C453" s="58" t="s">
        <v>80</v>
      </c>
      <c r="D453" s="59">
        <v>1</v>
      </c>
      <c r="E453" s="60">
        <v>5.3081373745999998E-5</v>
      </c>
    </row>
    <row r="454" spans="2:5" ht="14.5" customHeight="1">
      <c r="B454" s="94"/>
      <c r="C454" s="58" t="s">
        <v>81</v>
      </c>
      <c r="D454" s="59">
        <v>40</v>
      </c>
      <c r="E454" s="60">
        <v>2.1232549498380001E-3</v>
      </c>
    </row>
    <row r="455" spans="2:5" ht="14.5" customHeight="1">
      <c r="B455" s="94"/>
      <c r="C455" s="58" t="s">
        <v>82</v>
      </c>
      <c r="D455" s="59">
        <v>1</v>
      </c>
      <c r="E455" s="60">
        <v>5.3081373745999998E-5</v>
      </c>
    </row>
    <row r="456" spans="2:5" ht="14.5" customHeight="1">
      <c r="B456" s="94"/>
      <c r="C456" s="58" t="s">
        <v>83</v>
      </c>
      <c r="D456" s="59">
        <v>13</v>
      </c>
      <c r="E456" s="60">
        <v>6.90057858697E-4</v>
      </c>
    </row>
    <row r="457" spans="2:5" ht="14.5" customHeight="1">
      <c r="B457" s="94"/>
      <c r="C457" s="58" t="s">
        <v>84</v>
      </c>
      <c r="D457" s="59">
        <v>132</v>
      </c>
      <c r="E457" s="60">
        <v>7.0067413344660004E-3</v>
      </c>
    </row>
    <row r="458" spans="2:5" ht="14.5" customHeight="1">
      <c r="B458" s="94"/>
      <c r="C458" s="58" t="s">
        <v>85</v>
      </c>
      <c r="D458" s="59">
        <v>4</v>
      </c>
      <c r="E458" s="60">
        <v>2.1232549498399999E-4</v>
      </c>
    </row>
    <row r="459" spans="2:5" ht="14.5" customHeight="1">
      <c r="B459" s="94"/>
      <c r="C459" s="58" t="s">
        <v>86</v>
      </c>
      <c r="D459" s="59">
        <v>1</v>
      </c>
      <c r="E459" s="60">
        <v>5.3081373745999998E-5</v>
      </c>
    </row>
    <row r="460" spans="2:5" ht="14.5" customHeight="1">
      <c r="B460" s="94"/>
      <c r="C460" s="58" t="s">
        <v>87</v>
      </c>
      <c r="D460" s="59">
        <v>14</v>
      </c>
      <c r="E460" s="60">
        <v>7.4313923244300004E-4</v>
      </c>
    </row>
    <row r="461" spans="2:5" ht="14.5" customHeight="1">
      <c r="B461" s="94"/>
      <c r="C461" s="58" t="s">
        <v>89</v>
      </c>
      <c r="D461" s="59">
        <v>40</v>
      </c>
      <c r="E461" s="60">
        <v>2.1232549498380001E-3</v>
      </c>
    </row>
    <row r="462" spans="2:5" ht="14.5" customHeight="1">
      <c r="B462" s="94"/>
      <c r="C462" s="58" t="s">
        <v>90</v>
      </c>
      <c r="D462" s="59">
        <v>1110</v>
      </c>
      <c r="E462" s="60">
        <v>5.8920324858007002E-2</v>
      </c>
    </row>
    <row r="463" spans="2:5" ht="14.5" customHeight="1">
      <c r="B463" s="94"/>
      <c r="C463" s="58" t="s">
        <v>91</v>
      </c>
      <c r="D463" s="59">
        <v>14</v>
      </c>
      <c r="E463" s="60">
        <v>7.4313923244300004E-4</v>
      </c>
    </row>
    <row r="464" spans="2:5" ht="14.5" customHeight="1">
      <c r="B464" s="94"/>
      <c r="C464" s="58" t="s">
        <v>92</v>
      </c>
      <c r="D464" s="59">
        <v>8</v>
      </c>
      <c r="E464" s="60">
        <v>4.2465098996799999E-4</v>
      </c>
    </row>
    <row r="465" spans="2:5" ht="14.5" customHeight="1">
      <c r="B465" s="94"/>
      <c r="C465" s="58" t="s">
        <v>93</v>
      </c>
      <c r="D465" s="59">
        <v>14</v>
      </c>
      <c r="E465" s="60">
        <v>7.4313923244300004E-4</v>
      </c>
    </row>
    <row r="466" spans="2:5" ht="14.5" customHeight="1">
      <c r="B466" s="94"/>
      <c r="C466" s="58" t="s">
        <v>95</v>
      </c>
      <c r="D466" s="59">
        <v>27</v>
      </c>
      <c r="E466" s="60">
        <v>1.4331970911409999E-3</v>
      </c>
    </row>
    <row r="467" spans="2:5" ht="14.5" customHeight="1">
      <c r="B467" s="94"/>
      <c r="C467" s="58" t="s">
        <v>96</v>
      </c>
      <c r="D467" s="59">
        <v>2</v>
      </c>
      <c r="E467" s="60">
        <v>1.06162747492E-4</v>
      </c>
    </row>
    <row r="468" spans="2:5" ht="14.5" customHeight="1">
      <c r="B468" s="94"/>
      <c r="C468" s="35" t="s">
        <v>28</v>
      </c>
      <c r="D468" s="34">
        <v>3392</v>
      </c>
      <c r="E468" s="33">
        <v>0.180052019746271</v>
      </c>
    </row>
    <row r="469" spans="2:5" ht="14.5" customHeight="1">
      <c r="B469" s="94" t="s">
        <v>249</v>
      </c>
      <c r="C469" s="58" t="s">
        <v>52</v>
      </c>
      <c r="D469" s="59">
        <v>3</v>
      </c>
      <c r="E469" s="60">
        <v>1.5924412123800001E-4</v>
      </c>
    </row>
    <row r="470" spans="2:5" ht="14.5" customHeight="1">
      <c r="B470" s="94"/>
      <c r="C470" s="58" t="s">
        <v>54</v>
      </c>
      <c r="D470" s="59">
        <v>6</v>
      </c>
      <c r="E470" s="60">
        <v>3.1848824247600002E-4</v>
      </c>
    </row>
    <row r="471" spans="2:5" ht="14.5" customHeight="1">
      <c r="B471" s="94"/>
      <c r="C471" s="58" t="s">
        <v>55</v>
      </c>
      <c r="D471" s="59">
        <v>5</v>
      </c>
      <c r="E471" s="60">
        <v>2.6540686872999998E-4</v>
      </c>
    </row>
    <row r="472" spans="2:5" ht="14.5" customHeight="1">
      <c r="B472" s="94"/>
      <c r="C472" s="58" t="s">
        <v>58</v>
      </c>
      <c r="D472" s="59">
        <v>1</v>
      </c>
      <c r="E472" s="60">
        <v>5.3081373745999998E-5</v>
      </c>
    </row>
    <row r="473" spans="2:5" ht="14.5" customHeight="1">
      <c r="B473" s="94"/>
      <c r="C473" s="58" t="s">
        <v>62</v>
      </c>
      <c r="D473" s="59">
        <v>13</v>
      </c>
      <c r="E473" s="60">
        <v>6.90057858697E-4</v>
      </c>
    </row>
    <row r="474" spans="2:5" ht="14.5" customHeight="1">
      <c r="B474" s="94"/>
      <c r="C474" s="58" t="s">
        <v>63</v>
      </c>
      <c r="D474" s="59">
        <v>2</v>
      </c>
      <c r="E474" s="60">
        <v>1.06162747492E-4</v>
      </c>
    </row>
    <row r="475" spans="2:5" ht="14.5" customHeight="1">
      <c r="B475" s="94"/>
      <c r="C475" s="58" t="s">
        <v>65</v>
      </c>
      <c r="D475" s="59">
        <v>4</v>
      </c>
      <c r="E475" s="60">
        <v>2.1232549498399999E-4</v>
      </c>
    </row>
    <row r="476" spans="2:5" ht="14.5" customHeight="1">
      <c r="B476" s="94"/>
      <c r="C476" s="58" t="s">
        <v>67</v>
      </c>
      <c r="D476" s="59">
        <v>1</v>
      </c>
      <c r="E476" s="60">
        <v>5.3081373745999998E-5</v>
      </c>
    </row>
    <row r="477" spans="2:5" ht="14.5" customHeight="1">
      <c r="B477" s="94"/>
      <c r="C477" s="58" t="s">
        <v>70</v>
      </c>
      <c r="D477" s="59">
        <v>2</v>
      </c>
      <c r="E477" s="60">
        <v>1.06162747492E-4</v>
      </c>
    </row>
    <row r="478" spans="2:5" ht="14.5" customHeight="1">
      <c r="B478" s="94"/>
      <c r="C478" s="58" t="s">
        <v>72</v>
      </c>
      <c r="D478" s="59">
        <v>1</v>
      </c>
      <c r="E478" s="60">
        <v>5.3081373745999998E-5</v>
      </c>
    </row>
    <row r="479" spans="2:5" ht="14.5" customHeight="1">
      <c r="B479" s="94"/>
      <c r="C479" s="58" t="s">
        <v>73</v>
      </c>
      <c r="D479" s="59">
        <v>1</v>
      </c>
      <c r="E479" s="60">
        <v>5.3081373745999998E-5</v>
      </c>
    </row>
    <row r="480" spans="2:5" ht="14.5" customHeight="1">
      <c r="B480" s="94"/>
      <c r="C480" s="58" t="s">
        <v>75</v>
      </c>
      <c r="D480" s="59">
        <v>1</v>
      </c>
      <c r="E480" s="60">
        <v>5.3081373745999998E-5</v>
      </c>
    </row>
    <row r="481" spans="2:5" ht="14.5" customHeight="1">
      <c r="B481" s="94"/>
      <c r="C481" s="58" t="s">
        <v>76</v>
      </c>
      <c r="D481" s="59">
        <v>1</v>
      </c>
      <c r="E481" s="60">
        <v>5.3081373745999998E-5</v>
      </c>
    </row>
    <row r="482" spans="2:5" ht="14.5" customHeight="1">
      <c r="B482" s="94"/>
      <c r="C482" s="58" t="s">
        <v>79</v>
      </c>
      <c r="D482" s="59">
        <v>3</v>
      </c>
      <c r="E482" s="60">
        <v>1.5924412123800001E-4</v>
      </c>
    </row>
    <row r="483" spans="2:5" ht="14.5" customHeight="1">
      <c r="B483" s="94"/>
      <c r="C483" s="58" t="s">
        <v>84</v>
      </c>
      <c r="D483" s="59">
        <v>4</v>
      </c>
      <c r="E483" s="60">
        <v>2.1232549498399999E-4</v>
      </c>
    </row>
    <row r="484" spans="2:5" ht="14.5" customHeight="1">
      <c r="B484" s="94"/>
      <c r="C484" s="58" t="s">
        <v>89</v>
      </c>
      <c r="D484" s="59">
        <v>2</v>
      </c>
      <c r="E484" s="60">
        <v>1.06162747492E-4</v>
      </c>
    </row>
    <row r="485" spans="2:5" ht="14.5" customHeight="1">
      <c r="B485" s="94"/>
      <c r="C485" s="58" t="s">
        <v>90</v>
      </c>
      <c r="D485" s="59">
        <v>17</v>
      </c>
      <c r="E485" s="60">
        <v>9.0238335368100005E-4</v>
      </c>
    </row>
    <row r="486" spans="2:5" ht="14.5" customHeight="1">
      <c r="B486" s="94"/>
      <c r="C486" s="35" t="s">
        <v>28</v>
      </c>
      <c r="D486" s="34">
        <v>67</v>
      </c>
      <c r="E486" s="33">
        <v>3.556452040979E-3</v>
      </c>
    </row>
    <row r="487" spans="2:5" ht="14.5" customHeight="1">
      <c r="B487" s="94" t="s">
        <v>250</v>
      </c>
      <c r="C487" s="58" t="s">
        <v>52</v>
      </c>
      <c r="D487" s="59">
        <v>3</v>
      </c>
      <c r="E487" s="60">
        <v>1.5924412123800001E-4</v>
      </c>
    </row>
    <row r="488" spans="2:5" ht="14.5" customHeight="1">
      <c r="B488" s="94"/>
      <c r="C488" s="58" t="s">
        <v>53</v>
      </c>
      <c r="D488" s="59">
        <v>1</v>
      </c>
      <c r="E488" s="60">
        <v>5.3081373745999998E-5</v>
      </c>
    </row>
    <row r="489" spans="2:5" ht="14.5" customHeight="1">
      <c r="B489" s="94"/>
      <c r="C489" s="58" t="s">
        <v>54</v>
      </c>
      <c r="D489" s="59">
        <v>12</v>
      </c>
      <c r="E489" s="60">
        <v>6.3697648495099997E-4</v>
      </c>
    </row>
    <row r="490" spans="2:5" ht="14.5" customHeight="1">
      <c r="B490" s="94"/>
      <c r="C490" s="58" t="s">
        <v>55</v>
      </c>
      <c r="D490" s="59">
        <v>5</v>
      </c>
      <c r="E490" s="60">
        <v>2.6540686872999998E-4</v>
      </c>
    </row>
    <row r="491" spans="2:5" ht="14.5" customHeight="1">
      <c r="B491" s="94"/>
      <c r="C491" s="58" t="s">
        <v>59</v>
      </c>
      <c r="D491" s="59">
        <v>1</v>
      </c>
      <c r="E491" s="60">
        <v>5.3081373745999998E-5</v>
      </c>
    </row>
    <row r="492" spans="2:5" ht="14.5" customHeight="1">
      <c r="B492" s="94"/>
      <c r="C492" s="58" t="s">
        <v>62</v>
      </c>
      <c r="D492" s="59">
        <v>5</v>
      </c>
      <c r="E492" s="60">
        <v>2.6540686872999998E-4</v>
      </c>
    </row>
    <row r="493" spans="2:5" ht="14.5" customHeight="1">
      <c r="B493" s="94"/>
      <c r="C493" s="58" t="s">
        <v>63</v>
      </c>
      <c r="D493" s="59">
        <v>1</v>
      </c>
      <c r="E493" s="60">
        <v>5.3081373745999998E-5</v>
      </c>
    </row>
    <row r="494" spans="2:5" ht="14.5" customHeight="1">
      <c r="B494" s="94"/>
      <c r="C494" s="58" t="s">
        <v>65</v>
      </c>
      <c r="D494" s="59">
        <v>5</v>
      </c>
      <c r="E494" s="60">
        <v>2.6540686872999998E-4</v>
      </c>
    </row>
    <row r="495" spans="2:5" ht="14.5" customHeight="1">
      <c r="B495" s="94"/>
      <c r="C495" s="58" t="s">
        <v>66</v>
      </c>
      <c r="D495" s="59">
        <v>1</v>
      </c>
      <c r="E495" s="60">
        <v>5.3081373745999998E-5</v>
      </c>
    </row>
    <row r="496" spans="2:5" ht="14.5" customHeight="1">
      <c r="B496" s="94"/>
      <c r="C496" s="58" t="s">
        <v>68</v>
      </c>
      <c r="D496" s="59">
        <v>1</v>
      </c>
      <c r="E496" s="60">
        <v>5.3081373745999998E-5</v>
      </c>
    </row>
    <row r="497" spans="2:5" ht="14.5" customHeight="1">
      <c r="B497" s="94"/>
      <c r="C497" s="58" t="s">
        <v>75</v>
      </c>
      <c r="D497" s="59">
        <v>1</v>
      </c>
      <c r="E497" s="60">
        <v>5.3081373745999998E-5</v>
      </c>
    </row>
    <row r="498" spans="2:5" ht="14.5" customHeight="1">
      <c r="B498" s="94"/>
      <c r="C498" s="58" t="s">
        <v>76</v>
      </c>
      <c r="D498" s="59">
        <v>3</v>
      </c>
      <c r="E498" s="60">
        <v>1.5924412123800001E-4</v>
      </c>
    </row>
    <row r="499" spans="2:5" ht="14.5" customHeight="1">
      <c r="B499" s="94"/>
      <c r="C499" s="58" t="s">
        <v>78</v>
      </c>
      <c r="D499" s="59">
        <v>1</v>
      </c>
      <c r="E499" s="60">
        <v>5.3081373745999998E-5</v>
      </c>
    </row>
    <row r="500" spans="2:5" ht="14.5" customHeight="1">
      <c r="B500" s="94"/>
      <c r="C500" s="58" t="s">
        <v>79</v>
      </c>
      <c r="D500" s="59">
        <v>1</v>
      </c>
      <c r="E500" s="60">
        <v>5.3081373745999998E-5</v>
      </c>
    </row>
    <row r="501" spans="2:5" ht="14.5" customHeight="1">
      <c r="B501" s="94"/>
      <c r="C501" s="58" t="s">
        <v>83</v>
      </c>
      <c r="D501" s="59">
        <v>1</v>
      </c>
      <c r="E501" s="60">
        <v>5.3081373745999998E-5</v>
      </c>
    </row>
    <row r="502" spans="2:5" ht="14.5" customHeight="1">
      <c r="B502" s="94"/>
      <c r="C502" s="58" t="s">
        <v>84</v>
      </c>
      <c r="D502" s="59">
        <v>3</v>
      </c>
      <c r="E502" s="60">
        <v>1.5924412123800001E-4</v>
      </c>
    </row>
    <row r="503" spans="2:5" ht="14.5" customHeight="1">
      <c r="B503" s="94"/>
      <c r="C503" s="58" t="s">
        <v>86</v>
      </c>
      <c r="D503" s="59">
        <v>1</v>
      </c>
      <c r="E503" s="60">
        <v>5.3081373745999998E-5</v>
      </c>
    </row>
    <row r="504" spans="2:5" ht="14.5" customHeight="1">
      <c r="B504" s="94"/>
      <c r="C504" s="58" t="s">
        <v>90</v>
      </c>
      <c r="D504" s="59">
        <v>8</v>
      </c>
      <c r="E504" s="60">
        <v>4.2465098996799999E-4</v>
      </c>
    </row>
    <row r="505" spans="2:5" ht="14.5" customHeight="1">
      <c r="B505" s="94"/>
      <c r="C505" s="58" t="s">
        <v>95</v>
      </c>
      <c r="D505" s="59">
        <v>1</v>
      </c>
      <c r="E505" s="60">
        <v>5.3081373745999998E-5</v>
      </c>
    </row>
    <row r="506" spans="2:5" ht="14.5" customHeight="1">
      <c r="B506" s="94"/>
      <c r="C506" s="35" t="s">
        <v>28</v>
      </c>
      <c r="D506" s="34">
        <v>55</v>
      </c>
      <c r="E506" s="33">
        <v>2.919475556027E-3</v>
      </c>
    </row>
    <row r="507" spans="2:5" ht="14.5" customHeight="1">
      <c r="B507" s="94" t="s">
        <v>251</v>
      </c>
      <c r="C507" s="58" t="s">
        <v>51</v>
      </c>
      <c r="D507" s="59">
        <v>1</v>
      </c>
      <c r="E507" s="60">
        <v>5.3081373745999998E-5</v>
      </c>
    </row>
    <row r="508" spans="2:5" ht="14.5" customHeight="1">
      <c r="B508" s="94"/>
      <c r="C508" s="58" t="s">
        <v>52</v>
      </c>
      <c r="D508" s="59">
        <v>3</v>
      </c>
      <c r="E508" s="60">
        <v>1.5924412123800001E-4</v>
      </c>
    </row>
    <row r="509" spans="2:5" ht="14.5" customHeight="1">
      <c r="B509" s="94"/>
      <c r="C509" s="58" t="s">
        <v>53</v>
      </c>
      <c r="D509" s="59">
        <v>1</v>
      </c>
      <c r="E509" s="60">
        <v>5.3081373745999998E-5</v>
      </c>
    </row>
    <row r="510" spans="2:5" ht="14.5" customHeight="1">
      <c r="B510" s="94"/>
      <c r="C510" s="58" t="s">
        <v>54</v>
      </c>
      <c r="D510" s="59">
        <v>5</v>
      </c>
      <c r="E510" s="60">
        <v>2.6540686872999998E-4</v>
      </c>
    </row>
    <row r="511" spans="2:5" ht="14.5" customHeight="1">
      <c r="B511" s="94"/>
      <c r="C511" s="58" t="s">
        <v>55</v>
      </c>
      <c r="D511" s="59">
        <v>2</v>
      </c>
      <c r="E511" s="60">
        <v>1.06162747492E-4</v>
      </c>
    </row>
    <row r="512" spans="2:5" ht="14.5" customHeight="1">
      <c r="B512" s="94"/>
      <c r="C512" s="58" t="s">
        <v>57</v>
      </c>
      <c r="D512" s="59">
        <v>1</v>
      </c>
      <c r="E512" s="60">
        <v>5.3081373745999998E-5</v>
      </c>
    </row>
    <row r="513" spans="2:5" ht="14.5" customHeight="1">
      <c r="B513" s="94"/>
      <c r="C513" s="58" t="s">
        <v>62</v>
      </c>
      <c r="D513" s="59">
        <v>7</v>
      </c>
      <c r="E513" s="60">
        <v>3.71569616222E-4</v>
      </c>
    </row>
    <row r="514" spans="2:5" ht="14.5" customHeight="1">
      <c r="B514" s="94"/>
      <c r="C514" s="58" t="s">
        <v>63</v>
      </c>
      <c r="D514" s="59">
        <v>1</v>
      </c>
      <c r="E514" s="60">
        <v>5.3081373745999998E-5</v>
      </c>
    </row>
    <row r="515" spans="2:5" ht="14.5" customHeight="1">
      <c r="B515" s="94"/>
      <c r="C515" s="58" t="s">
        <v>65</v>
      </c>
      <c r="D515" s="59">
        <v>1</v>
      </c>
      <c r="E515" s="60">
        <v>5.3081373745999998E-5</v>
      </c>
    </row>
    <row r="516" spans="2:5" ht="14.5" customHeight="1">
      <c r="B516" s="94"/>
      <c r="C516" s="58" t="s">
        <v>79</v>
      </c>
      <c r="D516" s="59">
        <v>1</v>
      </c>
      <c r="E516" s="60">
        <v>5.3081373745999998E-5</v>
      </c>
    </row>
    <row r="517" spans="2:5" ht="14.5" customHeight="1">
      <c r="B517" s="94"/>
      <c r="C517" s="58" t="s">
        <v>84</v>
      </c>
      <c r="D517" s="59">
        <v>3</v>
      </c>
      <c r="E517" s="60">
        <v>1.5924412123800001E-4</v>
      </c>
    </row>
    <row r="518" spans="2:5" ht="14.5" customHeight="1">
      <c r="B518" s="94"/>
      <c r="C518" s="58" t="s">
        <v>90</v>
      </c>
      <c r="D518" s="59">
        <v>3</v>
      </c>
      <c r="E518" s="60">
        <v>1.5924412123800001E-4</v>
      </c>
    </row>
    <row r="519" spans="2:5" ht="14.5" customHeight="1">
      <c r="B519" s="94"/>
      <c r="C519" s="35" t="s">
        <v>28</v>
      </c>
      <c r="D519" s="34">
        <v>29</v>
      </c>
      <c r="E519" s="33">
        <v>1.539359838633E-3</v>
      </c>
    </row>
    <row r="520" spans="2:5" ht="14.5" customHeight="1">
      <c r="B520" s="94" t="s">
        <v>252</v>
      </c>
      <c r="C520" s="58" t="s">
        <v>52</v>
      </c>
      <c r="D520" s="59">
        <v>2</v>
      </c>
      <c r="E520" s="60">
        <v>1.06162747492E-4</v>
      </c>
    </row>
    <row r="521" spans="2:5" ht="14.5" customHeight="1">
      <c r="B521" s="94"/>
      <c r="C521" s="58" t="s">
        <v>53</v>
      </c>
      <c r="D521" s="59">
        <v>1</v>
      </c>
      <c r="E521" s="60">
        <v>5.3081373745999998E-5</v>
      </c>
    </row>
    <row r="522" spans="2:5" ht="14.5" customHeight="1">
      <c r="B522" s="94"/>
      <c r="C522" s="58" t="s">
        <v>54</v>
      </c>
      <c r="D522" s="59">
        <v>3</v>
      </c>
      <c r="E522" s="60">
        <v>1.5924412123800001E-4</v>
      </c>
    </row>
    <row r="523" spans="2:5" ht="14.5" customHeight="1">
      <c r="B523" s="94"/>
      <c r="C523" s="58" t="s">
        <v>55</v>
      </c>
      <c r="D523" s="59">
        <v>2</v>
      </c>
      <c r="E523" s="60">
        <v>1.06162747492E-4</v>
      </c>
    </row>
    <row r="524" spans="2:5" ht="14.5" customHeight="1">
      <c r="B524" s="94"/>
      <c r="C524" s="58" t="s">
        <v>70</v>
      </c>
      <c r="D524" s="59">
        <v>1</v>
      </c>
      <c r="E524" s="60">
        <v>5.3081373745999998E-5</v>
      </c>
    </row>
    <row r="525" spans="2:5" ht="14.5" customHeight="1">
      <c r="B525" s="94"/>
      <c r="C525" s="58" t="s">
        <v>76</v>
      </c>
      <c r="D525" s="59">
        <v>2</v>
      </c>
      <c r="E525" s="60">
        <v>1.06162747492E-4</v>
      </c>
    </row>
    <row r="526" spans="2:5" ht="14.5" customHeight="1">
      <c r="B526" s="94"/>
      <c r="C526" s="58" t="s">
        <v>84</v>
      </c>
      <c r="D526" s="59">
        <v>2</v>
      </c>
      <c r="E526" s="60">
        <v>1.06162747492E-4</v>
      </c>
    </row>
    <row r="527" spans="2:5" ht="14.5" customHeight="1">
      <c r="B527" s="94"/>
      <c r="C527" s="58" t="s">
        <v>90</v>
      </c>
      <c r="D527" s="59">
        <v>9</v>
      </c>
      <c r="E527" s="60">
        <v>4.7773236371400003E-4</v>
      </c>
    </row>
    <row r="528" spans="2:5" ht="14.5" customHeight="1">
      <c r="B528" s="94"/>
      <c r="C528" s="35" t="s">
        <v>28</v>
      </c>
      <c r="D528" s="34">
        <v>22</v>
      </c>
      <c r="E528" s="33">
        <v>1.1677902224109999E-3</v>
      </c>
    </row>
    <row r="529" spans="2:5" ht="14.5" customHeight="1">
      <c r="B529" s="94" t="s">
        <v>253</v>
      </c>
      <c r="C529" s="58" t="s">
        <v>51</v>
      </c>
      <c r="D529" s="59">
        <v>1</v>
      </c>
      <c r="E529" s="60">
        <v>5.3081373745999998E-5</v>
      </c>
    </row>
    <row r="530" spans="2:5" ht="14.5" customHeight="1">
      <c r="B530" s="94"/>
      <c r="C530" s="58" t="s">
        <v>52</v>
      </c>
      <c r="D530" s="59">
        <v>7</v>
      </c>
      <c r="E530" s="60">
        <v>3.71569616222E-4</v>
      </c>
    </row>
    <row r="531" spans="2:5" ht="14.5" customHeight="1">
      <c r="B531" s="94"/>
      <c r="C531" s="58" t="s">
        <v>53</v>
      </c>
      <c r="D531" s="59">
        <v>1</v>
      </c>
      <c r="E531" s="60">
        <v>5.3081373745999998E-5</v>
      </c>
    </row>
    <row r="532" spans="2:5" ht="14.5" customHeight="1">
      <c r="B532" s="94"/>
      <c r="C532" s="58" t="s">
        <v>54</v>
      </c>
      <c r="D532" s="59">
        <v>31</v>
      </c>
      <c r="E532" s="60">
        <v>1.6455225861250001E-3</v>
      </c>
    </row>
    <row r="533" spans="2:5" ht="14.5" customHeight="1">
      <c r="B533" s="94"/>
      <c r="C533" s="58" t="s">
        <v>55</v>
      </c>
      <c r="D533" s="59">
        <v>7</v>
      </c>
      <c r="E533" s="60">
        <v>3.71569616222E-4</v>
      </c>
    </row>
    <row r="534" spans="2:5" ht="14.5" customHeight="1">
      <c r="B534" s="94"/>
      <c r="C534" s="58" t="s">
        <v>58</v>
      </c>
      <c r="D534" s="59">
        <v>1</v>
      </c>
      <c r="E534" s="60">
        <v>5.3081373745999998E-5</v>
      </c>
    </row>
    <row r="535" spans="2:5" ht="14.5" customHeight="1">
      <c r="B535" s="94"/>
      <c r="C535" s="58" t="s">
        <v>59</v>
      </c>
      <c r="D535" s="59">
        <v>1</v>
      </c>
      <c r="E535" s="60">
        <v>5.3081373745999998E-5</v>
      </c>
    </row>
    <row r="536" spans="2:5" ht="14.5" customHeight="1">
      <c r="B536" s="94"/>
      <c r="C536" s="58" t="s">
        <v>61</v>
      </c>
      <c r="D536" s="59">
        <v>1</v>
      </c>
      <c r="E536" s="60">
        <v>5.3081373745999998E-5</v>
      </c>
    </row>
    <row r="537" spans="2:5" ht="14.5" customHeight="1">
      <c r="B537" s="94"/>
      <c r="C537" s="58" t="s">
        <v>62</v>
      </c>
      <c r="D537" s="59">
        <v>26</v>
      </c>
      <c r="E537" s="60">
        <v>1.3801157173950001E-3</v>
      </c>
    </row>
    <row r="538" spans="2:5" ht="14.5" customHeight="1">
      <c r="B538" s="94"/>
      <c r="C538" s="58" t="s">
        <v>63</v>
      </c>
      <c r="D538" s="59">
        <v>3</v>
      </c>
      <c r="E538" s="60">
        <v>1.5924412123800001E-4</v>
      </c>
    </row>
    <row r="539" spans="2:5" ht="14.5" customHeight="1">
      <c r="B539" s="94"/>
      <c r="C539" s="58" t="s">
        <v>65</v>
      </c>
      <c r="D539" s="59">
        <v>16</v>
      </c>
      <c r="E539" s="60">
        <v>8.4930197993500001E-4</v>
      </c>
    </row>
    <row r="540" spans="2:5" ht="14.5" customHeight="1">
      <c r="B540" s="94"/>
      <c r="C540" s="58" t="s">
        <v>67</v>
      </c>
      <c r="D540" s="59">
        <v>1</v>
      </c>
      <c r="E540" s="60">
        <v>5.3081373745999998E-5</v>
      </c>
    </row>
    <row r="541" spans="2:5" ht="14.5" customHeight="1">
      <c r="B541" s="94"/>
      <c r="C541" s="58" t="s">
        <v>70</v>
      </c>
      <c r="D541" s="59">
        <v>1</v>
      </c>
      <c r="E541" s="60">
        <v>5.3081373745999998E-5</v>
      </c>
    </row>
    <row r="542" spans="2:5" ht="14.5" customHeight="1">
      <c r="B542" s="94"/>
      <c r="C542" s="58" t="s">
        <v>71</v>
      </c>
      <c r="D542" s="59">
        <v>2</v>
      </c>
      <c r="E542" s="60">
        <v>1.06162747492E-4</v>
      </c>
    </row>
    <row r="543" spans="2:5" ht="14.5" customHeight="1">
      <c r="B543" s="94"/>
      <c r="C543" s="58" t="s">
        <v>73</v>
      </c>
      <c r="D543" s="59">
        <v>1</v>
      </c>
      <c r="E543" s="60">
        <v>5.3081373745999998E-5</v>
      </c>
    </row>
    <row r="544" spans="2:5" ht="14.5" customHeight="1">
      <c r="B544" s="94"/>
      <c r="C544" s="58" t="s">
        <v>75</v>
      </c>
      <c r="D544" s="59">
        <v>2</v>
      </c>
      <c r="E544" s="60">
        <v>1.06162747492E-4</v>
      </c>
    </row>
    <row r="545" spans="2:5" ht="14.5" customHeight="1">
      <c r="B545" s="94"/>
      <c r="C545" s="58" t="s">
        <v>76</v>
      </c>
      <c r="D545" s="59">
        <v>9</v>
      </c>
      <c r="E545" s="60">
        <v>4.7773236371400003E-4</v>
      </c>
    </row>
    <row r="546" spans="2:5" ht="14.5" customHeight="1">
      <c r="B546" s="94"/>
      <c r="C546" s="58" t="s">
        <v>79</v>
      </c>
      <c r="D546" s="59">
        <v>3</v>
      </c>
      <c r="E546" s="60">
        <v>1.5924412123800001E-4</v>
      </c>
    </row>
    <row r="547" spans="2:5" ht="14.5" customHeight="1">
      <c r="B547" s="94"/>
      <c r="C547" s="58" t="s">
        <v>81</v>
      </c>
      <c r="D547" s="59">
        <v>3</v>
      </c>
      <c r="E547" s="60">
        <v>1.5924412123800001E-4</v>
      </c>
    </row>
    <row r="548" spans="2:5" ht="14.5" customHeight="1">
      <c r="B548" s="94"/>
      <c r="C548" s="58" t="s">
        <v>82</v>
      </c>
      <c r="D548" s="59">
        <v>1</v>
      </c>
      <c r="E548" s="60">
        <v>5.3081373745999998E-5</v>
      </c>
    </row>
    <row r="549" spans="2:5" ht="14.5" customHeight="1">
      <c r="B549" s="94"/>
      <c r="C549" s="58" t="s">
        <v>83</v>
      </c>
      <c r="D549" s="59">
        <v>4</v>
      </c>
      <c r="E549" s="60">
        <v>2.1232549498399999E-4</v>
      </c>
    </row>
    <row r="550" spans="2:5" ht="14.5" customHeight="1">
      <c r="B550" s="94"/>
      <c r="C550" s="58" t="s">
        <v>84</v>
      </c>
      <c r="D550" s="59">
        <v>7</v>
      </c>
      <c r="E550" s="60">
        <v>3.71569616222E-4</v>
      </c>
    </row>
    <row r="551" spans="2:5" ht="14.5" customHeight="1">
      <c r="B551" s="94"/>
      <c r="C551" s="58" t="s">
        <v>87</v>
      </c>
      <c r="D551" s="59">
        <v>1</v>
      </c>
      <c r="E551" s="60">
        <v>5.3081373745999998E-5</v>
      </c>
    </row>
    <row r="552" spans="2:5" ht="14.5" customHeight="1">
      <c r="B552" s="94"/>
      <c r="C552" s="58" t="s">
        <v>89</v>
      </c>
      <c r="D552" s="59">
        <v>5</v>
      </c>
      <c r="E552" s="60">
        <v>2.6540686872999998E-4</v>
      </c>
    </row>
    <row r="553" spans="2:5" ht="14.5" customHeight="1">
      <c r="B553" s="94"/>
      <c r="C553" s="58" t="s">
        <v>90</v>
      </c>
      <c r="D553" s="59">
        <v>47</v>
      </c>
      <c r="E553" s="60">
        <v>2.4948245660600002E-3</v>
      </c>
    </row>
    <row r="554" spans="2:5" ht="14.5" customHeight="1">
      <c r="B554" s="94"/>
      <c r="C554" s="58" t="s">
        <v>92</v>
      </c>
      <c r="D554" s="59">
        <v>1</v>
      </c>
      <c r="E554" s="60">
        <v>5.3081373745999998E-5</v>
      </c>
    </row>
    <row r="555" spans="2:5" ht="14.5" customHeight="1">
      <c r="B555" s="94"/>
      <c r="C555" s="58" t="s">
        <v>93</v>
      </c>
      <c r="D555" s="59">
        <v>1</v>
      </c>
      <c r="E555" s="60">
        <v>5.3081373745999998E-5</v>
      </c>
    </row>
    <row r="556" spans="2:5" ht="14.5" customHeight="1">
      <c r="B556" s="94"/>
      <c r="C556" s="58" t="s">
        <v>95</v>
      </c>
      <c r="D556" s="59">
        <v>1</v>
      </c>
      <c r="E556" s="60">
        <v>5.3081373745999998E-5</v>
      </c>
    </row>
    <row r="557" spans="2:5" ht="14.5" customHeight="1">
      <c r="B557" s="94"/>
      <c r="C557" s="35" t="s">
        <v>28</v>
      </c>
      <c r="D557" s="34">
        <v>185</v>
      </c>
      <c r="E557" s="33">
        <v>9.8200541430009999E-3</v>
      </c>
    </row>
    <row r="558" spans="2:5" ht="14.5" customHeight="1">
      <c r="B558" s="94" t="s">
        <v>254</v>
      </c>
      <c r="C558" s="58" t="s">
        <v>52</v>
      </c>
      <c r="D558" s="59">
        <v>15</v>
      </c>
      <c r="E558" s="60">
        <v>7.9622060618899997E-4</v>
      </c>
    </row>
    <row r="559" spans="2:5" ht="14.5" customHeight="1">
      <c r="B559" s="94"/>
      <c r="C559" s="58" t="s">
        <v>53</v>
      </c>
      <c r="D559" s="59">
        <v>3</v>
      </c>
      <c r="E559" s="60">
        <v>1.5924412123800001E-4</v>
      </c>
    </row>
    <row r="560" spans="2:5" ht="14.5" customHeight="1">
      <c r="B560" s="94"/>
      <c r="C560" s="58" t="s">
        <v>54</v>
      </c>
      <c r="D560" s="59">
        <v>100</v>
      </c>
      <c r="E560" s="60">
        <v>5.3081373745950001E-3</v>
      </c>
    </row>
    <row r="561" spans="2:5" ht="14.5" customHeight="1">
      <c r="B561" s="94"/>
      <c r="C561" s="58" t="s">
        <v>55</v>
      </c>
      <c r="D561" s="59">
        <v>28</v>
      </c>
      <c r="E561" s="60">
        <v>1.4862784648869999E-3</v>
      </c>
    </row>
    <row r="562" spans="2:5" ht="14.5" customHeight="1">
      <c r="B562" s="94"/>
      <c r="C562" s="58" t="s">
        <v>58</v>
      </c>
      <c r="D562" s="59">
        <v>2</v>
      </c>
      <c r="E562" s="60">
        <v>1.06162747492E-4</v>
      </c>
    </row>
    <row r="563" spans="2:5" ht="14.5" customHeight="1">
      <c r="B563" s="94"/>
      <c r="C563" s="58" t="s">
        <v>59</v>
      </c>
      <c r="D563" s="59">
        <v>6</v>
      </c>
      <c r="E563" s="60">
        <v>3.1848824247600002E-4</v>
      </c>
    </row>
    <row r="564" spans="2:5" ht="14.5" customHeight="1">
      <c r="B564" s="94"/>
      <c r="C564" s="58" t="s">
        <v>62</v>
      </c>
      <c r="D564" s="59">
        <v>95</v>
      </c>
      <c r="E564" s="60">
        <v>5.0427305058649997E-3</v>
      </c>
    </row>
    <row r="565" spans="2:5" ht="14.5" customHeight="1">
      <c r="B565" s="94"/>
      <c r="C565" s="58" t="s">
        <v>63</v>
      </c>
      <c r="D565" s="59">
        <v>7</v>
      </c>
      <c r="E565" s="60">
        <v>3.71569616222E-4</v>
      </c>
    </row>
    <row r="566" spans="2:5" ht="14.5" customHeight="1">
      <c r="B566" s="94"/>
      <c r="C566" s="58" t="s">
        <v>65</v>
      </c>
      <c r="D566" s="59">
        <v>24</v>
      </c>
      <c r="E566" s="60">
        <v>1.273952969903E-3</v>
      </c>
    </row>
    <row r="567" spans="2:5" ht="14.5" customHeight="1">
      <c r="B567" s="94"/>
      <c r="C567" s="58" t="s">
        <v>66</v>
      </c>
      <c r="D567" s="59">
        <v>5</v>
      </c>
      <c r="E567" s="60">
        <v>2.6540686872999998E-4</v>
      </c>
    </row>
    <row r="568" spans="2:5" ht="14.5" customHeight="1">
      <c r="B568" s="94"/>
      <c r="C568" s="58" t="s">
        <v>67</v>
      </c>
      <c r="D568" s="59">
        <v>2</v>
      </c>
      <c r="E568" s="60">
        <v>1.06162747492E-4</v>
      </c>
    </row>
    <row r="569" spans="2:5" ht="14.5" customHeight="1">
      <c r="B569" s="94"/>
      <c r="C569" s="58" t="s">
        <v>68</v>
      </c>
      <c r="D569" s="59">
        <v>1</v>
      </c>
      <c r="E569" s="60">
        <v>5.3081373745999998E-5</v>
      </c>
    </row>
    <row r="570" spans="2:5" ht="14.5" customHeight="1">
      <c r="B570" s="94"/>
      <c r="C570" s="58" t="s">
        <v>70</v>
      </c>
      <c r="D570" s="59">
        <v>3</v>
      </c>
      <c r="E570" s="60">
        <v>1.5924412123800001E-4</v>
      </c>
    </row>
    <row r="571" spans="2:5" ht="14.5" customHeight="1">
      <c r="B571" s="94"/>
      <c r="C571" s="58" t="s">
        <v>71</v>
      </c>
      <c r="D571" s="59">
        <v>7</v>
      </c>
      <c r="E571" s="60">
        <v>3.71569616222E-4</v>
      </c>
    </row>
    <row r="572" spans="2:5" ht="14.5" customHeight="1">
      <c r="B572" s="94"/>
      <c r="C572" s="58" t="s">
        <v>73</v>
      </c>
      <c r="D572" s="59">
        <v>7</v>
      </c>
      <c r="E572" s="60">
        <v>3.71569616222E-4</v>
      </c>
    </row>
    <row r="573" spans="2:5" ht="14.5" customHeight="1">
      <c r="B573" s="94"/>
      <c r="C573" s="58" t="s">
        <v>75</v>
      </c>
      <c r="D573" s="59">
        <v>4</v>
      </c>
      <c r="E573" s="60">
        <v>2.1232549498399999E-4</v>
      </c>
    </row>
    <row r="574" spans="2:5" ht="14.5" customHeight="1">
      <c r="B574" s="94"/>
      <c r="C574" s="58" t="s">
        <v>76</v>
      </c>
      <c r="D574" s="59">
        <v>17</v>
      </c>
      <c r="E574" s="60">
        <v>9.0238335368100005E-4</v>
      </c>
    </row>
    <row r="575" spans="2:5" ht="14.5" customHeight="1">
      <c r="B575" s="94"/>
      <c r="C575" s="58" t="s">
        <v>79</v>
      </c>
      <c r="D575" s="59">
        <v>14</v>
      </c>
      <c r="E575" s="60">
        <v>7.4313923244300004E-4</v>
      </c>
    </row>
    <row r="576" spans="2:5" ht="14.5" customHeight="1">
      <c r="B576" s="94"/>
      <c r="C576" s="58" t="s">
        <v>80</v>
      </c>
      <c r="D576" s="59">
        <v>1</v>
      </c>
      <c r="E576" s="60">
        <v>5.3081373745999998E-5</v>
      </c>
    </row>
    <row r="577" spans="2:5" ht="14.5" customHeight="1">
      <c r="B577" s="94"/>
      <c r="C577" s="58" t="s">
        <v>81</v>
      </c>
      <c r="D577" s="59">
        <v>2</v>
      </c>
      <c r="E577" s="60">
        <v>1.06162747492E-4</v>
      </c>
    </row>
    <row r="578" spans="2:5" ht="14.5" customHeight="1">
      <c r="B578" s="94"/>
      <c r="C578" s="58" t="s">
        <v>82</v>
      </c>
      <c r="D578" s="59">
        <v>1</v>
      </c>
      <c r="E578" s="60">
        <v>5.3081373745999998E-5</v>
      </c>
    </row>
    <row r="579" spans="2:5" ht="14.5" customHeight="1">
      <c r="B579" s="94"/>
      <c r="C579" s="58" t="s">
        <v>83</v>
      </c>
      <c r="D579" s="59">
        <v>2</v>
      </c>
      <c r="E579" s="60">
        <v>1.06162747492E-4</v>
      </c>
    </row>
    <row r="580" spans="2:5" ht="14.5" customHeight="1">
      <c r="B580" s="94"/>
      <c r="C580" s="58" t="s">
        <v>84</v>
      </c>
      <c r="D580" s="59">
        <v>23</v>
      </c>
      <c r="E580" s="60">
        <v>1.220871596157E-3</v>
      </c>
    </row>
    <row r="581" spans="2:5" ht="14.5" customHeight="1">
      <c r="B581" s="94"/>
      <c r="C581" s="58" t="s">
        <v>85</v>
      </c>
      <c r="D581" s="59">
        <v>1</v>
      </c>
      <c r="E581" s="60">
        <v>5.3081373745999998E-5</v>
      </c>
    </row>
    <row r="582" spans="2:5" ht="14.5" customHeight="1">
      <c r="B582" s="94"/>
      <c r="C582" s="58" t="s">
        <v>87</v>
      </c>
      <c r="D582" s="59">
        <v>1</v>
      </c>
      <c r="E582" s="60">
        <v>5.3081373745999998E-5</v>
      </c>
    </row>
    <row r="583" spans="2:5" ht="14.5" customHeight="1">
      <c r="B583" s="94"/>
      <c r="C583" s="58" t="s">
        <v>89</v>
      </c>
      <c r="D583" s="59">
        <v>5</v>
      </c>
      <c r="E583" s="60">
        <v>2.6540686872999998E-4</v>
      </c>
    </row>
    <row r="584" spans="2:5" ht="14.5" customHeight="1">
      <c r="B584" s="94"/>
      <c r="C584" s="58" t="s">
        <v>90</v>
      </c>
      <c r="D584" s="59">
        <v>189</v>
      </c>
      <c r="E584" s="60">
        <v>1.0032379637984999E-2</v>
      </c>
    </row>
    <row r="585" spans="2:5" ht="14.5" customHeight="1">
      <c r="B585" s="94"/>
      <c r="C585" s="58" t="s">
        <v>91</v>
      </c>
      <c r="D585" s="59">
        <v>4</v>
      </c>
      <c r="E585" s="60">
        <v>2.1232549498399999E-4</v>
      </c>
    </row>
    <row r="586" spans="2:5" ht="14.5" customHeight="1">
      <c r="B586" s="94"/>
      <c r="C586" s="58" t="s">
        <v>92</v>
      </c>
      <c r="D586" s="59">
        <v>1</v>
      </c>
      <c r="E586" s="60">
        <v>5.3081373745999998E-5</v>
      </c>
    </row>
    <row r="587" spans="2:5" ht="14.5" customHeight="1">
      <c r="B587" s="94"/>
      <c r="C587" s="58" t="s">
        <v>95</v>
      </c>
      <c r="D587" s="59">
        <v>8</v>
      </c>
      <c r="E587" s="60">
        <v>4.2465098996799999E-4</v>
      </c>
    </row>
    <row r="588" spans="2:5" ht="14.5" customHeight="1">
      <c r="B588" s="94"/>
      <c r="C588" s="35" t="s">
        <v>28</v>
      </c>
      <c r="D588" s="34">
        <v>578</v>
      </c>
      <c r="E588" s="33">
        <v>3.0681034025161001E-2</v>
      </c>
    </row>
    <row r="589" spans="2:5" ht="14.5" customHeight="1">
      <c r="B589" s="94" t="s">
        <v>255</v>
      </c>
      <c r="C589" s="58" t="s">
        <v>62</v>
      </c>
      <c r="D589" s="59">
        <v>2</v>
      </c>
      <c r="E589" s="60">
        <v>1.06162747492E-4</v>
      </c>
    </row>
    <row r="590" spans="2:5" ht="14.5" customHeight="1">
      <c r="B590" s="94"/>
      <c r="C590" s="58" t="s">
        <v>90</v>
      </c>
      <c r="D590" s="59">
        <v>4</v>
      </c>
      <c r="E590" s="60">
        <v>2.1232549498399999E-4</v>
      </c>
    </row>
    <row r="591" spans="2:5" ht="14.5" customHeight="1">
      <c r="B591" s="94"/>
      <c r="C591" s="35" t="s">
        <v>28</v>
      </c>
      <c r="D591" s="34">
        <v>6</v>
      </c>
      <c r="E591" s="33">
        <v>3.1848824247600002E-4</v>
      </c>
    </row>
    <row r="592" spans="2:5" ht="14.5" customHeight="1">
      <c r="B592" s="94" t="s">
        <v>256</v>
      </c>
      <c r="C592" s="58" t="s">
        <v>53</v>
      </c>
      <c r="D592" s="59">
        <v>1</v>
      </c>
      <c r="E592" s="60">
        <v>5.3081373745999998E-5</v>
      </c>
    </row>
    <row r="593" spans="2:5" ht="14.5" customHeight="1">
      <c r="B593" s="94"/>
      <c r="C593" s="58" t="s">
        <v>62</v>
      </c>
      <c r="D593" s="59">
        <v>3</v>
      </c>
      <c r="E593" s="60">
        <v>1.5924412123800001E-4</v>
      </c>
    </row>
    <row r="594" spans="2:5" ht="14.5" customHeight="1">
      <c r="B594" s="94"/>
      <c r="C594" s="58" t="s">
        <v>65</v>
      </c>
      <c r="D594" s="59">
        <v>1</v>
      </c>
      <c r="E594" s="60">
        <v>5.3081373745999998E-5</v>
      </c>
    </row>
    <row r="595" spans="2:5" ht="14.5" customHeight="1">
      <c r="B595" s="94"/>
      <c r="C595" s="58" t="s">
        <v>83</v>
      </c>
      <c r="D595" s="59">
        <v>1</v>
      </c>
      <c r="E595" s="60">
        <v>5.3081373745999998E-5</v>
      </c>
    </row>
    <row r="596" spans="2:5" ht="14.5" customHeight="1">
      <c r="B596" s="94"/>
      <c r="C596" s="58" t="s">
        <v>89</v>
      </c>
      <c r="D596" s="59">
        <v>1</v>
      </c>
      <c r="E596" s="60">
        <v>5.3081373745999998E-5</v>
      </c>
    </row>
    <row r="597" spans="2:5" ht="14.5" customHeight="1">
      <c r="B597" s="94"/>
      <c r="C597" s="58" t="s">
        <v>90</v>
      </c>
      <c r="D597" s="59">
        <v>3</v>
      </c>
      <c r="E597" s="60">
        <v>1.5924412123800001E-4</v>
      </c>
    </row>
    <row r="598" spans="2:5" ht="14.5" customHeight="1">
      <c r="B598" s="94"/>
      <c r="C598" s="35" t="s">
        <v>28</v>
      </c>
      <c r="D598" s="34">
        <v>10</v>
      </c>
      <c r="E598" s="33">
        <v>5.3081373745999996E-4</v>
      </c>
    </row>
    <row r="599" spans="2:5" ht="14.5" customHeight="1">
      <c r="B599" s="94" t="s">
        <v>257</v>
      </c>
      <c r="C599" s="58" t="s">
        <v>62</v>
      </c>
      <c r="D599" s="59">
        <v>1</v>
      </c>
      <c r="E599" s="60">
        <v>5.3081373745999998E-5</v>
      </c>
    </row>
    <row r="600" spans="2:5" ht="14.5" customHeight="1">
      <c r="B600" s="94"/>
      <c r="C600" s="58" t="s">
        <v>90</v>
      </c>
      <c r="D600" s="59">
        <v>1</v>
      </c>
      <c r="E600" s="60">
        <v>5.3081373745999998E-5</v>
      </c>
    </row>
    <row r="601" spans="2:5" ht="14.5" customHeight="1">
      <c r="B601" s="94"/>
      <c r="C601" s="35" t="s">
        <v>28</v>
      </c>
      <c r="D601" s="34">
        <v>2</v>
      </c>
      <c r="E601" s="33">
        <v>1.06162747492E-4</v>
      </c>
    </row>
    <row r="602" spans="2:5" ht="14.5" customHeight="1">
      <c r="B602" s="95" t="s">
        <v>28</v>
      </c>
      <c r="C602" s="95"/>
      <c r="D602" s="56">
        <v>18839</v>
      </c>
      <c r="E602" s="57">
        <v>1</v>
      </c>
    </row>
    <row r="603" spans="2:5" ht="14.5" customHeight="1"/>
    <row r="604" spans="2:5" ht="14.5" customHeight="1">
      <c r="B604" s="15" t="s">
        <v>48</v>
      </c>
    </row>
    <row r="605" spans="2:5" ht="14.5" customHeight="1">
      <c r="B605" s="17" t="s">
        <v>17</v>
      </c>
    </row>
    <row r="606" spans="2:5" ht="14.5" customHeight="1">
      <c r="B606" s="16" t="s">
        <v>49</v>
      </c>
    </row>
    <row r="607" spans="2:5" ht="14.5" customHeight="1">
      <c r="B607" s="15" t="s">
        <v>16</v>
      </c>
    </row>
    <row r="608" spans="2:5" ht="14.5" customHeight="1">
      <c r="B608" s="15" t="s">
        <v>50</v>
      </c>
    </row>
  </sheetData>
  <mergeCells count="26">
    <mergeCell ref="B558:B588"/>
    <mergeCell ref="B589:B591"/>
    <mergeCell ref="B592:B598"/>
    <mergeCell ref="B599:B601"/>
    <mergeCell ref="B602:C602"/>
    <mergeCell ref="B469:B486"/>
    <mergeCell ref="B487:B506"/>
    <mergeCell ref="B507:B519"/>
    <mergeCell ref="B520:B528"/>
    <mergeCell ref="B529:B557"/>
    <mergeCell ref="B7:E8"/>
    <mergeCell ref="B118:B145"/>
    <mergeCell ref="B146:B182"/>
    <mergeCell ref="B183:B221"/>
    <mergeCell ref="B222:B248"/>
    <mergeCell ref="B10:B31"/>
    <mergeCell ref="B32:B46"/>
    <mergeCell ref="B47:B66"/>
    <mergeCell ref="B67:B92"/>
    <mergeCell ref="B93:B117"/>
    <mergeCell ref="B425:B468"/>
    <mergeCell ref="B249:B279"/>
    <mergeCell ref="B280:B314"/>
    <mergeCell ref="B315:B359"/>
    <mergeCell ref="B360:B387"/>
    <mergeCell ref="B388:B4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16"/>
  <sheetViews>
    <sheetView showGridLines="0" view="pageBreakPreview" topLeftCell="A786" zoomScale="69" zoomScaleNormal="100" zoomScaleSheetLayoutView="69" workbookViewId="0">
      <selection activeCell="F11" sqref="F11"/>
    </sheetView>
  </sheetViews>
  <sheetFormatPr baseColWidth="10" defaultColWidth="35" defaultRowHeight="15" customHeight="1"/>
  <cols>
    <col min="1" max="1" width="1" style="31" customWidth="1"/>
    <col min="2" max="2" width="22.81640625" style="32" customWidth="1"/>
    <col min="3" max="3" width="36.7265625" style="32" customWidth="1"/>
    <col min="4" max="4" width="14.26953125" style="32" customWidth="1"/>
    <col min="5" max="5" width="16.81640625" style="32" customWidth="1"/>
    <col min="6" max="16384" width="35" style="31"/>
  </cols>
  <sheetData>
    <row r="1" spans="1:5" s="40" customFormat="1" ht="12" customHeight="1">
      <c r="B1" s="42"/>
      <c r="C1" s="36"/>
      <c r="D1" s="36"/>
      <c r="E1" s="36"/>
    </row>
    <row r="2" spans="1:5" s="40" customFormat="1" ht="15" customHeight="1">
      <c r="C2" s="44"/>
    </row>
    <row r="3" spans="1:5" s="40" customFormat="1" ht="15" customHeight="1">
      <c r="C3" s="44"/>
    </row>
    <row r="4" spans="1:5" s="40" customFormat="1" ht="30" customHeight="1">
      <c r="C4" s="44"/>
      <c r="D4" s="43"/>
    </row>
    <row r="5" spans="1:5" s="40" customFormat="1" ht="15" customHeight="1">
      <c r="C5" s="44"/>
      <c r="D5" s="43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88"/>
      <c r="C7" s="88"/>
      <c r="D7" s="88"/>
      <c r="E7" s="88"/>
    </row>
    <row r="8" spans="1:5" s="40" customFormat="1" ht="33" customHeight="1">
      <c r="A8" s="41"/>
      <c r="B8" s="88"/>
      <c r="C8" s="88"/>
      <c r="D8" s="88"/>
      <c r="E8" s="88"/>
    </row>
    <row r="9" spans="1:5" s="24" customFormat="1" ht="40.5" customHeight="1">
      <c r="B9" s="37" t="s">
        <v>21</v>
      </c>
      <c r="C9" s="39" t="s">
        <v>26</v>
      </c>
      <c r="D9" s="38" t="s">
        <v>19</v>
      </c>
      <c r="E9" s="37" t="s">
        <v>18</v>
      </c>
    </row>
    <row r="10" spans="1:5" ht="14.5" customHeight="1">
      <c r="B10" s="85" t="s">
        <v>108</v>
      </c>
      <c r="C10" s="58" t="s">
        <v>234</v>
      </c>
      <c r="D10" s="59">
        <v>1</v>
      </c>
      <c r="E10" s="60">
        <v>5.3081373745999998E-5</v>
      </c>
    </row>
    <row r="11" spans="1:5" ht="14.5" customHeight="1">
      <c r="B11" s="86"/>
      <c r="C11" s="58" t="s">
        <v>235</v>
      </c>
      <c r="D11" s="59">
        <v>1</v>
      </c>
      <c r="E11" s="60">
        <v>5.3081373745999998E-5</v>
      </c>
    </row>
    <row r="12" spans="1:5" ht="14.5" customHeight="1">
      <c r="B12" s="86"/>
      <c r="C12" s="58" t="s">
        <v>236</v>
      </c>
      <c r="D12" s="59">
        <v>5</v>
      </c>
      <c r="E12" s="60">
        <v>2.6540686872999998E-4</v>
      </c>
    </row>
    <row r="13" spans="1:5" ht="14.5" customHeight="1">
      <c r="B13" s="86"/>
      <c r="C13" s="58" t="s">
        <v>237</v>
      </c>
      <c r="D13" s="59">
        <v>4</v>
      </c>
      <c r="E13" s="60">
        <v>2.1232549498399999E-4</v>
      </c>
    </row>
    <row r="14" spans="1:5" ht="14.5" customHeight="1">
      <c r="B14" s="86"/>
      <c r="C14" s="58" t="s">
        <v>238</v>
      </c>
      <c r="D14" s="59">
        <v>3</v>
      </c>
      <c r="E14" s="60">
        <v>1.5924412123800001E-4</v>
      </c>
    </row>
    <row r="15" spans="1:5" ht="14.5" customHeight="1">
      <c r="B15" s="86"/>
      <c r="C15" s="58" t="s">
        <v>239</v>
      </c>
      <c r="D15" s="59">
        <v>6</v>
      </c>
      <c r="E15" s="60">
        <v>3.1848824247600002E-4</v>
      </c>
    </row>
    <row r="16" spans="1:5" ht="14.5" customHeight="1">
      <c r="B16" s="86"/>
      <c r="C16" s="58" t="s">
        <v>240</v>
      </c>
      <c r="D16" s="59">
        <v>43</v>
      </c>
      <c r="E16" s="60">
        <v>2.282499071076E-3</v>
      </c>
    </row>
    <row r="17" spans="2:5" ht="14.5" customHeight="1">
      <c r="B17" s="86"/>
      <c r="C17" s="58" t="s">
        <v>241</v>
      </c>
      <c r="D17" s="59">
        <v>63</v>
      </c>
      <c r="E17" s="60">
        <v>3.3441265459949999E-3</v>
      </c>
    </row>
    <row r="18" spans="2:5" ht="14.5" customHeight="1">
      <c r="B18" s="86"/>
      <c r="C18" s="58" t="s">
        <v>242</v>
      </c>
      <c r="D18" s="59">
        <v>6</v>
      </c>
      <c r="E18" s="60">
        <v>3.1848824247600002E-4</v>
      </c>
    </row>
    <row r="19" spans="2:5" ht="14.5" customHeight="1">
      <c r="B19" s="86"/>
      <c r="C19" s="58" t="s">
        <v>243</v>
      </c>
      <c r="D19" s="59">
        <v>11</v>
      </c>
      <c r="E19" s="60">
        <v>5.8389511120500003E-4</v>
      </c>
    </row>
    <row r="20" spans="2:5" ht="14.5" customHeight="1">
      <c r="B20" s="86"/>
      <c r="C20" s="58" t="s">
        <v>244</v>
      </c>
      <c r="D20" s="59">
        <v>7</v>
      </c>
      <c r="E20" s="60">
        <v>3.71569616222E-4</v>
      </c>
    </row>
    <row r="21" spans="2:5" ht="14.5" customHeight="1">
      <c r="B21" s="86"/>
      <c r="C21" s="58" t="s">
        <v>245</v>
      </c>
      <c r="D21" s="59">
        <v>133</v>
      </c>
      <c r="E21" s="60">
        <v>7.0598227082119998E-3</v>
      </c>
    </row>
    <row r="22" spans="2:5" ht="14.5" customHeight="1">
      <c r="B22" s="86"/>
      <c r="C22" s="58" t="s">
        <v>246</v>
      </c>
      <c r="D22" s="59">
        <v>8</v>
      </c>
      <c r="E22" s="60">
        <v>4.2465098996799999E-4</v>
      </c>
    </row>
    <row r="23" spans="2:5" ht="14.5" customHeight="1">
      <c r="B23" s="86"/>
      <c r="C23" s="58" t="s">
        <v>247</v>
      </c>
      <c r="D23" s="59">
        <v>30</v>
      </c>
      <c r="E23" s="60">
        <v>1.592441212379E-3</v>
      </c>
    </row>
    <row r="24" spans="2:5" ht="14.5" customHeight="1">
      <c r="B24" s="86"/>
      <c r="C24" s="58" t="s">
        <v>248</v>
      </c>
      <c r="D24" s="59">
        <v>80</v>
      </c>
      <c r="E24" s="60">
        <v>4.2465098996760002E-3</v>
      </c>
    </row>
    <row r="25" spans="2:5" ht="14.5" customHeight="1">
      <c r="B25" s="86"/>
      <c r="C25" s="58" t="s">
        <v>249</v>
      </c>
      <c r="D25" s="59">
        <v>2</v>
      </c>
      <c r="E25" s="60">
        <v>1.06162747492E-4</v>
      </c>
    </row>
    <row r="26" spans="2:5" ht="14.5" customHeight="1">
      <c r="B26" s="86"/>
      <c r="C26" s="58" t="s">
        <v>250</v>
      </c>
      <c r="D26" s="59">
        <v>1</v>
      </c>
      <c r="E26" s="60">
        <v>5.3081373745999998E-5</v>
      </c>
    </row>
    <row r="27" spans="2:5" ht="14.5" customHeight="1">
      <c r="B27" s="86"/>
      <c r="C27" s="58" t="s">
        <v>253</v>
      </c>
      <c r="D27" s="59">
        <v>6</v>
      </c>
      <c r="E27" s="60">
        <v>3.1848824247600002E-4</v>
      </c>
    </row>
    <row r="28" spans="2:5" ht="14.5" customHeight="1">
      <c r="B28" s="86"/>
      <c r="C28" s="58" t="s">
        <v>254</v>
      </c>
      <c r="D28" s="59">
        <v>11</v>
      </c>
      <c r="E28" s="60">
        <v>5.8389511120500003E-4</v>
      </c>
    </row>
    <row r="29" spans="2:5" ht="14.5" customHeight="1">
      <c r="B29" s="87"/>
      <c r="C29" s="35" t="s">
        <v>28</v>
      </c>
      <c r="D29" s="34">
        <v>421</v>
      </c>
      <c r="E29" s="33">
        <v>2.2347258347046001E-2</v>
      </c>
    </row>
    <row r="30" spans="2:5" ht="14.5" customHeight="1">
      <c r="B30" s="85" t="s">
        <v>109</v>
      </c>
      <c r="C30" s="58" t="s">
        <v>234</v>
      </c>
      <c r="D30" s="59">
        <v>2</v>
      </c>
      <c r="E30" s="60">
        <v>1.06162747492E-4</v>
      </c>
    </row>
    <row r="31" spans="2:5" ht="14.5" customHeight="1">
      <c r="B31" s="86"/>
      <c r="C31" s="58" t="s">
        <v>236</v>
      </c>
      <c r="D31" s="59">
        <v>2</v>
      </c>
      <c r="E31" s="60">
        <v>1.06162747492E-4</v>
      </c>
    </row>
    <row r="32" spans="2:5" ht="14.5" customHeight="1">
      <c r="B32" s="86"/>
      <c r="C32" s="58" t="s">
        <v>237</v>
      </c>
      <c r="D32" s="59">
        <v>5</v>
      </c>
      <c r="E32" s="60">
        <v>2.6540686872999998E-4</v>
      </c>
    </row>
    <row r="33" spans="2:5" ht="14.5" customHeight="1">
      <c r="B33" s="86"/>
      <c r="C33" s="58" t="s">
        <v>238</v>
      </c>
      <c r="D33" s="59">
        <v>2</v>
      </c>
      <c r="E33" s="60">
        <v>1.06162747492E-4</v>
      </c>
    </row>
    <row r="34" spans="2:5" ht="14.5" customHeight="1">
      <c r="B34" s="86"/>
      <c r="C34" s="58" t="s">
        <v>239</v>
      </c>
      <c r="D34" s="59">
        <v>8</v>
      </c>
      <c r="E34" s="60">
        <v>4.2465098996799999E-4</v>
      </c>
    </row>
    <row r="35" spans="2:5" ht="14.5" customHeight="1">
      <c r="B35" s="86"/>
      <c r="C35" s="58" t="s">
        <v>240</v>
      </c>
      <c r="D35" s="59">
        <v>32</v>
      </c>
      <c r="E35" s="60">
        <v>1.69860395987E-3</v>
      </c>
    </row>
    <row r="36" spans="2:5" ht="14.5" customHeight="1">
      <c r="B36" s="86"/>
      <c r="C36" s="58" t="s">
        <v>241</v>
      </c>
      <c r="D36" s="59">
        <v>52</v>
      </c>
      <c r="E36" s="60">
        <v>2.7602314347900002E-3</v>
      </c>
    </row>
    <row r="37" spans="2:5" ht="14.5" customHeight="1">
      <c r="B37" s="86"/>
      <c r="C37" s="58" t="s">
        <v>242</v>
      </c>
      <c r="D37" s="59">
        <v>4</v>
      </c>
      <c r="E37" s="60">
        <v>2.1232549498399999E-4</v>
      </c>
    </row>
    <row r="38" spans="2:5" ht="14.5" customHeight="1">
      <c r="B38" s="86"/>
      <c r="C38" s="58" t="s">
        <v>243</v>
      </c>
      <c r="D38" s="59">
        <v>13</v>
      </c>
      <c r="E38" s="60">
        <v>6.90057858697E-4</v>
      </c>
    </row>
    <row r="39" spans="2:5" ht="14.5" customHeight="1">
      <c r="B39" s="86"/>
      <c r="C39" s="58" t="s">
        <v>244</v>
      </c>
      <c r="D39" s="59">
        <v>13</v>
      </c>
      <c r="E39" s="60">
        <v>6.90057858697E-4</v>
      </c>
    </row>
    <row r="40" spans="2:5" ht="14.5" customHeight="1">
      <c r="B40" s="86"/>
      <c r="C40" s="58" t="s">
        <v>245</v>
      </c>
      <c r="D40" s="59">
        <v>149</v>
      </c>
      <c r="E40" s="60">
        <v>7.9091246881469995E-3</v>
      </c>
    </row>
    <row r="41" spans="2:5" ht="14.5" customHeight="1">
      <c r="B41" s="86"/>
      <c r="C41" s="58" t="s">
        <v>246</v>
      </c>
      <c r="D41" s="59">
        <v>7</v>
      </c>
      <c r="E41" s="60">
        <v>3.71569616222E-4</v>
      </c>
    </row>
    <row r="42" spans="2:5" ht="14.5" customHeight="1">
      <c r="B42" s="86"/>
      <c r="C42" s="58" t="s">
        <v>247</v>
      </c>
      <c r="D42" s="59">
        <v>24</v>
      </c>
      <c r="E42" s="60">
        <v>1.273952969903E-3</v>
      </c>
    </row>
    <row r="43" spans="2:5" ht="14.5" customHeight="1">
      <c r="B43" s="86"/>
      <c r="C43" s="58" t="s">
        <v>248</v>
      </c>
      <c r="D43" s="59">
        <v>68</v>
      </c>
      <c r="E43" s="60">
        <v>3.6095334147249998E-3</v>
      </c>
    </row>
    <row r="44" spans="2:5" ht="14.5" customHeight="1">
      <c r="B44" s="86"/>
      <c r="C44" s="58" t="s">
        <v>250</v>
      </c>
      <c r="D44" s="59">
        <v>1</v>
      </c>
      <c r="E44" s="60">
        <v>5.3081373745999998E-5</v>
      </c>
    </row>
    <row r="45" spans="2:5" ht="14.5" customHeight="1">
      <c r="B45" s="86"/>
      <c r="C45" s="58" t="s">
        <v>251</v>
      </c>
      <c r="D45" s="59">
        <v>1</v>
      </c>
      <c r="E45" s="60">
        <v>5.3081373745999998E-5</v>
      </c>
    </row>
    <row r="46" spans="2:5" ht="14.5" customHeight="1">
      <c r="B46" s="86"/>
      <c r="C46" s="58" t="s">
        <v>253</v>
      </c>
      <c r="D46" s="59">
        <v>5</v>
      </c>
      <c r="E46" s="60">
        <v>2.6540686872999998E-4</v>
      </c>
    </row>
    <row r="47" spans="2:5" ht="14.5" customHeight="1">
      <c r="B47" s="86"/>
      <c r="C47" s="58" t="s">
        <v>254</v>
      </c>
      <c r="D47" s="59">
        <v>6</v>
      </c>
      <c r="E47" s="60">
        <v>3.1848824247600002E-4</v>
      </c>
    </row>
    <row r="48" spans="2:5" ht="14.5" customHeight="1">
      <c r="B48" s="86"/>
      <c r="C48" s="58" t="s">
        <v>256</v>
      </c>
      <c r="D48" s="59">
        <v>1</v>
      </c>
      <c r="E48" s="60">
        <v>5.3081373745999998E-5</v>
      </c>
    </row>
    <row r="49" spans="2:5" ht="14.5" customHeight="1">
      <c r="B49" s="87"/>
      <c r="C49" s="35" t="s">
        <v>28</v>
      </c>
      <c r="D49" s="34">
        <v>395</v>
      </c>
      <c r="E49" s="33">
        <v>2.0967142629650999E-2</v>
      </c>
    </row>
    <row r="50" spans="2:5" ht="14.5" customHeight="1">
      <c r="B50" s="85" t="s">
        <v>113</v>
      </c>
      <c r="C50" s="58" t="s">
        <v>234</v>
      </c>
      <c r="D50" s="59">
        <v>3</v>
      </c>
      <c r="E50" s="60">
        <v>1.5924412123800001E-4</v>
      </c>
    </row>
    <row r="51" spans="2:5" ht="14.5" customHeight="1">
      <c r="B51" s="86"/>
      <c r="C51" s="58" t="s">
        <v>236</v>
      </c>
      <c r="D51" s="59">
        <v>4</v>
      </c>
      <c r="E51" s="60">
        <v>2.1232549498399999E-4</v>
      </c>
    </row>
    <row r="52" spans="2:5" ht="14.5" customHeight="1">
      <c r="B52" s="86"/>
      <c r="C52" s="58" t="s">
        <v>237</v>
      </c>
      <c r="D52" s="59">
        <v>4</v>
      </c>
      <c r="E52" s="60">
        <v>2.1232549498399999E-4</v>
      </c>
    </row>
    <row r="53" spans="2:5" ht="14.5" customHeight="1">
      <c r="B53" s="86"/>
      <c r="C53" s="58" t="s">
        <v>238</v>
      </c>
      <c r="D53" s="59">
        <v>3</v>
      </c>
      <c r="E53" s="60">
        <v>1.5924412123800001E-4</v>
      </c>
    </row>
    <row r="54" spans="2:5" ht="14.5" customHeight="1">
      <c r="B54" s="86"/>
      <c r="C54" s="58" t="s">
        <v>239</v>
      </c>
      <c r="D54" s="59">
        <v>5</v>
      </c>
      <c r="E54" s="60">
        <v>2.6540686872999998E-4</v>
      </c>
    </row>
    <row r="55" spans="2:5" ht="14.5" customHeight="1">
      <c r="B55" s="86"/>
      <c r="C55" s="58" t="s">
        <v>240</v>
      </c>
      <c r="D55" s="59">
        <v>33</v>
      </c>
      <c r="E55" s="60">
        <v>1.7516853336160001E-3</v>
      </c>
    </row>
    <row r="56" spans="2:5" ht="14.5" customHeight="1">
      <c r="B56" s="86"/>
      <c r="C56" s="58" t="s">
        <v>241</v>
      </c>
      <c r="D56" s="59">
        <v>56</v>
      </c>
      <c r="E56" s="60">
        <v>2.9725569297729998E-3</v>
      </c>
    </row>
    <row r="57" spans="2:5" ht="14.5" customHeight="1">
      <c r="B57" s="86"/>
      <c r="C57" s="58" t="s">
        <v>242</v>
      </c>
      <c r="D57" s="59">
        <v>1</v>
      </c>
      <c r="E57" s="60">
        <v>5.3081373745999998E-5</v>
      </c>
    </row>
    <row r="58" spans="2:5" ht="14.5" customHeight="1">
      <c r="B58" s="86"/>
      <c r="C58" s="58" t="s">
        <v>243</v>
      </c>
      <c r="D58" s="59">
        <v>8</v>
      </c>
      <c r="E58" s="60">
        <v>4.2465098996799999E-4</v>
      </c>
    </row>
    <row r="59" spans="2:5" ht="14.5" customHeight="1">
      <c r="B59" s="86"/>
      <c r="C59" s="58" t="s">
        <v>244</v>
      </c>
      <c r="D59" s="59">
        <v>19</v>
      </c>
      <c r="E59" s="60">
        <v>1.008546101173E-3</v>
      </c>
    </row>
    <row r="60" spans="2:5" ht="14.5" customHeight="1">
      <c r="B60" s="86"/>
      <c r="C60" s="58" t="s">
        <v>245</v>
      </c>
      <c r="D60" s="59">
        <v>85</v>
      </c>
      <c r="E60" s="60">
        <v>4.5119167684059998E-3</v>
      </c>
    </row>
    <row r="61" spans="2:5" ht="14.5" customHeight="1">
      <c r="B61" s="86"/>
      <c r="C61" s="58" t="s">
        <v>246</v>
      </c>
      <c r="D61" s="59">
        <v>5</v>
      </c>
      <c r="E61" s="60">
        <v>2.6540686872999998E-4</v>
      </c>
    </row>
    <row r="62" spans="2:5" ht="14.5" customHeight="1">
      <c r="B62" s="86"/>
      <c r="C62" s="58" t="s">
        <v>247</v>
      </c>
      <c r="D62" s="59">
        <v>22</v>
      </c>
      <c r="E62" s="60">
        <v>1.1677902224109999E-3</v>
      </c>
    </row>
    <row r="63" spans="2:5" ht="14.5" customHeight="1">
      <c r="B63" s="86"/>
      <c r="C63" s="58" t="s">
        <v>248</v>
      </c>
      <c r="D63" s="59">
        <v>43</v>
      </c>
      <c r="E63" s="60">
        <v>2.282499071076E-3</v>
      </c>
    </row>
    <row r="64" spans="2:5" ht="14.5" customHeight="1">
      <c r="B64" s="86"/>
      <c r="C64" s="58" t="s">
        <v>251</v>
      </c>
      <c r="D64" s="59">
        <v>1</v>
      </c>
      <c r="E64" s="60">
        <v>5.3081373745999998E-5</v>
      </c>
    </row>
    <row r="65" spans="2:5" ht="14.5" customHeight="1">
      <c r="B65" s="86"/>
      <c r="C65" s="58" t="s">
        <v>252</v>
      </c>
      <c r="D65" s="59">
        <v>2</v>
      </c>
      <c r="E65" s="60">
        <v>1.06162747492E-4</v>
      </c>
    </row>
    <row r="66" spans="2:5" ht="14.5" customHeight="1">
      <c r="B66" s="86"/>
      <c r="C66" s="58" t="s">
        <v>253</v>
      </c>
      <c r="D66" s="59">
        <v>1</v>
      </c>
      <c r="E66" s="60">
        <v>5.3081373745999998E-5</v>
      </c>
    </row>
    <row r="67" spans="2:5" ht="14.5" customHeight="1">
      <c r="B67" s="86"/>
      <c r="C67" s="58" t="s">
        <v>254</v>
      </c>
      <c r="D67" s="59">
        <v>10</v>
      </c>
      <c r="E67" s="60">
        <v>5.3081373745999996E-4</v>
      </c>
    </row>
    <row r="68" spans="2:5" ht="14.5" customHeight="1">
      <c r="B68" s="87"/>
      <c r="C68" s="35" t="s">
        <v>28</v>
      </c>
      <c r="D68" s="34">
        <v>305</v>
      </c>
      <c r="E68" s="33">
        <v>1.6189818992516002E-2</v>
      </c>
    </row>
    <row r="69" spans="2:5" ht="14.5" customHeight="1">
      <c r="B69" s="85" t="s">
        <v>127</v>
      </c>
      <c r="C69" s="58" t="s">
        <v>234</v>
      </c>
      <c r="D69" s="59">
        <v>1</v>
      </c>
      <c r="E69" s="60">
        <v>5.3081373745999998E-5</v>
      </c>
    </row>
    <row r="70" spans="2:5" ht="14.5" customHeight="1">
      <c r="B70" s="86"/>
      <c r="C70" s="58" t="s">
        <v>235</v>
      </c>
      <c r="D70" s="59">
        <v>1</v>
      </c>
      <c r="E70" s="60">
        <v>5.3081373745999998E-5</v>
      </c>
    </row>
    <row r="71" spans="2:5" ht="14.5" customHeight="1">
      <c r="B71" s="86"/>
      <c r="C71" s="58" t="s">
        <v>236</v>
      </c>
      <c r="D71" s="59">
        <v>1</v>
      </c>
      <c r="E71" s="60">
        <v>5.3081373745999998E-5</v>
      </c>
    </row>
    <row r="72" spans="2:5" ht="14.5" customHeight="1">
      <c r="B72" s="86"/>
      <c r="C72" s="58" t="s">
        <v>239</v>
      </c>
      <c r="D72" s="59">
        <v>1</v>
      </c>
      <c r="E72" s="60">
        <v>5.3081373745999998E-5</v>
      </c>
    </row>
    <row r="73" spans="2:5" ht="14.5" customHeight="1">
      <c r="B73" s="86"/>
      <c r="C73" s="58" t="s">
        <v>240</v>
      </c>
      <c r="D73" s="59">
        <v>8</v>
      </c>
      <c r="E73" s="60">
        <v>4.2465098996799999E-4</v>
      </c>
    </row>
    <row r="74" spans="2:5" ht="14.5" customHeight="1">
      <c r="B74" s="86"/>
      <c r="C74" s="58" t="s">
        <v>241</v>
      </c>
      <c r="D74" s="59">
        <v>14</v>
      </c>
      <c r="E74" s="60">
        <v>7.4313923244300004E-4</v>
      </c>
    </row>
    <row r="75" spans="2:5" ht="14.5" customHeight="1">
      <c r="B75" s="86"/>
      <c r="C75" s="58" t="s">
        <v>242</v>
      </c>
      <c r="D75" s="59">
        <v>1</v>
      </c>
      <c r="E75" s="60">
        <v>5.3081373745999998E-5</v>
      </c>
    </row>
    <row r="76" spans="2:5" ht="14.5" customHeight="1">
      <c r="B76" s="86"/>
      <c r="C76" s="58" t="s">
        <v>244</v>
      </c>
      <c r="D76" s="59">
        <v>6</v>
      </c>
      <c r="E76" s="60">
        <v>3.1848824247600002E-4</v>
      </c>
    </row>
    <row r="77" spans="2:5" ht="14.5" customHeight="1">
      <c r="B77" s="86"/>
      <c r="C77" s="58" t="s">
        <v>245</v>
      </c>
      <c r="D77" s="59">
        <v>22</v>
      </c>
      <c r="E77" s="60">
        <v>1.1677902224109999E-3</v>
      </c>
    </row>
    <row r="78" spans="2:5" ht="14.5" customHeight="1">
      <c r="B78" s="86"/>
      <c r="C78" s="58" t="s">
        <v>246</v>
      </c>
      <c r="D78" s="59">
        <v>1</v>
      </c>
      <c r="E78" s="60">
        <v>5.3081373745999998E-5</v>
      </c>
    </row>
    <row r="79" spans="2:5" ht="14.5" customHeight="1">
      <c r="B79" s="86"/>
      <c r="C79" s="58" t="s">
        <v>247</v>
      </c>
      <c r="D79" s="59">
        <v>10</v>
      </c>
      <c r="E79" s="60">
        <v>5.3081373745999996E-4</v>
      </c>
    </row>
    <row r="80" spans="2:5" ht="14.5" customHeight="1">
      <c r="B80" s="86"/>
      <c r="C80" s="58" t="s">
        <v>248</v>
      </c>
      <c r="D80" s="59">
        <v>21</v>
      </c>
      <c r="E80" s="60">
        <v>1.1147088486650001E-3</v>
      </c>
    </row>
    <row r="81" spans="2:5" ht="14.5" customHeight="1">
      <c r="B81" s="86"/>
      <c r="C81" s="58" t="s">
        <v>253</v>
      </c>
      <c r="D81" s="59">
        <v>1</v>
      </c>
      <c r="E81" s="60">
        <v>5.3081373745999998E-5</v>
      </c>
    </row>
    <row r="82" spans="2:5" ht="14.5" customHeight="1">
      <c r="B82" s="87"/>
      <c r="C82" s="35" t="s">
        <v>28</v>
      </c>
      <c r="D82" s="34">
        <v>88</v>
      </c>
      <c r="E82" s="33">
        <v>4.6711608896439997E-3</v>
      </c>
    </row>
    <row r="83" spans="2:5" ht="14.5" customHeight="1">
      <c r="B83" s="85" t="s">
        <v>142</v>
      </c>
      <c r="C83" s="58" t="s">
        <v>245</v>
      </c>
      <c r="D83" s="59">
        <v>2</v>
      </c>
      <c r="E83" s="60">
        <v>1.06162747492E-4</v>
      </c>
    </row>
    <row r="84" spans="2:5" ht="14.5" customHeight="1">
      <c r="B84" s="86"/>
      <c r="C84" s="58" t="s">
        <v>248</v>
      </c>
      <c r="D84" s="59">
        <v>4</v>
      </c>
      <c r="E84" s="60">
        <v>2.1232549498399999E-4</v>
      </c>
    </row>
    <row r="85" spans="2:5" ht="14.5" customHeight="1">
      <c r="B85" s="87"/>
      <c r="C85" s="35" t="s">
        <v>28</v>
      </c>
      <c r="D85" s="34">
        <v>6</v>
      </c>
      <c r="E85" s="33">
        <v>3.1848824247600002E-4</v>
      </c>
    </row>
    <row r="86" spans="2:5" ht="14.5" customHeight="1">
      <c r="B86" s="85" t="s">
        <v>134</v>
      </c>
      <c r="C86" s="58" t="s">
        <v>234</v>
      </c>
      <c r="D86" s="59">
        <v>1</v>
      </c>
      <c r="E86" s="60">
        <v>5.3081373745999998E-5</v>
      </c>
    </row>
    <row r="87" spans="2:5" ht="14.5" customHeight="1">
      <c r="B87" s="86"/>
      <c r="C87" s="58" t="s">
        <v>236</v>
      </c>
      <c r="D87" s="59">
        <v>1</v>
      </c>
      <c r="E87" s="60">
        <v>5.3081373745999998E-5</v>
      </c>
    </row>
    <row r="88" spans="2:5" ht="14.5" customHeight="1">
      <c r="B88" s="86"/>
      <c r="C88" s="58" t="s">
        <v>238</v>
      </c>
      <c r="D88" s="59">
        <v>1</v>
      </c>
      <c r="E88" s="60">
        <v>5.3081373745999998E-5</v>
      </c>
    </row>
    <row r="89" spans="2:5" ht="14.5" customHeight="1">
      <c r="B89" s="86"/>
      <c r="C89" s="58" t="s">
        <v>239</v>
      </c>
      <c r="D89" s="59">
        <v>1</v>
      </c>
      <c r="E89" s="60">
        <v>5.3081373745999998E-5</v>
      </c>
    </row>
    <row r="90" spans="2:5" ht="14.5" customHeight="1">
      <c r="B90" s="86"/>
      <c r="C90" s="58" t="s">
        <v>240</v>
      </c>
      <c r="D90" s="59">
        <v>4</v>
      </c>
      <c r="E90" s="60">
        <v>2.1232549498399999E-4</v>
      </c>
    </row>
    <row r="91" spans="2:5" ht="14.5" customHeight="1">
      <c r="B91" s="86"/>
      <c r="C91" s="58" t="s">
        <v>241</v>
      </c>
      <c r="D91" s="59">
        <v>4</v>
      </c>
      <c r="E91" s="60">
        <v>2.1232549498399999E-4</v>
      </c>
    </row>
    <row r="92" spans="2:5" ht="14.5" customHeight="1">
      <c r="B92" s="86"/>
      <c r="C92" s="58" t="s">
        <v>243</v>
      </c>
      <c r="D92" s="59">
        <v>2</v>
      </c>
      <c r="E92" s="60">
        <v>1.06162747492E-4</v>
      </c>
    </row>
    <row r="93" spans="2:5" ht="14.5" customHeight="1">
      <c r="B93" s="86"/>
      <c r="C93" s="58" t="s">
        <v>244</v>
      </c>
      <c r="D93" s="59">
        <v>6</v>
      </c>
      <c r="E93" s="60">
        <v>3.1848824247600002E-4</v>
      </c>
    </row>
    <row r="94" spans="2:5" ht="14.5" customHeight="1">
      <c r="B94" s="86"/>
      <c r="C94" s="58" t="s">
        <v>245</v>
      </c>
      <c r="D94" s="59">
        <v>4</v>
      </c>
      <c r="E94" s="60">
        <v>2.1232549498399999E-4</v>
      </c>
    </row>
    <row r="95" spans="2:5" ht="14.5" customHeight="1">
      <c r="B95" s="86"/>
      <c r="C95" s="58" t="s">
        <v>246</v>
      </c>
      <c r="D95" s="59">
        <v>1</v>
      </c>
      <c r="E95" s="60">
        <v>5.3081373745999998E-5</v>
      </c>
    </row>
    <row r="96" spans="2:5" ht="14.5" customHeight="1">
      <c r="B96" s="86"/>
      <c r="C96" s="58" t="s">
        <v>247</v>
      </c>
      <c r="D96" s="59">
        <v>2</v>
      </c>
      <c r="E96" s="60">
        <v>1.06162747492E-4</v>
      </c>
    </row>
    <row r="97" spans="2:5" ht="14.5" customHeight="1">
      <c r="B97" s="86"/>
      <c r="C97" s="58" t="s">
        <v>248</v>
      </c>
      <c r="D97" s="59">
        <v>9</v>
      </c>
      <c r="E97" s="60">
        <v>4.7773236371400003E-4</v>
      </c>
    </row>
    <row r="98" spans="2:5" ht="14.5" customHeight="1">
      <c r="B98" s="86"/>
      <c r="C98" s="58" t="s">
        <v>249</v>
      </c>
      <c r="D98" s="59">
        <v>1</v>
      </c>
      <c r="E98" s="60">
        <v>5.3081373745999998E-5</v>
      </c>
    </row>
    <row r="99" spans="2:5" ht="14.5" customHeight="1">
      <c r="B99" s="86"/>
      <c r="C99" s="58" t="s">
        <v>253</v>
      </c>
      <c r="D99" s="59">
        <v>1</v>
      </c>
      <c r="E99" s="60">
        <v>5.3081373745999998E-5</v>
      </c>
    </row>
    <row r="100" spans="2:5" ht="14.5" customHeight="1">
      <c r="B100" s="86"/>
      <c r="C100" s="58" t="s">
        <v>254</v>
      </c>
      <c r="D100" s="59">
        <v>1</v>
      </c>
      <c r="E100" s="60">
        <v>5.3081373745999998E-5</v>
      </c>
    </row>
    <row r="101" spans="2:5" ht="14.5" customHeight="1">
      <c r="B101" s="87"/>
      <c r="C101" s="35" t="s">
        <v>28</v>
      </c>
      <c r="D101" s="34">
        <v>39</v>
      </c>
      <c r="E101" s="33">
        <v>2.0701735760919999E-3</v>
      </c>
    </row>
    <row r="102" spans="2:5" ht="14.5" customHeight="1">
      <c r="B102" s="85" t="s">
        <v>143</v>
      </c>
      <c r="C102" s="58" t="s">
        <v>240</v>
      </c>
      <c r="D102" s="59">
        <v>1</v>
      </c>
      <c r="E102" s="60">
        <v>5.3081373745999998E-5</v>
      </c>
    </row>
    <row r="103" spans="2:5" ht="14.5" customHeight="1">
      <c r="B103" s="86"/>
      <c r="C103" s="58" t="s">
        <v>241</v>
      </c>
      <c r="D103" s="59">
        <v>1</v>
      </c>
      <c r="E103" s="60">
        <v>5.3081373745999998E-5</v>
      </c>
    </row>
    <row r="104" spans="2:5" ht="14.5" customHeight="1">
      <c r="B104" s="86"/>
      <c r="C104" s="58" t="s">
        <v>245</v>
      </c>
      <c r="D104" s="59">
        <v>1</v>
      </c>
      <c r="E104" s="60">
        <v>5.3081373745999998E-5</v>
      </c>
    </row>
    <row r="105" spans="2:5" ht="14.5" customHeight="1">
      <c r="B105" s="86"/>
      <c r="C105" s="58" t="s">
        <v>246</v>
      </c>
      <c r="D105" s="59">
        <v>2</v>
      </c>
      <c r="E105" s="60">
        <v>1.06162747492E-4</v>
      </c>
    </row>
    <row r="106" spans="2:5" ht="14.5" customHeight="1">
      <c r="B106" s="87"/>
      <c r="C106" s="35" t="s">
        <v>28</v>
      </c>
      <c r="D106" s="34">
        <v>5</v>
      </c>
      <c r="E106" s="33">
        <v>2.6540686872999998E-4</v>
      </c>
    </row>
    <row r="107" spans="2:5" ht="14.5" customHeight="1">
      <c r="B107" s="85" t="s">
        <v>98</v>
      </c>
      <c r="C107" s="58" t="s">
        <v>234</v>
      </c>
      <c r="D107" s="59">
        <v>17</v>
      </c>
      <c r="E107" s="60">
        <v>9.0238335368100005E-4</v>
      </c>
    </row>
    <row r="108" spans="2:5" ht="14.5" customHeight="1">
      <c r="B108" s="86"/>
      <c r="C108" s="58" t="s">
        <v>235</v>
      </c>
      <c r="D108" s="59">
        <v>5</v>
      </c>
      <c r="E108" s="60">
        <v>2.6540686872999998E-4</v>
      </c>
    </row>
    <row r="109" spans="2:5" ht="14.5" customHeight="1">
      <c r="B109" s="86"/>
      <c r="C109" s="58" t="s">
        <v>236</v>
      </c>
      <c r="D109" s="59">
        <v>10</v>
      </c>
      <c r="E109" s="60">
        <v>5.3081373745999996E-4</v>
      </c>
    </row>
    <row r="110" spans="2:5" ht="14.5" customHeight="1">
      <c r="B110" s="86"/>
      <c r="C110" s="58" t="s">
        <v>237</v>
      </c>
      <c r="D110" s="59">
        <v>15</v>
      </c>
      <c r="E110" s="60">
        <v>7.9622060618899997E-4</v>
      </c>
    </row>
    <row r="111" spans="2:5" ht="14.5" customHeight="1">
      <c r="B111" s="86"/>
      <c r="C111" s="58" t="s">
        <v>238</v>
      </c>
      <c r="D111" s="59">
        <v>25</v>
      </c>
      <c r="E111" s="60">
        <v>1.327034343649E-3</v>
      </c>
    </row>
    <row r="112" spans="2:5" ht="14.5" customHeight="1">
      <c r="B112" s="86"/>
      <c r="C112" s="58" t="s">
        <v>239</v>
      </c>
      <c r="D112" s="59">
        <v>21</v>
      </c>
      <c r="E112" s="60">
        <v>1.1147088486650001E-3</v>
      </c>
    </row>
    <row r="113" spans="2:5" ht="14.5" customHeight="1">
      <c r="B113" s="86"/>
      <c r="C113" s="58" t="s">
        <v>240</v>
      </c>
      <c r="D113" s="59">
        <v>176</v>
      </c>
      <c r="E113" s="60">
        <v>9.3423217792879994E-3</v>
      </c>
    </row>
    <row r="114" spans="2:5" ht="14.5" customHeight="1">
      <c r="B114" s="86"/>
      <c r="C114" s="58" t="s">
        <v>241</v>
      </c>
      <c r="D114" s="59">
        <v>675</v>
      </c>
      <c r="E114" s="60">
        <v>3.5829927278517998E-2</v>
      </c>
    </row>
    <row r="115" spans="2:5" ht="14.5" customHeight="1">
      <c r="B115" s="86"/>
      <c r="C115" s="58" t="s">
        <v>242</v>
      </c>
      <c r="D115" s="59">
        <v>15</v>
      </c>
      <c r="E115" s="60">
        <v>7.9622060618899997E-4</v>
      </c>
    </row>
    <row r="116" spans="2:5" ht="14.5" customHeight="1">
      <c r="B116" s="86"/>
      <c r="C116" s="58" t="s">
        <v>243</v>
      </c>
      <c r="D116" s="59">
        <v>31</v>
      </c>
      <c r="E116" s="60">
        <v>1.6455225861250001E-3</v>
      </c>
    </row>
    <row r="117" spans="2:5" ht="14.5" customHeight="1">
      <c r="B117" s="86"/>
      <c r="C117" s="58" t="s">
        <v>244</v>
      </c>
      <c r="D117" s="59">
        <v>76</v>
      </c>
      <c r="E117" s="60">
        <v>4.0341844046920001E-3</v>
      </c>
    </row>
    <row r="118" spans="2:5" ht="14.5" customHeight="1">
      <c r="B118" s="86"/>
      <c r="C118" s="58" t="s">
        <v>245</v>
      </c>
      <c r="D118" s="59">
        <v>1081</v>
      </c>
      <c r="E118" s="60">
        <v>5.7380965019375001E-2</v>
      </c>
    </row>
    <row r="119" spans="2:5" ht="14.5" customHeight="1">
      <c r="B119" s="86"/>
      <c r="C119" s="58" t="s">
        <v>246</v>
      </c>
      <c r="D119" s="59">
        <v>28</v>
      </c>
      <c r="E119" s="60">
        <v>1.4862784648869999E-3</v>
      </c>
    </row>
    <row r="120" spans="2:5" ht="14.5" customHeight="1">
      <c r="B120" s="86"/>
      <c r="C120" s="58" t="s">
        <v>247</v>
      </c>
      <c r="D120" s="59">
        <v>108</v>
      </c>
      <c r="E120" s="60">
        <v>5.7327883645630004E-3</v>
      </c>
    </row>
    <row r="121" spans="2:5" ht="14.5" customHeight="1">
      <c r="B121" s="86"/>
      <c r="C121" s="58" t="s">
        <v>248</v>
      </c>
      <c r="D121" s="59">
        <v>493</v>
      </c>
      <c r="E121" s="60">
        <v>2.6169117256755001E-2</v>
      </c>
    </row>
    <row r="122" spans="2:5" ht="14.5" customHeight="1">
      <c r="B122" s="86"/>
      <c r="C122" s="58" t="s">
        <v>249</v>
      </c>
      <c r="D122" s="59">
        <v>13</v>
      </c>
      <c r="E122" s="60">
        <v>6.90057858697E-4</v>
      </c>
    </row>
    <row r="123" spans="2:5" ht="14.5" customHeight="1">
      <c r="B123" s="86"/>
      <c r="C123" s="58" t="s">
        <v>250</v>
      </c>
      <c r="D123" s="59">
        <v>6</v>
      </c>
      <c r="E123" s="60">
        <v>3.1848824247600002E-4</v>
      </c>
    </row>
    <row r="124" spans="2:5" ht="14.5" customHeight="1">
      <c r="B124" s="86"/>
      <c r="C124" s="58" t="s">
        <v>251</v>
      </c>
      <c r="D124" s="59">
        <v>7</v>
      </c>
      <c r="E124" s="60">
        <v>3.71569616222E-4</v>
      </c>
    </row>
    <row r="125" spans="2:5" ht="14.5" customHeight="1">
      <c r="B125" s="86"/>
      <c r="C125" s="58" t="s">
        <v>253</v>
      </c>
      <c r="D125" s="59">
        <v>27</v>
      </c>
      <c r="E125" s="60">
        <v>1.4331970911409999E-3</v>
      </c>
    </row>
    <row r="126" spans="2:5" ht="14.5" customHeight="1">
      <c r="B126" s="86"/>
      <c r="C126" s="58" t="s">
        <v>254</v>
      </c>
      <c r="D126" s="59">
        <v>105</v>
      </c>
      <c r="E126" s="60">
        <v>5.5735442433249996E-3</v>
      </c>
    </row>
    <row r="127" spans="2:5" ht="14.5" customHeight="1">
      <c r="B127" s="86"/>
      <c r="C127" s="58" t="s">
        <v>255</v>
      </c>
      <c r="D127" s="59">
        <v>2</v>
      </c>
      <c r="E127" s="60">
        <v>1.06162747492E-4</v>
      </c>
    </row>
    <row r="128" spans="2:5" ht="14.5" customHeight="1">
      <c r="B128" s="86"/>
      <c r="C128" s="58" t="s">
        <v>256</v>
      </c>
      <c r="D128" s="59">
        <v>3</v>
      </c>
      <c r="E128" s="60">
        <v>1.5924412123800001E-4</v>
      </c>
    </row>
    <row r="129" spans="2:5" ht="14.5" customHeight="1">
      <c r="B129" s="86"/>
      <c r="C129" s="58" t="s">
        <v>257</v>
      </c>
      <c r="D129" s="59">
        <v>1</v>
      </c>
      <c r="E129" s="60">
        <v>5.3081373745999998E-5</v>
      </c>
    </row>
    <row r="130" spans="2:5" ht="14.5" customHeight="1">
      <c r="B130" s="87"/>
      <c r="C130" s="35" t="s">
        <v>28</v>
      </c>
      <c r="D130" s="34">
        <v>2940</v>
      </c>
      <c r="E130" s="33">
        <v>0.15605923881310099</v>
      </c>
    </row>
    <row r="131" spans="2:5" ht="14.5" customHeight="1">
      <c r="B131" s="85" t="s">
        <v>97</v>
      </c>
      <c r="C131" s="58" t="s">
        <v>234</v>
      </c>
      <c r="D131" s="59">
        <v>17</v>
      </c>
      <c r="E131" s="60">
        <v>9.0238335368100005E-4</v>
      </c>
    </row>
    <row r="132" spans="2:5" ht="14.5" customHeight="1">
      <c r="B132" s="86"/>
      <c r="C132" s="58" t="s">
        <v>235</v>
      </c>
      <c r="D132" s="59">
        <v>15</v>
      </c>
      <c r="E132" s="60">
        <v>7.9622060618899997E-4</v>
      </c>
    </row>
    <row r="133" spans="2:5" ht="14.5" customHeight="1">
      <c r="B133" s="86"/>
      <c r="C133" s="58" t="s">
        <v>236</v>
      </c>
      <c r="D133" s="59">
        <v>19</v>
      </c>
      <c r="E133" s="60">
        <v>1.008546101173E-3</v>
      </c>
    </row>
    <row r="134" spans="2:5" ht="14.5" customHeight="1">
      <c r="B134" s="86"/>
      <c r="C134" s="58" t="s">
        <v>237</v>
      </c>
      <c r="D134" s="59">
        <v>38</v>
      </c>
      <c r="E134" s="60">
        <v>2.017092202346E-3</v>
      </c>
    </row>
    <row r="135" spans="2:5" ht="14.5" customHeight="1">
      <c r="B135" s="86"/>
      <c r="C135" s="58" t="s">
        <v>238</v>
      </c>
      <c r="D135" s="59">
        <v>34</v>
      </c>
      <c r="E135" s="60">
        <v>1.8047667073620001E-3</v>
      </c>
    </row>
    <row r="136" spans="2:5" ht="14.5" customHeight="1">
      <c r="B136" s="86"/>
      <c r="C136" s="58" t="s">
        <v>239</v>
      </c>
      <c r="D136" s="59">
        <v>43</v>
      </c>
      <c r="E136" s="60">
        <v>2.282499071076E-3</v>
      </c>
    </row>
    <row r="137" spans="2:5" ht="14.5" customHeight="1">
      <c r="B137" s="86"/>
      <c r="C137" s="58" t="s">
        <v>240</v>
      </c>
      <c r="D137" s="59">
        <v>282</v>
      </c>
      <c r="E137" s="60">
        <v>1.4968947396358999E-2</v>
      </c>
    </row>
    <row r="138" spans="2:5" ht="14.5" customHeight="1">
      <c r="B138" s="86"/>
      <c r="C138" s="58" t="s">
        <v>241</v>
      </c>
      <c r="D138" s="59">
        <v>378</v>
      </c>
      <c r="E138" s="60">
        <v>2.0064759275969998E-2</v>
      </c>
    </row>
    <row r="139" spans="2:5" ht="14.5" customHeight="1">
      <c r="B139" s="86"/>
      <c r="C139" s="58" t="s">
        <v>242</v>
      </c>
      <c r="D139" s="59">
        <v>20</v>
      </c>
      <c r="E139" s="60">
        <v>1.0616274749190001E-3</v>
      </c>
    </row>
    <row r="140" spans="2:5" ht="14.5" customHeight="1">
      <c r="B140" s="86"/>
      <c r="C140" s="58" t="s">
        <v>243</v>
      </c>
      <c r="D140" s="59">
        <v>54</v>
      </c>
      <c r="E140" s="60">
        <v>2.8663941822810002E-3</v>
      </c>
    </row>
    <row r="141" spans="2:5" ht="14.5" customHeight="1">
      <c r="B141" s="86"/>
      <c r="C141" s="58" t="s">
        <v>244</v>
      </c>
      <c r="D141" s="59">
        <v>136</v>
      </c>
      <c r="E141" s="60">
        <v>7.2190668294499997E-3</v>
      </c>
    </row>
    <row r="142" spans="2:5" ht="14.5" customHeight="1">
      <c r="B142" s="86"/>
      <c r="C142" s="58" t="s">
        <v>245</v>
      </c>
      <c r="D142" s="59">
        <v>1207</v>
      </c>
      <c r="E142" s="60">
        <v>6.4069218111364998E-2</v>
      </c>
    </row>
    <row r="143" spans="2:5" ht="14.5" customHeight="1">
      <c r="B143" s="86"/>
      <c r="C143" s="58" t="s">
        <v>246</v>
      </c>
      <c r="D143" s="59">
        <v>43</v>
      </c>
      <c r="E143" s="60">
        <v>2.282499071076E-3</v>
      </c>
    </row>
    <row r="144" spans="2:5" ht="14.5" customHeight="1">
      <c r="B144" s="86"/>
      <c r="C144" s="58" t="s">
        <v>247</v>
      </c>
      <c r="D144" s="59">
        <v>186</v>
      </c>
      <c r="E144" s="60">
        <v>9.8731355167469993E-3</v>
      </c>
    </row>
    <row r="145" spans="2:5" ht="14.5" customHeight="1">
      <c r="B145" s="86"/>
      <c r="C145" s="58" t="s">
        <v>248</v>
      </c>
      <c r="D145" s="59">
        <v>733</v>
      </c>
      <c r="E145" s="60">
        <v>3.8908646955782999E-2</v>
      </c>
    </row>
    <row r="146" spans="2:5" ht="14.5" customHeight="1">
      <c r="B146" s="86"/>
      <c r="C146" s="58" t="s">
        <v>249</v>
      </c>
      <c r="D146" s="59">
        <v>9</v>
      </c>
      <c r="E146" s="60">
        <v>4.7773236371400003E-4</v>
      </c>
    </row>
    <row r="147" spans="2:5" ht="14.5" customHeight="1">
      <c r="B147" s="86"/>
      <c r="C147" s="58" t="s">
        <v>250</v>
      </c>
      <c r="D147" s="59">
        <v>6</v>
      </c>
      <c r="E147" s="60">
        <v>3.1848824247600002E-4</v>
      </c>
    </row>
    <row r="148" spans="2:5" ht="14.5" customHeight="1">
      <c r="B148" s="86"/>
      <c r="C148" s="58" t="s">
        <v>251</v>
      </c>
      <c r="D148" s="59">
        <v>2</v>
      </c>
      <c r="E148" s="60">
        <v>1.06162747492E-4</v>
      </c>
    </row>
    <row r="149" spans="2:5" ht="14.5" customHeight="1">
      <c r="B149" s="86"/>
      <c r="C149" s="58" t="s">
        <v>252</v>
      </c>
      <c r="D149" s="59">
        <v>3</v>
      </c>
      <c r="E149" s="60">
        <v>1.5924412123800001E-4</v>
      </c>
    </row>
    <row r="150" spans="2:5" ht="14.5" customHeight="1">
      <c r="B150" s="86"/>
      <c r="C150" s="58" t="s">
        <v>253</v>
      </c>
      <c r="D150" s="59">
        <v>26</v>
      </c>
      <c r="E150" s="60">
        <v>1.3801157173950001E-3</v>
      </c>
    </row>
    <row r="151" spans="2:5" ht="14.5" customHeight="1">
      <c r="B151" s="86"/>
      <c r="C151" s="58" t="s">
        <v>254</v>
      </c>
      <c r="D151" s="59">
        <v>103</v>
      </c>
      <c r="E151" s="60">
        <v>5.467381495833E-3</v>
      </c>
    </row>
    <row r="152" spans="2:5" ht="14.5" customHeight="1">
      <c r="B152" s="86"/>
      <c r="C152" s="58" t="s">
        <v>255</v>
      </c>
      <c r="D152" s="59">
        <v>4</v>
      </c>
      <c r="E152" s="60">
        <v>2.1232549498399999E-4</v>
      </c>
    </row>
    <row r="153" spans="2:5" ht="14.5" customHeight="1">
      <c r="B153" s="86"/>
      <c r="C153" s="58" t="s">
        <v>256</v>
      </c>
      <c r="D153" s="59">
        <v>2</v>
      </c>
      <c r="E153" s="60">
        <v>1.06162747492E-4</v>
      </c>
    </row>
    <row r="154" spans="2:5" ht="14.5" customHeight="1">
      <c r="B154" s="87"/>
      <c r="C154" s="35" t="s">
        <v>28</v>
      </c>
      <c r="D154" s="34">
        <v>3360</v>
      </c>
      <c r="E154" s="33">
        <v>0.17835341578640099</v>
      </c>
    </row>
    <row r="155" spans="2:5" ht="14.5" customHeight="1">
      <c r="B155" s="85" t="s">
        <v>140</v>
      </c>
      <c r="C155" s="58" t="s">
        <v>236</v>
      </c>
      <c r="D155" s="59">
        <v>1</v>
      </c>
      <c r="E155" s="60">
        <v>5.3081373745999998E-5</v>
      </c>
    </row>
    <row r="156" spans="2:5" ht="14.5" customHeight="1">
      <c r="B156" s="86"/>
      <c r="C156" s="58" t="s">
        <v>238</v>
      </c>
      <c r="D156" s="59">
        <v>1</v>
      </c>
      <c r="E156" s="60">
        <v>5.3081373745999998E-5</v>
      </c>
    </row>
    <row r="157" spans="2:5" ht="14.5" customHeight="1">
      <c r="B157" s="86"/>
      <c r="C157" s="58" t="s">
        <v>240</v>
      </c>
      <c r="D157" s="59">
        <v>3</v>
      </c>
      <c r="E157" s="60">
        <v>1.5924412123800001E-4</v>
      </c>
    </row>
    <row r="158" spans="2:5" ht="14.5" customHeight="1">
      <c r="B158" s="86"/>
      <c r="C158" s="58" t="s">
        <v>241</v>
      </c>
      <c r="D158" s="59">
        <v>3</v>
      </c>
      <c r="E158" s="60">
        <v>1.5924412123800001E-4</v>
      </c>
    </row>
    <row r="159" spans="2:5" ht="14.5" customHeight="1">
      <c r="B159" s="86"/>
      <c r="C159" s="58" t="s">
        <v>242</v>
      </c>
      <c r="D159" s="59">
        <v>3</v>
      </c>
      <c r="E159" s="60">
        <v>1.5924412123800001E-4</v>
      </c>
    </row>
    <row r="160" spans="2:5" ht="14.5" customHeight="1">
      <c r="B160" s="86"/>
      <c r="C160" s="58" t="s">
        <v>243</v>
      </c>
      <c r="D160" s="59">
        <v>1</v>
      </c>
      <c r="E160" s="60">
        <v>5.3081373745999998E-5</v>
      </c>
    </row>
    <row r="161" spans="2:5" ht="14.5" customHeight="1">
      <c r="B161" s="86"/>
      <c r="C161" s="58" t="s">
        <v>245</v>
      </c>
      <c r="D161" s="59">
        <v>2</v>
      </c>
      <c r="E161" s="60">
        <v>1.06162747492E-4</v>
      </c>
    </row>
    <row r="162" spans="2:5" ht="14.5" customHeight="1">
      <c r="B162" s="86"/>
      <c r="C162" s="58" t="s">
        <v>248</v>
      </c>
      <c r="D162" s="59">
        <v>4</v>
      </c>
      <c r="E162" s="60">
        <v>2.1232549498399999E-4</v>
      </c>
    </row>
    <row r="163" spans="2:5" ht="14.5" customHeight="1">
      <c r="B163" s="86"/>
      <c r="C163" s="58" t="s">
        <v>254</v>
      </c>
      <c r="D163" s="59">
        <v>1</v>
      </c>
      <c r="E163" s="60">
        <v>5.3081373745999998E-5</v>
      </c>
    </row>
    <row r="164" spans="2:5" ht="14.5" customHeight="1">
      <c r="B164" s="87"/>
      <c r="C164" s="35" t="s">
        <v>28</v>
      </c>
      <c r="D164" s="34">
        <v>19</v>
      </c>
      <c r="E164" s="33">
        <v>1.008546101173E-3</v>
      </c>
    </row>
    <row r="165" spans="2:5" ht="14.5" customHeight="1">
      <c r="B165" s="85" t="s">
        <v>101</v>
      </c>
      <c r="C165" s="58" t="s">
        <v>234</v>
      </c>
      <c r="D165" s="59">
        <v>2</v>
      </c>
      <c r="E165" s="60">
        <v>1.06162747492E-4</v>
      </c>
    </row>
    <row r="166" spans="2:5" ht="14.5" customHeight="1">
      <c r="B166" s="86"/>
      <c r="C166" s="58" t="s">
        <v>235</v>
      </c>
      <c r="D166" s="59">
        <v>1</v>
      </c>
      <c r="E166" s="60">
        <v>5.3081373745999998E-5</v>
      </c>
    </row>
    <row r="167" spans="2:5" ht="14.5" customHeight="1">
      <c r="B167" s="86"/>
      <c r="C167" s="58" t="s">
        <v>236</v>
      </c>
      <c r="D167" s="59">
        <v>10</v>
      </c>
      <c r="E167" s="60">
        <v>5.3081373745999996E-4</v>
      </c>
    </row>
    <row r="168" spans="2:5" ht="14.5" customHeight="1">
      <c r="B168" s="86"/>
      <c r="C168" s="58" t="s">
        <v>237</v>
      </c>
      <c r="D168" s="59">
        <v>12</v>
      </c>
      <c r="E168" s="60">
        <v>6.3697648495099997E-4</v>
      </c>
    </row>
    <row r="169" spans="2:5" ht="14.5" customHeight="1">
      <c r="B169" s="86"/>
      <c r="C169" s="58" t="s">
        <v>238</v>
      </c>
      <c r="D169" s="59">
        <v>11</v>
      </c>
      <c r="E169" s="60">
        <v>5.8389511120500003E-4</v>
      </c>
    </row>
    <row r="170" spans="2:5" ht="14.5" customHeight="1">
      <c r="B170" s="86"/>
      <c r="C170" s="58" t="s">
        <v>239</v>
      </c>
      <c r="D170" s="59">
        <v>15</v>
      </c>
      <c r="E170" s="60">
        <v>7.9622060618899997E-4</v>
      </c>
    </row>
    <row r="171" spans="2:5" ht="14.5" customHeight="1">
      <c r="B171" s="86"/>
      <c r="C171" s="58" t="s">
        <v>240</v>
      </c>
      <c r="D171" s="59">
        <v>87</v>
      </c>
      <c r="E171" s="60">
        <v>4.6180795158980003E-3</v>
      </c>
    </row>
    <row r="172" spans="2:5" ht="14.5" customHeight="1">
      <c r="B172" s="86"/>
      <c r="C172" s="58" t="s">
        <v>241</v>
      </c>
      <c r="D172" s="59">
        <v>122</v>
      </c>
      <c r="E172" s="60">
        <v>6.4759275970059996E-3</v>
      </c>
    </row>
    <row r="173" spans="2:5" ht="14.5" customHeight="1">
      <c r="B173" s="86"/>
      <c r="C173" s="58" t="s">
        <v>242</v>
      </c>
      <c r="D173" s="59">
        <v>14</v>
      </c>
      <c r="E173" s="60">
        <v>7.4313923244300004E-4</v>
      </c>
    </row>
    <row r="174" spans="2:5" ht="14.5" customHeight="1">
      <c r="B174" s="86"/>
      <c r="C174" s="58" t="s">
        <v>243</v>
      </c>
      <c r="D174" s="59">
        <v>38</v>
      </c>
      <c r="E174" s="60">
        <v>2.017092202346E-3</v>
      </c>
    </row>
    <row r="175" spans="2:5" ht="14.5" customHeight="1">
      <c r="B175" s="86"/>
      <c r="C175" s="58" t="s">
        <v>244</v>
      </c>
      <c r="D175" s="59">
        <v>53</v>
      </c>
      <c r="E175" s="60">
        <v>2.8133128085349999E-3</v>
      </c>
    </row>
    <row r="176" spans="2:5" ht="14.5" customHeight="1">
      <c r="B176" s="86"/>
      <c r="C176" s="58" t="s">
        <v>245</v>
      </c>
      <c r="D176" s="59">
        <v>286</v>
      </c>
      <c r="E176" s="60">
        <v>1.5181272891341999E-2</v>
      </c>
    </row>
    <row r="177" spans="2:5" ht="14.5" customHeight="1">
      <c r="B177" s="86"/>
      <c r="C177" s="58" t="s">
        <v>246</v>
      </c>
      <c r="D177" s="59">
        <v>15</v>
      </c>
      <c r="E177" s="60">
        <v>7.9622060618899997E-4</v>
      </c>
    </row>
    <row r="178" spans="2:5" ht="14.5" customHeight="1">
      <c r="B178" s="86"/>
      <c r="C178" s="58" t="s">
        <v>247</v>
      </c>
      <c r="D178" s="59">
        <v>62</v>
      </c>
      <c r="E178" s="60">
        <v>3.291045172249E-3</v>
      </c>
    </row>
    <row r="179" spans="2:5" ht="14.5" customHeight="1">
      <c r="B179" s="86"/>
      <c r="C179" s="58" t="s">
        <v>248</v>
      </c>
      <c r="D179" s="59">
        <v>179</v>
      </c>
      <c r="E179" s="60">
        <v>9.5015659005259993E-3</v>
      </c>
    </row>
    <row r="180" spans="2:5" ht="14.5" customHeight="1">
      <c r="B180" s="86"/>
      <c r="C180" s="58" t="s">
        <v>249</v>
      </c>
      <c r="D180" s="59">
        <v>5</v>
      </c>
      <c r="E180" s="60">
        <v>2.6540686872999998E-4</v>
      </c>
    </row>
    <row r="181" spans="2:5" ht="14.5" customHeight="1">
      <c r="B181" s="86"/>
      <c r="C181" s="58" t="s">
        <v>250</v>
      </c>
      <c r="D181" s="59">
        <v>5</v>
      </c>
      <c r="E181" s="60">
        <v>2.6540686872999998E-4</v>
      </c>
    </row>
    <row r="182" spans="2:5" ht="14.5" customHeight="1">
      <c r="B182" s="86"/>
      <c r="C182" s="58" t="s">
        <v>251</v>
      </c>
      <c r="D182" s="59">
        <v>2</v>
      </c>
      <c r="E182" s="60">
        <v>1.06162747492E-4</v>
      </c>
    </row>
    <row r="183" spans="2:5" ht="14.5" customHeight="1">
      <c r="B183" s="86"/>
      <c r="C183" s="58" t="s">
        <v>252</v>
      </c>
      <c r="D183" s="59">
        <v>2</v>
      </c>
      <c r="E183" s="60">
        <v>1.06162747492E-4</v>
      </c>
    </row>
    <row r="184" spans="2:5" ht="14.5" customHeight="1">
      <c r="B184" s="86"/>
      <c r="C184" s="58" t="s">
        <v>253</v>
      </c>
      <c r="D184" s="59">
        <v>7</v>
      </c>
      <c r="E184" s="60">
        <v>3.71569616222E-4</v>
      </c>
    </row>
    <row r="185" spans="2:5" ht="14.5" customHeight="1">
      <c r="B185" s="86"/>
      <c r="C185" s="58" t="s">
        <v>254</v>
      </c>
      <c r="D185" s="59">
        <v>28</v>
      </c>
      <c r="E185" s="60">
        <v>1.4862784648869999E-3</v>
      </c>
    </row>
    <row r="186" spans="2:5" ht="14.5" customHeight="1">
      <c r="B186" s="87"/>
      <c r="C186" s="35" t="s">
        <v>28</v>
      </c>
      <c r="D186" s="34">
        <v>956</v>
      </c>
      <c r="E186" s="33">
        <v>5.0745793301130999E-2</v>
      </c>
    </row>
    <row r="187" spans="2:5" ht="14.5" customHeight="1">
      <c r="B187" s="85" t="s">
        <v>120</v>
      </c>
      <c r="C187" s="58" t="s">
        <v>234</v>
      </c>
      <c r="D187" s="59">
        <v>1</v>
      </c>
      <c r="E187" s="60">
        <v>5.3081373745999998E-5</v>
      </c>
    </row>
    <row r="188" spans="2:5" ht="14.5" customHeight="1">
      <c r="B188" s="86"/>
      <c r="C188" s="58" t="s">
        <v>236</v>
      </c>
      <c r="D188" s="59">
        <v>1</v>
      </c>
      <c r="E188" s="60">
        <v>5.3081373745999998E-5</v>
      </c>
    </row>
    <row r="189" spans="2:5" ht="14.5" customHeight="1">
      <c r="B189" s="86"/>
      <c r="C189" s="58" t="s">
        <v>237</v>
      </c>
      <c r="D189" s="59">
        <v>4</v>
      </c>
      <c r="E189" s="60">
        <v>2.1232549498399999E-4</v>
      </c>
    </row>
    <row r="190" spans="2:5" ht="14.5" customHeight="1">
      <c r="B190" s="86"/>
      <c r="C190" s="58" t="s">
        <v>238</v>
      </c>
      <c r="D190" s="59">
        <v>1</v>
      </c>
      <c r="E190" s="60">
        <v>5.3081373745999998E-5</v>
      </c>
    </row>
    <row r="191" spans="2:5" ht="14.5" customHeight="1">
      <c r="B191" s="86"/>
      <c r="C191" s="58" t="s">
        <v>239</v>
      </c>
      <c r="D191" s="59">
        <v>3</v>
      </c>
      <c r="E191" s="60">
        <v>1.5924412123800001E-4</v>
      </c>
    </row>
    <row r="192" spans="2:5" ht="14.5" customHeight="1">
      <c r="B192" s="86"/>
      <c r="C192" s="58" t="s">
        <v>240</v>
      </c>
      <c r="D192" s="59">
        <v>15</v>
      </c>
      <c r="E192" s="60">
        <v>7.9622060618899997E-4</v>
      </c>
    </row>
    <row r="193" spans="2:5" ht="14.5" customHeight="1">
      <c r="B193" s="86"/>
      <c r="C193" s="58" t="s">
        <v>241</v>
      </c>
      <c r="D193" s="59">
        <v>29</v>
      </c>
      <c r="E193" s="60">
        <v>1.539359838633E-3</v>
      </c>
    </row>
    <row r="194" spans="2:5" ht="14.5" customHeight="1">
      <c r="B194" s="86"/>
      <c r="C194" s="58" t="s">
        <v>242</v>
      </c>
      <c r="D194" s="59">
        <v>2</v>
      </c>
      <c r="E194" s="60">
        <v>1.06162747492E-4</v>
      </c>
    </row>
    <row r="195" spans="2:5" ht="14.5" customHeight="1">
      <c r="B195" s="86"/>
      <c r="C195" s="58" t="s">
        <v>243</v>
      </c>
      <c r="D195" s="59">
        <v>5</v>
      </c>
      <c r="E195" s="60">
        <v>2.6540686872999998E-4</v>
      </c>
    </row>
    <row r="196" spans="2:5" ht="14.5" customHeight="1">
      <c r="B196" s="86"/>
      <c r="C196" s="58" t="s">
        <v>244</v>
      </c>
      <c r="D196" s="59">
        <v>12</v>
      </c>
      <c r="E196" s="60">
        <v>6.3697648495099997E-4</v>
      </c>
    </row>
    <row r="197" spans="2:5" ht="14.5" customHeight="1">
      <c r="B197" s="86"/>
      <c r="C197" s="58" t="s">
        <v>245</v>
      </c>
      <c r="D197" s="59">
        <v>42</v>
      </c>
      <c r="E197" s="60">
        <v>2.2294176973300002E-3</v>
      </c>
    </row>
    <row r="198" spans="2:5" ht="14.5" customHeight="1">
      <c r="B198" s="86"/>
      <c r="C198" s="58" t="s">
        <v>246</v>
      </c>
      <c r="D198" s="59">
        <v>3</v>
      </c>
      <c r="E198" s="60">
        <v>1.5924412123800001E-4</v>
      </c>
    </row>
    <row r="199" spans="2:5" ht="14.5" customHeight="1">
      <c r="B199" s="86"/>
      <c r="C199" s="58" t="s">
        <v>247</v>
      </c>
      <c r="D199" s="59">
        <v>9</v>
      </c>
      <c r="E199" s="60">
        <v>4.7773236371400003E-4</v>
      </c>
    </row>
    <row r="200" spans="2:5" ht="14.5" customHeight="1">
      <c r="B200" s="86"/>
      <c r="C200" s="58" t="s">
        <v>248</v>
      </c>
      <c r="D200" s="59">
        <v>26</v>
      </c>
      <c r="E200" s="60">
        <v>1.3801157173950001E-3</v>
      </c>
    </row>
    <row r="201" spans="2:5" ht="14.5" customHeight="1">
      <c r="B201" s="86"/>
      <c r="C201" s="58" t="s">
        <v>249</v>
      </c>
      <c r="D201" s="59">
        <v>2</v>
      </c>
      <c r="E201" s="60">
        <v>1.06162747492E-4</v>
      </c>
    </row>
    <row r="202" spans="2:5" ht="14.5" customHeight="1">
      <c r="B202" s="86"/>
      <c r="C202" s="58" t="s">
        <v>250</v>
      </c>
      <c r="D202" s="59">
        <v>1</v>
      </c>
      <c r="E202" s="60">
        <v>5.3081373745999998E-5</v>
      </c>
    </row>
    <row r="203" spans="2:5" ht="14.5" customHeight="1">
      <c r="B203" s="86"/>
      <c r="C203" s="58" t="s">
        <v>252</v>
      </c>
      <c r="D203" s="59">
        <v>1</v>
      </c>
      <c r="E203" s="60">
        <v>5.3081373745999998E-5</v>
      </c>
    </row>
    <row r="204" spans="2:5" ht="14.5" customHeight="1">
      <c r="B204" s="86"/>
      <c r="C204" s="58" t="s">
        <v>253</v>
      </c>
      <c r="D204" s="59">
        <v>5</v>
      </c>
      <c r="E204" s="60">
        <v>2.6540686872999998E-4</v>
      </c>
    </row>
    <row r="205" spans="2:5" ht="14.5" customHeight="1">
      <c r="B205" s="86"/>
      <c r="C205" s="58" t="s">
        <v>254</v>
      </c>
      <c r="D205" s="59">
        <v>4</v>
      </c>
      <c r="E205" s="60">
        <v>2.1232549498399999E-4</v>
      </c>
    </row>
    <row r="206" spans="2:5" ht="14.5" customHeight="1">
      <c r="B206" s="86"/>
      <c r="C206" s="58" t="s">
        <v>256</v>
      </c>
      <c r="D206" s="59">
        <v>1</v>
      </c>
      <c r="E206" s="60">
        <v>5.3081373745999998E-5</v>
      </c>
    </row>
    <row r="207" spans="2:5" ht="14.5" customHeight="1">
      <c r="B207" s="87"/>
      <c r="C207" s="35" t="s">
        <v>28</v>
      </c>
      <c r="D207" s="34">
        <v>167</v>
      </c>
      <c r="E207" s="33">
        <v>8.8645894155739997E-3</v>
      </c>
    </row>
    <row r="208" spans="2:5" ht="14.5" customHeight="1">
      <c r="B208" s="85" t="s">
        <v>144</v>
      </c>
      <c r="C208" s="58" t="s">
        <v>240</v>
      </c>
      <c r="D208" s="59">
        <v>1</v>
      </c>
      <c r="E208" s="60">
        <v>5.3081373745999998E-5</v>
      </c>
    </row>
    <row r="209" spans="2:5" ht="14.5" customHeight="1">
      <c r="B209" s="86"/>
      <c r="C209" s="58" t="s">
        <v>241</v>
      </c>
      <c r="D209" s="59">
        <v>1</v>
      </c>
      <c r="E209" s="60">
        <v>5.3081373745999998E-5</v>
      </c>
    </row>
    <row r="210" spans="2:5" ht="14.5" customHeight="1">
      <c r="B210" s="86"/>
      <c r="C210" s="58" t="s">
        <v>248</v>
      </c>
      <c r="D210" s="59">
        <v>2</v>
      </c>
      <c r="E210" s="60">
        <v>1.06162747492E-4</v>
      </c>
    </row>
    <row r="211" spans="2:5" ht="14.5" customHeight="1">
      <c r="B211" s="87"/>
      <c r="C211" s="35" t="s">
        <v>28</v>
      </c>
      <c r="D211" s="34">
        <v>4</v>
      </c>
      <c r="E211" s="33">
        <v>2.1232549498399999E-4</v>
      </c>
    </row>
    <row r="212" spans="2:5" ht="14.5" customHeight="1">
      <c r="B212" s="85" t="s">
        <v>107</v>
      </c>
      <c r="C212" s="58" t="s">
        <v>234</v>
      </c>
      <c r="D212" s="59">
        <v>6</v>
      </c>
      <c r="E212" s="60">
        <v>3.1848824247600002E-4</v>
      </c>
    </row>
    <row r="213" spans="2:5" ht="14.5" customHeight="1">
      <c r="B213" s="86"/>
      <c r="C213" s="58" t="s">
        <v>235</v>
      </c>
      <c r="D213" s="59">
        <v>4</v>
      </c>
      <c r="E213" s="60">
        <v>2.1232549498399999E-4</v>
      </c>
    </row>
    <row r="214" spans="2:5" ht="14.5" customHeight="1">
      <c r="B214" s="86"/>
      <c r="C214" s="58" t="s">
        <v>236</v>
      </c>
      <c r="D214" s="59">
        <v>5</v>
      </c>
      <c r="E214" s="60">
        <v>2.6540686872999998E-4</v>
      </c>
    </row>
    <row r="215" spans="2:5" ht="14.5" customHeight="1">
      <c r="B215" s="86"/>
      <c r="C215" s="58" t="s">
        <v>237</v>
      </c>
      <c r="D215" s="59">
        <v>7</v>
      </c>
      <c r="E215" s="60">
        <v>3.71569616222E-4</v>
      </c>
    </row>
    <row r="216" spans="2:5" ht="14.5" customHeight="1">
      <c r="B216" s="86"/>
      <c r="C216" s="58" t="s">
        <v>238</v>
      </c>
      <c r="D216" s="59">
        <v>9</v>
      </c>
      <c r="E216" s="60">
        <v>4.7773236371400003E-4</v>
      </c>
    </row>
    <row r="217" spans="2:5" ht="14.5" customHeight="1">
      <c r="B217" s="86"/>
      <c r="C217" s="58" t="s">
        <v>239</v>
      </c>
      <c r="D217" s="59">
        <v>10</v>
      </c>
      <c r="E217" s="60">
        <v>5.3081373745999996E-4</v>
      </c>
    </row>
    <row r="218" spans="2:5" ht="14.5" customHeight="1">
      <c r="B218" s="86"/>
      <c r="C218" s="58" t="s">
        <v>240</v>
      </c>
      <c r="D218" s="59">
        <v>46</v>
      </c>
      <c r="E218" s="60">
        <v>2.4417431923139999E-3</v>
      </c>
    </row>
    <row r="219" spans="2:5" ht="14.5" customHeight="1">
      <c r="B219" s="86"/>
      <c r="C219" s="58" t="s">
        <v>241</v>
      </c>
      <c r="D219" s="59">
        <v>48</v>
      </c>
      <c r="E219" s="60">
        <v>2.547905939806E-3</v>
      </c>
    </row>
    <row r="220" spans="2:5" ht="14.5" customHeight="1">
      <c r="B220" s="86"/>
      <c r="C220" s="58" t="s">
        <v>242</v>
      </c>
      <c r="D220" s="59">
        <v>5</v>
      </c>
      <c r="E220" s="60">
        <v>2.6540686872999998E-4</v>
      </c>
    </row>
    <row r="221" spans="2:5" ht="14.5" customHeight="1">
      <c r="B221" s="86"/>
      <c r="C221" s="58" t="s">
        <v>243</v>
      </c>
      <c r="D221" s="59">
        <v>4</v>
      </c>
      <c r="E221" s="60">
        <v>2.1232549498399999E-4</v>
      </c>
    </row>
    <row r="222" spans="2:5" ht="14.5" customHeight="1">
      <c r="B222" s="86"/>
      <c r="C222" s="58" t="s">
        <v>244</v>
      </c>
      <c r="D222" s="59">
        <v>19</v>
      </c>
      <c r="E222" s="60">
        <v>1.008546101173E-3</v>
      </c>
    </row>
    <row r="223" spans="2:5" ht="14.5" customHeight="1">
      <c r="B223" s="86"/>
      <c r="C223" s="58" t="s">
        <v>245</v>
      </c>
      <c r="D223" s="59">
        <v>158</v>
      </c>
      <c r="E223" s="60">
        <v>8.3868570518609992E-3</v>
      </c>
    </row>
    <row r="224" spans="2:5" ht="14.5" customHeight="1">
      <c r="B224" s="86"/>
      <c r="C224" s="58" t="s">
        <v>246</v>
      </c>
      <c r="D224" s="59">
        <v>15</v>
      </c>
      <c r="E224" s="60">
        <v>7.9622060618899997E-4</v>
      </c>
    </row>
    <row r="225" spans="2:5" ht="14.5" customHeight="1">
      <c r="B225" s="86"/>
      <c r="C225" s="58" t="s">
        <v>247</v>
      </c>
      <c r="D225" s="59">
        <v>17</v>
      </c>
      <c r="E225" s="60">
        <v>9.0238335368100005E-4</v>
      </c>
    </row>
    <row r="226" spans="2:5" ht="14.5" customHeight="1">
      <c r="B226" s="86"/>
      <c r="C226" s="58" t="s">
        <v>248</v>
      </c>
      <c r="D226" s="59">
        <v>74</v>
      </c>
      <c r="E226" s="60">
        <v>3.9280216571999996E-3</v>
      </c>
    </row>
    <row r="227" spans="2:5" ht="14.5" customHeight="1">
      <c r="B227" s="86"/>
      <c r="C227" s="58" t="s">
        <v>249</v>
      </c>
      <c r="D227" s="59">
        <v>2</v>
      </c>
      <c r="E227" s="60">
        <v>1.06162747492E-4</v>
      </c>
    </row>
    <row r="228" spans="2:5" ht="14.5" customHeight="1">
      <c r="B228" s="86"/>
      <c r="C228" s="58" t="s">
        <v>250</v>
      </c>
      <c r="D228" s="59">
        <v>1</v>
      </c>
      <c r="E228" s="60">
        <v>5.3081373745999998E-5</v>
      </c>
    </row>
    <row r="229" spans="2:5" ht="14.5" customHeight="1">
      <c r="B229" s="86"/>
      <c r="C229" s="58" t="s">
        <v>251</v>
      </c>
      <c r="D229" s="59">
        <v>1</v>
      </c>
      <c r="E229" s="60">
        <v>5.3081373745999998E-5</v>
      </c>
    </row>
    <row r="230" spans="2:5" ht="14.5" customHeight="1">
      <c r="B230" s="86"/>
      <c r="C230" s="58" t="s">
        <v>252</v>
      </c>
      <c r="D230" s="59">
        <v>2</v>
      </c>
      <c r="E230" s="60">
        <v>1.06162747492E-4</v>
      </c>
    </row>
    <row r="231" spans="2:5" ht="14.5" customHeight="1">
      <c r="B231" s="86"/>
      <c r="C231" s="58" t="s">
        <v>253</v>
      </c>
      <c r="D231" s="59">
        <v>3</v>
      </c>
      <c r="E231" s="60">
        <v>1.5924412123800001E-4</v>
      </c>
    </row>
    <row r="232" spans="2:5" ht="14.5" customHeight="1">
      <c r="B232" s="86"/>
      <c r="C232" s="58" t="s">
        <v>254</v>
      </c>
      <c r="D232" s="59">
        <v>20</v>
      </c>
      <c r="E232" s="60">
        <v>1.0616274749190001E-3</v>
      </c>
    </row>
    <row r="233" spans="2:5" ht="14.5" customHeight="1">
      <c r="B233" s="87"/>
      <c r="C233" s="35" t="s">
        <v>28</v>
      </c>
      <c r="D233" s="34">
        <v>456</v>
      </c>
      <c r="E233" s="33">
        <v>2.4205106428153999E-2</v>
      </c>
    </row>
    <row r="234" spans="2:5" ht="14.5" customHeight="1">
      <c r="B234" s="85" t="s">
        <v>135</v>
      </c>
      <c r="C234" s="58" t="s">
        <v>234</v>
      </c>
      <c r="D234" s="59">
        <v>1</v>
      </c>
      <c r="E234" s="60">
        <v>5.3081373745999998E-5</v>
      </c>
    </row>
    <row r="235" spans="2:5" ht="14.5" customHeight="1">
      <c r="B235" s="86"/>
      <c r="C235" s="58" t="s">
        <v>237</v>
      </c>
      <c r="D235" s="59">
        <v>1</v>
      </c>
      <c r="E235" s="60">
        <v>5.3081373745999998E-5</v>
      </c>
    </row>
    <row r="236" spans="2:5" ht="14.5" customHeight="1">
      <c r="B236" s="86"/>
      <c r="C236" s="58" t="s">
        <v>240</v>
      </c>
      <c r="D236" s="59">
        <v>4</v>
      </c>
      <c r="E236" s="60">
        <v>2.1232549498399999E-4</v>
      </c>
    </row>
    <row r="237" spans="2:5" ht="14.5" customHeight="1">
      <c r="B237" s="86"/>
      <c r="C237" s="58" t="s">
        <v>241</v>
      </c>
      <c r="D237" s="59">
        <v>3</v>
      </c>
      <c r="E237" s="60">
        <v>1.5924412123800001E-4</v>
      </c>
    </row>
    <row r="238" spans="2:5" ht="14.5" customHeight="1">
      <c r="B238" s="86"/>
      <c r="C238" s="58" t="s">
        <v>243</v>
      </c>
      <c r="D238" s="59">
        <v>1</v>
      </c>
      <c r="E238" s="60">
        <v>5.3081373745999998E-5</v>
      </c>
    </row>
    <row r="239" spans="2:5" ht="14.5" customHeight="1">
      <c r="B239" s="86"/>
      <c r="C239" s="58" t="s">
        <v>244</v>
      </c>
      <c r="D239" s="59">
        <v>1</v>
      </c>
      <c r="E239" s="60">
        <v>5.3081373745999998E-5</v>
      </c>
    </row>
    <row r="240" spans="2:5" ht="14.5" customHeight="1">
      <c r="B240" s="86"/>
      <c r="C240" s="58" t="s">
        <v>245</v>
      </c>
      <c r="D240" s="59">
        <v>15</v>
      </c>
      <c r="E240" s="60">
        <v>7.9622060618899997E-4</v>
      </c>
    </row>
    <row r="241" spans="2:5" ht="14.5" customHeight="1">
      <c r="B241" s="86"/>
      <c r="C241" s="58" t="s">
        <v>247</v>
      </c>
      <c r="D241" s="59">
        <v>2</v>
      </c>
      <c r="E241" s="60">
        <v>1.06162747492E-4</v>
      </c>
    </row>
    <row r="242" spans="2:5" ht="14.5" customHeight="1">
      <c r="B242" s="86"/>
      <c r="C242" s="58" t="s">
        <v>248</v>
      </c>
      <c r="D242" s="59">
        <v>6</v>
      </c>
      <c r="E242" s="60">
        <v>3.1848824247600002E-4</v>
      </c>
    </row>
    <row r="243" spans="2:5" ht="14.5" customHeight="1">
      <c r="B243" s="86"/>
      <c r="C243" s="58" t="s">
        <v>250</v>
      </c>
      <c r="D243" s="59">
        <v>2</v>
      </c>
      <c r="E243" s="60">
        <v>1.06162747492E-4</v>
      </c>
    </row>
    <row r="244" spans="2:5" ht="14.5" customHeight="1">
      <c r="B244" s="86"/>
      <c r="C244" s="58" t="s">
        <v>251</v>
      </c>
      <c r="D244" s="59">
        <v>1</v>
      </c>
      <c r="E244" s="60">
        <v>5.3081373745999998E-5</v>
      </c>
    </row>
    <row r="245" spans="2:5" ht="14.5" customHeight="1">
      <c r="B245" s="87"/>
      <c r="C245" s="35" t="s">
        <v>28</v>
      </c>
      <c r="D245" s="34">
        <v>37</v>
      </c>
      <c r="E245" s="33">
        <v>1.9640108285999998E-3</v>
      </c>
    </row>
    <row r="246" spans="2:5" ht="14.5" customHeight="1">
      <c r="B246" s="85" t="s">
        <v>110</v>
      </c>
      <c r="C246" s="58" t="s">
        <v>234</v>
      </c>
      <c r="D246" s="59">
        <v>12</v>
      </c>
      <c r="E246" s="60">
        <v>6.3697648495099997E-4</v>
      </c>
    </row>
    <row r="247" spans="2:5" ht="14.5" customHeight="1">
      <c r="B247" s="86"/>
      <c r="C247" s="58" t="s">
        <v>235</v>
      </c>
      <c r="D247" s="59">
        <v>2</v>
      </c>
      <c r="E247" s="60">
        <v>1.06162747492E-4</v>
      </c>
    </row>
    <row r="248" spans="2:5" ht="14.5" customHeight="1">
      <c r="B248" s="86"/>
      <c r="C248" s="58" t="s">
        <v>236</v>
      </c>
      <c r="D248" s="59">
        <v>7</v>
      </c>
      <c r="E248" s="60">
        <v>3.71569616222E-4</v>
      </c>
    </row>
    <row r="249" spans="2:5" ht="14.5" customHeight="1">
      <c r="B249" s="86"/>
      <c r="C249" s="58" t="s">
        <v>237</v>
      </c>
      <c r="D249" s="59">
        <v>15</v>
      </c>
      <c r="E249" s="60">
        <v>7.9622060618899997E-4</v>
      </c>
    </row>
    <row r="250" spans="2:5" ht="14.5" customHeight="1">
      <c r="B250" s="86"/>
      <c r="C250" s="58" t="s">
        <v>238</v>
      </c>
      <c r="D250" s="59">
        <v>10</v>
      </c>
      <c r="E250" s="60">
        <v>5.3081373745999996E-4</v>
      </c>
    </row>
    <row r="251" spans="2:5" ht="14.5" customHeight="1">
      <c r="B251" s="86"/>
      <c r="C251" s="58" t="s">
        <v>239</v>
      </c>
      <c r="D251" s="59">
        <v>11</v>
      </c>
      <c r="E251" s="60">
        <v>5.8389511120500003E-4</v>
      </c>
    </row>
    <row r="252" spans="2:5" ht="14.5" customHeight="1">
      <c r="B252" s="86"/>
      <c r="C252" s="58" t="s">
        <v>240</v>
      </c>
      <c r="D252" s="59">
        <v>62</v>
      </c>
      <c r="E252" s="60">
        <v>3.291045172249E-3</v>
      </c>
    </row>
    <row r="253" spans="2:5" ht="14.5" customHeight="1">
      <c r="B253" s="86"/>
      <c r="C253" s="58" t="s">
        <v>241</v>
      </c>
      <c r="D253" s="59">
        <v>59</v>
      </c>
      <c r="E253" s="60">
        <v>3.1318010510110001E-3</v>
      </c>
    </row>
    <row r="254" spans="2:5" ht="14.5" customHeight="1">
      <c r="B254" s="86"/>
      <c r="C254" s="58" t="s">
        <v>242</v>
      </c>
      <c r="D254" s="59">
        <v>1</v>
      </c>
      <c r="E254" s="60">
        <v>5.3081373745999998E-5</v>
      </c>
    </row>
    <row r="255" spans="2:5" ht="14.5" customHeight="1">
      <c r="B255" s="86"/>
      <c r="C255" s="58" t="s">
        <v>243</v>
      </c>
      <c r="D255" s="59">
        <v>12</v>
      </c>
      <c r="E255" s="60">
        <v>6.3697648495099997E-4</v>
      </c>
    </row>
    <row r="256" spans="2:5" ht="14.5" customHeight="1">
      <c r="B256" s="86"/>
      <c r="C256" s="58" t="s">
        <v>244</v>
      </c>
      <c r="D256" s="59">
        <v>15</v>
      </c>
      <c r="E256" s="60">
        <v>7.9622060618899997E-4</v>
      </c>
    </row>
    <row r="257" spans="2:5" ht="14.5" customHeight="1">
      <c r="B257" s="86"/>
      <c r="C257" s="58" t="s">
        <v>245</v>
      </c>
      <c r="D257" s="59">
        <v>86</v>
      </c>
      <c r="E257" s="60">
        <v>4.564998142152E-3</v>
      </c>
    </row>
    <row r="258" spans="2:5" ht="14.5" customHeight="1">
      <c r="B258" s="86"/>
      <c r="C258" s="58" t="s">
        <v>246</v>
      </c>
      <c r="D258" s="59">
        <v>1</v>
      </c>
      <c r="E258" s="60">
        <v>5.3081373745999998E-5</v>
      </c>
    </row>
    <row r="259" spans="2:5" ht="14.5" customHeight="1">
      <c r="B259" s="86"/>
      <c r="C259" s="58" t="s">
        <v>247</v>
      </c>
      <c r="D259" s="59">
        <v>14</v>
      </c>
      <c r="E259" s="60">
        <v>7.4313923244300004E-4</v>
      </c>
    </row>
    <row r="260" spans="2:5" ht="14.5" customHeight="1">
      <c r="B260" s="86"/>
      <c r="C260" s="58" t="s">
        <v>248</v>
      </c>
      <c r="D260" s="59">
        <v>41</v>
      </c>
      <c r="E260" s="60">
        <v>2.1763363235839999E-3</v>
      </c>
    </row>
    <row r="261" spans="2:5" ht="14.5" customHeight="1">
      <c r="B261" s="86"/>
      <c r="C261" s="58" t="s">
        <v>250</v>
      </c>
      <c r="D261" s="59">
        <v>1</v>
      </c>
      <c r="E261" s="60">
        <v>5.3081373745999998E-5</v>
      </c>
    </row>
    <row r="262" spans="2:5" ht="14.5" customHeight="1">
      <c r="B262" s="86"/>
      <c r="C262" s="58" t="s">
        <v>254</v>
      </c>
      <c r="D262" s="59">
        <v>9</v>
      </c>
      <c r="E262" s="60">
        <v>4.7773236371400003E-4</v>
      </c>
    </row>
    <row r="263" spans="2:5" ht="14.5" customHeight="1">
      <c r="B263" s="87"/>
      <c r="C263" s="35" t="s">
        <v>28</v>
      </c>
      <c r="D263" s="34">
        <v>358</v>
      </c>
      <c r="E263" s="33">
        <v>1.9003131801050999E-2</v>
      </c>
    </row>
    <row r="264" spans="2:5" ht="14.5" customHeight="1">
      <c r="B264" s="85" t="s">
        <v>103</v>
      </c>
      <c r="C264" s="58" t="s">
        <v>234</v>
      </c>
      <c r="D264" s="59">
        <v>8</v>
      </c>
      <c r="E264" s="60">
        <v>4.2465098996799999E-4</v>
      </c>
    </row>
    <row r="265" spans="2:5" ht="14.5" customHeight="1">
      <c r="B265" s="86"/>
      <c r="C265" s="58" t="s">
        <v>235</v>
      </c>
      <c r="D265" s="59">
        <v>3</v>
      </c>
      <c r="E265" s="60">
        <v>1.5924412123800001E-4</v>
      </c>
    </row>
    <row r="266" spans="2:5" ht="14.5" customHeight="1">
      <c r="B266" s="86"/>
      <c r="C266" s="58" t="s">
        <v>236</v>
      </c>
      <c r="D266" s="59">
        <v>5</v>
      </c>
      <c r="E266" s="60">
        <v>2.6540686872999998E-4</v>
      </c>
    </row>
    <row r="267" spans="2:5" ht="14.5" customHeight="1">
      <c r="B267" s="86"/>
      <c r="C267" s="58" t="s">
        <v>237</v>
      </c>
      <c r="D267" s="59">
        <v>8</v>
      </c>
      <c r="E267" s="60">
        <v>4.2465098996799999E-4</v>
      </c>
    </row>
    <row r="268" spans="2:5" ht="14.5" customHeight="1">
      <c r="B268" s="86"/>
      <c r="C268" s="58" t="s">
        <v>238</v>
      </c>
      <c r="D268" s="59">
        <v>8</v>
      </c>
      <c r="E268" s="60">
        <v>4.2465098996799999E-4</v>
      </c>
    </row>
    <row r="269" spans="2:5" ht="14.5" customHeight="1">
      <c r="B269" s="86"/>
      <c r="C269" s="58" t="s">
        <v>239</v>
      </c>
      <c r="D269" s="59">
        <v>12</v>
      </c>
      <c r="E269" s="60">
        <v>6.3697648495099997E-4</v>
      </c>
    </row>
    <row r="270" spans="2:5" ht="14.5" customHeight="1">
      <c r="B270" s="86"/>
      <c r="C270" s="58" t="s">
        <v>240</v>
      </c>
      <c r="D270" s="59">
        <v>53</v>
      </c>
      <c r="E270" s="60">
        <v>2.8133128085349999E-3</v>
      </c>
    </row>
    <row r="271" spans="2:5" ht="14.5" customHeight="1">
      <c r="B271" s="86"/>
      <c r="C271" s="58" t="s">
        <v>241</v>
      </c>
      <c r="D271" s="59">
        <v>99</v>
      </c>
      <c r="E271" s="60">
        <v>5.2550560008489998E-3</v>
      </c>
    </row>
    <row r="272" spans="2:5" ht="14.5" customHeight="1">
      <c r="B272" s="86"/>
      <c r="C272" s="58" t="s">
        <v>242</v>
      </c>
      <c r="D272" s="59">
        <v>9</v>
      </c>
      <c r="E272" s="60">
        <v>4.7773236371400003E-4</v>
      </c>
    </row>
    <row r="273" spans="2:5" ht="14.5" customHeight="1">
      <c r="B273" s="86"/>
      <c r="C273" s="58" t="s">
        <v>243</v>
      </c>
      <c r="D273" s="59">
        <v>17</v>
      </c>
      <c r="E273" s="60">
        <v>9.0238335368100005E-4</v>
      </c>
    </row>
    <row r="274" spans="2:5" ht="14.5" customHeight="1">
      <c r="B274" s="86"/>
      <c r="C274" s="58" t="s">
        <v>244</v>
      </c>
      <c r="D274" s="59">
        <v>32</v>
      </c>
      <c r="E274" s="60">
        <v>1.69860395987E-3</v>
      </c>
    </row>
    <row r="275" spans="2:5" ht="14.5" customHeight="1">
      <c r="B275" s="86"/>
      <c r="C275" s="58" t="s">
        <v>245</v>
      </c>
      <c r="D275" s="59">
        <v>251</v>
      </c>
      <c r="E275" s="60">
        <v>1.3323424810234E-2</v>
      </c>
    </row>
    <row r="276" spans="2:5" ht="14.5" customHeight="1">
      <c r="B276" s="86"/>
      <c r="C276" s="58" t="s">
        <v>246</v>
      </c>
      <c r="D276" s="59">
        <v>7</v>
      </c>
      <c r="E276" s="60">
        <v>3.71569616222E-4</v>
      </c>
    </row>
    <row r="277" spans="2:5" ht="14.5" customHeight="1">
      <c r="B277" s="86"/>
      <c r="C277" s="58" t="s">
        <v>247</v>
      </c>
      <c r="D277" s="59">
        <v>59</v>
      </c>
      <c r="E277" s="60">
        <v>3.1318010510110001E-3</v>
      </c>
    </row>
    <row r="278" spans="2:5" ht="14.5" customHeight="1">
      <c r="B278" s="86"/>
      <c r="C278" s="58" t="s">
        <v>248</v>
      </c>
      <c r="D278" s="59">
        <v>149</v>
      </c>
      <c r="E278" s="60">
        <v>7.9091246881469995E-3</v>
      </c>
    </row>
    <row r="279" spans="2:5" ht="14.5" customHeight="1">
      <c r="B279" s="86"/>
      <c r="C279" s="58" t="s">
        <v>249</v>
      </c>
      <c r="D279" s="59">
        <v>2</v>
      </c>
      <c r="E279" s="60">
        <v>1.06162747492E-4</v>
      </c>
    </row>
    <row r="280" spans="2:5" ht="14.5" customHeight="1">
      <c r="B280" s="86"/>
      <c r="C280" s="58" t="s">
        <v>250</v>
      </c>
      <c r="D280" s="59">
        <v>1</v>
      </c>
      <c r="E280" s="60">
        <v>5.3081373745999998E-5</v>
      </c>
    </row>
    <row r="281" spans="2:5" ht="14.5" customHeight="1">
      <c r="B281" s="86"/>
      <c r="C281" s="58" t="s">
        <v>253</v>
      </c>
      <c r="D281" s="59">
        <v>7</v>
      </c>
      <c r="E281" s="60">
        <v>3.71569616222E-4</v>
      </c>
    </row>
    <row r="282" spans="2:5" ht="14.5" customHeight="1">
      <c r="B282" s="86"/>
      <c r="C282" s="58" t="s">
        <v>254</v>
      </c>
      <c r="D282" s="59">
        <v>37</v>
      </c>
      <c r="E282" s="60">
        <v>1.9640108285999998E-3</v>
      </c>
    </row>
    <row r="283" spans="2:5" ht="14.5" customHeight="1">
      <c r="B283" s="86"/>
      <c r="C283" s="58" t="s">
        <v>256</v>
      </c>
      <c r="D283" s="59">
        <v>1</v>
      </c>
      <c r="E283" s="60">
        <v>5.3081373745999998E-5</v>
      </c>
    </row>
    <row r="284" spans="2:5" ht="14.5" customHeight="1">
      <c r="B284" s="86"/>
      <c r="C284" s="58" t="s">
        <v>257</v>
      </c>
      <c r="D284" s="59">
        <v>1</v>
      </c>
      <c r="E284" s="60">
        <v>5.3081373745999998E-5</v>
      </c>
    </row>
    <row r="285" spans="2:5" ht="14.5" customHeight="1">
      <c r="B285" s="87"/>
      <c r="C285" s="35" t="s">
        <v>28</v>
      </c>
      <c r="D285" s="34">
        <v>769</v>
      </c>
      <c r="E285" s="33">
        <v>4.0819576410637999E-2</v>
      </c>
    </row>
    <row r="286" spans="2:5" ht="14.5" customHeight="1">
      <c r="B286" s="85" t="s">
        <v>116</v>
      </c>
      <c r="C286" s="58" t="s">
        <v>234</v>
      </c>
      <c r="D286" s="59">
        <v>2</v>
      </c>
      <c r="E286" s="60">
        <v>1.06162747492E-4</v>
      </c>
    </row>
    <row r="287" spans="2:5" ht="14.5" customHeight="1">
      <c r="B287" s="86"/>
      <c r="C287" s="58" t="s">
        <v>237</v>
      </c>
      <c r="D287" s="59">
        <v>3</v>
      </c>
      <c r="E287" s="60">
        <v>1.5924412123800001E-4</v>
      </c>
    </row>
    <row r="288" spans="2:5" ht="14.5" customHeight="1">
      <c r="B288" s="86"/>
      <c r="C288" s="58" t="s">
        <v>238</v>
      </c>
      <c r="D288" s="59">
        <v>2</v>
      </c>
      <c r="E288" s="60">
        <v>1.06162747492E-4</v>
      </c>
    </row>
    <row r="289" spans="2:5" ht="14.5" customHeight="1">
      <c r="B289" s="86"/>
      <c r="C289" s="58" t="s">
        <v>239</v>
      </c>
      <c r="D289" s="59">
        <v>6</v>
      </c>
      <c r="E289" s="60">
        <v>3.1848824247600002E-4</v>
      </c>
    </row>
    <row r="290" spans="2:5" ht="14.5" customHeight="1">
      <c r="B290" s="86"/>
      <c r="C290" s="58" t="s">
        <v>240</v>
      </c>
      <c r="D290" s="59">
        <v>24</v>
      </c>
      <c r="E290" s="60">
        <v>1.273952969903E-3</v>
      </c>
    </row>
    <row r="291" spans="2:5" ht="14.5" customHeight="1">
      <c r="B291" s="86"/>
      <c r="C291" s="58" t="s">
        <v>241</v>
      </c>
      <c r="D291" s="59">
        <v>28</v>
      </c>
      <c r="E291" s="60">
        <v>1.4862784648869999E-3</v>
      </c>
    </row>
    <row r="292" spans="2:5" ht="14.5" customHeight="1">
      <c r="B292" s="86"/>
      <c r="C292" s="58" t="s">
        <v>242</v>
      </c>
      <c r="D292" s="59">
        <v>1</v>
      </c>
      <c r="E292" s="60">
        <v>5.3081373745999998E-5</v>
      </c>
    </row>
    <row r="293" spans="2:5" ht="14.5" customHeight="1">
      <c r="B293" s="86"/>
      <c r="C293" s="58" t="s">
        <v>243</v>
      </c>
      <c r="D293" s="59">
        <v>5</v>
      </c>
      <c r="E293" s="60">
        <v>2.6540686872999998E-4</v>
      </c>
    </row>
    <row r="294" spans="2:5" ht="14.5" customHeight="1">
      <c r="B294" s="86"/>
      <c r="C294" s="58" t="s">
        <v>244</v>
      </c>
      <c r="D294" s="59">
        <v>10</v>
      </c>
      <c r="E294" s="60">
        <v>5.3081373745999996E-4</v>
      </c>
    </row>
    <row r="295" spans="2:5" ht="14.5" customHeight="1">
      <c r="B295" s="86"/>
      <c r="C295" s="58" t="s">
        <v>245</v>
      </c>
      <c r="D295" s="59">
        <v>60</v>
      </c>
      <c r="E295" s="60">
        <v>3.184882424757E-3</v>
      </c>
    </row>
    <row r="296" spans="2:5" ht="14.5" customHeight="1">
      <c r="B296" s="86"/>
      <c r="C296" s="58" t="s">
        <v>246</v>
      </c>
      <c r="D296" s="59">
        <v>2</v>
      </c>
      <c r="E296" s="60">
        <v>1.06162747492E-4</v>
      </c>
    </row>
    <row r="297" spans="2:5" ht="14.5" customHeight="1">
      <c r="B297" s="86"/>
      <c r="C297" s="58" t="s">
        <v>247</v>
      </c>
      <c r="D297" s="59">
        <v>21</v>
      </c>
      <c r="E297" s="60">
        <v>1.1147088486650001E-3</v>
      </c>
    </row>
    <row r="298" spans="2:5" ht="14.5" customHeight="1">
      <c r="B298" s="86"/>
      <c r="C298" s="58" t="s">
        <v>248</v>
      </c>
      <c r="D298" s="59">
        <v>41</v>
      </c>
      <c r="E298" s="60">
        <v>2.1763363235839999E-3</v>
      </c>
    </row>
    <row r="299" spans="2:5" ht="14.5" customHeight="1">
      <c r="B299" s="86"/>
      <c r="C299" s="58" t="s">
        <v>249</v>
      </c>
      <c r="D299" s="59">
        <v>1</v>
      </c>
      <c r="E299" s="60">
        <v>5.3081373745999998E-5</v>
      </c>
    </row>
    <row r="300" spans="2:5" ht="14.5" customHeight="1">
      <c r="B300" s="86"/>
      <c r="C300" s="58" t="s">
        <v>250</v>
      </c>
      <c r="D300" s="59">
        <v>1</v>
      </c>
      <c r="E300" s="60">
        <v>5.3081373745999998E-5</v>
      </c>
    </row>
    <row r="301" spans="2:5" ht="14.5" customHeight="1">
      <c r="B301" s="86"/>
      <c r="C301" s="58" t="s">
        <v>251</v>
      </c>
      <c r="D301" s="59">
        <v>1</v>
      </c>
      <c r="E301" s="60">
        <v>5.3081373745999998E-5</v>
      </c>
    </row>
    <row r="302" spans="2:5" ht="14.5" customHeight="1">
      <c r="B302" s="86"/>
      <c r="C302" s="58" t="s">
        <v>253</v>
      </c>
      <c r="D302" s="59">
        <v>2</v>
      </c>
      <c r="E302" s="60">
        <v>1.06162747492E-4</v>
      </c>
    </row>
    <row r="303" spans="2:5" ht="14.5" customHeight="1">
      <c r="B303" s="86"/>
      <c r="C303" s="58" t="s">
        <v>254</v>
      </c>
      <c r="D303" s="59">
        <v>6</v>
      </c>
      <c r="E303" s="60">
        <v>3.1848824247600002E-4</v>
      </c>
    </row>
    <row r="304" spans="2:5" ht="14.5" customHeight="1">
      <c r="B304" s="87"/>
      <c r="C304" s="35" t="s">
        <v>28</v>
      </c>
      <c r="D304" s="34">
        <v>216</v>
      </c>
      <c r="E304" s="33">
        <v>1.1465576729126001E-2</v>
      </c>
    </row>
    <row r="305" spans="2:5" ht="14.5" customHeight="1">
      <c r="B305" s="85" t="s">
        <v>100</v>
      </c>
      <c r="C305" s="58" t="s">
        <v>234</v>
      </c>
      <c r="D305" s="59">
        <v>10</v>
      </c>
      <c r="E305" s="60">
        <v>5.3081373745999996E-4</v>
      </c>
    </row>
    <row r="306" spans="2:5" ht="14.5" customHeight="1">
      <c r="B306" s="86"/>
      <c r="C306" s="58" t="s">
        <v>235</v>
      </c>
      <c r="D306" s="59">
        <v>2</v>
      </c>
      <c r="E306" s="60">
        <v>1.06162747492E-4</v>
      </c>
    </row>
    <row r="307" spans="2:5" ht="14.5" customHeight="1">
      <c r="B307" s="86"/>
      <c r="C307" s="58" t="s">
        <v>236</v>
      </c>
      <c r="D307" s="59">
        <v>8</v>
      </c>
      <c r="E307" s="60">
        <v>4.2465098996799999E-4</v>
      </c>
    </row>
    <row r="308" spans="2:5" ht="14.5" customHeight="1">
      <c r="B308" s="86"/>
      <c r="C308" s="58" t="s">
        <v>237</v>
      </c>
      <c r="D308" s="59">
        <v>26</v>
      </c>
      <c r="E308" s="60">
        <v>1.3801157173950001E-3</v>
      </c>
    </row>
    <row r="309" spans="2:5" ht="14.5" customHeight="1">
      <c r="B309" s="86"/>
      <c r="C309" s="58" t="s">
        <v>238</v>
      </c>
      <c r="D309" s="59">
        <v>13</v>
      </c>
      <c r="E309" s="60">
        <v>6.90057858697E-4</v>
      </c>
    </row>
    <row r="310" spans="2:5" ht="14.5" customHeight="1">
      <c r="B310" s="86"/>
      <c r="C310" s="58" t="s">
        <v>239</v>
      </c>
      <c r="D310" s="59">
        <v>27</v>
      </c>
      <c r="E310" s="60">
        <v>1.4331970911409999E-3</v>
      </c>
    </row>
    <row r="311" spans="2:5" ht="14.5" customHeight="1">
      <c r="B311" s="86"/>
      <c r="C311" s="58" t="s">
        <v>240</v>
      </c>
      <c r="D311" s="59">
        <v>135</v>
      </c>
      <c r="E311" s="60">
        <v>7.1659854557040003E-3</v>
      </c>
    </row>
    <row r="312" spans="2:5" ht="14.5" customHeight="1">
      <c r="B312" s="86"/>
      <c r="C312" s="58" t="s">
        <v>241</v>
      </c>
      <c r="D312" s="59">
        <v>148</v>
      </c>
      <c r="E312" s="60">
        <v>7.8560433144010001E-3</v>
      </c>
    </row>
    <row r="313" spans="2:5" ht="14.5" customHeight="1">
      <c r="B313" s="86"/>
      <c r="C313" s="58" t="s">
        <v>242</v>
      </c>
      <c r="D313" s="59">
        <v>20</v>
      </c>
      <c r="E313" s="60">
        <v>1.0616274749190001E-3</v>
      </c>
    </row>
    <row r="314" spans="2:5" ht="14.5" customHeight="1">
      <c r="B314" s="86"/>
      <c r="C314" s="58" t="s">
        <v>243</v>
      </c>
      <c r="D314" s="59">
        <v>45</v>
      </c>
      <c r="E314" s="60">
        <v>2.3886618185680001E-3</v>
      </c>
    </row>
    <row r="315" spans="2:5" ht="14.5" customHeight="1">
      <c r="B315" s="86"/>
      <c r="C315" s="58" t="s">
        <v>244</v>
      </c>
      <c r="D315" s="59">
        <v>70</v>
      </c>
      <c r="E315" s="60">
        <v>3.7156961622169999E-3</v>
      </c>
    </row>
    <row r="316" spans="2:5" ht="14.5" customHeight="1">
      <c r="B316" s="86"/>
      <c r="C316" s="58" t="s">
        <v>245</v>
      </c>
      <c r="D316" s="59">
        <v>344</v>
      </c>
      <c r="E316" s="60">
        <v>1.8259992568608E-2</v>
      </c>
    </row>
    <row r="317" spans="2:5" ht="14.5" customHeight="1">
      <c r="B317" s="86"/>
      <c r="C317" s="58" t="s">
        <v>246</v>
      </c>
      <c r="D317" s="59">
        <v>20</v>
      </c>
      <c r="E317" s="60">
        <v>1.0616274749190001E-3</v>
      </c>
    </row>
    <row r="318" spans="2:5" ht="14.5" customHeight="1">
      <c r="B318" s="86"/>
      <c r="C318" s="58" t="s">
        <v>247</v>
      </c>
      <c r="D318" s="59">
        <v>84</v>
      </c>
      <c r="E318" s="60">
        <v>4.4588353946600004E-3</v>
      </c>
    </row>
    <row r="319" spans="2:5" ht="14.5" customHeight="1">
      <c r="B319" s="86"/>
      <c r="C319" s="58" t="s">
        <v>248</v>
      </c>
      <c r="D319" s="59">
        <v>170</v>
      </c>
      <c r="E319" s="60">
        <v>9.0238335368119996E-3</v>
      </c>
    </row>
    <row r="320" spans="2:5" ht="14.5" customHeight="1">
      <c r="B320" s="86"/>
      <c r="C320" s="58" t="s">
        <v>249</v>
      </c>
      <c r="D320" s="59">
        <v>6</v>
      </c>
      <c r="E320" s="60">
        <v>3.1848824247600002E-4</v>
      </c>
    </row>
    <row r="321" spans="2:5" ht="14.5" customHeight="1">
      <c r="B321" s="86"/>
      <c r="C321" s="58" t="s">
        <v>250</v>
      </c>
      <c r="D321" s="59">
        <v>4</v>
      </c>
      <c r="E321" s="60">
        <v>2.1232549498399999E-4</v>
      </c>
    </row>
    <row r="322" spans="2:5" ht="14.5" customHeight="1">
      <c r="B322" s="86"/>
      <c r="C322" s="58" t="s">
        <v>251</v>
      </c>
      <c r="D322" s="59">
        <v>2</v>
      </c>
      <c r="E322" s="60">
        <v>1.06162747492E-4</v>
      </c>
    </row>
    <row r="323" spans="2:5" ht="14.5" customHeight="1">
      <c r="B323" s="86"/>
      <c r="C323" s="58" t="s">
        <v>253</v>
      </c>
      <c r="D323" s="59">
        <v>16</v>
      </c>
      <c r="E323" s="60">
        <v>8.4930197993500001E-4</v>
      </c>
    </row>
    <row r="324" spans="2:5" ht="14.5" customHeight="1">
      <c r="B324" s="86"/>
      <c r="C324" s="58" t="s">
        <v>254</v>
      </c>
      <c r="D324" s="59">
        <v>28</v>
      </c>
      <c r="E324" s="60">
        <v>1.4862784648869999E-3</v>
      </c>
    </row>
    <row r="325" spans="2:5" ht="14.5" customHeight="1">
      <c r="B325" s="86"/>
      <c r="C325" s="58" t="s">
        <v>256</v>
      </c>
      <c r="D325" s="59">
        <v>1</v>
      </c>
      <c r="E325" s="60">
        <v>5.3081373745999998E-5</v>
      </c>
    </row>
    <row r="326" spans="2:5" ht="14.5" customHeight="1">
      <c r="B326" s="87"/>
      <c r="C326" s="35" t="s">
        <v>28</v>
      </c>
      <c r="D326" s="34">
        <v>1179</v>
      </c>
      <c r="E326" s="33">
        <v>6.2582939646478E-2</v>
      </c>
    </row>
    <row r="327" spans="2:5" ht="14.5" customHeight="1">
      <c r="B327" s="85" t="s">
        <v>137</v>
      </c>
      <c r="C327" s="58" t="s">
        <v>235</v>
      </c>
      <c r="D327" s="59">
        <v>1</v>
      </c>
      <c r="E327" s="60">
        <v>5.3081373745999998E-5</v>
      </c>
    </row>
    <row r="328" spans="2:5" ht="14.5" customHeight="1">
      <c r="B328" s="86"/>
      <c r="C328" s="58" t="s">
        <v>237</v>
      </c>
      <c r="D328" s="59">
        <v>1</v>
      </c>
      <c r="E328" s="60">
        <v>5.3081373745999998E-5</v>
      </c>
    </row>
    <row r="329" spans="2:5" ht="14.5" customHeight="1">
      <c r="B329" s="86"/>
      <c r="C329" s="58" t="s">
        <v>240</v>
      </c>
      <c r="D329" s="59">
        <v>1</v>
      </c>
      <c r="E329" s="60">
        <v>5.3081373745999998E-5</v>
      </c>
    </row>
    <row r="330" spans="2:5" ht="14.5" customHeight="1">
      <c r="B330" s="86"/>
      <c r="C330" s="58" t="s">
        <v>241</v>
      </c>
      <c r="D330" s="59">
        <v>1</v>
      </c>
      <c r="E330" s="60">
        <v>5.3081373745999998E-5</v>
      </c>
    </row>
    <row r="331" spans="2:5" ht="14.5" customHeight="1">
      <c r="B331" s="86"/>
      <c r="C331" s="58" t="s">
        <v>243</v>
      </c>
      <c r="D331" s="59">
        <v>2</v>
      </c>
      <c r="E331" s="60">
        <v>1.06162747492E-4</v>
      </c>
    </row>
    <row r="332" spans="2:5" ht="14.5" customHeight="1">
      <c r="B332" s="86"/>
      <c r="C332" s="58" t="s">
        <v>245</v>
      </c>
      <c r="D332" s="59">
        <v>8</v>
      </c>
      <c r="E332" s="60">
        <v>4.2465098996799999E-4</v>
      </c>
    </row>
    <row r="333" spans="2:5" ht="14.5" customHeight="1">
      <c r="B333" s="86"/>
      <c r="C333" s="58" t="s">
        <v>248</v>
      </c>
      <c r="D333" s="59">
        <v>7</v>
      </c>
      <c r="E333" s="60">
        <v>3.71569616222E-4</v>
      </c>
    </row>
    <row r="334" spans="2:5" ht="14.5" customHeight="1">
      <c r="B334" s="86"/>
      <c r="C334" s="58" t="s">
        <v>253</v>
      </c>
      <c r="D334" s="59">
        <v>1</v>
      </c>
      <c r="E334" s="60">
        <v>5.3081373745999998E-5</v>
      </c>
    </row>
    <row r="335" spans="2:5" ht="14.5" customHeight="1">
      <c r="B335" s="86"/>
      <c r="C335" s="58" t="s">
        <v>254</v>
      </c>
      <c r="D335" s="59">
        <v>1</v>
      </c>
      <c r="E335" s="60">
        <v>5.3081373745999998E-5</v>
      </c>
    </row>
    <row r="336" spans="2:5" ht="14.5" customHeight="1">
      <c r="B336" s="87"/>
      <c r="C336" s="35" t="s">
        <v>28</v>
      </c>
      <c r="D336" s="34">
        <v>23</v>
      </c>
      <c r="E336" s="33">
        <v>1.220871596157E-3</v>
      </c>
    </row>
    <row r="337" spans="2:5" ht="14.5" customHeight="1">
      <c r="B337" s="85" t="s">
        <v>105</v>
      </c>
      <c r="C337" s="58" t="s">
        <v>234</v>
      </c>
      <c r="D337" s="59">
        <v>6</v>
      </c>
      <c r="E337" s="60">
        <v>3.1848824247600002E-4</v>
      </c>
    </row>
    <row r="338" spans="2:5" ht="14.5" customHeight="1">
      <c r="B338" s="86"/>
      <c r="C338" s="58" t="s">
        <v>235</v>
      </c>
      <c r="D338" s="59">
        <v>3</v>
      </c>
      <c r="E338" s="60">
        <v>1.5924412123800001E-4</v>
      </c>
    </row>
    <row r="339" spans="2:5" ht="14.5" customHeight="1">
      <c r="B339" s="86"/>
      <c r="C339" s="58" t="s">
        <v>236</v>
      </c>
      <c r="D339" s="59">
        <v>3</v>
      </c>
      <c r="E339" s="60">
        <v>1.5924412123800001E-4</v>
      </c>
    </row>
    <row r="340" spans="2:5" ht="14.5" customHeight="1">
      <c r="B340" s="86"/>
      <c r="C340" s="58" t="s">
        <v>237</v>
      </c>
      <c r="D340" s="59">
        <v>10</v>
      </c>
      <c r="E340" s="60">
        <v>5.3081373745999996E-4</v>
      </c>
    </row>
    <row r="341" spans="2:5" ht="14.5" customHeight="1">
      <c r="B341" s="86"/>
      <c r="C341" s="58" t="s">
        <v>238</v>
      </c>
      <c r="D341" s="59">
        <v>6</v>
      </c>
      <c r="E341" s="60">
        <v>3.1848824247600002E-4</v>
      </c>
    </row>
    <row r="342" spans="2:5" ht="14.5" customHeight="1">
      <c r="B342" s="86"/>
      <c r="C342" s="58" t="s">
        <v>239</v>
      </c>
      <c r="D342" s="59">
        <v>11</v>
      </c>
      <c r="E342" s="60">
        <v>5.8389511120500003E-4</v>
      </c>
    </row>
    <row r="343" spans="2:5" ht="14.5" customHeight="1">
      <c r="B343" s="86"/>
      <c r="C343" s="58" t="s">
        <v>240</v>
      </c>
      <c r="D343" s="59">
        <v>78</v>
      </c>
      <c r="E343" s="60">
        <v>4.1403471521839997E-3</v>
      </c>
    </row>
    <row r="344" spans="2:5" ht="14.5" customHeight="1">
      <c r="B344" s="86"/>
      <c r="C344" s="58" t="s">
        <v>241</v>
      </c>
      <c r="D344" s="59">
        <v>77</v>
      </c>
      <c r="E344" s="60">
        <v>4.0872657784380003E-3</v>
      </c>
    </row>
    <row r="345" spans="2:5" ht="14.5" customHeight="1">
      <c r="B345" s="86"/>
      <c r="C345" s="58" t="s">
        <v>242</v>
      </c>
      <c r="D345" s="59">
        <v>7</v>
      </c>
      <c r="E345" s="60">
        <v>3.71569616222E-4</v>
      </c>
    </row>
    <row r="346" spans="2:5" ht="14.5" customHeight="1">
      <c r="B346" s="86"/>
      <c r="C346" s="58" t="s">
        <v>243</v>
      </c>
      <c r="D346" s="59">
        <v>16</v>
      </c>
      <c r="E346" s="60">
        <v>8.4930197993500001E-4</v>
      </c>
    </row>
    <row r="347" spans="2:5" ht="14.5" customHeight="1">
      <c r="B347" s="86"/>
      <c r="C347" s="58" t="s">
        <v>244</v>
      </c>
      <c r="D347" s="59">
        <v>29</v>
      </c>
      <c r="E347" s="60">
        <v>1.539359838633E-3</v>
      </c>
    </row>
    <row r="348" spans="2:5" ht="14.5" customHeight="1">
      <c r="B348" s="86"/>
      <c r="C348" s="58" t="s">
        <v>245</v>
      </c>
      <c r="D348" s="59">
        <v>142</v>
      </c>
      <c r="E348" s="60">
        <v>7.5375550719250003E-3</v>
      </c>
    </row>
    <row r="349" spans="2:5" ht="14.5" customHeight="1">
      <c r="B349" s="86"/>
      <c r="C349" s="58" t="s">
        <v>246</v>
      </c>
      <c r="D349" s="59">
        <v>6</v>
      </c>
      <c r="E349" s="60">
        <v>3.1848824247600002E-4</v>
      </c>
    </row>
    <row r="350" spans="2:5" ht="14.5" customHeight="1">
      <c r="B350" s="86"/>
      <c r="C350" s="58" t="s">
        <v>247</v>
      </c>
      <c r="D350" s="59">
        <v>40</v>
      </c>
      <c r="E350" s="60">
        <v>2.1232549498380001E-3</v>
      </c>
    </row>
    <row r="351" spans="2:5" ht="14.5" customHeight="1">
      <c r="B351" s="86"/>
      <c r="C351" s="58" t="s">
        <v>248</v>
      </c>
      <c r="D351" s="59">
        <v>96</v>
      </c>
      <c r="E351" s="60">
        <v>5.0958118796109999E-3</v>
      </c>
    </row>
    <row r="352" spans="2:5" ht="14.5" customHeight="1">
      <c r="B352" s="86"/>
      <c r="C352" s="58" t="s">
        <v>249</v>
      </c>
      <c r="D352" s="59">
        <v>1</v>
      </c>
      <c r="E352" s="60">
        <v>5.3081373745999998E-5</v>
      </c>
    </row>
    <row r="353" spans="2:5" ht="14.5" customHeight="1">
      <c r="B353" s="86"/>
      <c r="C353" s="58" t="s">
        <v>250</v>
      </c>
      <c r="D353" s="59">
        <v>3</v>
      </c>
      <c r="E353" s="60">
        <v>1.5924412123800001E-4</v>
      </c>
    </row>
    <row r="354" spans="2:5" ht="14.5" customHeight="1">
      <c r="B354" s="86"/>
      <c r="C354" s="58" t="s">
        <v>252</v>
      </c>
      <c r="D354" s="59">
        <v>2</v>
      </c>
      <c r="E354" s="60">
        <v>1.06162747492E-4</v>
      </c>
    </row>
    <row r="355" spans="2:5" ht="14.5" customHeight="1">
      <c r="B355" s="86"/>
      <c r="C355" s="58" t="s">
        <v>253</v>
      </c>
      <c r="D355" s="59">
        <v>8</v>
      </c>
      <c r="E355" s="60">
        <v>4.2465098996799999E-4</v>
      </c>
    </row>
    <row r="356" spans="2:5" ht="14.5" customHeight="1">
      <c r="B356" s="86"/>
      <c r="C356" s="58" t="s">
        <v>254</v>
      </c>
      <c r="D356" s="59">
        <v>16</v>
      </c>
      <c r="E356" s="60">
        <v>8.4930197993500001E-4</v>
      </c>
    </row>
    <row r="357" spans="2:5" ht="14.5" customHeight="1">
      <c r="B357" s="87"/>
      <c r="C357" s="35" t="s">
        <v>28</v>
      </c>
      <c r="D357" s="34">
        <v>560</v>
      </c>
      <c r="E357" s="33">
        <v>2.9725569297732998E-2</v>
      </c>
    </row>
    <row r="358" spans="2:5" ht="14.5" customHeight="1">
      <c r="B358" s="85" t="s">
        <v>106</v>
      </c>
      <c r="C358" s="58" t="s">
        <v>235</v>
      </c>
      <c r="D358" s="59">
        <v>1</v>
      </c>
      <c r="E358" s="60">
        <v>5.3081373745999998E-5</v>
      </c>
    </row>
    <row r="359" spans="2:5" ht="14.5" customHeight="1">
      <c r="B359" s="86"/>
      <c r="C359" s="58" t="s">
        <v>237</v>
      </c>
      <c r="D359" s="59">
        <v>8</v>
      </c>
      <c r="E359" s="60">
        <v>4.2465098996799999E-4</v>
      </c>
    </row>
    <row r="360" spans="2:5" ht="14.5" customHeight="1">
      <c r="B360" s="86"/>
      <c r="C360" s="58" t="s">
        <v>238</v>
      </c>
      <c r="D360" s="59">
        <v>3</v>
      </c>
      <c r="E360" s="60">
        <v>1.5924412123800001E-4</v>
      </c>
    </row>
    <row r="361" spans="2:5" ht="14.5" customHeight="1">
      <c r="B361" s="86"/>
      <c r="C361" s="58" t="s">
        <v>239</v>
      </c>
      <c r="D361" s="59">
        <v>4</v>
      </c>
      <c r="E361" s="60">
        <v>2.1232549498399999E-4</v>
      </c>
    </row>
    <row r="362" spans="2:5" ht="14.5" customHeight="1">
      <c r="B362" s="86"/>
      <c r="C362" s="58" t="s">
        <v>240</v>
      </c>
      <c r="D362" s="59">
        <v>34</v>
      </c>
      <c r="E362" s="60">
        <v>1.8047667073620001E-3</v>
      </c>
    </row>
    <row r="363" spans="2:5" ht="14.5" customHeight="1">
      <c r="B363" s="86"/>
      <c r="C363" s="58" t="s">
        <v>241</v>
      </c>
      <c r="D363" s="59">
        <v>69</v>
      </c>
      <c r="E363" s="60">
        <v>3.6626147884710001E-3</v>
      </c>
    </row>
    <row r="364" spans="2:5" ht="14.5" customHeight="1">
      <c r="B364" s="86"/>
      <c r="C364" s="58" t="s">
        <v>242</v>
      </c>
      <c r="D364" s="59">
        <v>2</v>
      </c>
      <c r="E364" s="60">
        <v>1.06162747492E-4</v>
      </c>
    </row>
    <row r="365" spans="2:5" ht="14.5" customHeight="1">
      <c r="B365" s="86"/>
      <c r="C365" s="58" t="s">
        <v>243</v>
      </c>
      <c r="D365" s="59">
        <v>21</v>
      </c>
      <c r="E365" s="60">
        <v>1.1147088486650001E-3</v>
      </c>
    </row>
    <row r="366" spans="2:5" ht="14.5" customHeight="1">
      <c r="B366" s="86"/>
      <c r="C366" s="58" t="s">
        <v>244</v>
      </c>
      <c r="D366" s="59">
        <v>29</v>
      </c>
      <c r="E366" s="60">
        <v>1.539359838633E-3</v>
      </c>
    </row>
    <row r="367" spans="2:5" ht="14.5" customHeight="1">
      <c r="B367" s="86"/>
      <c r="C367" s="58" t="s">
        <v>245</v>
      </c>
      <c r="D367" s="59">
        <v>183</v>
      </c>
      <c r="E367" s="60">
        <v>9.7138913955089994E-3</v>
      </c>
    </row>
    <row r="368" spans="2:5" ht="14.5" customHeight="1">
      <c r="B368" s="86"/>
      <c r="C368" s="58" t="s">
        <v>246</v>
      </c>
      <c r="D368" s="59">
        <v>7</v>
      </c>
      <c r="E368" s="60">
        <v>3.71569616222E-4</v>
      </c>
    </row>
    <row r="369" spans="2:5" ht="14.5" customHeight="1">
      <c r="B369" s="86"/>
      <c r="C369" s="58" t="s">
        <v>247</v>
      </c>
      <c r="D369" s="59">
        <v>37</v>
      </c>
      <c r="E369" s="60">
        <v>1.9640108285999998E-3</v>
      </c>
    </row>
    <row r="370" spans="2:5" ht="14.5" customHeight="1">
      <c r="B370" s="86"/>
      <c r="C370" s="58" t="s">
        <v>248</v>
      </c>
      <c r="D370" s="59">
        <v>109</v>
      </c>
      <c r="E370" s="60">
        <v>5.7858697383089998E-3</v>
      </c>
    </row>
    <row r="371" spans="2:5" ht="14.5" customHeight="1">
      <c r="B371" s="86"/>
      <c r="C371" s="58" t="s">
        <v>249</v>
      </c>
      <c r="D371" s="59">
        <v>2</v>
      </c>
      <c r="E371" s="60">
        <v>1.06162747492E-4</v>
      </c>
    </row>
    <row r="372" spans="2:5" ht="14.5" customHeight="1">
      <c r="B372" s="86"/>
      <c r="C372" s="58" t="s">
        <v>250</v>
      </c>
      <c r="D372" s="59">
        <v>2</v>
      </c>
      <c r="E372" s="60">
        <v>1.06162747492E-4</v>
      </c>
    </row>
    <row r="373" spans="2:5" ht="14.5" customHeight="1">
      <c r="B373" s="86"/>
      <c r="C373" s="58" t="s">
        <v>251</v>
      </c>
      <c r="D373" s="59">
        <v>2</v>
      </c>
      <c r="E373" s="60">
        <v>1.06162747492E-4</v>
      </c>
    </row>
    <row r="374" spans="2:5" ht="14.5" customHeight="1">
      <c r="B374" s="86"/>
      <c r="C374" s="58" t="s">
        <v>252</v>
      </c>
      <c r="D374" s="59">
        <v>1</v>
      </c>
      <c r="E374" s="60">
        <v>5.3081373745999998E-5</v>
      </c>
    </row>
    <row r="375" spans="2:5" ht="14.5" customHeight="1">
      <c r="B375" s="86"/>
      <c r="C375" s="58" t="s">
        <v>253</v>
      </c>
      <c r="D375" s="59">
        <v>3</v>
      </c>
      <c r="E375" s="60">
        <v>1.5924412123800001E-4</v>
      </c>
    </row>
    <row r="376" spans="2:5" ht="14.5" customHeight="1">
      <c r="B376" s="86"/>
      <c r="C376" s="58" t="s">
        <v>254</v>
      </c>
      <c r="D376" s="59">
        <v>11</v>
      </c>
      <c r="E376" s="60">
        <v>5.8389511120500003E-4</v>
      </c>
    </row>
    <row r="377" spans="2:5" ht="14.5" customHeight="1">
      <c r="B377" s="86"/>
      <c r="C377" s="58" t="s">
        <v>256</v>
      </c>
      <c r="D377" s="59">
        <v>1</v>
      </c>
      <c r="E377" s="60">
        <v>5.3081373745999998E-5</v>
      </c>
    </row>
    <row r="378" spans="2:5" ht="14.5" customHeight="1">
      <c r="B378" s="87"/>
      <c r="C378" s="35" t="s">
        <v>28</v>
      </c>
      <c r="D378" s="34">
        <v>529</v>
      </c>
      <c r="E378" s="33">
        <v>2.8080046711608998E-2</v>
      </c>
    </row>
    <row r="379" spans="2:5" ht="14.5" customHeight="1">
      <c r="B379" s="85" t="s">
        <v>99</v>
      </c>
      <c r="C379" s="58" t="s">
        <v>234</v>
      </c>
      <c r="D379" s="59">
        <v>38</v>
      </c>
      <c r="E379" s="60">
        <v>2.017092202346E-3</v>
      </c>
    </row>
    <row r="380" spans="2:5" ht="14.5" customHeight="1">
      <c r="B380" s="86"/>
      <c r="C380" s="58" t="s">
        <v>235</v>
      </c>
      <c r="D380" s="59">
        <v>7</v>
      </c>
      <c r="E380" s="60">
        <v>3.71569616222E-4</v>
      </c>
    </row>
    <row r="381" spans="2:5" ht="14.5" customHeight="1">
      <c r="B381" s="86"/>
      <c r="C381" s="58" t="s">
        <v>236</v>
      </c>
      <c r="D381" s="59">
        <v>21</v>
      </c>
      <c r="E381" s="60">
        <v>1.1147088486650001E-3</v>
      </c>
    </row>
    <row r="382" spans="2:5" ht="14.5" customHeight="1">
      <c r="B382" s="86"/>
      <c r="C382" s="58" t="s">
        <v>237</v>
      </c>
      <c r="D382" s="59">
        <v>40</v>
      </c>
      <c r="E382" s="60">
        <v>2.1232549498380001E-3</v>
      </c>
    </row>
    <row r="383" spans="2:5" ht="14.5" customHeight="1">
      <c r="B383" s="86"/>
      <c r="C383" s="58" t="s">
        <v>238</v>
      </c>
      <c r="D383" s="59">
        <v>24</v>
      </c>
      <c r="E383" s="60">
        <v>1.273952969903E-3</v>
      </c>
    </row>
    <row r="384" spans="2:5" ht="14.5" customHeight="1">
      <c r="B384" s="86"/>
      <c r="C384" s="58" t="s">
        <v>239</v>
      </c>
      <c r="D384" s="59">
        <v>27</v>
      </c>
      <c r="E384" s="60">
        <v>1.4331970911409999E-3</v>
      </c>
    </row>
    <row r="385" spans="2:5" ht="14.5" customHeight="1">
      <c r="B385" s="86"/>
      <c r="C385" s="58" t="s">
        <v>240</v>
      </c>
      <c r="D385" s="59">
        <v>187</v>
      </c>
      <c r="E385" s="60">
        <v>9.9262168904930004E-3</v>
      </c>
    </row>
    <row r="386" spans="2:5" ht="14.5" customHeight="1">
      <c r="B386" s="86"/>
      <c r="C386" s="58" t="s">
        <v>241</v>
      </c>
      <c r="D386" s="59">
        <v>328</v>
      </c>
      <c r="E386" s="60">
        <v>1.7410690588672E-2</v>
      </c>
    </row>
    <row r="387" spans="2:5" ht="14.5" customHeight="1">
      <c r="B387" s="86"/>
      <c r="C387" s="58" t="s">
        <v>242</v>
      </c>
      <c r="D387" s="59">
        <v>18</v>
      </c>
      <c r="E387" s="60">
        <v>9.5546472742699998E-4</v>
      </c>
    </row>
    <row r="388" spans="2:5" ht="14.5" customHeight="1">
      <c r="B388" s="86"/>
      <c r="C388" s="58" t="s">
        <v>243</v>
      </c>
      <c r="D388" s="59">
        <v>27</v>
      </c>
      <c r="E388" s="60">
        <v>1.4331970911409999E-3</v>
      </c>
    </row>
    <row r="389" spans="2:5" ht="14.5" customHeight="1">
      <c r="B389" s="86"/>
      <c r="C389" s="58" t="s">
        <v>244</v>
      </c>
      <c r="D389" s="59">
        <v>38</v>
      </c>
      <c r="E389" s="60">
        <v>2.017092202346E-3</v>
      </c>
    </row>
    <row r="390" spans="2:5" ht="14.5" customHeight="1">
      <c r="B390" s="86"/>
      <c r="C390" s="58" t="s">
        <v>245</v>
      </c>
      <c r="D390" s="59">
        <v>445</v>
      </c>
      <c r="E390" s="60">
        <v>2.3621211316949001E-2</v>
      </c>
    </row>
    <row r="391" spans="2:5" ht="14.5" customHeight="1">
      <c r="B391" s="86"/>
      <c r="C391" s="58" t="s">
        <v>246</v>
      </c>
      <c r="D391" s="59">
        <v>27</v>
      </c>
      <c r="E391" s="60">
        <v>1.4331970911409999E-3</v>
      </c>
    </row>
    <row r="392" spans="2:5" ht="14.5" customHeight="1">
      <c r="B392" s="86"/>
      <c r="C392" s="58" t="s">
        <v>247</v>
      </c>
      <c r="D392" s="59">
        <v>59</v>
      </c>
      <c r="E392" s="60">
        <v>3.1318010510110001E-3</v>
      </c>
    </row>
    <row r="393" spans="2:5" ht="14.5" customHeight="1">
      <c r="B393" s="86"/>
      <c r="C393" s="58" t="s">
        <v>248</v>
      </c>
      <c r="D393" s="59">
        <v>296</v>
      </c>
      <c r="E393" s="60">
        <v>1.5712086628802E-2</v>
      </c>
    </row>
    <row r="394" spans="2:5" ht="14.5" customHeight="1">
      <c r="B394" s="86"/>
      <c r="C394" s="58" t="s">
        <v>249</v>
      </c>
      <c r="D394" s="59">
        <v>5</v>
      </c>
      <c r="E394" s="60">
        <v>2.6540686872999998E-4</v>
      </c>
    </row>
    <row r="395" spans="2:5" ht="14.5" customHeight="1">
      <c r="B395" s="86"/>
      <c r="C395" s="58" t="s">
        <v>250</v>
      </c>
      <c r="D395" s="59">
        <v>7</v>
      </c>
      <c r="E395" s="60">
        <v>3.71569616222E-4</v>
      </c>
    </row>
    <row r="396" spans="2:5" ht="14.5" customHeight="1">
      <c r="B396" s="86"/>
      <c r="C396" s="58" t="s">
        <v>251</v>
      </c>
      <c r="D396" s="59">
        <v>3</v>
      </c>
      <c r="E396" s="60">
        <v>1.5924412123800001E-4</v>
      </c>
    </row>
    <row r="397" spans="2:5" ht="14.5" customHeight="1">
      <c r="B397" s="86"/>
      <c r="C397" s="58" t="s">
        <v>252</v>
      </c>
      <c r="D397" s="59">
        <v>1</v>
      </c>
      <c r="E397" s="60">
        <v>5.3081373745999998E-5</v>
      </c>
    </row>
    <row r="398" spans="2:5" ht="14.5" customHeight="1">
      <c r="B398" s="86"/>
      <c r="C398" s="58" t="s">
        <v>253</v>
      </c>
      <c r="D398" s="59">
        <v>16</v>
      </c>
      <c r="E398" s="60">
        <v>8.4930197993500001E-4</v>
      </c>
    </row>
    <row r="399" spans="2:5" ht="14.5" customHeight="1">
      <c r="B399" s="86"/>
      <c r="C399" s="58" t="s">
        <v>254</v>
      </c>
      <c r="D399" s="59">
        <v>51</v>
      </c>
      <c r="E399" s="60">
        <v>2.7071500610439999E-3</v>
      </c>
    </row>
    <row r="400" spans="2:5" ht="14.5" customHeight="1">
      <c r="B400" s="87"/>
      <c r="C400" s="35" t="s">
        <v>28</v>
      </c>
      <c r="D400" s="34">
        <v>1665</v>
      </c>
      <c r="E400" s="33">
        <v>8.8380487287011006E-2</v>
      </c>
    </row>
    <row r="401" spans="2:5" ht="14.5" customHeight="1">
      <c r="B401" s="85" t="s">
        <v>125</v>
      </c>
      <c r="C401" s="58" t="s">
        <v>234</v>
      </c>
      <c r="D401" s="59">
        <v>1</v>
      </c>
      <c r="E401" s="60">
        <v>5.3081373745999998E-5</v>
      </c>
    </row>
    <row r="402" spans="2:5" ht="14.5" customHeight="1">
      <c r="B402" s="86"/>
      <c r="C402" s="58" t="s">
        <v>237</v>
      </c>
      <c r="D402" s="59">
        <v>4</v>
      </c>
      <c r="E402" s="60">
        <v>2.1232549498399999E-4</v>
      </c>
    </row>
    <row r="403" spans="2:5" ht="14.5" customHeight="1">
      <c r="B403" s="86"/>
      <c r="C403" s="58" t="s">
        <v>238</v>
      </c>
      <c r="D403" s="59">
        <v>3</v>
      </c>
      <c r="E403" s="60">
        <v>1.5924412123800001E-4</v>
      </c>
    </row>
    <row r="404" spans="2:5" ht="14.5" customHeight="1">
      <c r="B404" s="86"/>
      <c r="C404" s="58" t="s">
        <v>239</v>
      </c>
      <c r="D404" s="59">
        <v>4</v>
      </c>
      <c r="E404" s="60">
        <v>2.1232549498399999E-4</v>
      </c>
    </row>
    <row r="405" spans="2:5" ht="14.5" customHeight="1">
      <c r="B405" s="86"/>
      <c r="C405" s="58" t="s">
        <v>240</v>
      </c>
      <c r="D405" s="59">
        <v>14</v>
      </c>
      <c r="E405" s="60">
        <v>7.4313923244300004E-4</v>
      </c>
    </row>
    <row r="406" spans="2:5" ht="14.5" customHeight="1">
      <c r="B406" s="86"/>
      <c r="C406" s="58" t="s">
        <v>241</v>
      </c>
      <c r="D406" s="59">
        <v>11</v>
      </c>
      <c r="E406" s="60">
        <v>5.8389511120500003E-4</v>
      </c>
    </row>
    <row r="407" spans="2:5" ht="14.5" customHeight="1">
      <c r="B407" s="86"/>
      <c r="C407" s="58" t="s">
        <v>242</v>
      </c>
      <c r="D407" s="59">
        <v>2</v>
      </c>
      <c r="E407" s="60">
        <v>1.06162747492E-4</v>
      </c>
    </row>
    <row r="408" spans="2:5" ht="14.5" customHeight="1">
      <c r="B408" s="86"/>
      <c r="C408" s="58" t="s">
        <v>243</v>
      </c>
      <c r="D408" s="59">
        <v>5</v>
      </c>
      <c r="E408" s="60">
        <v>2.6540686872999998E-4</v>
      </c>
    </row>
    <row r="409" spans="2:5" ht="14.5" customHeight="1">
      <c r="B409" s="86"/>
      <c r="C409" s="58" t="s">
        <v>244</v>
      </c>
      <c r="D409" s="59">
        <v>5</v>
      </c>
      <c r="E409" s="60">
        <v>2.6540686872999998E-4</v>
      </c>
    </row>
    <row r="410" spans="2:5" ht="14.5" customHeight="1">
      <c r="B410" s="86"/>
      <c r="C410" s="58" t="s">
        <v>245</v>
      </c>
      <c r="D410" s="59">
        <v>25</v>
      </c>
      <c r="E410" s="60">
        <v>1.327034343649E-3</v>
      </c>
    </row>
    <row r="411" spans="2:5" ht="14.5" customHeight="1">
      <c r="B411" s="86"/>
      <c r="C411" s="58" t="s">
        <v>246</v>
      </c>
      <c r="D411" s="59">
        <v>2</v>
      </c>
      <c r="E411" s="60">
        <v>1.06162747492E-4</v>
      </c>
    </row>
    <row r="412" spans="2:5" ht="14.5" customHeight="1">
      <c r="B412" s="86"/>
      <c r="C412" s="58" t="s">
        <v>247</v>
      </c>
      <c r="D412" s="59">
        <v>7</v>
      </c>
      <c r="E412" s="60">
        <v>3.71569616222E-4</v>
      </c>
    </row>
    <row r="413" spans="2:5" ht="14.5" customHeight="1">
      <c r="B413" s="86"/>
      <c r="C413" s="58" t="s">
        <v>248</v>
      </c>
      <c r="D413" s="59">
        <v>16</v>
      </c>
      <c r="E413" s="60">
        <v>8.4930197993500001E-4</v>
      </c>
    </row>
    <row r="414" spans="2:5" ht="14.5" customHeight="1">
      <c r="B414" s="86"/>
      <c r="C414" s="58" t="s">
        <v>249</v>
      </c>
      <c r="D414" s="59">
        <v>1</v>
      </c>
      <c r="E414" s="60">
        <v>5.3081373745999998E-5</v>
      </c>
    </row>
    <row r="415" spans="2:5" ht="14.5" customHeight="1">
      <c r="B415" s="86"/>
      <c r="C415" s="58" t="s">
        <v>252</v>
      </c>
      <c r="D415" s="59">
        <v>1</v>
      </c>
      <c r="E415" s="60">
        <v>5.3081373745999998E-5</v>
      </c>
    </row>
    <row r="416" spans="2:5" ht="14.5" customHeight="1">
      <c r="B416" s="86"/>
      <c r="C416" s="58" t="s">
        <v>254</v>
      </c>
      <c r="D416" s="59">
        <v>4</v>
      </c>
      <c r="E416" s="60">
        <v>2.1232549498399999E-4</v>
      </c>
    </row>
    <row r="417" spans="2:5" ht="14.5" customHeight="1">
      <c r="B417" s="87"/>
      <c r="C417" s="35" t="s">
        <v>28</v>
      </c>
      <c r="D417" s="34">
        <v>105</v>
      </c>
      <c r="E417" s="33">
        <v>5.5735442433249996E-3</v>
      </c>
    </row>
    <row r="418" spans="2:5" ht="14.5" customHeight="1">
      <c r="B418" s="85" t="s">
        <v>131</v>
      </c>
      <c r="C418" s="58" t="s">
        <v>234</v>
      </c>
      <c r="D418" s="59">
        <v>2</v>
      </c>
      <c r="E418" s="60">
        <v>1.06162747492E-4</v>
      </c>
    </row>
    <row r="419" spans="2:5" ht="14.5" customHeight="1">
      <c r="B419" s="86"/>
      <c r="C419" s="58" t="s">
        <v>237</v>
      </c>
      <c r="D419" s="59">
        <v>1</v>
      </c>
      <c r="E419" s="60">
        <v>5.3081373745999998E-5</v>
      </c>
    </row>
    <row r="420" spans="2:5" ht="14.5" customHeight="1">
      <c r="B420" s="86"/>
      <c r="C420" s="58" t="s">
        <v>238</v>
      </c>
      <c r="D420" s="59">
        <v>2</v>
      </c>
      <c r="E420" s="60">
        <v>1.06162747492E-4</v>
      </c>
    </row>
    <row r="421" spans="2:5" ht="14.5" customHeight="1">
      <c r="B421" s="86"/>
      <c r="C421" s="58" t="s">
        <v>239</v>
      </c>
      <c r="D421" s="59">
        <v>1</v>
      </c>
      <c r="E421" s="60">
        <v>5.3081373745999998E-5</v>
      </c>
    </row>
    <row r="422" spans="2:5" ht="14.5" customHeight="1">
      <c r="B422" s="86"/>
      <c r="C422" s="58" t="s">
        <v>240</v>
      </c>
      <c r="D422" s="59">
        <v>8</v>
      </c>
      <c r="E422" s="60">
        <v>4.2465098996799999E-4</v>
      </c>
    </row>
    <row r="423" spans="2:5" ht="14.5" customHeight="1">
      <c r="B423" s="86"/>
      <c r="C423" s="58" t="s">
        <v>241</v>
      </c>
      <c r="D423" s="59">
        <v>15</v>
      </c>
      <c r="E423" s="60">
        <v>7.9622060618899997E-4</v>
      </c>
    </row>
    <row r="424" spans="2:5" ht="14.5" customHeight="1">
      <c r="B424" s="86"/>
      <c r="C424" s="58" t="s">
        <v>242</v>
      </c>
      <c r="D424" s="59">
        <v>1</v>
      </c>
      <c r="E424" s="60">
        <v>5.3081373745999998E-5</v>
      </c>
    </row>
    <row r="425" spans="2:5" ht="14.5" customHeight="1">
      <c r="B425" s="86"/>
      <c r="C425" s="58" t="s">
        <v>243</v>
      </c>
      <c r="D425" s="59">
        <v>2</v>
      </c>
      <c r="E425" s="60">
        <v>1.06162747492E-4</v>
      </c>
    </row>
    <row r="426" spans="2:5" ht="14.5" customHeight="1">
      <c r="B426" s="86"/>
      <c r="C426" s="58" t="s">
        <v>244</v>
      </c>
      <c r="D426" s="59">
        <v>5</v>
      </c>
      <c r="E426" s="60">
        <v>2.6540686872999998E-4</v>
      </c>
    </row>
    <row r="427" spans="2:5" ht="14.5" customHeight="1">
      <c r="B427" s="86"/>
      <c r="C427" s="58" t="s">
        <v>245</v>
      </c>
      <c r="D427" s="59">
        <v>23</v>
      </c>
      <c r="E427" s="60">
        <v>1.220871596157E-3</v>
      </c>
    </row>
    <row r="428" spans="2:5" ht="14.5" customHeight="1">
      <c r="B428" s="86"/>
      <c r="C428" s="58" t="s">
        <v>246</v>
      </c>
      <c r="D428" s="59">
        <v>2</v>
      </c>
      <c r="E428" s="60">
        <v>1.06162747492E-4</v>
      </c>
    </row>
    <row r="429" spans="2:5" ht="14.5" customHeight="1">
      <c r="B429" s="86"/>
      <c r="C429" s="58" t="s">
        <v>247</v>
      </c>
      <c r="D429" s="59">
        <v>4</v>
      </c>
      <c r="E429" s="60">
        <v>2.1232549498399999E-4</v>
      </c>
    </row>
    <row r="430" spans="2:5" ht="14.5" customHeight="1">
      <c r="B430" s="86"/>
      <c r="C430" s="58" t="s">
        <v>248</v>
      </c>
      <c r="D430" s="59">
        <v>6</v>
      </c>
      <c r="E430" s="60">
        <v>3.1848824247600002E-4</v>
      </c>
    </row>
    <row r="431" spans="2:5" ht="14.5" customHeight="1">
      <c r="B431" s="87"/>
      <c r="C431" s="35" t="s">
        <v>28</v>
      </c>
      <c r="D431" s="34">
        <v>72</v>
      </c>
      <c r="E431" s="33">
        <v>3.821858909709E-3</v>
      </c>
    </row>
    <row r="432" spans="2:5" ht="14.5" customHeight="1">
      <c r="B432" s="85" t="s">
        <v>121</v>
      </c>
      <c r="C432" s="58" t="s">
        <v>234</v>
      </c>
      <c r="D432" s="59">
        <v>1</v>
      </c>
      <c r="E432" s="60">
        <v>5.3081373745999998E-5</v>
      </c>
    </row>
    <row r="433" spans="2:5" ht="14.5" customHeight="1">
      <c r="B433" s="86"/>
      <c r="C433" s="58" t="s">
        <v>237</v>
      </c>
      <c r="D433" s="59">
        <v>3</v>
      </c>
      <c r="E433" s="60">
        <v>1.5924412123800001E-4</v>
      </c>
    </row>
    <row r="434" spans="2:5" ht="14.5" customHeight="1">
      <c r="B434" s="86"/>
      <c r="C434" s="58" t="s">
        <v>239</v>
      </c>
      <c r="D434" s="59">
        <v>3</v>
      </c>
      <c r="E434" s="60">
        <v>1.5924412123800001E-4</v>
      </c>
    </row>
    <row r="435" spans="2:5" ht="14.5" customHeight="1">
      <c r="B435" s="86"/>
      <c r="C435" s="58" t="s">
        <v>240</v>
      </c>
      <c r="D435" s="59">
        <v>9</v>
      </c>
      <c r="E435" s="60">
        <v>4.7773236371400003E-4</v>
      </c>
    </row>
    <row r="436" spans="2:5" ht="14.5" customHeight="1">
      <c r="B436" s="86"/>
      <c r="C436" s="58" t="s">
        <v>241</v>
      </c>
      <c r="D436" s="59">
        <v>33</v>
      </c>
      <c r="E436" s="60">
        <v>1.7516853336160001E-3</v>
      </c>
    </row>
    <row r="437" spans="2:5" ht="14.5" customHeight="1">
      <c r="B437" s="86"/>
      <c r="C437" s="58" t="s">
        <v>243</v>
      </c>
      <c r="D437" s="59">
        <v>1</v>
      </c>
      <c r="E437" s="60">
        <v>5.3081373745999998E-5</v>
      </c>
    </row>
    <row r="438" spans="2:5" ht="14.5" customHeight="1">
      <c r="B438" s="86"/>
      <c r="C438" s="58" t="s">
        <v>244</v>
      </c>
      <c r="D438" s="59">
        <v>9</v>
      </c>
      <c r="E438" s="60">
        <v>4.7773236371400003E-4</v>
      </c>
    </row>
    <row r="439" spans="2:5" ht="14.5" customHeight="1">
      <c r="B439" s="86"/>
      <c r="C439" s="58" t="s">
        <v>245</v>
      </c>
      <c r="D439" s="59">
        <v>49</v>
      </c>
      <c r="E439" s="60">
        <v>2.6009873135519998E-3</v>
      </c>
    </row>
    <row r="440" spans="2:5" ht="14.5" customHeight="1">
      <c r="B440" s="86"/>
      <c r="C440" s="58" t="s">
        <v>246</v>
      </c>
      <c r="D440" s="59">
        <v>6</v>
      </c>
      <c r="E440" s="60">
        <v>3.1848824247600002E-4</v>
      </c>
    </row>
    <row r="441" spans="2:5" ht="14.5" customHeight="1">
      <c r="B441" s="86"/>
      <c r="C441" s="58" t="s">
        <v>247</v>
      </c>
      <c r="D441" s="59">
        <v>5</v>
      </c>
      <c r="E441" s="60">
        <v>2.6540686872999998E-4</v>
      </c>
    </row>
    <row r="442" spans="2:5" ht="14.5" customHeight="1">
      <c r="B442" s="86"/>
      <c r="C442" s="58" t="s">
        <v>248</v>
      </c>
      <c r="D442" s="59">
        <v>22</v>
      </c>
      <c r="E442" s="60">
        <v>1.1677902224109999E-3</v>
      </c>
    </row>
    <row r="443" spans="2:5" ht="14.5" customHeight="1">
      <c r="B443" s="86"/>
      <c r="C443" s="58" t="s">
        <v>250</v>
      </c>
      <c r="D443" s="59">
        <v>1</v>
      </c>
      <c r="E443" s="60">
        <v>5.3081373745999998E-5</v>
      </c>
    </row>
    <row r="444" spans="2:5" ht="14.5" customHeight="1">
      <c r="B444" s="86"/>
      <c r="C444" s="58" t="s">
        <v>253</v>
      </c>
      <c r="D444" s="59">
        <v>1</v>
      </c>
      <c r="E444" s="60">
        <v>5.3081373745999998E-5</v>
      </c>
    </row>
    <row r="445" spans="2:5" ht="14.5" customHeight="1">
      <c r="B445" s="86"/>
      <c r="C445" s="58" t="s">
        <v>254</v>
      </c>
      <c r="D445" s="59">
        <v>6</v>
      </c>
      <c r="E445" s="60">
        <v>3.1848824247600002E-4</v>
      </c>
    </row>
    <row r="446" spans="2:5" ht="14.5" customHeight="1">
      <c r="B446" s="87"/>
      <c r="C446" s="35" t="s">
        <v>28</v>
      </c>
      <c r="D446" s="34">
        <v>149</v>
      </c>
      <c r="E446" s="33">
        <v>7.9091246881469995E-3</v>
      </c>
    </row>
    <row r="447" spans="2:5" ht="14.5" customHeight="1">
      <c r="B447" s="85" t="s">
        <v>145</v>
      </c>
      <c r="C447" s="58" t="s">
        <v>248</v>
      </c>
      <c r="D447" s="59">
        <v>1</v>
      </c>
      <c r="E447" s="60">
        <v>5.3081373745999998E-5</v>
      </c>
    </row>
    <row r="448" spans="2:5" ht="14.5" customHeight="1">
      <c r="B448" s="87"/>
      <c r="C448" s="35" t="s">
        <v>28</v>
      </c>
      <c r="D448" s="34">
        <v>1</v>
      </c>
      <c r="E448" s="33">
        <v>5.3081373745999998E-5</v>
      </c>
    </row>
    <row r="449" spans="2:5" ht="14.5" customHeight="1">
      <c r="B449" s="85" t="s">
        <v>146</v>
      </c>
      <c r="C449" s="58" t="s">
        <v>248</v>
      </c>
      <c r="D449" s="59">
        <v>1</v>
      </c>
      <c r="E449" s="60">
        <v>5.3081373745999998E-5</v>
      </c>
    </row>
    <row r="450" spans="2:5" ht="14.5" customHeight="1">
      <c r="B450" s="87"/>
      <c r="C450" s="35" t="s">
        <v>28</v>
      </c>
      <c r="D450" s="34">
        <v>1</v>
      </c>
      <c r="E450" s="33">
        <v>5.3081373745999998E-5</v>
      </c>
    </row>
    <row r="451" spans="2:5" ht="14.5" customHeight="1">
      <c r="B451" s="85" t="s">
        <v>132</v>
      </c>
      <c r="C451" s="58" t="s">
        <v>234</v>
      </c>
      <c r="D451" s="59">
        <v>1</v>
      </c>
      <c r="E451" s="60">
        <v>5.3081373745999998E-5</v>
      </c>
    </row>
    <row r="452" spans="2:5" ht="14.5" customHeight="1">
      <c r="B452" s="86"/>
      <c r="C452" s="58" t="s">
        <v>239</v>
      </c>
      <c r="D452" s="59">
        <v>1</v>
      </c>
      <c r="E452" s="60">
        <v>5.3081373745999998E-5</v>
      </c>
    </row>
    <row r="453" spans="2:5" ht="14.5" customHeight="1">
      <c r="B453" s="86"/>
      <c r="C453" s="58" t="s">
        <v>240</v>
      </c>
      <c r="D453" s="59">
        <v>2</v>
      </c>
      <c r="E453" s="60">
        <v>1.06162747492E-4</v>
      </c>
    </row>
    <row r="454" spans="2:5" ht="14.5" customHeight="1">
      <c r="B454" s="86"/>
      <c r="C454" s="58" t="s">
        <v>241</v>
      </c>
      <c r="D454" s="59">
        <v>9</v>
      </c>
      <c r="E454" s="60">
        <v>4.7773236371400003E-4</v>
      </c>
    </row>
    <row r="455" spans="2:5" ht="14.5" customHeight="1">
      <c r="B455" s="86"/>
      <c r="C455" s="58" t="s">
        <v>243</v>
      </c>
      <c r="D455" s="59">
        <v>2</v>
      </c>
      <c r="E455" s="60">
        <v>1.06162747492E-4</v>
      </c>
    </row>
    <row r="456" spans="2:5" ht="14.5" customHeight="1">
      <c r="B456" s="86"/>
      <c r="C456" s="58" t="s">
        <v>244</v>
      </c>
      <c r="D456" s="59">
        <v>1</v>
      </c>
      <c r="E456" s="60">
        <v>5.3081373745999998E-5</v>
      </c>
    </row>
    <row r="457" spans="2:5" ht="14.5" customHeight="1">
      <c r="B457" s="86"/>
      <c r="C457" s="58" t="s">
        <v>245</v>
      </c>
      <c r="D457" s="59">
        <v>14</v>
      </c>
      <c r="E457" s="60">
        <v>7.4313923244300004E-4</v>
      </c>
    </row>
    <row r="458" spans="2:5" ht="14.5" customHeight="1">
      <c r="B458" s="86"/>
      <c r="C458" s="58" t="s">
        <v>247</v>
      </c>
      <c r="D458" s="59">
        <v>8</v>
      </c>
      <c r="E458" s="60">
        <v>4.2465098996799999E-4</v>
      </c>
    </row>
    <row r="459" spans="2:5" ht="14.5" customHeight="1">
      <c r="B459" s="86"/>
      <c r="C459" s="58" t="s">
        <v>248</v>
      </c>
      <c r="D459" s="59">
        <v>16</v>
      </c>
      <c r="E459" s="60">
        <v>8.4930197993500001E-4</v>
      </c>
    </row>
    <row r="460" spans="2:5" ht="14.5" customHeight="1">
      <c r="B460" s="86"/>
      <c r="C460" s="58" t="s">
        <v>249</v>
      </c>
      <c r="D460" s="59">
        <v>2</v>
      </c>
      <c r="E460" s="60">
        <v>1.06162747492E-4</v>
      </c>
    </row>
    <row r="461" spans="2:5" ht="14.5" customHeight="1">
      <c r="B461" s="86"/>
      <c r="C461" s="58" t="s">
        <v>253</v>
      </c>
      <c r="D461" s="59">
        <v>1</v>
      </c>
      <c r="E461" s="60">
        <v>5.3081373745999998E-5</v>
      </c>
    </row>
    <row r="462" spans="2:5" ht="14.5" customHeight="1">
      <c r="B462" s="86"/>
      <c r="C462" s="58" t="s">
        <v>254</v>
      </c>
      <c r="D462" s="59">
        <v>2</v>
      </c>
      <c r="E462" s="60">
        <v>1.06162747492E-4</v>
      </c>
    </row>
    <row r="463" spans="2:5" ht="14.5" customHeight="1">
      <c r="B463" s="87"/>
      <c r="C463" s="35" t="s">
        <v>28</v>
      </c>
      <c r="D463" s="34">
        <v>59</v>
      </c>
      <c r="E463" s="33">
        <v>3.1318010510110001E-3</v>
      </c>
    </row>
    <row r="464" spans="2:5" ht="14.5" customHeight="1">
      <c r="B464" s="85" t="s">
        <v>138</v>
      </c>
      <c r="C464" s="58" t="s">
        <v>238</v>
      </c>
      <c r="D464" s="59">
        <v>1</v>
      </c>
      <c r="E464" s="60">
        <v>5.3081373745999998E-5</v>
      </c>
    </row>
    <row r="465" spans="2:5" ht="14.5" customHeight="1">
      <c r="B465" s="86"/>
      <c r="C465" s="58" t="s">
        <v>239</v>
      </c>
      <c r="D465" s="59">
        <v>1</v>
      </c>
      <c r="E465" s="60">
        <v>5.3081373745999998E-5</v>
      </c>
    </row>
    <row r="466" spans="2:5" ht="14.5" customHeight="1">
      <c r="B466" s="86"/>
      <c r="C466" s="58" t="s">
        <v>240</v>
      </c>
      <c r="D466" s="59">
        <v>2</v>
      </c>
      <c r="E466" s="60">
        <v>1.06162747492E-4</v>
      </c>
    </row>
    <row r="467" spans="2:5" ht="14.5" customHeight="1">
      <c r="B467" s="86"/>
      <c r="C467" s="58" t="s">
        <v>244</v>
      </c>
      <c r="D467" s="59">
        <v>1</v>
      </c>
      <c r="E467" s="60">
        <v>5.3081373745999998E-5</v>
      </c>
    </row>
    <row r="468" spans="2:5" ht="14.5" customHeight="1">
      <c r="B468" s="86"/>
      <c r="C468" s="58" t="s">
        <v>245</v>
      </c>
      <c r="D468" s="59">
        <v>13</v>
      </c>
      <c r="E468" s="60">
        <v>6.90057858697E-4</v>
      </c>
    </row>
    <row r="469" spans="2:5" ht="14.5" customHeight="1">
      <c r="B469" s="86"/>
      <c r="C469" s="58" t="s">
        <v>247</v>
      </c>
      <c r="D469" s="59">
        <v>1</v>
      </c>
      <c r="E469" s="60">
        <v>5.3081373745999998E-5</v>
      </c>
    </row>
    <row r="470" spans="2:5" ht="14.5" customHeight="1">
      <c r="B470" s="86"/>
      <c r="C470" s="58" t="s">
        <v>248</v>
      </c>
      <c r="D470" s="59">
        <v>1</v>
      </c>
      <c r="E470" s="60">
        <v>5.3081373745999998E-5</v>
      </c>
    </row>
    <row r="471" spans="2:5" ht="14.5" customHeight="1">
      <c r="B471" s="86"/>
      <c r="C471" s="58" t="s">
        <v>254</v>
      </c>
      <c r="D471" s="59">
        <v>1</v>
      </c>
      <c r="E471" s="60">
        <v>5.3081373745999998E-5</v>
      </c>
    </row>
    <row r="472" spans="2:5" ht="14.5" customHeight="1">
      <c r="B472" s="87"/>
      <c r="C472" s="35" t="s">
        <v>28</v>
      </c>
      <c r="D472" s="34">
        <v>21</v>
      </c>
      <c r="E472" s="33">
        <v>1.1147088486650001E-3</v>
      </c>
    </row>
    <row r="473" spans="2:5" ht="14.5" customHeight="1">
      <c r="B473" s="85" t="s">
        <v>102</v>
      </c>
      <c r="C473" s="58" t="s">
        <v>234</v>
      </c>
      <c r="D473" s="59">
        <v>6</v>
      </c>
      <c r="E473" s="60">
        <v>3.1848824247600002E-4</v>
      </c>
    </row>
    <row r="474" spans="2:5" ht="14.5" customHeight="1">
      <c r="B474" s="86"/>
      <c r="C474" s="58" t="s">
        <v>235</v>
      </c>
      <c r="D474" s="59">
        <v>2</v>
      </c>
      <c r="E474" s="60">
        <v>1.06162747492E-4</v>
      </c>
    </row>
    <row r="475" spans="2:5" ht="14.5" customHeight="1">
      <c r="B475" s="86"/>
      <c r="C475" s="58" t="s">
        <v>236</v>
      </c>
      <c r="D475" s="59">
        <v>4</v>
      </c>
      <c r="E475" s="60">
        <v>2.1232549498399999E-4</v>
      </c>
    </row>
    <row r="476" spans="2:5" ht="14.5" customHeight="1">
      <c r="B476" s="86"/>
      <c r="C476" s="58" t="s">
        <v>237</v>
      </c>
      <c r="D476" s="59">
        <v>14</v>
      </c>
      <c r="E476" s="60">
        <v>7.4313923244300004E-4</v>
      </c>
    </row>
    <row r="477" spans="2:5" ht="14.5" customHeight="1">
      <c r="B477" s="86"/>
      <c r="C477" s="58" t="s">
        <v>238</v>
      </c>
      <c r="D477" s="59">
        <v>9</v>
      </c>
      <c r="E477" s="60">
        <v>4.7773236371400003E-4</v>
      </c>
    </row>
    <row r="478" spans="2:5" ht="14.5" customHeight="1">
      <c r="B478" s="86"/>
      <c r="C478" s="58" t="s">
        <v>239</v>
      </c>
      <c r="D478" s="59">
        <v>15</v>
      </c>
      <c r="E478" s="60">
        <v>7.9622060618899997E-4</v>
      </c>
    </row>
    <row r="479" spans="2:5" ht="14.5" customHeight="1">
      <c r="B479" s="86"/>
      <c r="C479" s="58" t="s">
        <v>240</v>
      </c>
      <c r="D479" s="59">
        <v>83</v>
      </c>
      <c r="E479" s="60">
        <v>4.4057540209140001E-3</v>
      </c>
    </row>
    <row r="480" spans="2:5" ht="14.5" customHeight="1">
      <c r="B480" s="86"/>
      <c r="C480" s="58" t="s">
        <v>241</v>
      </c>
      <c r="D480" s="59">
        <v>113</v>
      </c>
      <c r="E480" s="60">
        <v>5.9981952332929999E-3</v>
      </c>
    </row>
    <row r="481" spans="2:5" ht="14.5" customHeight="1">
      <c r="B481" s="86"/>
      <c r="C481" s="58" t="s">
        <v>242</v>
      </c>
      <c r="D481" s="59">
        <v>11</v>
      </c>
      <c r="E481" s="60">
        <v>5.8389511120500003E-4</v>
      </c>
    </row>
    <row r="482" spans="2:5" ht="14.5" customHeight="1">
      <c r="B482" s="86"/>
      <c r="C482" s="58" t="s">
        <v>243</v>
      </c>
      <c r="D482" s="59">
        <v>18</v>
      </c>
      <c r="E482" s="60">
        <v>9.5546472742699998E-4</v>
      </c>
    </row>
    <row r="483" spans="2:5" ht="14.5" customHeight="1">
      <c r="B483" s="86"/>
      <c r="C483" s="58" t="s">
        <v>244</v>
      </c>
      <c r="D483" s="59">
        <v>29</v>
      </c>
      <c r="E483" s="60">
        <v>1.539359838633E-3</v>
      </c>
    </row>
    <row r="484" spans="2:5" ht="14.5" customHeight="1">
      <c r="B484" s="86"/>
      <c r="C484" s="58" t="s">
        <v>245</v>
      </c>
      <c r="D484" s="59">
        <v>277</v>
      </c>
      <c r="E484" s="60">
        <v>1.4703540527629001E-2</v>
      </c>
    </row>
    <row r="485" spans="2:5" ht="14.5" customHeight="1">
      <c r="B485" s="86"/>
      <c r="C485" s="58" t="s">
        <v>246</v>
      </c>
      <c r="D485" s="59">
        <v>7</v>
      </c>
      <c r="E485" s="60">
        <v>3.71569616222E-4</v>
      </c>
    </row>
    <row r="486" spans="2:5" ht="14.5" customHeight="1">
      <c r="B486" s="86"/>
      <c r="C486" s="58" t="s">
        <v>247</v>
      </c>
      <c r="D486" s="59">
        <v>50</v>
      </c>
      <c r="E486" s="60">
        <v>2.6540686872980001E-3</v>
      </c>
    </row>
    <row r="487" spans="2:5" ht="14.5" customHeight="1">
      <c r="B487" s="86"/>
      <c r="C487" s="58" t="s">
        <v>248</v>
      </c>
      <c r="D487" s="59">
        <v>121</v>
      </c>
      <c r="E487" s="60">
        <v>6.4228462232600002E-3</v>
      </c>
    </row>
    <row r="488" spans="2:5" ht="14.5" customHeight="1">
      <c r="B488" s="86"/>
      <c r="C488" s="58" t="s">
        <v>249</v>
      </c>
      <c r="D488" s="59">
        <v>5</v>
      </c>
      <c r="E488" s="60">
        <v>2.6540686872999998E-4</v>
      </c>
    </row>
    <row r="489" spans="2:5" ht="14.5" customHeight="1">
      <c r="B489" s="86"/>
      <c r="C489" s="58" t="s">
        <v>250</v>
      </c>
      <c r="D489" s="59">
        <v>3</v>
      </c>
      <c r="E489" s="60">
        <v>1.5924412123800001E-4</v>
      </c>
    </row>
    <row r="490" spans="2:5" ht="14.5" customHeight="1">
      <c r="B490" s="86"/>
      <c r="C490" s="58" t="s">
        <v>251</v>
      </c>
      <c r="D490" s="59">
        <v>1</v>
      </c>
      <c r="E490" s="60">
        <v>5.3081373745999998E-5</v>
      </c>
    </row>
    <row r="491" spans="2:5" ht="14.5" customHeight="1">
      <c r="B491" s="86"/>
      <c r="C491" s="58" t="s">
        <v>252</v>
      </c>
      <c r="D491" s="59">
        <v>2</v>
      </c>
      <c r="E491" s="60">
        <v>1.06162747492E-4</v>
      </c>
    </row>
    <row r="492" spans="2:5" ht="14.5" customHeight="1">
      <c r="B492" s="86"/>
      <c r="C492" s="58" t="s">
        <v>253</v>
      </c>
      <c r="D492" s="59">
        <v>7</v>
      </c>
      <c r="E492" s="60">
        <v>3.71569616222E-4</v>
      </c>
    </row>
    <row r="493" spans="2:5" ht="14.5" customHeight="1">
      <c r="B493" s="86"/>
      <c r="C493" s="58" t="s">
        <v>254</v>
      </c>
      <c r="D493" s="59">
        <v>20</v>
      </c>
      <c r="E493" s="60">
        <v>1.0616274749190001E-3</v>
      </c>
    </row>
    <row r="494" spans="2:5" ht="14.5" customHeight="1">
      <c r="B494" s="87"/>
      <c r="C494" s="35" t="s">
        <v>28</v>
      </c>
      <c r="D494" s="34">
        <v>797</v>
      </c>
      <c r="E494" s="33">
        <v>4.2305854875523997E-2</v>
      </c>
    </row>
    <row r="495" spans="2:5" ht="14.5" customHeight="1">
      <c r="B495" s="85" t="s">
        <v>122</v>
      </c>
      <c r="C495" s="58" t="s">
        <v>235</v>
      </c>
      <c r="D495" s="59">
        <v>1</v>
      </c>
      <c r="E495" s="60">
        <v>5.3081373745999998E-5</v>
      </c>
    </row>
    <row r="496" spans="2:5" ht="14.5" customHeight="1">
      <c r="B496" s="86"/>
      <c r="C496" s="58" t="s">
        <v>237</v>
      </c>
      <c r="D496" s="59">
        <v>2</v>
      </c>
      <c r="E496" s="60">
        <v>1.06162747492E-4</v>
      </c>
    </row>
    <row r="497" spans="2:5" ht="14.5" customHeight="1">
      <c r="B497" s="86"/>
      <c r="C497" s="58" t="s">
        <v>239</v>
      </c>
      <c r="D497" s="59">
        <v>4</v>
      </c>
      <c r="E497" s="60">
        <v>2.1232549498399999E-4</v>
      </c>
    </row>
    <row r="498" spans="2:5" ht="14.5" customHeight="1">
      <c r="B498" s="86"/>
      <c r="C498" s="58" t="s">
        <v>240</v>
      </c>
      <c r="D498" s="59">
        <v>7</v>
      </c>
      <c r="E498" s="60">
        <v>3.71569616222E-4</v>
      </c>
    </row>
    <row r="499" spans="2:5" ht="14.5" customHeight="1">
      <c r="B499" s="86"/>
      <c r="C499" s="58" t="s">
        <v>241</v>
      </c>
      <c r="D499" s="59">
        <v>17</v>
      </c>
      <c r="E499" s="60">
        <v>9.0238335368100005E-4</v>
      </c>
    </row>
    <row r="500" spans="2:5" ht="14.5" customHeight="1">
      <c r="B500" s="86"/>
      <c r="C500" s="58" t="s">
        <v>242</v>
      </c>
      <c r="D500" s="59">
        <v>3</v>
      </c>
      <c r="E500" s="60">
        <v>1.5924412123800001E-4</v>
      </c>
    </row>
    <row r="501" spans="2:5" ht="14.5" customHeight="1">
      <c r="B501" s="86"/>
      <c r="C501" s="58" t="s">
        <v>243</v>
      </c>
      <c r="D501" s="59">
        <v>8</v>
      </c>
      <c r="E501" s="60">
        <v>4.2465098996799999E-4</v>
      </c>
    </row>
    <row r="502" spans="2:5" ht="14.5" customHeight="1">
      <c r="B502" s="86"/>
      <c r="C502" s="58" t="s">
        <v>244</v>
      </c>
      <c r="D502" s="59">
        <v>5</v>
      </c>
      <c r="E502" s="60">
        <v>2.6540686872999998E-4</v>
      </c>
    </row>
    <row r="503" spans="2:5" ht="14.5" customHeight="1">
      <c r="B503" s="86"/>
      <c r="C503" s="58" t="s">
        <v>245</v>
      </c>
      <c r="D503" s="59">
        <v>28</v>
      </c>
      <c r="E503" s="60">
        <v>1.4862784648869999E-3</v>
      </c>
    </row>
    <row r="504" spans="2:5" ht="14.5" customHeight="1">
      <c r="B504" s="86"/>
      <c r="C504" s="58" t="s">
        <v>246</v>
      </c>
      <c r="D504" s="59">
        <v>1</v>
      </c>
      <c r="E504" s="60">
        <v>5.3081373745999998E-5</v>
      </c>
    </row>
    <row r="505" spans="2:5" ht="14.5" customHeight="1">
      <c r="B505" s="86"/>
      <c r="C505" s="58" t="s">
        <v>247</v>
      </c>
      <c r="D505" s="59">
        <v>19</v>
      </c>
      <c r="E505" s="60">
        <v>1.008546101173E-3</v>
      </c>
    </row>
    <row r="506" spans="2:5" ht="14.5" customHeight="1">
      <c r="B506" s="86"/>
      <c r="C506" s="58" t="s">
        <v>248</v>
      </c>
      <c r="D506" s="59">
        <v>22</v>
      </c>
      <c r="E506" s="60">
        <v>1.1677902224109999E-3</v>
      </c>
    </row>
    <row r="507" spans="2:5" ht="14.5" customHeight="1">
      <c r="B507" s="86"/>
      <c r="C507" s="58" t="s">
        <v>249</v>
      </c>
      <c r="D507" s="59">
        <v>1</v>
      </c>
      <c r="E507" s="60">
        <v>5.3081373745999998E-5</v>
      </c>
    </row>
    <row r="508" spans="2:5" ht="14.5" customHeight="1">
      <c r="B508" s="86"/>
      <c r="C508" s="58" t="s">
        <v>250</v>
      </c>
      <c r="D508" s="59">
        <v>1</v>
      </c>
      <c r="E508" s="60">
        <v>5.3081373745999998E-5</v>
      </c>
    </row>
    <row r="509" spans="2:5" ht="14.5" customHeight="1">
      <c r="B509" s="86"/>
      <c r="C509" s="58" t="s">
        <v>253</v>
      </c>
      <c r="D509" s="59">
        <v>3</v>
      </c>
      <c r="E509" s="60">
        <v>1.5924412123800001E-4</v>
      </c>
    </row>
    <row r="510" spans="2:5" ht="14.5" customHeight="1">
      <c r="B510" s="86"/>
      <c r="C510" s="58" t="s">
        <v>254</v>
      </c>
      <c r="D510" s="59">
        <v>4</v>
      </c>
      <c r="E510" s="60">
        <v>2.1232549498399999E-4</v>
      </c>
    </row>
    <row r="511" spans="2:5" ht="14.5" customHeight="1">
      <c r="B511" s="87"/>
      <c r="C511" s="35" t="s">
        <v>28</v>
      </c>
      <c r="D511" s="34">
        <v>126</v>
      </c>
      <c r="E511" s="33">
        <v>6.6882530919899997E-3</v>
      </c>
    </row>
    <row r="512" spans="2:5" ht="14.5" customHeight="1">
      <c r="B512" s="85" t="s">
        <v>124</v>
      </c>
      <c r="C512" s="58" t="s">
        <v>234</v>
      </c>
      <c r="D512" s="59">
        <v>1</v>
      </c>
      <c r="E512" s="60">
        <v>5.3081373745999998E-5</v>
      </c>
    </row>
    <row r="513" spans="2:5" ht="14.5" customHeight="1">
      <c r="B513" s="86"/>
      <c r="C513" s="58" t="s">
        <v>235</v>
      </c>
      <c r="D513" s="59">
        <v>1</v>
      </c>
      <c r="E513" s="60">
        <v>5.3081373745999998E-5</v>
      </c>
    </row>
    <row r="514" spans="2:5" ht="14.5" customHeight="1">
      <c r="B514" s="86"/>
      <c r="C514" s="58" t="s">
        <v>236</v>
      </c>
      <c r="D514" s="59">
        <v>3</v>
      </c>
      <c r="E514" s="60">
        <v>1.5924412123800001E-4</v>
      </c>
    </row>
    <row r="515" spans="2:5" ht="14.5" customHeight="1">
      <c r="B515" s="86"/>
      <c r="C515" s="58" t="s">
        <v>237</v>
      </c>
      <c r="D515" s="59">
        <v>3</v>
      </c>
      <c r="E515" s="60">
        <v>1.5924412123800001E-4</v>
      </c>
    </row>
    <row r="516" spans="2:5" ht="14.5" customHeight="1">
      <c r="B516" s="86"/>
      <c r="C516" s="58" t="s">
        <v>238</v>
      </c>
      <c r="D516" s="59">
        <v>2</v>
      </c>
      <c r="E516" s="60">
        <v>1.06162747492E-4</v>
      </c>
    </row>
    <row r="517" spans="2:5" ht="14.5" customHeight="1">
      <c r="B517" s="86"/>
      <c r="C517" s="58" t="s">
        <v>239</v>
      </c>
      <c r="D517" s="59">
        <v>1</v>
      </c>
      <c r="E517" s="60">
        <v>5.3081373745999998E-5</v>
      </c>
    </row>
    <row r="518" spans="2:5" ht="14.5" customHeight="1">
      <c r="B518" s="86"/>
      <c r="C518" s="58" t="s">
        <v>240</v>
      </c>
      <c r="D518" s="59">
        <v>10</v>
      </c>
      <c r="E518" s="60">
        <v>5.3081373745999996E-4</v>
      </c>
    </row>
    <row r="519" spans="2:5" ht="14.5" customHeight="1">
      <c r="B519" s="86"/>
      <c r="C519" s="58" t="s">
        <v>241</v>
      </c>
      <c r="D519" s="59">
        <v>15</v>
      </c>
      <c r="E519" s="60">
        <v>7.9622060618899997E-4</v>
      </c>
    </row>
    <row r="520" spans="2:5" ht="14.5" customHeight="1">
      <c r="B520" s="86"/>
      <c r="C520" s="58" t="s">
        <v>243</v>
      </c>
      <c r="D520" s="59">
        <v>2</v>
      </c>
      <c r="E520" s="60">
        <v>1.06162747492E-4</v>
      </c>
    </row>
    <row r="521" spans="2:5" ht="14.5" customHeight="1">
      <c r="B521" s="86"/>
      <c r="C521" s="58" t="s">
        <v>244</v>
      </c>
      <c r="D521" s="59">
        <v>3</v>
      </c>
      <c r="E521" s="60">
        <v>1.5924412123800001E-4</v>
      </c>
    </row>
    <row r="522" spans="2:5" ht="14.5" customHeight="1">
      <c r="B522" s="86"/>
      <c r="C522" s="58" t="s">
        <v>245</v>
      </c>
      <c r="D522" s="59">
        <v>33</v>
      </c>
      <c r="E522" s="60">
        <v>1.7516853336160001E-3</v>
      </c>
    </row>
    <row r="523" spans="2:5" ht="14.5" customHeight="1">
      <c r="B523" s="86"/>
      <c r="C523" s="58" t="s">
        <v>246</v>
      </c>
      <c r="D523" s="59">
        <v>2</v>
      </c>
      <c r="E523" s="60">
        <v>1.06162747492E-4</v>
      </c>
    </row>
    <row r="524" spans="2:5" ht="14.5" customHeight="1">
      <c r="B524" s="86"/>
      <c r="C524" s="58" t="s">
        <v>247</v>
      </c>
      <c r="D524" s="59">
        <v>11</v>
      </c>
      <c r="E524" s="60">
        <v>5.8389511120500003E-4</v>
      </c>
    </row>
    <row r="525" spans="2:5" ht="14.5" customHeight="1">
      <c r="B525" s="86"/>
      <c r="C525" s="58" t="s">
        <v>248</v>
      </c>
      <c r="D525" s="59">
        <v>19</v>
      </c>
      <c r="E525" s="60">
        <v>1.008546101173E-3</v>
      </c>
    </row>
    <row r="526" spans="2:5" ht="14.5" customHeight="1">
      <c r="B526" s="86"/>
      <c r="C526" s="58" t="s">
        <v>249</v>
      </c>
      <c r="D526" s="59">
        <v>1</v>
      </c>
      <c r="E526" s="60">
        <v>5.3081373745999998E-5</v>
      </c>
    </row>
    <row r="527" spans="2:5" ht="14.5" customHeight="1">
      <c r="B527" s="86"/>
      <c r="C527" s="58" t="s">
        <v>253</v>
      </c>
      <c r="D527" s="59">
        <v>1</v>
      </c>
      <c r="E527" s="60">
        <v>5.3081373745999998E-5</v>
      </c>
    </row>
    <row r="528" spans="2:5" ht="14.5" customHeight="1">
      <c r="B528" s="86"/>
      <c r="C528" s="58" t="s">
        <v>254</v>
      </c>
      <c r="D528" s="59">
        <v>2</v>
      </c>
      <c r="E528" s="60">
        <v>1.06162747492E-4</v>
      </c>
    </row>
    <row r="529" spans="2:5" ht="14.5" customHeight="1">
      <c r="B529" s="87"/>
      <c r="C529" s="35" t="s">
        <v>28</v>
      </c>
      <c r="D529" s="34">
        <v>110</v>
      </c>
      <c r="E529" s="33">
        <v>5.838951112055E-3</v>
      </c>
    </row>
    <row r="530" spans="2:5" ht="14.5" customHeight="1">
      <c r="B530" s="85" t="s">
        <v>130</v>
      </c>
      <c r="C530" s="58" t="s">
        <v>234</v>
      </c>
      <c r="D530" s="59">
        <v>2</v>
      </c>
      <c r="E530" s="60">
        <v>1.06162747492E-4</v>
      </c>
    </row>
    <row r="531" spans="2:5" ht="14.5" customHeight="1">
      <c r="B531" s="86"/>
      <c r="C531" s="58" t="s">
        <v>235</v>
      </c>
      <c r="D531" s="59">
        <v>2</v>
      </c>
      <c r="E531" s="60">
        <v>1.06162747492E-4</v>
      </c>
    </row>
    <row r="532" spans="2:5" ht="14.5" customHeight="1">
      <c r="B532" s="86"/>
      <c r="C532" s="58" t="s">
        <v>236</v>
      </c>
      <c r="D532" s="59">
        <v>2</v>
      </c>
      <c r="E532" s="60">
        <v>1.06162747492E-4</v>
      </c>
    </row>
    <row r="533" spans="2:5" ht="14.5" customHeight="1">
      <c r="B533" s="86"/>
      <c r="C533" s="58" t="s">
        <v>237</v>
      </c>
      <c r="D533" s="59">
        <v>1</v>
      </c>
      <c r="E533" s="60">
        <v>5.3081373745999998E-5</v>
      </c>
    </row>
    <row r="534" spans="2:5" ht="14.5" customHeight="1">
      <c r="B534" s="86"/>
      <c r="C534" s="58" t="s">
        <v>239</v>
      </c>
      <c r="D534" s="59">
        <v>2</v>
      </c>
      <c r="E534" s="60">
        <v>1.06162747492E-4</v>
      </c>
    </row>
    <row r="535" spans="2:5" ht="14.5" customHeight="1">
      <c r="B535" s="86"/>
      <c r="C535" s="58" t="s">
        <v>240</v>
      </c>
      <c r="D535" s="59">
        <v>13</v>
      </c>
      <c r="E535" s="60">
        <v>6.90057858697E-4</v>
      </c>
    </row>
    <row r="536" spans="2:5" ht="14.5" customHeight="1">
      <c r="B536" s="86"/>
      <c r="C536" s="58" t="s">
        <v>241</v>
      </c>
      <c r="D536" s="59">
        <v>9</v>
      </c>
      <c r="E536" s="60">
        <v>4.7773236371400003E-4</v>
      </c>
    </row>
    <row r="537" spans="2:5" ht="14.5" customHeight="1">
      <c r="B537" s="86"/>
      <c r="C537" s="58" t="s">
        <v>243</v>
      </c>
      <c r="D537" s="59">
        <v>1</v>
      </c>
      <c r="E537" s="60">
        <v>5.3081373745999998E-5</v>
      </c>
    </row>
    <row r="538" spans="2:5" ht="14.5" customHeight="1">
      <c r="B538" s="86"/>
      <c r="C538" s="58" t="s">
        <v>244</v>
      </c>
      <c r="D538" s="59">
        <v>8</v>
      </c>
      <c r="E538" s="60">
        <v>4.2465098996799999E-4</v>
      </c>
    </row>
    <row r="539" spans="2:5" ht="14.5" customHeight="1">
      <c r="B539" s="86"/>
      <c r="C539" s="58" t="s">
        <v>245</v>
      </c>
      <c r="D539" s="59">
        <v>22</v>
      </c>
      <c r="E539" s="60">
        <v>1.1677902224109999E-3</v>
      </c>
    </row>
    <row r="540" spans="2:5" ht="14.5" customHeight="1">
      <c r="B540" s="86"/>
      <c r="C540" s="58" t="s">
        <v>247</v>
      </c>
      <c r="D540" s="59">
        <v>3</v>
      </c>
      <c r="E540" s="60">
        <v>1.5924412123800001E-4</v>
      </c>
    </row>
    <row r="541" spans="2:5" ht="14.5" customHeight="1">
      <c r="B541" s="86"/>
      <c r="C541" s="58" t="s">
        <v>248</v>
      </c>
      <c r="D541" s="59">
        <v>9</v>
      </c>
      <c r="E541" s="60">
        <v>4.7773236371400003E-4</v>
      </c>
    </row>
    <row r="542" spans="2:5" ht="14.5" customHeight="1">
      <c r="B542" s="86"/>
      <c r="C542" s="58" t="s">
        <v>253</v>
      </c>
      <c r="D542" s="59">
        <v>2</v>
      </c>
      <c r="E542" s="60">
        <v>1.06162747492E-4</v>
      </c>
    </row>
    <row r="543" spans="2:5" ht="14.5" customHeight="1">
      <c r="B543" s="87"/>
      <c r="C543" s="35" t="s">
        <v>28</v>
      </c>
      <c r="D543" s="34">
        <v>76</v>
      </c>
      <c r="E543" s="33">
        <v>4.0341844046920001E-3</v>
      </c>
    </row>
    <row r="544" spans="2:5" ht="14.5" customHeight="1">
      <c r="B544" s="85" t="s">
        <v>104</v>
      </c>
      <c r="C544" s="58" t="s">
        <v>234</v>
      </c>
      <c r="D544" s="59">
        <v>6</v>
      </c>
      <c r="E544" s="60">
        <v>3.1848824247600002E-4</v>
      </c>
    </row>
    <row r="545" spans="2:5" ht="14.5" customHeight="1">
      <c r="B545" s="86"/>
      <c r="C545" s="58" t="s">
        <v>235</v>
      </c>
      <c r="D545" s="59">
        <v>2</v>
      </c>
      <c r="E545" s="60">
        <v>1.06162747492E-4</v>
      </c>
    </row>
    <row r="546" spans="2:5" ht="14.5" customHeight="1">
      <c r="B546" s="86"/>
      <c r="C546" s="58" t="s">
        <v>236</v>
      </c>
      <c r="D546" s="59">
        <v>4</v>
      </c>
      <c r="E546" s="60">
        <v>2.1232549498399999E-4</v>
      </c>
    </row>
    <row r="547" spans="2:5" ht="14.5" customHeight="1">
      <c r="B547" s="86"/>
      <c r="C547" s="58" t="s">
        <v>237</v>
      </c>
      <c r="D547" s="59">
        <v>12</v>
      </c>
      <c r="E547" s="60">
        <v>6.3697648495099997E-4</v>
      </c>
    </row>
    <row r="548" spans="2:5" ht="14.5" customHeight="1">
      <c r="B548" s="86"/>
      <c r="C548" s="58" t="s">
        <v>238</v>
      </c>
      <c r="D548" s="59">
        <v>5</v>
      </c>
      <c r="E548" s="60">
        <v>2.6540686872999998E-4</v>
      </c>
    </row>
    <row r="549" spans="2:5" ht="14.5" customHeight="1">
      <c r="B549" s="86"/>
      <c r="C549" s="58" t="s">
        <v>239</v>
      </c>
      <c r="D549" s="59">
        <v>16</v>
      </c>
      <c r="E549" s="60">
        <v>8.4930197993500001E-4</v>
      </c>
    </row>
    <row r="550" spans="2:5" ht="14.5" customHeight="1">
      <c r="B550" s="86"/>
      <c r="C550" s="58" t="s">
        <v>240</v>
      </c>
      <c r="D550" s="59">
        <v>61</v>
      </c>
      <c r="E550" s="60">
        <v>3.2379637985029998E-3</v>
      </c>
    </row>
    <row r="551" spans="2:5" ht="14.5" customHeight="1">
      <c r="B551" s="86"/>
      <c r="C551" s="58" t="s">
        <v>241</v>
      </c>
      <c r="D551" s="59">
        <v>75</v>
      </c>
      <c r="E551" s="60">
        <v>3.9811030309459998E-3</v>
      </c>
    </row>
    <row r="552" spans="2:5" ht="14.5" customHeight="1">
      <c r="B552" s="86"/>
      <c r="C552" s="58" t="s">
        <v>242</v>
      </c>
      <c r="D552" s="59">
        <v>14</v>
      </c>
      <c r="E552" s="60">
        <v>7.4313923244300004E-4</v>
      </c>
    </row>
    <row r="553" spans="2:5" ht="14.5" customHeight="1">
      <c r="B553" s="86"/>
      <c r="C553" s="58" t="s">
        <v>243</v>
      </c>
      <c r="D553" s="59">
        <v>12</v>
      </c>
      <c r="E553" s="60">
        <v>6.3697648495099997E-4</v>
      </c>
    </row>
    <row r="554" spans="2:5" ht="14.5" customHeight="1">
      <c r="B554" s="86"/>
      <c r="C554" s="58" t="s">
        <v>244</v>
      </c>
      <c r="D554" s="59">
        <v>27</v>
      </c>
      <c r="E554" s="60">
        <v>1.4331970911409999E-3</v>
      </c>
    </row>
    <row r="555" spans="2:5" ht="14.5" customHeight="1">
      <c r="B555" s="86"/>
      <c r="C555" s="58" t="s">
        <v>245</v>
      </c>
      <c r="D555" s="59">
        <v>158</v>
      </c>
      <c r="E555" s="60">
        <v>8.3868570518609992E-3</v>
      </c>
    </row>
    <row r="556" spans="2:5" ht="14.5" customHeight="1">
      <c r="B556" s="86"/>
      <c r="C556" s="58" t="s">
        <v>246</v>
      </c>
      <c r="D556" s="59">
        <v>7</v>
      </c>
      <c r="E556" s="60">
        <v>3.71569616222E-4</v>
      </c>
    </row>
    <row r="557" spans="2:5" ht="14.5" customHeight="1">
      <c r="B557" s="86"/>
      <c r="C557" s="58" t="s">
        <v>247</v>
      </c>
      <c r="D557" s="59">
        <v>35</v>
      </c>
      <c r="E557" s="60">
        <v>1.8578480811079999E-3</v>
      </c>
    </row>
    <row r="558" spans="2:5" ht="14.5" customHeight="1">
      <c r="B558" s="86"/>
      <c r="C558" s="58" t="s">
        <v>248</v>
      </c>
      <c r="D558" s="59">
        <v>106</v>
      </c>
      <c r="E558" s="60">
        <v>5.6266256170709999E-3</v>
      </c>
    </row>
    <row r="559" spans="2:5" ht="14.5" customHeight="1">
      <c r="B559" s="86"/>
      <c r="C559" s="58" t="s">
        <v>249</v>
      </c>
      <c r="D559" s="59">
        <v>4</v>
      </c>
      <c r="E559" s="60">
        <v>2.1232549498399999E-4</v>
      </c>
    </row>
    <row r="560" spans="2:5" ht="14.5" customHeight="1">
      <c r="B560" s="86"/>
      <c r="C560" s="58" t="s">
        <v>250</v>
      </c>
      <c r="D560" s="59">
        <v>3</v>
      </c>
      <c r="E560" s="60">
        <v>1.5924412123800001E-4</v>
      </c>
    </row>
    <row r="561" spans="2:5" ht="14.5" customHeight="1">
      <c r="B561" s="86"/>
      <c r="C561" s="58" t="s">
        <v>251</v>
      </c>
      <c r="D561" s="59">
        <v>3</v>
      </c>
      <c r="E561" s="60">
        <v>1.5924412123800001E-4</v>
      </c>
    </row>
    <row r="562" spans="2:5" ht="14.5" customHeight="1">
      <c r="B562" s="86"/>
      <c r="C562" s="58" t="s">
        <v>252</v>
      </c>
      <c r="D562" s="59">
        <v>2</v>
      </c>
      <c r="E562" s="60">
        <v>1.06162747492E-4</v>
      </c>
    </row>
    <row r="563" spans="2:5" ht="14.5" customHeight="1">
      <c r="B563" s="86"/>
      <c r="C563" s="58" t="s">
        <v>253</v>
      </c>
      <c r="D563" s="59">
        <v>7</v>
      </c>
      <c r="E563" s="60">
        <v>3.71569616222E-4</v>
      </c>
    </row>
    <row r="564" spans="2:5" ht="14.5" customHeight="1">
      <c r="B564" s="86"/>
      <c r="C564" s="58" t="s">
        <v>254</v>
      </c>
      <c r="D564" s="59">
        <v>13</v>
      </c>
      <c r="E564" s="60">
        <v>6.90057858697E-4</v>
      </c>
    </row>
    <row r="565" spans="2:5" ht="14.5" customHeight="1">
      <c r="B565" s="87"/>
      <c r="C565" s="35" t="s">
        <v>28</v>
      </c>
      <c r="D565" s="34">
        <v>572</v>
      </c>
      <c r="E565" s="33">
        <v>3.0362545782685001E-2</v>
      </c>
    </row>
    <row r="566" spans="2:5" ht="14.5" customHeight="1">
      <c r="B566" s="85" t="s">
        <v>136</v>
      </c>
      <c r="C566" s="58" t="s">
        <v>235</v>
      </c>
      <c r="D566" s="59">
        <v>1</v>
      </c>
      <c r="E566" s="60">
        <v>5.3081373745999998E-5</v>
      </c>
    </row>
    <row r="567" spans="2:5" ht="14.5" customHeight="1">
      <c r="B567" s="86"/>
      <c r="C567" s="58" t="s">
        <v>236</v>
      </c>
      <c r="D567" s="59">
        <v>1</v>
      </c>
      <c r="E567" s="60">
        <v>5.3081373745999998E-5</v>
      </c>
    </row>
    <row r="568" spans="2:5" ht="14.5" customHeight="1">
      <c r="B568" s="86"/>
      <c r="C568" s="58" t="s">
        <v>237</v>
      </c>
      <c r="D568" s="59">
        <v>1</v>
      </c>
      <c r="E568" s="60">
        <v>5.3081373745999998E-5</v>
      </c>
    </row>
    <row r="569" spans="2:5" ht="14.5" customHeight="1">
      <c r="B569" s="86"/>
      <c r="C569" s="58" t="s">
        <v>238</v>
      </c>
      <c r="D569" s="59">
        <v>1</v>
      </c>
      <c r="E569" s="60">
        <v>5.3081373745999998E-5</v>
      </c>
    </row>
    <row r="570" spans="2:5" ht="14.5" customHeight="1">
      <c r="B570" s="86"/>
      <c r="C570" s="58" t="s">
        <v>239</v>
      </c>
      <c r="D570" s="59">
        <v>1</v>
      </c>
      <c r="E570" s="60">
        <v>5.3081373745999998E-5</v>
      </c>
    </row>
    <row r="571" spans="2:5" ht="14.5" customHeight="1">
      <c r="B571" s="86"/>
      <c r="C571" s="58" t="s">
        <v>240</v>
      </c>
      <c r="D571" s="59">
        <v>1</v>
      </c>
      <c r="E571" s="60">
        <v>5.3081373745999998E-5</v>
      </c>
    </row>
    <row r="572" spans="2:5" ht="14.5" customHeight="1">
      <c r="B572" s="86"/>
      <c r="C572" s="58" t="s">
        <v>241</v>
      </c>
      <c r="D572" s="59">
        <v>3</v>
      </c>
      <c r="E572" s="60">
        <v>1.5924412123800001E-4</v>
      </c>
    </row>
    <row r="573" spans="2:5" ht="14.5" customHeight="1">
      <c r="B573" s="86"/>
      <c r="C573" s="58" t="s">
        <v>242</v>
      </c>
      <c r="D573" s="59">
        <v>1</v>
      </c>
      <c r="E573" s="60">
        <v>5.3081373745999998E-5</v>
      </c>
    </row>
    <row r="574" spans="2:5" ht="14.5" customHeight="1">
      <c r="B574" s="86"/>
      <c r="C574" s="58" t="s">
        <v>243</v>
      </c>
      <c r="D574" s="59">
        <v>1</v>
      </c>
      <c r="E574" s="60">
        <v>5.3081373745999998E-5</v>
      </c>
    </row>
    <row r="575" spans="2:5" ht="14.5" customHeight="1">
      <c r="B575" s="86"/>
      <c r="C575" s="58" t="s">
        <v>244</v>
      </c>
      <c r="D575" s="59">
        <v>2</v>
      </c>
      <c r="E575" s="60">
        <v>1.06162747492E-4</v>
      </c>
    </row>
    <row r="576" spans="2:5" ht="14.5" customHeight="1">
      <c r="B576" s="86"/>
      <c r="C576" s="58" t="s">
        <v>245</v>
      </c>
      <c r="D576" s="59">
        <v>7</v>
      </c>
      <c r="E576" s="60">
        <v>3.71569616222E-4</v>
      </c>
    </row>
    <row r="577" spans="2:5" ht="14.5" customHeight="1">
      <c r="B577" s="86"/>
      <c r="C577" s="58" t="s">
        <v>246</v>
      </c>
      <c r="D577" s="59">
        <v>2</v>
      </c>
      <c r="E577" s="60">
        <v>1.06162747492E-4</v>
      </c>
    </row>
    <row r="578" spans="2:5" ht="14.5" customHeight="1">
      <c r="B578" s="86"/>
      <c r="C578" s="58" t="s">
        <v>247</v>
      </c>
      <c r="D578" s="59">
        <v>2</v>
      </c>
      <c r="E578" s="60">
        <v>1.06162747492E-4</v>
      </c>
    </row>
    <row r="579" spans="2:5" ht="14.5" customHeight="1">
      <c r="B579" s="86"/>
      <c r="C579" s="58" t="s">
        <v>248</v>
      </c>
      <c r="D579" s="59">
        <v>8</v>
      </c>
      <c r="E579" s="60">
        <v>4.2465098996799999E-4</v>
      </c>
    </row>
    <row r="580" spans="2:5" ht="14.5" customHeight="1">
      <c r="B580" s="86"/>
      <c r="C580" s="58" t="s">
        <v>254</v>
      </c>
      <c r="D580" s="59">
        <v>1</v>
      </c>
      <c r="E580" s="60">
        <v>5.3081373745999998E-5</v>
      </c>
    </row>
    <row r="581" spans="2:5" ht="14.5" customHeight="1">
      <c r="B581" s="87"/>
      <c r="C581" s="35" t="s">
        <v>28</v>
      </c>
      <c r="D581" s="34">
        <v>33</v>
      </c>
      <c r="E581" s="33">
        <v>1.7516853336160001E-3</v>
      </c>
    </row>
    <row r="582" spans="2:5" ht="14.5" customHeight="1">
      <c r="B582" s="85" t="s">
        <v>126</v>
      </c>
      <c r="C582" s="58" t="s">
        <v>237</v>
      </c>
      <c r="D582" s="59">
        <v>1</v>
      </c>
      <c r="E582" s="60">
        <v>5.3081373745999998E-5</v>
      </c>
    </row>
    <row r="583" spans="2:5" ht="14.5" customHeight="1">
      <c r="B583" s="86"/>
      <c r="C583" s="58" t="s">
        <v>239</v>
      </c>
      <c r="D583" s="59">
        <v>1</v>
      </c>
      <c r="E583" s="60">
        <v>5.3081373745999998E-5</v>
      </c>
    </row>
    <row r="584" spans="2:5" ht="14.5" customHeight="1">
      <c r="B584" s="86"/>
      <c r="C584" s="58" t="s">
        <v>240</v>
      </c>
      <c r="D584" s="59">
        <v>15</v>
      </c>
      <c r="E584" s="60">
        <v>7.9622060618899997E-4</v>
      </c>
    </row>
    <row r="585" spans="2:5" ht="14.5" customHeight="1">
      <c r="B585" s="86"/>
      <c r="C585" s="58" t="s">
        <v>241</v>
      </c>
      <c r="D585" s="59">
        <v>8</v>
      </c>
      <c r="E585" s="60">
        <v>4.2465098996799999E-4</v>
      </c>
    </row>
    <row r="586" spans="2:5" ht="14.5" customHeight="1">
      <c r="B586" s="86"/>
      <c r="C586" s="58" t="s">
        <v>244</v>
      </c>
      <c r="D586" s="59">
        <v>4</v>
      </c>
      <c r="E586" s="60">
        <v>2.1232549498399999E-4</v>
      </c>
    </row>
    <row r="587" spans="2:5" ht="14.5" customHeight="1">
      <c r="B587" s="86"/>
      <c r="C587" s="58" t="s">
        <v>245</v>
      </c>
      <c r="D587" s="59">
        <v>44</v>
      </c>
      <c r="E587" s="60">
        <v>2.3355804448219998E-3</v>
      </c>
    </row>
    <row r="588" spans="2:5" ht="14.5" customHeight="1">
      <c r="B588" s="86"/>
      <c r="C588" s="58" t="s">
        <v>246</v>
      </c>
      <c r="D588" s="59">
        <v>2</v>
      </c>
      <c r="E588" s="60">
        <v>1.06162747492E-4</v>
      </c>
    </row>
    <row r="589" spans="2:5" ht="14.5" customHeight="1">
      <c r="B589" s="86"/>
      <c r="C589" s="58" t="s">
        <v>247</v>
      </c>
      <c r="D589" s="59">
        <v>4</v>
      </c>
      <c r="E589" s="60">
        <v>2.1232549498399999E-4</v>
      </c>
    </row>
    <row r="590" spans="2:5" ht="14.5" customHeight="1">
      <c r="B590" s="86"/>
      <c r="C590" s="58" t="s">
        <v>248</v>
      </c>
      <c r="D590" s="59">
        <v>8</v>
      </c>
      <c r="E590" s="60">
        <v>4.2465098996799999E-4</v>
      </c>
    </row>
    <row r="591" spans="2:5" ht="14.5" customHeight="1">
      <c r="B591" s="86"/>
      <c r="C591" s="58" t="s">
        <v>253</v>
      </c>
      <c r="D591" s="59">
        <v>2</v>
      </c>
      <c r="E591" s="60">
        <v>1.06162747492E-4</v>
      </c>
    </row>
    <row r="592" spans="2:5" ht="14.5" customHeight="1">
      <c r="B592" s="86"/>
      <c r="C592" s="58" t="s">
        <v>254</v>
      </c>
      <c r="D592" s="59">
        <v>1</v>
      </c>
      <c r="E592" s="60">
        <v>5.3081373745999998E-5</v>
      </c>
    </row>
    <row r="593" spans="2:5" ht="14.5" customHeight="1">
      <c r="B593" s="87"/>
      <c r="C593" s="35" t="s">
        <v>28</v>
      </c>
      <c r="D593" s="34">
        <v>90</v>
      </c>
      <c r="E593" s="33">
        <v>4.7773236371360002E-3</v>
      </c>
    </row>
    <row r="594" spans="2:5" ht="14.5" customHeight="1">
      <c r="B594" s="85" t="s">
        <v>112</v>
      </c>
      <c r="C594" s="58" t="s">
        <v>234</v>
      </c>
      <c r="D594" s="59">
        <v>6</v>
      </c>
      <c r="E594" s="60">
        <v>3.1848824247600002E-4</v>
      </c>
    </row>
    <row r="595" spans="2:5" ht="14.5" customHeight="1">
      <c r="B595" s="86"/>
      <c r="C595" s="58" t="s">
        <v>236</v>
      </c>
      <c r="D595" s="59">
        <v>2</v>
      </c>
      <c r="E595" s="60">
        <v>1.06162747492E-4</v>
      </c>
    </row>
    <row r="596" spans="2:5" ht="14.5" customHeight="1">
      <c r="B596" s="86"/>
      <c r="C596" s="58" t="s">
        <v>237</v>
      </c>
      <c r="D596" s="59">
        <v>4</v>
      </c>
      <c r="E596" s="60">
        <v>2.1232549498399999E-4</v>
      </c>
    </row>
    <row r="597" spans="2:5" ht="14.5" customHeight="1">
      <c r="B597" s="86"/>
      <c r="C597" s="58" t="s">
        <v>238</v>
      </c>
      <c r="D597" s="59">
        <v>7</v>
      </c>
      <c r="E597" s="60">
        <v>3.71569616222E-4</v>
      </c>
    </row>
    <row r="598" spans="2:5" ht="14.5" customHeight="1">
      <c r="B598" s="86"/>
      <c r="C598" s="58" t="s">
        <v>239</v>
      </c>
      <c r="D598" s="59">
        <v>7</v>
      </c>
      <c r="E598" s="60">
        <v>3.71569616222E-4</v>
      </c>
    </row>
    <row r="599" spans="2:5" ht="14.5" customHeight="1">
      <c r="B599" s="86"/>
      <c r="C599" s="58" t="s">
        <v>240</v>
      </c>
      <c r="D599" s="59">
        <v>16</v>
      </c>
      <c r="E599" s="60">
        <v>8.4930197993500001E-4</v>
      </c>
    </row>
    <row r="600" spans="2:5" ht="14.5" customHeight="1">
      <c r="B600" s="86"/>
      <c r="C600" s="58" t="s">
        <v>241</v>
      </c>
      <c r="D600" s="59">
        <v>61</v>
      </c>
      <c r="E600" s="60">
        <v>3.2379637985029998E-3</v>
      </c>
    </row>
    <row r="601" spans="2:5" ht="14.5" customHeight="1">
      <c r="B601" s="86"/>
      <c r="C601" s="58" t="s">
        <v>242</v>
      </c>
      <c r="D601" s="59">
        <v>2</v>
      </c>
      <c r="E601" s="60">
        <v>1.06162747492E-4</v>
      </c>
    </row>
    <row r="602" spans="2:5" ht="14.5" customHeight="1">
      <c r="B602" s="86"/>
      <c r="C602" s="58" t="s">
        <v>243</v>
      </c>
      <c r="D602" s="59">
        <v>7</v>
      </c>
      <c r="E602" s="60">
        <v>3.71569616222E-4</v>
      </c>
    </row>
    <row r="603" spans="2:5" ht="14.5" customHeight="1">
      <c r="B603" s="86"/>
      <c r="C603" s="58" t="s">
        <v>244</v>
      </c>
      <c r="D603" s="59">
        <v>9</v>
      </c>
      <c r="E603" s="60">
        <v>4.7773236371400003E-4</v>
      </c>
    </row>
    <row r="604" spans="2:5" ht="14.5" customHeight="1">
      <c r="B604" s="86"/>
      <c r="C604" s="58" t="s">
        <v>245</v>
      </c>
      <c r="D604" s="59">
        <v>109</v>
      </c>
      <c r="E604" s="60">
        <v>5.7858697383089998E-3</v>
      </c>
    </row>
    <row r="605" spans="2:5" ht="14.5" customHeight="1">
      <c r="B605" s="86"/>
      <c r="C605" s="58" t="s">
        <v>246</v>
      </c>
      <c r="D605" s="59">
        <v>4</v>
      </c>
      <c r="E605" s="60">
        <v>2.1232549498399999E-4</v>
      </c>
    </row>
    <row r="606" spans="2:5" ht="14.5" customHeight="1">
      <c r="B606" s="86"/>
      <c r="C606" s="58" t="s">
        <v>247</v>
      </c>
      <c r="D606" s="59">
        <v>17</v>
      </c>
      <c r="E606" s="60">
        <v>9.0238335368100005E-4</v>
      </c>
    </row>
    <row r="607" spans="2:5" ht="14.5" customHeight="1">
      <c r="B607" s="86"/>
      <c r="C607" s="58" t="s">
        <v>248</v>
      </c>
      <c r="D607" s="59">
        <v>55</v>
      </c>
      <c r="E607" s="60">
        <v>2.919475556027E-3</v>
      </c>
    </row>
    <row r="608" spans="2:5" ht="14.5" customHeight="1">
      <c r="B608" s="86"/>
      <c r="C608" s="58" t="s">
        <v>253</v>
      </c>
      <c r="D608" s="59">
        <v>4</v>
      </c>
      <c r="E608" s="60">
        <v>2.1232549498399999E-4</v>
      </c>
    </row>
    <row r="609" spans="2:5" ht="14.5" customHeight="1">
      <c r="B609" s="86"/>
      <c r="C609" s="58" t="s">
        <v>254</v>
      </c>
      <c r="D609" s="59">
        <v>3</v>
      </c>
      <c r="E609" s="60">
        <v>1.5924412123800001E-4</v>
      </c>
    </row>
    <row r="610" spans="2:5" ht="14.5" customHeight="1">
      <c r="B610" s="87"/>
      <c r="C610" s="35" t="s">
        <v>28</v>
      </c>
      <c r="D610" s="34">
        <v>313</v>
      </c>
      <c r="E610" s="33">
        <v>1.6614469982483001E-2</v>
      </c>
    </row>
    <row r="611" spans="2:5" ht="14.5" customHeight="1">
      <c r="B611" s="85" t="s">
        <v>118</v>
      </c>
      <c r="C611" s="58" t="s">
        <v>234</v>
      </c>
      <c r="D611" s="59">
        <v>4</v>
      </c>
      <c r="E611" s="60">
        <v>2.1232549498399999E-4</v>
      </c>
    </row>
    <row r="612" spans="2:5" ht="14.5" customHeight="1">
      <c r="B612" s="86"/>
      <c r="C612" s="58" t="s">
        <v>237</v>
      </c>
      <c r="D612" s="59">
        <v>3</v>
      </c>
      <c r="E612" s="60">
        <v>1.5924412123800001E-4</v>
      </c>
    </row>
    <row r="613" spans="2:5" ht="14.5" customHeight="1">
      <c r="B613" s="86"/>
      <c r="C613" s="58" t="s">
        <v>239</v>
      </c>
      <c r="D613" s="59">
        <v>3</v>
      </c>
      <c r="E613" s="60">
        <v>1.5924412123800001E-4</v>
      </c>
    </row>
    <row r="614" spans="2:5" ht="14.5" customHeight="1">
      <c r="B614" s="86"/>
      <c r="C614" s="58" t="s">
        <v>240</v>
      </c>
      <c r="D614" s="59">
        <v>17</v>
      </c>
      <c r="E614" s="60">
        <v>9.0238335368100005E-4</v>
      </c>
    </row>
    <row r="615" spans="2:5" ht="14.5" customHeight="1">
      <c r="B615" s="86"/>
      <c r="C615" s="58" t="s">
        <v>241</v>
      </c>
      <c r="D615" s="59">
        <v>50</v>
      </c>
      <c r="E615" s="60">
        <v>2.6540686872980001E-3</v>
      </c>
    </row>
    <row r="616" spans="2:5" ht="14.5" customHeight="1">
      <c r="B616" s="86"/>
      <c r="C616" s="58" t="s">
        <v>243</v>
      </c>
      <c r="D616" s="59">
        <v>4</v>
      </c>
      <c r="E616" s="60">
        <v>2.1232549498399999E-4</v>
      </c>
    </row>
    <row r="617" spans="2:5" ht="14.5" customHeight="1">
      <c r="B617" s="86"/>
      <c r="C617" s="58" t="s">
        <v>244</v>
      </c>
      <c r="D617" s="59">
        <v>10</v>
      </c>
      <c r="E617" s="60">
        <v>5.3081373745999996E-4</v>
      </c>
    </row>
    <row r="618" spans="2:5" ht="14.5" customHeight="1">
      <c r="B618" s="86"/>
      <c r="C618" s="58" t="s">
        <v>245</v>
      </c>
      <c r="D618" s="59">
        <v>56</v>
      </c>
      <c r="E618" s="60">
        <v>2.9725569297729998E-3</v>
      </c>
    </row>
    <row r="619" spans="2:5" ht="14.5" customHeight="1">
      <c r="B619" s="86"/>
      <c r="C619" s="58" t="s">
        <v>246</v>
      </c>
      <c r="D619" s="59">
        <v>1</v>
      </c>
      <c r="E619" s="60">
        <v>5.3081373745999998E-5</v>
      </c>
    </row>
    <row r="620" spans="2:5" ht="14.5" customHeight="1">
      <c r="B620" s="86"/>
      <c r="C620" s="58" t="s">
        <v>247</v>
      </c>
      <c r="D620" s="59">
        <v>5</v>
      </c>
      <c r="E620" s="60">
        <v>2.6540686872999998E-4</v>
      </c>
    </row>
    <row r="621" spans="2:5" ht="14.5" customHeight="1">
      <c r="B621" s="86"/>
      <c r="C621" s="58" t="s">
        <v>248</v>
      </c>
      <c r="D621" s="59">
        <v>44</v>
      </c>
      <c r="E621" s="60">
        <v>2.3355804448219998E-3</v>
      </c>
    </row>
    <row r="622" spans="2:5" ht="14.5" customHeight="1">
      <c r="B622" s="86"/>
      <c r="C622" s="58" t="s">
        <v>251</v>
      </c>
      <c r="D622" s="59">
        <v>1</v>
      </c>
      <c r="E622" s="60">
        <v>5.3081373745999998E-5</v>
      </c>
    </row>
    <row r="623" spans="2:5" ht="14.5" customHeight="1">
      <c r="B623" s="86"/>
      <c r="C623" s="58" t="s">
        <v>253</v>
      </c>
      <c r="D623" s="59">
        <v>3</v>
      </c>
      <c r="E623" s="60">
        <v>1.5924412123800001E-4</v>
      </c>
    </row>
    <row r="624" spans="2:5" ht="14.5" customHeight="1">
      <c r="B624" s="86"/>
      <c r="C624" s="58" t="s">
        <v>254</v>
      </c>
      <c r="D624" s="59">
        <v>9</v>
      </c>
      <c r="E624" s="60">
        <v>4.7773236371400003E-4</v>
      </c>
    </row>
    <row r="625" spans="2:5" ht="14.5" customHeight="1">
      <c r="B625" s="87"/>
      <c r="C625" s="35" t="s">
        <v>28</v>
      </c>
      <c r="D625" s="34">
        <v>210</v>
      </c>
      <c r="E625" s="33">
        <v>1.1147088486649999E-2</v>
      </c>
    </row>
    <row r="626" spans="2:5" ht="14.5" customHeight="1">
      <c r="B626" s="85" t="s">
        <v>119</v>
      </c>
      <c r="C626" s="58" t="s">
        <v>234</v>
      </c>
      <c r="D626" s="59">
        <v>1</v>
      </c>
      <c r="E626" s="60">
        <v>5.3081373745999998E-5</v>
      </c>
    </row>
    <row r="627" spans="2:5" ht="14.5" customHeight="1">
      <c r="B627" s="86"/>
      <c r="C627" s="58" t="s">
        <v>236</v>
      </c>
      <c r="D627" s="59">
        <v>1</v>
      </c>
      <c r="E627" s="60">
        <v>5.3081373745999998E-5</v>
      </c>
    </row>
    <row r="628" spans="2:5" ht="14.5" customHeight="1">
      <c r="B628" s="86"/>
      <c r="C628" s="58" t="s">
        <v>238</v>
      </c>
      <c r="D628" s="59">
        <v>1</v>
      </c>
      <c r="E628" s="60">
        <v>5.3081373745999998E-5</v>
      </c>
    </row>
    <row r="629" spans="2:5" ht="14.5" customHeight="1">
      <c r="B629" s="86"/>
      <c r="C629" s="58" t="s">
        <v>240</v>
      </c>
      <c r="D629" s="59">
        <v>9</v>
      </c>
      <c r="E629" s="60">
        <v>4.7773236371400003E-4</v>
      </c>
    </row>
    <row r="630" spans="2:5" ht="14.5" customHeight="1">
      <c r="B630" s="86"/>
      <c r="C630" s="58" t="s">
        <v>241</v>
      </c>
      <c r="D630" s="59">
        <v>29</v>
      </c>
      <c r="E630" s="60">
        <v>1.539359838633E-3</v>
      </c>
    </row>
    <row r="631" spans="2:5" ht="14.5" customHeight="1">
      <c r="B631" s="86"/>
      <c r="C631" s="58" t="s">
        <v>242</v>
      </c>
      <c r="D631" s="59">
        <v>5</v>
      </c>
      <c r="E631" s="60">
        <v>2.6540686872999998E-4</v>
      </c>
    </row>
    <row r="632" spans="2:5" ht="14.5" customHeight="1">
      <c r="B632" s="86"/>
      <c r="C632" s="58" t="s">
        <v>243</v>
      </c>
      <c r="D632" s="59">
        <v>1</v>
      </c>
      <c r="E632" s="60">
        <v>5.3081373745999998E-5</v>
      </c>
    </row>
    <row r="633" spans="2:5" ht="14.5" customHeight="1">
      <c r="B633" s="86"/>
      <c r="C633" s="58" t="s">
        <v>244</v>
      </c>
      <c r="D633" s="59">
        <v>4</v>
      </c>
      <c r="E633" s="60">
        <v>2.1232549498399999E-4</v>
      </c>
    </row>
    <row r="634" spans="2:5" ht="14.5" customHeight="1">
      <c r="B634" s="86"/>
      <c r="C634" s="58" t="s">
        <v>245</v>
      </c>
      <c r="D634" s="59">
        <v>87</v>
      </c>
      <c r="E634" s="60">
        <v>4.6180795158980003E-3</v>
      </c>
    </row>
    <row r="635" spans="2:5" ht="14.5" customHeight="1">
      <c r="B635" s="86"/>
      <c r="C635" s="58" t="s">
        <v>246</v>
      </c>
      <c r="D635" s="59">
        <v>3</v>
      </c>
      <c r="E635" s="60">
        <v>1.5924412123800001E-4</v>
      </c>
    </row>
    <row r="636" spans="2:5" ht="14.5" customHeight="1">
      <c r="B636" s="86"/>
      <c r="C636" s="58" t="s">
        <v>247</v>
      </c>
      <c r="D636" s="59">
        <v>12</v>
      </c>
      <c r="E636" s="60">
        <v>6.3697648495099997E-4</v>
      </c>
    </row>
    <row r="637" spans="2:5" ht="14.5" customHeight="1">
      <c r="B637" s="86"/>
      <c r="C637" s="58" t="s">
        <v>248</v>
      </c>
      <c r="D637" s="59">
        <v>32</v>
      </c>
      <c r="E637" s="60">
        <v>1.69860395987E-3</v>
      </c>
    </row>
    <row r="638" spans="2:5" ht="14.5" customHeight="1">
      <c r="B638" s="86"/>
      <c r="C638" s="58" t="s">
        <v>253</v>
      </c>
      <c r="D638" s="59">
        <v>3</v>
      </c>
      <c r="E638" s="60">
        <v>1.5924412123800001E-4</v>
      </c>
    </row>
    <row r="639" spans="2:5" ht="14.5" customHeight="1">
      <c r="B639" s="86"/>
      <c r="C639" s="58" t="s">
        <v>254</v>
      </c>
      <c r="D639" s="59">
        <v>9</v>
      </c>
      <c r="E639" s="60">
        <v>4.7773236371400003E-4</v>
      </c>
    </row>
    <row r="640" spans="2:5" ht="14.5" customHeight="1">
      <c r="B640" s="87"/>
      <c r="C640" s="35" t="s">
        <v>28</v>
      </c>
      <c r="D640" s="34">
        <v>197</v>
      </c>
      <c r="E640" s="33">
        <v>1.0457030627952999E-2</v>
      </c>
    </row>
    <row r="641" spans="2:5" ht="14.5" customHeight="1">
      <c r="B641" s="85" t="s">
        <v>129</v>
      </c>
      <c r="C641" s="58" t="s">
        <v>234</v>
      </c>
      <c r="D641" s="59">
        <v>2</v>
      </c>
      <c r="E641" s="60">
        <v>1.06162747492E-4</v>
      </c>
    </row>
    <row r="642" spans="2:5" ht="14.5" customHeight="1">
      <c r="B642" s="86"/>
      <c r="C642" s="58" t="s">
        <v>236</v>
      </c>
      <c r="D642" s="59">
        <v>1</v>
      </c>
      <c r="E642" s="60">
        <v>5.3081373745999998E-5</v>
      </c>
    </row>
    <row r="643" spans="2:5" ht="14.5" customHeight="1">
      <c r="B643" s="86"/>
      <c r="C643" s="58" t="s">
        <v>237</v>
      </c>
      <c r="D643" s="59">
        <v>1</v>
      </c>
      <c r="E643" s="60">
        <v>5.3081373745999998E-5</v>
      </c>
    </row>
    <row r="644" spans="2:5" ht="14.5" customHeight="1">
      <c r="B644" s="86"/>
      <c r="C644" s="58" t="s">
        <v>238</v>
      </c>
      <c r="D644" s="59">
        <v>1</v>
      </c>
      <c r="E644" s="60">
        <v>5.3081373745999998E-5</v>
      </c>
    </row>
    <row r="645" spans="2:5" ht="14.5" customHeight="1">
      <c r="B645" s="86"/>
      <c r="C645" s="58" t="s">
        <v>240</v>
      </c>
      <c r="D645" s="59">
        <v>7</v>
      </c>
      <c r="E645" s="60">
        <v>3.71569616222E-4</v>
      </c>
    </row>
    <row r="646" spans="2:5" ht="14.5" customHeight="1">
      <c r="B646" s="86"/>
      <c r="C646" s="58" t="s">
        <v>241</v>
      </c>
      <c r="D646" s="59">
        <v>12</v>
      </c>
      <c r="E646" s="60">
        <v>6.3697648495099997E-4</v>
      </c>
    </row>
    <row r="647" spans="2:5" ht="14.5" customHeight="1">
      <c r="B647" s="86"/>
      <c r="C647" s="58" t="s">
        <v>242</v>
      </c>
      <c r="D647" s="59">
        <v>1</v>
      </c>
      <c r="E647" s="60">
        <v>5.3081373745999998E-5</v>
      </c>
    </row>
    <row r="648" spans="2:5" ht="14.5" customHeight="1">
      <c r="B648" s="86"/>
      <c r="C648" s="58" t="s">
        <v>244</v>
      </c>
      <c r="D648" s="59">
        <v>3</v>
      </c>
      <c r="E648" s="60">
        <v>1.5924412123800001E-4</v>
      </c>
    </row>
    <row r="649" spans="2:5" ht="14.5" customHeight="1">
      <c r="B649" s="86"/>
      <c r="C649" s="58" t="s">
        <v>245</v>
      </c>
      <c r="D649" s="59">
        <v>25</v>
      </c>
      <c r="E649" s="60">
        <v>1.327034343649E-3</v>
      </c>
    </row>
    <row r="650" spans="2:5" ht="14.5" customHeight="1">
      <c r="B650" s="86"/>
      <c r="C650" s="58" t="s">
        <v>247</v>
      </c>
      <c r="D650" s="59">
        <v>4</v>
      </c>
      <c r="E650" s="60">
        <v>2.1232549498399999E-4</v>
      </c>
    </row>
    <row r="651" spans="2:5" ht="14.5" customHeight="1">
      <c r="B651" s="86"/>
      <c r="C651" s="58" t="s">
        <v>248</v>
      </c>
      <c r="D651" s="59">
        <v>16</v>
      </c>
      <c r="E651" s="60">
        <v>8.4930197993500001E-4</v>
      </c>
    </row>
    <row r="652" spans="2:5" ht="14.5" customHeight="1">
      <c r="B652" s="86"/>
      <c r="C652" s="58" t="s">
        <v>254</v>
      </c>
      <c r="D652" s="59">
        <v>5</v>
      </c>
      <c r="E652" s="60">
        <v>2.6540686872999998E-4</v>
      </c>
    </row>
    <row r="653" spans="2:5" ht="14.5" customHeight="1">
      <c r="B653" s="87"/>
      <c r="C653" s="35" t="s">
        <v>28</v>
      </c>
      <c r="D653" s="34">
        <v>78</v>
      </c>
      <c r="E653" s="33">
        <v>4.1403471521839997E-3</v>
      </c>
    </row>
    <row r="654" spans="2:5" ht="14.5" customHeight="1">
      <c r="B654" s="85" t="s">
        <v>114</v>
      </c>
      <c r="C654" s="58" t="s">
        <v>234</v>
      </c>
      <c r="D654" s="59">
        <v>2</v>
      </c>
      <c r="E654" s="60">
        <v>1.06162747492E-4</v>
      </c>
    </row>
    <row r="655" spans="2:5" ht="14.5" customHeight="1">
      <c r="B655" s="86"/>
      <c r="C655" s="58" t="s">
        <v>235</v>
      </c>
      <c r="D655" s="59">
        <v>2</v>
      </c>
      <c r="E655" s="60">
        <v>1.06162747492E-4</v>
      </c>
    </row>
    <row r="656" spans="2:5" ht="14.5" customHeight="1">
      <c r="B656" s="86"/>
      <c r="C656" s="58" t="s">
        <v>236</v>
      </c>
      <c r="D656" s="59">
        <v>3</v>
      </c>
      <c r="E656" s="60">
        <v>1.5924412123800001E-4</v>
      </c>
    </row>
    <row r="657" spans="2:5" ht="14.5" customHeight="1">
      <c r="B657" s="86"/>
      <c r="C657" s="58" t="s">
        <v>237</v>
      </c>
      <c r="D657" s="59">
        <v>1</v>
      </c>
      <c r="E657" s="60">
        <v>5.3081373745999998E-5</v>
      </c>
    </row>
    <row r="658" spans="2:5" ht="14.5" customHeight="1">
      <c r="B658" s="86"/>
      <c r="C658" s="58" t="s">
        <v>239</v>
      </c>
      <c r="D658" s="59">
        <v>5</v>
      </c>
      <c r="E658" s="60">
        <v>2.6540686872999998E-4</v>
      </c>
    </row>
    <row r="659" spans="2:5" ht="14.5" customHeight="1">
      <c r="B659" s="86"/>
      <c r="C659" s="58" t="s">
        <v>240</v>
      </c>
      <c r="D659" s="59">
        <v>35</v>
      </c>
      <c r="E659" s="60">
        <v>1.8578480811079999E-3</v>
      </c>
    </row>
    <row r="660" spans="2:5" ht="14.5" customHeight="1">
      <c r="B660" s="86"/>
      <c r="C660" s="58" t="s">
        <v>241</v>
      </c>
      <c r="D660" s="59">
        <v>18</v>
      </c>
      <c r="E660" s="60">
        <v>9.5546472742699998E-4</v>
      </c>
    </row>
    <row r="661" spans="2:5" ht="14.5" customHeight="1">
      <c r="B661" s="86"/>
      <c r="C661" s="58" t="s">
        <v>242</v>
      </c>
      <c r="D661" s="59">
        <v>2</v>
      </c>
      <c r="E661" s="60">
        <v>1.06162747492E-4</v>
      </c>
    </row>
    <row r="662" spans="2:5" ht="14.5" customHeight="1">
      <c r="B662" s="86"/>
      <c r="C662" s="58" t="s">
        <v>243</v>
      </c>
      <c r="D662" s="59">
        <v>8</v>
      </c>
      <c r="E662" s="60">
        <v>4.2465098996799999E-4</v>
      </c>
    </row>
    <row r="663" spans="2:5" ht="14.5" customHeight="1">
      <c r="B663" s="86"/>
      <c r="C663" s="58" t="s">
        <v>244</v>
      </c>
      <c r="D663" s="59">
        <v>9</v>
      </c>
      <c r="E663" s="60">
        <v>4.7773236371400003E-4</v>
      </c>
    </row>
    <row r="664" spans="2:5" ht="14.5" customHeight="1">
      <c r="B664" s="86"/>
      <c r="C664" s="58" t="s">
        <v>245</v>
      </c>
      <c r="D664" s="59">
        <v>57</v>
      </c>
      <c r="E664" s="60">
        <v>3.0256383035190001E-3</v>
      </c>
    </row>
    <row r="665" spans="2:5" ht="14.5" customHeight="1">
      <c r="B665" s="86"/>
      <c r="C665" s="58" t="s">
        <v>246</v>
      </c>
      <c r="D665" s="59">
        <v>1</v>
      </c>
      <c r="E665" s="60">
        <v>5.3081373745999998E-5</v>
      </c>
    </row>
    <row r="666" spans="2:5" ht="14.5" customHeight="1">
      <c r="B666" s="86"/>
      <c r="C666" s="58" t="s">
        <v>247</v>
      </c>
      <c r="D666" s="59">
        <v>10</v>
      </c>
      <c r="E666" s="60">
        <v>5.3081373745999996E-4</v>
      </c>
    </row>
    <row r="667" spans="2:5" ht="14.5" customHeight="1">
      <c r="B667" s="86"/>
      <c r="C667" s="58" t="s">
        <v>248</v>
      </c>
      <c r="D667" s="59">
        <v>59</v>
      </c>
      <c r="E667" s="60">
        <v>3.1318010510110001E-3</v>
      </c>
    </row>
    <row r="668" spans="2:5" ht="14.5" customHeight="1">
      <c r="B668" s="86"/>
      <c r="C668" s="58" t="s">
        <v>249</v>
      </c>
      <c r="D668" s="59">
        <v>1</v>
      </c>
      <c r="E668" s="60">
        <v>5.3081373745999998E-5</v>
      </c>
    </row>
    <row r="669" spans="2:5" ht="14.5" customHeight="1">
      <c r="B669" s="86"/>
      <c r="C669" s="58" t="s">
        <v>252</v>
      </c>
      <c r="D669" s="59">
        <v>1</v>
      </c>
      <c r="E669" s="60">
        <v>5.3081373745999998E-5</v>
      </c>
    </row>
    <row r="670" spans="2:5" ht="14.5" customHeight="1">
      <c r="B670" s="86"/>
      <c r="C670" s="58" t="s">
        <v>253</v>
      </c>
      <c r="D670" s="59">
        <v>3</v>
      </c>
      <c r="E670" s="60">
        <v>1.5924412123800001E-4</v>
      </c>
    </row>
    <row r="671" spans="2:5" ht="14.5" customHeight="1">
      <c r="B671" s="86"/>
      <c r="C671" s="58" t="s">
        <v>254</v>
      </c>
      <c r="D671" s="59">
        <v>13</v>
      </c>
      <c r="E671" s="60">
        <v>6.90057858697E-4</v>
      </c>
    </row>
    <row r="672" spans="2:5" ht="14.5" customHeight="1">
      <c r="B672" s="87"/>
      <c r="C672" s="35" t="s">
        <v>28</v>
      </c>
      <c r="D672" s="34">
        <v>230</v>
      </c>
      <c r="E672" s="33">
        <v>1.2208715961569E-2</v>
      </c>
    </row>
    <row r="673" spans="2:5" ht="14.5" customHeight="1">
      <c r="B673" s="85" t="s">
        <v>111</v>
      </c>
      <c r="C673" s="58" t="s">
        <v>234</v>
      </c>
      <c r="D673" s="59">
        <v>6</v>
      </c>
      <c r="E673" s="60">
        <v>3.1848824247600002E-4</v>
      </c>
    </row>
    <row r="674" spans="2:5" ht="14.5" customHeight="1">
      <c r="B674" s="86"/>
      <c r="C674" s="58" t="s">
        <v>235</v>
      </c>
      <c r="D674" s="59">
        <v>5</v>
      </c>
      <c r="E674" s="60">
        <v>2.6540686872999998E-4</v>
      </c>
    </row>
    <row r="675" spans="2:5" ht="14.5" customHeight="1">
      <c r="B675" s="86"/>
      <c r="C675" s="58" t="s">
        <v>236</v>
      </c>
      <c r="D675" s="59">
        <v>4</v>
      </c>
      <c r="E675" s="60">
        <v>2.1232549498399999E-4</v>
      </c>
    </row>
    <row r="676" spans="2:5" ht="14.5" customHeight="1">
      <c r="B676" s="86"/>
      <c r="C676" s="58" t="s">
        <v>237</v>
      </c>
      <c r="D676" s="59">
        <v>10</v>
      </c>
      <c r="E676" s="60">
        <v>5.3081373745999996E-4</v>
      </c>
    </row>
    <row r="677" spans="2:5" ht="14.5" customHeight="1">
      <c r="B677" s="86"/>
      <c r="C677" s="58" t="s">
        <v>238</v>
      </c>
      <c r="D677" s="59">
        <v>4</v>
      </c>
      <c r="E677" s="60">
        <v>2.1232549498399999E-4</v>
      </c>
    </row>
    <row r="678" spans="2:5" ht="14.5" customHeight="1">
      <c r="B678" s="86"/>
      <c r="C678" s="58" t="s">
        <v>239</v>
      </c>
      <c r="D678" s="59">
        <v>6</v>
      </c>
      <c r="E678" s="60">
        <v>3.1848824247600002E-4</v>
      </c>
    </row>
    <row r="679" spans="2:5" ht="14.5" customHeight="1">
      <c r="B679" s="86"/>
      <c r="C679" s="58" t="s">
        <v>240</v>
      </c>
      <c r="D679" s="59">
        <v>60</v>
      </c>
      <c r="E679" s="60">
        <v>3.184882424757E-3</v>
      </c>
    </row>
    <row r="680" spans="2:5" ht="14.5" customHeight="1">
      <c r="B680" s="86"/>
      <c r="C680" s="58" t="s">
        <v>241</v>
      </c>
      <c r="D680" s="59">
        <v>39</v>
      </c>
      <c r="E680" s="60">
        <v>2.0701735760919999E-3</v>
      </c>
    </row>
    <row r="681" spans="2:5" ht="14.5" customHeight="1">
      <c r="B681" s="86"/>
      <c r="C681" s="58" t="s">
        <v>242</v>
      </c>
      <c r="D681" s="59">
        <v>2</v>
      </c>
      <c r="E681" s="60">
        <v>1.06162747492E-4</v>
      </c>
    </row>
    <row r="682" spans="2:5" ht="14.5" customHeight="1">
      <c r="B682" s="86"/>
      <c r="C682" s="58" t="s">
        <v>243</v>
      </c>
      <c r="D682" s="59">
        <v>12</v>
      </c>
      <c r="E682" s="60">
        <v>6.3697648495099997E-4</v>
      </c>
    </row>
    <row r="683" spans="2:5" ht="14.5" customHeight="1">
      <c r="B683" s="86"/>
      <c r="C683" s="58" t="s">
        <v>244</v>
      </c>
      <c r="D683" s="59">
        <v>15</v>
      </c>
      <c r="E683" s="60">
        <v>7.9622060618899997E-4</v>
      </c>
    </row>
    <row r="684" spans="2:5" ht="14.5" customHeight="1">
      <c r="B684" s="86"/>
      <c r="C684" s="58" t="s">
        <v>245</v>
      </c>
      <c r="D684" s="59">
        <v>73</v>
      </c>
      <c r="E684" s="60">
        <v>3.8749402834549998E-3</v>
      </c>
    </row>
    <row r="685" spans="2:5" ht="14.5" customHeight="1">
      <c r="B685" s="86"/>
      <c r="C685" s="58" t="s">
        <v>246</v>
      </c>
      <c r="D685" s="59">
        <v>10</v>
      </c>
      <c r="E685" s="60">
        <v>5.3081373745999996E-4</v>
      </c>
    </row>
    <row r="686" spans="2:5" ht="14.5" customHeight="1">
      <c r="B686" s="86"/>
      <c r="C686" s="58" t="s">
        <v>247</v>
      </c>
      <c r="D686" s="59">
        <v>23</v>
      </c>
      <c r="E686" s="60">
        <v>1.220871596157E-3</v>
      </c>
    </row>
    <row r="687" spans="2:5" ht="14.5" customHeight="1">
      <c r="B687" s="86"/>
      <c r="C687" s="58" t="s">
        <v>248</v>
      </c>
      <c r="D687" s="59">
        <v>49</v>
      </c>
      <c r="E687" s="60">
        <v>2.6009873135519998E-3</v>
      </c>
    </row>
    <row r="688" spans="2:5" ht="14.5" customHeight="1">
      <c r="B688" s="86"/>
      <c r="C688" s="58" t="s">
        <v>249</v>
      </c>
      <c r="D688" s="59">
        <v>1</v>
      </c>
      <c r="E688" s="60">
        <v>5.3081373745999998E-5</v>
      </c>
    </row>
    <row r="689" spans="2:5" ht="14.5" customHeight="1">
      <c r="B689" s="86"/>
      <c r="C689" s="58" t="s">
        <v>250</v>
      </c>
      <c r="D689" s="59">
        <v>1</v>
      </c>
      <c r="E689" s="60">
        <v>5.3081373745999998E-5</v>
      </c>
    </row>
    <row r="690" spans="2:5" ht="14.5" customHeight="1">
      <c r="B690" s="86"/>
      <c r="C690" s="58" t="s">
        <v>253</v>
      </c>
      <c r="D690" s="59">
        <v>3</v>
      </c>
      <c r="E690" s="60">
        <v>1.5924412123800001E-4</v>
      </c>
    </row>
    <row r="691" spans="2:5" ht="14.5" customHeight="1">
      <c r="B691" s="86"/>
      <c r="C691" s="58" t="s">
        <v>254</v>
      </c>
      <c r="D691" s="59">
        <v>14</v>
      </c>
      <c r="E691" s="60">
        <v>7.4313923244300004E-4</v>
      </c>
    </row>
    <row r="692" spans="2:5" ht="14.5" customHeight="1">
      <c r="B692" s="87"/>
      <c r="C692" s="35" t="s">
        <v>28</v>
      </c>
      <c r="D692" s="34">
        <v>337</v>
      </c>
      <c r="E692" s="33">
        <v>1.7888422952386001E-2</v>
      </c>
    </row>
    <row r="693" spans="2:5" ht="14.5" customHeight="1">
      <c r="B693" s="85" t="s">
        <v>123</v>
      </c>
      <c r="C693" s="58" t="s">
        <v>234</v>
      </c>
      <c r="D693" s="59">
        <v>1</v>
      </c>
      <c r="E693" s="60">
        <v>5.3081373745999998E-5</v>
      </c>
    </row>
    <row r="694" spans="2:5" ht="14.5" customHeight="1">
      <c r="B694" s="86"/>
      <c r="C694" s="58" t="s">
        <v>235</v>
      </c>
      <c r="D694" s="59">
        <v>1</v>
      </c>
      <c r="E694" s="60">
        <v>5.3081373745999998E-5</v>
      </c>
    </row>
    <row r="695" spans="2:5" ht="14.5" customHeight="1">
      <c r="B695" s="86"/>
      <c r="C695" s="58" t="s">
        <v>236</v>
      </c>
      <c r="D695" s="59">
        <v>3</v>
      </c>
      <c r="E695" s="60">
        <v>1.5924412123800001E-4</v>
      </c>
    </row>
    <row r="696" spans="2:5" ht="14.5" customHeight="1">
      <c r="B696" s="86"/>
      <c r="C696" s="58" t="s">
        <v>237</v>
      </c>
      <c r="D696" s="59">
        <v>2</v>
      </c>
      <c r="E696" s="60">
        <v>1.06162747492E-4</v>
      </c>
    </row>
    <row r="697" spans="2:5" ht="14.5" customHeight="1">
      <c r="B697" s="86"/>
      <c r="C697" s="58" t="s">
        <v>238</v>
      </c>
      <c r="D697" s="59">
        <v>1</v>
      </c>
      <c r="E697" s="60">
        <v>5.3081373745999998E-5</v>
      </c>
    </row>
    <row r="698" spans="2:5" ht="14.5" customHeight="1">
      <c r="B698" s="86"/>
      <c r="C698" s="58" t="s">
        <v>239</v>
      </c>
      <c r="D698" s="59">
        <v>1</v>
      </c>
      <c r="E698" s="60">
        <v>5.3081373745999998E-5</v>
      </c>
    </row>
    <row r="699" spans="2:5" ht="14.5" customHeight="1">
      <c r="B699" s="86"/>
      <c r="C699" s="58" t="s">
        <v>240</v>
      </c>
      <c r="D699" s="59">
        <v>7</v>
      </c>
      <c r="E699" s="60">
        <v>3.71569616222E-4</v>
      </c>
    </row>
    <row r="700" spans="2:5" ht="14.5" customHeight="1">
      <c r="B700" s="86"/>
      <c r="C700" s="58" t="s">
        <v>241</v>
      </c>
      <c r="D700" s="59">
        <v>19</v>
      </c>
      <c r="E700" s="60">
        <v>1.008546101173E-3</v>
      </c>
    </row>
    <row r="701" spans="2:5" ht="14.5" customHeight="1">
      <c r="B701" s="86"/>
      <c r="C701" s="58" t="s">
        <v>242</v>
      </c>
      <c r="D701" s="59">
        <v>1</v>
      </c>
      <c r="E701" s="60">
        <v>5.3081373745999998E-5</v>
      </c>
    </row>
    <row r="702" spans="2:5" ht="14.5" customHeight="1">
      <c r="B702" s="86"/>
      <c r="C702" s="58" t="s">
        <v>243</v>
      </c>
      <c r="D702" s="59">
        <v>8</v>
      </c>
      <c r="E702" s="60">
        <v>4.2465098996799999E-4</v>
      </c>
    </row>
    <row r="703" spans="2:5" ht="14.5" customHeight="1">
      <c r="B703" s="86"/>
      <c r="C703" s="58" t="s">
        <v>244</v>
      </c>
      <c r="D703" s="59">
        <v>3</v>
      </c>
      <c r="E703" s="60">
        <v>1.5924412123800001E-4</v>
      </c>
    </row>
    <row r="704" spans="2:5" ht="14.5" customHeight="1">
      <c r="B704" s="86"/>
      <c r="C704" s="58" t="s">
        <v>245</v>
      </c>
      <c r="D704" s="59">
        <v>39</v>
      </c>
      <c r="E704" s="60">
        <v>2.0701735760919999E-3</v>
      </c>
    </row>
    <row r="705" spans="2:5" ht="14.5" customHeight="1">
      <c r="B705" s="86"/>
      <c r="C705" s="58" t="s">
        <v>246</v>
      </c>
      <c r="D705" s="59">
        <v>3</v>
      </c>
      <c r="E705" s="60">
        <v>1.5924412123800001E-4</v>
      </c>
    </row>
    <row r="706" spans="2:5" ht="14.5" customHeight="1">
      <c r="B706" s="86"/>
      <c r="C706" s="58" t="s">
        <v>247</v>
      </c>
      <c r="D706" s="59">
        <v>5</v>
      </c>
      <c r="E706" s="60">
        <v>2.6540686872999998E-4</v>
      </c>
    </row>
    <row r="707" spans="2:5" ht="14.5" customHeight="1">
      <c r="B707" s="86"/>
      <c r="C707" s="58" t="s">
        <v>248</v>
      </c>
      <c r="D707" s="59">
        <v>20</v>
      </c>
      <c r="E707" s="60">
        <v>1.0616274749190001E-3</v>
      </c>
    </row>
    <row r="708" spans="2:5" ht="14.5" customHeight="1">
      <c r="B708" s="86"/>
      <c r="C708" s="58" t="s">
        <v>251</v>
      </c>
      <c r="D708" s="59">
        <v>1</v>
      </c>
      <c r="E708" s="60">
        <v>5.3081373745999998E-5</v>
      </c>
    </row>
    <row r="709" spans="2:5" ht="14.5" customHeight="1">
      <c r="B709" s="86"/>
      <c r="C709" s="58" t="s">
        <v>252</v>
      </c>
      <c r="D709" s="59">
        <v>1</v>
      </c>
      <c r="E709" s="60">
        <v>5.3081373745999998E-5</v>
      </c>
    </row>
    <row r="710" spans="2:5" ht="14.5" customHeight="1">
      <c r="B710" s="86"/>
      <c r="C710" s="58" t="s">
        <v>253</v>
      </c>
      <c r="D710" s="59">
        <v>1</v>
      </c>
      <c r="E710" s="60">
        <v>5.3081373745999998E-5</v>
      </c>
    </row>
    <row r="711" spans="2:5" ht="14.5" customHeight="1">
      <c r="B711" s="86"/>
      <c r="C711" s="58" t="s">
        <v>254</v>
      </c>
      <c r="D711" s="59">
        <v>4</v>
      </c>
      <c r="E711" s="60">
        <v>2.1232549498399999E-4</v>
      </c>
    </row>
    <row r="712" spans="2:5" ht="14.5" customHeight="1">
      <c r="B712" s="87"/>
      <c r="C712" s="35" t="s">
        <v>28</v>
      </c>
      <c r="D712" s="34">
        <v>121</v>
      </c>
      <c r="E712" s="33">
        <v>6.4228462232600002E-3</v>
      </c>
    </row>
    <row r="713" spans="2:5" ht="14.5" customHeight="1">
      <c r="B713" s="85" t="s">
        <v>128</v>
      </c>
      <c r="C713" s="58" t="s">
        <v>235</v>
      </c>
      <c r="D713" s="59">
        <v>1</v>
      </c>
      <c r="E713" s="60">
        <v>5.3081373745999998E-5</v>
      </c>
    </row>
    <row r="714" spans="2:5" ht="14.5" customHeight="1">
      <c r="B714" s="86"/>
      <c r="C714" s="58" t="s">
        <v>236</v>
      </c>
      <c r="D714" s="59">
        <v>1</v>
      </c>
      <c r="E714" s="60">
        <v>5.3081373745999998E-5</v>
      </c>
    </row>
    <row r="715" spans="2:5" ht="14.5" customHeight="1">
      <c r="B715" s="86"/>
      <c r="C715" s="58" t="s">
        <v>237</v>
      </c>
      <c r="D715" s="59">
        <v>2</v>
      </c>
      <c r="E715" s="60">
        <v>1.06162747492E-4</v>
      </c>
    </row>
    <row r="716" spans="2:5" ht="14.5" customHeight="1">
      <c r="B716" s="86"/>
      <c r="C716" s="58" t="s">
        <v>238</v>
      </c>
      <c r="D716" s="59">
        <v>2</v>
      </c>
      <c r="E716" s="60">
        <v>1.06162747492E-4</v>
      </c>
    </row>
    <row r="717" spans="2:5" ht="14.5" customHeight="1">
      <c r="B717" s="86"/>
      <c r="C717" s="58" t="s">
        <v>239</v>
      </c>
      <c r="D717" s="59">
        <v>1</v>
      </c>
      <c r="E717" s="60">
        <v>5.3081373745999998E-5</v>
      </c>
    </row>
    <row r="718" spans="2:5" ht="14.5" customHeight="1">
      <c r="B718" s="86"/>
      <c r="C718" s="58" t="s">
        <v>240</v>
      </c>
      <c r="D718" s="59">
        <v>11</v>
      </c>
      <c r="E718" s="60">
        <v>5.8389511120500003E-4</v>
      </c>
    </row>
    <row r="719" spans="2:5" ht="14.5" customHeight="1">
      <c r="B719" s="86"/>
      <c r="C719" s="58" t="s">
        <v>241</v>
      </c>
      <c r="D719" s="59">
        <v>13</v>
      </c>
      <c r="E719" s="60">
        <v>6.90057858697E-4</v>
      </c>
    </row>
    <row r="720" spans="2:5" ht="14.5" customHeight="1">
      <c r="B720" s="86"/>
      <c r="C720" s="58" t="s">
        <v>242</v>
      </c>
      <c r="D720" s="59">
        <v>2</v>
      </c>
      <c r="E720" s="60">
        <v>1.06162747492E-4</v>
      </c>
    </row>
    <row r="721" spans="2:5" ht="14.5" customHeight="1">
      <c r="B721" s="86"/>
      <c r="C721" s="58" t="s">
        <v>244</v>
      </c>
      <c r="D721" s="59">
        <v>5</v>
      </c>
      <c r="E721" s="60">
        <v>2.6540686872999998E-4</v>
      </c>
    </row>
    <row r="722" spans="2:5" ht="14.5" customHeight="1">
      <c r="B722" s="86"/>
      <c r="C722" s="58" t="s">
        <v>245</v>
      </c>
      <c r="D722" s="59">
        <v>20</v>
      </c>
      <c r="E722" s="60">
        <v>1.0616274749190001E-3</v>
      </c>
    </row>
    <row r="723" spans="2:5" ht="14.5" customHeight="1">
      <c r="B723" s="86"/>
      <c r="C723" s="58" t="s">
        <v>246</v>
      </c>
      <c r="D723" s="59">
        <v>2</v>
      </c>
      <c r="E723" s="60">
        <v>1.06162747492E-4</v>
      </c>
    </row>
    <row r="724" spans="2:5" ht="14.5" customHeight="1">
      <c r="B724" s="86"/>
      <c r="C724" s="58" t="s">
        <v>247</v>
      </c>
      <c r="D724" s="59">
        <v>2</v>
      </c>
      <c r="E724" s="60">
        <v>1.06162747492E-4</v>
      </c>
    </row>
    <row r="725" spans="2:5" ht="14.5" customHeight="1">
      <c r="B725" s="86"/>
      <c r="C725" s="58" t="s">
        <v>248</v>
      </c>
      <c r="D725" s="59">
        <v>13</v>
      </c>
      <c r="E725" s="60">
        <v>6.90057858697E-4</v>
      </c>
    </row>
    <row r="726" spans="2:5" ht="14.5" customHeight="1">
      <c r="B726" s="86"/>
      <c r="C726" s="58" t="s">
        <v>252</v>
      </c>
      <c r="D726" s="59">
        <v>1</v>
      </c>
      <c r="E726" s="60">
        <v>5.3081373745999998E-5</v>
      </c>
    </row>
    <row r="727" spans="2:5" ht="14.5" customHeight="1">
      <c r="B727" s="86"/>
      <c r="C727" s="58" t="s">
        <v>253</v>
      </c>
      <c r="D727" s="59">
        <v>1</v>
      </c>
      <c r="E727" s="60">
        <v>5.3081373745999998E-5</v>
      </c>
    </row>
    <row r="728" spans="2:5" ht="14.5" customHeight="1">
      <c r="B728" s="86"/>
      <c r="C728" s="58" t="s">
        <v>254</v>
      </c>
      <c r="D728" s="59">
        <v>3</v>
      </c>
      <c r="E728" s="60">
        <v>1.5924412123800001E-4</v>
      </c>
    </row>
    <row r="729" spans="2:5" ht="14.5" customHeight="1">
      <c r="B729" s="87"/>
      <c r="C729" s="35" t="s">
        <v>28</v>
      </c>
      <c r="D729" s="34">
        <v>80</v>
      </c>
      <c r="E729" s="33">
        <v>4.2465098996760002E-3</v>
      </c>
    </row>
    <row r="730" spans="2:5" ht="14.5" customHeight="1">
      <c r="B730" s="85" t="s">
        <v>117</v>
      </c>
      <c r="C730" s="58" t="s">
        <v>234</v>
      </c>
      <c r="D730" s="59">
        <v>7</v>
      </c>
      <c r="E730" s="60">
        <v>3.71569616222E-4</v>
      </c>
    </row>
    <row r="731" spans="2:5" ht="14.5" customHeight="1">
      <c r="B731" s="86"/>
      <c r="C731" s="58" t="s">
        <v>235</v>
      </c>
      <c r="D731" s="59">
        <v>2</v>
      </c>
      <c r="E731" s="60">
        <v>1.06162747492E-4</v>
      </c>
    </row>
    <row r="732" spans="2:5" ht="14.5" customHeight="1">
      <c r="B732" s="86"/>
      <c r="C732" s="58" t="s">
        <v>237</v>
      </c>
      <c r="D732" s="59">
        <v>3</v>
      </c>
      <c r="E732" s="60">
        <v>1.5924412123800001E-4</v>
      </c>
    </row>
    <row r="733" spans="2:5" ht="14.5" customHeight="1">
      <c r="B733" s="86"/>
      <c r="C733" s="58" t="s">
        <v>238</v>
      </c>
      <c r="D733" s="59">
        <v>6</v>
      </c>
      <c r="E733" s="60">
        <v>3.1848824247600002E-4</v>
      </c>
    </row>
    <row r="734" spans="2:5" ht="14.5" customHeight="1">
      <c r="B734" s="86"/>
      <c r="C734" s="58" t="s">
        <v>239</v>
      </c>
      <c r="D734" s="59">
        <v>4</v>
      </c>
      <c r="E734" s="60">
        <v>2.1232549498399999E-4</v>
      </c>
    </row>
    <row r="735" spans="2:5" ht="14.5" customHeight="1">
      <c r="B735" s="86"/>
      <c r="C735" s="58" t="s">
        <v>240</v>
      </c>
      <c r="D735" s="59">
        <v>42</v>
      </c>
      <c r="E735" s="60">
        <v>2.2294176973300002E-3</v>
      </c>
    </row>
    <row r="736" spans="2:5" ht="14.5" customHeight="1">
      <c r="B736" s="86"/>
      <c r="C736" s="58" t="s">
        <v>241</v>
      </c>
      <c r="D736" s="59">
        <v>26</v>
      </c>
      <c r="E736" s="60">
        <v>1.3801157173950001E-3</v>
      </c>
    </row>
    <row r="737" spans="2:5" ht="14.5" customHeight="1">
      <c r="B737" s="86"/>
      <c r="C737" s="58" t="s">
        <v>242</v>
      </c>
      <c r="D737" s="59">
        <v>4</v>
      </c>
      <c r="E737" s="60">
        <v>2.1232549498399999E-4</v>
      </c>
    </row>
    <row r="738" spans="2:5" ht="14.5" customHeight="1">
      <c r="B738" s="86"/>
      <c r="C738" s="58" t="s">
        <v>243</v>
      </c>
      <c r="D738" s="59">
        <v>5</v>
      </c>
      <c r="E738" s="60">
        <v>2.6540686872999998E-4</v>
      </c>
    </row>
    <row r="739" spans="2:5" ht="14.5" customHeight="1">
      <c r="B739" s="86"/>
      <c r="C739" s="58" t="s">
        <v>244</v>
      </c>
      <c r="D739" s="59">
        <v>6</v>
      </c>
      <c r="E739" s="60">
        <v>3.1848824247600002E-4</v>
      </c>
    </row>
    <row r="740" spans="2:5" ht="14.5" customHeight="1">
      <c r="B740" s="86"/>
      <c r="C740" s="58" t="s">
        <v>245</v>
      </c>
      <c r="D740" s="59">
        <v>58</v>
      </c>
      <c r="E740" s="60">
        <v>3.0787196772649999E-3</v>
      </c>
    </row>
    <row r="741" spans="2:5" ht="14.5" customHeight="1">
      <c r="B741" s="86"/>
      <c r="C741" s="58" t="s">
        <v>246</v>
      </c>
      <c r="D741" s="59">
        <v>5</v>
      </c>
      <c r="E741" s="60">
        <v>2.6540686872999998E-4</v>
      </c>
    </row>
    <row r="742" spans="2:5" ht="14.5" customHeight="1">
      <c r="B742" s="86"/>
      <c r="C742" s="58" t="s">
        <v>247</v>
      </c>
      <c r="D742" s="59">
        <v>6</v>
      </c>
      <c r="E742" s="60">
        <v>3.1848824247600002E-4</v>
      </c>
    </row>
    <row r="743" spans="2:5" ht="14.5" customHeight="1">
      <c r="B743" s="86"/>
      <c r="C743" s="58" t="s">
        <v>248</v>
      </c>
      <c r="D743" s="59">
        <v>33</v>
      </c>
      <c r="E743" s="60">
        <v>1.7516853336160001E-3</v>
      </c>
    </row>
    <row r="744" spans="2:5" ht="14.5" customHeight="1">
      <c r="B744" s="86"/>
      <c r="C744" s="58" t="s">
        <v>250</v>
      </c>
      <c r="D744" s="59">
        <v>1</v>
      </c>
      <c r="E744" s="60">
        <v>5.3081373745999998E-5</v>
      </c>
    </row>
    <row r="745" spans="2:5" ht="14.5" customHeight="1">
      <c r="B745" s="86"/>
      <c r="C745" s="58" t="s">
        <v>253</v>
      </c>
      <c r="D745" s="59">
        <v>4</v>
      </c>
      <c r="E745" s="60">
        <v>2.1232549498399999E-4</v>
      </c>
    </row>
    <row r="746" spans="2:5" ht="14.5" customHeight="1">
      <c r="B746" s="86"/>
      <c r="C746" s="58" t="s">
        <v>254</v>
      </c>
      <c r="D746" s="59">
        <v>2</v>
      </c>
      <c r="E746" s="60">
        <v>1.06162747492E-4</v>
      </c>
    </row>
    <row r="747" spans="2:5" ht="14.5" customHeight="1">
      <c r="B747" s="87"/>
      <c r="C747" s="35" t="s">
        <v>28</v>
      </c>
      <c r="D747" s="34">
        <v>214</v>
      </c>
      <c r="E747" s="33">
        <v>1.1359413981634E-2</v>
      </c>
    </row>
    <row r="748" spans="2:5" ht="14.5" customHeight="1">
      <c r="B748" s="85" t="s">
        <v>115</v>
      </c>
      <c r="C748" s="58" t="s">
        <v>234</v>
      </c>
      <c r="D748" s="59">
        <v>3</v>
      </c>
      <c r="E748" s="60">
        <v>1.5924412123800001E-4</v>
      </c>
    </row>
    <row r="749" spans="2:5" ht="14.5" customHeight="1">
      <c r="B749" s="86"/>
      <c r="C749" s="58" t="s">
        <v>235</v>
      </c>
      <c r="D749" s="59">
        <v>2</v>
      </c>
      <c r="E749" s="60">
        <v>1.06162747492E-4</v>
      </c>
    </row>
    <row r="750" spans="2:5" ht="14.5" customHeight="1">
      <c r="B750" s="86"/>
      <c r="C750" s="58" t="s">
        <v>236</v>
      </c>
      <c r="D750" s="59">
        <v>3</v>
      </c>
      <c r="E750" s="60">
        <v>1.5924412123800001E-4</v>
      </c>
    </row>
    <row r="751" spans="2:5" ht="14.5" customHeight="1">
      <c r="B751" s="86"/>
      <c r="C751" s="58" t="s">
        <v>237</v>
      </c>
      <c r="D751" s="59">
        <v>7</v>
      </c>
      <c r="E751" s="60">
        <v>3.71569616222E-4</v>
      </c>
    </row>
    <row r="752" spans="2:5" ht="14.5" customHeight="1">
      <c r="B752" s="86"/>
      <c r="C752" s="58" t="s">
        <v>238</v>
      </c>
      <c r="D752" s="59">
        <v>2</v>
      </c>
      <c r="E752" s="60">
        <v>1.06162747492E-4</v>
      </c>
    </row>
    <row r="753" spans="2:5" ht="14.5" customHeight="1">
      <c r="B753" s="86"/>
      <c r="C753" s="58" t="s">
        <v>239</v>
      </c>
      <c r="D753" s="59">
        <v>5</v>
      </c>
      <c r="E753" s="60">
        <v>2.6540686872999998E-4</v>
      </c>
    </row>
    <row r="754" spans="2:5" ht="14.5" customHeight="1">
      <c r="B754" s="86"/>
      <c r="C754" s="58" t="s">
        <v>240</v>
      </c>
      <c r="D754" s="59">
        <v>18</v>
      </c>
      <c r="E754" s="60">
        <v>9.5546472742699998E-4</v>
      </c>
    </row>
    <row r="755" spans="2:5" ht="14.5" customHeight="1">
      <c r="B755" s="86"/>
      <c r="C755" s="58" t="s">
        <v>241</v>
      </c>
      <c r="D755" s="59">
        <v>31</v>
      </c>
      <c r="E755" s="60">
        <v>1.6455225861250001E-3</v>
      </c>
    </row>
    <row r="756" spans="2:5" ht="14.5" customHeight="1">
      <c r="B756" s="86"/>
      <c r="C756" s="58" t="s">
        <v>242</v>
      </c>
      <c r="D756" s="59">
        <v>2</v>
      </c>
      <c r="E756" s="60">
        <v>1.06162747492E-4</v>
      </c>
    </row>
    <row r="757" spans="2:5" ht="14.5" customHeight="1">
      <c r="B757" s="86"/>
      <c r="C757" s="58" t="s">
        <v>243</v>
      </c>
      <c r="D757" s="59">
        <v>6</v>
      </c>
      <c r="E757" s="60">
        <v>3.1848824247600002E-4</v>
      </c>
    </row>
    <row r="758" spans="2:5" ht="14.5" customHeight="1">
      <c r="B758" s="86"/>
      <c r="C758" s="58" t="s">
        <v>244</v>
      </c>
      <c r="D758" s="59">
        <v>5</v>
      </c>
      <c r="E758" s="60">
        <v>2.6540686872999998E-4</v>
      </c>
    </row>
    <row r="759" spans="2:5" ht="14.5" customHeight="1">
      <c r="B759" s="86"/>
      <c r="C759" s="58" t="s">
        <v>245</v>
      </c>
      <c r="D759" s="59">
        <v>64</v>
      </c>
      <c r="E759" s="60">
        <v>3.3972079197410001E-3</v>
      </c>
    </row>
    <row r="760" spans="2:5" ht="14.5" customHeight="1">
      <c r="B760" s="86"/>
      <c r="C760" s="58" t="s">
        <v>246</v>
      </c>
      <c r="D760" s="59">
        <v>5</v>
      </c>
      <c r="E760" s="60">
        <v>2.6540686872999998E-4</v>
      </c>
    </row>
    <row r="761" spans="2:5" ht="14.5" customHeight="1">
      <c r="B761" s="86"/>
      <c r="C761" s="58" t="s">
        <v>247</v>
      </c>
      <c r="D761" s="59">
        <v>11</v>
      </c>
      <c r="E761" s="60">
        <v>5.8389511120500003E-4</v>
      </c>
    </row>
    <row r="762" spans="2:5" ht="14.5" customHeight="1">
      <c r="B762" s="86"/>
      <c r="C762" s="58" t="s">
        <v>248</v>
      </c>
      <c r="D762" s="59">
        <v>40</v>
      </c>
      <c r="E762" s="60">
        <v>2.1232549498380001E-3</v>
      </c>
    </row>
    <row r="763" spans="2:5" ht="14.5" customHeight="1">
      <c r="B763" s="86"/>
      <c r="C763" s="58" t="s">
        <v>250</v>
      </c>
      <c r="D763" s="59">
        <v>2</v>
      </c>
      <c r="E763" s="60">
        <v>1.06162747492E-4</v>
      </c>
    </row>
    <row r="764" spans="2:5" ht="14.5" customHeight="1">
      <c r="B764" s="86"/>
      <c r="C764" s="58" t="s">
        <v>253</v>
      </c>
      <c r="D764" s="59">
        <v>2</v>
      </c>
      <c r="E764" s="60">
        <v>1.06162747492E-4</v>
      </c>
    </row>
    <row r="765" spans="2:5" ht="14.5" customHeight="1">
      <c r="B765" s="86"/>
      <c r="C765" s="58" t="s">
        <v>254</v>
      </c>
      <c r="D765" s="59">
        <v>10</v>
      </c>
      <c r="E765" s="60">
        <v>5.3081373745999996E-4</v>
      </c>
    </row>
    <row r="766" spans="2:5" ht="14.5" customHeight="1">
      <c r="B766" s="87"/>
      <c r="C766" s="35" t="s">
        <v>28</v>
      </c>
      <c r="D766" s="34">
        <v>218</v>
      </c>
      <c r="E766" s="33">
        <v>1.1571739476618E-2</v>
      </c>
    </row>
    <row r="767" spans="2:5" ht="14.5" customHeight="1">
      <c r="B767" s="85" t="s">
        <v>133</v>
      </c>
      <c r="C767" s="58" t="s">
        <v>240</v>
      </c>
      <c r="D767" s="59">
        <v>2</v>
      </c>
      <c r="E767" s="60">
        <v>1.06162747492E-4</v>
      </c>
    </row>
    <row r="768" spans="2:5" ht="14.5" customHeight="1">
      <c r="B768" s="86"/>
      <c r="C768" s="58" t="s">
        <v>241</v>
      </c>
      <c r="D768" s="59">
        <v>11</v>
      </c>
      <c r="E768" s="60">
        <v>5.8389511120500003E-4</v>
      </c>
    </row>
    <row r="769" spans="2:5" ht="14.5" customHeight="1">
      <c r="B769" s="86"/>
      <c r="C769" s="58" t="s">
        <v>244</v>
      </c>
      <c r="D769" s="59">
        <v>5</v>
      </c>
      <c r="E769" s="60">
        <v>2.6540686872999998E-4</v>
      </c>
    </row>
    <row r="770" spans="2:5" ht="14.5" customHeight="1">
      <c r="B770" s="86"/>
      <c r="C770" s="58" t="s">
        <v>245</v>
      </c>
      <c r="D770" s="59">
        <v>17</v>
      </c>
      <c r="E770" s="60">
        <v>9.0238335368100005E-4</v>
      </c>
    </row>
    <row r="771" spans="2:5" ht="14.5" customHeight="1">
      <c r="B771" s="86"/>
      <c r="C771" s="58" t="s">
        <v>247</v>
      </c>
      <c r="D771" s="59">
        <v>1</v>
      </c>
      <c r="E771" s="60">
        <v>5.3081373745999998E-5</v>
      </c>
    </row>
    <row r="772" spans="2:5" ht="14.5" customHeight="1">
      <c r="B772" s="86"/>
      <c r="C772" s="58" t="s">
        <v>248</v>
      </c>
      <c r="D772" s="59">
        <v>9</v>
      </c>
      <c r="E772" s="60">
        <v>4.7773236371400003E-4</v>
      </c>
    </row>
    <row r="773" spans="2:5" ht="14.5" customHeight="1">
      <c r="B773" s="86"/>
      <c r="C773" s="58" t="s">
        <v>253</v>
      </c>
      <c r="D773" s="59">
        <v>1</v>
      </c>
      <c r="E773" s="60">
        <v>5.3081373745999998E-5</v>
      </c>
    </row>
    <row r="774" spans="2:5" ht="14.5" customHeight="1">
      <c r="B774" s="87"/>
      <c r="C774" s="35" t="s">
        <v>28</v>
      </c>
      <c r="D774" s="34">
        <v>46</v>
      </c>
      <c r="E774" s="33">
        <v>2.4417431923139999E-3</v>
      </c>
    </row>
    <row r="775" spans="2:5" ht="14.5" customHeight="1">
      <c r="B775" s="85" t="s">
        <v>139</v>
      </c>
      <c r="C775" s="58" t="s">
        <v>234</v>
      </c>
      <c r="D775" s="59">
        <v>2</v>
      </c>
      <c r="E775" s="60">
        <v>1.06162747492E-4</v>
      </c>
    </row>
    <row r="776" spans="2:5" ht="14.5" customHeight="1">
      <c r="B776" s="86"/>
      <c r="C776" s="58" t="s">
        <v>239</v>
      </c>
      <c r="D776" s="59">
        <v>1</v>
      </c>
      <c r="E776" s="60">
        <v>5.3081373745999998E-5</v>
      </c>
    </row>
    <row r="777" spans="2:5" ht="14.5" customHeight="1">
      <c r="B777" s="86"/>
      <c r="C777" s="58" t="s">
        <v>240</v>
      </c>
      <c r="D777" s="59">
        <v>1</v>
      </c>
      <c r="E777" s="60">
        <v>5.3081373745999998E-5</v>
      </c>
    </row>
    <row r="778" spans="2:5" ht="14.5" customHeight="1">
      <c r="B778" s="86"/>
      <c r="C778" s="58" t="s">
        <v>241</v>
      </c>
      <c r="D778" s="59">
        <v>3</v>
      </c>
      <c r="E778" s="60">
        <v>1.5924412123800001E-4</v>
      </c>
    </row>
    <row r="779" spans="2:5" ht="14.5" customHeight="1">
      <c r="B779" s="86"/>
      <c r="C779" s="58" t="s">
        <v>243</v>
      </c>
      <c r="D779" s="59">
        <v>1</v>
      </c>
      <c r="E779" s="60">
        <v>5.3081373745999998E-5</v>
      </c>
    </row>
    <row r="780" spans="2:5" ht="14.5" customHeight="1">
      <c r="B780" s="86"/>
      <c r="C780" s="58" t="s">
        <v>244</v>
      </c>
      <c r="D780" s="59">
        <v>1</v>
      </c>
      <c r="E780" s="60">
        <v>5.3081373745999998E-5</v>
      </c>
    </row>
    <row r="781" spans="2:5" ht="14.5" customHeight="1">
      <c r="B781" s="86"/>
      <c r="C781" s="58" t="s">
        <v>245</v>
      </c>
      <c r="D781" s="59">
        <v>5</v>
      </c>
      <c r="E781" s="60">
        <v>2.6540686872999998E-4</v>
      </c>
    </row>
    <row r="782" spans="2:5" ht="14.5" customHeight="1">
      <c r="B782" s="86"/>
      <c r="C782" s="58" t="s">
        <v>246</v>
      </c>
      <c r="D782" s="59">
        <v>2</v>
      </c>
      <c r="E782" s="60">
        <v>1.06162747492E-4</v>
      </c>
    </row>
    <row r="783" spans="2:5" ht="14.5" customHeight="1">
      <c r="B783" s="86"/>
      <c r="C783" s="58" t="s">
        <v>248</v>
      </c>
      <c r="D783" s="59">
        <v>2</v>
      </c>
      <c r="E783" s="60">
        <v>1.06162747492E-4</v>
      </c>
    </row>
    <row r="784" spans="2:5" ht="14.5" customHeight="1">
      <c r="B784" s="86"/>
      <c r="C784" s="58" t="s">
        <v>254</v>
      </c>
      <c r="D784" s="59">
        <v>2</v>
      </c>
      <c r="E784" s="60">
        <v>1.06162747492E-4</v>
      </c>
    </row>
    <row r="785" spans="2:5" ht="14.5" customHeight="1">
      <c r="B785" s="87"/>
      <c r="C785" s="35" t="s">
        <v>28</v>
      </c>
      <c r="D785" s="34">
        <v>20</v>
      </c>
      <c r="E785" s="33">
        <v>1.0616274749190001E-3</v>
      </c>
    </row>
    <row r="786" spans="2:5" ht="14.5" customHeight="1">
      <c r="B786" s="85" t="s">
        <v>93</v>
      </c>
      <c r="C786" s="58" t="s">
        <v>235</v>
      </c>
      <c r="D786" s="59">
        <v>1</v>
      </c>
      <c r="E786" s="60">
        <v>5.3081373745999998E-5</v>
      </c>
    </row>
    <row r="787" spans="2:5" ht="14.5" customHeight="1">
      <c r="B787" s="86"/>
      <c r="C787" s="58" t="s">
        <v>238</v>
      </c>
      <c r="D787" s="59">
        <v>2</v>
      </c>
      <c r="E787" s="60">
        <v>1.06162747492E-4</v>
      </c>
    </row>
    <row r="788" spans="2:5" ht="14.5" customHeight="1">
      <c r="B788" s="86"/>
      <c r="C788" s="58" t="s">
        <v>240</v>
      </c>
      <c r="D788" s="59">
        <v>7</v>
      </c>
      <c r="E788" s="60">
        <v>3.71569616222E-4</v>
      </c>
    </row>
    <row r="789" spans="2:5" ht="14.5" customHeight="1">
      <c r="B789" s="86"/>
      <c r="C789" s="58" t="s">
        <v>241</v>
      </c>
      <c r="D789" s="59">
        <v>7</v>
      </c>
      <c r="E789" s="60">
        <v>3.71569616222E-4</v>
      </c>
    </row>
    <row r="790" spans="2:5" ht="14.5" customHeight="1">
      <c r="B790" s="86"/>
      <c r="C790" s="58" t="s">
        <v>242</v>
      </c>
      <c r="D790" s="59">
        <v>1</v>
      </c>
      <c r="E790" s="60">
        <v>5.3081373745999998E-5</v>
      </c>
    </row>
    <row r="791" spans="2:5" ht="14.5" customHeight="1">
      <c r="B791" s="86"/>
      <c r="C791" s="58" t="s">
        <v>243</v>
      </c>
      <c r="D791" s="59">
        <v>2</v>
      </c>
      <c r="E791" s="60">
        <v>1.06162747492E-4</v>
      </c>
    </row>
    <row r="792" spans="2:5" ht="14.5" customHeight="1">
      <c r="B792" s="86"/>
      <c r="C792" s="58" t="s">
        <v>244</v>
      </c>
      <c r="D792" s="59">
        <v>5</v>
      </c>
      <c r="E792" s="60">
        <v>2.6540686872999998E-4</v>
      </c>
    </row>
    <row r="793" spans="2:5" ht="14.5" customHeight="1">
      <c r="B793" s="86"/>
      <c r="C793" s="58" t="s">
        <v>245</v>
      </c>
      <c r="D793" s="59">
        <v>11</v>
      </c>
      <c r="E793" s="60">
        <v>5.8389511120500003E-4</v>
      </c>
    </row>
    <row r="794" spans="2:5" ht="14.5" customHeight="1">
      <c r="B794" s="86"/>
      <c r="C794" s="58" t="s">
        <v>246</v>
      </c>
      <c r="D794" s="59">
        <v>1</v>
      </c>
      <c r="E794" s="60">
        <v>5.3081373745999998E-5</v>
      </c>
    </row>
    <row r="795" spans="2:5" ht="14.5" customHeight="1">
      <c r="B795" s="86"/>
      <c r="C795" s="58" t="s">
        <v>247</v>
      </c>
      <c r="D795" s="59">
        <v>3</v>
      </c>
      <c r="E795" s="60">
        <v>1.5924412123800001E-4</v>
      </c>
    </row>
    <row r="796" spans="2:5" ht="14.5" customHeight="1">
      <c r="B796" s="86"/>
      <c r="C796" s="58" t="s">
        <v>248</v>
      </c>
      <c r="D796" s="59">
        <v>12</v>
      </c>
      <c r="E796" s="60">
        <v>6.3697648495099997E-4</v>
      </c>
    </row>
    <row r="797" spans="2:5" ht="14.5" customHeight="1">
      <c r="B797" s="86"/>
      <c r="C797" s="58" t="s">
        <v>250</v>
      </c>
      <c r="D797" s="59">
        <v>1</v>
      </c>
      <c r="E797" s="60">
        <v>5.3081373745999998E-5</v>
      </c>
    </row>
    <row r="798" spans="2:5" ht="14.5" customHeight="1">
      <c r="B798" s="86"/>
      <c r="C798" s="58" t="s">
        <v>253</v>
      </c>
      <c r="D798" s="59">
        <v>1</v>
      </c>
      <c r="E798" s="60">
        <v>5.3081373745999998E-5</v>
      </c>
    </row>
    <row r="799" spans="2:5" ht="14.5" customHeight="1">
      <c r="B799" s="86"/>
      <c r="C799" s="58" t="s">
        <v>254</v>
      </c>
      <c r="D799" s="59">
        <v>2</v>
      </c>
      <c r="E799" s="60">
        <v>1.06162747492E-4</v>
      </c>
    </row>
    <row r="800" spans="2:5" ht="14.5" customHeight="1">
      <c r="B800" s="87"/>
      <c r="C800" s="35" t="s">
        <v>28</v>
      </c>
      <c r="D800" s="34">
        <v>56</v>
      </c>
      <c r="E800" s="33">
        <v>2.9725569297729998E-3</v>
      </c>
    </row>
    <row r="801" spans="2:5" ht="14.5" customHeight="1">
      <c r="B801" s="85" t="s">
        <v>141</v>
      </c>
      <c r="C801" s="58" t="s">
        <v>235</v>
      </c>
      <c r="D801" s="59">
        <v>1</v>
      </c>
      <c r="E801" s="60">
        <v>5.3081373745999998E-5</v>
      </c>
    </row>
    <row r="802" spans="2:5" ht="14.5" customHeight="1">
      <c r="B802" s="86"/>
      <c r="C802" s="58" t="s">
        <v>237</v>
      </c>
      <c r="D802" s="59">
        <v>1</v>
      </c>
      <c r="E802" s="60">
        <v>5.3081373745999998E-5</v>
      </c>
    </row>
    <row r="803" spans="2:5" ht="14.5" customHeight="1">
      <c r="B803" s="86"/>
      <c r="C803" s="58" t="s">
        <v>241</v>
      </c>
      <c r="D803" s="59">
        <v>2</v>
      </c>
      <c r="E803" s="60">
        <v>1.06162747492E-4</v>
      </c>
    </row>
    <row r="804" spans="2:5" ht="14.5" customHeight="1">
      <c r="B804" s="86"/>
      <c r="C804" s="58" t="s">
        <v>242</v>
      </c>
      <c r="D804" s="59">
        <v>1</v>
      </c>
      <c r="E804" s="60">
        <v>5.3081373745999998E-5</v>
      </c>
    </row>
    <row r="805" spans="2:5" ht="14.5" customHeight="1">
      <c r="B805" s="86"/>
      <c r="C805" s="58" t="s">
        <v>243</v>
      </c>
      <c r="D805" s="59">
        <v>1</v>
      </c>
      <c r="E805" s="60">
        <v>5.3081373745999998E-5</v>
      </c>
    </row>
    <row r="806" spans="2:5" ht="14.5" customHeight="1">
      <c r="B806" s="86"/>
      <c r="C806" s="58" t="s">
        <v>245</v>
      </c>
      <c r="D806" s="59">
        <v>2</v>
      </c>
      <c r="E806" s="60">
        <v>1.06162747492E-4</v>
      </c>
    </row>
    <row r="807" spans="2:5" ht="14.5" customHeight="1">
      <c r="B807" s="86"/>
      <c r="C807" s="58" t="s">
        <v>247</v>
      </c>
      <c r="D807" s="59">
        <v>1</v>
      </c>
      <c r="E807" s="60">
        <v>5.3081373745999998E-5</v>
      </c>
    </row>
    <row r="808" spans="2:5" ht="14.5" customHeight="1">
      <c r="B808" s="86"/>
      <c r="C808" s="58" t="s">
        <v>248</v>
      </c>
      <c r="D808" s="59">
        <v>1</v>
      </c>
      <c r="E808" s="60">
        <v>5.3081373745999998E-5</v>
      </c>
    </row>
    <row r="809" spans="2:5" ht="14.5" customHeight="1">
      <c r="B809" s="87"/>
      <c r="C809" s="35" t="s">
        <v>28</v>
      </c>
      <c r="D809" s="34">
        <v>10</v>
      </c>
      <c r="E809" s="33">
        <v>5.3081373745999996E-4</v>
      </c>
    </row>
    <row r="810" spans="2:5" ht="14.5" customHeight="1">
      <c r="B810" s="89" t="s">
        <v>28</v>
      </c>
      <c r="C810" s="90"/>
      <c r="D810" s="56">
        <v>18839</v>
      </c>
      <c r="E810" s="57">
        <v>1</v>
      </c>
    </row>
    <row r="811" spans="2:5" ht="14.5" customHeight="1"/>
    <row r="812" spans="2:5" ht="14.5" customHeight="1">
      <c r="B812" s="15" t="s">
        <v>48</v>
      </c>
    </row>
    <row r="813" spans="2:5" ht="14.5" customHeight="1">
      <c r="B813" s="17" t="s">
        <v>17</v>
      </c>
    </row>
    <row r="814" spans="2:5" ht="14.5" customHeight="1">
      <c r="B814" s="16" t="s">
        <v>49</v>
      </c>
    </row>
    <row r="815" spans="2:5" ht="14.5" customHeight="1">
      <c r="B815" s="15" t="s">
        <v>16</v>
      </c>
    </row>
    <row r="816" spans="2:5" ht="14.5" customHeight="1">
      <c r="B816" s="15" t="s">
        <v>50</v>
      </c>
    </row>
  </sheetData>
  <mergeCells count="53">
    <mergeCell ref="B801:B809"/>
    <mergeCell ref="B810:C810"/>
    <mergeCell ref="B730:B747"/>
    <mergeCell ref="B748:B766"/>
    <mergeCell ref="B767:B774"/>
    <mergeCell ref="B775:B785"/>
    <mergeCell ref="B786:B800"/>
    <mergeCell ref="B641:B653"/>
    <mergeCell ref="B654:B672"/>
    <mergeCell ref="B673:B692"/>
    <mergeCell ref="B693:B712"/>
    <mergeCell ref="B713:B729"/>
    <mergeCell ref="B566:B581"/>
    <mergeCell ref="B582:B593"/>
    <mergeCell ref="B594:B610"/>
    <mergeCell ref="B611:B625"/>
    <mergeCell ref="B626:B640"/>
    <mergeCell ref="B495:B511"/>
    <mergeCell ref="B512:B529"/>
    <mergeCell ref="B530:B543"/>
    <mergeCell ref="B544:B565"/>
    <mergeCell ref="B286:B304"/>
    <mergeCell ref="B305:B326"/>
    <mergeCell ref="B327:B336"/>
    <mergeCell ref="B337:B357"/>
    <mergeCell ref="B358:B378"/>
    <mergeCell ref="B379:B400"/>
    <mergeCell ref="B401:B417"/>
    <mergeCell ref="B418:B431"/>
    <mergeCell ref="B432:B446"/>
    <mergeCell ref="B447:B448"/>
    <mergeCell ref="B449:B450"/>
    <mergeCell ref="B165:B186"/>
    <mergeCell ref="B187:B207"/>
    <mergeCell ref="B208:B211"/>
    <mergeCell ref="B212:B233"/>
    <mergeCell ref="B234:B245"/>
    <mergeCell ref="B246:B263"/>
    <mergeCell ref="B264:B285"/>
    <mergeCell ref="B451:B463"/>
    <mergeCell ref="B464:B472"/>
    <mergeCell ref="B473:B494"/>
    <mergeCell ref="B155:B164"/>
    <mergeCell ref="B7:E8"/>
    <mergeCell ref="B86:B101"/>
    <mergeCell ref="B102:B106"/>
    <mergeCell ref="B107:B130"/>
    <mergeCell ref="B131:B154"/>
    <mergeCell ref="B10:B29"/>
    <mergeCell ref="B30:B49"/>
    <mergeCell ref="B50:B68"/>
    <mergeCell ref="B69:B82"/>
    <mergeCell ref="B83:B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1"/>
  <sheetViews>
    <sheetView showGridLines="0" view="pageBreakPreview" zoomScale="115" zoomScaleNormal="100" zoomScaleSheetLayoutView="115" workbookViewId="0">
      <selection activeCell="F11" sqref="F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7" width="3.36328125" style="13" customWidth="1"/>
    <col min="8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39</v>
      </c>
      <c r="C7" s="96"/>
      <c r="D7" s="96"/>
    </row>
    <row r="8" spans="2:4" s="24" customFormat="1" ht="15" customHeight="1">
      <c r="B8" s="96"/>
      <c r="C8" s="96"/>
      <c r="D8" s="96"/>
    </row>
    <row r="9" spans="2:4" s="24" customFormat="1" ht="33" customHeight="1">
      <c r="B9" s="96"/>
      <c r="C9" s="96"/>
      <c r="D9" s="96"/>
    </row>
    <row r="10" spans="2:4" s="24" customFormat="1" ht="4.5" customHeight="1">
      <c r="B10" s="28"/>
      <c r="C10" s="28"/>
      <c r="D10" s="28"/>
    </row>
    <row r="11" spans="2:4" s="24" customFormat="1" ht="33" customHeight="1">
      <c r="B11" s="27" t="s">
        <v>29</v>
      </c>
      <c r="C11" s="26" t="s">
        <v>19</v>
      </c>
      <c r="D11" s="25" t="s">
        <v>18</v>
      </c>
    </row>
    <row r="12" spans="2:4" s="65" customFormat="1" ht="15" customHeight="1">
      <c r="B12" s="23" t="s">
        <v>147</v>
      </c>
      <c r="C12" s="22">
        <v>8276</v>
      </c>
      <c r="D12" s="21">
        <v>0.43930144912150298</v>
      </c>
    </row>
    <row r="13" spans="2:4" s="65" customFormat="1" ht="15" customHeight="1">
      <c r="B13" s="23" t="s">
        <v>148</v>
      </c>
      <c r="C13" s="22">
        <v>10563</v>
      </c>
      <c r="D13" s="21">
        <v>0.56069855087849696</v>
      </c>
    </row>
    <row r="14" spans="2:4" s="65" customFormat="1" ht="16.5">
      <c r="B14" s="20" t="s">
        <v>28</v>
      </c>
      <c r="C14" s="19">
        <v>18839</v>
      </c>
      <c r="D14" s="18">
        <v>1</v>
      </c>
    </row>
    <row r="15" spans="2:4" s="65" customFormat="1" ht="9" customHeight="1">
      <c r="C15" s="66"/>
      <c r="D15" s="66"/>
    </row>
    <row r="16" spans="2:4" s="65" customFormat="1" ht="16.5">
      <c r="B16" s="15" t="s">
        <v>48</v>
      </c>
      <c r="C16" s="66"/>
      <c r="D16" s="66"/>
    </row>
    <row r="17" spans="2:4" s="65" customFormat="1" ht="16.5">
      <c r="B17" s="17" t="s">
        <v>17</v>
      </c>
      <c r="C17" s="67"/>
      <c r="D17" s="67"/>
    </row>
    <row r="18" spans="2:4" s="65" customFormat="1" ht="16.5">
      <c r="B18" s="16" t="s">
        <v>49</v>
      </c>
      <c r="C18" s="68"/>
      <c r="D18" s="68"/>
    </row>
    <row r="19" spans="2:4" s="65" customFormat="1" ht="9" customHeight="1">
      <c r="B19" s="15" t="s">
        <v>16</v>
      </c>
      <c r="C19" s="66"/>
    </row>
    <row r="20" spans="2:4" s="65" customFormat="1" ht="12" customHeight="1">
      <c r="B20" s="15" t="s">
        <v>50</v>
      </c>
      <c r="C20" s="66"/>
    </row>
    <row r="21" spans="2:4">
      <c r="C2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70"/>
  <sheetViews>
    <sheetView showGridLines="0" view="pageBreakPreview" zoomScaleNormal="100" zoomScaleSheetLayoutView="100" workbookViewId="0">
      <selection activeCell="D168" sqref="D168"/>
    </sheetView>
  </sheetViews>
  <sheetFormatPr baseColWidth="10" defaultColWidth="11.453125" defaultRowHeight="10"/>
  <cols>
    <col min="1" max="1" width="5.7265625" style="24" customWidth="1"/>
    <col min="2" max="2" width="22.7265625" style="40" customWidth="1"/>
    <col min="3" max="3" width="23.1796875" style="40" customWidth="1"/>
    <col min="4" max="4" width="15.7265625" style="43" customWidth="1"/>
    <col min="5" max="5" width="15.7265625" style="40" customWidth="1"/>
    <col min="6" max="6" width="5.7265625" style="24" customWidth="1"/>
    <col min="7" max="7" width="2" style="24" customWidth="1"/>
    <col min="8" max="16384" width="11.453125" style="24"/>
  </cols>
  <sheetData>
    <row r="1" spans="2:6" s="13" customFormat="1" ht="14.5">
      <c r="B1" s="40"/>
      <c r="C1" s="40"/>
    </row>
    <row r="2" spans="2:6" s="40" customFormat="1">
      <c r="B2" s="46"/>
    </row>
    <row r="3" spans="2:6" ht="15" customHeight="1">
      <c r="B3" s="47"/>
      <c r="C3" s="30"/>
      <c r="D3" s="24"/>
      <c r="F3" s="40"/>
    </row>
    <row r="4" spans="2:6" ht="30" customHeight="1">
      <c r="B4" s="47"/>
      <c r="C4" s="30"/>
      <c r="D4" s="24"/>
      <c r="F4" s="40"/>
    </row>
    <row r="5" spans="2:6" ht="15" customHeight="1">
      <c r="B5" s="47"/>
      <c r="C5" s="30"/>
      <c r="D5" s="24"/>
      <c r="F5" s="40"/>
    </row>
    <row r="6" spans="2:6" s="40" customFormat="1" ht="10.5">
      <c r="B6" s="42"/>
      <c r="C6" s="36"/>
    </row>
    <row r="7" spans="2:6" s="40" customFormat="1">
      <c r="B7" s="46"/>
    </row>
    <row r="8" spans="2:6" s="13" customFormat="1" ht="15" customHeight="1">
      <c r="B8" s="84" t="s">
        <v>41</v>
      </c>
      <c r="C8" s="84"/>
      <c r="D8" s="84"/>
      <c r="E8" s="84"/>
    </row>
    <row r="9" spans="2:6" s="13" customFormat="1" ht="15" customHeight="1">
      <c r="B9" s="84"/>
      <c r="C9" s="84"/>
      <c r="D9" s="84"/>
      <c r="E9" s="84"/>
      <c r="F9" s="45"/>
    </row>
    <row r="10" spans="2:6" s="13" customFormat="1" ht="15" customHeight="1">
      <c r="B10" s="84"/>
      <c r="C10" s="84"/>
      <c r="D10" s="84"/>
      <c r="E10" s="84"/>
    </row>
    <row r="11" spans="2:6" s="13" customFormat="1" ht="15" customHeight="1">
      <c r="B11" s="48"/>
      <c r="C11" s="48"/>
      <c r="D11" s="48"/>
      <c r="E11" s="48"/>
    </row>
    <row r="12" spans="2:6" s="13" customFormat="1" ht="37" customHeight="1">
      <c r="B12" s="50" t="s">
        <v>21</v>
      </c>
      <c r="C12" s="50" t="s">
        <v>29</v>
      </c>
      <c r="D12" s="50" t="s">
        <v>19</v>
      </c>
      <c r="E12" s="50" t="s">
        <v>18</v>
      </c>
    </row>
    <row r="13" spans="2:6" ht="14.5" customHeight="1">
      <c r="B13" s="85" t="s">
        <v>108</v>
      </c>
      <c r="C13" s="58" t="s">
        <v>147</v>
      </c>
      <c r="D13" s="59">
        <v>191</v>
      </c>
      <c r="E13" s="60">
        <v>1.0138542385477E-2</v>
      </c>
    </row>
    <row r="14" spans="2:6" ht="14.5" customHeight="1">
      <c r="B14" s="86"/>
      <c r="C14" s="58" t="s">
        <v>148</v>
      </c>
      <c r="D14" s="59">
        <v>230</v>
      </c>
      <c r="E14" s="60">
        <v>1.2208715961569E-2</v>
      </c>
    </row>
    <row r="15" spans="2:6" ht="14.5" customHeight="1">
      <c r="B15" s="87"/>
      <c r="C15" s="61" t="s">
        <v>28</v>
      </c>
      <c r="D15" s="62">
        <v>421</v>
      </c>
      <c r="E15" s="63">
        <v>2.2347258347046001E-2</v>
      </c>
    </row>
    <row r="16" spans="2:6" ht="14.5" customHeight="1">
      <c r="B16" s="85" t="s">
        <v>109</v>
      </c>
      <c r="C16" s="58" t="s">
        <v>147</v>
      </c>
      <c r="D16" s="59">
        <v>165</v>
      </c>
      <c r="E16" s="60">
        <v>8.7584266680819992E-3</v>
      </c>
    </row>
    <row r="17" spans="2:5" ht="14.5" customHeight="1">
      <c r="B17" s="86"/>
      <c r="C17" s="58" t="s">
        <v>148</v>
      </c>
      <c r="D17" s="59">
        <v>230</v>
      </c>
      <c r="E17" s="60">
        <v>1.2208715961569E-2</v>
      </c>
    </row>
    <row r="18" spans="2:5" ht="14.5" customHeight="1">
      <c r="B18" s="87" t="s">
        <v>315</v>
      </c>
      <c r="C18" s="61" t="s">
        <v>28</v>
      </c>
      <c r="D18" s="62">
        <v>395</v>
      </c>
      <c r="E18" s="63">
        <v>2.0967142629650999E-2</v>
      </c>
    </row>
    <row r="19" spans="2:5" ht="14.5" customHeight="1">
      <c r="B19" s="85" t="s">
        <v>113</v>
      </c>
      <c r="C19" s="58" t="s">
        <v>147</v>
      </c>
      <c r="D19" s="59">
        <v>135</v>
      </c>
      <c r="E19" s="60">
        <v>7.1659854557040003E-3</v>
      </c>
    </row>
    <row r="20" spans="2:5" ht="14.5" customHeight="1">
      <c r="B20" s="86"/>
      <c r="C20" s="58" t="s">
        <v>148</v>
      </c>
      <c r="D20" s="59">
        <v>170</v>
      </c>
      <c r="E20" s="60">
        <v>9.0238335368119996E-3</v>
      </c>
    </row>
    <row r="21" spans="2:5" ht="14.5" customHeight="1">
      <c r="B21" s="87" t="s">
        <v>316</v>
      </c>
      <c r="C21" s="61" t="s">
        <v>28</v>
      </c>
      <c r="D21" s="62">
        <v>305</v>
      </c>
      <c r="E21" s="63">
        <v>1.6189818992516002E-2</v>
      </c>
    </row>
    <row r="22" spans="2:5" ht="14.5" customHeight="1">
      <c r="B22" s="85" t="s">
        <v>127</v>
      </c>
      <c r="C22" s="58" t="s">
        <v>147</v>
      </c>
      <c r="D22" s="59">
        <v>33</v>
      </c>
      <c r="E22" s="60">
        <v>1.7516853336160001E-3</v>
      </c>
    </row>
    <row r="23" spans="2:5" ht="14.5" customHeight="1">
      <c r="B23" s="86"/>
      <c r="C23" s="58" t="s">
        <v>148</v>
      </c>
      <c r="D23" s="59">
        <v>55</v>
      </c>
      <c r="E23" s="60">
        <v>2.919475556027E-3</v>
      </c>
    </row>
    <row r="24" spans="2:5" ht="14.5" customHeight="1">
      <c r="B24" s="87" t="s">
        <v>317</v>
      </c>
      <c r="C24" s="61" t="s">
        <v>28</v>
      </c>
      <c r="D24" s="62">
        <v>88</v>
      </c>
      <c r="E24" s="63">
        <v>4.6711608896439997E-3</v>
      </c>
    </row>
    <row r="25" spans="2:5" ht="14.5" customHeight="1">
      <c r="B25" s="85" t="s">
        <v>142</v>
      </c>
      <c r="C25" s="58" t="s">
        <v>147</v>
      </c>
      <c r="D25" s="59">
        <v>2</v>
      </c>
      <c r="E25" s="60">
        <v>1.06162747492E-4</v>
      </c>
    </row>
    <row r="26" spans="2:5" ht="14.5" customHeight="1">
      <c r="B26" s="86"/>
      <c r="C26" s="58" t="s">
        <v>148</v>
      </c>
      <c r="D26" s="59">
        <v>4</v>
      </c>
      <c r="E26" s="60">
        <v>2.1232549498399999E-4</v>
      </c>
    </row>
    <row r="27" spans="2:5" ht="14.5" customHeight="1">
      <c r="B27" s="87" t="s">
        <v>318</v>
      </c>
      <c r="C27" s="61" t="s">
        <v>28</v>
      </c>
      <c r="D27" s="62">
        <v>6</v>
      </c>
      <c r="E27" s="63">
        <v>3.1848824247600002E-4</v>
      </c>
    </row>
    <row r="28" spans="2:5" ht="14.5" customHeight="1">
      <c r="B28" s="85" t="s">
        <v>134</v>
      </c>
      <c r="C28" s="58" t="s">
        <v>147</v>
      </c>
      <c r="D28" s="59">
        <v>21</v>
      </c>
      <c r="E28" s="60">
        <v>1.1147088486650001E-3</v>
      </c>
    </row>
    <row r="29" spans="2:5" ht="14.5" customHeight="1">
      <c r="B29" s="86"/>
      <c r="C29" s="58" t="s">
        <v>148</v>
      </c>
      <c r="D29" s="59">
        <v>18</v>
      </c>
      <c r="E29" s="60">
        <v>9.5546472742699998E-4</v>
      </c>
    </row>
    <row r="30" spans="2:5" ht="14.5" customHeight="1">
      <c r="B30" s="87" t="s">
        <v>319</v>
      </c>
      <c r="C30" s="61" t="s">
        <v>28</v>
      </c>
      <c r="D30" s="62">
        <v>39</v>
      </c>
      <c r="E30" s="63">
        <v>2.0701735760919999E-3</v>
      </c>
    </row>
    <row r="31" spans="2:5" ht="14.5" customHeight="1">
      <c r="B31" s="85" t="s">
        <v>143</v>
      </c>
      <c r="C31" s="58" t="s">
        <v>147</v>
      </c>
      <c r="D31" s="59">
        <v>1</v>
      </c>
      <c r="E31" s="60">
        <v>5.3081373745999998E-5</v>
      </c>
    </row>
    <row r="32" spans="2:5" ht="14.5" customHeight="1">
      <c r="B32" s="86"/>
      <c r="C32" s="58" t="s">
        <v>148</v>
      </c>
      <c r="D32" s="59">
        <v>4</v>
      </c>
      <c r="E32" s="60">
        <v>2.1232549498399999E-4</v>
      </c>
    </row>
    <row r="33" spans="2:5" ht="14.5" customHeight="1">
      <c r="B33" s="87" t="s">
        <v>320</v>
      </c>
      <c r="C33" s="61" t="s">
        <v>28</v>
      </c>
      <c r="D33" s="62">
        <v>5</v>
      </c>
      <c r="E33" s="63">
        <v>2.6540686872999998E-4</v>
      </c>
    </row>
    <row r="34" spans="2:5" ht="14.5" customHeight="1">
      <c r="B34" s="85" t="s">
        <v>98</v>
      </c>
      <c r="C34" s="58" t="s">
        <v>147</v>
      </c>
      <c r="D34" s="59">
        <v>1264</v>
      </c>
      <c r="E34" s="60">
        <v>6.7094856414883997E-2</v>
      </c>
    </row>
    <row r="35" spans="2:5" ht="14.5" customHeight="1">
      <c r="B35" s="86"/>
      <c r="C35" s="58" t="s">
        <v>148</v>
      </c>
      <c r="D35" s="59">
        <v>1676</v>
      </c>
      <c r="E35" s="60">
        <v>8.8964382398215996E-2</v>
      </c>
    </row>
    <row r="36" spans="2:5" ht="14.5" customHeight="1">
      <c r="B36" s="87" t="s">
        <v>321</v>
      </c>
      <c r="C36" s="61" t="s">
        <v>28</v>
      </c>
      <c r="D36" s="62">
        <v>2940</v>
      </c>
      <c r="E36" s="63">
        <v>0.15605923881310099</v>
      </c>
    </row>
    <row r="37" spans="2:5" ht="14.5" customHeight="1">
      <c r="B37" s="85" t="s">
        <v>97</v>
      </c>
      <c r="C37" s="58" t="s">
        <v>147</v>
      </c>
      <c r="D37" s="59">
        <v>1468</v>
      </c>
      <c r="E37" s="60">
        <v>7.7923456659058005E-2</v>
      </c>
    </row>
    <row r="38" spans="2:5" ht="14.5" customHeight="1">
      <c r="B38" s="86"/>
      <c r="C38" s="58" t="s">
        <v>148</v>
      </c>
      <c r="D38" s="59">
        <v>1892</v>
      </c>
      <c r="E38" s="60">
        <v>0.100429959127342</v>
      </c>
    </row>
    <row r="39" spans="2:5" ht="14.5" customHeight="1">
      <c r="B39" s="87" t="s">
        <v>322</v>
      </c>
      <c r="C39" s="61" t="s">
        <v>28</v>
      </c>
      <c r="D39" s="62">
        <v>3360</v>
      </c>
      <c r="E39" s="63">
        <v>0.17835341578640099</v>
      </c>
    </row>
    <row r="40" spans="2:5" ht="14.5" customHeight="1">
      <c r="B40" s="85" t="s">
        <v>140</v>
      </c>
      <c r="C40" s="58" t="s">
        <v>147</v>
      </c>
      <c r="D40" s="59">
        <v>8</v>
      </c>
      <c r="E40" s="60">
        <v>4.2465098996799999E-4</v>
      </c>
    </row>
    <row r="41" spans="2:5" ht="14.5" customHeight="1">
      <c r="B41" s="86"/>
      <c r="C41" s="58" t="s">
        <v>148</v>
      </c>
      <c r="D41" s="59">
        <v>11</v>
      </c>
      <c r="E41" s="60">
        <v>5.8389511120500003E-4</v>
      </c>
    </row>
    <row r="42" spans="2:5" ht="14.5" customHeight="1">
      <c r="B42" s="87" t="s">
        <v>323</v>
      </c>
      <c r="C42" s="61" t="s">
        <v>28</v>
      </c>
      <c r="D42" s="62">
        <v>19</v>
      </c>
      <c r="E42" s="63">
        <v>1.008546101173E-3</v>
      </c>
    </row>
    <row r="43" spans="2:5" ht="14.5" customHeight="1">
      <c r="B43" s="85" t="s">
        <v>101</v>
      </c>
      <c r="C43" s="58" t="s">
        <v>147</v>
      </c>
      <c r="D43" s="59">
        <v>365</v>
      </c>
      <c r="E43" s="60">
        <v>1.9374701417272999E-2</v>
      </c>
    </row>
    <row r="44" spans="2:5" ht="14.5" customHeight="1">
      <c r="B44" s="86"/>
      <c r="C44" s="58" t="s">
        <v>148</v>
      </c>
      <c r="D44" s="59">
        <v>591</v>
      </c>
      <c r="E44" s="60">
        <v>3.1371091883857997E-2</v>
      </c>
    </row>
    <row r="45" spans="2:5" ht="14.5" customHeight="1">
      <c r="B45" s="87" t="s">
        <v>324</v>
      </c>
      <c r="C45" s="61" t="s">
        <v>28</v>
      </c>
      <c r="D45" s="62">
        <v>956</v>
      </c>
      <c r="E45" s="63">
        <v>5.0745793301130999E-2</v>
      </c>
    </row>
    <row r="46" spans="2:5" ht="14.5" customHeight="1">
      <c r="B46" s="85" t="s">
        <v>120</v>
      </c>
      <c r="C46" s="58" t="s">
        <v>147</v>
      </c>
      <c r="D46" s="59">
        <v>66</v>
      </c>
      <c r="E46" s="60">
        <v>3.5033706672330002E-3</v>
      </c>
    </row>
    <row r="47" spans="2:5" ht="14.5" customHeight="1">
      <c r="B47" s="86"/>
      <c r="C47" s="58" t="s">
        <v>148</v>
      </c>
      <c r="D47" s="59">
        <v>101</v>
      </c>
      <c r="E47" s="60">
        <v>5.3612187483410003E-3</v>
      </c>
    </row>
    <row r="48" spans="2:5" ht="14.5" customHeight="1">
      <c r="B48" s="87" t="s">
        <v>325</v>
      </c>
      <c r="C48" s="61" t="s">
        <v>28</v>
      </c>
      <c r="D48" s="62">
        <v>167</v>
      </c>
      <c r="E48" s="63">
        <v>8.8645894155739997E-3</v>
      </c>
    </row>
    <row r="49" spans="2:5" ht="14.5" customHeight="1">
      <c r="B49" s="85" t="s">
        <v>144</v>
      </c>
      <c r="C49" s="58" t="s">
        <v>147</v>
      </c>
      <c r="D49" s="59">
        <v>1</v>
      </c>
      <c r="E49" s="60">
        <v>5.3081373745999998E-5</v>
      </c>
    </row>
    <row r="50" spans="2:5" ht="14.5" customHeight="1">
      <c r="B50" s="86"/>
      <c r="C50" s="58" t="s">
        <v>148</v>
      </c>
      <c r="D50" s="59">
        <v>3</v>
      </c>
      <c r="E50" s="60">
        <v>1.5924412123800001E-4</v>
      </c>
    </row>
    <row r="51" spans="2:5" ht="14.5" customHeight="1">
      <c r="B51" s="87" t="s">
        <v>326</v>
      </c>
      <c r="C51" s="61" t="s">
        <v>28</v>
      </c>
      <c r="D51" s="62">
        <v>4</v>
      </c>
      <c r="E51" s="63">
        <v>2.1232549498399999E-4</v>
      </c>
    </row>
    <row r="52" spans="2:5" ht="14.5" customHeight="1">
      <c r="B52" s="85" t="s">
        <v>107</v>
      </c>
      <c r="C52" s="58" t="s">
        <v>147</v>
      </c>
      <c r="D52" s="59">
        <v>206</v>
      </c>
      <c r="E52" s="60">
        <v>1.0934762991666E-2</v>
      </c>
    </row>
    <row r="53" spans="2:5" ht="14.5" customHeight="1">
      <c r="B53" s="86"/>
      <c r="C53" s="58" t="s">
        <v>148</v>
      </c>
      <c r="D53" s="59">
        <v>250</v>
      </c>
      <c r="E53" s="60">
        <v>1.3270343436488001E-2</v>
      </c>
    </row>
    <row r="54" spans="2:5" ht="14.5" customHeight="1">
      <c r="B54" s="87" t="s">
        <v>327</v>
      </c>
      <c r="C54" s="61" t="s">
        <v>28</v>
      </c>
      <c r="D54" s="62">
        <v>456</v>
      </c>
      <c r="E54" s="63">
        <v>2.4205106428153999E-2</v>
      </c>
    </row>
    <row r="55" spans="2:5" ht="14.5" customHeight="1">
      <c r="B55" s="85" t="s">
        <v>135</v>
      </c>
      <c r="C55" s="58" t="s">
        <v>147</v>
      </c>
      <c r="D55" s="59">
        <v>14</v>
      </c>
      <c r="E55" s="60">
        <v>7.4313923244300004E-4</v>
      </c>
    </row>
    <row r="56" spans="2:5" ht="14.5" customHeight="1">
      <c r="B56" s="86"/>
      <c r="C56" s="58" t="s">
        <v>148</v>
      </c>
      <c r="D56" s="59">
        <v>23</v>
      </c>
      <c r="E56" s="60">
        <v>1.220871596157E-3</v>
      </c>
    </row>
    <row r="57" spans="2:5" ht="14.5" customHeight="1">
      <c r="B57" s="87" t="s">
        <v>328</v>
      </c>
      <c r="C57" s="61" t="s">
        <v>28</v>
      </c>
      <c r="D57" s="62">
        <v>37</v>
      </c>
      <c r="E57" s="63">
        <v>1.9640108285999998E-3</v>
      </c>
    </row>
    <row r="58" spans="2:5" ht="14.5" customHeight="1">
      <c r="B58" s="85" t="s">
        <v>110</v>
      </c>
      <c r="C58" s="58" t="s">
        <v>147</v>
      </c>
      <c r="D58" s="59">
        <v>176</v>
      </c>
      <c r="E58" s="60">
        <v>9.3423217792879994E-3</v>
      </c>
    </row>
    <row r="59" spans="2:5" ht="14.5" customHeight="1">
      <c r="B59" s="86"/>
      <c r="C59" s="58" t="s">
        <v>148</v>
      </c>
      <c r="D59" s="59">
        <v>182</v>
      </c>
      <c r="E59" s="60">
        <v>9.660810021763E-3</v>
      </c>
    </row>
    <row r="60" spans="2:5" ht="14.5" customHeight="1">
      <c r="B60" s="87" t="s">
        <v>329</v>
      </c>
      <c r="C60" s="61" t="s">
        <v>28</v>
      </c>
      <c r="D60" s="62">
        <v>358</v>
      </c>
      <c r="E60" s="63">
        <v>1.9003131801050999E-2</v>
      </c>
    </row>
    <row r="61" spans="2:5" ht="14.5" customHeight="1">
      <c r="B61" s="85" t="s">
        <v>103</v>
      </c>
      <c r="C61" s="58" t="s">
        <v>147</v>
      </c>
      <c r="D61" s="59">
        <v>336</v>
      </c>
      <c r="E61" s="60">
        <v>1.7835341578640002E-2</v>
      </c>
    </row>
    <row r="62" spans="2:5" ht="14.5" customHeight="1">
      <c r="B62" s="86"/>
      <c r="C62" s="58" t="s">
        <v>148</v>
      </c>
      <c r="D62" s="59">
        <v>433</v>
      </c>
      <c r="E62" s="60">
        <v>2.2984234831996998E-2</v>
      </c>
    </row>
    <row r="63" spans="2:5" ht="14.5" customHeight="1">
      <c r="B63" s="87" t="s">
        <v>330</v>
      </c>
      <c r="C63" s="61" t="s">
        <v>28</v>
      </c>
      <c r="D63" s="62">
        <v>769</v>
      </c>
      <c r="E63" s="63">
        <v>4.0819576410637999E-2</v>
      </c>
    </row>
    <row r="64" spans="2:5" ht="14.5" customHeight="1">
      <c r="B64" s="85" t="s">
        <v>116</v>
      </c>
      <c r="C64" s="58" t="s">
        <v>147</v>
      </c>
      <c r="D64" s="59">
        <v>92</v>
      </c>
      <c r="E64" s="60">
        <v>4.8834863846279998E-3</v>
      </c>
    </row>
    <row r="65" spans="2:5" ht="14.5" customHeight="1">
      <c r="B65" s="86"/>
      <c r="C65" s="58" t="s">
        <v>148</v>
      </c>
      <c r="D65" s="59">
        <v>124</v>
      </c>
      <c r="E65" s="60">
        <v>6.5820903444980001E-3</v>
      </c>
    </row>
    <row r="66" spans="2:5" ht="14.5" customHeight="1">
      <c r="B66" s="87" t="s">
        <v>331</v>
      </c>
      <c r="C66" s="61" t="s">
        <v>28</v>
      </c>
      <c r="D66" s="62">
        <v>216</v>
      </c>
      <c r="E66" s="63">
        <v>1.1465576729126001E-2</v>
      </c>
    </row>
    <row r="67" spans="2:5" ht="14.5" customHeight="1">
      <c r="B67" s="85" t="s">
        <v>100</v>
      </c>
      <c r="C67" s="58" t="s">
        <v>147</v>
      </c>
      <c r="D67" s="59">
        <v>546</v>
      </c>
      <c r="E67" s="60">
        <v>2.8982430065289999E-2</v>
      </c>
    </row>
    <row r="68" spans="2:5" ht="14.5" customHeight="1">
      <c r="B68" s="86"/>
      <c r="C68" s="58" t="s">
        <v>148</v>
      </c>
      <c r="D68" s="59">
        <v>633</v>
      </c>
      <c r="E68" s="60">
        <v>3.3600509581188001E-2</v>
      </c>
    </row>
    <row r="69" spans="2:5" ht="14.5" customHeight="1">
      <c r="B69" s="87" t="s">
        <v>332</v>
      </c>
      <c r="C69" s="61" t="s">
        <v>28</v>
      </c>
      <c r="D69" s="62">
        <v>1179</v>
      </c>
      <c r="E69" s="63">
        <v>6.2582939646478E-2</v>
      </c>
    </row>
    <row r="70" spans="2:5" ht="14.5" customHeight="1">
      <c r="B70" s="85" t="s">
        <v>137</v>
      </c>
      <c r="C70" s="58" t="s">
        <v>147</v>
      </c>
      <c r="D70" s="59">
        <v>11</v>
      </c>
      <c r="E70" s="60">
        <v>5.8389511120500003E-4</v>
      </c>
    </row>
    <row r="71" spans="2:5" ht="14.5" customHeight="1">
      <c r="B71" s="86"/>
      <c r="C71" s="58" t="s">
        <v>148</v>
      </c>
      <c r="D71" s="59">
        <v>12</v>
      </c>
      <c r="E71" s="60">
        <v>6.3697648495099997E-4</v>
      </c>
    </row>
    <row r="72" spans="2:5" ht="14.5" customHeight="1">
      <c r="B72" s="87" t="s">
        <v>333</v>
      </c>
      <c r="C72" s="61" t="s">
        <v>28</v>
      </c>
      <c r="D72" s="62">
        <v>23</v>
      </c>
      <c r="E72" s="63">
        <v>1.220871596157E-3</v>
      </c>
    </row>
    <row r="73" spans="2:5" ht="14.5" customHeight="1">
      <c r="B73" s="85" t="s">
        <v>105</v>
      </c>
      <c r="C73" s="58" t="s">
        <v>147</v>
      </c>
      <c r="D73" s="59">
        <v>259</v>
      </c>
      <c r="E73" s="60">
        <v>1.3748075800202E-2</v>
      </c>
    </row>
    <row r="74" spans="2:5" ht="14.5" customHeight="1">
      <c r="B74" s="86"/>
      <c r="C74" s="58" t="s">
        <v>148</v>
      </c>
      <c r="D74" s="59">
        <v>301</v>
      </c>
      <c r="E74" s="60">
        <v>1.5977493497532001E-2</v>
      </c>
    </row>
    <row r="75" spans="2:5" ht="14.5" customHeight="1">
      <c r="B75" s="87" t="s">
        <v>334</v>
      </c>
      <c r="C75" s="61" t="s">
        <v>28</v>
      </c>
      <c r="D75" s="62">
        <v>560</v>
      </c>
      <c r="E75" s="63">
        <v>2.9725569297732998E-2</v>
      </c>
    </row>
    <row r="76" spans="2:5" ht="14.5" customHeight="1">
      <c r="B76" s="85" t="s">
        <v>106</v>
      </c>
      <c r="C76" s="58" t="s">
        <v>147</v>
      </c>
      <c r="D76" s="59">
        <v>206</v>
      </c>
      <c r="E76" s="60">
        <v>1.0934762991666E-2</v>
      </c>
    </row>
    <row r="77" spans="2:5" ht="14.5" customHeight="1">
      <c r="B77" s="86"/>
      <c r="C77" s="58" t="s">
        <v>148</v>
      </c>
      <c r="D77" s="59">
        <v>323</v>
      </c>
      <c r="E77" s="60">
        <v>1.7145283719942998E-2</v>
      </c>
    </row>
    <row r="78" spans="2:5" ht="14.5" customHeight="1">
      <c r="B78" s="87" t="s">
        <v>335</v>
      </c>
      <c r="C78" s="61" t="s">
        <v>28</v>
      </c>
      <c r="D78" s="62">
        <v>529</v>
      </c>
      <c r="E78" s="63">
        <v>2.8080046711608998E-2</v>
      </c>
    </row>
    <row r="79" spans="2:5" ht="14.5" customHeight="1">
      <c r="B79" s="85" t="s">
        <v>99</v>
      </c>
      <c r="C79" s="58" t="s">
        <v>147</v>
      </c>
      <c r="D79" s="59">
        <v>842</v>
      </c>
      <c r="E79" s="60">
        <v>4.4694516694092003E-2</v>
      </c>
    </row>
    <row r="80" spans="2:5" ht="14.5" customHeight="1">
      <c r="B80" s="86"/>
      <c r="C80" s="58" t="s">
        <v>148</v>
      </c>
      <c r="D80" s="59">
        <v>823</v>
      </c>
      <c r="E80" s="60">
        <v>4.3685970592919003E-2</v>
      </c>
    </row>
    <row r="81" spans="2:5" ht="14.5" customHeight="1">
      <c r="B81" s="87" t="s">
        <v>336</v>
      </c>
      <c r="C81" s="61" t="s">
        <v>28</v>
      </c>
      <c r="D81" s="62">
        <v>1665</v>
      </c>
      <c r="E81" s="63">
        <v>8.8380487287011006E-2</v>
      </c>
    </row>
    <row r="82" spans="2:5" ht="14.5" customHeight="1">
      <c r="B82" s="85" t="s">
        <v>125</v>
      </c>
      <c r="C82" s="58" t="s">
        <v>147</v>
      </c>
      <c r="D82" s="59">
        <v>59</v>
      </c>
      <c r="E82" s="60">
        <v>3.1318010510110001E-3</v>
      </c>
    </row>
    <row r="83" spans="2:5" ht="14.5" customHeight="1">
      <c r="B83" s="86"/>
      <c r="C83" s="58" t="s">
        <v>148</v>
      </c>
      <c r="D83" s="59">
        <v>46</v>
      </c>
      <c r="E83" s="60">
        <v>2.4417431923139999E-3</v>
      </c>
    </row>
    <row r="84" spans="2:5" ht="14.5" customHeight="1">
      <c r="B84" s="87" t="s">
        <v>337</v>
      </c>
      <c r="C84" s="61" t="s">
        <v>28</v>
      </c>
      <c r="D84" s="62">
        <v>105</v>
      </c>
      <c r="E84" s="63">
        <v>5.5735442433249996E-3</v>
      </c>
    </row>
    <row r="85" spans="2:5" ht="14.5" customHeight="1">
      <c r="B85" s="85" t="s">
        <v>131</v>
      </c>
      <c r="C85" s="58" t="s">
        <v>147</v>
      </c>
      <c r="D85" s="59">
        <v>17</v>
      </c>
      <c r="E85" s="60">
        <v>9.0238335368100005E-4</v>
      </c>
    </row>
    <row r="86" spans="2:5" ht="14.5" customHeight="1">
      <c r="B86" s="86"/>
      <c r="C86" s="58" t="s">
        <v>148</v>
      </c>
      <c r="D86" s="59">
        <v>55</v>
      </c>
      <c r="E86" s="60">
        <v>2.919475556027E-3</v>
      </c>
    </row>
    <row r="87" spans="2:5" ht="14.5" customHeight="1">
      <c r="B87" s="87" t="s">
        <v>338</v>
      </c>
      <c r="C87" s="61" t="s">
        <v>28</v>
      </c>
      <c r="D87" s="62">
        <v>72</v>
      </c>
      <c r="E87" s="63">
        <v>3.821858909709E-3</v>
      </c>
    </row>
    <row r="88" spans="2:5" ht="14.5" customHeight="1">
      <c r="B88" s="85" t="s">
        <v>121</v>
      </c>
      <c r="C88" s="58" t="s">
        <v>147</v>
      </c>
      <c r="D88" s="59">
        <v>67</v>
      </c>
      <c r="E88" s="60">
        <v>3.556452040979E-3</v>
      </c>
    </row>
    <row r="89" spans="2:5" ht="14.5" customHeight="1">
      <c r="B89" s="86"/>
      <c r="C89" s="58" t="s">
        <v>148</v>
      </c>
      <c r="D89" s="59">
        <v>82</v>
      </c>
      <c r="E89" s="60">
        <v>4.3526726471679999E-3</v>
      </c>
    </row>
    <row r="90" spans="2:5" ht="14.5" customHeight="1">
      <c r="B90" s="87" t="s">
        <v>339</v>
      </c>
      <c r="C90" s="61" t="s">
        <v>28</v>
      </c>
      <c r="D90" s="62">
        <v>149</v>
      </c>
      <c r="E90" s="63">
        <v>7.9091246881469995E-3</v>
      </c>
    </row>
    <row r="91" spans="2:5" ht="14.5" customHeight="1">
      <c r="B91" s="85" t="s">
        <v>145</v>
      </c>
      <c r="C91" s="58" t="s">
        <v>148</v>
      </c>
      <c r="D91" s="59">
        <v>1</v>
      </c>
      <c r="E91" s="60">
        <v>5.3081373745999998E-5</v>
      </c>
    </row>
    <row r="92" spans="2:5" ht="14.5" customHeight="1">
      <c r="B92" s="87"/>
      <c r="C92" s="61" t="s">
        <v>28</v>
      </c>
      <c r="D92" s="62">
        <v>1</v>
      </c>
      <c r="E92" s="63">
        <v>5.3081373745999998E-5</v>
      </c>
    </row>
    <row r="93" spans="2:5" ht="14.5" customHeight="1">
      <c r="B93" s="85" t="s">
        <v>146</v>
      </c>
      <c r="C93" s="58" t="s">
        <v>147</v>
      </c>
      <c r="D93" s="59">
        <v>1</v>
      </c>
      <c r="E93" s="60">
        <v>5.3081373745999998E-5</v>
      </c>
    </row>
    <row r="94" spans="2:5" ht="14.5" customHeight="1">
      <c r="B94" s="87" t="s">
        <v>340</v>
      </c>
      <c r="C94" s="61" t="s">
        <v>28</v>
      </c>
      <c r="D94" s="62">
        <v>1</v>
      </c>
      <c r="E94" s="63">
        <v>5.3081373745999998E-5</v>
      </c>
    </row>
    <row r="95" spans="2:5" ht="14.5" customHeight="1">
      <c r="B95" s="85" t="s">
        <v>132</v>
      </c>
      <c r="C95" s="58" t="s">
        <v>147</v>
      </c>
      <c r="D95" s="59">
        <v>29</v>
      </c>
      <c r="E95" s="60">
        <v>1.539359838633E-3</v>
      </c>
    </row>
    <row r="96" spans="2:5" ht="14.5" customHeight="1">
      <c r="B96" s="86"/>
      <c r="C96" s="58" t="s">
        <v>148</v>
      </c>
      <c r="D96" s="59">
        <v>30</v>
      </c>
      <c r="E96" s="60">
        <v>1.592441212379E-3</v>
      </c>
    </row>
    <row r="97" spans="2:5" ht="14.5" customHeight="1">
      <c r="B97" s="87" t="s">
        <v>341</v>
      </c>
      <c r="C97" s="61" t="s">
        <v>28</v>
      </c>
      <c r="D97" s="62">
        <v>59</v>
      </c>
      <c r="E97" s="63">
        <v>3.1318010510110001E-3</v>
      </c>
    </row>
    <row r="98" spans="2:5" ht="14.5" customHeight="1">
      <c r="B98" s="85" t="s">
        <v>138</v>
      </c>
      <c r="C98" s="58" t="s">
        <v>147</v>
      </c>
      <c r="D98" s="59">
        <v>8</v>
      </c>
      <c r="E98" s="60">
        <v>4.2465098996799999E-4</v>
      </c>
    </row>
    <row r="99" spans="2:5" ht="14.5" customHeight="1">
      <c r="B99" s="86"/>
      <c r="C99" s="58" t="s">
        <v>148</v>
      </c>
      <c r="D99" s="59">
        <v>13</v>
      </c>
      <c r="E99" s="60">
        <v>6.90057858697E-4</v>
      </c>
    </row>
    <row r="100" spans="2:5" ht="14.5" customHeight="1">
      <c r="B100" s="87" t="s">
        <v>342</v>
      </c>
      <c r="C100" s="61" t="s">
        <v>28</v>
      </c>
      <c r="D100" s="62">
        <v>21</v>
      </c>
      <c r="E100" s="63">
        <v>1.1147088486650001E-3</v>
      </c>
    </row>
    <row r="101" spans="2:5" ht="14.5" customHeight="1">
      <c r="B101" s="85" t="s">
        <v>102</v>
      </c>
      <c r="C101" s="58" t="s">
        <v>147</v>
      </c>
      <c r="D101" s="59">
        <v>341</v>
      </c>
      <c r="E101" s="60">
        <v>1.8100748447369999E-2</v>
      </c>
    </row>
    <row r="102" spans="2:5" ht="14.5" customHeight="1">
      <c r="B102" s="86"/>
      <c r="C102" s="58" t="s">
        <v>148</v>
      </c>
      <c r="D102" s="59">
        <v>456</v>
      </c>
      <c r="E102" s="60">
        <v>2.4205106428153999E-2</v>
      </c>
    </row>
    <row r="103" spans="2:5" ht="14.5" customHeight="1">
      <c r="B103" s="87" t="s">
        <v>343</v>
      </c>
      <c r="C103" s="61" t="s">
        <v>28</v>
      </c>
      <c r="D103" s="62">
        <v>797</v>
      </c>
      <c r="E103" s="63">
        <v>4.2305854875523997E-2</v>
      </c>
    </row>
    <row r="104" spans="2:5" ht="14.5" customHeight="1">
      <c r="B104" s="85" t="s">
        <v>122</v>
      </c>
      <c r="C104" s="58" t="s">
        <v>147</v>
      </c>
      <c r="D104" s="59">
        <v>44</v>
      </c>
      <c r="E104" s="60">
        <v>2.3355804448219998E-3</v>
      </c>
    </row>
    <row r="105" spans="2:5" ht="14.5" customHeight="1">
      <c r="B105" s="86"/>
      <c r="C105" s="58" t="s">
        <v>148</v>
      </c>
      <c r="D105" s="59">
        <v>82</v>
      </c>
      <c r="E105" s="60">
        <v>4.3526726471679999E-3</v>
      </c>
    </row>
    <row r="106" spans="2:5" ht="14.5" customHeight="1">
      <c r="B106" s="87" t="s">
        <v>344</v>
      </c>
      <c r="C106" s="61" t="s">
        <v>28</v>
      </c>
      <c r="D106" s="62">
        <v>126</v>
      </c>
      <c r="E106" s="63">
        <v>6.6882530919899997E-3</v>
      </c>
    </row>
    <row r="107" spans="2:5" ht="14.5" customHeight="1">
      <c r="B107" s="85" t="s">
        <v>124</v>
      </c>
      <c r="C107" s="58" t="s">
        <v>147</v>
      </c>
      <c r="D107" s="59">
        <v>46</v>
      </c>
      <c r="E107" s="60">
        <v>2.4417431923139999E-3</v>
      </c>
    </row>
    <row r="108" spans="2:5" ht="14.5" customHeight="1">
      <c r="B108" s="86"/>
      <c r="C108" s="58" t="s">
        <v>148</v>
      </c>
      <c r="D108" s="59">
        <v>64</v>
      </c>
      <c r="E108" s="60">
        <v>3.3972079197410001E-3</v>
      </c>
    </row>
    <row r="109" spans="2:5" ht="14.5" customHeight="1">
      <c r="B109" s="87" t="s">
        <v>345</v>
      </c>
      <c r="C109" s="61" t="s">
        <v>28</v>
      </c>
      <c r="D109" s="62">
        <v>110</v>
      </c>
      <c r="E109" s="63">
        <v>5.838951112055E-3</v>
      </c>
    </row>
    <row r="110" spans="2:5" ht="14.5" customHeight="1">
      <c r="B110" s="85" t="s">
        <v>130</v>
      </c>
      <c r="C110" s="58" t="s">
        <v>147</v>
      </c>
      <c r="D110" s="59">
        <v>36</v>
      </c>
      <c r="E110" s="60">
        <v>1.910929454854E-3</v>
      </c>
    </row>
    <row r="111" spans="2:5" ht="14.5" customHeight="1">
      <c r="B111" s="86"/>
      <c r="C111" s="58" t="s">
        <v>148</v>
      </c>
      <c r="D111" s="59">
        <v>40</v>
      </c>
      <c r="E111" s="60">
        <v>2.1232549498380001E-3</v>
      </c>
    </row>
    <row r="112" spans="2:5" ht="14.5" customHeight="1">
      <c r="B112" s="87" t="s">
        <v>346</v>
      </c>
      <c r="C112" s="61" t="s">
        <v>28</v>
      </c>
      <c r="D112" s="62">
        <v>76</v>
      </c>
      <c r="E112" s="63">
        <v>4.0341844046920001E-3</v>
      </c>
    </row>
    <row r="113" spans="2:5" ht="14.5" customHeight="1">
      <c r="B113" s="85" t="s">
        <v>104</v>
      </c>
      <c r="C113" s="58" t="s">
        <v>147</v>
      </c>
      <c r="D113" s="59">
        <v>239</v>
      </c>
      <c r="E113" s="60">
        <v>1.2686448325283E-2</v>
      </c>
    </row>
    <row r="114" spans="2:5" ht="14.5" customHeight="1">
      <c r="B114" s="86"/>
      <c r="C114" s="58" t="s">
        <v>148</v>
      </c>
      <c r="D114" s="59">
        <v>333</v>
      </c>
      <c r="E114" s="60">
        <v>1.7676097457402E-2</v>
      </c>
    </row>
    <row r="115" spans="2:5" ht="14.5" customHeight="1">
      <c r="B115" s="87" t="s">
        <v>347</v>
      </c>
      <c r="C115" s="61" t="s">
        <v>28</v>
      </c>
      <c r="D115" s="62">
        <v>572</v>
      </c>
      <c r="E115" s="63">
        <v>3.0362545782685001E-2</v>
      </c>
    </row>
    <row r="116" spans="2:5" ht="14.5" customHeight="1">
      <c r="B116" s="85" t="s">
        <v>136</v>
      </c>
      <c r="C116" s="58" t="s">
        <v>147</v>
      </c>
      <c r="D116" s="59">
        <v>16</v>
      </c>
      <c r="E116" s="60">
        <v>8.4930197993500001E-4</v>
      </c>
    </row>
    <row r="117" spans="2:5" ht="14.5" customHeight="1">
      <c r="B117" s="86"/>
      <c r="C117" s="58" t="s">
        <v>148</v>
      </c>
      <c r="D117" s="59">
        <v>17</v>
      </c>
      <c r="E117" s="60">
        <v>9.0238335368100005E-4</v>
      </c>
    </row>
    <row r="118" spans="2:5" ht="14.5" customHeight="1">
      <c r="B118" s="87" t="s">
        <v>348</v>
      </c>
      <c r="C118" s="61" t="s">
        <v>28</v>
      </c>
      <c r="D118" s="62">
        <v>33</v>
      </c>
      <c r="E118" s="63">
        <v>1.7516853336160001E-3</v>
      </c>
    </row>
    <row r="119" spans="2:5" ht="14.5" customHeight="1">
      <c r="B119" s="85" t="s">
        <v>126</v>
      </c>
      <c r="C119" s="58" t="s">
        <v>147</v>
      </c>
      <c r="D119" s="59">
        <v>29</v>
      </c>
      <c r="E119" s="60">
        <v>1.539359838633E-3</v>
      </c>
    </row>
    <row r="120" spans="2:5" ht="14.5" customHeight="1">
      <c r="B120" s="86"/>
      <c r="C120" s="58" t="s">
        <v>148</v>
      </c>
      <c r="D120" s="59">
        <v>61</v>
      </c>
      <c r="E120" s="60">
        <v>3.2379637985029998E-3</v>
      </c>
    </row>
    <row r="121" spans="2:5" ht="14.5" customHeight="1">
      <c r="B121" s="87" t="s">
        <v>349</v>
      </c>
      <c r="C121" s="61" t="s">
        <v>28</v>
      </c>
      <c r="D121" s="62">
        <v>90</v>
      </c>
      <c r="E121" s="63">
        <v>4.7773236371360002E-3</v>
      </c>
    </row>
    <row r="122" spans="2:5" ht="14.5" customHeight="1">
      <c r="B122" s="85" t="s">
        <v>112</v>
      </c>
      <c r="C122" s="58" t="s">
        <v>147</v>
      </c>
      <c r="D122" s="59">
        <v>116</v>
      </c>
      <c r="E122" s="60">
        <v>6.1574393545299998E-3</v>
      </c>
    </row>
    <row r="123" spans="2:5" ht="14.5" customHeight="1">
      <c r="B123" s="86"/>
      <c r="C123" s="58" t="s">
        <v>148</v>
      </c>
      <c r="D123" s="59">
        <v>197</v>
      </c>
      <c r="E123" s="60">
        <v>1.0457030627952999E-2</v>
      </c>
    </row>
    <row r="124" spans="2:5" ht="14.5" customHeight="1">
      <c r="B124" s="87" t="s">
        <v>350</v>
      </c>
      <c r="C124" s="61" t="s">
        <v>28</v>
      </c>
      <c r="D124" s="62">
        <v>313</v>
      </c>
      <c r="E124" s="63">
        <v>1.6614469982483001E-2</v>
      </c>
    </row>
    <row r="125" spans="2:5" ht="14.5" customHeight="1">
      <c r="B125" s="85" t="s">
        <v>118</v>
      </c>
      <c r="C125" s="58" t="s">
        <v>147</v>
      </c>
      <c r="D125" s="59">
        <v>98</v>
      </c>
      <c r="E125" s="60">
        <v>5.2019746271029996E-3</v>
      </c>
    </row>
    <row r="126" spans="2:5" ht="14.5" customHeight="1">
      <c r="B126" s="86"/>
      <c r="C126" s="58" t="s">
        <v>148</v>
      </c>
      <c r="D126" s="59">
        <v>112</v>
      </c>
      <c r="E126" s="60">
        <v>5.9451138595469997E-3</v>
      </c>
    </row>
    <row r="127" spans="2:5" ht="14.5" customHeight="1">
      <c r="B127" s="87" t="s">
        <v>351</v>
      </c>
      <c r="C127" s="61" t="s">
        <v>28</v>
      </c>
      <c r="D127" s="62">
        <v>210</v>
      </c>
      <c r="E127" s="63">
        <v>1.1147088486649999E-2</v>
      </c>
    </row>
    <row r="128" spans="2:5" ht="14.5" customHeight="1">
      <c r="B128" s="85" t="s">
        <v>119</v>
      </c>
      <c r="C128" s="58" t="s">
        <v>147</v>
      </c>
      <c r="D128" s="59">
        <v>58</v>
      </c>
      <c r="E128" s="60">
        <v>3.0787196772649999E-3</v>
      </c>
    </row>
    <row r="129" spans="2:5" ht="14.5" customHeight="1">
      <c r="B129" s="86"/>
      <c r="C129" s="58" t="s">
        <v>148</v>
      </c>
      <c r="D129" s="59">
        <v>139</v>
      </c>
      <c r="E129" s="60">
        <v>7.3783109506870004E-3</v>
      </c>
    </row>
    <row r="130" spans="2:5" ht="14.5" customHeight="1">
      <c r="B130" s="87" t="s">
        <v>352</v>
      </c>
      <c r="C130" s="61" t="s">
        <v>28</v>
      </c>
      <c r="D130" s="62">
        <v>197</v>
      </c>
      <c r="E130" s="63">
        <v>1.0457030627952999E-2</v>
      </c>
    </row>
    <row r="131" spans="2:5" ht="14.5" customHeight="1">
      <c r="B131" s="85" t="s">
        <v>129</v>
      </c>
      <c r="C131" s="58" t="s">
        <v>147</v>
      </c>
      <c r="D131" s="59">
        <v>31</v>
      </c>
      <c r="E131" s="60">
        <v>1.6455225861250001E-3</v>
      </c>
    </row>
    <row r="132" spans="2:5" ht="14.5" customHeight="1">
      <c r="B132" s="86"/>
      <c r="C132" s="58" t="s">
        <v>148</v>
      </c>
      <c r="D132" s="59">
        <v>47</v>
      </c>
      <c r="E132" s="60">
        <v>2.4948245660600002E-3</v>
      </c>
    </row>
    <row r="133" spans="2:5" ht="14.5" customHeight="1">
      <c r="B133" s="87" t="s">
        <v>353</v>
      </c>
      <c r="C133" s="61" t="s">
        <v>28</v>
      </c>
      <c r="D133" s="62">
        <v>78</v>
      </c>
      <c r="E133" s="63">
        <v>4.1403471521839997E-3</v>
      </c>
    </row>
    <row r="134" spans="2:5" ht="14.5" customHeight="1">
      <c r="B134" s="85" t="s">
        <v>114</v>
      </c>
      <c r="C134" s="58" t="s">
        <v>147</v>
      </c>
      <c r="D134" s="59">
        <v>98</v>
      </c>
      <c r="E134" s="60">
        <v>5.2019746271029996E-3</v>
      </c>
    </row>
    <row r="135" spans="2:5" ht="14.5" customHeight="1">
      <c r="B135" s="86"/>
      <c r="C135" s="58" t="s">
        <v>148</v>
      </c>
      <c r="D135" s="59">
        <v>132</v>
      </c>
      <c r="E135" s="60">
        <v>7.0067413344660004E-3</v>
      </c>
    </row>
    <row r="136" spans="2:5" ht="14.5" customHeight="1">
      <c r="B136" s="87" t="s">
        <v>354</v>
      </c>
      <c r="C136" s="61" t="s">
        <v>28</v>
      </c>
      <c r="D136" s="62">
        <v>230</v>
      </c>
      <c r="E136" s="63">
        <v>1.2208715961569E-2</v>
      </c>
    </row>
    <row r="137" spans="2:5" ht="14.5" customHeight="1">
      <c r="B137" s="85" t="s">
        <v>111</v>
      </c>
      <c r="C137" s="58" t="s">
        <v>147</v>
      </c>
      <c r="D137" s="59">
        <v>182</v>
      </c>
      <c r="E137" s="60">
        <v>9.660810021763E-3</v>
      </c>
    </row>
    <row r="138" spans="2:5" ht="14.5" customHeight="1">
      <c r="B138" s="86"/>
      <c r="C138" s="58" t="s">
        <v>148</v>
      </c>
      <c r="D138" s="59">
        <v>155</v>
      </c>
      <c r="E138" s="60">
        <v>8.2276129306229993E-3</v>
      </c>
    </row>
    <row r="139" spans="2:5" ht="14.5" customHeight="1">
      <c r="B139" s="87" t="s">
        <v>355</v>
      </c>
      <c r="C139" s="61" t="s">
        <v>28</v>
      </c>
      <c r="D139" s="62">
        <v>337</v>
      </c>
      <c r="E139" s="63">
        <v>1.7888422952386001E-2</v>
      </c>
    </row>
    <row r="140" spans="2:5" ht="14.5" customHeight="1">
      <c r="B140" s="85" t="s">
        <v>123</v>
      </c>
      <c r="C140" s="58" t="s">
        <v>147</v>
      </c>
      <c r="D140" s="59">
        <v>62</v>
      </c>
      <c r="E140" s="60">
        <v>3.291045172249E-3</v>
      </c>
    </row>
    <row r="141" spans="2:5" ht="14.5" customHeight="1">
      <c r="B141" s="86"/>
      <c r="C141" s="58" t="s">
        <v>148</v>
      </c>
      <c r="D141" s="59">
        <v>59</v>
      </c>
      <c r="E141" s="60">
        <v>3.1318010510110001E-3</v>
      </c>
    </row>
    <row r="142" spans="2:5" ht="14.5" customHeight="1">
      <c r="B142" s="87" t="s">
        <v>356</v>
      </c>
      <c r="C142" s="61" t="s">
        <v>28</v>
      </c>
      <c r="D142" s="62">
        <v>121</v>
      </c>
      <c r="E142" s="63">
        <v>6.4228462232600002E-3</v>
      </c>
    </row>
    <row r="143" spans="2:5" ht="14.5" customHeight="1">
      <c r="B143" s="85" t="s">
        <v>128</v>
      </c>
      <c r="C143" s="58" t="s">
        <v>147</v>
      </c>
      <c r="D143" s="59">
        <v>34</v>
      </c>
      <c r="E143" s="60">
        <v>1.8047667073620001E-3</v>
      </c>
    </row>
    <row r="144" spans="2:5" ht="14.5" customHeight="1">
      <c r="B144" s="86"/>
      <c r="C144" s="58" t="s">
        <v>148</v>
      </c>
      <c r="D144" s="59">
        <v>46</v>
      </c>
      <c r="E144" s="60">
        <v>2.4417431923139999E-3</v>
      </c>
    </row>
    <row r="145" spans="2:5" ht="14.5" customHeight="1">
      <c r="B145" s="87" t="s">
        <v>357</v>
      </c>
      <c r="C145" s="61" t="s">
        <v>28</v>
      </c>
      <c r="D145" s="62">
        <v>80</v>
      </c>
      <c r="E145" s="63">
        <v>4.2465098996760002E-3</v>
      </c>
    </row>
    <row r="146" spans="2:5" ht="14.5" customHeight="1">
      <c r="B146" s="85" t="s">
        <v>117</v>
      </c>
      <c r="C146" s="58" t="s">
        <v>147</v>
      </c>
      <c r="D146" s="59">
        <v>102</v>
      </c>
      <c r="E146" s="60">
        <v>5.4143001220869997E-3</v>
      </c>
    </row>
    <row r="147" spans="2:5" ht="14.5" customHeight="1">
      <c r="B147" s="86"/>
      <c r="C147" s="58" t="s">
        <v>148</v>
      </c>
      <c r="D147" s="59">
        <v>112</v>
      </c>
      <c r="E147" s="60">
        <v>5.9451138595469997E-3</v>
      </c>
    </row>
    <row r="148" spans="2:5" ht="14.5" customHeight="1">
      <c r="B148" s="87" t="s">
        <v>358</v>
      </c>
      <c r="C148" s="61" t="s">
        <v>28</v>
      </c>
      <c r="D148" s="62">
        <v>214</v>
      </c>
      <c r="E148" s="63">
        <v>1.1359413981634E-2</v>
      </c>
    </row>
    <row r="149" spans="2:5" ht="14.5" customHeight="1">
      <c r="B149" s="85" t="s">
        <v>115</v>
      </c>
      <c r="C149" s="58" t="s">
        <v>147</v>
      </c>
      <c r="D149" s="59">
        <v>105</v>
      </c>
      <c r="E149" s="60">
        <v>5.5735442433249996E-3</v>
      </c>
    </row>
    <row r="150" spans="2:5" ht="14.5" customHeight="1">
      <c r="B150" s="86"/>
      <c r="C150" s="58" t="s">
        <v>148</v>
      </c>
      <c r="D150" s="59">
        <v>113</v>
      </c>
      <c r="E150" s="60">
        <v>5.9981952332929999E-3</v>
      </c>
    </row>
    <row r="151" spans="2:5" ht="14.5" customHeight="1">
      <c r="B151" s="87" t="s">
        <v>359</v>
      </c>
      <c r="C151" s="61" t="s">
        <v>28</v>
      </c>
      <c r="D151" s="62">
        <v>218</v>
      </c>
      <c r="E151" s="63">
        <v>1.1571739476618E-2</v>
      </c>
    </row>
    <row r="152" spans="2:5" ht="14.5" customHeight="1">
      <c r="B152" s="85" t="s">
        <v>133</v>
      </c>
      <c r="C152" s="58" t="s">
        <v>147</v>
      </c>
      <c r="D152" s="59">
        <v>13</v>
      </c>
      <c r="E152" s="60">
        <v>6.90057858697E-4</v>
      </c>
    </row>
    <row r="153" spans="2:5" ht="14.5" customHeight="1">
      <c r="B153" s="86"/>
      <c r="C153" s="58" t="s">
        <v>148</v>
      </c>
      <c r="D153" s="59">
        <v>33</v>
      </c>
      <c r="E153" s="60">
        <v>1.7516853336160001E-3</v>
      </c>
    </row>
    <row r="154" spans="2:5" ht="14.5" customHeight="1">
      <c r="B154" s="87" t="s">
        <v>360</v>
      </c>
      <c r="C154" s="61" t="s">
        <v>28</v>
      </c>
      <c r="D154" s="62">
        <v>46</v>
      </c>
      <c r="E154" s="63">
        <v>2.4417431923139999E-3</v>
      </c>
    </row>
    <row r="155" spans="2:5" ht="14.5" customHeight="1">
      <c r="B155" s="85" t="s">
        <v>139</v>
      </c>
      <c r="C155" s="58" t="s">
        <v>147</v>
      </c>
      <c r="D155" s="59">
        <v>10</v>
      </c>
      <c r="E155" s="60">
        <v>5.3081373745999996E-4</v>
      </c>
    </row>
    <row r="156" spans="2:5" ht="14.5" customHeight="1">
      <c r="B156" s="86"/>
      <c r="C156" s="58" t="s">
        <v>148</v>
      </c>
      <c r="D156" s="59">
        <v>10</v>
      </c>
      <c r="E156" s="60">
        <v>5.3081373745999996E-4</v>
      </c>
    </row>
    <row r="157" spans="2:5" ht="14.5" customHeight="1">
      <c r="B157" s="87" t="s">
        <v>361</v>
      </c>
      <c r="C157" s="61" t="s">
        <v>28</v>
      </c>
      <c r="D157" s="62">
        <v>20</v>
      </c>
      <c r="E157" s="63">
        <v>1.0616274749190001E-3</v>
      </c>
    </row>
    <row r="158" spans="2:5" ht="14.5" customHeight="1">
      <c r="B158" s="85" t="s">
        <v>93</v>
      </c>
      <c r="C158" s="58" t="s">
        <v>147</v>
      </c>
      <c r="D158" s="59">
        <v>21</v>
      </c>
      <c r="E158" s="60">
        <v>1.1147088486650001E-3</v>
      </c>
    </row>
    <row r="159" spans="2:5" ht="14.5" customHeight="1">
      <c r="B159" s="86"/>
      <c r="C159" s="58" t="s">
        <v>148</v>
      </c>
      <c r="D159" s="59">
        <v>35</v>
      </c>
      <c r="E159" s="60">
        <v>1.8578480811079999E-3</v>
      </c>
    </row>
    <row r="160" spans="2:5" ht="14.5" customHeight="1">
      <c r="B160" s="87" t="s">
        <v>189</v>
      </c>
      <c r="C160" s="61" t="s">
        <v>28</v>
      </c>
      <c r="D160" s="62">
        <v>56</v>
      </c>
      <c r="E160" s="63">
        <v>2.9725569297729998E-3</v>
      </c>
    </row>
    <row r="161" spans="2:5" ht="14.5" customHeight="1">
      <c r="B161" s="85" t="s">
        <v>141</v>
      </c>
      <c r="C161" s="58" t="s">
        <v>147</v>
      </c>
      <c r="D161" s="59">
        <v>6</v>
      </c>
      <c r="E161" s="60">
        <v>3.1848824247600002E-4</v>
      </c>
    </row>
    <row r="162" spans="2:5" ht="14.5" customHeight="1">
      <c r="B162" s="86"/>
      <c r="C162" s="58" t="s">
        <v>148</v>
      </c>
      <c r="D162" s="59">
        <v>4</v>
      </c>
      <c r="E162" s="60">
        <v>2.1232549498399999E-4</v>
      </c>
    </row>
    <row r="163" spans="2:5" ht="14.5" customHeight="1">
      <c r="B163" s="87" t="s">
        <v>362</v>
      </c>
      <c r="C163" s="61" t="s">
        <v>28</v>
      </c>
      <c r="D163" s="62">
        <v>10</v>
      </c>
      <c r="E163" s="63">
        <v>5.3081373745999996E-4</v>
      </c>
    </row>
    <row r="164" spans="2:5" ht="14.5" customHeight="1">
      <c r="B164" s="97" t="s">
        <v>28</v>
      </c>
      <c r="C164" s="98"/>
      <c r="D164" s="51">
        <v>18839</v>
      </c>
      <c r="E164" s="52">
        <v>1</v>
      </c>
    </row>
    <row r="165" spans="2:5" ht="14.5" customHeight="1"/>
    <row r="166" spans="2:5" ht="14.5" customHeight="1">
      <c r="B166" s="15" t="s">
        <v>48</v>
      </c>
    </row>
    <row r="167" spans="2:5" ht="14.5" customHeight="1">
      <c r="B167" s="17" t="s">
        <v>17</v>
      </c>
    </row>
    <row r="168" spans="2:5" ht="14.5" customHeight="1">
      <c r="B168" s="16" t="s">
        <v>49</v>
      </c>
    </row>
    <row r="169" spans="2:5" ht="14.5" customHeight="1">
      <c r="B169" s="15" t="s">
        <v>16</v>
      </c>
    </row>
    <row r="170" spans="2:5" ht="14.5" customHeight="1">
      <c r="B170" s="15" t="s">
        <v>50</v>
      </c>
    </row>
  </sheetData>
  <mergeCells count="53">
    <mergeCell ref="B161:B163"/>
    <mergeCell ref="B164:C164"/>
    <mergeCell ref="B73:B75"/>
    <mergeCell ref="B76:B78"/>
    <mergeCell ref="B79:B81"/>
    <mergeCell ref="B82:B84"/>
    <mergeCell ref="B85:B87"/>
    <mergeCell ref="B149:B151"/>
    <mergeCell ref="B152:B154"/>
    <mergeCell ref="B155:B157"/>
    <mergeCell ref="B158:B160"/>
    <mergeCell ref="B113:B115"/>
    <mergeCell ref="B116:B118"/>
    <mergeCell ref="B119:B121"/>
    <mergeCell ref="B22:B24"/>
    <mergeCell ref="B52:B54"/>
    <mergeCell ref="B122:B124"/>
    <mergeCell ref="B125:B127"/>
    <mergeCell ref="B98:B100"/>
    <mergeCell ref="B101:B103"/>
    <mergeCell ref="B104:B106"/>
    <mergeCell ref="B107:B109"/>
    <mergeCell ref="B110:B112"/>
    <mergeCell ref="B58:B60"/>
    <mergeCell ref="B61:B63"/>
    <mergeCell ref="B64:B66"/>
    <mergeCell ref="B67:B69"/>
    <mergeCell ref="B70:B72"/>
    <mergeCell ref="B88:B90"/>
    <mergeCell ref="B91:B92"/>
    <mergeCell ref="B55:B57"/>
    <mergeCell ref="B93:B94"/>
    <mergeCell ref="B95:B97"/>
    <mergeCell ref="B8:E10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13:B15"/>
    <mergeCell ref="B16:B18"/>
    <mergeCell ref="B19:B21"/>
    <mergeCell ref="B143:B145"/>
    <mergeCell ref="B146:B148"/>
    <mergeCell ref="B128:B130"/>
    <mergeCell ref="B131:B133"/>
    <mergeCell ref="B134:B136"/>
    <mergeCell ref="B137:B139"/>
    <mergeCell ref="B140:B14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3"/>
  <sheetViews>
    <sheetView showGridLines="0" view="pageBreakPreview" zoomScaleNormal="100" zoomScaleSheetLayoutView="100" workbookViewId="0">
      <selection activeCell="B153" sqref="B148:E153"/>
    </sheetView>
  </sheetViews>
  <sheetFormatPr baseColWidth="10" defaultColWidth="11.453125" defaultRowHeight="10"/>
  <cols>
    <col min="1" max="1" width="5.7265625" style="24" customWidth="1"/>
    <col min="2" max="2" width="21" style="40" customWidth="1"/>
    <col min="3" max="3" width="20.1796875" style="40" customWidth="1"/>
    <col min="4" max="4" width="15.7265625" style="43" customWidth="1"/>
    <col min="5" max="5" width="15.7265625" style="40" customWidth="1"/>
    <col min="6" max="6" width="5.7265625" style="24" customWidth="1"/>
    <col min="7" max="7" width="2.1796875" style="24" customWidth="1"/>
    <col min="8" max="16384" width="11.453125" style="24"/>
  </cols>
  <sheetData>
    <row r="1" spans="2:6" s="13" customFormat="1" ht="14.5">
      <c r="B1" s="40"/>
      <c r="C1" s="40"/>
    </row>
    <row r="2" spans="2:6" s="40" customFormat="1">
      <c r="B2" s="46"/>
    </row>
    <row r="3" spans="2:6" ht="15" customHeight="1">
      <c r="B3" s="47"/>
      <c r="C3" s="30"/>
      <c r="D3" s="24"/>
      <c r="F3" s="40"/>
    </row>
    <row r="4" spans="2:6" ht="30" customHeight="1">
      <c r="B4" s="47"/>
      <c r="C4" s="30"/>
      <c r="D4" s="24"/>
      <c r="F4" s="40"/>
    </row>
    <row r="5" spans="2:6" ht="15" customHeight="1">
      <c r="B5" s="47"/>
      <c r="C5" s="30"/>
      <c r="D5" s="24"/>
      <c r="F5" s="40"/>
    </row>
    <row r="6" spans="2:6" s="40" customFormat="1" ht="10.5">
      <c r="B6" s="42"/>
      <c r="C6" s="36"/>
    </row>
    <row r="7" spans="2:6" s="40" customFormat="1">
      <c r="B7" s="46"/>
    </row>
    <row r="8" spans="2:6" s="13" customFormat="1" ht="15" customHeight="1">
      <c r="B8" s="84" t="s">
        <v>42</v>
      </c>
      <c r="C8" s="84"/>
      <c r="D8" s="84"/>
      <c r="E8" s="84"/>
    </row>
    <row r="9" spans="2:6" s="13" customFormat="1" ht="15" customHeight="1">
      <c r="B9" s="84"/>
      <c r="C9" s="84"/>
      <c r="D9" s="84"/>
      <c r="E9" s="84"/>
      <c r="F9" s="45"/>
    </row>
    <row r="10" spans="2:6" s="13" customFormat="1" ht="15" customHeight="1">
      <c r="B10" s="84"/>
      <c r="C10" s="84"/>
      <c r="D10" s="84"/>
      <c r="E10" s="84"/>
    </row>
    <row r="11" spans="2:6" s="13" customFormat="1" ht="15" customHeight="1">
      <c r="B11" s="48"/>
      <c r="C11" s="48"/>
      <c r="D11" s="48"/>
      <c r="E11" s="48"/>
    </row>
    <row r="12" spans="2:6" s="13" customFormat="1" ht="37" customHeight="1">
      <c r="B12" s="50" t="s">
        <v>24</v>
      </c>
      <c r="C12" s="50" t="s">
        <v>29</v>
      </c>
      <c r="D12" s="50" t="s">
        <v>19</v>
      </c>
      <c r="E12" s="50" t="s">
        <v>18</v>
      </c>
    </row>
    <row r="13" spans="2:6" s="69" customFormat="1" ht="14.5" customHeight="1">
      <c r="B13" s="85" t="s">
        <v>51</v>
      </c>
      <c r="C13" s="58" t="s">
        <v>147</v>
      </c>
      <c r="D13" s="59">
        <v>22</v>
      </c>
      <c r="E13" s="60">
        <v>1.1677902224109999E-3</v>
      </c>
    </row>
    <row r="14" spans="2:6" s="69" customFormat="1" ht="14.5" customHeight="1">
      <c r="B14" s="86"/>
      <c r="C14" s="58" t="s">
        <v>148</v>
      </c>
      <c r="D14" s="59">
        <v>31</v>
      </c>
      <c r="E14" s="60">
        <v>1.6455225861250001E-3</v>
      </c>
    </row>
    <row r="15" spans="2:6" s="69" customFormat="1" ht="14.5" customHeight="1">
      <c r="B15" s="87"/>
      <c r="C15" s="53" t="s">
        <v>28</v>
      </c>
      <c r="D15" s="54">
        <v>53</v>
      </c>
      <c r="E15" s="55">
        <v>2.8133128085349999E-3</v>
      </c>
    </row>
    <row r="16" spans="2:6" s="69" customFormat="1" ht="14.5" customHeight="1">
      <c r="B16" s="85" t="s">
        <v>52</v>
      </c>
      <c r="C16" s="58" t="s">
        <v>147</v>
      </c>
      <c r="D16" s="59">
        <v>252</v>
      </c>
      <c r="E16" s="60">
        <v>1.3376506183979999E-2</v>
      </c>
    </row>
    <row r="17" spans="2:5" s="69" customFormat="1" ht="14.5" customHeight="1">
      <c r="B17" s="86"/>
      <c r="C17" s="58" t="s">
        <v>148</v>
      </c>
      <c r="D17" s="59">
        <v>343</v>
      </c>
      <c r="E17" s="60">
        <v>1.8206911194862001E-2</v>
      </c>
    </row>
    <row r="18" spans="2:5" s="69" customFormat="1" ht="14.5" customHeight="1">
      <c r="B18" s="87" t="s">
        <v>149</v>
      </c>
      <c r="C18" s="53" t="s">
        <v>28</v>
      </c>
      <c r="D18" s="54">
        <v>595</v>
      </c>
      <c r="E18" s="55">
        <v>3.1583417378842002E-2</v>
      </c>
    </row>
    <row r="19" spans="2:5" s="69" customFormat="1" ht="14.5" customHeight="1">
      <c r="B19" s="85" t="s">
        <v>53</v>
      </c>
      <c r="C19" s="58" t="s">
        <v>147</v>
      </c>
      <c r="D19" s="59">
        <v>95</v>
      </c>
      <c r="E19" s="60">
        <v>5.0427305058649997E-3</v>
      </c>
    </row>
    <row r="20" spans="2:5" s="69" customFormat="1" ht="14.5" customHeight="1">
      <c r="B20" s="86"/>
      <c r="C20" s="58" t="s">
        <v>148</v>
      </c>
      <c r="D20" s="59">
        <v>187</v>
      </c>
      <c r="E20" s="60">
        <v>9.9262168904930004E-3</v>
      </c>
    </row>
    <row r="21" spans="2:5" s="69" customFormat="1" ht="14.5" customHeight="1">
      <c r="B21" s="87" t="s">
        <v>150</v>
      </c>
      <c r="C21" s="53" t="s">
        <v>28</v>
      </c>
      <c r="D21" s="54">
        <v>282</v>
      </c>
      <c r="E21" s="55">
        <v>1.4968947396358999E-2</v>
      </c>
    </row>
    <row r="22" spans="2:5" s="69" customFormat="1" ht="14.5" customHeight="1">
      <c r="B22" s="85" t="s">
        <v>54</v>
      </c>
      <c r="C22" s="58" t="s">
        <v>147</v>
      </c>
      <c r="D22" s="59">
        <v>1625</v>
      </c>
      <c r="E22" s="60">
        <v>8.6257232337173001E-2</v>
      </c>
    </row>
    <row r="23" spans="2:5" s="69" customFormat="1" ht="14.5" customHeight="1">
      <c r="B23" s="86"/>
      <c r="C23" s="58" t="s">
        <v>148</v>
      </c>
      <c r="D23" s="59">
        <v>1629</v>
      </c>
      <c r="E23" s="60">
        <v>8.6469557832156999E-2</v>
      </c>
    </row>
    <row r="24" spans="2:5" s="69" customFormat="1" ht="14.5" customHeight="1">
      <c r="B24" s="87" t="s">
        <v>151</v>
      </c>
      <c r="C24" s="53" t="s">
        <v>28</v>
      </c>
      <c r="D24" s="54">
        <v>3254</v>
      </c>
      <c r="E24" s="55">
        <v>0.17272679016933001</v>
      </c>
    </row>
    <row r="25" spans="2:5" s="69" customFormat="1" ht="14.5" customHeight="1">
      <c r="B25" s="85" t="s">
        <v>55</v>
      </c>
      <c r="C25" s="58" t="s">
        <v>147</v>
      </c>
      <c r="D25" s="59">
        <v>355</v>
      </c>
      <c r="E25" s="60">
        <v>1.8843887679813001E-2</v>
      </c>
    </row>
    <row r="26" spans="2:5" s="69" customFormat="1" ht="14.5" customHeight="1">
      <c r="B26" s="86"/>
      <c r="C26" s="58" t="s">
        <v>148</v>
      </c>
      <c r="D26" s="59">
        <v>581</v>
      </c>
      <c r="E26" s="60">
        <v>3.0840278146398E-2</v>
      </c>
    </row>
    <row r="27" spans="2:5" s="69" customFormat="1" ht="14.5" customHeight="1">
      <c r="B27" s="87" t="s">
        <v>152</v>
      </c>
      <c r="C27" s="53" t="s">
        <v>28</v>
      </c>
      <c r="D27" s="54">
        <v>936</v>
      </c>
      <c r="E27" s="55">
        <v>4.9684165826211997E-2</v>
      </c>
    </row>
    <row r="28" spans="2:5" s="69" customFormat="1" ht="14.5" customHeight="1">
      <c r="B28" s="85" t="s">
        <v>56</v>
      </c>
      <c r="C28" s="58" t="s">
        <v>147</v>
      </c>
      <c r="D28" s="59">
        <v>3</v>
      </c>
      <c r="E28" s="60">
        <v>1.5924412123800001E-4</v>
      </c>
    </row>
    <row r="29" spans="2:5" s="69" customFormat="1" ht="14.5" customHeight="1">
      <c r="B29" s="86"/>
      <c r="C29" s="58" t="s">
        <v>148</v>
      </c>
      <c r="D29" s="59">
        <v>1</v>
      </c>
      <c r="E29" s="60">
        <v>5.3081373745999998E-5</v>
      </c>
    </row>
    <row r="30" spans="2:5" s="69" customFormat="1" ht="14.5" customHeight="1">
      <c r="B30" s="87" t="s">
        <v>153</v>
      </c>
      <c r="C30" s="53" t="s">
        <v>28</v>
      </c>
      <c r="D30" s="54">
        <v>4</v>
      </c>
      <c r="E30" s="55">
        <v>2.1232549498399999E-4</v>
      </c>
    </row>
    <row r="31" spans="2:5" s="69" customFormat="1" ht="14.5" customHeight="1">
      <c r="B31" s="85" t="s">
        <v>57</v>
      </c>
      <c r="C31" s="58" t="s">
        <v>147</v>
      </c>
      <c r="D31" s="59">
        <v>6</v>
      </c>
      <c r="E31" s="60">
        <v>3.1848824247600002E-4</v>
      </c>
    </row>
    <row r="32" spans="2:5" s="69" customFormat="1" ht="14.5" customHeight="1">
      <c r="B32" s="86"/>
      <c r="C32" s="58" t="s">
        <v>148</v>
      </c>
      <c r="D32" s="59">
        <v>10</v>
      </c>
      <c r="E32" s="60">
        <v>5.3081373745999996E-4</v>
      </c>
    </row>
    <row r="33" spans="2:5" s="69" customFormat="1" ht="14.5" customHeight="1">
      <c r="B33" s="87" t="s">
        <v>154</v>
      </c>
      <c r="C33" s="53" t="s">
        <v>28</v>
      </c>
      <c r="D33" s="54">
        <v>16</v>
      </c>
      <c r="E33" s="55">
        <v>8.4930197993500001E-4</v>
      </c>
    </row>
    <row r="34" spans="2:5" s="69" customFormat="1" ht="14.5" customHeight="1">
      <c r="B34" s="85" t="s">
        <v>58</v>
      </c>
      <c r="C34" s="58" t="s">
        <v>147</v>
      </c>
      <c r="D34" s="59">
        <v>62</v>
      </c>
      <c r="E34" s="60">
        <v>3.291045172249E-3</v>
      </c>
    </row>
    <row r="35" spans="2:5" s="69" customFormat="1" ht="14.5" customHeight="1">
      <c r="B35" s="86"/>
      <c r="C35" s="58" t="s">
        <v>148</v>
      </c>
      <c r="D35" s="59">
        <v>113</v>
      </c>
      <c r="E35" s="60">
        <v>5.9981952332929999E-3</v>
      </c>
    </row>
    <row r="36" spans="2:5" s="69" customFormat="1" ht="14.5" customHeight="1">
      <c r="B36" s="87" t="s">
        <v>155</v>
      </c>
      <c r="C36" s="53" t="s">
        <v>28</v>
      </c>
      <c r="D36" s="54">
        <v>175</v>
      </c>
      <c r="E36" s="55">
        <v>9.289240405542E-3</v>
      </c>
    </row>
    <row r="37" spans="2:5" s="69" customFormat="1" ht="14.5" customHeight="1">
      <c r="B37" s="85" t="s">
        <v>59</v>
      </c>
      <c r="C37" s="58" t="s">
        <v>147</v>
      </c>
      <c r="D37" s="59">
        <v>119</v>
      </c>
      <c r="E37" s="60">
        <v>6.3166834757679997E-3</v>
      </c>
    </row>
    <row r="38" spans="2:5" s="69" customFormat="1" ht="14.5" customHeight="1">
      <c r="B38" s="86"/>
      <c r="C38" s="58" t="s">
        <v>148</v>
      </c>
      <c r="D38" s="59">
        <v>173</v>
      </c>
      <c r="E38" s="60">
        <v>9.1830776580499995E-3</v>
      </c>
    </row>
    <row r="39" spans="2:5" s="69" customFormat="1" ht="14.5" customHeight="1">
      <c r="B39" s="87" t="s">
        <v>156</v>
      </c>
      <c r="C39" s="53" t="s">
        <v>28</v>
      </c>
      <c r="D39" s="54">
        <v>292</v>
      </c>
      <c r="E39" s="55">
        <v>1.5499761133817999E-2</v>
      </c>
    </row>
    <row r="40" spans="2:5" s="69" customFormat="1" ht="14.5" customHeight="1">
      <c r="B40" s="85" t="s">
        <v>60</v>
      </c>
      <c r="C40" s="58" t="s">
        <v>147</v>
      </c>
      <c r="D40" s="59">
        <v>1</v>
      </c>
      <c r="E40" s="60">
        <v>5.3081373745999998E-5</v>
      </c>
    </row>
    <row r="41" spans="2:5" s="69" customFormat="1" ht="14.5" customHeight="1">
      <c r="B41" s="87" t="s">
        <v>157</v>
      </c>
      <c r="C41" s="53" t="s">
        <v>28</v>
      </c>
      <c r="D41" s="54">
        <v>1</v>
      </c>
      <c r="E41" s="55">
        <v>5.3081373745999998E-5</v>
      </c>
    </row>
    <row r="42" spans="2:5" s="69" customFormat="1" ht="14.5" customHeight="1">
      <c r="B42" s="85" t="s">
        <v>61</v>
      </c>
      <c r="C42" s="58" t="s">
        <v>147</v>
      </c>
      <c r="D42" s="59">
        <v>28</v>
      </c>
      <c r="E42" s="60">
        <v>1.4862784648869999E-3</v>
      </c>
    </row>
    <row r="43" spans="2:5" s="69" customFormat="1" ht="14.5" customHeight="1">
      <c r="B43" s="86"/>
      <c r="C43" s="58" t="s">
        <v>148</v>
      </c>
      <c r="D43" s="59">
        <v>47</v>
      </c>
      <c r="E43" s="60">
        <v>2.4948245660600002E-3</v>
      </c>
    </row>
    <row r="44" spans="2:5" s="69" customFormat="1" ht="14.5" customHeight="1">
      <c r="B44" s="87" t="s">
        <v>158</v>
      </c>
      <c r="C44" s="53" t="s">
        <v>28</v>
      </c>
      <c r="D44" s="54">
        <v>75</v>
      </c>
      <c r="E44" s="55">
        <v>3.9811030309459998E-3</v>
      </c>
    </row>
    <row r="45" spans="2:5" s="69" customFormat="1" ht="14.5" customHeight="1">
      <c r="B45" s="85" t="s">
        <v>62</v>
      </c>
      <c r="C45" s="58" t="s">
        <v>147</v>
      </c>
      <c r="D45" s="59">
        <v>1191</v>
      </c>
      <c r="E45" s="60">
        <v>6.3219916131428994E-2</v>
      </c>
    </row>
    <row r="46" spans="2:5" s="69" customFormat="1" ht="14.5" customHeight="1">
      <c r="B46" s="86"/>
      <c r="C46" s="58" t="s">
        <v>148</v>
      </c>
      <c r="D46" s="59">
        <v>1565</v>
      </c>
      <c r="E46" s="60">
        <v>8.3072349912415994E-2</v>
      </c>
    </row>
    <row r="47" spans="2:5" s="69" customFormat="1" ht="14.5" customHeight="1">
      <c r="B47" s="87" t="s">
        <v>159</v>
      </c>
      <c r="C47" s="53" t="s">
        <v>28</v>
      </c>
      <c r="D47" s="54">
        <v>2756</v>
      </c>
      <c r="E47" s="55">
        <v>0.14629226604384499</v>
      </c>
    </row>
    <row r="48" spans="2:5" s="69" customFormat="1" ht="14.5" customHeight="1">
      <c r="B48" s="85" t="s">
        <v>63</v>
      </c>
      <c r="C48" s="58" t="s">
        <v>147</v>
      </c>
      <c r="D48" s="59">
        <v>116</v>
      </c>
      <c r="E48" s="60">
        <v>6.1574393545299998E-3</v>
      </c>
    </row>
    <row r="49" spans="2:5" s="69" customFormat="1" ht="14.5" customHeight="1">
      <c r="B49" s="86"/>
      <c r="C49" s="58" t="s">
        <v>148</v>
      </c>
      <c r="D49" s="59">
        <v>165</v>
      </c>
      <c r="E49" s="60">
        <v>8.7584266680819992E-3</v>
      </c>
    </row>
    <row r="50" spans="2:5" s="69" customFormat="1" ht="14.5" customHeight="1">
      <c r="B50" s="87" t="s">
        <v>160</v>
      </c>
      <c r="C50" s="53" t="s">
        <v>28</v>
      </c>
      <c r="D50" s="54">
        <v>281</v>
      </c>
      <c r="E50" s="55">
        <v>1.4915866022613E-2</v>
      </c>
    </row>
    <row r="51" spans="2:5" s="69" customFormat="1" ht="14.5" customHeight="1">
      <c r="B51" s="85" t="s">
        <v>64</v>
      </c>
      <c r="C51" s="58" t="s">
        <v>147</v>
      </c>
      <c r="D51" s="59">
        <v>22</v>
      </c>
      <c r="E51" s="60">
        <v>1.1677902224109999E-3</v>
      </c>
    </row>
    <row r="52" spans="2:5" s="69" customFormat="1" ht="14.5" customHeight="1">
      <c r="B52" s="86"/>
      <c r="C52" s="58" t="s">
        <v>148</v>
      </c>
      <c r="D52" s="59">
        <v>26</v>
      </c>
      <c r="E52" s="60">
        <v>1.3801157173950001E-3</v>
      </c>
    </row>
    <row r="53" spans="2:5" s="69" customFormat="1" ht="14.5" customHeight="1">
      <c r="B53" s="87" t="s">
        <v>161</v>
      </c>
      <c r="C53" s="53" t="s">
        <v>28</v>
      </c>
      <c r="D53" s="54">
        <v>48</v>
      </c>
      <c r="E53" s="55">
        <v>2.547905939806E-3</v>
      </c>
    </row>
    <row r="54" spans="2:5" s="69" customFormat="1" ht="14.5" customHeight="1">
      <c r="B54" s="85" t="s">
        <v>65</v>
      </c>
      <c r="C54" s="58" t="s">
        <v>147</v>
      </c>
      <c r="D54" s="59">
        <v>493</v>
      </c>
      <c r="E54" s="60">
        <v>2.6169117256755001E-2</v>
      </c>
    </row>
    <row r="55" spans="2:5" s="69" customFormat="1" ht="14.5" customHeight="1">
      <c r="B55" s="86"/>
      <c r="C55" s="58" t="s">
        <v>148</v>
      </c>
      <c r="D55" s="59">
        <v>545</v>
      </c>
      <c r="E55" s="60">
        <v>2.8929348691544E-2</v>
      </c>
    </row>
    <row r="56" spans="2:5" s="69" customFormat="1" ht="14.5" customHeight="1">
      <c r="B56" s="87" t="s">
        <v>162</v>
      </c>
      <c r="C56" s="53" t="s">
        <v>28</v>
      </c>
      <c r="D56" s="54">
        <v>1038</v>
      </c>
      <c r="E56" s="55">
        <v>5.5098465948299001E-2</v>
      </c>
    </row>
    <row r="57" spans="2:5" s="69" customFormat="1" ht="14.5" customHeight="1">
      <c r="B57" s="85" t="s">
        <v>66</v>
      </c>
      <c r="C57" s="58" t="s">
        <v>147</v>
      </c>
      <c r="D57" s="59">
        <v>26</v>
      </c>
      <c r="E57" s="60">
        <v>1.3801157173950001E-3</v>
      </c>
    </row>
    <row r="58" spans="2:5" s="69" customFormat="1" ht="14.5" customHeight="1">
      <c r="B58" s="86"/>
      <c r="C58" s="58" t="s">
        <v>148</v>
      </c>
      <c r="D58" s="59">
        <v>35</v>
      </c>
      <c r="E58" s="60">
        <v>1.8578480811079999E-3</v>
      </c>
    </row>
    <row r="59" spans="2:5" s="69" customFormat="1" ht="14.5" customHeight="1">
      <c r="B59" s="87" t="s">
        <v>163</v>
      </c>
      <c r="C59" s="53" t="s">
        <v>28</v>
      </c>
      <c r="D59" s="54">
        <v>61</v>
      </c>
      <c r="E59" s="55">
        <v>3.2379637985029998E-3</v>
      </c>
    </row>
    <row r="60" spans="2:5" s="69" customFormat="1" ht="14.5" customHeight="1">
      <c r="B60" s="85" t="s">
        <v>67</v>
      </c>
      <c r="C60" s="58" t="s">
        <v>147</v>
      </c>
      <c r="D60" s="59">
        <v>18</v>
      </c>
      <c r="E60" s="60">
        <v>9.5546472742699998E-4</v>
      </c>
    </row>
    <row r="61" spans="2:5" s="69" customFormat="1" ht="14.5" customHeight="1">
      <c r="B61" s="86"/>
      <c r="C61" s="58" t="s">
        <v>148</v>
      </c>
      <c r="D61" s="59">
        <v>21</v>
      </c>
      <c r="E61" s="60">
        <v>1.1147088486650001E-3</v>
      </c>
    </row>
    <row r="62" spans="2:5" s="69" customFormat="1" ht="14.5" customHeight="1">
      <c r="B62" s="87" t="s">
        <v>164</v>
      </c>
      <c r="C62" s="53" t="s">
        <v>28</v>
      </c>
      <c r="D62" s="54">
        <v>39</v>
      </c>
      <c r="E62" s="55">
        <v>2.0701735760919999E-3</v>
      </c>
    </row>
    <row r="63" spans="2:5" s="69" customFormat="1" ht="14.5" customHeight="1">
      <c r="B63" s="85" t="s">
        <v>68</v>
      </c>
      <c r="C63" s="58" t="s">
        <v>147</v>
      </c>
      <c r="D63" s="59">
        <v>6</v>
      </c>
      <c r="E63" s="60">
        <v>3.1848824247600002E-4</v>
      </c>
    </row>
    <row r="64" spans="2:5" s="69" customFormat="1" ht="14.5" customHeight="1">
      <c r="B64" s="86"/>
      <c r="C64" s="58" t="s">
        <v>148</v>
      </c>
      <c r="D64" s="59">
        <v>6</v>
      </c>
      <c r="E64" s="60">
        <v>3.1848824247600002E-4</v>
      </c>
    </row>
    <row r="65" spans="2:5" s="69" customFormat="1" ht="14.5" customHeight="1">
      <c r="B65" s="87" t="s">
        <v>165</v>
      </c>
      <c r="C65" s="53" t="s">
        <v>28</v>
      </c>
      <c r="D65" s="54">
        <v>12</v>
      </c>
      <c r="E65" s="55">
        <v>6.3697648495099997E-4</v>
      </c>
    </row>
    <row r="66" spans="2:5" s="69" customFormat="1" ht="14.5" customHeight="1">
      <c r="B66" s="85" t="s">
        <v>69</v>
      </c>
      <c r="C66" s="58" t="s">
        <v>147</v>
      </c>
      <c r="D66" s="59">
        <v>1</v>
      </c>
      <c r="E66" s="60">
        <v>5.3081373745999998E-5</v>
      </c>
    </row>
    <row r="67" spans="2:5" s="69" customFormat="1" ht="14.5" customHeight="1">
      <c r="B67" s="86"/>
      <c r="C67" s="58" t="s">
        <v>148</v>
      </c>
      <c r="D67" s="59">
        <v>2</v>
      </c>
      <c r="E67" s="60">
        <v>1.06162747492E-4</v>
      </c>
    </row>
    <row r="68" spans="2:5" s="69" customFormat="1" ht="14.5" customHeight="1">
      <c r="B68" s="87" t="s">
        <v>166</v>
      </c>
      <c r="C68" s="53" t="s">
        <v>28</v>
      </c>
      <c r="D68" s="54">
        <v>3</v>
      </c>
      <c r="E68" s="55">
        <v>1.5924412123800001E-4</v>
      </c>
    </row>
    <row r="69" spans="2:5" s="69" customFormat="1" ht="14.5" customHeight="1">
      <c r="B69" s="85" t="s">
        <v>70</v>
      </c>
      <c r="C69" s="58" t="s">
        <v>147</v>
      </c>
      <c r="D69" s="59">
        <v>49</v>
      </c>
      <c r="E69" s="60">
        <v>2.6009873135519998E-3</v>
      </c>
    </row>
    <row r="70" spans="2:5" s="69" customFormat="1" ht="14.5" customHeight="1">
      <c r="B70" s="86"/>
      <c r="C70" s="58" t="s">
        <v>148</v>
      </c>
      <c r="D70" s="59">
        <v>68</v>
      </c>
      <c r="E70" s="60">
        <v>3.6095334147249998E-3</v>
      </c>
    </row>
    <row r="71" spans="2:5" s="69" customFormat="1" ht="14.5" customHeight="1">
      <c r="B71" s="87" t="s">
        <v>167</v>
      </c>
      <c r="C71" s="53" t="s">
        <v>28</v>
      </c>
      <c r="D71" s="54">
        <v>117</v>
      </c>
      <c r="E71" s="55">
        <v>6.210520728276E-3</v>
      </c>
    </row>
    <row r="72" spans="2:5" s="69" customFormat="1" ht="14.5" customHeight="1">
      <c r="B72" s="85" t="s">
        <v>71</v>
      </c>
      <c r="C72" s="58" t="s">
        <v>147</v>
      </c>
      <c r="D72" s="59">
        <v>48</v>
      </c>
      <c r="E72" s="60">
        <v>2.547905939806E-3</v>
      </c>
    </row>
    <row r="73" spans="2:5" s="69" customFormat="1" ht="14.5" customHeight="1">
      <c r="B73" s="86"/>
      <c r="C73" s="58" t="s">
        <v>148</v>
      </c>
      <c r="D73" s="59">
        <v>120</v>
      </c>
      <c r="E73" s="60">
        <v>6.3697648495139999E-3</v>
      </c>
    </row>
    <row r="74" spans="2:5" s="69" customFormat="1" ht="14.5" customHeight="1">
      <c r="B74" s="87" t="s">
        <v>168</v>
      </c>
      <c r="C74" s="53" t="s">
        <v>28</v>
      </c>
      <c r="D74" s="54">
        <v>168</v>
      </c>
      <c r="E74" s="55">
        <v>8.9176707893200008E-3</v>
      </c>
    </row>
    <row r="75" spans="2:5" s="69" customFormat="1" ht="14.5" customHeight="1">
      <c r="B75" s="85" t="s">
        <v>72</v>
      </c>
      <c r="C75" s="58" t="s">
        <v>147</v>
      </c>
      <c r="D75" s="59">
        <v>10</v>
      </c>
      <c r="E75" s="60">
        <v>5.3081373745999996E-4</v>
      </c>
    </row>
    <row r="76" spans="2:5" s="69" customFormat="1" ht="14.5" customHeight="1">
      <c r="B76" s="86"/>
      <c r="C76" s="58" t="s">
        <v>148</v>
      </c>
      <c r="D76" s="59">
        <v>10</v>
      </c>
      <c r="E76" s="60">
        <v>5.3081373745999996E-4</v>
      </c>
    </row>
    <row r="77" spans="2:5" s="69" customFormat="1" ht="14.5" customHeight="1">
      <c r="B77" s="87" t="s">
        <v>169</v>
      </c>
      <c r="C77" s="53" t="s">
        <v>28</v>
      </c>
      <c r="D77" s="54">
        <v>20</v>
      </c>
      <c r="E77" s="55">
        <v>1.0616274749190001E-3</v>
      </c>
    </row>
    <row r="78" spans="2:5" s="69" customFormat="1" ht="14.5" customHeight="1">
      <c r="B78" s="85" t="s">
        <v>73</v>
      </c>
      <c r="C78" s="58" t="s">
        <v>147</v>
      </c>
      <c r="D78" s="59">
        <v>81</v>
      </c>
      <c r="E78" s="60">
        <v>4.2995912734219996E-3</v>
      </c>
    </row>
    <row r="79" spans="2:5" s="69" customFormat="1" ht="14.5" customHeight="1">
      <c r="B79" s="86"/>
      <c r="C79" s="58" t="s">
        <v>148</v>
      </c>
      <c r="D79" s="59">
        <v>127</v>
      </c>
      <c r="E79" s="60">
        <v>6.741334465736E-3</v>
      </c>
    </row>
    <row r="80" spans="2:5" s="69" customFormat="1" ht="14.5" customHeight="1">
      <c r="B80" s="87" t="s">
        <v>170</v>
      </c>
      <c r="C80" s="53" t="s">
        <v>28</v>
      </c>
      <c r="D80" s="54">
        <v>208</v>
      </c>
      <c r="E80" s="55">
        <v>1.1040925739158E-2</v>
      </c>
    </row>
    <row r="81" spans="2:5" s="69" customFormat="1" ht="14.5" customHeight="1">
      <c r="B81" s="85" t="s">
        <v>74</v>
      </c>
      <c r="C81" s="58" t="s">
        <v>148</v>
      </c>
      <c r="D81" s="59">
        <v>6</v>
      </c>
      <c r="E81" s="60">
        <v>3.1848824247600002E-4</v>
      </c>
    </row>
    <row r="82" spans="2:5" s="69" customFormat="1" ht="14.5" customHeight="1">
      <c r="B82" s="87" t="s">
        <v>171</v>
      </c>
      <c r="C82" s="53" t="s">
        <v>28</v>
      </c>
      <c r="D82" s="54">
        <v>6</v>
      </c>
      <c r="E82" s="55">
        <v>3.1848824247600002E-4</v>
      </c>
    </row>
    <row r="83" spans="2:5" s="69" customFormat="1" ht="14.5" customHeight="1">
      <c r="B83" s="85" t="s">
        <v>75</v>
      </c>
      <c r="C83" s="58" t="s">
        <v>147</v>
      </c>
      <c r="D83" s="59">
        <v>26</v>
      </c>
      <c r="E83" s="60">
        <v>1.3801157173950001E-3</v>
      </c>
    </row>
    <row r="84" spans="2:5" s="69" customFormat="1" ht="14.5" customHeight="1">
      <c r="B84" s="86"/>
      <c r="C84" s="58" t="s">
        <v>148</v>
      </c>
      <c r="D84" s="59">
        <v>55</v>
      </c>
      <c r="E84" s="60">
        <v>2.919475556027E-3</v>
      </c>
    </row>
    <row r="85" spans="2:5" s="69" customFormat="1" ht="14.5" customHeight="1">
      <c r="B85" s="87"/>
      <c r="C85" s="53" t="s">
        <v>28</v>
      </c>
      <c r="D85" s="54">
        <v>81</v>
      </c>
      <c r="E85" s="55">
        <v>4.2995912734219996E-3</v>
      </c>
    </row>
    <row r="86" spans="2:5" s="69" customFormat="1" ht="14.5" customHeight="1">
      <c r="B86" s="85" t="s">
        <v>76</v>
      </c>
      <c r="C86" s="58" t="s">
        <v>147</v>
      </c>
      <c r="D86" s="59">
        <v>272</v>
      </c>
      <c r="E86" s="60">
        <v>1.4438133658899E-2</v>
      </c>
    </row>
    <row r="87" spans="2:5" s="69" customFormat="1" ht="14.5" customHeight="1">
      <c r="B87" s="86"/>
      <c r="C87" s="58" t="s">
        <v>148</v>
      </c>
      <c r="D87" s="59">
        <v>325</v>
      </c>
      <c r="E87" s="60">
        <v>1.7251446467435001E-2</v>
      </c>
    </row>
    <row r="88" spans="2:5" s="69" customFormat="1" ht="14.5" customHeight="1">
      <c r="B88" s="87" t="s">
        <v>172</v>
      </c>
      <c r="C88" s="53" t="s">
        <v>28</v>
      </c>
      <c r="D88" s="54">
        <v>597</v>
      </c>
      <c r="E88" s="55">
        <v>3.1689580126334001E-2</v>
      </c>
    </row>
    <row r="89" spans="2:5" s="69" customFormat="1" ht="14.5" customHeight="1">
      <c r="B89" s="85" t="s">
        <v>77</v>
      </c>
      <c r="C89" s="58" t="s">
        <v>148</v>
      </c>
      <c r="D89" s="59">
        <v>1</v>
      </c>
      <c r="E89" s="60">
        <v>5.3081373745999998E-5</v>
      </c>
    </row>
    <row r="90" spans="2:5" s="69" customFormat="1" ht="14.5" customHeight="1">
      <c r="B90" s="87" t="s">
        <v>173</v>
      </c>
      <c r="C90" s="53" t="s">
        <v>28</v>
      </c>
      <c r="D90" s="54">
        <v>1</v>
      </c>
      <c r="E90" s="55">
        <v>5.3081373745999998E-5</v>
      </c>
    </row>
    <row r="91" spans="2:5" s="69" customFormat="1" ht="14.5" customHeight="1">
      <c r="B91" s="85" t="s">
        <v>78</v>
      </c>
      <c r="C91" s="58" t="s">
        <v>147</v>
      </c>
      <c r="D91" s="59">
        <v>4</v>
      </c>
      <c r="E91" s="60">
        <v>2.1232549498399999E-4</v>
      </c>
    </row>
    <row r="92" spans="2:5" s="69" customFormat="1" ht="14.5" customHeight="1">
      <c r="B92" s="86"/>
      <c r="C92" s="58" t="s">
        <v>148</v>
      </c>
      <c r="D92" s="59">
        <v>11</v>
      </c>
      <c r="E92" s="60">
        <v>5.8389511120500003E-4</v>
      </c>
    </row>
    <row r="93" spans="2:5" s="69" customFormat="1" ht="14.5" customHeight="1">
      <c r="B93" s="87" t="s">
        <v>174</v>
      </c>
      <c r="C93" s="53" t="s">
        <v>28</v>
      </c>
      <c r="D93" s="54">
        <v>15</v>
      </c>
      <c r="E93" s="55">
        <v>7.9622060618899997E-4</v>
      </c>
    </row>
    <row r="94" spans="2:5" s="69" customFormat="1" ht="14.5" customHeight="1">
      <c r="B94" s="85" t="s">
        <v>79</v>
      </c>
      <c r="C94" s="58" t="s">
        <v>147</v>
      </c>
      <c r="D94" s="59">
        <v>186</v>
      </c>
      <c r="E94" s="60">
        <v>9.8731355167469993E-3</v>
      </c>
    </row>
    <row r="95" spans="2:5" s="69" customFormat="1" ht="14.5" customHeight="1">
      <c r="B95" s="86"/>
      <c r="C95" s="58" t="s">
        <v>148</v>
      </c>
      <c r="D95" s="59">
        <v>243</v>
      </c>
      <c r="E95" s="60">
        <v>1.2898773820266E-2</v>
      </c>
    </row>
    <row r="96" spans="2:5" s="69" customFormat="1" ht="14.5" customHeight="1">
      <c r="B96" s="87" t="s">
        <v>175</v>
      </c>
      <c r="C96" s="53" t="s">
        <v>28</v>
      </c>
      <c r="D96" s="54">
        <v>429</v>
      </c>
      <c r="E96" s="55">
        <v>2.2771909337014E-2</v>
      </c>
    </row>
    <row r="97" spans="2:5" s="69" customFormat="1" ht="14.5" customHeight="1">
      <c r="B97" s="85" t="s">
        <v>80</v>
      </c>
      <c r="C97" s="58" t="s">
        <v>147</v>
      </c>
      <c r="D97" s="59">
        <v>6</v>
      </c>
      <c r="E97" s="60">
        <v>3.1848824247600002E-4</v>
      </c>
    </row>
    <row r="98" spans="2:5" s="69" customFormat="1" ht="14.5" customHeight="1">
      <c r="B98" s="86"/>
      <c r="C98" s="58" t="s">
        <v>148</v>
      </c>
      <c r="D98" s="59">
        <v>11</v>
      </c>
      <c r="E98" s="60">
        <v>5.8389511120500003E-4</v>
      </c>
    </row>
    <row r="99" spans="2:5" s="69" customFormat="1" ht="14.5" customHeight="1">
      <c r="B99" s="87" t="s">
        <v>176</v>
      </c>
      <c r="C99" s="53" t="s">
        <v>28</v>
      </c>
      <c r="D99" s="54">
        <v>17</v>
      </c>
      <c r="E99" s="55">
        <v>9.0238335368100005E-4</v>
      </c>
    </row>
    <row r="100" spans="2:5" s="69" customFormat="1" ht="14.5" customHeight="1">
      <c r="B100" s="85" t="s">
        <v>81</v>
      </c>
      <c r="C100" s="58" t="s">
        <v>147</v>
      </c>
      <c r="D100" s="59">
        <v>90</v>
      </c>
      <c r="E100" s="60">
        <v>4.7773236371360002E-3</v>
      </c>
    </row>
    <row r="101" spans="2:5" s="69" customFormat="1" ht="14.5" customHeight="1">
      <c r="B101" s="86"/>
      <c r="C101" s="58" t="s">
        <v>148</v>
      </c>
      <c r="D101" s="59">
        <v>155</v>
      </c>
      <c r="E101" s="60">
        <v>8.2276129306229993E-3</v>
      </c>
    </row>
    <row r="102" spans="2:5" s="69" customFormat="1" ht="14.5" customHeight="1">
      <c r="B102" s="87" t="s">
        <v>177</v>
      </c>
      <c r="C102" s="53" t="s">
        <v>28</v>
      </c>
      <c r="D102" s="54">
        <v>245</v>
      </c>
      <c r="E102" s="55">
        <v>1.3004936567758E-2</v>
      </c>
    </row>
    <row r="103" spans="2:5" s="69" customFormat="1" ht="14.5" customHeight="1">
      <c r="B103" s="85" t="s">
        <v>82</v>
      </c>
      <c r="C103" s="58" t="s">
        <v>147</v>
      </c>
      <c r="D103" s="59">
        <v>3</v>
      </c>
      <c r="E103" s="60">
        <v>1.5924412123800001E-4</v>
      </c>
    </row>
    <row r="104" spans="2:5" s="69" customFormat="1" ht="14.5" customHeight="1">
      <c r="B104" s="86"/>
      <c r="C104" s="58" t="s">
        <v>148</v>
      </c>
      <c r="D104" s="59">
        <v>8</v>
      </c>
      <c r="E104" s="60">
        <v>4.2465098996799999E-4</v>
      </c>
    </row>
    <row r="105" spans="2:5" s="69" customFormat="1" ht="14.5" customHeight="1">
      <c r="B105" s="87" t="s">
        <v>178</v>
      </c>
      <c r="C105" s="53" t="s">
        <v>28</v>
      </c>
      <c r="D105" s="54">
        <v>11</v>
      </c>
      <c r="E105" s="55">
        <v>5.8389511120500003E-4</v>
      </c>
    </row>
    <row r="106" spans="2:5" s="69" customFormat="1" ht="14.5" customHeight="1">
      <c r="B106" s="85" t="s">
        <v>83</v>
      </c>
      <c r="C106" s="58" t="s">
        <v>147</v>
      </c>
      <c r="D106" s="59">
        <v>34</v>
      </c>
      <c r="E106" s="60">
        <v>1.8047667073620001E-3</v>
      </c>
    </row>
    <row r="107" spans="2:5" s="69" customFormat="1" ht="14.5" customHeight="1">
      <c r="B107" s="86"/>
      <c r="C107" s="58" t="s">
        <v>148</v>
      </c>
      <c r="D107" s="59">
        <v>41</v>
      </c>
      <c r="E107" s="60">
        <v>2.1763363235839999E-3</v>
      </c>
    </row>
    <row r="108" spans="2:5" s="69" customFormat="1" ht="14.5" customHeight="1">
      <c r="B108" s="87" t="s">
        <v>179</v>
      </c>
      <c r="C108" s="53" t="s">
        <v>28</v>
      </c>
      <c r="D108" s="54">
        <v>75</v>
      </c>
      <c r="E108" s="55">
        <v>3.9811030309459998E-3</v>
      </c>
    </row>
    <row r="109" spans="2:5" s="69" customFormat="1" ht="14.5" customHeight="1">
      <c r="B109" s="85" t="s">
        <v>84</v>
      </c>
      <c r="C109" s="58" t="s">
        <v>147</v>
      </c>
      <c r="D109" s="59">
        <v>372</v>
      </c>
      <c r="E109" s="60">
        <v>1.9746271033493999E-2</v>
      </c>
    </row>
    <row r="110" spans="2:5" s="69" customFormat="1" ht="14.5" customHeight="1">
      <c r="B110" s="86"/>
      <c r="C110" s="58" t="s">
        <v>148</v>
      </c>
      <c r="D110" s="59">
        <v>478</v>
      </c>
      <c r="E110" s="60">
        <v>2.5372896650565E-2</v>
      </c>
    </row>
    <row r="111" spans="2:5" s="69" customFormat="1" ht="14.5" customHeight="1">
      <c r="B111" s="87" t="s">
        <v>180</v>
      </c>
      <c r="C111" s="53" t="s">
        <v>28</v>
      </c>
      <c r="D111" s="54">
        <v>850</v>
      </c>
      <c r="E111" s="55">
        <v>4.5119167684059998E-2</v>
      </c>
    </row>
    <row r="112" spans="2:5" s="69" customFormat="1" ht="14.5" customHeight="1">
      <c r="B112" s="85" t="s">
        <v>85</v>
      </c>
      <c r="C112" s="58" t="s">
        <v>147</v>
      </c>
      <c r="D112" s="59">
        <v>13</v>
      </c>
      <c r="E112" s="60">
        <v>6.90057858697E-4</v>
      </c>
    </row>
    <row r="113" spans="2:5" s="69" customFormat="1" ht="14.5" customHeight="1">
      <c r="B113" s="86"/>
      <c r="C113" s="58" t="s">
        <v>148</v>
      </c>
      <c r="D113" s="59">
        <v>11</v>
      </c>
      <c r="E113" s="60">
        <v>5.8389511120500003E-4</v>
      </c>
    </row>
    <row r="114" spans="2:5" s="69" customFormat="1" ht="14.5" customHeight="1">
      <c r="B114" s="87" t="s">
        <v>181</v>
      </c>
      <c r="C114" s="53" t="s">
        <v>28</v>
      </c>
      <c r="D114" s="54">
        <v>24</v>
      </c>
      <c r="E114" s="55">
        <v>1.273952969903E-3</v>
      </c>
    </row>
    <row r="115" spans="2:5" s="69" customFormat="1" ht="14.5" customHeight="1">
      <c r="B115" s="85" t="s">
        <v>86</v>
      </c>
      <c r="C115" s="58" t="s">
        <v>147</v>
      </c>
      <c r="D115" s="59">
        <v>4</v>
      </c>
      <c r="E115" s="60">
        <v>2.1232549498399999E-4</v>
      </c>
    </row>
    <row r="116" spans="2:5" s="69" customFormat="1" ht="14.5" customHeight="1">
      <c r="B116" s="86"/>
      <c r="C116" s="58" t="s">
        <v>148</v>
      </c>
      <c r="D116" s="59">
        <v>4</v>
      </c>
      <c r="E116" s="60">
        <v>2.1232549498399999E-4</v>
      </c>
    </row>
    <row r="117" spans="2:5" s="69" customFormat="1" ht="14.5" customHeight="1">
      <c r="B117" s="87" t="s">
        <v>182</v>
      </c>
      <c r="C117" s="53" t="s">
        <v>28</v>
      </c>
      <c r="D117" s="54">
        <v>8</v>
      </c>
      <c r="E117" s="55">
        <v>4.2465098996799999E-4</v>
      </c>
    </row>
    <row r="118" spans="2:5" s="69" customFormat="1" ht="14.5" customHeight="1">
      <c r="B118" s="85" t="s">
        <v>87</v>
      </c>
      <c r="C118" s="58" t="s">
        <v>147</v>
      </c>
      <c r="D118" s="59">
        <v>22</v>
      </c>
      <c r="E118" s="60">
        <v>1.1677902224109999E-3</v>
      </c>
    </row>
    <row r="119" spans="2:5" s="69" customFormat="1" ht="14.5" customHeight="1">
      <c r="B119" s="86"/>
      <c r="C119" s="58" t="s">
        <v>148</v>
      </c>
      <c r="D119" s="59">
        <v>27</v>
      </c>
      <c r="E119" s="60">
        <v>1.4331970911409999E-3</v>
      </c>
    </row>
    <row r="120" spans="2:5" s="69" customFormat="1" ht="14.5" customHeight="1">
      <c r="B120" s="87" t="s">
        <v>183</v>
      </c>
      <c r="C120" s="53" t="s">
        <v>28</v>
      </c>
      <c r="D120" s="54">
        <v>49</v>
      </c>
      <c r="E120" s="55">
        <v>2.6009873135519998E-3</v>
      </c>
    </row>
    <row r="121" spans="2:5" s="69" customFormat="1" ht="14.5" customHeight="1">
      <c r="B121" s="85" t="s">
        <v>88</v>
      </c>
      <c r="C121" s="58" t="s">
        <v>147</v>
      </c>
      <c r="D121" s="59">
        <v>2</v>
      </c>
      <c r="E121" s="60">
        <v>1.06162747492E-4</v>
      </c>
    </row>
    <row r="122" spans="2:5" s="69" customFormat="1" ht="14.5" customHeight="1">
      <c r="B122" s="86"/>
      <c r="C122" s="58" t="s">
        <v>148</v>
      </c>
      <c r="D122" s="59">
        <v>2</v>
      </c>
      <c r="E122" s="60">
        <v>1.06162747492E-4</v>
      </c>
    </row>
    <row r="123" spans="2:5" s="69" customFormat="1" ht="14.5" customHeight="1">
      <c r="B123" s="87" t="s">
        <v>184</v>
      </c>
      <c r="C123" s="53" t="s">
        <v>28</v>
      </c>
      <c r="D123" s="54">
        <v>4</v>
      </c>
      <c r="E123" s="55">
        <v>2.1232549498399999E-4</v>
      </c>
    </row>
    <row r="124" spans="2:5" s="69" customFormat="1" ht="14.5" customHeight="1">
      <c r="B124" s="85" t="s">
        <v>89</v>
      </c>
      <c r="C124" s="58" t="s">
        <v>147</v>
      </c>
      <c r="D124" s="59">
        <v>84</v>
      </c>
      <c r="E124" s="60">
        <v>4.4588353946600004E-3</v>
      </c>
    </row>
    <row r="125" spans="2:5" s="69" customFormat="1" ht="14.5" customHeight="1">
      <c r="B125" s="86"/>
      <c r="C125" s="58" t="s">
        <v>148</v>
      </c>
      <c r="D125" s="59">
        <v>120</v>
      </c>
      <c r="E125" s="60">
        <v>6.3697648495139999E-3</v>
      </c>
    </row>
    <row r="126" spans="2:5" s="69" customFormat="1" ht="14.5" customHeight="1">
      <c r="B126" s="87" t="s">
        <v>185</v>
      </c>
      <c r="C126" s="53" t="s">
        <v>28</v>
      </c>
      <c r="D126" s="54">
        <v>204</v>
      </c>
      <c r="E126" s="55">
        <v>1.0828600244173999E-2</v>
      </c>
    </row>
    <row r="127" spans="2:5" s="69" customFormat="1" ht="14.5" customHeight="1">
      <c r="B127" s="85" t="s">
        <v>90</v>
      </c>
      <c r="C127" s="58" t="s">
        <v>147</v>
      </c>
      <c r="D127" s="59">
        <v>2374</v>
      </c>
      <c r="E127" s="60">
        <v>0.12601518127289099</v>
      </c>
    </row>
    <row r="128" spans="2:5" s="69" customFormat="1" ht="14.5" customHeight="1">
      <c r="B128" s="86"/>
      <c r="C128" s="58" t="s">
        <v>148</v>
      </c>
      <c r="D128" s="59">
        <v>3022</v>
      </c>
      <c r="E128" s="60">
        <v>0.16041191146026901</v>
      </c>
    </row>
    <row r="129" spans="2:5" s="69" customFormat="1" ht="14.5" customHeight="1">
      <c r="B129" s="87" t="s">
        <v>186</v>
      </c>
      <c r="C129" s="53" t="s">
        <v>28</v>
      </c>
      <c r="D129" s="54">
        <v>5396</v>
      </c>
      <c r="E129" s="55">
        <v>0.28642709273316003</v>
      </c>
    </row>
    <row r="130" spans="2:5" s="69" customFormat="1" ht="14.5" customHeight="1">
      <c r="B130" s="85" t="s">
        <v>91</v>
      </c>
      <c r="C130" s="58" t="s">
        <v>147</v>
      </c>
      <c r="D130" s="59">
        <v>28</v>
      </c>
      <c r="E130" s="60">
        <v>1.4862784648869999E-3</v>
      </c>
    </row>
    <row r="131" spans="2:5" s="69" customFormat="1" ht="14.5" customHeight="1">
      <c r="B131" s="86"/>
      <c r="C131" s="58" t="s">
        <v>148</v>
      </c>
      <c r="D131" s="59">
        <v>41</v>
      </c>
      <c r="E131" s="60">
        <v>2.1763363235839999E-3</v>
      </c>
    </row>
    <row r="132" spans="2:5" s="69" customFormat="1" ht="14.5" customHeight="1">
      <c r="B132" s="87" t="s">
        <v>187</v>
      </c>
      <c r="C132" s="53" t="s">
        <v>28</v>
      </c>
      <c r="D132" s="54">
        <v>69</v>
      </c>
      <c r="E132" s="55">
        <v>3.6626147884710001E-3</v>
      </c>
    </row>
    <row r="133" spans="2:5" s="69" customFormat="1" ht="14.5" customHeight="1">
      <c r="B133" s="85" t="s">
        <v>92</v>
      </c>
      <c r="C133" s="58" t="s">
        <v>147</v>
      </c>
      <c r="D133" s="59">
        <v>16</v>
      </c>
      <c r="E133" s="60">
        <v>8.4930197993500001E-4</v>
      </c>
    </row>
    <row r="134" spans="2:5" s="69" customFormat="1" ht="14.5" customHeight="1">
      <c r="B134" s="86"/>
      <c r="C134" s="58" t="s">
        <v>148</v>
      </c>
      <c r="D134" s="59">
        <v>29</v>
      </c>
      <c r="E134" s="60">
        <v>1.539359838633E-3</v>
      </c>
    </row>
    <row r="135" spans="2:5" s="69" customFormat="1" ht="14.5" customHeight="1">
      <c r="B135" s="87" t="s">
        <v>188</v>
      </c>
      <c r="C135" s="53" t="s">
        <v>28</v>
      </c>
      <c r="D135" s="54">
        <v>45</v>
      </c>
      <c r="E135" s="55">
        <v>2.3886618185680001E-3</v>
      </c>
    </row>
    <row r="136" spans="2:5" s="69" customFormat="1" ht="14.5" customHeight="1">
      <c r="B136" s="85" t="s">
        <v>93</v>
      </c>
      <c r="C136" s="58" t="s">
        <v>147</v>
      </c>
      <c r="D136" s="59">
        <v>18</v>
      </c>
      <c r="E136" s="60">
        <v>9.5546472742699998E-4</v>
      </c>
    </row>
    <row r="137" spans="2:5" s="69" customFormat="1" ht="14.5" customHeight="1">
      <c r="B137" s="86"/>
      <c r="C137" s="58" t="s">
        <v>148</v>
      </c>
      <c r="D137" s="59">
        <v>41</v>
      </c>
      <c r="E137" s="60">
        <v>2.1763363235839999E-3</v>
      </c>
    </row>
    <row r="138" spans="2:5" s="69" customFormat="1" ht="14.5" customHeight="1">
      <c r="B138" s="87" t="s">
        <v>189</v>
      </c>
      <c r="C138" s="53" t="s">
        <v>28</v>
      </c>
      <c r="D138" s="54">
        <v>59</v>
      </c>
      <c r="E138" s="55">
        <v>3.1318010510110001E-3</v>
      </c>
    </row>
    <row r="139" spans="2:5" s="69" customFormat="1" ht="14.5" customHeight="1">
      <c r="B139" s="85" t="s">
        <v>94</v>
      </c>
      <c r="C139" s="58" t="s">
        <v>148</v>
      </c>
      <c r="D139" s="59">
        <v>1</v>
      </c>
      <c r="E139" s="60">
        <v>5.3081373745999998E-5</v>
      </c>
    </row>
    <row r="140" spans="2:5" s="69" customFormat="1" ht="14.5" customHeight="1">
      <c r="B140" s="87"/>
      <c r="C140" s="53" t="s">
        <v>28</v>
      </c>
      <c r="D140" s="54">
        <v>1</v>
      </c>
      <c r="E140" s="55">
        <v>5.3081373745999998E-5</v>
      </c>
    </row>
    <row r="141" spans="2:5" s="69" customFormat="1" ht="14.5" customHeight="1">
      <c r="B141" s="85" t="s">
        <v>95</v>
      </c>
      <c r="C141" s="58" t="s">
        <v>147</v>
      </c>
      <c r="D141" s="59">
        <v>77</v>
      </c>
      <c r="E141" s="60">
        <v>4.0872657784380003E-3</v>
      </c>
    </row>
    <row r="142" spans="2:5" s="69" customFormat="1" ht="14.5" customHeight="1">
      <c r="B142" s="86"/>
      <c r="C142" s="58" t="s">
        <v>148</v>
      </c>
      <c r="D142" s="59">
        <v>104</v>
      </c>
      <c r="E142" s="60">
        <v>5.5204628695790002E-3</v>
      </c>
    </row>
    <row r="143" spans="2:5" s="69" customFormat="1" ht="14.5" customHeight="1">
      <c r="B143" s="87" t="s">
        <v>190</v>
      </c>
      <c r="C143" s="53" t="s">
        <v>28</v>
      </c>
      <c r="D143" s="54">
        <v>181</v>
      </c>
      <c r="E143" s="55">
        <v>9.6077286480170006E-3</v>
      </c>
    </row>
    <row r="144" spans="2:5" s="69" customFormat="1" ht="14.5" customHeight="1">
      <c r="B144" s="85" t="s">
        <v>96</v>
      </c>
      <c r="C144" s="58" t="s">
        <v>147</v>
      </c>
      <c r="D144" s="59">
        <v>16</v>
      </c>
      <c r="E144" s="60">
        <v>8.4930197993500001E-4</v>
      </c>
    </row>
    <row r="145" spans="2:5" s="69" customFormat="1" ht="14.5" customHeight="1">
      <c r="B145" s="86"/>
      <c r="C145" s="58" t="s">
        <v>148</v>
      </c>
      <c r="D145" s="59">
        <v>22</v>
      </c>
      <c r="E145" s="60">
        <v>1.1677902224109999E-3</v>
      </c>
    </row>
    <row r="146" spans="2:5" s="69" customFormat="1" ht="14.5" customHeight="1">
      <c r="B146" s="87" t="s">
        <v>191</v>
      </c>
      <c r="C146" s="53" t="s">
        <v>28</v>
      </c>
      <c r="D146" s="54">
        <v>38</v>
      </c>
      <c r="E146" s="55">
        <v>2.017092202346E-3</v>
      </c>
    </row>
    <row r="147" spans="2:5" s="69" customFormat="1" ht="14.5" customHeight="1">
      <c r="B147" s="97" t="s">
        <v>28</v>
      </c>
      <c r="C147" s="98"/>
      <c r="D147" s="51">
        <v>18839</v>
      </c>
      <c r="E147" s="52">
        <v>1</v>
      </c>
    </row>
    <row r="148" spans="2:5" s="69" customFormat="1" ht="14.5" customHeight="1">
      <c r="B148" s="70"/>
      <c r="C148" s="70"/>
      <c r="D148" s="71"/>
      <c r="E148" s="70"/>
    </row>
    <row r="149" spans="2:5" s="69" customFormat="1" ht="14.5" customHeight="1">
      <c r="B149" s="15" t="s">
        <v>48</v>
      </c>
      <c r="C149" s="70"/>
      <c r="D149" s="71"/>
      <c r="E149" s="70"/>
    </row>
    <row r="150" spans="2:5" s="69" customFormat="1" ht="14.5" customHeight="1">
      <c r="B150" s="17" t="s">
        <v>17</v>
      </c>
      <c r="C150" s="70"/>
      <c r="D150" s="71"/>
      <c r="E150" s="70"/>
    </row>
    <row r="151" spans="2:5" s="69" customFormat="1" ht="14.5" customHeight="1">
      <c r="B151" s="16" t="s">
        <v>49</v>
      </c>
      <c r="C151" s="70"/>
      <c r="D151" s="71"/>
      <c r="E151" s="70"/>
    </row>
    <row r="152" spans="2:5" s="69" customFormat="1" ht="14.5" customHeight="1">
      <c r="B152" s="15" t="s">
        <v>16</v>
      </c>
      <c r="C152" s="70"/>
      <c r="D152" s="71"/>
      <c r="E152" s="70"/>
    </row>
    <row r="153" spans="2:5" s="69" customFormat="1" ht="14.5" customHeight="1">
      <c r="B153" s="15" t="s">
        <v>50</v>
      </c>
      <c r="C153" s="70"/>
      <c r="D153" s="71"/>
      <c r="E153" s="70"/>
    </row>
  </sheetData>
  <mergeCells count="48">
    <mergeCell ref="B144:B146"/>
    <mergeCell ref="B147:C147"/>
    <mergeCell ref="B127:B129"/>
    <mergeCell ref="B130:B132"/>
    <mergeCell ref="B133:B135"/>
    <mergeCell ref="B136:B138"/>
    <mergeCell ref="B139:B140"/>
    <mergeCell ref="B115:B117"/>
    <mergeCell ref="B118:B120"/>
    <mergeCell ref="B121:B123"/>
    <mergeCell ref="B124:B126"/>
    <mergeCell ref="B141:B143"/>
    <mergeCell ref="B81:B82"/>
    <mergeCell ref="B83:B85"/>
    <mergeCell ref="B86:B88"/>
    <mergeCell ref="B89:B90"/>
    <mergeCell ref="B112:B114"/>
    <mergeCell ref="B66:B68"/>
    <mergeCell ref="B69:B71"/>
    <mergeCell ref="B72:B74"/>
    <mergeCell ref="B75:B77"/>
    <mergeCell ref="B78:B80"/>
    <mergeCell ref="B31:B33"/>
    <mergeCell ref="B34:B36"/>
    <mergeCell ref="B37:B39"/>
    <mergeCell ref="B40:B41"/>
    <mergeCell ref="B63:B65"/>
    <mergeCell ref="B109:B111"/>
    <mergeCell ref="B97:B99"/>
    <mergeCell ref="B100:B102"/>
    <mergeCell ref="B103:B105"/>
    <mergeCell ref="B106:B108"/>
    <mergeCell ref="B8:E10"/>
    <mergeCell ref="B91:B93"/>
    <mergeCell ref="B94:B96"/>
    <mergeCell ref="B57:B59"/>
    <mergeCell ref="B60:B62"/>
    <mergeCell ref="B42:B44"/>
    <mergeCell ref="B45:B47"/>
    <mergeCell ref="B48:B50"/>
    <mergeCell ref="B51:B53"/>
    <mergeCell ref="B54:B56"/>
    <mergeCell ref="B13:B15"/>
    <mergeCell ref="B16:B18"/>
    <mergeCell ref="B19:B21"/>
    <mergeCell ref="B22:B24"/>
    <mergeCell ref="B25:B27"/>
    <mergeCell ref="B28:B3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5"/>
  <sheetViews>
    <sheetView showGridLines="0" view="pageBreakPreview" zoomScaleNormal="100" zoomScaleSheetLayoutView="100" workbookViewId="0">
      <selection activeCell="A35" sqref="A13:XFD35"/>
    </sheetView>
  </sheetViews>
  <sheetFormatPr baseColWidth="10" defaultColWidth="11.453125" defaultRowHeight="10"/>
  <cols>
    <col min="1" max="1" width="5.7265625" style="24" customWidth="1"/>
    <col min="2" max="2" width="19" style="40" customWidth="1"/>
    <col min="3" max="3" width="27.453125" style="40" customWidth="1"/>
    <col min="4" max="4" width="17.1796875" style="43" customWidth="1"/>
    <col min="5" max="5" width="16.54296875" style="43" customWidth="1"/>
    <col min="6" max="6" width="16.54296875" style="40" customWidth="1"/>
    <col min="7" max="7" width="5.7265625" style="24" customWidth="1"/>
    <col min="8" max="8" width="8.08984375" style="24" customWidth="1"/>
    <col min="9" max="16384" width="11.453125" style="24"/>
  </cols>
  <sheetData>
    <row r="1" spans="2:7" s="13" customFormat="1" ht="14.5">
      <c r="B1" s="40"/>
      <c r="C1" s="40"/>
    </row>
    <row r="2" spans="2:7" s="40" customFormat="1">
      <c r="B2" s="46"/>
    </row>
    <row r="3" spans="2:7" ht="15" customHeight="1">
      <c r="B3" s="47"/>
      <c r="C3" s="30"/>
      <c r="D3" s="24"/>
      <c r="E3" s="24"/>
      <c r="G3" s="40"/>
    </row>
    <row r="4" spans="2:7" ht="30" customHeight="1">
      <c r="B4" s="47"/>
      <c r="C4" s="30"/>
      <c r="D4" s="24"/>
      <c r="E4" s="24"/>
      <c r="G4" s="40"/>
    </row>
    <row r="5" spans="2:7" ht="15" customHeight="1">
      <c r="B5" s="47"/>
      <c r="C5" s="30"/>
      <c r="D5" s="24"/>
      <c r="E5" s="24"/>
      <c r="G5" s="40"/>
    </row>
    <row r="6" spans="2:7" s="40" customFormat="1" ht="10.5">
      <c r="B6" s="42"/>
      <c r="C6" s="36"/>
    </row>
    <row r="7" spans="2:7" s="40" customFormat="1">
      <c r="B7" s="46"/>
    </row>
    <row r="8" spans="2:7" s="13" customFormat="1" ht="15" customHeight="1">
      <c r="B8" s="84" t="s">
        <v>33</v>
      </c>
      <c r="C8" s="84"/>
      <c r="D8" s="84"/>
      <c r="E8" s="84"/>
      <c r="F8" s="84"/>
      <c r="G8" s="13" t="s">
        <v>35</v>
      </c>
    </row>
    <row r="9" spans="2:7" s="13" customFormat="1" ht="15" customHeight="1">
      <c r="B9" s="84"/>
      <c r="C9" s="84"/>
      <c r="D9" s="84"/>
      <c r="E9" s="84"/>
      <c r="F9" s="84"/>
      <c r="G9" s="45"/>
    </row>
    <row r="10" spans="2:7" s="13" customFormat="1" ht="15" customHeight="1">
      <c r="B10" s="84"/>
      <c r="C10" s="84"/>
      <c r="D10" s="84"/>
      <c r="E10" s="84"/>
      <c r="F10" s="84"/>
    </row>
    <row r="11" spans="2:7" s="13" customFormat="1" ht="15" customHeight="1">
      <c r="B11" s="48"/>
      <c r="C11" s="48"/>
      <c r="D11" s="48"/>
      <c r="E11" s="48"/>
      <c r="F11" s="48"/>
    </row>
    <row r="12" spans="2:7" s="13" customFormat="1" ht="42">
      <c r="B12" s="50" t="s">
        <v>29</v>
      </c>
      <c r="C12" s="50" t="s">
        <v>32</v>
      </c>
      <c r="D12" s="50" t="s">
        <v>19</v>
      </c>
      <c r="E12" s="50" t="s">
        <v>31</v>
      </c>
      <c r="F12" s="50" t="s">
        <v>30</v>
      </c>
    </row>
    <row r="13" spans="2:7" ht="14.5" customHeight="1">
      <c r="B13" s="85" t="s">
        <v>147</v>
      </c>
      <c r="C13" s="58" t="s">
        <v>258</v>
      </c>
      <c r="D13" s="59">
        <v>10</v>
      </c>
      <c r="E13" s="60">
        <v>1.20831319478E-3</v>
      </c>
      <c r="F13" s="60">
        <v>5.3081373745999996E-4</v>
      </c>
    </row>
    <row r="14" spans="2:7" ht="14.5" customHeight="1">
      <c r="B14" s="86"/>
      <c r="C14" s="58" t="s">
        <v>259</v>
      </c>
      <c r="D14" s="59">
        <v>657</v>
      </c>
      <c r="E14" s="60">
        <v>7.9386176897052005E-2</v>
      </c>
      <c r="F14" s="60">
        <v>3.4874462551091001E-2</v>
      </c>
    </row>
    <row r="15" spans="2:7" ht="14.5" customHeight="1">
      <c r="B15" s="86"/>
      <c r="C15" s="58" t="s">
        <v>260</v>
      </c>
      <c r="D15" s="59">
        <v>1693</v>
      </c>
      <c r="E15" s="60">
        <v>0.204567423876269</v>
      </c>
      <c r="F15" s="60">
        <v>8.9866765751898003E-2</v>
      </c>
    </row>
    <row r="16" spans="2:7" ht="14.5" customHeight="1">
      <c r="B16" s="86"/>
      <c r="C16" s="58" t="s">
        <v>261</v>
      </c>
      <c r="D16" s="59">
        <v>3090</v>
      </c>
      <c r="E16" s="60">
        <v>0.37336877718704697</v>
      </c>
      <c r="F16" s="60">
        <v>0.16402144487499301</v>
      </c>
    </row>
    <row r="17" spans="2:6" ht="14.5" customHeight="1">
      <c r="B17" s="86"/>
      <c r="C17" s="58" t="s">
        <v>262</v>
      </c>
      <c r="D17" s="59">
        <v>2436</v>
      </c>
      <c r="E17" s="60">
        <v>0.29434509424842897</v>
      </c>
      <c r="F17" s="60">
        <v>0.12930622644514</v>
      </c>
    </row>
    <row r="18" spans="2:6" ht="14.5" customHeight="1">
      <c r="B18" s="86"/>
      <c r="C18" s="58" t="s">
        <v>263</v>
      </c>
      <c r="D18" s="59">
        <v>298</v>
      </c>
      <c r="E18" s="60">
        <v>3.6007733204447001E-2</v>
      </c>
      <c r="F18" s="60">
        <v>1.5818249376293999E-2</v>
      </c>
    </row>
    <row r="19" spans="2:6" ht="14.5" customHeight="1">
      <c r="B19" s="86"/>
      <c r="C19" s="58" t="s">
        <v>264</v>
      </c>
      <c r="D19" s="59">
        <v>1</v>
      </c>
      <c r="E19" s="60">
        <v>1.20831319478E-4</v>
      </c>
      <c r="F19" s="60">
        <v>5.3081373745999998E-5</v>
      </c>
    </row>
    <row r="20" spans="2:6" ht="14.5" customHeight="1">
      <c r="B20" s="87"/>
      <c r="C20" s="58" t="s">
        <v>265</v>
      </c>
      <c r="D20" s="59">
        <v>91</v>
      </c>
      <c r="E20" s="60">
        <v>1.0995650072499001E-2</v>
      </c>
      <c r="F20" s="60">
        <v>4.8304050108819996E-3</v>
      </c>
    </row>
    <row r="21" spans="2:6" ht="14.5" customHeight="1">
      <c r="B21" s="85" t="s">
        <v>148</v>
      </c>
      <c r="C21" s="58" t="s">
        <v>258</v>
      </c>
      <c r="D21" s="59">
        <v>13</v>
      </c>
      <c r="E21" s="60">
        <v>1.230710972262E-3</v>
      </c>
      <c r="F21" s="60">
        <v>6.90057858697E-4</v>
      </c>
    </row>
    <row r="22" spans="2:6" ht="14.5" customHeight="1">
      <c r="B22" s="86"/>
      <c r="C22" s="58" t="s">
        <v>259</v>
      </c>
      <c r="D22" s="59">
        <v>1410</v>
      </c>
      <c r="E22" s="60">
        <v>0.13348480545299601</v>
      </c>
      <c r="F22" s="60">
        <v>7.4844736981793003E-2</v>
      </c>
    </row>
    <row r="23" spans="2:6" ht="14.5" customHeight="1">
      <c r="B23" s="86"/>
      <c r="C23" s="58" t="s">
        <v>260</v>
      </c>
      <c r="D23" s="59">
        <v>2523</v>
      </c>
      <c r="E23" s="60">
        <v>0.23885259869355299</v>
      </c>
      <c r="F23" s="60">
        <v>0.13392430596103799</v>
      </c>
    </row>
    <row r="24" spans="2:6" ht="14.5" customHeight="1">
      <c r="B24" s="86"/>
      <c r="C24" s="58" t="s">
        <v>261</v>
      </c>
      <c r="D24" s="59">
        <v>3447</v>
      </c>
      <c r="E24" s="60">
        <v>0.32632774779892099</v>
      </c>
      <c r="F24" s="60">
        <v>0.182971495302298</v>
      </c>
    </row>
    <row r="25" spans="2:6" ht="14.5" customHeight="1">
      <c r="B25" s="86"/>
      <c r="C25" s="58" t="s">
        <v>262</v>
      </c>
      <c r="D25" s="59">
        <v>2741</v>
      </c>
      <c r="E25" s="60">
        <v>0.25949067499763301</v>
      </c>
      <c r="F25" s="60">
        <v>0.14549604543765601</v>
      </c>
    </row>
    <row r="26" spans="2:6" ht="14.5" customHeight="1">
      <c r="B26" s="86"/>
      <c r="C26" s="58" t="s">
        <v>263</v>
      </c>
      <c r="D26" s="59">
        <v>351</v>
      </c>
      <c r="E26" s="60">
        <v>3.3229196251064998E-2</v>
      </c>
      <c r="F26" s="60">
        <v>1.8631562184829E-2</v>
      </c>
    </row>
    <row r="27" spans="2:6" ht="14.5" customHeight="1">
      <c r="B27" s="86"/>
      <c r="C27" s="58" t="s">
        <v>264</v>
      </c>
      <c r="D27" s="59">
        <v>3</v>
      </c>
      <c r="E27" s="60">
        <v>2.84010224368E-4</v>
      </c>
      <c r="F27" s="60">
        <v>1.5924412123800001E-4</v>
      </c>
    </row>
    <row r="28" spans="2:6" ht="14.5" customHeight="1">
      <c r="B28" s="87"/>
      <c r="C28" s="58" t="s">
        <v>265</v>
      </c>
      <c r="D28" s="59">
        <v>75</v>
      </c>
      <c r="E28" s="60">
        <v>7.1002556092020002E-3</v>
      </c>
      <c r="F28" s="60">
        <v>3.9811030309459998E-3</v>
      </c>
    </row>
    <row r="29" spans="2:6" ht="14.5" customHeight="1">
      <c r="B29" s="97" t="s">
        <v>28</v>
      </c>
      <c r="C29" s="98"/>
      <c r="D29" s="51">
        <v>18839</v>
      </c>
      <c r="E29" s="52">
        <v>1</v>
      </c>
      <c r="F29" s="52">
        <v>1</v>
      </c>
    </row>
    <row r="30" spans="2:6" ht="14.5" customHeight="1"/>
    <row r="31" spans="2:6" ht="14.5" customHeight="1">
      <c r="B31" s="15" t="s">
        <v>48</v>
      </c>
    </row>
    <row r="32" spans="2:6" ht="14.5" customHeight="1">
      <c r="B32" s="17" t="s">
        <v>17</v>
      </c>
    </row>
    <row r="33" spans="2:2" ht="14.5" customHeight="1">
      <c r="B33" s="16" t="s">
        <v>49</v>
      </c>
    </row>
    <row r="34" spans="2:2" ht="14.5" customHeight="1">
      <c r="B34" s="15" t="s">
        <v>16</v>
      </c>
    </row>
    <row r="35" spans="2:2" ht="14.5" customHeight="1">
      <c r="B35" s="15" t="s">
        <v>50</v>
      </c>
    </row>
  </sheetData>
  <mergeCells count="4">
    <mergeCell ref="B13:B20"/>
    <mergeCell ref="B21:B28"/>
    <mergeCell ref="B8:F10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67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41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4" customFormat="1" ht="15" customHeight="1">
      <c r="C1" s="30"/>
    </row>
    <row r="2" spans="2:4" s="24" customFormat="1" ht="15" customHeight="1">
      <c r="C2" s="30"/>
    </row>
    <row r="3" spans="2:4" s="24" customFormat="1" ht="15" customHeight="1">
      <c r="C3" s="30"/>
    </row>
    <row r="4" spans="2:4" s="24" customFormat="1" ht="30" customHeight="1">
      <c r="C4" s="30"/>
      <c r="D4" s="29"/>
    </row>
    <row r="5" spans="2:4" s="24" customFormat="1" ht="15" customHeight="1">
      <c r="C5" s="30"/>
      <c r="D5" s="29"/>
    </row>
    <row r="6" spans="2:4" s="24" customFormat="1" ht="15" customHeight="1">
      <c r="C6" s="30"/>
      <c r="D6" s="29"/>
    </row>
    <row r="7" spans="2:4" s="24" customFormat="1" ht="15" customHeight="1">
      <c r="B7" s="84" t="s">
        <v>364</v>
      </c>
      <c r="C7" s="84"/>
      <c r="D7" s="84"/>
    </row>
    <row r="8" spans="2:4" s="24" customFormat="1" ht="15" customHeight="1">
      <c r="B8" s="84"/>
      <c r="C8" s="84"/>
      <c r="D8" s="84"/>
    </row>
    <row r="9" spans="2:4" s="24" customFormat="1" ht="33" customHeight="1">
      <c r="B9" s="84"/>
      <c r="C9" s="84"/>
      <c r="D9" s="84"/>
    </row>
    <row r="10" spans="2:4" s="24" customFormat="1" ht="4.5" customHeight="1">
      <c r="B10" s="28"/>
      <c r="C10" s="28"/>
      <c r="D10" s="28"/>
    </row>
    <row r="11" spans="2:4" s="24" customFormat="1" ht="33" customHeight="1">
      <c r="B11" s="27" t="s">
        <v>34</v>
      </c>
      <c r="C11" s="26" t="s">
        <v>19</v>
      </c>
      <c r="D11" s="25" t="s">
        <v>18</v>
      </c>
    </row>
    <row r="12" spans="2:4">
      <c r="B12" s="23" t="s">
        <v>266</v>
      </c>
      <c r="C12" s="22">
        <v>10771</v>
      </c>
      <c r="D12" s="21">
        <v>0.57173947661765501</v>
      </c>
    </row>
    <row r="13" spans="2:4">
      <c r="B13" s="23" t="s">
        <v>267</v>
      </c>
      <c r="C13" s="22">
        <v>4605</v>
      </c>
      <c r="D13" s="21">
        <v>0.244439726100111</v>
      </c>
    </row>
    <row r="14" spans="2:4">
      <c r="B14" s="23" t="s">
        <v>268</v>
      </c>
      <c r="C14" s="22">
        <v>819</v>
      </c>
      <c r="D14" s="21">
        <v>4.3473645097934999E-2</v>
      </c>
    </row>
    <row r="15" spans="2:4">
      <c r="B15" s="23" t="s">
        <v>269</v>
      </c>
      <c r="C15" s="22">
        <v>737</v>
      </c>
      <c r="D15" s="21">
        <v>3.9120972450766997E-2</v>
      </c>
    </row>
    <row r="16" spans="2:4">
      <c r="B16" s="23" t="s">
        <v>270</v>
      </c>
      <c r="C16" s="22">
        <v>368</v>
      </c>
      <c r="D16" s="21">
        <v>1.9533945538511E-2</v>
      </c>
    </row>
    <row r="17" spans="2:4" ht="28">
      <c r="B17" s="23" t="s">
        <v>271</v>
      </c>
      <c r="C17" s="22">
        <v>222</v>
      </c>
      <c r="D17" s="21">
        <v>1.1784064971601E-2</v>
      </c>
    </row>
    <row r="18" spans="2:4">
      <c r="B18" s="23" t="s">
        <v>272</v>
      </c>
      <c r="C18" s="22">
        <v>162</v>
      </c>
      <c r="D18" s="21">
        <v>8.5991825468439993E-3</v>
      </c>
    </row>
    <row r="19" spans="2:4">
      <c r="B19" s="23" t="s">
        <v>273</v>
      </c>
      <c r="C19" s="22">
        <v>142</v>
      </c>
      <c r="D19" s="21">
        <v>7.5375550719250003E-3</v>
      </c>
    </row>
    <row r="20" spans="2:4">
      <c r="B20" s="23" t="s">
        <v>274</v>
      </c>
      <c r="C20" s="22">
        <v>135</v>
      </c>
      <c r="D20" s="21">
        <v>7.1659854557040003E-3</v>
      </c>
    </row>
    <row r="21" spans="2:4">
      <c r="B21" s="23" t="s">
        <v>275</v>
      </c>
      <c r="C21" s="22">
        <v>124</v>
      </c>
      <c r="D21" s="21">
        <v>6.5820903444980001E-3</v>
      </c>
    </row>
    <row r="22" spans="2:4">
      <c r="B22" s="23" t="s">
        <v>276</v>
      </c>
      <c r="C22" s="22">
        <v>121</v>
      </c>
      <c r="D22" s="21">
        <v>6.4228462232600002E-3</v>
      </c>
    </row>
    <row r="23" spans="2:4">
      <c r="B23" s="23" t="s">
        <v>277</v>
      </c>
      <c r="C23" s="22">
        <v>75</v>
      </c>
      <c r="D23" s="21">
        <v>3.9811030309459998E-3</v>
      </c>
    </row>
    <row r="24" spans="2:4">
      <c r="B24" s="23" t="s">
        <v>278</v>
      </c>
      <c r="C24" s="22">
        <v>73</v>
      </c>
      <c r="D24" s="21">
        <v>3.8749402834549998E-3</v>
      </c>
    </row>
    <row r="25" spans="2:4">
      <c r="B25" s="23" t="s">
        <v>279</v>
      </c>
      <c r="C25" s="22">
        <v>57</v>
      </c>
      <c r="D25" s="21">
        <v>3.0256383035190001E-3</v>
      </c>
    </row>
    <row r="26" spans="2:4">
      <c r="B26" s="23" t="s">
        <v>280</v>
      </c>
      <c r="C26" s="22">
        <v>50</v>
      </c>
      <c r="D26" s="21">
        <v>2.6540686872980001E-3</v>
      </c>
    </row>
    <row r="27" spans="2:4">
      <c r="B27" s="23" t="s">
        <v>281</v>
      </c>
      <c r="C27" s="22">
        <v>47</v>
      </c>
      <c r="D27" s="21">
        <v>2.4948245660600002E-3</v>
      </c>
    </row>
    <row r="28" spans="2:4">
      <c r="B28" s="23" t="s">
        <v>282</v>
      </c>
      <c r="C28" s="22">
        <v>38</v>
      </c>
      <c r="D28" s="21">
        <v>2.017092202346E-3</v>
      </c>
    </row>
    <row r="29" spans="2:4">
      <c r="B29" s="23" t="s">
        <v>283</v>
      </c>
      <c r="C29" s="22">
        <v>36</v>
      </c>
      <c r="D29" s="21">
        <v>1.910929454854E-3</v>
      </c>
    </row>
    <row r="30" spans="2:4">
      <c r="B30" s="23" t="s">
        <v>284</v>
      </c>
      <c r="C30" s="22">
        <v>35</v>
      </c>
      <c r="D30" s="21">
        <v>1.8578480811079999E-3</v>
      </c>
    </row>
    <row r="31" spans="2:4">
      <c r="B31" s="23" t="s">
        <v>285</v>
      </c>
      <c r="C31" s="22">
        <v>30</v>
      </c>
      <c r="D31" s="21">
        <v>1.592441212379E-3</v>
      </c>
    </row>
    <row r="32" spans="2:4">
      <c r="B32" s="23" t="s">
        <v>286</v>
      </c>
      <c r="C32" s="22">
        <v>30</v>
      </c>
      <c r="D32" s="21">
        <v>1.592441212379E-3</v>
      </c>
    </row>
    <row r="33" spans="2:4">
      <c r="B33" s="23" t="s">
        <v>287</v>
      </c>
      <c r="C33" s="22">
        <v>27</v>
      </c>
      <c r="D33" s="21">
        <v>1.4331970911409999E-3</v>
      </c>
    </row>
    <row r="34" spans="2:4">
      <c r="B34" s="23" t="s">
        <v>288</v>
      </c>
      <c r="C34" s="22">
        <v>26</v>
      </c>
      <c r="D34" s="21">
        <v>1.3801157173950001E-3</v>
      </c>
    </row>
    <row r="35" spans="2:4">
      <c r="B35" s="23" t="s">
        <v>289</v>
      </c>
      <c r="C35" s="22">
        <v>26</v>
      </c>
      <c r="D35" s="21">
        <v>1.3801157173950001E-3</v>
      </c>
    </row>
    <row r="36" spans="2:4">
      <c r="B36" s="23" t="s">
        <v>290</v>
      </c>
      <c r="C36" s="22">
        <v>12</v>
      </c>
      <c r="D36" s="21">
        <v>6.3697648495099997E-4</v>
      </c>
    </row>
    <row r="37" spans="2:4">
      <c r="B37" s="23" t="s">
        <v>291</v>
      </c>
      <c r="C37" s="22">
        <v>11</v>
      </c>
      <c r="D37" s="21">
        <v>5.8389511120500003E-4</v>
      </c>
    </row>
    <row r="38" spans="2:4">
      <c r="B38" s="23" t="s">
        <v>292</v>
      </c>
      <c r="C38" s="22">
        <v>6</v>
      </c>
      <c r="D38" s="21">
        <v>3.1848824247600002E-4</v>
      </c>
    </row>
    <row r="39" spans="2:4">
      <c r="B39" s="23" t="s">
        <v>293</v>
      </c>
      <c r="C39" s="22">
        <v>6</v>
      </c>
      <c r="D39" s="21">
        <v>3.1848824247600002E-4</v>
      </c>
    </row>
    <row r="40" spans="2:4">
      <c r="B40" s="23" t="s">
        <v>294</v>
      </c>
      <c r="C40" s="22">
        <v>6</v>
      </c>
      <c r="D40" s="21">
        <v>3.1848824247600002E-4</v>
      </c>
    </row>
    <row r="41" spans="2:4">
      <c r="B41" s="23" t="s">
        <v>295</v>
      </c>
      <c r="C41" s="22">
        <v>5</v>
      </c>
      <c r="D41" s="21">
        <v>2.6540686872999998E-4</v>
      </c>
    </row>
    <row r="42" spans="2:4">
      <c r="B42" s="23" t="s">
        <v>296</v>
      </c>
      <c r="C42" s="22">
        <v>4</v>
      </c>
      <c r="D42" s="21">
        <v>2.1232549498399999E-4</v>
      </c>
    </row>
    <row r="43" spans="2:4">
      <c r="B43" s="23" t="s">
        <v>297</v>
      </c>
      <c r="C43" s="22">
        <v>3</v>
      </c>
      <c r="D43" s="21">
        <v>1.5924412123800001E-4</v>
      </c>
    </row>
    <row r="44" spans="2:4">
      <c r="B44" s="23" t="s">
        <v>298</v>
      </c>
      <c r="C44" s="22">
        <v>3</v>
      </c>
      <c r="D44" s="21">
        <v>1.5924412123800001E-4</v>
      </c>
    </row>
    <row r="45" spans="2:4">
      <c r="B45" s="23" t="s">
        <v>299</v>
      </c>
      <c r="C45" s="22">
        <v>3</v>
      </c>
      <c r="D45" s="21">
        <v>1.5924412123800001E-4</v>
      </c>
    </row>
    <row r="46" spans="2:4">
      <c r="B46" s="23" t="s">
        <v>300</v>
      </c>
      <c r="C46" s="22">
        <v>3</v>
      </c>
      <c r="D46" s="21">
        <v>1.5924412123800001E-4</v>
      </c>
    </row>
    <row r="47" spans="2:4">
      <c r="B47" s="23" t="s">
        <v>301</v>
      </c>
      <c r="C47" s="22">
        <v>2</v>
      </c>
      <c r="D47" s="21">
        <v>1.06162747492E-4</v>
      </c>
    </row>
    <row r="48" spans="2:4">
      <c r="B48" s="23" t="s">
        <v>302</v>
      </c>
      <c r="C48" s="22">
        <v>2</v>
      </c>
      <c r="D48" s="21">
        <v>1.06162747492E-4</v>
      </c>
    </row>
    <row r="49" spans="2:4">
      <c r="B49" s="23" t="s">
        <v>303</v>
      </c>
      <c r="C49" s="22">
        <v>2</v>
      </c>
      <c r="D49" s="21">
        <v>1.06162747492E-4</v>
      </c>
    </row>
    <row r="50" spans="2:4">
      <c r="B50" s="23" t="s">
        <v>304</v>
      </c>
      <c r="C50" s="22">
        <v>2</v>
      </c>
      <c r="D50" s="21">
        <v>1.06162747492E-4</v>
      </c>
    </row>
    <row r="51" spans="2:4">
      <c r="B51" s="23" t="s">
        <v>305</v>
      </c>
      <c r="C51" s="22">
        <v>2</v>
      </c>
      <c r="D51" s="21">
        <v>1.06162747492E-4</v>
      </c>
    </row>
    <row r="52" spans="2:4">
      <c r="B52" s="23" t="s">
        <v>306</v>
      </c>
      <c r="C52" s="22">
        <v>2</v>
      </c>
      <c r="D52" s="21">
        <v>1.06162747492E-4</v>
      </c>
    </row>
    <row r="53" spans="2:4">
      <c r="B53" s="23" t="s">
        <v>307</v>
      </c>
      <c r="C53" s="22">
        <v>2</v>
      </c>
      <c r="D53" s="21">
        <v>1.06162747492E-4</v>
      </c>
    </row>
    <row r="54" spans="2:4">
      <c r="B54" s="23" t="s">
        <v>308</v>
      </c>
      <c r="C54" s="22">
        <v>1</v>
      </c>
      <c r="D54" s="21">
        <v>5.3081373745999998E-5</v>
      </c>
    </row>
    <row r="55" spans="2:4">
      <c r="B55" s="23" t="s">
        <v>309</v>
      </c>
      <c r="C55" s="22">
        <v>1</v>
      </c>
      <c r="D55" s="21">
        <v>5.3081373745999998E-5</v>
      </c>
    </row>
    <row r="56" spans="2:4">
      <c r="B56" s="23" t="s">
        <v>310</v>
      </c>
      <c r="C56" s="22">
        <v>1</v>
      </c>
      <c r="D56" s="21">
        <v>5.3081373745999998E-5</v>
      </c>
    </row>
    <row r="57" spans="2:4">
      <c r="B57" s="23" t="s">
        <v>311</v>
      </c>
      <c r="C57" s="22">
        <v>1</v>
      </c>
      <c r="D57" s="21">
        <v>5.3081373745999998E-5</v>
      </c>
    </row>
    <row r="58" spans="2:4">
      <c r="B58" s="23" t="s">
        <v>312</v>
      </c>
      <c r="C58" s="22">
        <v>1</v>
      </c>
      <c r="D58" s="21">
        <v>5.3081373745999998E-5</v>
      </c>
    </row>
    <row r="59" spans="2:4">
      <c r="B59" s="23" t="s">
        <v>313</v>
      </c>
      <c r="C59" s="22">
        <v>1</v>
      </c>
      <c r="D59" s="21">
        <v>5.3081373745999998E-5</v>
      </c>
    </row>
    <row r="60" spans="2:4">
      <c r="B60" s="23" t="s">
        <v>314</v>
      </c>
      <c r="C60" s="22">
        <v>1</v>
      </c>
      <c r="D60" s="21">
        <v>5.3081373745999998E-5</v>
      </c>
    </row>
    <row r="61" spans="2:4">
      <c r="B61" s="20" t="s">
        <v>28</v>
      </c>
      <c r="C61" s="19">
        <v>18839</v>
      </c>
      <c r="D61" s="18">
        <v>1</v>
      </c>
    </row>
    <row r="63" spans="2:4">
      <c r="B63" s="15" t="s">
        <v>48</v>
      </c>
    </row>
    <row r="64" spans="2:4">
      <c r="B64" s="17" t="s">
        <v>17</v>
      </c>
    </row>
    <row r="65" spans="2:2">
      <c r="B65" s="16" t="s">
        <v>49</v>
      </c>
    </row>
    <row r="66" spans="2:2">
      <c r="B66" s="15" t="s">
        <v>16</v>
      </c>
    </row>
    <row r="67" spans="2:2">
      <c r="B67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Durango_EdoUsa</vt:lpstr>
      <vt:lpstr>Durango_Cons</vt:lpstr>
      <vt:lpstr>DurangoXCons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Durango_GENERO_EUA</vt:lpstr>
      <vt:lpstr>Durango_Gen_Edad</vt:lpstr>
      <vt:lpstr>Durango_ocup_gral</vt:lpstr>
      <vt:lpstr>Durango_educ_gral!Área_de_impresión</vt:lpstr>
      <vt:lpstr>Durango_EducCons!Área_de_impresión</vt:lpstr>
      <vt:lpstr>Durango_GenGral!Área_de_impresión</vt:lpstr>
      <vt:lpstr>Durango_MUNICIPIO!Área_de_impresión</vt:lpstr>
      <vt:lpstr>Durango_NivelE_Cons!Área_de_impresión</vt:lpstr>
      <vt:lpstr>Durango_USAMuni!Área_de_impresión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Durango_GENERO_EUA!Títulos_a_imprimir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  <vt:lpstr>DurangoXCons!Títulos_a_imprimir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2020-06-03T19:25:23Z</dcterms:created>
  <dcterms:modified xsi:type="dcterms:W3CDTF">2024-12-26T14:36:34Z</dcterms:modified>
</cp:coreProperties>
</file>